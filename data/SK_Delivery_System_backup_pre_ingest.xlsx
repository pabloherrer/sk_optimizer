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ctiveTab="2" autoFilterDateGrouping="1"/>
  </bookViews>
  <sheets>
    <sheet name="Delivery_Log" sheetId="1" state="visible" r:id="rId1"/>
    <sheet name="Client_List" sheetId="2" state="visible" r:id="rId2"/>
    <sheet name="Optimizer_Input" sheetId="3" state="visible" r:id="rId3"/>
    <sheet name="Client_Time_Windows" sheetId="4" state="visible" r:id="rId4"/>
    <sheet name="Client_Closures" sheetId="5" state="visible" r:id="rId5"/>
    <sheet name="Trucks" sheetId="6" state="visible" r:id="rId6"/>
    <sheet name="Depot" sheetId="7" state="visible" r:id="rId7"/>
  </sheets>
  <definedNames>
    <definedName name="_xlnm._FilterDatabase" localSheetId="0" hidden="1">'Delivery_Log'!$A$3:$L$4998</definedName>
    <definedName name="_xlnm._FilterDatabase" localSheetId="1" hidden="1">'Client_List'!$A$3:$K$173</definedName>
    <definedName name="_xlnm._FilterDatabase" localSheetId="2" hidden="1">'Optimizer_Input'!$A$5:$R$175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mm/dd/yyyy"/>
    <numFmt numFmtId="166" formatCode="0.00000"/>
    <numFmt numFmtId="167" formatCode="yyyy\-mm\-dd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color rgb="FF444444"/>
      <sz val="9"/>
    </font>
    <font>
      <name val="Arial"/>
      <family val="2"/>
      <b val="1"/>
      <sz val="10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8.5"/>
    </font>
    <font>
      <name val="Arial"/>
      <family val="2"/>
      <i val="1"/>
      <color rgb="FF0D47A1"/>
      <sz val="9"/>
    </font>
    <font>
      <name val="Arial"/>
      <family val="2"/>
      <i val="1"/>
      <color rgb="FF333333"/>
      <sz val="9"/>
    </font>
    <font>
      <name val="Arial"/>
      <family val="2"/>
      <i val="1"/>
      <color rgb="FFBBBBBB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3" tint="0.3999755851924192"/>
      <sz val="9"/>
    </font>
    <font>
      <name val="Arial"/>
      <family val="2"/>
      <i val="1"/>
      <color theme="1"/>
      <sz val="9"/>
    </font>
    <font>
      <name val="Calibri"/>
      <family val="2"/>
      <color theme="3" tint="0.3999755851924192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F8F8F8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0C0"/>
      </patternFill>
    </fill>
    <fill>
      <patternFill patternType="solid">
        <fgColor rgb="FFFF0000"/>
        <bgColor indexed="64"/>
      </patternFill>
    </fill>
    <fill>
      <patternFill patternType="solid">
        <fgColor rgb="FFEFF6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9" fontId="7" fillId="13" borderId="0" applyAlignment="1" pivotButton="0" quotePrefix="0" xfId="0">
      <alignment horizontal="center" vertical="center"/>
    </xf>
    <xf numFmtId="1" fontId="7" fillId="13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/>
    </xf>
    <xf numFmtId="164" fontId="10" fillId="18" borderId="1" applyAlignment="1" pivotButton="0" quotePrefix="0" xfId="0">
      <alignment horizontal="center" vertical="center"/>
    </xf>
    <xf numFmtId="165" fontId="10" fillId="18" borderId="1" applyAlignment="1" pivotButton="0" quotePrefix="0" xfId="0">
      <alignment horizontal="center" vertical="center"/>
    </xf>
    <xf numFmtId="1" fontId="10" fillId="18" borderId="1" applyAlignment="1" pivotButton="0" quotePrefix="0" xfId="0">
      <alignment horizontal="center" vertical="center"/>
    </xf>
    <xf numFmtId="3" fontId="11" fillId="19" borderId="1" applyAlignment="1" pivotButton="0" quotePrefix="0" xfId="0">
      <alignment horizontal="center" vertical="center"/>
    </xf>
    <xf numFmtId="164" fontId="11" fillId="1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66" fontId="4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0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11" fillId="19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7" fillId="1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0" fillId="22" borderId="5" applyAlignment="1" pivotButton="0" quotePrefix="0" xfId="0">
      <alignment horizontal="left" vertical="center"/>
    </xf>
    <xf numFmtId="3" fontId="4" fillId="21" borderId="1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9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49" fontId="0" fillId="0" borderId="0" pivotButton="0" quotePrefix="0" xfId="0"/>
    <xf numFmtId="49" fontId="5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1" fontId="7" fillId="1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3" fillId="16" borderId="2" applyAlignment="1" pivotButton="0" quotePrefix="0" xfId="0">
      <alignment horizontal="center" vertical="center"/>
    </xf>
    <xf numFmtId="0" fontId="0" fillId="0" borderId="2" pivotButton="0" quotePrefix="0" xfId="0"/>
    <xf numFmtId="0" fontId="13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0" fontId="17" fillId="0" borderId="0" pivotButton="0" quotePrefix="0" xfId="0"/>
    <xf numFmtId="167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7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167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165" fontId="15" fillId="11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88888"/>
      </font>
      <fill>
        <patternFill patternType="solid">
          <fgColor indexed="64"/>
          <bgColor rgb="FFD9D9D9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6FAF"/>
    <outlinePr summaryBelow="1" summaryRight="1"/>
    <pageSetUpPr/>
  </sheetPr>
  <dimension ref="A1:N4998"/>
  <sheetViews>
    <sheetView showGridLines="0" zoomScale="125" workbookViewId="0">
      <pane ySplit="3" topLeftCell="A1283" activePane="bottomLeft" state="frozen"/>
      <selection pane="bottomLeft" activeCell="B1298" sqref="B1298"/>
    </sheetView>
  </sheetViews>
  <sheetFormatPr baseColWidth="10" defaultColWidth="8.83203125" defaultRowHeight="15"/>
  <cols>
    <col width="9.33203125" bestFit="1" customWidth="1" style="74" min="1" max="1"/>
    <col width="10.6640625" customWidth="1" style="74" min="2" max="2"/>
    <col width="32.6640625" customWidth="1" style="85" min="3" max="3"/>
    <col width="13" customWidth="1" style="74" min="4" max="4"/>
    <col width="14.83203125" bestFit="1" customWidth="1" style="72" min="5" max="5"/>
    <col width="13.5" bestFit="1" customWidth="1" style="72" min="6" max="6"/>
    <col width="18.6640625" bestFit="1" customWidth="1" style="72" min="7" max="7"/>
    <col width="13.1640625" bestFit="1" customWidth="1" style="72" min="8" max="8"/>
    <col width="17.6640625" bestFit="1" customWidth="1" style="73" min="9" max="9"/>
    <col width="11.83203125" bestFit="1" customWidth="1" style="72" min="10" max="10"/>
    <col width="21.33203125" bestFit="1" customWidth="1" style="72" min="11" max="11"/>
    <col width="20" customWidth="1" style="72" min="12" max="12"/>
    <col width="10.1640625" bestFit="1" customWidth="1" style="72" min="14" max="14"/>
  </cols>
  <sheetData>
    <row r="1" ht="28" customHeight="1" s="72">
      <c r="A1" s="61" t="inlineStr">
        <is>
          <t>S&amp;K OIL SALES — DELIVERY LOG  ↓ Append new deliveries below. Column B = Customer # (numeric ID). Column D = lbs delivered.</t>
        </is>
      </c>
    </row>
    <row r="2" ht="14" customHeight="1" s="72">
      <c r="A2" s="58" t="inlineStr">
        <is>
          <t>Columns C, E–K auto-calculate. Do NOT re-sort rows.</t>
        </is>
      </c>
    </row>
    <row r="3" ht="32" customHeight="1" s="72">
      <c r="A3" s="1" t="inlineStr">
        <is>
          <t>Date</t>
        </is>
      </c>
      <c r="B3" s="1" t="inlineStr">
        <is>
          <t>Customer #</t>
        </is>
      </c>
      <c r="C3" s="84" t="inlineStr">
        <is>
          <t>Customer Name ←auto</t>
        </is>
      </c>
      <c r="D3" s="1" t="inlineStr">
        <is>
          <t>Qty Delivered (lbs)</t>
        </is>
      </c>
      <c r="E3" s="1" t="inlineStr">
        <is>
          <t>Zone ←auto</t>
        </is>
      </c>
      <c r="F3" s="23" t="inlineStr">
        <is>
          <t>Zone Code 
←auto</t>
        </is>
      </c>
      <c r="G3" s="23" t="inlineStr">
        <is>
          <t>Product 
←auto</t>
        </is>
      </c>
      <c r="H3" s="23" t="inlineStr">
        <is>
          <t>Tank (lbs)
 ←auto</t>
        </is>
      </c>
      <c r="I3" s="23" t="inlineStr">
        <is>
          <t>Days Since Last
 ←auto</t>
        </is>
      </c>
      <c r="J3" s="23" t="inlineStr">
        <is>
          <t>Lbs/Day
 ←auto</t>
        </is>
      </c>
      <c r="K3" s="23" t="inlineStr">
        <is>
          <t>Running Avg Lbs/Day 
←auto</t>
        </is>
      </c>
      <c r="L3" s="1" t="n"/>
    </row>
    <row r="4" ht="14" customHeight="1" s="72">
      <c r="A4" s="75" t="n">
        <v>45955</v>
      </c>
      <c r="B4" s="76" t="n">
        <v>1073</v>
      </c>
      <c r="C4" s="69">
        <f>IF(B4="","",IFERROR(INDEX(Client_List!$B:$B,MATCH(B4,Client_List!$A:$A,0)),"⚠ NOT FOUND"))</f>
        <v/>
      </c>
      <c r="D4" s="43" t="n">
        <v>1903</v>
      </c>
      <c r="E4" s="32">
        <f>IF(B4="","",IFERROR(INDEX(Client_List!$C:$C,MATCH(VALUE(B4),Client_List!$A:$A,0)),""))</f>
        <v/>
      </c>
      <c r="F4" s="53">
        <f>IF(B4="","",IFERROR(INDEX(Client_List!$D:$D,MATCH(VALUE(B4),Client_List!$A:$A,0)),""))</f>
        <v/>
      </c>
      <c r="G4" s="53">
        <f>IF(B4="","",IFERROR(INDEX(Client_List!$K:$K,MATCH(VALUE(B4),Client_List!$A:$A,0)),""))</f>
        <v/>
      </c>
      <c r="H4" s="32">
        <f>IF(B4="","",IFERROR(INDEX(Client_List!$J:$J,MATCH(VALUE(B4),Client_List!$A:$A,0)),""))</f>
        <v/>
      </c>
      <c r="I4" s="70">
        <f>IF(B4="","",IFERROR(A4-LOOKUP(2,1/($B3:$B$4=B4),$A3:$A$4),""))</f>
        <v/>
      </c>
      <c r="J4" s="32">
        <f>IF(B4="","",IFERROR(D4/I4,""))</f>
        <v/>
      </c>
      <c r="K4" s="71">
        <f>IF(B4="","",IFERROR(AVERAGEIFS($J$4:$J4,$B$4:$B4,B4,$J$4:$J4,"&gt;"&amp;0),""))</f>
        <v/>
      </c>
      <c r="L4" s="4" t="n"/>
    </row>
    <row r="5" ht="14" customHeight="1" s="72">
      <c r="A5" s="75" t="n">
        <v>45965</v>
      </c>
      <c r="B5" s="76" t="n">
        <v>19107</v>
      </c>
      <c r="C5" s="69">
        <f>IF(B5="","",IFERROR(INDEX(Client_List!$B:$B,MATCH(B5,Client_List!$A:$A,0)),"⚠ NOT FOUND"))</f>
        <v/>
      </c>
      <c r="D5" s="43" t="n">
        <v>228</v>
      </c>
      <c r="E5" s="32">
        <f>IF(B5="","",IFERROR(INDEX(Client_List!$C:$C,MATCH(VALUE(B5),Client_List!$A:$A,0)),""))</f>
        <v/>
      </c>
      <c r="F5" s="53">
        <f>IF(B5="","",IFERROR(INDEX(Client_List!$D:$D,MATCH(VALUE(B5),Client_List!$A:$A,0)),""))</f>
        <v/>
      </c>
      <c r="G5" s="53">
        <f>IF(B5="","",IFERROR(INDEX(Client_List!$K:$K,MATCH(VALUE(B5),Client_List!$A:$A,0)),""))</f>
        <v/>
      </c>
      <c r="H5" s="32">
        <f>IF(B5="","",IFERROR(INDEX(Client_List!$J:$J,MATCH(VALUE(B5),Client_List!$A:$A,0)),""))</f>
        <v/>
      </c>
      <c r="I5" s="70">
        <f>IF(B5="","",IFERROR(A5-LOOKUP(2,1/($B4:$B$4=B5),$A4:$A$4),""))</f>
        <v/>
      </c>
      <c r="J5" s="32">
        <f>IF(B5="","",IFERROR(D5/I5,""))</f>
        <v/>
      </c>
      <c r="K5" s="71">
        <f>IF(B5="","",IFERROR(AVERAGEIFS($J$4:$J5,$B$4:$B5,B5,$J$4:$J5,"&gt;"&amp;0),""))</f>
        <v/>
      </c>
      <c r="L5" s="7" t="n"/>
    </row>
    <row r="6" ht="14" customHeight="1" s="72">
      <c r="A6" s="75" t="n">
        <v>46024</v>
      </c>
      <c r="B6" s="76" t="n">
        <v>1083</v>
      </c>
      <c r="C6" s="69">
        <f>IF(B6="","",IFERROR(INDEX(Client_List!$B:$B,MATCH(B6,Client_List!$A:$A,0)),"⚠ NOT FOUND"))</f>
        <v/>
      </c>
      <c r="D6" s="43" t="n">
        <v>354</v>
      </c>
      <c r="E6" s="32">
        <f>IF(B6="","",IFERROR(INDEX(Client_List!$C:$C,MATCH(VALUE(B6),Client_List!$A:$A,0)),""))</f>
        <v/>
      </c>
      <c r="F6" s="53">
        <f>IF(B6="","",IFERROR(INDEX(Client_List!$D:$D,MATCH(VALUE(B6),Client_List!$A:$A,0)),""))</f>
        <v/>
      </c>
      <c r="G6" s="53">
        <f>IF(B6="","",IFERROR(INDEX(Client_List!$K:$K,MATCH(VALUE(B6),Client_List!$A:$A,0)),""))</f>
        <v/>
      </c>
      <c r="H6" s="32">
        <f>IF(B6="","",IFERROR(INDEX(Client_List!$J:$J,MATCH(VALUE(B6),Client_List!$A:$A,0)),""))</f>
        <v/>
      </c>
      <c r="I6" s="70">
        <f>IF(B6="","",IFERROR(A6-LOOKUP(2,1/($B$4:$B5=B6),$A$4:$A5),""))</f>
        <v/>
      </c>
      <c r="J6" s="32">
        <f>IF(B6="","",IFERROR(D6/I6,""))</f>
        <v/>
      </c>
      <c r="K6" s="71">
        <f>IF(B6="","",IFERROR(AVERAGEIFS($J$4:$J6,$B$4:$B6,B6,$J$4:$J6,"&gt;"&amp;0),""))</f>
        <v/>
      </c>
      <c r="L6" s="4" t="n"/>
    </row>
    <row r="7" ht="14" customHeight="1" s="72">
      <c r="A7" s="75" t="n">
        <v>46024</v>
      </c>
      <c r="B7" s="76" t="n">
        <v>3063</v>
      </c>
      <c r="C7" s="69">
        <f>IF(B7="","",IFERROR(INDEX(Client_List!$B:$B,MATCH(B7,Client_List!$A:$A,0)),"⚠ NOT FOUND"))</f>
        <v/>
      </c>
      <c r="D7" s="43" t="n">
        <v>1596</v>
      </c>
      <c r="E7" s="32">
        <f>IF(B7="","",IFERROR(INDEX(Client_List!$C:$C,MATCH(VALUE(B7),Client_List!$A:$A,0)),""))</f>
        <v/>
      </c>
      <c r="F7" s="53">
        <f>IF(B7="","",IFERROR(INDEX(Client_List!$D:$D,MATCH(VALUE(B7),Client_List!$A:$A,0)),""))</f>
        <v/>
      </c>
      <c r="G7" s="53">
        <f>IF(B7="","",IFERROR(INDEX(Client_List!$K:$K,MATCH(VALUE(B7),Client_List!$A:$A,0)),""))</f>
        <v/>
      </c>
      <c r="H7" s="32">
        <f>IF(B7="","",IFERROR(INDEX(Client_List!$J:$J,MATCH(VALUE(B7),Client_List!$A:$A,0)),""))</f>
        <v/>
      </c>
      <c r="I7" s="70">
        <f>IF(B7="","",IFERROR(A7-LOOKUP(2,1/($B$4:$B6=B7),$A$4:$A6),""))</f>
        <v/>
      </c>
      <c r="J7" s="32">
        <f>IF(B7="","",IFERROR(D7/I7,""))</f>
        <v/>
      </c>
      <c r="K7" s="71">
        <f>IF(B7="","",IFERROR(AVERAGEIFS($J$4:$J7,$B$4:$B7,B7,$J$4:$J7,"&gt;"&amp;0),""))</f>
        <v/>
      </c>
      <c r="L7" s="7" t="n"/>
    </row>
    <row r="8" ht="14" customHeight="1" s="72">
      <c r="A8" s="75" t="n">
        <v>46024</v>
      </c>
      <c r="B8" s="76" t="n">
        <v>4037</v>
      </c>
      <c r="C8" s="69">
        <f>IF(B8="","",IFERROR(INDEX(Client_List!$B:$B,MATCH(B8,Client_List!$A:$A,0)),"⚠ NOT FOUND"))</f>
        <v/>
      </c>
      <c r="D8" s="43" t="n">
        <v>361</v>
      </c>
      <c r="E8" s="32">
        <f>IF(B8="","",IFERROR(INDEX(Client_List!$C:$C,MATCH(VALUE(B8),Client_List!$A:$A,0)),""))</f>
        <v/>
      </c>
      <c r="F8" s="53">
        <f>IF(B8="","",IFERROR(INDEX(Client_List!$D:$D,MATCH(VALUE(B8),Client_List!$A:$A,0)),""))</f>
        <v/>
      </c>
      <c r="G8" s="53">
        <f>IF(B8="","",IFERROR(INDEX(Client_List!$K:$K,MATCH(VALUE(B8),Client_List!$A:$A,0)),""))</f>
        <v/>
      </c>
      <c r="H8" s="32">
        <f>IF(B8="","",IFERROR(INDEX(Client_List!$J:$J,MATCH(VALUE(B8),Client_List!$A:$A,0)),""))</f>
        <v/>
      </c>
      <c r="I8" s="70">
        <f>IF(B8="","",IFERROR(A8-LOOKUP(2,1/($B$4:$B7=B8),$A$4:$A7),""))</f>
        <v/>
      </c>
      <c r="J8" s="32">
        <f>IF(B8="","",IFERROR(D8/I8,""))</f>
        <v/>
      </c>
      <c r="K8" s="71">
        <f>IF(B8="","",IFERROR(AVERAGEIFS($J$4:$J8,$B$4:$B8,B8,$J$4:$J8,"&gt;"&amp;0),""))</f>
        <v/>
      </c>
      <c r="L8" s="4" t="n"/>
    </row>
    <row r="9" ht="14" customHeight="1" s="72">
      <c r="A9" s="75" t="n">
        <v>46024</v>
      </c>
      <c r="B9" s="76" t="n">
        <v>8031</v>
      </c>
      <c r="C9" s="69">
        <f>IF(B9="","",IFERROR(INDEX(Client_List!$B:$B,MATCH(B9,Client_List!$A:$A,0)),"⚠ NOT FOUND"))</f>
        <v/>
      </c>
      <c r="D9" s="43" t="n">
        <v>705</v>
      </c>
      <c r="E9" s="32">
        <f>IF(B9="","",IFERROR(INDEX(Client_List!$C:$C,MATCH(VALUE(B9),Client_List!$A:$A,0)),""))</f>
        <v/>
      </c>
      <c r="F9" s="53">
        <f>IF(B9="","",IFERROR(INDEX(Client_List!$D:$D,MATCH(VALUE(B9),Client_List!$A:$A,0)),""))</f>
        <v/>
      </c>
      <c r="G9" s="53">
        <f>IF(B9="","",IFERROR(INDEX(Client_List!$K:$K,MATCH(VALUE(B9),Client_List!$A:$A,0)),""))</f>
        <v/>
      </c>
      <c r="H9" s="32">
        <f>IF(B9="","",IFERROR(INDEX(Client_List!$J:$J,MATCH(VALUE(B9),Client_List!$A:$A,0)),""))</f>
        <v/>
      </c>
      <c r="I9" s="70">
        <f>IF(B9="","",IFERROR(A9-LOOKUP(2,1/($B$4:$B8=B9),$A$4:$A8),""))</f>
        <v/>
      </c>
      <c r="J9" s="32">
        <f>IF(B9="","",IFERROR(D9/I9,""))</f>
        <v/>
      </c>
      <c r="K9" s="71">
        <f>IF(B9="","",IFERROR(AVERAGEIFS($J$4:$J9,$B$4:$B9,B9,$J$4:$J9,"&gt;"&amp;0),""))</f>
        <v/>
      </c>
      <c r="L9" s="7" t="n"/>
    </row>
    <row r="10" ht="14" customHeight="1" s="72">
      <c r="A10" s="75" t="n">
        <v>46024</v>
      </c>
      <c r="B10" s="76" t="n">
        <v>10001</v>
      </c>
      <c r="C10" s="69">
        <f>IF(B10="","",IFERROR(INDEX(Client_List!$B:$B,MATCH(B10,Client_List!$A:$A,0)),"⚠ NOT FOUND"))</f>
        <v/>
      </c>
      <c r="D10" s="43" t="n">
        <v>882</v>
      </c>
      <c r="E10" s="32">
        <f>IF(B10="","",IFERROR(INDEX(Client_List!$C:$C,MATCH(VALUE(B10),Client_List!$A:$A,0)),""))</f>
        <v/>
      </c>
      <c r="F10" s="53">
        <f>IF(B10="","",IFERROR(INDEX(Client_List!$D:$D,MATCH(VALUE(B10),Client_List!$A:$A,0)),""))</f>
        <v/>
      </c>
      <c r="G10" s="53">
        <f>IF(B10="","",IFERROR(INDEX(Client_List!$K:$K,MATCH(VALUE(B10),Client_List!$A:$A,0)),""))</f>
        <v/>
      </c>
      <c r="H10" s="32">
        <f>IF(B10="","",IFERROR(INDEX(Client_List!$J:$J,MATCH(VALUE(B10),Client_List!$A:$A,0)),""))</f>
        <v/>
      </c>
      <c r="I10" s="70">
        <f>IF(B10="","",IFERROR(A10-LOOKUP(2,1/($B$4:$B9=B10),$A$4:$A9),""))</f>
        <v/>
      </c>
      <c r="J10" s="32">
        <f>IF(B10="","",IFERROR(D10/I10,""))</f>
        <v/>
      </c>
      <c r="K10" s="71">
        <f>IF(B10="","",IFERROR(AVERAGEIFS($J$4:$J10,$B$4:$B10,B10,$J$4:$J10,"&gt;"&amp;0),""))</f>
        <v/>
      </c>
      <c r="L10" s="4" t="n"/>
    </row>
    <row r="11" ht="14" customHeight="1" s="72">
      <c r="A11" s="75" t="n">
        <v>46024</v>
      </c>
      <c r="B11" s="76" t="n">
        <v>14008</v>
      </c>
      <c r="C11" s="69">
        <f>IF(B11="","",IFERROR(INDEX(Client_List!$B:$B,MATCH(B11,Client_List!$A:$A,0)),"⚠ NOT FOUND"))</f>
        <v/>
      </c>
      <c r="D11" s="43" t="n">
        <v>1151</v>
      </c>
      <c r="E11" s="32">
        <f>IF(B11="","",IFERROR(INDEX(Client_List!$C:$C,MATCH(VALUE(B11),Client_List!$A:$A,0)),""))</f>
        <v/>
      </c>
      <c r="F11" s="53">
        <f>IF(B11="","",IFERROR(INDEX(Client_List!$D:$D,MATCH(VALUE(B11),Client_List!$A:$A,0)),""))</f>
        <v/>
      </c>
      <c r="G11" s="53">
        <f>IF(B11="","",IFERROR(INDEX(Client_List!$K:$K,MATCH(VALUE(B11),Client_List!$A:$A,0)),""))</f>
        <v/>
      </c>
      <c r="H11" s="32">
        <f>IF(B11="","",IFERROR(INDEX(Client_List!$J:$J,MATCH(VALUE(B11),Client_List!$A:$A,0)),""))</f>
        <v/>
      </c>
      <c r="I11" s="70">
        <f>IF(B11="","",IFERROR(A11-LOOKUP(2,1/($B$4:$B10=B11),$A$4:$A10),""))</f>
        <v/>
      </c>
      <c r="J11" s="32">
        <f>IF(B11="","",IFERROR(D11/I11,""))</f>
        <v/>
      </c>
      <c r="K11" s="71">
        <f>IF(B11="","",IFERROR(AVERAGEIFS($J$4:$J11,$B$4:$B11,B11,$J$4:$J11,"&gt;"&amp;0),""))</f>
        <v/>
      </c>
      <c r="L11" s="7" t="n"/>
    </row>
    <row r="12" ht="14" customHeight="1" s="72">
      <c r="A12" s="75" t="n">
        <v>46024</v>
      </c>
      <c r="B12" s="76" t="n">
        <v>15035</v>
      </c>
      <c r="C12" s="69">
        <f>IF(B12="","",IFERROR(INDEX(Client_List!$B:$B,MATCH(B12,Client_List!$A:$A,0)),"⚠ NOT FOUND"))</f>
        <v/>
      </c>
      <c r="D12" s="43" t="n">
        <v>1401</v>
      </c>
      <c r="E12" s="32">
        <f>IF(B12="","",IFERROR(INDEX(Client_List!$C:$C,MATCH(VALUE(B12),Client_List!$A:$A,0)),""))</f>
        <v/>
      </c>
      <c r="F12" s="53">
        <f>IF(B12="","",IFERROR(INDEX(Client_List!$D:$D,MATCH(VALUE(B12),Client_List!$A:$A,0)),""))</f>
        <v/>
      </c>
      <c r="G12" s="53">
        <f>IF(B12="","",IFERROR(INDEX(Client_List!$K:$K,MATCH(VALUE(B12),Client_List!$A:$A,0)),""))</f>
        <v/>
      </c>
      <c r="H12" s="32">
        <f>IF(B12="","",IFERROR(INDEX(Client_List!$J:$J,MATCH(VALUE(B12),Client_List!$A:$A,0)),""))</f>
        <v/>
      </c>
      <c r="I12" s="70">
        <f>IF(B12="","",IFERROR(A12-LOOKUP(2,1/($B$4:$B11=B12),$A$4:$A11),""))</f>
        <v/>
      </c>
      <c r="J12" s="32">
        <f>IF(B12="","",IFERROR(D12/I12,""))</f>
        <v/>
      </c>
      <c r="K12" s="71">
        <f>IF(B12="","",IFERROR(AVERAGEIFS($J$4:$J12,$B$4:$B12,B12,$J$4:$J12,"&gt;"&amp;0),""))</f>
        <v/>
      </c>
      <c r="L12" s="4" t="n"/>
    </row>
    <row r="13" ht="14" customHeight="1" s="72">
      <c r="A13" s="75" t="n">
        <v>46024</v>
      </c>
      <c r="B13" s="76" t="n">
        <v>16010</v>
      </c>
      <c r="C13" s="69">
        <f>IF(B13="","",IFERROR(INDEX(Client_List!$B:$B,MATCH(B13,Client_List!$A:$A,0)),"⚠ NOT FOUND"))</f>
        <v/>
      </c>
      <c r="D13" s="43" t="n">
        <v>1737</v>
      </c>
      <c r="E13" s="32">
        <f>IF(B13="","",IFERROR(INDEX(Client_List!$C:$C,MATCH(VALUE(B13),Client_List!$A:$A,0)),""))</f>
        <v/>
      </c>
      <c r="F13" s="53">
        <f>IF(B13="","",IFERROR(INDEX(Client_List!$D:$D,MATCH(VALUE(B13),Client_List!$A:$A,0)),""))</f>
        <v/>
      </c>
      <c r="G13" s="53">
        <f>IF(B13="","",IFERROR(INDEX(Client_List!$K:$K,MATCH(VALUE(B13),Client_List!$A:$A,0)),""))</f>
        <v/>
      </c>
      <c r="H13" s="32">
        <f>IF(B13="","",IFERROR(INDEX(Client_List!$J:$J,MATCH(VALUE(B13),Client_List!$A:$A,0)),""))</f>
        <v/>
      </c>
      <c r="I13" s="70">
        <f>IF(B13="","",IFERROR(A13-LOOKUP(2,1/($B$4:$B12=B13),$A$4:$A12),""))</f>
        <v/>
      </c>
      <c r="J13" s="32">
        <f>IF(B13="","",IFERROR(D13/I13,""))</f>
        <v/>
      </c>
      <c r="K13" s="71">
        <f>IF(B13="","",IFERROR(AVERAGEIFS($J$4:$J13,$B$4:$B13,B13,$J$4:$J13,"&gt;"&amp;0),""))</f>
        <v/>
      </c>
      <c r="L13" s="7" t="n"/>
    </row>
    <row r="14" ht="14" customHeight="1" s="72">
      <c r="A14" s="75" t="n">
        <v>46025</v>
      </c>
      <c r="B14" s="76" t="n">
        <v>1057</v>
      </c>
      <c r="C14" s="69">
        <f>IF(B14="","",IFERROR(INDEX(Client_List!$B:$B,MATCH(B14,Client_List!$A:$A,0)),"⚠ NOT FOUND"))</f>
        <v/>
      </c>
      <c r="D14" s="43" t="n">
        <v>591</v>
      </c>
      <c r="E14" s="32">
        <f>IF(B14="","",IFERROR(INDEX(Client_List!$C:$C,MATCH(VALUE(B14),Client_List!$A:$A,0)),""))</f>
        <v/>
      </c>
      <c r="F14" s="53">
        <f>IF(B14="","",IFERROR(INDEX(Client_List!$D:$D,MATCH(VALUE(B14),Client_List!$A:$A,0)),""))</f>
        <v/>
      </c>
      <c r="G14" s="53">
        <f>IF(B14="","",IFERROR(INDEX(Client_List!$K:$K,MATCH(VALUE(B14),Client_List!$A:$A,0)),""))</f>
        <v/>
      </c>
      <c r="H14" s="32">
        <f>IF(B14="","",IFERROR(INDEX(Client_List!$J:$J,MATCH(VALUE(B14),Client_List!$A:$A,0)),""))</f>
        <v/>
      </c>
      <c r="I14" s="70">
        <f>IF(B14="","",IFERROR(A14-LOOKUP(2,1/($B$4:$B13=B14),$A$4:$A13),""))</f>
        <v/>
      </c>
      <c r="J14" s="32">
        <f>IF(B14="","",IFERROR(D14/I14,""))</f>
        <v/>
      </c>
      <c r="K14" s="71">
        <f>IF(B14="","",IFERROR(AVERAGEIFS($J$4:$J14,$B$4:$B14,B14,$J$4:$J14,"&gt;"&amp;0),""))</f>
        <v/>
      </c>
      <c r="L14" s="4" t="n"/>
    </row>
    <row r="15" ht="14" customHeight="1" s="72">
      <c r="A15" s="75" t="n">
        <v>46025</v>
      </c>
      <c r="B15" s="76" t="n">
        <v>2016</v>
      </c>
      <c r="C15" s="69">
        <f>IF(B15="","",IFERROR(INDEX(Client_List!$B:$B,MATCH(B15,Client_List!$A:$A,0)),"⚠ NOT FOUND"))</f>
        <v/>
      </c>
      <c r="D15" s="43" t="n">
        <v>265</v>
      </c>
      <c r="E15" s="32">
        <f>IF(B15="","",IFERROR(INDEX(Client_List!$C:$C,MATCH(VALUE(B15),Client_List!$A:$A,0)),""))</f>
        <v/>
      </c>
      <c r="F15" s="53">
        <f>IF(B15="","",IFERROR(INDEX(Client_List!$D:$D,MATCH(VALUE(B15),Client_List!$A:$A,0)),""))</f>
        <v/>
      </c>
      <c r="G15" s="53">
        <f>IF(B15="","",IFERROR(INDEX(Client_List!$K:$K,MATCH(VALUE(B15),Client_List!$A:$A,0)),""))</f>
        <v/>
      </c>
      <c r="H15" s="32">
        <f>IF(B15="","",IFERROR(INDEX(Client_List!$J:$J,MATCH(VALUE(B15),Client_List!$A:$A,0)),""))</f>
        <v/>
      </c>
      <c r="I15" s="70">
        <f>IF(B15="","",IFERROR(A15-LOOKUP(2,1/($B$4:$B14=B15),$A$4:$A14),""))</f>
        <v/>
      </c>
      <c r="J15" s="32">
        <f>IF(B15="","",IFERROR(D15/I15,""))</f>
        <v/>
      </c>
      <c r="K15" s="71">
        <f>IF(B15="","",IFERROR(AVERAGEIFS($J$4:$J15,$B$4:$B15,B15,$J$4:$J15,"&gt;"&amp;0),""))</f>
        <v/>
      </c>
      <c r="L15" s="7" t="n"/>
    </row>
    <row r="16" ht="14" customHeight="1" s="72">
      <c r="A16" s="75" t="n">
        <v>46025</v>
      </c>
      <c r="B16" s="76" t="n">
        <v>3056</v>
      </c>
      <c r="C16" s="69">
        <f>IF(B16="","",IFERROR(INDEX(Client_List!$B:$B,MATCH(B16,Client_List!$A:$A,0)),"⚠ NOT FOUND"))</f>
        <v/>
      </c>
      <c r="D16" s="43" t="n">
        <v>223</v>
      </c>
      <c r="E16" s="32">
        <f>IF(B16="","",IFERROR(INDEX(Client_List!$C:$C,MATCH(VALUE(B16),Client_List!$A:$A,0)),""))</f>
        <v/>
      </c>
      <c r="F16" s="53">
        <f>IF(B16="","",IFERROR(INDEX(Client_List!$D:$D,MATCH(VALUE(B16),Client_List!$A:$A,0)),""))</f>
        <v/>
      </c>
      <c r="G16" s="53">
        <f>IF(B16="","",IFERROR(INDEX(Client_List!$K:$K,MATCH(VALUE(B16),Client_List!$A:$A,0)),""))</f>
        <v/>
      </c>
      <c r="H16" s="32">
        <f>IF(B16="","",IFERROR(INDEX(Client_List!$J:$J,MATCH(VALUE(B16),Client_List!$A:$A,0)),""))</f>
        <v/>
      </c>
      <c r="I16" s="70">
        <f>IF(B16="","",IFERROR(A16-LOOKUP(2,1/($B$4:$B15=B16),$A$4:$A15),""))</f>
        <v/>
      </c>
      <c r="J16" s="32">
        <f>IF(B16="","",IFERROR(D16/I16,""))</f>
        <v/>
      </c>
      <c r="K16" s="71">
        <f>IF(B16="","",IFERROR(AVERAGEIFS($J$4:$J16,$B$4:$B16,B16,$J$4:$J16,"&gt;"&amp;0),""))</f>
        <v/>
      </c>
      <c r="L16" s="4" t="n"/>
    </row>
    <row r="17" ht="14" customHeight="1" s="72">
      <c r="A17" s="75" t="n">
        <v>46025</v>
      </c>
      <c r="B17" s="76" t="n">
        <v>4010</v>
      </c>
      <c r="C17" s="69">
        <f>IF(B17="","",IFERROR(INDEX(Client_List!$B:$B,MATCH(B17,Client_List!$A:$A,0)),"⚠ NOT FOUND"))</f>
        <v/>
      </c>
      <c r="D17" s="43" t="n">
        <v>514</v>
      </c>
      <c r="E17" s="32">
        <f>IF(B17="","",IFERROR(INDEX(Client_List!$C:$C,MATCH(VALUE(B17),Client_List!$A:$A,0)),""))</f>
        <v/>
      </c>
      <c r="F17" s="53">
        <f>IF(B17="","",IFERROR(INDEX(Client_List!$D:$D,MATCH(VALUE(B17),Client_List!$A:$A,0)),""))</f>
        <v/>
      </c>
      <c r="G17" s="53">
        <f>IF(B17="","",IFERROR(INDEX(Client_List!$K:$K,MATCH(VALUE(B17),Client_List!$A:$A,0)),""))</f>
        <v/>
      </c>
      <c r="H17" s="32">
        <f>IF(B17="","",IFERROR(INDEX(Client_List!$J:$J,MATCH(VALUE(B17),Client_List!$A:$A,0)),""))</f>
        <v/>
      </c>
      <c r="I17" s="70">
        <f>IF(B17="","",IFERROR(A17-LOOKUP(2,1/($B$4:$B16=B17),$A$4:$A16),""))</f>
        <v/>
      </c>
      <c r="J17" s="32">
        <f>IF(B17="","",IFERROR(D17/I17,""))</f>
        <v/>
      </c>
      <c r="K17" s="71">
        <f>IF(B17="","",IFERROR(AVERAGEIFS($J$4:$J17,$B$4:$B17,B17,$J$4:$J17,"&gt;"&amp;0),""))</f>
        <v/>
      </c>
      <c r="L17" s="7" t="n"/>
    </row>
    <row r="18" ht="14" customHeight="1" s="72">
      <c r="A18" s="75" t="n">
        <v>46025</v>
      </c>
      <c r="B18" s="76" t="n">
        <v>6101</v>
      </c>
      <c r="C18" s="69">
        <f>IF(B18="","",IFERROR(INDEX(Client_List!$B:$B,MATCH(B18,Client_List!$A:$A,0)),"⚠ NOT FOUND"))</f>
        <v/>
      </c>
      <c r="D18" s="43" t="n">
        <v>569</v>
      </c>
      <c r="E18" s="32">
        <f>IF(B18="","",IFERROR(INDEX(Client_List!$C:$C,MATCH(VALUE(B18),Client_List!$A:$A,0)),""))</f>
        <v/>
      </c>
      <c r="F18" s="53">
        <f>IF(B18="","",IFERROR(INDEX(Client_List!$D:$D,MATCH(VALUE(B18),Client_List!$A:$A,0)),""))</f>
        <v/>
      </c>
      <c r="G18" s="53">
        <f>IF(B18="","",IFERROR(INDEX(Client_List!$K:$K,MATCH(VALUE(B18),Client_List!$A:$A,0)),""))</f>
        <v/>
      </c>
      <c r="H18" s="32">
        <f>IF(B18="","",IFERROR(INDEX(Client_List!$J:$J,MATCH(VALUE(B18),Client_List!$A:$A,0)),""))</f>
        <v/>
      </c>
      <c r="I18" s="70">
        <f>IF(B18="","",IFERROR(A18-LOOKUP(2,1/($B$4:$B17=B18),$A$4:$A17),""))</f>
        <v/>
      </c>
      <c r="J18" s="32">
        <f>IF(B18="","",IFERROR(D18/I18,""))</f>
        <v/>
      </c>
      <c r="K18" s="71">
        <f>IF(B18="","",IFERROR(AVERAGEIFS($J$4:$J18,$B$4:$B18,B18,$J$4:$J18,"&gt;"&amp;0),""))</f>
        <v/>
      </c>
      <c r="L18" s="4" t="n"/>
    </row>
    <row r="19" ht="14" customHeight="1" s="72">
      <c r="A19" s="75" t="n">
        <v>46025</v>
      </c>
      <c r="B19" s="76" t="n">
        <v>15021</v>
      </c>
      <c r="C19" s="69">
        <f>IF(B19="","",IFERROR(INDEX(Client_List!$B:$B,MATCH(B19,Client_List!$A:$A,0)),"⚠ NOT FOUND"))</f>
        <v/>
      </c>
      <c r="D19" s="43" t="n">
        <v>272</v>
      </c>
      <c r="E19" s="32">
        <f>IF(B19="","",IFERROR(INDEX(Client_List!$C:$C,MATCH(VALUE(B19),Client_List!$A:$A,0)),""))</f>
        <v/>
      </c>
      <c r="F19" s="53">
        <f>IF(B19="","",IFERROR(INDEX(Client_List!$D:$D,MATCH(VALUE(B19),Client_List!$A:$A,0)),""))</f>
        <v/>
      </c>
      <c r="G19" s="53">
        <f>IF(B19="","",IFERROR(INDEX(Client_List!$K:$K,MATCH(VALUE(B19),Client_List!$A:$A,0)),""))</f>
        <v/>
      </c>
      <c r="H19" s="32">
        <f>IF(B19="","",IFERROR(INDEX(Client_List!$J:$J,MATCH(VALUE(B19),Client_List!$A:$A,0)),""))</f>
        <v/>
      </c>
      <c r="I19" s="70">
        <f>IF(B19="","",IFERROR(A19-LOOKUP(2,1/($B$4:$B18=B19),$A$4:$A18),""))</f>
        <v/>
      </c>
      <c r="J19" s="32">
        <f>IF(B19="","",IFERROR(D19/I19,""))</f>
        <v/>
      </c>
      <c r="K19" s="71">
        <f>IF(B19="","",IFERROR(AVERAGEIFS($J$4:$J19,$B$4:$B19,B19,$J$4:$J19,"&gt;"&amp;0),""))</f>
        <v/>
      </c>
      <c r="L19" s="7" t="n"/>
    </row>
    <row r="20" ht="14" customHeight="1" s="72">
      <c r="A20" s="75" t="n">
        <v>46025</v>
      </c>
      <c r="B20" s="76" t="n">
        <v>15028</v>
      </c>
      <c r="C20" s="69">
        <f>IF(B20="","",IFERROR(INDEX(Client_List!$B:$B,MATCH(B20,Client_List!$A:$A,0)),"⚠ NOT FOUND"))</f>
        <v/>
      </c>
      <c r="D20" s="43" t="n">
        <v>605</v>
      </c>
      <c r="E20" s="32">
        <f>IF(B20="","",IFERROR(INDEX(Client_List!$C:$C,MATCH(VALUE(B20),Client_List!$A:$A,0)),""))</f>
        <v/>
      </c>
      <c r="F20" s="53">
        <f>IF(B20="","",IFERROR(INDEX(Client_List!$D:$D,MATCH(VALUE(B20),Client_List!$A:$A,0)),""))</f>
        <v/>
      </c>
      <c r="G20" s="53">
        <f>IF(B20="","",IFERROR(INDEX(Client_List!$K:$K,MATCH(VALUE(B20),Client_List!$A:$A,0)),""))</f>
        <v/>
      </c>
      <c r="H20" s="32">
        <f>IF(B20="","",IFERROR(INDEX(Client_List!$J:$J,MATCH(VALUE(B20),Client_List!$A:$A,0)),""))</f>
        <v/>
      </c>
      <c r="I20" s="70">
        <f>IF(B20="","",IFERROR(A20-LOOKUP(2,1/($B$4:$B19=B20),$A$4:$A19),""))</f>
        <v/>
      </c>
      <c r="J20" s="32">
        <f>IF(B20="","",IFERROR(D20/I20,""))</f>
        <v/>
      </c>
      <c r="K20" s="71">
        <f>IF(B20="","",IFERROR(AVERAGEIFS($J$4:$J20,$B$4:$B20,B20,$J$4:$J20,"&gt;"&amp;0),""))</f>
        <v/>
      </c>
      <c r="L20" s="4" t="n"/>
    </row>
    <row r="21" ht="14" customHeight="1" s="72">
      <c r="A21" s="75" t="n">
        <v>46025</v>
      </c>
      <c r="B21" s="76" t="n">
        <v>15033</v>
      </c>
      <c r="C21" s="69">
        <f>IF(B21="","",IFERROR(INDEX(Client_List!$B:$B,MATCH(B21,Client_List!$A:$A,0)),"⚠ NOT FOUND"))</f>
        <v/>
      </c>
      <c r="D21" s="43" t="n">
        <v>327</v>
      </c>
      <c r="E21" s="32">
        <f>IF(B21="","",IFERROR(INDEX(Client_List!$C:$C,MATCH(VALUE(B21),Client_List!$A:$A,0)),""))</f>
        <v/>
      </c>
      <c r="F21" s="53">
        <f>IF(B21="","",IFERROR(INDEX(Client_List!$D:$D,MATCH(VALUE(B21),Client_List!$A:$A,0)),""))</f>
        <v/>
      </c>
      <c r="G21" s="53">
        <f>IF(B21="","",IFERROR(INDEX(Client_List!$K:$K,MATCH(VALUE(B21),Client_List!$A:$A,0)),""))</f>
        <v/>
      </c>
      <c r="H21" s="32">
        <f>IF(B21="","",IFERROR(INDEX(Client_List!$J:$J,MATCH(VALUE(B21),Client_List!$A:$A,0)),""))</f>
        <v/>
      </c>
      <c r="I21" s="70">
        <f>IF(B21="","",IFERROR(A21-LOOKUP(2,1/($B$4:$B20=B21),$A$4:$A20),""))</f>
        <v/>
      </c>
      <c r="J21" s="32">
        <f>IF(B21="","",IFERROR(D21/I21,""))</f>
        <v/>
      </c>
      <c r="K21" s="71">
        <f>IF(B21="","",IFERROR(AVERAGEIFS($J$4:$J21,$B$4:$B21,B21,$J$4:$J21,"&gt;"&amp;0),""))</f>
        <v/>
      </c>
      <c r="L21" s="7" t="n"/>
    </row>
    <row r="22" ht="14" customHeight="1" s="72">
      <c r="A22" s="75" t="n">
        <v>46025</v>
      </c>
      <c r="B22" s="76" t="n">
        <v>16014</v>
      </c>
      <c r="C22" s="69">
        <f>IF(B22="","",IFERROR(INDEX(Client_List!$B:$B,MATCH(B22,Client_List!$A:$A,0)),"⚠ NOT FOUND"))</f>
        <v/>
      </c>
      <c r="D22" s="43" t="n">
        <v>1772</v>
      </c>
      <c r="E22" s="32">
        <f>IF(B22="","",IFERROR(INDEX(Client_List!$C:$C,MATCH(VALUE(B22),Client_List!$A:$A,0)),""))</f>
        <v/>
      </c>
      <c r="F22" s="53">
        <f>IF(B22="","",IFERROR(INDEX(Client_List!$D:$D,MATCH(VALUE(B22),Client_List!$A:$A,0)),""))</f>
        <v/>
      </c>
      <c r="G22" s="53">
        <f>IF(B22="","",IFERROR(INDEX(Client_List!$K:$K,MATCH(VALUE(B22),Client_List!$A:$A,0)),""))</f>
        <v/>
      </c>
      <c r="H22" s="32">
        <f>IF(B22="","",IFERROR(INDEX(Client_List!$J:$J,MATCH(VALUE(B22),Client_List!$A:$A,0)),""))</f>
        <v/>
      </c>
      <c r="I22" s="70">
        <f>IF(B22="","",IFERROR(A22-LOOKUP(2,1/($B$4:$B21=B22),$A$4:$A21),""))</f>
        <v/>
      </c>
      <c r="J22" s="32">
        <f>IF(B22="","",IFERROR(D22/I22,""))</f>
        <v/>
      </c>
      <c r="K22" s="71">
        <f>IF(B22="","",IFERROR(AVERAGEIFS($J$4:$J22,$B$4:$B22,B22,$J$4:$J22,"&gt;"&amp;0),""))</f>
        <v/>
      </c>
      <c r="L22" s="4" t="n"/>
    </row>
    <row r="23" ht="14" customHeight="1" s="72">
      <c r="A23" s="75" t="n">
        <v>46025</v>
      </c>
      <c r="B23" s="76" t="n">
        <v>19031</v>
      </c>
      <c r="C23" s="69">
        <f>IF(B23="","",IFERROR(INDEX(Client_List!$B:$B,MATCH(B23,Client_List!$A:$A,0)),"⚠ NOT FOUND"))</f>
        <v/>
      </c>
      <c r="D23" s="43" t="n">
        <v>620</v>
      </c>
      <c r="E23" s="32">
        <f>IF(B23="","",IFERROR(INDEX(Client_List!$C:$C,MATCH(VALUE(B23),Client_List!$A:$A,0)),""))</f>
        <v/>
      </c>
      <c r="F23" s="53">
        <f>IF(B23="","",IFERROR(INDEX(Client_List!$D:$D,MATCH(VALUE(B23),Client_List!$A:$A,0)),""))</f>
        <v/>
      </c>
      <c r="G23" s="53">
        <f>IF(B23="","",IFERROR(INDEX(Client_List!$K:$K,MATCH(VALUE(B23),Client_List!$A:$A,0)),""))</f>
        <v/>
      </c>
      <c r="H23" s="32">
        <f>IF(B23="","",IFERROR(INDEX(Client_List!$J:$J,MATCH(VALUE(B23),Client_List!$A:$A,0)),""))</f>
        <v/>
      </c>
      <c r="I23" s="70">
        <f>IF(B23="","",IFERROR(A23-LOOKUP(2,1/($B$4:$B22=B23),$A$4:$A22),""))</f>
        <v/>
      </c>
      <c r="J23" s="32">
        <f>IF(B23="","",IFERROR(D23/I23,""))</f>
        <v/>
      </c>
      <c r="K23" s="71">
        <f>IF(B23="","",IFERROR(AVERAGEIFS($J$4:$J23,$B$4:$B23,B23,$J$4:$J23,"&gt;"&amp;0),""))</f>
        <v/>
      </c>
      <c r="L23" s="7" t="n"/>
    </row>
    <row r="24" ht="14" customHeight="1" s="72">
      <c r="A24" s="75" t="n">
        <v>46025</v>
      </c>
      <c r="B24" s="76" t="n">
        <v>21001</v>
      </c>
      <c r="C24" s="69">
        <f>IF(B24="","",IFERROR(INDEX(Client_List!$B:$B,MATCH(B24,Client_List!$A:$A,0)),"⚠ NOT FOUND"))</f>
        <v/>
      </c>
      <c r="D24" s="43" t="n">
        <v>731</v>
      </c>
      <c r="E24" s="32">
        <f>IF(B24="","",IFERROR(INDEX(Client_List!$C:$C,MATCH(VALUE(B24),Client_List!$A:$A,0)),""))</f>
        <v/>
      </c>
      <c r="F24" s="53">
        <f>IF(B24="","",IFERROR(INDEX(Client_List!$D:$D,MATCH(VALUE(B24),Client_List!$A:$A,0)),""))</f>
        <v/>
      </c>
      <c r="G24" s="53">
        <f>IF(B24="","",IFERROR(INDEX(Client_List!$K:$K,MATCH(VALUE(B24),Client_List!$A:$A,0)),""))</f>
        <v/>
      </c>
      <c r="H24" s="32">
        <f>IF(B24="","",IFERROR(INDEX(Client_List!$J:$J,MATCH(VALUE(B24),Client_List!$A:$A,0)),""))</f>
        <v/>
      </c>
      <c r="I24" s="70">
        <f>IF(B24="","",IFERROR(A24-LOOKUP(2,1/($B$4:$B23=B24),$A$4:$A23),""))</f>
        <v/>
      </c>
      <c r="J24" s="32">
        <f>IF(B24="","",IFERROR(D24/I24,""))</f>
        <v/>
      </c>
      <c r="K24" s="71">
        <f>IF(B24="","",IFERROR(AVERAGEIFS($J$4:$J24,$B$4:$B24,B24,$J$4:$J24,"&gt;"&amp;0),""))</f>
        <v/>
      </c>
      <c r="L24" s="4" t="n"/>
    </row>
    <row r="25" ht="14" customHeight="1" s="72">
      <c r="A25" s="75" t="n">
        <v>46026</v>
      </c>
      <c r="B25" s="76" t="n">
        <v>16005</v>
      </c>
      <c r="C25" s="69">
        <f>IF(B25="","",IFERROR(INDEX(Client_List!$B:$B,MATCH(B25,Client_List!$A:$A,0)),"⚠ NOT FOUND"))</f>
        <v/>
      </c>
      <c r="D25" s="43" t="n">
        <v>703</v>
      </c>
      <c r="E25" s="32">
        <f>IF(B25="","",IFERROR(INDEX(Client_List!$C:$C,MATCH(VALUE(B25),Client_List!$A:$A,0)),""))</f>
        <v/>
      </c>
      <c r="F25" s="53">
        <f>IF(B25="","",IFERROR(INDEX(Client_List!$D:$D,MATCH(VALUE(B25),Client_List!$A:$A,0)),""))</f>
        <v/>
      </c>
      <c r="G25" s="53">
        <f>IF(B25="","",IFERROR(INDEX(Client_List!$K:$K,MATCH(VALUE(B25),Client_List!$A:$A,0)),""))</f>
        <v/>
      </c>
      <c r="H25" s="32">
        <f>IF(B25="","",IFERROR(INDEX(Client_List!$J:$J,MATCH(VALUE(B25),Client_List!$A:$A,0)),""))</f>
        <v/>
      </c>
      <c r="I25" s="70">
        <f>IF(B25="","",IFERROR(A25-LOOKUP(2,1/($B$4:$B24=B25),$A$4:$A24),""))</f>
        <v/>
      </c>
      <c r="J25" s="32">
        <f>IF(B25="","",IFERROR(D25/I25,""))</f>
        <v/>
      </c>
      <c r="K25" s="71">
        <f>IF(B25="","",IFERROR(AVERAGEIFS($J$4:$J25,$B$4:$B25,B25,$J$4:$J25,"&gt;"&amp;0),""))</f>
        <v/>
      </c>
      <c r="L25" s="7" t="n"/>
    </row>
    <row r="26" ht="14" customHeight="1" s="72">
      <c r="A26" s="75" t="n">
        <v>46026</v>
      </c>
      <c r="B26" s="76" t="n">
        <v>16051</v>
      </c>
      <c r="C26" s="69">
        <f>IF(B26="","",IFERROR(INDEX(Client_List!$B:$B,MATCH(B26,Client_List!$A:$A,0)),"⚠ NOT FOUND"))</f>
        <v/>
      </c>
      <c r="D26" s="43" t="n">
        <v>1507</v>
      </c>
      <c r="E26" s="32">
        <f>IF(B26="","",IFERROR(INDEX(Client_List!$C:$C,MATCH(VALUE(B26),Client_List!$A:$A,0)),""))</f>
        <v/>
      </c>
      <c r="F26" s="53">
        <f>IF(B26="","",IFERROR(INDEX(Client_List!$D:$D,MATCH(VALUE(B26),Client_List!$A:$A,0)),""))</f>
        <v/>
      </c>
      <c r="G26" s="53">
        <f>IF(B26="","",IFERROR(INDEX(Client_List!$K:$K,MATCH(VALUE(B26),Client_List!$A:$A,0)),""))</f>
        <v/>
      </c>
      <c r="H26" s="32">
        <f>IF(B26="","",IFERROR(INDEX(Client_List!$J:$J,MATCH(VALUE(B26),Client_List!$A:$A,0)),""))</f>
        <v/>
      </c>
      <c r="I26" s="70">
        <f>IF(B26="","",IFERROR(A26-LOOKUP(2,1/($B$4:$B25=B26),$A$4:$A25),""))</f>
        <v/>
      </c>
      <c r="J26" s="32">
        <f>IF(B26="","",IFERROR(D26/I26,""))</f>
        <v/>
      </c>
      <c r="K26" s="71">
        <f>IF(B26="","",IFERROR(AVERAGEIFS($J$4:$J26,$B$4:$B26,B26,$J$4:$J26,"&gt;"&amp;0),""))</f>
        <v/>
      </c>
      <c r="L26" s="4" t="n"/>
    </row>
    <row r="27" ht="14" customHeight="1" s="72">
      <c r="A27" s="75" t="n">
        <v>46027</v>
      </c>
      <c r="B27" s="76" t="n">
        <v>1011</v>
      </c>
      <c r="C27" s="69">
        <f>IF(B27="","",IFERROR(INDEX(Client_List!$B:$B,MATCH(B27,Client_List!$A:$A,0)),"⚠ NOT FOUND"))</f>
        <v/>
      </c>
      <c r="D27" s="43" t="n">
        <v>949</v>
      </c>
      <c r="E27" s="32">
        <f>IF(B27="","",IFERROR(INDEX(Client_List!$C:$C,MATCH(VALUE(B27),Client_List!$A:$A,0)),""))</f>
        <v/>
      </c>
      <c r="F27" s="53">
        <f>IF(B27="","",IFERROR(INDEX(Client_List!$D:$D,MATCH(VALUE(B27),Client_List!$A:$A,0)),""))</f>
        <v/>
      </c>
      <c r="G27" s="53">
        <f>IF(B27="","",IFERROR(INDEX(Client_List!$K:$K,MATCH(VALUE(B27),Client_List!$A:$A,0)),""))</f>
        <v/>
      </c>
      <c r="H27" s="32">
        <f>IF(B27="","",IFERROR(INDEX(Client_List!$J:$J,MATCH(VALUE(B27),Client_List!$A:$A,0)),""))</f>
        <v/>
      </c>
      <c r="I27" s="70">
        <f>IF(B27="","",IFERROR(A27-LOOKUP(2,1/($B$4:$B26=B27),$A$4:$A26),""))</f>
        <v/>
      </c>
      <c r="J27" s="32">
        <f>IF(B27="","",IFERROR(D27/I27,""))</f>
        <v/>
      </c>
      <c r="K27" s="71">
        <f>IF(B27="","",IFERROR(AVERAGEIFS($J$4:$J27,$B$4:$B27,B27,$J$4:$J27,"&gt;"&amp;0),""))</f>
        <v/>
      </c>
      <c r="L27" s="7" t="n"/>
    </row>
    <row r="28" ht="14" customHeight="1" s="72">
      <c r="A28" s="75" t="n">
        <v>46027</v>
      </c>
      <c r="B28" s="76" t="n">
        <v>2010</v>
      </c>
      <c r="C28" s="69">
        <f>IF(B28="","",IFERROR(INDEX(Client_List!$B:$B,MATCH(B28,Client_List!$A:$A,0)),"⚠ NOT FOUND"))</f>
        <v/>
      </c>
      <c r="D28" s="43" t="n">
        <v>507</v>
      </c>
      <c r="E28" s="32">
        <f>IF(B28="","",IFERROR(INDEX(Client_List!$C:$C,MATCH(VALUE(B28),Client_List!$A:$A,0)),""))</f>
        <v/>
      </c>
      <c r="F28" s="53">
        <f>IF(B28="","",IFERROR(INDEX(Client_List!$D:$D,MATCH(VALUE(B28),Client_List!$A:$A,0)),""))</f>
        <v/>
      </c>
      <c r="G28" s="53">
        <f>IF(B28="","",IFERROR(INDEX(Client_List!$K:$K,MATCH(VALUE(B28),Client_List!$A:$A,0)),""))</f>
        <v/>
      </c>
      <c r="H28" s="32">
        <f>IF(B28="","",IFERROR(INDEX(Client_List!$J:$J,MATCH(VALUE(B28),Client_List!$A:$A,0)),""))</f>
        <v/>
      </c>
      <c r="I28" s="70">
        <f>IF(B28="","",IFERROR(A28-LOOKUP(2,1/($B$4:$B27=B28),$A$4:$A27),""))</f>
        <v/>
      </c>
      <c r="J28" s="32">
        <f>IF(B28="","",IFERROR(D28/I28,""))</f>
        <v/>
      </c>
      <c r="K28" s="71">
        <f>IF(B28="","",IFERROR(AVERAGEIFS($J$4:$J28,$B$4:$B28,B28,$J$4:$J28,"&gt;"&amp;0),""))</f>
        <v/>
      </c>
      <c r="L28" s="4" t="n"/>
    </row>
    <row r="29" ht="14" customHeight="1" s="72">
      <c r="A29" s="75" t="n">
        <v>46027</v>
      </c>
      <c r="B29" s="76" t="n">
        <v>3021</v>
      </c>
      <c r="C29" s="69">
        <f>IF(B29="","",IFERROR(INDEX(Client_List!$B:$B,MATCH(B29,Client_List!$A:$A,0)),"⚠ NOT FOUND"))</f>
        <v/>
      </c>
      <c r="D29" s="43" t="n">
        <v>291</v>
      </c>
      <c r="E29" s="32">
        <f>IF(B29="","",IFERROR(INDEX(Client_List!$C:$C,MATCH(VALUE(B29),Client_List!$A:$A,0)),""))</f>
        <v/>
      </c>
      <c r="F29" s="53">
        <f>IF(B29="","",IFERROR(INDEX(Client_List!$D:$D,MATCH(VALUE(B29),Client_List!$A:$A,0)),""))</f>
        <v/>
      </c>
      <c r="G29" s="53">
        <f>IF(B29="","",IFERROR(INDEX(Client_List!$K:$K,MATCH(VALUE(B29),Client_List!$A:$A,0)),""))</f>
        <v/>
      </c>
      <c r="H29" s="32">
        <f>IF(B29="","",IFERROR(INDEX(Client_List!$J:$J,MATCH(VALUE(B29),Client_List!$A:$A,0)),""))</f>
        <v/>
      </c>
      <c r="I29" s="70">
        <f>IF(B29="","",IFERROR(A29-LOOKUP(2,1/($B$4:$B28=B29),$A$4:$A28),""))</f>
        <v/>
      </c>
      <c r="J29" s="32">
        <f>IF(B29="","",IFERROR(D29/I29,""))</f>
        <v/>
      </c>
      <c r="K29" s="71">
        <f>IF(B29="","",IFERROR(AVERAGEIFS($J$4:$J29,$B$4:$B29,B29,$J$4:$J29,"&gt;"&amp;0),""))</f>
        <v/>
      </c>
      <c r="L29" s="7" t="n"/>
    </row>
    <row r="30" ht="14" customHeight="1" s="72">
      <c r="A30" s="75" t="n">
        <v>46027</v>
      </c>
      <c r="B30" s="76" t="n">
        <v>5006</v>
      </c>
      <c r="C30" s="69">
        <f>IF(B30="","",IFERROR(INDEX(Client_List!$B:$B,MATCH(B30,Client_List!$A:$A,0)),"⚠ NOT FOUND"))</f>
        <v/>
      </c>
      <c r="D30" s="43" t="n">
        <v>406</v>
      </c>
      <c r="E30" s="32">
        <f>IF(B30="","",IFERROR(INDEX(Client_List!$C:$C,MATCH(VALUE(B30),Client_List!$A:$A,0)),""))</f>
        <v/>
      </c>
      <c r="F30" s="53">
        <f>IF(B30="","",IFERROR(INDEX(Client_List!$D:$D,MATCH(VALUE(B30),Client_List!$A:$A,0)),""))</f>
        <v/>
      </c>
      <c r="G30" s="53">
        <f>IF(B30="","",IFERROR(INDEX(Client_List!$K:$K,MATCH(VALUE(B30),Client_List!$A:$A,0)),""))</f>
        <v/>
      </c>
      <c r="H30" s="32">
        <f>IF(B30="","",IFERROR(INDEX(Client_List!$J:$J,MATCH(VALUE(B30),Client_List!$A:$A,0)),""))</f>
        <v/>
      </c>
      <c r="I30" s="70">
        <f>IF(B30="","",IFERROR(A30-LOOKUP(2,1/($B$4:$B29=B30),$A$4:$A29),""))</f>
        <v/>
      </c>
      <c r="J30" s="32">
        <f>IF(B30="","",IFERROR(D30/I30,""))</f>
        <v/>
      </c>
      <c r="K30" s="71">
        <f>IF(B30="","",IFERROR(AVERAGEIFS($J$4:$J30,$B$4:$B30,B30,$J$4:$J30,"&gt;"&amp;0),""))</f>
        <v/>
      </c>
      <c r="L30" s="4" t="n"/>
    </row>
    <row r="31" ht="14" customHeight="1" s="72">
      <c r="A31" s="75" t="n">
        <v>46027</v>
      </c>
      <c r="B31" s="76" t="n">
        <v>6077</v>
      </c>
      <c r="C31" s="69">
        <f>IF(B31="","",IFERROR(INDEX(Client_List!$B:$B,MATCH(B31,Client_List!$A:$A,0)),"⚠ NOT FOUND"))</f>
        <v/>
      </c>
      <c r="D31" s="43" t="n">
        <v>1513</v>
      </c>
      <c r="E31" s="32">
        <f>IF(B31="","",IFERROR(INDEX(Client_List!$C:$C,MATCH(VALUE(B31),Client_List!$A:$A,0)),""))</f>
        <v/>
      </c>
      <c r="F31" s="53">
        <f>IF(B31="","",IFERROR(INDEX(Client_List!$D:$D,MATCH(VALUE(B31),Client_List!$A:$A,0)),""))</f>
        <v/>
      </c>
      <c r="G31" s="53">
        <f>IF(B31="","",IFERROR(INDEX(Client_List!$K:$K,MATCH(VALUE(B31),Client_List!$A:$A,0)),""))</f>
        <v/>
      </c>
      <c r="H31" s="32">
        <f>IF(B31="","",IFERROR(INDEX(Client_List!$J:$J,MATCH(VALUE(B31),Client_List!$A:$A,0)),""))</f>
        <v/>
      </c>
      <c r="I31" s="70">
        <f>IF(B31="","",IFERROR(A31-LOOKUP(2,1/($B$4:$B30=B31),$A$4:$A30),""))</f>
        <v/>
      </c>
      <c r="J31" s="32">
        <f>IF(B31="","",IFERROR(D31/I31,""))</f>
        <v/>
      </c>
      <c r="K31" s="71">
        <f>IF(B31="","",IFERROR(AVERAGEIFS($J$4:$J31,$B$4:$B31,B31,$J$4:$J31,"&gt;"&amp;0),""))</f>
        <v/>
      </c>
      <c r="L31" s="7" t="n"/>
    </row>
    <row r="32" ht="14" customHeight="1" s="72">
      <c r="A32" s="75" t="n">
        <v>46027</v>
      </c>
      <c r="B32" s="76" t="n">
        <v>8031</v>
      </c>
      <c r="C32" s="69">
        <f>IF(B32="","",IFERROR(INDEX(Client_List!$B:$B,MATCH(B32,Client_List!$A:$A,0)),"⚠ NOT FOUND"))</f>
        <v/>
      </c>
      <c r="D32" s="43" t="n">
        <v>762</v>
      </c>
      <c r="E32" s="32">
        <f>IF(B32="","",IFERROR(INDEX(Client_List!$C:$C,MATCH(VALUE(B32),Client_List!$A:$A,0)),""))</f>
        <v/>
      </c>
      <c r="F32" s="53">
        <f>IF(B32="","",IFERROR(INDEX(Client_List!$D:$D,MATCH(VALUE(B32),Client_List!$A:$A,0)),""))</f>
        <v/>
      </c>
      <c r="G32" s="53">
        <f>IF(B32="","",IFERROR(INDEX(Client_List!$K:$K,MATCH(VALUE(B32),Client_List!$A:$A,0)),""))</f>
        <v/>
      </c>
      <c r="H32" s="32">
        <f>IF(B32="","",IFERROR(INDEX(Client_List!$J:$J,MATCH(VALUE(B32),Client_List!$A:$A,0)),""))</f>
        <v/>
      </c>
      <c r="I32" s="70">
        <f>IF(B32="","",IFERROR(A32-LOOKUP(2,1/($B$4:$B31=B32),$A$4:$A31),""))</f>
        <v/>
      </c>
      <c r="J32" s="32">
        <f>IF(B32="","",IFERROR(D32/I32,""))</f>
        <v/>
      </c>
      <c r="K32" s="71">
        <f>IF(B32="","",IFERROR(AVERAGEIFS($J$4:$J32,$B$4:$B32,B32,$J$4:$J32,"&gt;"&amp;0),""))</f>
        <v/>
      </c>
      <c r="L32" s="4" t="n"/>
    </row>
    <row r="33" ht="14" customHeight="1" s="72">
      <c r="A33" s="75" t="n">
        <v>46027</v>
      </c>
      <c r="B33" s="76" t="n">
        <v>13013</v>
      </c>
      <c r="C33" s="69">
        <f>IF(B33="","",IFERROR(INDEX(Client_List!$B:$B,MATCH(B33,Client_List!$A:$A,0)),"⚠ NOT FOUND"))</f>
        <v/>
      </c>
      <c r="D33" s="43" t="n">
        <v>898</v>
      </c>
      <c r="E33" s="32">
        <f>IF(B33="","",IFERROR(INDEX(Client_List!$C:$C,MATCH(VALUE(B33),Client_List!$A:$A,0)),""))</f>
        <v/>
      </c>
      <c r="F33" s="53">
        <f>IF(B33="","",IFERROR(INDEX(Client_List!$D:$D,MATCH(VALUE(B33),Client_List!$A:$A,0)),""))</f>
        <v/>
      </c>
      <c r="G33" s="53">
        <f>IF(B33="","",IFERROR(INDEX(Client_List!$K:$K,MATCH(VALUE(B33),Client_List!$A:$A,0)),""))</f>
        <v/>
      </c>
      <c r="H33" s="32">
        <f>IF(B33="","",IFERROR(INDEX(Client_List!$J:$J,MATCH(VALUE(B33),Client_List!$A:$A,0)),""))</f>
        <v/>
      </c>
      <c r="I33" s="70">
        <f>IF(B33="","",IFERROR(A33-LOOKUP(2,1/($B$4:$B32=B33),$A$4:$A32),""))</f>
        <v/>
      </c>
      <c r="J33" s="32">
        <f>IF(B33="","",IFERROR(D33/I33,""))</f>
        <v/>
      </c>
      <c r="K33" s="71">
        <f>IF(B33="","",IFERROR(AVERAGEIFS($J$4:$J33,$B$4:$B33,B33,$J$4:$J33,"&gt;"&amp;0),""))</f>
        <v/>
      </c>
      <c r="L33" s="7" t="n"/>
    </row>
    <row r="34" ht="14" customHeight="1" s="72">
      <c r="A34" s="75" t="n">
        <v>46027</v>
      </c>
      <c r="B34" s="76" t="n">
        <v>13061</v>
      </c>
      <c r="C34" s="69">
        <f>IF(B34="","",IFERROR(INDEX(Client_List!$B:$B,MATCH(B34,Client_List!$A:$A,0)),"⚠ NOT FOUND"))</f>
        <v/>
      </c>
      <c r="D34" s="43" t="n">
        <v>457</v>
      </c>
      <c r="E34" s="32">
        <f>IF(B34="","",IFERROR(INDEX(Client_List!$C:$C,MATCH(VALUE(B34),Client_List!$A:$A,0)),""))</f>
        <v/>
      </c>
      <c r="F34" s="53">
        <f>IF(B34="","",IFERROR(INDEX(Client_List!$D:$D,MATCH(VALUE(B34),Client_List!$A:$A,0)),""))</f>
        <v/>
      </c>
      <c r="G34" s="53">
        <f>IF(B34="","",IFERROR(INDEX(Client_List!$K:$K,MATCH(VALUE(B34),Client_List!$A:$A,0)),""))</f>
        <v/>
      </c>
      <c r="H34" s="32">
        <f>IF(B34="","",IFERROR(INDEX(Client_List!$J:$J,MATCH(VALUE(B34),Client_List!$A:$A,0)),""))</f>
        <v/>
      </c>
      <c r="I34" s="70">
        <f>IF(B34="","",IFERROR(A34-LOOKUP(2,1/($B$4:$B33=B34),$A$4:$A33),""))</f>
        <v/>
      </c>
      <c r="J34" s="32">
        <f>IF(B34="","",IFERROR(D34/I34,""))</f>
        <v/>
      </c>
      <c r="K34" s="71">
        <f>IF(B34="","",IFERROR(AVERAGEIFS($J$4:$J34,$B$4:$B34,B34,$J$4:$J34,"&gt;"&amp;0),""))</f>
        <v/>
      </c>
      <c r="L34" s="4" t="n"/>
    </row>
    <row r="35" ht="14" customHeight="1" s="72">
      <c r="A35" s="75" t="n">
        <v>46027</v>
      </c>
      <c r="B35" s="76" t="n">
        <v>16004</v>
      </c>
      <c r="C35" s="69">
        <f>IF(B35="","",IFERROR(INDEX(Client_List!$B:$B,MATCH(B35,Client_List!$A:$A,0)),"⚠ NOT FOUND"))</f>
        <v/>
      </c>
      <c r="D35" s="43" t="n">
        <v>438</v>
      </c>
      <c r="E35" s="32">
        <f>IF(B35="","",IFERROR(INDEX(Client_List!$C:$C,MATCH(VALUE(B35),Client_List!$A:$A,0)),""))</f>
        <v/>
      </c>
      <c r="F35" s="53">
        <f>IF(B35="","",IFERROR(INDEX(Client_List!$D:$D,MATCH(VALUE(B35),Client_List!$A:$A,0)),""))</f>
        <v/>
      </c>
      <c r="G35" s="53">
        <f>IF(B35="","",IFERROR(INDEX(Client_List!$K:$K,MATCH(VALUE(B35),Client_List!$A:$A,0)),""))</f>
        <v/>
      </c>
      <c r="H35" s="32">
        <f>IF(B35="","",IFERROR(INDEX(Client_List!$J:$J,MATCH(VALUE(B35),Client_List!$A:$A,0)),""))</f>
        <v/>
      </c>
      <c r="I35" s="70">
        <f>IF(B35="","",IFERROR(A35-LOOKUP(2,1/($B$4:$B34=B35),$A$4:$A34),""))</f>
        <v/>
      </c>
      <c r="J35" s="32">
        <f>IF(B35="","",IFERROR(D35/I35,""))</f>
        <v/>
      </c>
      <c r="K35" s="71">
        <f>IF(B35="","",IFERROR(AVERAGEIFS($J$4:$J35,$B$4:$B35,B35,$J$4:$J35,"&gt;"&amp;0),""))</f>
        <v/>
      </c>
      <c r="L35" s="7" t="n"/>
    </row>
    <row r="36" ht="14" customHeight="1" s="72">
      <c r="A36" s="75" t="n">
        <v>46027</v>
      </c>
      <c r="B36" s="76" t="n">
        <v>16008</v>
      </c>
      <c r="C36" s="69">
        <f>IF(B36="","",IFERROR(INDEX(Client_List!$B:$B,MATCH(B36,Client_List!$A:$A,0)),"⚠ NOT FOUND"))</f>
        <v/>
      </c>
      <c r="D36" s="43" t="n">
        <v>715</v>
      </c>
      <c r="E36" s="32">
        <f>IF(B36="","",IFERROR(INDEX(Client_List!$C:$C,MATCH(VALUE(B36),Client_List!$A:$A,0)),""))</f>
        <v/>
      </c>
      <c r="F36" s="53">
        <f>IF(B36="","",IFERROR(INDEX(Client_List!$D:$D,MATCH(VALUE(B36),Client_List!$A:$A,0)),""))</f>
        <v/>
      </c>
      <c r="G36" s="53">
        <f>IF(B36="","",IFERROR(INDEX(Client_List!$K:$K,MATCH(VALUE(B36),Client_List!$A:$A,0)),""))</f>
        <v/>
      </c>
      <c r="H36" s="32">
        <f>IF(B36="","",IFERROR(INDEX(Client_List!$J:$J,MATCH(VALUE(B36),Client_List!$A:$A,0)),""))</f>
        <v/>
      </c>
      <c r="I36" s="70">
        <f>IF(B36="","",IFERROR(A36-LOOKUP(2,1/($B$4:$B35=B36),$A$4:$A35),""))</f>
        <v/>
      </c>
      <c r="J36" s="32">
        <f>IF(B36="","",IFERROR(D36/I36,""))</f>
        <v/>
      </c>
      <c r="K36" s="71">
        <f>IF(B36="","",IFERROR(AVERAGEIFS($J$4:$J36,$B$4:$B36,B36,$J$4:$J36,"&gt;"&amp;0),""))</f>
        <v/>
      </c>
      <c r="L36" s="4" t="n"/>
    </row>
    <row r="37" ht="14" customHeight="1" s="72">
      <c r="A37" s="75" t="n">
        <v>46027</v>
      </c>
      <c r="B37" s="76" t="n">
        <v>18001</v>
      </c>
      <c r="C37" s="69">
        <f>IF(B37="","",IFERROR(INDEX(Client_List!$B:$B,MATCH(B37,Client_List!$A:$A,0)),"⚠ NOT FOUND"))</f>
        <v/>
      </c>
      <c r="D37" s="43" t="n">
        <v>268</v>
      </c>
      <c r="E37" s="32">
        <f>IF(B37="","",IFERROR(INDEX(Client_List!$C:$C,MATCH(VALUE(B37),Client_List!$A:$A,0)),""))</f>
        <v/>
      </c>
      <c r="F37" s="53">
        <f>IF(B37="","",IFERROR(INDEX(Client_List!$D:$D,MATCH(VALUE(B37),Client_List!$A:$A,0)),""))</f>
        <v/>
      </c>
      <c r="G37" s="53">
        <f>IF(B37="","",IFERROR(INDEX(Client_List!$K:$K,MATCH(VALUE(B37),Client_List!$A:$A,0)),""))</f>
        <v/>
      </c>
      <c r="H37" s="32">
        <f>IF(B37="","",IFERROR(INDEX(Client_List!$J:$J,MATCH(VALUE(B37),Client_List!$A:$A,0)),""))</f>
        <v/>
      </c>
      <c r="I37" s="70">
        <f>IF(B37="","",IFERROR(A37-LOOKUP(2,1/($B$4:$B36=B37),$A$4:$A36),""))</f>
        <v/>
      </c>
      <c r="J37" s="32">
        <f>IF(B37="","",IFERROR(D37/I37,""))</f>
        <v/>
      </c>
      <c r="K37" s="71">
        <f>IF(B37="","",IFERROR(AVERAGEIFS($J$4:$J37,$B$4:$B37,B37,$J$4:$J37,"&gt;"&amp;0),""))</f>
        <v/>
      </c>
      <c r="L37" s="7" t="n"/>
    </row>
    <row r="38" ht="14" customHeight="1" s="72">
      <c r="A38" s="75" t="n">
        <v>46027</v>
      </c>
      <c r="B38" s="76" t="n">
        <v>18003</v>
      </c>
      <c r="C38" s="69">
        <f>IF(B38="","",IFERROR(INDEX(Client_List!$B:$B,MATCH(B38,Client_List!$A:$A,0)),"⚠ NOT FOUND"))</f>
        <v/>
      </c>
      <c r="D38" s="43" t="n">
        <v>337</v>
      </c>
      <c r="E38" s="32">
        <f>IF(B38="","",IFERROR(INDEX(Client_List!$C:$C,MATCH(VALUE(B38),Client_List!$A:$A,0)),""))</f>
        <v/>
      </c>
      <c r="F38" s="53">
        <f>IF(B38="","",IFERROR(INDEX(Client_List!$D:$D,MATCH(VALUE(B38),Client_List!$A:$A,0)),""))</f>
        <v/>
      </c>
      <c r="G38" s="53">
        <f>IF(B38="","",IFERROR(INDEX(Client_List!$K:$K,MATCH(VALUE(B38),Client_List!$A:$A,0)),""))</f>
        <v/>
      </c>
      <c r="H38" s="32">
        <f>IF(B38="","",IFERROR(INDEX(Client_List!$J:$J,MATCH(VALUE(B38),Client_List!$A:$A,0)),""))</f>
        <v/>
      </c>
      <c r="I38" s="70">
        <f>IF(B38="","",IFERROR(A38-LOOKUP(2,1/($B$4:$B37=B38),$A$4:$A37),""))</f>
        <v/>
      </c>
      <c r="J38" s="32">
        <f>IF(B38="","",IFERROR(D38/I38,""))</f>
        <v/>
      </c>
      <c r="K38" s="71">
        <f>IF(B38="","",IFERROR(AVERAGEIFS($J$4:$J38,$B$4:$B38,B38,$J$4:$J38,"&gt;"&amp;0),""))</f>
        <v/>
      </c>
      <c r="L38" s="4" t="n"/>
    </row>
    <row r="39" ht="14" customHeight="1" s="72">
      <c r="A39" s="75" t="n">
        <v>46027</v>
      </c>
      <c r="B39" s="76" t="n">
        <v>18004</v>
      </c>
      <c r="C39" s="69">
        <f>IF(B39="","",IFERROR(INDEX(Client_List!$B:$B,MATCH(B39,Client_List!$A:$A,0)),"⚠ NOT FOUND"))</f>
        <v/>
      </c>
      <c r="D39" s="43" t="n">
        <v>669</v>
      </c>
      <c r="E39" s="32">
        <f>IF(B39="","",IFERROR(INDEX(Client_List!$C:$C,MATCH(VALUE(B39),Client_List!$A:$A,0)),""))</f>
        <v/>
      </c>
      <c r="F39" s="53">
        <f>IF(B39="","",IFERROR(INDEX(Client_List!$D:$D,MATCH(VALUE(B39),Client_List!$A:$A,0)),""))</f>
        <v/>
      </c>
      <c r="G39" s="53">
        <f>IF(B39="","",IFERROR(INDEX(Client_List!$K:$K,MATCH(VALUE(B39),Client_List!$A:$A,0)),""))</f>
        <v/>
      </c>
      <c r="H39" s="32">
        <f>IF(B39="","",IFERROR(INDEX(Client_List!$J:$J,MATCH(VALUE(B39),Client_List!$A:$A,0)),""))</f>
        <v/>
      </c>
      <c r="I39" s="70">
        <f>IF(B39="","",IFERROR(A39-LOOKUP(2,1/($B$4:$B38=B39),$A$4:$A38),""))</f>
        <v/>
      </c>
      <c r="J39" s="32">
        <f>IF(B39="","",IFERROR(D39/I39,""))</f>
        <v/>
      </c>
      <c r="K39" s="71">
        <f>IF(B39="","",IFERROR(AVERAGEIFS($J$4:$J39,$B$4:$B39,B39,$J$4:$J39,"&gt;"&amp;0),""))</f>
        <v/>
      </c>
      <c r="L39" s="7" t="n"/>
    </row>
    <row r="40" ht="14" customHeight="1" s="72">
      <c r="A40" s="75" t="n">
        <v>46027</v>
      </c>
      <c r="B40" s="76" t="n">
        <v>18031</v>
      </c>
      <c r="C40" s="69">
        <f>IF(B40="","",IFERROR(INDEX(Client_List!$B:$B,MATCH(B40,Client_List!$A:$A,0)),"⚠ NOT FOUND"))</f>
        <v/>
      </c>
      <c r="D40" s="43" t="n">
        <v>507</v>
      </c>
      <c r="E40" s="32">
        <f>IF(B40="","",IFERROR(INDEX(Client_List!$C:$C,MATCH(VALUE(B40),Client_List!$A:$A,0)),""))</f>
        <v/>
      </c>
      <c r="F40" s="53">
        <f>IF(B40="","",IFERROR(INDEX(Client_List!$D:$D,MATCH(VALUE(B40),Client_List!$A:$A,0)),""))</f>
        <v/>
      </c>
      <c r="G40" s="53">
        <f>IF(B40="","",IFERROR(INDEX(Client_List!$K:$K,MATCH(VALUE(B40),Client_List!$A:$A,0)),""))</f>
        <v/>
      </c>
      <c r="H40" s="32">
        <f>IF(B40="","",IFERROR(INDEX(Client_List!$J:$J,MATCH(VALUE(B40),Client_List!$A:$A,0)),""))</f>
        <v/>
      </c>
      <c r="I40" s="70">
        <f>IF(B40="","",IFERROR(A40-LOOKUP(2,1/($B$4:$B39=B40),$A$4:$A39),""))</f>
        <v/>
      </c>
      <c r="J40" s="32">
        <f>IF(B40="","",IFERROR(D40/I40,""))</f>
        <v/>
      </c>
      <c r="K40" s="71">
        <f>IF(B40="","",IFERROR(AVERAGEIFS($J$4:$J40,$B$4:$B40,B40,$J$4:$J40,"&gt;"&amp;0),""))</f>
        <v/>
      </c>
      <c r="L40" s="4" t="n"/>
    </row>
    <row r="41" ht="14" customHeight="1" s="72">
      <c r="A41" s="75" t="n">
        <v>46027</v>
      </c>
      <c r="B41" s="76" t="n">
        <v>18054</v>
      </c>
      <c r="C41" s="69">
        <f>IF(B41="","",IFERROR(INDEX(Client_List!$B:$B,MATCH(B41,Client_List!$A:$A,0)),"⚠ NOT FOUND"))</f>
        <v/>
      </c>
      <c r="D41" s="43" t="n">
        <v>1128</v>
      </c>
      <c r="E41" s="32">
        <f>IF(B41="","",IFERROR(INDEX(Client_List!$C:$C,MATCH(VALUE(B41),Client_List!$A:$A,0)),""))</f>
        <v/>
      </c>
      <c r="F41" s="53">
        <f>IF(B41="","",IFERROR(INDEX(Client_List!$D:$D,MATCH(VALUE(B41),Client_List!$A:$A,0)),""))</f>
        <v/>
      </c>
      <c r="G41" s="53">
        <f>IF(B41="","",IFERROR(INDEX(Client_List!$K:$K,MATCH(VALUE(B41),Client_List!$A:$A,0)),""))</f>
        <v/>
      </c>
      <c r="H41" s="32">
        <f>IF(B41="","",IFERROR(INDEX(Client_List!$J:$J,MATCH(VALUE(B41),Client_List!$A:$A,0)),""))</f>
        <v/>
      </c>
      <c r="I41" s="70">
        <f>IF(B41="","",IFERROR(A41-LOOKUP(2,1/($B$4:$B40=B41),$A$4:$A40),""))</f>
        <v/>
      </c>
      <c r="J41" s="32">
        <f>IF(B41="","",IFERROR(D41/I41,""))</f>
        <v/>
      </c>
      <c r="K41" s="71">
        <f>IF(B41="","",IFERROR(AVERAGEIFS($J$4:$J41,$B$4:$B41,B41,$J$4:$J41,"&gt;"&amp;0),""))</f>
        <v/>
      </c>
      <c r="L41" s="7" t="n"/>
    </row>
    <row r="42" ht="14" customHeight="1" s="72">
      <c r="A42" s="75" t="n">
        <v>46027</v>
      </c>
      <c r="B42" s="76" t="n">
        <v>19117</v>
      </c>
      <c r="C42" s="69">
        <f>IF(B42="","",IFERROR(INDEX(Client_List!$B:$B,MATCH(B42,Client_List!$A:$A,0)),"⚠ NOT FOUND"))</f>
        <v/>
      </c>
      <c r="D42" s="43" t="n">
        <v>357</v>
      </c>
      <c r="E42" s="32">
        <f>IF(B42="","",IFERROR(INDEX(Client_List!$C:$C,MATCH(VALUE(B42),Client_List!$A:$A,0)),""))</f>
        <v/>
      </c>
      <c r="F42" s="53">
        <f>IF(B42="","",IFERROR(INDEX(Client_List!$D:$D,MATCH(VALUE(B42),Client_List!$A:$A,0)),""))</f>
        <v/>
      </c>
      <c r="G42" s="53">
        <f>IF(B42="","",IFERROR(INDEX(Client_List!$K:$K,MATCH(VALUE(B42),Client_List!$A:$A,0)),""))</f>
        <v/>
      </c>
      <c r="H42" s="32">
        <f>IF(B42="","",IFERROR(INDEX(Client_List!$J:$J,MATCH(VALUE(B42),Client_List!$A:$A,0)),""))</f>
        <v/>
      </c>
      <c r="I42" s="70">
        <f>IF(B42="","",IFERROR(A42-LOOKUP(2,1/($B$4:$B41=B42),$A$4:$A41),""))</f>
        <v/>
      </c>
      <c r="J42" s="32">
        <f>IF(B42="","",IFERROR(D42/I42,""))</f>
        <v/>
      </c>
      <c r="K42" s="71">
        <f>IF(B42="","",IFERROR(AVERAGEIFS($J$4:$J42,$B$4:$B42,B42,$J$4:$J42,"&gt;"&amp;0),""))</f>
        <v/>
      </c>
      <c r="L42" s="4" t="n"/>
    </row>
    <row r="43" ht="14" customHeight="1" s="72">
      <c r="A43" s="75" t="n">
        <v>46028</v>
      </c>
      <c r="B43" s="76" t="n">
        <v>1001</v>
      </c>
      <c r="C43" s="69">
        <f>IF(B43="","",IFERROR(INDEX(Client_List!$B:$B,MATCH(B43,Client_List!$A:$A,0)),"⚠ NOT FOUND"))</f>
        <v/>
      </c>
      <c r="D43" s="43" t="n">
        <v>814</v>
      </c>
      <c r="E43" s="32">
        <f>IF(B43="","",IFERROR(INDEX(Client_List!$C:$C,MATCH(VALUE(B43),Client_List!$A:$A,0)),""))</f>
        <v/>
      </c>
      <c r="F43" s="53">
        <f>IF(B43="","",IFERROR(INDEX(Client_List!$D:$D,MATCH(VALUE(B43),Client_List!$A:$A,0)),""))</f>
        <v/>
      </c>
      <c r="G43" s="53">
        <f>IF(B43="","",IFERROR(INDEX(Client_List!$K:$K,MATCH(VALUE(B43),Client_List!$A:$A,0)),""))</f>
        <v/>
      </c>
      <c r="H43" s="32">
        <f>IF(B43="","",IFERROR(INDEX(Client_List!$J:$J,MATCH(VALUE(B43),Client_List!$A:$A,0)),""))</f>
        <v/>
      </c>
      <c r="I43" s="70">
        <f>IF(B43="","",IFERROR(A43-LOOKUP(2,1/($B$4:$B42=B43),$A$4:$A42),""))</f>
        <v/>
      </c>
      <c r="J43" s="32">
        <f>IF(B43="","",IFERROR(D43/I43,""))</f>
        <v/>
      </c>
      <c r="K43" s="71">
        <f>IF(B43="","",IFERROR(AVERAGEIFS($J$4:$J43,$B$4:$B43,B43,$J$4:$J43,"&gt;"&amp;0),""))</f>
        <v/>
      </c>
      <c r="L43" s="7" t="n"/>
    </row>
    <row r="44" ht="14" customHeight="1" s="72">
      <c r="A44" s="75" t="n">
        <v>46028</v>
      </c>
      <c r="B44" s="76" t="n">
        <v>1013</v>
      </c>
      <c r="C44" s="69">
        <f>IF(B44="","",IFERROR(INDEX(Client_List!$B:$B,MATCH(B44,Client_List!$A:$A,0)),"⚠ NOT FOUND"))</f>
        <v/>
      </c>
      <c r="D44" s="43" t="n">
        <v>904</v>
      </c>
      <c r="E44" s="32">
        <f>IF(B44="","",IFERROR(INDEX(Client_List!$C:$C,MATCH(VALUE(B44),Client_List!$A:$A,0)),""))</f>
        <v/>
      </c>
      <c r="F44" s="53">
        <f>IF(B44="","",IFERROR(INDEX(Client_List!$D:$D,MATCH(VALUE(B44),Client_List!$A:$A,0)),""))</f>
        <v/>
      </c>
      <c r="G44" s="53">
        <f>IF(B44="","",IFERROR(INDEX(Client_List!$K:$K,MATCH(VALUE(B44),Client_List!$A:$A,0)),""))</f>
        <v/>
      </c>
      <c r="H44" s="32">
        <f>IF(B44="","",IFERROR(INDEX(Client_List!$J:$J,MATCH(VALUE(B44),Client_List!$A:$A,0)),""))</f>
        <v/>
      </c>
      <c r="I44" s="70">
        <f>IF(B44="","",IFERROR(A44-LOOKUP(2,1/($B$4:$B43=B44),$A$4:$A43),""))</f>
        <v/>
      </c>
      <c r="J44" s="32">
        <f>IF(B44="","",IFERROR(D44/I44,""))</f>
        <v/>
      </c>
      <c r="K44" s="71">
        <f>IF(B44="","",IFERROR(AVERAGEIFS($J$4:$J44,$B$4:$B44,B44,$J$4:$J44,"&gt;"&amp;0),""))</f>
        <v/>
      </c>
      <c r="L44" s="4" t="n"/>
    </row>
    <row r="45" ht="14" customHeight="1" s="72">
      <c r="A45" s="75" t="n">
        <v>46028</v>
      </c>
      <c r="B45" s="76" t="n">
        <v>1054</v>
      </c>
      <c r="C45" s="69">
        <f>IF(B45="","",IFERROR(INDEX(Client_List!$B:$B,MATCH(B45,Client_List!$A:$A,0)),"⚠ NOT FOUND"))</f>
        <v/>
      </c>
      <c r="D45" s="43" t="n">
        <v>522</v>
      </c>
      <c r="E45" s="32">
        <f>IF(B45="","",IFERROR(INDEX(Client_List!$C:$C,MATCH(VALUE(B45),Client_List!$A:$A,0)),""))</f>
        <v/>
      </c>
      <c r="F45" s="53">
        <f>IF(B45="","",IFERROR(INDEX(Client_List!$D:$D,MATCH(VALUE(B45),Client_List!$A:$A,0)),""))</f>
        <v/>
      </c>
      <c r="G45" s="53">
        <f>IF(B45="","",IFERROR(INDEX(Client_List!$K:$K,MATCH(VALUE(B45),Client_List!$A:$A,0)),""))</f>
        <v/>
      </c>
      <c r="H45" s="32">
        <f>IF(B45="","",IFERROR(INDEX(Client_List!$J:$J,MATCH(VALUE(B45),Client_List!$A:$A,0)),""))</f>
        <v/>
      </c>
      <c r="I45" s="70">
        <f>IF(B45="","",IFERROR(A45-LOOKUP(2,1/($B$4:$B44=B45),$A$4:$A44),""))</f>
        <v/>
      </c>
      <c r="J45" s="32">
        <f>IF(B45="","",IFERROR(D45/I45,""))</f>
        <v/>
      </c>
      <c r="K45" s="71">
        <f>IF(B45="","",IFERROR(AVERAGEIFS($J$4:$J45,$B$4:$B45,B45,$J$4:$J45,"&gt;"&amp;0),""))</f>
        <v/>
      </c>
      <c r="L45" s="7" t="n"/>
    </row>
    <row r="46" ht="14" customHeight="1" s="72">
      <c r="A46" s="75" t="n">
        <v>46028</v>
      </c>
      <c r="B46" s="76" t="n">
        <v>2017</v>
      </c>
      <c r="C46" s="69">
        <f>IF(B46="","",IFERROR(INDEX(Client_List!$B:$B,MATCH(B46,Client_List!$A:$A,0)),"⚠ NOT FOUND"))</f>
        <v/>
      </c>
      <c r="D46" s="43" t="n">
        <v>433</v>
      </c>
      <c r="E46" s="32">
        <f>IF(B46="","",IFERROR(INDEX(Client_List!$C:$C,MATCH(VALUE(B46),Client_List!$A:$A,0)),""))</f>
        <v/>
      </c>
      <c r="F46" s="53">
        <f>IF(B46="","",IFERROR(INDEX(Client_List!$D:$D,MATCH(VALUE(B46),Client_List!$A:$A,0)),""))</f>
        <v/>
      </c>
      <c r="G46" s="53">
        <f>IF(B46="","",IFERROR(INDEX(Client_List!$K:$K,MATCH(VALUE(B46),Client_List!$A:$A,0)),""))</f>
        <v/>
      </c>
      <c r="H46" s="32">
        <f>IF(B46="","",IFERROR(INDEX(Client_List!$J:$J,MATCH(VALUE(B46),Client_List!$A:$A,0)),""))</f>
        <v/>
      </c>
      <c r="I46" s="70">
        <f>IF(B46="","",IFERROR(A46-LOOKUP(2,1/($B$4:$B45=B46),$A$4:$A45),""))</f>
        <v/>
      </c>
      <c r="J46" s="32">
        <f>IF(B46="","",IFERROR(D46/I46,""))</f>
        <v/>
      </c>
      <c r="K46" s="71">
        <f>IF(B46="","",IFERROR(AVERAGEIFS($J$4:$J46,$B$4:$B46,B46,$J$4:$J46,"&gt;"&amp;0),""))</f>
        <v/>
      </c>
      <c r="L46" s="4" t="n"/>
    </row>
    <row r="47" ht="14" customHeight="1" s="72">
      <c r="A47" s="75" t="n">
        <v>46028</v>
      </c>
      <c r="B47" s="76" t="n">
        <v>2023</v>
      </c>
      <c r="C47" s="69">
        <f>IF(B47="","",IFERROR(INDEX(Client_List!$B:$B,MATCH(B47,Client_List!$A:$A,0)),"⚠ NOT FOUND"))</f>
        <v/>
      </c>
      <c r="D47" s="43" t="n">
        <v>705</v>
      </c>
      <c r="E47" s="32">
        <f>IF(B47="","",IFERROR(INDEX(Client_List!$C:$C,MATCH(VALUE(B47),Client_List!$A:$A,0)),""))</f>
        <v/>
      </c>
      <c r="F47" s="53">
        <f>IF(B47="","",IFERROR(INDEX(Client_List!$D:$D,MATCH(VALUE(B47),Client_List!$A:$A,0)),""))</f>
        <v/>
      </c>
      <c r="G47" s="53">
        <f>IF(B47="","",IFERROR(INDEX(Client_List!$K:$K,MATCH(VALUE(B47),Client_List!$A:$A,0)),""))</f>
        <v/>
      </c>
      <c r="H47" s="32">
        <f>IF(B47="","",IFERROR(INDEX(Client_List!$J:$J,MATCH(VALUE(B47),Client_List!$A:$A,0)),""))</f>
        <v/>
      </c>
      <c r="I47" s="70">
        <f>IF(B47="","",IFERROR(A47-LOOKUP(2,1/($B$4:$B46=B47),$A$4:$A46),""))</f>
        <v/>
      </c>
      <c r="J47" s="32">
        <f>IF(B47="","",IFERROR(D47/I47,""))</f>
        <v/>
      </c>
      <c r="K47" s="71">
        <f>IF(B47="","",IFERROR(AVERAGEIFS($J$4:$J47,$B$4:$B47,B47,$J$4:$J47,"&gt;"&amp;0),""))</f>
        <v/>
      </c>
      <c r="L47" s="7" t="n"/>
    </row>
    <row r="48" ht="14" customHeight="1" s="72">
      <c r="A48" s="75" t="n">
        <v>46028</v>
      </c>
      <c r="B48" s="76" t="n">
        <v>4025</v>
      </c>
      <c r="C48" s="69">
        <f>IF(B48="","",IFERROR(INDEX(Client_List!$B:$B,MATCH(B48,Client_List!$A:$A,0)),"⚠ NOT FOUND"))</f>
        <v/>
      </c>
      <c r="D48" s="43" t="n">
        <v>863</v>
      </c>
      <c r="E48" s="32">
        <f>IF(B48="","",IFERROR(INDEX(Client_List!$C:$C,MATCH(VALUE(B48),Client_List!$A:$A,0)),""))</f>
        <v/>
      </c>
      <c r="F48" s="53">
        <f>IF(B48="","",IFERROR(INDEX(Client_List!$D:$D,MATCH(VALUE(B48),Client_List!$A:$A,0)),""))</f>
        <v/>
      </c>
      <c r="G48" s="53">
        <f>IF(B48="","",IFERROR(INDEX(Client_List!$K:$K,MATCH(VALUE(B48),Client_List!$A:$A,0)),""))</f>
        <v/>
      </c>
      <c r="H48" s="32">
        <f>IF(B48="","",IFERROR(INDEX(Client_List!$J:$J,MATCH(VALUE(B48),Client_List!$A:$A,0)),""))</f>
        <v/>
      </c>
      <c r="I48" s="70">
        <f>IF(B48="","",IFERROR(A48-LOOKUP(2,1/($B$4:$B47=B48),$A$4:$A47),""))</f>
        <v/>
      </c>
      <c r="J48" s="32">
        <f>IF(B48="","",IFERROR(D48/I48,""))</f>
        <v/>
      </c>
      <c r="K48" s="71">
        <f>IF(B48="","",IFERROR(AVERAGEIFS($J$4:$J48,$B$4:$B48,B48,$J$4:$J48,"&gt;"&amp;0),""))</f>
        <v/>
      </c>
      <c r="L48" s="4" t="n"/>
    </row>
    <row r="49" ht="14" customHeight="1" s="72">
      <c r="A49" s="75" t="n">
        <v>46028</v>
      </c>
      <c r="B49" s="76" t="n">
        <v>5018</v>
      </c>
      <c r="C49" s="69">
        <f>IF(B49="","",IFERROR(INDEX(Client_List!$B:$B,MATCH(B49,Client_List!$A:$A,0)),"⚠ NOT FOUND"))</f>
        <v/>
      </c>
      <c r="D49" s="43" t="n">
        <v>286</v>
      </c>
      <c r="E49" s="32">
        <f>IF(B49="","",IFERROR(INDEX(Client_List!$C:$C,MATCH(VALUE(B49),Client_List!$A:$A,0)),""))</f>
        <v/>
      </c>
      <c r="F49" s="53">
        <f>IF(B49="","",IFERROR(INDEX(Client_List!$D:$D,MATCH(VALUE(B49),Client_List!$A:$A,0)),""))</f>
        <v/>
      </c>
      <c r="G49" s="53">
        <f>IF(B49="","",IFERROR(INDEX(Client_List!$K:$K,MATCH(VALUE(B49),Client_List!$A:$A,0)),""))</f>
        <v/>
      </c>
      <c r="H49" s="32">
        <f>IF(B49="","",IFERROR(INDEX(Client_List!$J:$J,MATCH(VALUE(B49),Client_List!$A:$A,0)),""))</f>
        <v/>
      </c>
      <c r="I49" s="70">
        <f>IF(B49="","",IFERROR(A49-LOOKUP(2,1/($B$4:$B48=B49),$A$4:$A48),""))</f>
        <v/>
      </c>
      <c r="J49" s="32">
        <f>IF(B49="","",IFERROR(D49/I49,""))</f>
        <v/>
      </c>
      <c r="K49" s="71">
        <f>IF(B49="","",IFERROR(AVERAGEIFS($J$4:$J49,$B$4:$B49,B49,$J$4:$J49,"&gt;"&amp;0),""))</f>
        <v/>
      </c>
      <c r="L49" s="7" t="n"/>
    </row>
    <row r="50" ht="14" customHeight="1" s="72">
      <c r="A50" s="75" t="n">
        <v>46028</v>
      </c>
      <c r="B50" s="76" t="n">
        <v>6109</v>
      </c>
      <c r="C50" s="69">
        <f>IF(B50="","",IFERROR(INDEX(Client_List!$B:$B,MATCH(B50,Client_List!$A:$A,0)),"⚠ NOT FOUND"))</f>
        <v/>
      </c>
      <c r="D50" s="43" t="n">
        <v>445</v>
      </c>
      <c r="E50" s="32">
        <f>IF(B50="","",IFERROR(INDEX(Client_List!$C:$C,MATCH(VALUE(B50),Client_List!$A:$A,0)),""))</f>
        <v/>
      </c>
      <c r="F50" s="53">
        <f>IF(B50="","",IFERROR(INDEX(Client_List!$D:$D,MATCH(VALUE(B50),Client_List!$A:$A,0)),""))</f>
        <v/>
      </c>
      <c r="G50" s="53">
        <f>IF(B50="","",IFERROR(INDEX(Client_List!$K:$K,MATCH(VALUE(B50),Client_List!$A:$A,0)),""))</f>
        <v/>
      </c>
      <c r="H50" s="32">
        <f>IF(B50="","",IFERROR(INDEX(Client_List!$J:$J,MATCH(VALUE(B50),Client_List!$A:$A,0)),""))</f>
        <v/>
      </c>
      <c r="I50" s="70">
        <f>IF(B50="","",IFERROR(A50-LOOKUP(2,1/($B$4:$B49=B50),$A$4:$A49),""))</f>
        <v/>
      </c>
      <c r="J50" s="32">
        <f>IF(B50="","",IFERROR(D50/I50,""))</f>
        <v/>
      </c>
      <c r="K50" s="71">
        <f>IF(B50="","",IFERROR(AVERAGEIFS($J$4:$J50,$B$4:$B50,B50,$J$4:$J50,"&gt;"&amp;0),""))</f>
        <v/>
      </c>
      <c r="L50" s="4" t="n"/>
    </row>
    <row r="51" ht="14" customHeight="1" s="72">
      <c r="A51" s="75" t="n">
        <v>46028</v>
      </c>
      <c r="B51" s="76" t="n">
        <v>19022</v>
      </c>
      <c r="C51" s="69">
        <f>IF(B51="","",IFERROR(INDEX(Client_List!$B:$B,MATCH(B51,Client_List!$A:$A,0)),"⚠ NOT FOUND"))</f>
        <v/>
      </c>
      <c r="D51" s="43" t="n">
        <v>920</v>
      </c>
      <c r="E51" s="32">
        <f>IF(B51="","",IFERROR(INDEX(Client_List!$C:$C,MATCH(VALUE(B51),Client_List!$A:$A,0)),""))</f>
        <v/>
      </c>
      <c r="F51" s="53">
        <f>IF(B51="","",IFERROR(INDEX(Client_List!$D:$D,MATCH(VALUE(B51),Client_List!$A:$A,0)),""))</f>
        <v/>
      </c>
      <c r="G51" s="53">
        <f>IF(B51="","",IFERROR(INDEX(Client_List!$K:$K,MATCH(VALUE(B51),Client_List!$A:$A,0)),""))</f>
        <v/>
      </c>
      <c r="H51" s="32">
        <f>IF(B51="","",IFERROR(INDEX(Client_List!$J:$J,MATCH(VALUE(B51),Client_List!$A:$A,0)),""))</f>
        <v/>
      </c>
      <c r="I51" s="70">
        <f>IF(B51="","",IFERROR(A51-LOOKUP(2,1/($B$4:$B50=B51),$A$4:$A50),""))</f>
        <v/>
      </c>
      <c r="J51" s="32">
        <f>IF(B51="","",IFERROR(D51/I51,""))</f>
        <v/>
      </c>
      <c r="K51" s="71">
        <f>IF(B51="","",IFERROR(AVERAGEIFS($J$4:$J51,$B$4:$B51,B51,$J$4:$J51,"&gt;"&amp;0),""))</f>
        <v/>
      </c>
      <c r="L51" s="7" t="n"/>
    </row>
    <row r="52" ht="14" customHeight="1" s="72">
      <c r="A52" s="75" t="n">
        <v>46028</v>
      </c>
      <c r="B52" s="76" t="n">
        <v>20014</v>
      </c>
      <c r="C52" s="69">
        <f>IF(B52="","",IFERROR(INDEX(Client_List!$B:$B,MATCH(B52,Client_List!$A:$A,0)),"⚠ NOT FOUND"))</f>
        <v/>
      </c>
      <c r="D52" s="43" t="n">
        <v>925</v>
      </c>
      <c r="E52" s="32">
        <f>IF(B52="","",IFERROR(INDEX(Client_List!$C:$C,MATCH(VALUE(B52),Client_List!$A:$A,0)),""))</f>
        <v/>
      </c>
      <c r="F52" s="53">
        <f>IF(B52="","",IFERROR(INDEX(Client_List!$D:$D,MATCH(VALUE(B52),Client_List!$A:$A,0)),""))</f>
        <v/>
      </c>
      <c r="G52" s="53">
        <f>IF(B52="","",IFERROR(INDEX(Client_List!$K:$K,MATCH(VALUE(B52),Client_List!$A:$A,0)),""))</f>
        <v/>
      </c>
      <c r="H52" s="32">
        <f>IF(B52="","",IFERROR(INDEX(Client_List!$J:$J,MATCH(VALUE(B52),Client_List!$A:$A,0)),""))</f>
        <v/>
      </c>
      <c r="I52" s="70">
        <f>IF(B52="","",IFERROR(A52-LOOKUP(2,1/($B$4:$B51=B52),$A$4:$A51),""))</f>
        <v/>
      </c>
      <c r="J52" s="32">
        <f>IF(B52="","",IFERROR(D52/I52,""))</f>
        <v/>
      </c>
      <c r="K52" s="71">
        <f>IF(B52="","",IFERROR(AVERAGEIFS($J$4:$J52,$B$4:$B52,B52,$J$4:$J52,"&gt;"&amp;0),""))</f>
        <v/>
      </c>
      <c r="L52" s="4" t="n"/>
    </row>
    <row r="53" ht="14" customHeight="1" s="72">
      <c r="A53" s="75" t="n">
        <v>46028</v>
      </c>
      <c r="B53" s="76" t="n">
        <v>20093</v>
      </c>
      <c r="C53" s="69">
        <f>IF(B53="","",IFERROR(INDEX(Client_List!$B:$B,MATCH(B53,Client_List!$A:$A,0)),"⚠ NOT FOUND"))</f>
        <v/>
      </c>
      <c r="D53" s="43" t="n">
        <v>987</v>
      </c>
      <c r="E53" s="32">
        <f>IF(B53="","",IFERROR(INDEX(Client_List!$C:$C,MATCH(VALUE(B53),Client_List!$A:$A,0)),""))</f>
        <v/>
      </c>
      <c r="F53" s="53">
        <f>IF(B53="","",IFERROR(INDEX(Client_List!$D:$D,MATCH(VALUE(B53),Client_List!$A:$A,0)),""))</f>
        <v/>
      </c>
      <c r="G53" s="53">
        <f>IF(B53="","",IFERROR(INDEX(Client_List!$K:$K,MATCH(VALUE(B53),Client_List!$A:$A,0)),""))</f>
        <v/>
      </c>
      <c r="H53" s="32">
        <f>IF(B53="","",IFERROR(INDEX(Client_List!$J:$J,MATCH(VALUE(B53),Client_List!$A:$A,0)),""))</f>
        <v/>
      </c>
      <c r="I53" s="70">
        <f>IF(B53="","",IFERROR(A53-LOOKUP(2,1/($B$4:$B52=B53),$A$4:$A52),""))</f>
        <v/>
      </c>
      <c r="J53" s="32">
        <f>IF(B53="","",IFERROR(D53/I53,""))</f>
        <v/>
      </c>
      <c r="K53" s="71">
        <f>IF(B53="","",IFERROR(AVERAGEIFS($J$4:$J53,$B$4:$B53,B53,$J$4:$J53,"&gt;"&amp;0),""))</f>
        <v/>
      </c>
      <c r="L53" s="7" t="n"/>
    </row>
    <row r="54" ht="14" customHeight="1" s="72">
      <c r="A54" s="75" t="n">
        <v>46029</v>
      </c>
      <c r="B54" s="76" t="n">
        <v>1063</v>
      </c>
      <c r="C54" s="69">
        <f>IF(B54="","",IFERROR(INDEX(Client_List!$B:$B,MATCH(B54,Client_List!$A:$A,0)),"⚠ NOT FOUND"))</f>
        <v/>
      </c>
      <c r="D54" s="43" t="n">
        <v>853</v>
      </c>
      <c r="E54" s="32">
        <f>IF(B54="","",IFERROR(INDEX(Client_List!$C:$C,MATCH(VALUE(B54),Client_List!$A:$A,0)),""))</f>
        <v/>
      </c>
      <c r="F54" s="53">
        <f>IF(B54="","",IFERROR(INDEX(Client_List!$D:$D,MATCH(VALUE(B54),Client_List!$A:$A,0)),""))</f>
        <v/>
      </c>
      <c r="G54" s="53">
        <f>IF(B54="","",IFERROR(INDEX(Client_List!$K:$K,MATCH(VALUE(B54),Client_List!$A:$A,0)),""))</f>
        <v/>
      </c>
      <c r="H54" s="32">
        <f>IF(B54="","",IFERROR(INDEX(Client_List!$J:$J,MATCH(VALUE(B54),Client_List!$A:$A,0)),""))</f>
        <v/>
      </c>
      <c r="I54" s="70">
        <f>IF(B54="","",IFERROR(A54-LOOKUP(2,1/($B$4:$B53=B54),$A$4:$A53),""))</f>
        <v/>
      </c>
      <c r="J54" s="32">
        <f>IF(B54="","",IFERROR(D54/I54,""))</f>
        <v/>
      </c>
      <c r="K54" s="71">
        <f>IF(B54="","",IFERROR(AVERAGEIFS($J$4:$J54,$B$4:$B54,B54,$J$4:$J54,"&gt;"&amp;0),""))</f>
        <v/>
      </c>
      <c r="L54" s="4" t="n"/>
    </row>
    <row r="55" ht="14" customHeight="1" s="72">
      <c r="A55" s="75" t="n">
        <v>46029</v>
      </c>
      <c r="B55" s="76" t="n">
        <v>1083</v>
      </c>
      <c r="C55" s="69">
        <f>IF(B55="","",IFERROR(INDEX(Client_List!$B:$B,MATCH(B55,Client_List!$A:$A,0)),"⚠ NOT FOUND"))</f>
        <v/>
      </c>
      <c r="D55" s="43" t="n">
        <v>181</v>
      </c>
      <c r="E55" s="32">
        <f>IF(B55="","",IFERROR(INDEX(Client_List!$C:$C,MATCH(VALUE(B55),Client_List!$A:$A,0)),""))</f>
        <v/>
      </c>
      <c r="F55" s="53">
        <f>IF(B55="","",IFERROR(INDEX(Client_List!$D:$D,MATCH(VALUE(B55),Client_List!$A:$A,0)),""))</f>
        <v/>
      </c>
      <c r="G55" s="53">
        <f>IF(B55="","",IFERROR(INDEX(Client_List!$K:$K,MATCH(VALUE(B55),Client_List!$A:$A,0)),""))</f>
        <v/>
      </c>
      <c r="H55" s="32">
        <f>IF(B55="","",IFERROR(INDEX(Client_List!$J:$J,MATCH(VALUE(B55),Client_List!$A:$A,0)),""))</f>
        <v/>
      </c>
      <c r="I55" s="70">
        <f>IF(B55="","",IFERROR(A55-LOOKUP(2,1/($B$4:$B54=B55),$A$4:$A54),""))</f>
        <v/>
      </c>
      <c r="J55" s="32">
        <f>IF(B55="","",IFERROR(D55/I55,""))</f>
        <v/>
      </c>
      <c r="K55" s="71">
        <f>IF(B55="","",IFERROR(AVERAGEIFS($J$4:$J55,$B$4:$B55,B55,$J$4:$J55,"&gt;"&amp;0),""))</f>
        <v/>
      </c>
      <c r="L55" s="7" t="n"/>
    </row>
    <row r="56" ht="14" customHeight="1" s="72">
      <c r="A56" s="75" t="n">
        <v>46029</v>
      </c>
      <c r="B56" s="76" t="n">
        <v>2021</v>
      </c>
      <c r="C56" s="69">
        <f>IF(B56="","",IFERROR(INDEX(Client_List!$B:$B,MATCH(B56,Client_List!$A:$A,0)),"⚠ NOT FOUND"))</f>
        <v/>
      </c>
      <c r="D56" s="43" t="n">
        <v>511</v>
      </c>
      <c r="E56" s="32">
        <f>IF(B56="","",IFERROR(INDEX(Client_List!$C:$C,MATCH(VALUE(B56),Client_List!$A:$A,0)),""))</f>
        <v/>
      </c>
      <c r="F56" s="53">
        <f>IF(B56="","",IFERROR(INDEX(Client_List!$D:$D,MATCH(VALUE(B56),Client_List!$A:$A,0)),""))</f>
        <v/>
      </c>
      <c r="G56" s="53">
        <f>IF(B56="","",IFERROR(INDEX(Client_List!$K:$K,MATCH(VALUE(B56),Client_List!$A:$A,0)),""))</f>
        <v/>
      </c>
      <c r="H56" s="32">
        <f>IF(B56="","",IFERROR(INDEX(Client_List!$J:$J,MATCH(VALUE(B56),Client_List!$A:$A,0)),""))</f>
        <v/>
      </c>
      <c r="I56" s="70">
        <f>IF(B56="","",IFERROR(A56-LOOKUP(2,1/($B$4:$B55=B56),$A$4:$A55),""))</f>
        <v/>
      </c>
      <c r="J56" s="32">
        <f>IF(B56="","",IFERROR(D56/I56,""))</f>
        <v/>
      </c>
      <c r="K56" s="71">
        <f>IF(B56="","",IFERROR(AVERAGEIFS($J$4:$J56,$B$4:$B56,B56,$J$4:$J56,"&gt;"&amp;0),""))</f>
        <v/>
      </c>
      <c r="L56" s="4" t="n"/>
    </row>
    <row r="57" ht="14" customHeight="1" s="72">
      <c r="A57" s="75" t="n">
        <v>46029</v>
      </c>
      <c r="B57" s="76" t="n">
        <v>2045</v>
      </c>
      <c r="C57" s="69">
        <f>IF(B57="","",IFERROR(INDEX(Client_List!$B:$B,MATCH(B57,Client_List!$A:$A,0)),"⚠ NOT FOUND"))</f>
        <v/>
      </c>
      <c r="D57" s="43" t="n">
        <v>232</v>
      </c>
      <c r="E57" s="32">
        <f>IF(B57="","",IFERROR(INDEX(Client_List!$C:$C,MATCH(VALUE(B57),Client_List!$A:$A,0)),""))</f>
        <v/>
      </c>
      <c r="F57" s="53">
        <f>IF(B57="","",IFERROR(INDEX(Client_List!$D:$D,MATCH(VALUE(B57),Client_List!$A:$A,0)),""))</f>
        <v/>
      </c>
      <c r="G57" s="53">
        <f>IF(B57="","",IFERROR(INDEX(Client_List!$K:$K,MATCH(VALUE(B57),Client_List!$A:$A,0)),""))</f>
        <v/>
      </c>
      <c r="H57" s="32">
        <f>IF(B57="","",IFERROR(INDEX(Client_List!$J:$J,MATCH(VALUE(B57),Client_List!$A:$A,0)),""))</f>
        <v/>
      </c>
      <c r="I57" s="70">
        <f>IF(B57="","",IFERROR(A57-LOOKUP(2,1/($B$4:$B56=B57),$A$4:$A56),""))</f>
        <v/>
      </c>
      <c r="J57" s="32">
        <f>IF(B57="","",IFERROR(D57/I57,""))</f>
        <v/>
      </c>
      <c r="K57" s="71">
        <f>IF(B57="","",IFERROR(AVERAGEIFS($J$4:$J57,$B$4:$B57,B57,$J$4:$J57,"&gt;"&amp;0),""))</f>
        <v/>
      </c>
      <c r="L57" s="7" t="n"/>
    </row>
    <row r="58" ht="14" customHeight="1" s="72">
      <c r="A58" s="75" t="n">
        <v>46029</v>
      </c>
      <c r="B58" s="76" t="n">
        <v>2073</v>
      </c>
      <c r="C58" s="69">
        <f>IF(B58="","",IFERROR(INDEX(Client_List!$B:$B,MATCH(B58,Client_List!$A:$A,0)),"⚠ NOT FOUND"))</f>
        <v/>
      </c>
      <c r="D58" s="43" t="n">
        <v>315</v>
      </c>
      <c r="E58" s="32">
        <f>IF(B58="","",IFERROR(INDEX(Client_List!$C:$C,MATCH(VALUE(B58),Client_List!$A:$A,0)),""))</f>
        <v/>
      </c>
      <c r="F58" s="53">
        <f>IF(B58="","",IFERROR(INDEX(Client_List!$D:$D,MATCH(VALUE(B58),Client_List!$A:$A,0)),""))</f>
        <v/>
      </c>
      <c r="G58" s="53">
        <f>IF(B58="","",IFERROR(INDEX(Client_List!$K:$K,MATCH(VALUE(B58),Client_List!$A:$A,0)),""))</f>
        <v/>
      </c>
      <c r="H58" s="32">
        <f>IF(B58="","",IFERROR(INDEX(Client_List!$J:$J,MATCH(VALUE(B58),Client_List!$A:$A,0)),""))</f>
        <v/>
      </c>
      <c r="I58" s="70">
        <f>IF(B58="","",IFERROR(A58-LOOKUP(2,1/($B$4:$B57=B58),$A$4:$A57),""))</f>
        <v/>
      </c>
      <c r="J58" s="32">
        <f>IF(B58="","",IFERROR(D58/I58,""))</f>
        <v/>
      </c>
      <c r="K58" s="71">
        <f>IF(B58="","",IFERROR(AVERAGEIFS($J$4:$J58,$B$4:$B58,B58,$J$4:$J58,"&gt;"&amp;0),""))</f>
        <v/>
      </c>
      <c r="L58" s="4" t="n"/>
    </row>
    <row r="59" ht="14" customHeight="1" s="72">
      <c r="A59" s="75" t="n">
        <v>46029</v>
      </c>
      <c r="B59" s="76" t="n">
        <v>4029</v>
      </c>
      <c r="C59" s="69">
        <f>IF(B59="","",IFERROR(INDEX(Client_List!$B:$B,MATCH(B59,Client_List!$A:$A,0)),"⚠ NOT FOUND"))</f>
        <v/>
      </c>
      <c r="D59" s="43" t="n">
        <v>1900</v>
      </c>
      <c r="E59" s="32">
        <f>IF(B59="","",IFERROR(INDEX(Client_List!$C:$C,MATCH(VALUE(B59),Client_List!$A:$A,0)),""))</f>
        <v/>
      </c>
      <c r="F59" s="53">
        <f>IF(B59="","",IFERROR(INDEX(Client_List!$D:$D,MATCH(VALUE(B59),Client_List!$A:$A,0)),""))</f>
        <v/>
      </c>
      <c r="G59" s="53">
        <f>IF(B59="","",IFERROR(INDEX(Client_List!$K:$K,MATCH(VALUE(B59),Client_List!$A:$A,0)),""))</f>
        <v/>
      </c>
      <c r="H59" s="32">
        <f>IF(B59="","",IFERROR(INDEX(Client_List!$J:$J,MATCH(VALUE(B59),Client_List!$A:$A,0)),""))</f>
        <v/>
      </c>
      <c r="I59" s="70">
        <f>IF(B59="","",IFERROR(A59-LOOKUP(2,1/($B$4:$B58=B59),$A$4:$A58),""))</f>
        <v/>
      </c>
      <c r="J59" s="32">
        <f>IF(B59="","",IFERROR(D59/I59,""))</f>
        <v/>
      </c>
      <c r="K59" s="71">
        <f>IF(B59="","",IFERROR(AVERAGEIFS($J$4:$J59,$B$4:$B59,B59,$J$4:$J59,"&gt;"&amp;0),""))</f>
        <v/>
      </c>
      <c r="L59" s="7" t="n"/>
    </row>
    <row r="60" ht="14" customHeight="1" s="72">
      <c r="A60" s="75" t="n">
        <v>46029</v>
      </c>
      <c r="B60" s="76" t="n">
        <v>7002</v>
      </c>
      <c r="C60" s="69">
        <f>IF(B60="","",IFERROR(INDEX(Client_List!$B:$B,MATCH(B60,Client_List!$A:$A,0)),"⚠ NOT FOUND"))</f>
        <v/>
      </c>
      <c r="D60" s="43" t="n">
        <v>318</v>
      </c>
      <c r="E60" s="32">
        <f>IF(B60="","",IFERROR(INDEX(Client_List!$C:$C,MATCH(VALUE(B60),Client_List!$A:$A,0)),""))</f>
        <v/>
      </c>
      <c r="F60" s="53">
        <f>IF(B60="","",IFERROR(INDEX(Client_List!$D:$D,MATCH(VALUE(B60),Client_List!$A:$A,0)),""))</f>
        <v/>
      </c>
      <c r="G60" s="53">
        <f>IF(B60="","",IFERROR(INDEX(Client_List!$K:$K,MATCH(VALUE(B60),Client_List!$A:$A,0)),""))</f>
        <v/>
      </c>
      <c r="H60" s="32">
        <f>IF(B60="","",IFERROR(INDEX(Client_List!$J:$J,MATCH(VALUE(B60),Client_List!$A:$A,0)),""))</f>
        <v/>
      </c>
      <c r="I60" s="70">
        <f>IF(B60="","",IFERROR(A60-LOOKUP(2,1/($B$4:$B59=B60),$A$4:$A59),""))</f>
        <v/>
      </c>
      <c r="J60" s="32">
        <f>IF(B60="","",IFERROR(D60/I60,""))</f>
        <v/>
      </c>
      <c r="K60" s="71">
        <f>IF(B60="","",IFERROR(AVERAGEIFS($J$4:$J60,$B$4:$B60,B60,$J$4:$J60,"&gt;"&amp;0),""))</f>
        <v/>
      </c>
      <c r="L60" s="4" t="n"/>
    </row>
    <row r="61" ht="14" customHeight="1" s="72">
      <c r="A61" s="75" t="n">
        <v>46029</v>
      </c>
      <c r="B61" s="76" t="n">
        <v>8034</v>
      </c>
      <c r="C61" s="69">
        <f>IF(B61="","",IFERROR(INDEX(Client_List!$B:$B,MATCH(B61,Client_List!$A:$A,0)),"⚠ NOT FOUND"))</f>
        <v/>
      </c>
      <c r="D61" s="43" t="n">
        <v>684</v>
      </c>
      <c r="E61" s="32">
        <f>IF(B61="","",IFERROR(INDEX(Client_List!$C:$C,MATCH(VALUE(B61),Client_List!$A:$A,0)),""))</f>
        <v/>
      </c>
      <c r="F61" s="53">
        <f>IF(B61="","",IFERROR(INDEX(Client_List!$D:$D,MATCH(VALUE(B61),Client_List!$A:$A,0)),""))</f>
        <v/>
      </c>
      <c r="G61" s="53">
        <f>IF(B61="","",IFERROR(INDEX(Client_List!$K:$K,MATCH(VALUE(B61),Client_List!$A:$A,0)),""))</f>
        <v/>
      </c>
      <c r="H61" s="32">
        <f>IF(B61="","",IFERROR(INDEX(Client_List!$J:$J,MATCH(VALUE(B61),Client_List!$A:$A,0)),""))</f>
        <v/>
      </c>
      <c r="I61" s="70">
        <f>IF(B61="","",IFERROR(A61-LOOKUP(2,1/($B$4:$B60=B61),$A$4:$A60),""))</f>
        <v/>
      </c>
      <c r="J61" s="32">
        <f>IF(B61="","",IFERROR(D61/I61,""))</f>
        <v/>
      </c>
      <c r="K61" s="71">
        <f>IF(B61="","",IFERROR(AVERAGEIFS($J$4:$J61,$B$4:$B61,B61,$J$4:$J61,"&gt;"&amp;0),""))</f>
        <v/>
      </c>
      <c r="L61" s="7" t="n"/>
    </row>
    <row r="62" ht="14" customHeight="1" s="72">
      <c r="A62" s="75" t="n">
        <v>46029</v>
      </c>
      <c r="B62" s="76" t="n">
        <v>13011</v>
      </c>
      <c r="C62" s="69">
        <f>IF(B62="","",IFERROR(INDEX(Client_List!$B:$B,MATCH(B62,Client_List!$A:$A,0)),"⚠ NOT FOUND"))</f>
        <v/>
      </c>
      <c r="D62" s="43" t="n">
        <v>686</v>
      </c>
      <c r="E62" s="32">
        <f>IF(B62="","",IFERROR(INDEX(Client_List!$C:$C,MATCH(VALUE(B62),Client_List!$A:$A,0)),""))</f>
        <v/>
      </c>
      <c r="F62" s="53">
        <f>IF(B62="","",IFERROR(INDEX(Client_List!$D:$D,MATCH(VALUE(B62),Client_List!$A:$A,0)),""))</f>
        <v/>
      </c>
      <c r="G62" s="53">
        <f>IF(B62="","",IFERROR(INDEX(Client_List!$K:$K,MATCH(VALUE(B62),Client_List!$A:$A,0)),""))</f>
        <v/>
      </c>
      <c r="H62" s="32">
        <f>IF(B62="","",IFERROR(INDEX(Client_List!$J:$J,MATCH(VALUE(B62),Client_List!$A:$A,0)),""))</f>
        <v/>
      </c>
      <c r="I62" s="70">
        <f>IF(B62="","",IFERROR(A62-LOOKUP(2,1/($B$4:$B61=B62),$A$4:$A61),""))</f>
        <v/>
      </c>
      <c r="J62" s="32">
        <f>IF(B62="","",IFERROR(D62/I62,""))</f>
        <v/>
      </c>
      <c r="K62" s="71">
        <f>IF(B62="","",IFERROR(AVERAGEIFS($J$4:$J62,$B$4:$B62,B62,$J$4:$J62,"&gt;"&amp;0),""))</f>
        <v/>
      </c>
      <c r="L62" s="4" t="n"/>
    </row>
    <row r="63" ht="14" customHeight="1" s="72">
      <c r="A63" s="75" t="n">
        <v>46029</v>
      </c>
      <c r="B63" s="76" t="n">
        <v>15000</v>
      </c>
      <c r="C63" s="69">
        <f>IF(B63="","",IFERROR(INDEX(Client_List!$B:$B,MATCH(B63,Client_List!$A:$A,0)),"⚠ NOT FOUND"))</f>
        <v/>
      </c>
      <c r="D63" s="43" t="n">
        <v>823</v>
      </c>
      <c r="E63" s="32">
        <f>IF(B63="","",IFERROR(INDEX(Client_List!$C:$C,MATCH(VALUE(B63),Client_List!$A:$A,0)),""))</f>
        <v/>
      </c>
      <c r="F63" s="53">
        <f>IF(B63="","",IFERROR(INDEX(Client_List!$D:$D,MATCH(VALUE(B63),Client_List!$A:$A,0)),""))</f>
        <v/>
      </c>
      <c r="G63" s="53">
        <f>IF(B63="","",IFERROR(INDEX(Client_List!$K:$K,MATCH(VALUE(B63),Client_List!$A:$A,0)),""))</f>
        <v/>
      </c>
      <c r="H63" s="32">
        <f>IF(B63="","",IFERROR(INDEX(Client_List!$J:$J,MATCH(VALUE(B63),Client_List!$A:$A,0)),""))</f>
        <v/>
      </c>
      <c r="I63" s="70">
        <f>IF(B63="","",IFERROR(A63-LOOKUP(2,1/($B$4:$B62=B63),$A$4:$A62),""))</f>
        <v/>
      </c>
      <c r="J63" s="32">
        <f>IF(B63="","",IFERROR(D63/I63,""))</f>
        <v/>
      </c>
      <c r="K63" s="71">
        <f>IF(B63="","",IFERROR(AVERAGEIFS($J$4:$J63,$B$4:$B63,B63,$J$4:$J63,"&gt;"&amp;0),""))</f>
        <v/>
      </c>
      <c r="L63" s="7" t="n"/>
    </row>
    <row r="64" ht="14" customHeight="1" s="72">
      <c r="A64" s="75" t="n">
        <v>46029</v>
      </c>
      <c r="B64" s="76" t="n">
        <v>15009</v>
      </c>
      <c r="C64" s="69">
        <f>IF(B64="","",IFERROR(INDEX(Client_List!$B:$B,MATCH(B64,Client_List!$A:$A,0)),"⚠ NOT FOUND"))</f>
        <v/>
      </c>
      <c r="D64" s="43" t="n">
        <v>434</v>
      </c>
      <c r="E64" s="32">
        <f>IF(B64="","",IFERROR(INDEX(Client_List!$C:$C,MATCH(VALUE(B64),Client_List!$A:$A,0)),""))</f>
        <v/>
      </c>
      <c r="F64" s="53">
        <f>IF(B64="","",IFERROR(INDEX(Client_List!$D:$D,MATCH(VALUE(B64),Client_List!$A:$A,0)),""))</f>
        <v/>
      </c>
      <c r="G64" s="53">
        <f>IF(B64="","",IFERROR(INDEX(Client_List!$K:$K,MATCH(VALUE(B64),Client_List!$A:$A,0)),""))</f>
        <v/>
      </c>
      <c r="H64" s="32">
        <f>IF(B64="","",IFERROR(INDEX(Client_List!$J:$J,MATCH(VALUE(B64),Client_List!$A:$A,0)),""))</f>
        <v/>
      </c>
      <c r="I64" s="70">
        <f>IF(B64="","",IFERROR(A64-LOOKUP(2,1/($B$4:$B63=B64),$A$4:$A63),""))</f>
        <v/>
      </c>
      <c r="J64" s="32">
        <f>IF(B64="","",IFERROR(D64/I64,""))</f>
        <v/>
      </c>
      <c r="K64" s="71">
        <f>IF(B64="","",IFERROR(AVERAGEIFS($J$4:$J64,$B$4:$B64,B64,$J$4:$J64,"&gt;"&amp;0),""))</f>
        <v/>
      </c>
      <c r="L64" s="4" t="n"/>
    </row>
    <row r="65" ht="14" customHeight="1" s="72">
      <c r="A65" s="75" t="n">
        <v>46029</v>
      </c>
      <c r="B65" s="76" t="n">
        <v>15015</v>
      </c>
      <c r="C65" s="69">
        <f>IF(B65="","",IFERROR(INDEX(Client_List!$B:$B,MATCH(B65,Client_List!$A:$A,0)),"⚠ NOT FOUND"))</f>
        <v/>
      </c>
      <c r="D65" s="43" t="n">
        <v>441</v>
      </c>
      <c r="E65" s="32">
        <f>IF(B65="","",IFERROR(INDEX(Client_List!$C:$C,MATCH(VALUE(B65),Client_List!$A:$A,0)),""))</f>
        <v/>
      </c>
      <c r="F65" s="53">
        <f>IF(B65="","",IFERROR(INDEX(Client_List!$D:$D,MATCH(VALUE(B65),Client_List!$A:$A,0)),""))</f>
        <v/>
      </c>
      <c r="G65" s="53">
        <f>IF(B65="","",IFERROR(INDEX(Client_List!$K:$K,MATCH(VALUE(B65),Client_List!$A:$A,0)),""))</f>
        <v/>
      </c>
      <c r="H65" s="32">
        <f>IF(B65="","",IFERROR(INDEX(Client_List!$J:$J,MATCH(VALUE(B65),Client_List!$A:$A,0)),""))</f>
        <v/>
      </c>
      <c r="I65" s="70">
        <f>IF(B65="","",IFERROR(A65-LOOKUP(2,1/($B$4:$B64=B65),$A$4:$A64),""))</f>
        <v/>
      </c>
      <c r="J65" s="32">
        <f>IF(B65="","",IFERROR(D65/I65,""))</f>
        <v/>
      </c>
      <c r="K65" s="71">
        <f>IF(B65="","",IFERROR(AVERAGEIFS($J$4:$J65,$B$4:$B65,B65,$J$4:$J65,"&gt;"&amp;0),""))</f>
        <v/>
      </c>
      <c r="L65" s="7" t="n"/>
    </row>
    <row r="66" ht="14" customHeight="1" s="72">
      <c r="A66" s="75" t="n">
        <v>46029</v>
      </c>
      <c r="B66" s="76" t="n">
        <v>16006</v>
      </c>
      <c r="C66" s="69">
        <f>IF(B66="","",IFERROR(INDEX(Client_List!$B:$B,MATCH(B66,Client_List!$A:$A,0)),"⚠ NOT FOUND"))</f>
        <v/>
      </c>
      <c r="D66" s="43" t="n">
        <v>872</v>
      </c>
      <c r="E66" s="32">
        <f>IF(B66="","",IFERROR(INDEX(Client_List!$C:$C,MATCH(VALUE(B66),Client_List!$A:$A,0)),""))</f>
        <v/>
      </c>
      <c r="F66" s="53">
        <f>IF(B66="","",IFERROR(INDEX(Client_List!$D:$D,MATCH(VALUE(B66),Client_List!$A:$A,0)),""))</f>
        <v/>
      </c>
      <c r="G66" s="53">
        <f>IF(B66="","",IFERROR(INDEX(Client_List!$K:$K,MATCH(VALUE(B66),Client_List!$A:$A,0)),""))</f>
        <v/>
      </c>
      <c r="H66" s="32">
        <f>IF(B66="","",IFERROR(INDEX(Client_List!$J:$J,MATCH(VALUE(B66),Client_List!$A:$A,0)),""))</f>
        <v/>
      </c>
      <c r="I66" s="70">
        <f>IF(B66="","",IFERROR(A66-LOOKUP(2,1/($B$4:$B65=B66),$A$4:$A65),""))</f>
        <v/>
      </c>
      <c r="J66" s="32">
        <f>IF(B66="","",IFERROR(D66/I66,""))</f>
        <v/>
      </c>
      <c r="K66" s="71">
        <f>IF(B66="","",IFERROR(AVERAGEIFS($J$4:$J66,$B$4:$B66,B66,$J$4:$J66,"&gt;"&amp;0),""))</f>
        <v/>
      </c>
      <c r="L66" s="4" t="n"/>
    </row>
    <row r="67" ht="14" customHeight="1" s="72">
      <c r="A67" s="75" t="n">
        <v>46029</v>
      </c>
      <c r="B67" s="76" t="n">
        <v>16018</v>
      </c>
      <c r="C67" s="69">
        <f>IF(B67="","",IFERROR(INDEX(Client_List!$B:$B,MATCH(B67,Client_List!$A:$A,0)),"⚠ NOT FOUND"))</f>
        <v/>
      </c>
      <c r="D67" s="43" t="n">
        <v>668</v>
      </c>
      <c r="E67" s="32">
        <f>IF(B67="","",IFERROR(INDEX(Client_List!$C:$C,MATCH(VALUE(B67),Client_List!$A:$A,0)),""))</f>
        <v/>
      </c>
      <c r="F67" s="53">
        <f>IF(B67="","",IFERROR(INDEX(Client_List!$D:$D,MATCH(VALUE(B67),Client_List!$A:$A,0)),""))</f>
        <v/>
      </c>
      <c r="G67" s="53">
        <f>IF(B67="","",IFERROR(INDEX(Client_List!$K:$K,MATCH(VALUE(B67),Client_List!$A:$A,0)),""))</f>
        <v/>
      </c>
      <c r="H67" s="32">
        <f>IF(B67="","",IFERROR(INDEX(Client_List!$J:$J,MATCH(VALUE(B67),Client_List!$A:$A,0)),""))</f>
        <v/>
      </c>
      <c r="I67" s="70">
        <f>IF(B67="","",IFERROR(A67-LOOKUP(2,1/($B$4:$B66=B67),$A$4:$A66),""))</f>
        <v/>
      </c>
      <c r="J67" s="32">
        <f>IF(B67="","",IFERROR(D67/I67,""))</f>
        <v/>
      </c>
      <c r="K67" s="71">
        <f>IF(B67="","",IFERROR(AVERAGEIFS($J$4:$J67,$B$4:$B67,B67,$J$4:$J67,"&gt;"&amp;0),""))</f>
        <v/>
      </c>
      <c r="L67" s="7" t="n"/>
    </row>
    <row r="68" ht="14" customHeight="1" s="72">
      <c r="A68" s="75" t="n">
        <v>46029</v>
      </c>
      <c r="B68" s="76" t="n">
        <v>16019</v>
      </c>
      <c r="C68" s="69">
        <f>IF(B68="","",IFERROR(INDEX(Client_List!$B:$B,MATCH(B68,Client_List!$A:$A,0)),"⚠ NOT FOUND"))</f>
        <v/>
      </c>
      <c r="D68" s="43" t="n">
        <v>661</v>
      </c>
      <c r="E68" s="32">
        <f>IF(B68="","",IFERROR(INDEX(Client_List!$C:$C,MATCH(VALUE(B68),Client_List!$A:$A,0)),""))</f>
        <v/>
      </c>
      <c r="F68" s="53">
        <f>IF(B68="","",IFERROR(INDEX(Client_List!$D:$D,MATCH(VALUE(B68),Client_List!$A:$A,0)),""))</f>
        <v/>
      </c>
      <c r="G68" s="53">
        <f>IF(B68="","",IFERROR(INDEX(Client_List!$K:$K,MATCH(VALUE(B68),Client_List!$A:$A,0)),""))</f>
        <v/>
      </c>
      <c r="H68" s="32">
        <f>IF(B68="","",IFERROR(INDEX(Client_List!$J:$J,MATCH(VALUE(B68),Client_List!$A:$A,0)),""))</f>
        <v/>
      </c>
      <c r="I68" s="70">
        <f>IF(B68="","",IFERROR(A68-LOOKUP(2,1/($B$4:$B67=B68),$A$4:$A67),""))</f>
        <v/>
      </c>
      <c r="J68" s="32">
        <f>IF(B68="","",IFERROR(D68/I68,""))</f>
        <v/>
      </c>
      <c r="K68" s="71">
        <f>IF(B68="","",IFERROR(AVERAGEIFS($J$4:$J68,$B$4:$B68,B68,$J$4:$J68,"&gt;"&amp;0),""))</f>
        <v/>
      </c>
      <c r="L68" s="4" t="n"/>
    </row>
    <row r="69" ht="14" customHeight="1" s="72">
      <c r="A69" s="75" t="n">
        <v>46029</v>
      </c>
      <c r="B69" s="76" t="n">
        <v>20088</v>
      </c>
      <c r="C69" s="69">
        <f>IF(B69="","",IFERROR(INDEX(Client_List!$B:$B,MATCH(B69,Client_List!$A:$A,0)),"⚠ NOT FOUND"))</f>
        <v/>
      </c>
      <c r="D69" s="43" t="n">
        <v>979</v>
      </c>
      <c r="E69" s="32">
        <f>IF(B69="","",IFERROR(INDEX(Client_List!$C:$C,MATCH(VALUE(B69),Client_List!$A:$A,0)),""))</f>
        <v/>
      </c>
      <c r="F69" s="53">
        <f>IF(B69="","",IFERROR(INDEX(Client_List!$D:$D,MATCH(VALUE(B69),Client_List!$A:$A,0)),""))</f>
        <v/>
      </c>
      <c r="G69" s="53">
        <f>IF(B69="","",IFERROR(INDEX(Client_List!$K:$K,MATCH(VALUE(B69),Client_List!$A:$A,0)),""))</f>
        <v/>
      </c>
      <c r="H69" s="32">
        <f>IF(B69="","",IFERROR(INDEX(Client_List!$J:$J,MATCH(VALUE(B69),Client_List!$A:$A,0)),""))</f>
        <v/>
      </c>
      <c r="I69" s="70">
        <f>IF(B69="","",IFERROR(A69-LOOKUP(2,1/($B$4:$B68=B69),$A$4:$A68),""))</f>
        <v/>
      </c>
      <c r="J69" s="32">
        <f>IF(B69="","",IFERROR(D69/I69,""))</f>
        <v/>
      </c>
      <c r="K69" s="71">
        <f>IF(B69="","",IFERROR(AVERAGEIFS($J$4:$J69,$B$4:$B69,B69,$J$4:$J69,"&gt;"&amp;0),""))</f>
        <v/>
      </c>
      <c r="L69" s="7" t="n"/>
    </row>
    <row r="70" ht="14" customHeight="1" s="72">
      <c r="A70" s="75" t="n">
        <v>46030</v>
      </c>
      <c r="B70" s="76" t="n">
        <v>1018</v>
      </c>
      <c r="C70" s="69">
        <f>IF(B70="","",IFERROR(INDEX(Client_List!$B:$B,MATCH(B70,Client_List!$A:$A,0)),"⚠ NOT FOUND"))</f>
        <v/>
      </c>
      <c r="D70" s="43" t="n">
        <v>631</v>
      </c>
      <c r="E70" s="32">
        <f>IF(B70="","",IFERROR(INDEX(Client_List!$C:$C,MATCH(VALUE(B70),Client_List!$A:$A,0)),""))</f>
        <v/>
      </c>
      <c r="F70" s="53">
        <f>IF(B70="","",IFERROR(INDEX(Client_List!$D:$D,MATCH(VALUE(B70),Client_List!$A:$A,0)),""))</f>
        <v/>
      </c>
      <c r="G70" s="53">
        <f>IF(B70="","",IFERROR(INDEX(Client_List!$K:$K,MATCH(VALUE(B70),Client_List!$A:$A,0)),""))</f>
        <v/>
      </c>
      <c r="H70" s="32">
        <f>IF(B70="","",IFERROR(INDEX(Client_List!$J:$J,MATCH(VALUE(B70),Client_List!$A:$A,0)),""))</f>
        <v/>
      </c>
      <c r="I70" s="70">
        <f>IF(B70="","",IFERROR(A70-LOOKUP(2,1/($B$4:$B69=B70),$A$4:$A69),""))</f>
        <v/>
      </c>
      <c r="J70" s="32">
        <f>IF(B70="","",IFERROR(D70/I70,""))</f>
        <v/>
      </c>
      <c r="K70" s="71">
        <f>IF(B70="","",IFERROR(AVERAGEIFS($J$4:$J70,$B$4:$B70,B70,$J$4:$J70,"&gt;"&amp;0),""))</f>
        <v/>
      </c>
      <c r="L70" s="4" t="n"/>
    </row>
    <row r="71" ht="14" customHeight="1" s="72">
      <c r="A71" s="75" t="n">
        <v>46030</v>
      </c>
      <c r="B71" s="76" t="n">
        <v>4009</v>
      </c>
      <c r="C71" s="69">
        <f>IF(B71="","",IFERROR(INDEX(Client_List!$B:$B,MATCH(B71,Client_List!$A:$A,0)),"⚠ NOT FOUND"))</f>
        <v/>
      </c>
      <c r="D71" s="43" t="n">
        <v>686</v>
      </c>
      <c r="E71" s="32">
        <f>IF(B71="","",IFERROR(INDEX(Client_List!$C:$C,MATCH(VALUE(B71),Client_List!$A:$A,0)),""))</f>
        <v/>
      </c>
      <c r="F71" s="53">
        <f>IF(B71="","",IFERROR(INDEX(Client_List!$D:$D,MATCH(VALUE(B71),Client_List!$A:$A,0)),""))</f>
        <v/>
      </c>
      <c r="G71" s="53">
        <f>IF(B71="","",IFERROR(INDEX(Client_List!$K:$K,MATCH(VALUE(B71),Client_List!$A:$A,0)),""))</f>
        <v/>
      </c>
      <c r="H71" s="32">
        <f>IF(B71="","",IFERROR(INDEX(Client_List!$J:$J,MATCH(VALUE(B71),Client_List!$A:$A,0)),""))</f>
        <v/>
      </c>
      <c r="I71" s="70">
        <f>IF(B71="","",IFERROR(A71-LOOKUP(2,1/($B$4:$B70=B71),$A$4:$A70),""))</f>
        <v/>
      </c>
      <c r="J71" s="32">
        <f>IF(B71="","",IFERROR(D71/I71,""))</f>
        <v/>
      </c>
      <c r="K71" s="71">
        <f>IF(B71="","",IFERROR(AVERAGEIFS($J$4:$J71,$B$4:$B71,B71,$J$4:$J71,"&gt;"&amp;0),""))</f>
        <v/>
      </c>
      <c r="L71" s="7" t="n"/>
    </row>
    <row r="72" ht="14" customHeight="1" s="72">
      <c r="A72" s="75" t="n">
        <v>46030</v>
      </c>
      <c r="B72" s="76" t="n">
        <v>13012</v>
      </c>
      <c r="C72" s="69">
        <f>IF(B72="","",IFERROR(INDEX(Client_List!$B:$B,MATCH(B72,Client_List!$A:$A,0)),"⚠ NOT FOUND"))</f>
        <v/>
      </c>
      <c r="D72" s="43" t="n">
        <v>518</v>
      </c>
      <c r="E72" s="32">
        <f>IF(B72="","",IFERROR(INDEX(Client_List!$C:$C,MATCH(VALUE(B72),Client_List!$A:$A,0)),""))</f>
        <v/>
      </c>
      <c r="F72" s="53">
        <f>IF(B72="","",IFERROR(INDEX(Client_List!$D:$D,MATCH(VALUE(B72),Client_List!$A:$A,0)),""))</f>
        <v/>
      </c>
      <c r="G72" s="53">
        <f>IF(B72="","",IFERROR(INDEX(Client_List!$K:$K,MATCH(VALUE(B72),Client_List!$A:$A,0)),""))</f>
        <v/>
      </c>
      <c r="H72" s="32">
        <f>IF(B72="","",IFERROR(INDEX(Client_List!$J:$J,MATCH(VALUE(B72),Client_List!$A:$A,0)),""))</f>
        <v/>
      </c>
      <c r="I72" s="70">
        <f>IF(B72="","",IFERROR(A72-LOOKUP(2,1/($B$4:$B71=B72),$A$4:$A71),""))</f>
        <v/>
      </c>
      <c r="J72" s="32">
        <f>IF(B72="","",IFERROR(D72/I72,""))</f>
        <v/>
      </c>
      <c r="K72" s="71">
        <f>IF(B72="","",IFERROR(AVERAGEIFS($J$4:$J72,$B$4:$B72,B72,$J$4:$J72,"&gt;"&amp;0),""))</f>
        <v/>
      </c>
      <c r="L72" s="4" t="n"/>
    </row>
    <row r="73" ht="14" customHeight="1" s="72">
      <c r="A73" s="75" t="n">
        <v>46030</v>
      </c>
      <c r="B73" s="76" t="n">
        <v>13014</v>
      </c>
      <c r="C73" s="69">
        <f>IF(B73="","",IFERROR(INDEX(Client_List!$B:$B,MATCH(B73,Client_List!$A:$A,0)),"⚠ NOT FOUND"))</f>
        <v/>
      </c>
      <c r="D73" s="43" t="n">
        <v>804</v>
      </c>
      <c r="E73" s="32">
        <f>IF(B73="","",IFERROR(INDEX(Client_List!$C:$C,MATCH(VALUE(B73),Client_List!$A:$A,0)),""))</f>
        <v/>
      </c>
      <c r="F73" s="53">
        <f>IF(B73="","",IFERROR(INDEX(Client_List!$D:$D,MATCH(VALUE(B73),Client_List!$A:$A,0)),""))</f>
        <v/>
      </c>
      <c r="G73" s="53">
        <f>IF(B73="","",IFERROR(INDEX(Client_List!$K:$K,MATCH(VALUE(B73),Client_List!$A:$A,0)),""))</f>
        <v/>
      </c>
      <c r="H73" s="32">
        <f>IF(B73="","",IFERROR(INDEX(Client_List!$J:$J,MATCH(VALUE(B73),Client_List!$A:$A,0)),""))</f>
        <v/>
      </c>
      <c r="I73" s="70">
        <f>IF(B73="","",IFERROR(A73-LOOKUP(2,1/($B$4:$B72=B73),$A$4:$A72),""))</f>
        <v/>
      </c>
      <c r="J73" s="32">
        <f>IF(B73="","",IFERROR(D73/I73,""))</f>
        <v/>
      </c>
      <c r="K73" s="71">
        <f>IF(B73="","",IFERROR(AVERAGEIFS($J$4:$J73,$B$4:$B73,B73,$J$4:$J73,"&gt;"&amp;0),""))</f>
        <v/>
      </c>
      <c r="L73" s="7" t="n"/>
    </row>
    <row r="74" ht="14" customHeight="1" s="72">
      <c r="A74" s="75" t="n">
        <v>46030</v>
      </c>
      <c r="B74" s="76" t="n">
        <v>19035</v>
      </c>
      <c r="C74" s="69">
        <f>IF(B74="","",IFERROR(INDEX(Client_List!$B:$B,MATCH(B74,Client_List!$A:$A,0)),"⚠ NOT FOUND"))</f>
        <v/>
      </c>
      <c r="D74" s="43" t="n">
        <v>333</v>
      </c>
      <c r="E74" s="32">
        <f>IF(B74="","",IFERROR(INDEX(Client_List!$C:$C,MATCH(VALUE(B74),Client_List!$A:$A,0)),""))</f>
        <v/>
      </c>
      <c r="F74" s="53">
        <f>IF(B74="","",IFERROR(INDEX(Client_List!$D:$D,MATCH(VALUE(B74),Client_List!$A:$A,0)),""))</f>
        <v/>
      </c>
      <c r="G74" s="53">
        <f>IF(B74="","",IFERROR(INDEX(Client_List!$K:$K,MATCH(VALUE(B74),Client_List!$A:$A,0)),""))</f>
        <v/>
      </c>
      <c r="H74" s="32">
        <f>IF(B74="","",IFERROR(INDEX(Client_List!$J:$J,MATCH(VALUE(B74),Client_List!$A:$A,0)),""))</f>
        <v/>
      </c>
      <c r="I74" s="70">
        <f>IF(B74="","",IFERROR(A74-LOOKUP(2,1/($B$4:$B73=B74),$A$4:$A73),""))</f>
        <v/>
      </c>
      <c r="J74" s="32">
        <f>IF(B74="","",IFERROR(D74/I74,""))</f>
        <v/>
      </c>
      <c r="K74" s="71">
        <f>IF(B74="","",IFERROR(AVERAGEIFS($J$4:$J74,$B$4:$B74,B74,$J$4:$J74,"&gt;"&amp;0),""))</f>
        <v/>
      </c>
      <c r="L74" s="4" t="n"/>
    </row>
    <row r="75" ht="14" customHeight="1" s="72">
      <c r="A75" s="75" t="n">
        <v>46030</v>
      </c>
      <c r="B75" s="76" t="n">
        <v>19077</v>
      </c>
      <c r="C75" s="69">
        <f>IF(B75="","",IFERROR(INDEX(Client_List!$B:$B,MATCH(B75,Client_List!$A:$A,0)),"⚠ NOT FOUND"))</f>
        <v/>
      </c>
      <c r="D75" s="43" t="n">
        <v>865</v>
      </c>
      <c r="E75" s="32">
        <f>IF(B75="","",IFERROR(INDEX(Client_List!$C:$C,MATCH(VALUE(B75),Client_List!$A:$A,0)),""))</f>
        <v/>
      </c>
      <c r="F75" s="53">
        <f>IF(B75="","",IFERROR(INDEX(Client_List!$D:$D,MATCH(VALUE(B75),Client_List!$A:$A,0)),""))</f>
        <v/>
      </c>
      <c r="G75" s="53">
        <f>IF(B75="","",IFERROR(INDEX(Client_List!$K:$K,MATCH(VALUE(B75),Client_List!$A:$A,0)),""))</f>
        <v/>
      </c>
      <c r="H75" s="32">
        <f>IF(B75="","",IFERROR(INDEX(Client_List!$J:$J,MATCH(VALUE(B75),Client_List!$A:$A,0)),""))</f>
        <v/>
      </c>
      <c r="I75" s="70">
        <f>IF(B75="","",IFERROR(A75-LOOKUP(2,1/($B$4:$B74=B75),$A$4:$A74),""))</f>
        <v/>
      </c>
      <c r="J75" s="32">
        <f>IF(B75="","",IFERROR(D75/I75,""))</f>
        <v/>
      </c>
      <c r="K75" s="71">
        <f>IF(B75="","",IFERROR(AVERAGEIFS($J$4:$J75,$B$4:$B75,B75,$J$4:$J75,"&gt;"&amp;0),""))</f>
        <v/>
      </c>
      <c r="L75" s="7" t="n"/>
    </row>
    <row r="76" ht="14" customHeight="1" s="72">
      <c r="A76" s="75" t="n">
        <v>46030</v>
      </c>
      <c r="B76" s="76" t="n">
        <v>19080</v>
      </c>
      <c r="C76" s="69">
        <f>IF(B76="","",IFERROR(INDEX(Client_List!$B:$B,MATCH(B76,Client_List!$A:$A,0)),"⚠ NOT FOUND"))</f>
        <v/>
      </c>
      <c r="D76" s="43" t="n">
        <v>393</v>
      </c>
      <c r="E76" s="32">
        <f>IF(B76="","",IFERROR(INDEX(Client_List!$C:$C,MATCH(VALUE(B76),Client_List!$A:$A,0)),""))</f>
        <v/>
      </c>
      <c r="F76" s="53">
        <f>IF(B76="","",IFERROR(INDEX(Client_List!$D:$D,MATCH(VALUE(B76),Client_List!$A:$A,0)),""))</f>
        <v/>
      </c>
      <c r="G76" s="53">
        <f>IF(B76="","",IFERROR(INDEX(Client_List!$K:$K,MATCH(VALUE(B76),Client_List!$A:$A,0)),""))</f>
        <v/>
      </c>
      <c r="H76" s="32">
        <f>IF(B76="","",IFERROR(INDEX(Client_List!$J:$J,MATCH(VALUE(B76),Client_List!$A:$A,0)),""))</f>
        <v/>
      </c>
      <c r="I76" s="70">
        <f>IF(B76="","",IFERROR(A76-LOOKUP(2,1/($B$4:$B75=B76),$A$4:$A75),""))</f>
        <v/>
      </c>
      <c r="J76" s="32">
        <f>IF(B76="","",IFERROR(D76/I76,""))</f>
        <v/>
      </c>
      <c r="K76" s="71">
        <f>IF(B76="","",IFERROR(AVERAGEIFS($J$4:$J76,$B$4:$B76,B76,$J$4:$J76,"&gt;"&amp;0),""))</f>
        <v/>
      </c>
      <c r="L76" s="4" t="n"/>
    </row>
    <row r="77" ht="14" customHeight="1" s="72">
      <c r="A77" s="75" t="n">
        <v>46030</v>
      </c>
      <c r="B77" s="76" t="n">
        <v>19081</v>
      </c>
      <c r="C77" s="69">
        <f>IF(B77="","",IFERROR(INDEX(Client_List!$B:$B,MATCH(B77,Client_List!$A:$A,0)),"⚠ NOT FOUND"))</f>
        <v/>
      </c>
      <c r="D77" s="43" t="n">
        <v>416</v>
      </c>
      <c r="E77" s="32">
        <f>IF(B77="","",IFERROR(INDEX(Client_List!$C:$C,MATCH(VALUE(B77),Client_List!$A:$A,0)),""))</f>
        <v/>
      </c>
      <c r="F77" s="53">
        <f>IF(B77="","",IFERROR(INDEX(Client_List!$D:$D,MATCH(VALUE(B77),Client_List!$A:$A,0)),""))</f>
        <v/>
      </c>
      <c r="G77" s="53">
        <f>IF(B77="","",IFERROR(INDEX(Client_List!$K:$K,MATCH(VALUE(B77),Client_List!$A:$A,0)),""))</f>
        <v/>
      </c>
      <c r="H77" s="32">
        <f>IF(B77="","",IFERROR(INDEX(Client_List!$J:$J,MATCH(VALUE(B77),Client_List!$A:$A,0)),""))</f>
        <v/>
      </c>
      <c r="I77" s="70">
        <f>IF(B77="","",IFERROR(A77-LOOKUP(2,1/($B$4:$B76=B77),$A$4:$A76),""))</f>
        <v/>
      </c>
      <c r="J77" s="32">
        <f>IF(B77="","",IFERROR(D77/I77,""))</f>
        <v/>
      </c>
      <c r="K77" s="71">
        <f>IF(B77="","",IFERROR(AVERAGEIFS($J$4:$J77,$B$4:$B77,B77,$J$4:$J77,"&gt;"&amp;0),""))</f>
        <v/>
      </c>
      <c r="L77" s="7" t="n"/>
    </row>
    <row r="78" ht="14" customHeight="1" s="72">
      <c r="A78" s="75" t="n">
        <v>46030</v>
      </c>
      <c r="B78" s="76" t="n">
        <v>20019</v>
      </c>
      <c r="C78" s="69">
        <f>IF(B78="","",IFERROR(INDEX(Client_List!$B:$B,MATCH(B78,Client_List!$A:$A,0)),"⚠ NOT FOUND"))</f>
        <v/>
      </c>
      <c r="D78" s="43" t="n">
        <v>595</v>
      </c>
      <c r="E78" s="32">
        <f>IF(B78="","",IFERROR(INDEX(Client_List!$C:$C,MATCH(VALUE(B78),Client_List!$A:$A,0)),""))</f>
        <v/>
      </c>
      <c r="F78" s="53">
        <f>IF(B78="","",IFERROR(INDEX(Client_List!$D:$D,MATCH(VALUE(B78),Client_List!$A:$A,0)),""))</f>
        <v/>
      </c>
      <c r="G78" s="53">
        <f>IF(B78="","",IFERROR(INDEX(Client_List!$K:$K,MATCH(VALUE(B78),Client_List!$A:$A,0)),""))</f>
        <v/>
      </c>
      <c r="H78" s="32">
        <f>IF(B78="","",IFERROR(INDEX(Client_List!$J:$J,MATCH(VALUE(B78),Client_List!$A:$A,0)),""))</f>
        <v/>
      </c>
      <c r="I78" s="70">
        <f>IF(B78="","",IFERROR(A78-LOOKUP(2,1/($B$4:$B77=B78),$A$4:$A77),""))</f>
        <v/>
      </c>
      <c r="J78" s="32">
        <f>IF(B78="","",IFERROR(D78/I78,""))</f>
        <v/>
      </c>
      <c r="K78" s="71">
        <f>IF(B78="","",IFERROR(AVERAGEIFS($J$4:$J78,$B$4:$B78,B78,$J$4:$J78,"&gt;"&amp;0),""))</f>
        <v/>
      </c>
      <c r="L78" s="4" t="n"/>
    </row>
    <row r="79" ht="14" customHeight="1" s="72">
      <c r="A79" s="75" t="n">
        <v>46030</v>
      </c>
      <c r="B79" s="76" t="n">
        <v>20051</v>
      </c>
      <c r="C79" s="69">
        <f>IF(B79="","",IFERROR(INDEX(Client_List!$B:$B,MATCH(B79,Client_List!$A:$A,0)),"⚠ NOT FOUND"))</f>
        <v/>
      </c>
      <c r="D79" s="43" t="n">
        <v>289</v>
      </c>
      <c r="E79" s="32">
        <f>IF(B79="","",IFERROR(INDEX(Client_List!$C:$C,MATCH(VALUE(B79),Client_List!$A:$A,0)),""))</f>
        <v/>
      </c>
      <c r="F79" s="53">
        <f>IF(B79="","",IFERROR(INDEX(Client_List!$D:$D,MATCH(VALUE(B79),Client_List!$A:$A,0)),""))</f>
        <v/>
      </c>
      <c r="G79" s="53">
        <f>IF(B79="","",IFERROR(INDEX(Client_List!$K:$K,MATCH(VALUE(B79),Client_List!$A:$A,0)),""))</f>
        <v/>
      </c>
      <c r="H79" s="32">
        <f>IF(B79="","",IFERROR(INDEX(Client_List!$J:$J,MATCH(VALUE(B79),Client_List!$A:$A,0)),""))</f>
        <v/>
      </c>
      <c r="I79" s="70">
        <f>IF(B79="","",IFERROR(A79-LOOKUP(2,1/($B$4:$B78=B79),$A$4:$A78),""))</f>
        <v/>
      </c>
      <c r="J79" s="32">
        <f>IF(B79="","",IFERROR(D79/I79,""))</f>
        <v/>
      </c>
      <c r="K79" s="71">
        <f>IF(B79="","",IFERROR(AVERAGEIFS($J$4:$J79,$B$4:$B79,B79,$J$4:$J79,"&gt;"&amp;0),""))</f>
        <v/>
      </c>
      <c r="L79" s="7" t="n"/>
    </row>
    <row r="80" ht="14" customHeight="1" s="72">
      <c r="A80" s="75" t="n">
        <v>46031</v>
      </c>
      <c r="B80" s="76" t="n">
        <v>2016</v>
      </c>
      <c r="C80" s="69">
        <f>IF(B80="","",IFERROR(INDEX(Client_List!$B:$B,MATCH(B80,Client_List!$A:$A,0)),"⚠ NOT FOUND"))</f>
        <v/>
      </c>
      <c r="D80" s="43" t="n">
        <v>274</v>
      </c>
      <c r="E80" s="32">
        <f>IF(B80="","",IFERROR(INDEX(Client_List!$C:$C,MATCH(VALUE(B80),Client_List!$A:$A,0)),""))</f>
        <v/>
      </c>
      <c r="F80" s="53">
        <f>IF(B80="","",IFERROR(INDEX(Client_List!$D:$D,MATCH(VALUE(B80),Client_List!$A:$A,0)),""))</f>
        <v/>
      </c>
      <c r="G80" s="53">
        <f>IF(B80="","",IFERROR(INDEX(Client_List!$K:$K,MATCH(VALUE(B80),Client_List!$A:$A,0)),""))</f>
        <v/>
      </c>
      <c r="H80" s="32">
        <f>IF(B80="","",IFERROR(INDEX(Client_List!$J:$J,MATCH(VALUE(B80),Client_List!$A:$A,0)),""))</f>
        <v/>
      </c>
      <c r="I80" s="70">
        <f>IF(B80="","",IFERROR(A80-LOOKUP(2,1/($B$4:$B79=B80),$A$4:$A79),""))</f>
        <v/>
      </c>
      <c r="J80" s="32">
        <f>IF(B80="","",IFERROR(D80/I80,""))</f>
        <v/>
      </c>
      <c r="K80" s="71">
        <f>IF(B80="","",IFERROR(AVERAGEIFS($J$4:$J80,$B$4:$B80,B80,$J$4:$J80,"&gt;"&amp;0),""))</f>
        <v/>
      </c>
      <c r="L80" s="4" t="n"/>
    </row>
    <row r="81" ht="14" customHeight="1" s="72">
      <c r="A81" s="75" t="n">
        <v>46031</v>
      </c>
      <c r="B81" s="76" t="n">
        <v>2067</v>
      </c>
      <c r="C81" s="69">
        <f>IF(B81="","",IFERROR(INDEX(Client_List!$B:$B,MATCH(B81,Client_List!$A:$A,0)),"⚠ NOT FOUND"))</f>
        <v/>
      </c>
      <c r="D81" s="43" t="n">
        <v>789</v>
      </c>
      <c r="E81" s="32">
        <f>IF(B81="","",IFERROR(INDEX(Client_List!$C:$C,MATCH(VALUE(B81),Client_List!$A:$A,0)),""))</f>
        <v/>
      </c>
      <c r="F81" s="53">
        <f>IF(B81="","",IFERROR(INDEX(Client_List!$D:$D,MATCH(VALUE(B81),Client_List!$A:$A,0)),""))</f>
        <v/>
      </c>
      <c r="G81" s="53">
        <f>IF(B81="","",IFERROR(INDEX(Client_List!$K:$K,MATCH(VALUE(B81),Client_List!$A:$A,0)),""))</f>
        <v/>
      </c>
      <c r="H81" s="32">
        <f>IF(B81="","",IFERROR(INDEX(Client_List!$J:$J,MATCH(VALUE(B81),Client_List!$A:$A,0)),""))</f>
        <v/>
      </c>
      <c r="I81" s="70">
        <f>IF(B81="","",IFERROR(A81-LOOKUP(2,1/($B$4:$B80=B81),$A$4:$A80),""))</f>
        <v/>
      </c>
      <c r="J81" s="32">
        <f>IF(B81="","",IFERROR(D81/I81,""))</f>
        <v/>
      </c>
      <c r="K81" s="71">
        <f>IF(B81="","",IFERROR(AVERAGEIFS($J$4:$J81,$B$4:$B81,B81,$J$4:$J81,"&gt;"&amp;0),""))</f>
        <v/>
      </c>
      <c r="L81" s="7" t="n"/>
    </row>
    <row r="82" ht="14" customHeight="1" s="72">
      <c r="A82" s="75" t="n">
        <v>46031</v>
      </c>
      <c r="B82" s="76" t="inlineStr">
        <is>
          <t>4015A</t>
        </is>
      </c>
      <c r="C82" s="69">
        <f>IF(B82="","",IFERROR(INDEX(Client_List!$B:$B,MATCH(B82,Client_List!$A:$A,0)),"⚠ NOT FOUND"))</f>
        <v/>
      </c>
      <c r="D82" s="43" t="n">
        <v>480</v>
      </c>
      <c r="E82" s="32">
        <f>IF(B82="","",IFERROR(INDEX(Client_List!$C:$C,MATCH(VALUE(B82),Client_List!$A:$A,0)),""))</f>
        <v/>
      </c>
      <c r="F82" s="53">
        <f>IF(B82="","",IFERROR(INDEX(Client_List!$D:$D,MATCH(VALUE(B82),Client_List!$A:$A,0)),""))</f>
        <v/>
      </c>
      <c r="G82" s="53">
        <f>IF(B82="","",IFERROR(INDEX(Client_List!$K:$K,MATCH(VALUE(B82),Client_List!$A:$A,0)),""))</f>
        <v/>
      </c>
      <c r="H82" s="32">
        <f>IF(B82="","",IFERROR(INDEX(Client_List!$J:$J,MATCH(VALUE(B82),Client_List!$A:$A,0)),""))</f>
        <v/>
      </c>
      <c r="I82" s="70">
        <f>IF(B82="","",IFERROR(A82-LOOKUP(2,1/($B$4:$B81=B82),$A$4:$A81),""))</f>
        <v/>
      </c>
      <c r="J82" s="32">
        <f>IF(B82="","",IFERROR(D82/I82,""))</f>
        <v/>
      </c>
      <c r="K82" s="71">
        <f>IF(B82="","",IFERROR(AVERAGEIFS($J$4:$J82,$B$4:$B82,B82,$J$4:$J82,"&gt;"&amp;0),""))</f>
        <v/>
      </c>
      <c r="L82" s="4" t="n"/>
    </row>
    <row r="83" ht="14" customHeight="1" s="72">
      <c r="A83" s="75" t="n">
        <v>46031</v>
      </c>
      <c r="B83" s="76" t="n">
        <v>7001</v>
      </c>
      <c r="C83" s="69">
        <f>IF(B83="","",IFERROR(INDEX(Client_List!$B:$B,MATCH(B83,Client_List!$A:$A,0)),"⚠ NOT FOUND"))</f>
        <v/>
      </c>
      <c r="D83" s="43" t="n">
        <v>1347</v>
      </c>
      <c r="E83" s="32">
        <f>IF(B83="","",IFERROR(INDEX(Client_List!$C:$C,MATCH(VALUE(B83),Client_List!$A:$A,0)),""))</f>
        <v/>
      </c>
      <c r="F83" s="53">
        <f>IF(B83="","",IFERROR(INDEX(Client_List!$D:$D,MATCH(VALUE(B83),Client_List!$A:$A,0)),""))</f>
        <v/>
      </c>
      <c r="G83" s="53">
        <f>IF(B83="","",IFERROR(INDEX(Client_List!$K:$K,MATCH(VALUE(B83),Client_List!$A:$A,0)),""))</f>
        <v/>
      </c>
      <c r="H83" s="32">
        <f>IF(B83="","",IFERROR(INDEX(Client_List!$J:$J,MATCH(VALUE(B83),Client_List!$A:$A,0)),""))</f>
        <v/>
      </c>
      <c r="I83" s="70">
        <f>IF(B83="","",IFERROR(A83-LOOKUP(2,1/($B$4:$B82=B83),$A$4:$A82),""))</f>
        <v/>
      </c>
      <c r="J83" s="32">
        <f>IF(B83="","",IFERROR(D83/I83,""))</f>
        <v/>
      </c>
      <c r="K83" s="71">
        <f>IF(B83="","",IFERROR(AVERAGEIFS($J$4:$J83,$B$4:$B83,B83,$J$4:$J83,"&gt;"&amp;0),""))</f>
        <v/>
      </c>
      <c r="L83" s="7" t="n"/>
    </row>
    <row r="84" ht="14" customHeight="1" s="72">
      <c r="A84" s="75" t="n">
        <v>46031</v>
      </c>
      <c r="B84" s="76" t="n">
        <v>13009</v>
      </c>
      <c r="C84" s="69">
        <f>IF(B84="","",IFERROR(INDEX(Client_List!$B:$B,MATCH(B84,Client_List!$A:$A,0)),"⚠ NOT FOUND"))</f>
        <v/>
      </c>
      <c r="D84" s="43" t="n">
        <v>832</v>
      </c>
      <c r="E84" s="32">
        <f>IF(B84="","",IFERROR(INDEX(Client_List!$C:$C,MATCH(VALUE(B84),Client_List!$A:$A,0)),""))</f>
        <v/>
      </c>
      <c r="F84" s="53">
        <f>IF(B84="","",IFERROR(INDEX(Client_List!$D:$D,MATCH(VALUE(B84),Client_List!$A:$A,0)),""))</f>
        <v/>
      </c>
      <c r="G84" s="53">
        <f>IF(B84="","",IFERROR(INDEX(Client_List!$K:$K,MATCH(VALUE(B84),Client_List!$A:$A,0)),""))</f>
        <v/>
      </c>
      <c r="H84" s="32">
        <f>IF(B84="","",IFERROR(INDEX(Client_List!$J:$J,MATCH(VALUE(B84),Client_List!$A:$A,0)),""))</f>
        <v/>
      </c>
      <c r="I84" s="70">
        <f>IF(B84="","",IFERROR(A84-LOOKUP(2,1/($B$4:$B83=B84),$A$4:$A83),""))</f>
        <v/>
      </c>
      <c r="J84" s="32">
        <f>IF(B84="","",IFERROR(D84/I84,""))</f>
        <v/>
      </c>
      <c r="K84" s="71">
        <f>IF(B84="","",IFERROR(AVERAGEIFS($J$4:$J84,$B$4:$B84,B84,$J$4:$J84,"&gt;"&amp;0),""))</f>
        <v/>
      </c>
      <c r="L84" s="4" t="n"/>
    </row>
    <row r="85" ht="14" customHeight="1" s="72">
      <c r="A85" s="75" t="n">
        <v>46031</v>
      </c>
      <c r="B85" s="76" t="n">
        <v>15016</v>
      </c>
      <c r="C85" s="69">
        <f>IF(B85="","",IFERROR(INDEX(Client_List!$B:$B,MATCH(B85,Client_List!$A:$A,0)),"⚠ NOT FOUND"))</f>
        <v/>
      </c>
      <c r="D85" s="43" t="n">
        <v>340</v>
      </c>
      <c r="E85" s="32">
        <f>IF(B85="","",IFERROR(INDEX(Client_List!$C:$C,MATCH(VALUE(B85),Client_List!$A:$A,0)),""))</f>
        <v/>
      </c>
      <c r="F85" s="53">
        <f>IF(B85="","",IFERROR(INDEX(Client_List!$D:$D,MATCH(VALUE(B85),Client_List!$A:$A,0)),""))</f>
        <v/>
      </c>
      <c r="G85" s="53">
        <f>IF(B85="","",IFERROR(INDEX(Client_List!$K:$K,MATCH(VALUE(B85),Client_List!$A:$A,0)),""))</f>
        <v/>
      </c>
      <c r="H85" s="32">
        <f>IF(B85="","",IFERROR(INDEX(Client_List!$J:$J,MATCH(VALUE(B85),Client_List!$A:$A,0)),""))</f>
        <v/>
      </c>
      <c r="I85" s="70">
        <f>IF(B85="","",IFERROR(A85-LOOKUP(2,1/($B$4:$B84=B85),$A$4:$A84),""))</f>
        <v/>
      </c>
      <c r="J85" s="32">
        <f>IF(B85="","",IFERROR(D85/I85,""))</f>
        <v/>
      </c>
      <c r="K85" s="71">
        <f>IF(B85="","",IFERROR(AVERAGEIFS($J$4:$J85,$B$4:$B85,B85,$J$4:$J85,"&gt;"&amp;0),""))</f>
        <v/>
      </c>
      <c r="L85" s="7" t="n"/>
    </row>
    <row r="86" ht="14" customHeight="1" s="72">
      <c r="A86" s="75" t="n">
        <v>46031</v>
      </c>
      <c r="B86" s="76" t="n">
        <v>16015</v>
      </c>
      <c r="C86" s="69">
        <f>IF(B86="","",IFERROR(INDEX(Client_List!$B:$B,MATCH(B86,Client_List!$A:$A,0)),"⚠ NOT FOUND"))</f>
        <v/>
      </c>
      <c r="D86" s="43" t="n">
        <v>1514</v>
      </c>
      <c r="E86" s="32">
        <f>IF(B86="","",IFERROR(INDEX(Client_List!$C:$C,MATCH(VALUE(B86),Client_List!$A:$A,0)),""))</f>
        <v/>
      </c>
      <c r="F86" s="53">
        <f>IF(B86="","",IFERROR(INDEX(Client_List!$D:$D,MATCH(VALUE(B86),Client_List!$A:$A,0)),""))</f>
        <v/>
      </c>
      <c r="G86" s="53">
        <f>IF(B86="","",IFERROR(INDEX(Client_List!$K:$K,MATCH(VALUE(B86),Client_List!$A:$A,0)),""))</f>
        <v/>
      </c>
      <c r="H86" s="32">
        <f>IF(B86="","",IFERROR(INDEX(Client_List!$J:$J,MATCH(VALUE(B86),Client_List!$A:$A,0)),""))</f>
        <v/>
      </c>
      <c r="I86" s="70">
        <f>IF(B86="","",IFERROR(A86-LOOKUP(2,1/($B$4:$B85=B86),$A$4:$A85),""))</f>
        <v/>
      </c>
      <c r="J86" s="32">
        <f>IF(B86="","",IFERROR(D86/I86,""))</f>
        <v/>
      </c>
      <c r="K86" s="71">
        <f>IF(B86="","",IFERROR(AVERAGEIFS($J$4:$J86,$B$4:$B86,B86,$J$4:$J86,"&gt;"&amp;0),""))</f>
        <v/>
      </c>
      <c r="L86" s="4" t="n"/>
    </row>
    <row r="87" ht="14" customHeight="1" s="72">
      <c r="A87" s="75" t="n">
        <v>46031</v>
      </c>
      <c r="B87" s="76" t="n">
        <v>22006</v>
      </c>
      <c r="C87" s="69">
        <f>IF(B87="","",IFERROR(INDEX(Client_List!$B:$B,MATCH(B87,Client_List!$A:$A,0)),"⚠ NOT FOUND"))</f>
        <v/>
      </c>
      <c r="D87" s="43" t="n">
        <v>676</v>
      </c>
      <c r="E87" s="32">
        <f>IF(B87="","",IFERROR(INDEX(Client_List!$C:$C,MATCH(VALUE(B87),Client_List!$A:$A,0)),""))</f>
        <v/>
      </c>
      <c r="F87" s="53">
        <f>IF(B87="","",IFERROR(INDEX(Client_List!$D:$D,MATCH(VALUE(B87),Client_List!$A:$A,0)),""))</f>
        <v/>
      </c>
      <c r="G87" s="53">
        <f>IF(B87="","",IFERROR(INDEX(Client_List!$K:$K,MATCH(VALUE(B87),Client_List!$A:$A,0)),""))</f>
        <v/>
      </c>
      <c r="H87" s="32">
        <f>IF(B87="","",IFERROR(INDEX(Client_List!$J:$J,MATCH(VALUE(B87),Client_List!$A:$A,0)),""))</f>
        <v/>
      </c>
      <c r="I87" s="70">
        <f>IF(B87="","",IFERROR(A87-LOOKUP(2,1/($B$4:$B86=B87),$A$4:$A86),""))</f>
        <v/>
      </c>
      <c r="J87" s="32">
        <f>IF(B87="","",IFERROR(D87/I87,""))</f>
        <v/>
      </c>
      <c r="K87" s="71">
        <f>IF(B87="","",IFERROR(AVERAGEIFS($J$4:$J87,$B$4:$B87,B87,$J$4:$J87,"&gt;"&amp;0),""))</f>
        <v/>
      </c>
      <c r="L87" s="7" t="n"/>
    </row>
    <row r="88" ht="14" customHeight="1" s="72">
      <c r="A88" s="75" t="n">
        <v>46032</v>
      </c>
      <c r="B88" s="76" t="n">
        <v>11005</v>
      </c>
      <c r="C88" s="69">
        <f>IF(B88="","",IFERROR(INDEX(Client_List!$B:$B,MATCH(B88,Client_List!$A:$A,0)),"⚠ NOT FOUND"))</f>
        <v/>
      </c>
      <c r="D88" s="43" t="n">
        <v>639</v>
      </c>
      <c r="E88" s="32">
        <f>IF(B88="","",IFERROR(INDEX(Client_List!$C:$C,MATCH(VALUE(B88),Client_List!$A:$A,0)),""))</f>
        <v/>
      </c>
      <c r="F88" s="53">
        <f>IF(B88="","",IFERROR(INDEX(Client_List!$D:$D,MATCH(VALUE(B88),Client_List!$A:$A,0)),""))</f>
        <v/>
      </c>
      <c r="G88" s="53">
        <f>IF(B88="","",IFERROR(INDEX(Client_List!$K:$K,MATCH(VALUE(B88),Client_List!$A:$A,0)),""))</f>
        <v/>
      </c>
      <c r="H88" s="32">
        <f>IF(B88="","",IFERROR(INDEX(Client_List!$J:$J,MATCH(VALUE(B88),Client_List!$A:$A,0)),""))</f>
        <v/>
      </c>
      <c r="I88" s="70">
        <f>IF(B88="","",IFERROR(A88-LOOKUP(2,1/($B$4:$B87=B88),$A$4:$A87),""))</f>
        <v/>
      </c>
      <c r="J88" s="32">
        <f>IF(B88="","",IFERROR(D88/I88,""))</f>
        <v/>
      </c>
      <c r="K88" s="71">
        <f>IF(B88="","",IFERROR(AVERAGEIFS($J$4:$J88,$B$4:$B88,B88,$J$4:$J88,"&gt;"&amp;0),""))</f>
        <v/>
      </c>
      <c r="L88" s="4" t="n"/>
    </row>
    <row r="89" ht="14" customHeight="1" s="72">
      <c r="A89" s="75" t="n">
        <v>46032</v>
      </c>
      <c r="B89" s="76" t="n">
        <v>12021</v>
      </c>
      <c r="C89" s="69">
        <f>IF(B89="","",IFERROR(INDEX(Client_List!$B:$B,MATCH(B89,Client_List!$A:$A,0)),"⚠ NOT FOUND"))</f>
        <v/>
      </c>
      <c r="D89" s="43" t="n">
        <v>348</v>
      </c>
      <c r="E89" s="32">
        <f>IF(B89="","",IFERROR(INDEX(Client_List!$C:$C,MATCH(VALUE(B89),Client_List!$A:$A,0)),""))</f>
        <v/>
      </c>
      <c r="F89" s="53">
        <f>IF(B89="","",IFERROR(INDEX(Client_List!$D:$D,MATCH(VALUE(B89),Client_List!$A:$A,0)),""))</f>
        <v/>
      </c>
      <c r="G89" s="53">
        <f>IF(B89="","",IFERROR(INDEX(Client_List!$K:$K,MATCH(VALUE(B89),Client_List!$A:$A,0)),""))</f>
        <v/>
      </c>
      <c r="H89" s="32">
        <f>IF(B89="","",IFERROR(INDEX(Client_List!$J:$J,MATCH(VALUE(B89),Client_List!$A:$A,0)),""))</f>
        <v/>
      </c>
      <c r="I89" s="70">
        <f>IF(B89="","",IFERROR(A89-LOOKUP(2,1/($B$4:$B88=B89),$A$4:$A88),""))</f>
        <v/>
      </c>
      <c r="J89" s="32">
        <f>IF(B89="","",IFERROR(D89/I89,""))</f>
        <v/>
      </c>
      <c r="K89" s="71">
        <f>IF(B89="","",IFERROR(AVERAGEIFS($J$4:$J89,$B$4:$B89,B89,$J$4:$J89,"&gt;"&amp;0),""))</f>
        <v/>
      </c>
      <c r="L89" s="7" t="n"/>
    </row>
    <row r="90" ht="14" customHeight="1" s="72">
      <c r="A90" s="75" t="n">
        <v>46032</v>
      </c>
      <c r="B90" s="76" t="n">
        <v>15004</v>
      </c>
      <c r="C90" s="69">
        <f>IF(B90="","",IFERROR(INDEX(Client_List!$B:$B,MATCH(B90,Client_List!$A:$A,0)),"⚠ NOT FOUND"))</f>
        <v/>
      </c>
      <c r="D90" s="43" t="n">
        <v>386</v>
      </c>
      <c r="E90" s="32">
        <f>IF(B90="","",IFERROR(INDEX(Client_List!$C:$C,MATCH(VALUE(B90),Client_List!$A:$A,0)),""))</f>
        <v/>
      </c>
      <c r="F90" s="53">
        <f>IF(B90="","",IFERROR(INDEX(Client_List!$D:$D,MATCH(VALUE(B90),Client_List!$A:$A,0)),""))</f>
        <v/>
      </c>
      <c r="G90" s="53">
        <f>IF(B90="","",IFERROR(INDEX(Client_List!$K:$K,MATCH(VALUE(B90),Client_List!$A:$A,0)),""))</f>
        <v/>
      </c>
      <c r="H90" s="32">
        <f>IF(B90="","",IFERROR(INDEX(Client_List!$J:$J,MATCH(VALUE(B90),Client_List!$A:$A,0)),""))</f>
        <v/>
      </c>
      <c r="I90" s="70">
        <f>IF(B90="","",IFERROR(A90-LOOKUP(2,1/($B$4:$B89=B90),$A$4:$A89),""))</f>
        <v/>
      </c>
      <c r="J90" s="32">
        <f>IF(B90="","",IFERROR(D90/I90,""))</f>
        <v/>
      </c>
      <c r="K90" s="71">
        <f>IF(B90="","",IFERROR(AVERAGEIFS($J$4:$J90,$B$4:$B90,B90,$J$4:$J90,"&gt;"&amp;0),""))</f>
        <v/>
      </c>
      <c r="L90" s="4" t="n"/>
    </row>
    <row r="91" ht="14" customHeight="1" s="72">
      <c r="A91" s="75" t="n">
        <v>46032</v>
      </c>
      <c r="B91" s="76" t="n">
        <v>15032</v>
      </c>
      <c r="C91" s="69">
        <f>IF(B91="","",IFERROR(INDEX(Client_List!$B:$B,MATCH(B91,Client_List!$A:$A,0)),"⚠ NOT FOUND"))</f>
        <v/>
      </c>
      <c r="D91" s="43" t="n">
        <v>632</v>
      </c>
      <c r="E91" s="32">
        <f>IF(B91="","",IFERROR(INDEX(Client_List!$C:$C,MATCH(VALUE(B91),Client_List!$A:$A,0)),""))</f>
        <v/>
      </c>
      <c r="F91" s="53">
        <f>IF(B91="","",IFERROR(INDEX(Client_List!$D:$D,MATCH(VALUE(B91),Client_List!$A:$A,0)),""))</f>
        <v/>
      </c>
      <c r="G91" s="53">
        <f>IF(B91="","",IFERROR(INDEX(Client_List!$K:$K,MATCH(VALUE(B91),Client_List!$A:$A,0)),""))</f>
        <v/>
      </c>
      <c r="H91" s="32">
        <f>IF(B91="","",IFERROR(INDEX(Client_List!$J:$J,MATCH(VALUE(B91),Client_List!$A:$A,0)),""))</f>
        <v/>
      </c>
      <c r="I91" s="70">
        <f>IF(B91="","",IFERROR(A91-LOOKUP(2,1/($B$4:$B90=B91),$A$4:$A90),""))</f>
        <v/>
      </c>
      <c r="J91" s="32">
        <f>IF(B91="","",IFERROR(D91/I91,""))</f>
        <v/>
      </c>
      <c r="K91" s="71">
        <f>IF(B91="","",IFERROR(AVERAGEIFS($J$4:$J91,$B$4:$B91,B91,$J$4:$J91,"&gt;"&amp;0),""))</f>
        <v/>
      </c>
      <c r="L91" s="7" t="n"/>
    </row>
    <row r="92" ht="14" customHeight="1" s="72">
      <c r="A92" s="75" t="n">
        <v>46033</v>
      </c>
      <c r="B92" s="76" t="n">
        <v>1000</v>
      </c>
      <c r="C92" s="69">
        <f>IF(B92="","",IFERROR(INDEX(Client_List!$B:$B,MATCH(B92,Client_List!$A:$A,0)),"⚠ NOT FOUND"))</f>
        <v/>
      </c>
      <c r="D92" s="43" t="n">
        <v>938</v>
      </c>
      <c r="E92" s="32">
        <f>IF(B92="","",IFERROR(INDEX(Client_List!$C:$C,MATCH(VALUE(B92),Client_List!$A:$A,0)),""))</f>
        <v/>
      </c>
      <c r="F92" s="53">
        <f>IF(B92="","",IFERROR(INDEX(Client_List!$D:$D,MATCH(VALUE(B92),Client_List!$A:$A,0)),""))</f>
        <v/>
      </c>
      <c r="G92" s="53">
        <f>IF(B92="","",IFERROR(INDEX(Client_List!$K:$K,MATCH(VALUE(B92),Client_List!$A:$A,0)),""))</f>
        <v/>
      </c>
      <c r="H92" s="32">
        <f>IF(B92="","",IFERROR(INDEX(Client_List!$J:$J,MATCH(VALUE(B92),Client_List!$A:$A,0)),""))</f>
        <v/>
      </c>
      <c r="I92" s="70">
        <f>IF(B92="","",IFERROR(A92-LOOKUP(2,1/($B$4:$B91=B92),$A$4:$A91),""))</f>
        <v/>
      </c>
      <c r="J92" s="32">
        <f>IF(B92="","",IFERROR(D92/I92,""))</f>
        <v/>
      </c>
      <c r="K92" s="71">
        <f>IF(B92="","",IFERROR(AVERAGEIFS($J$4:$J92,$B$4:$B92,B92,$J$4:$J92,"&gt;"&amp;0),""))</f>
        <v/>
      </c>
      <c r="L92" s="4" t="n"/>
    </row>
    <row r="93" ht="14" customHeight="1" s="72">
      <c r="A93" s="75" t="n">
        <v>46033</v>
      </c>
      <c r="B93" s="76" t="n">
        <v>1081</v>
      </c>
      <c r="C93" s="69">
        <f>IF(B93="","",IFERROR(INDEX(Client_List!$B:$B,MATCH(B93,Client_List!$A:$A,0)),"⚠ NOT FOUND"))</f>
        <v/>
      </c>
      <c r="D93" s="43" t="n">
        <v>307</v>
      </c>
      <c r="E93" s="32">
        <f>IF(B93="","",IFERROR(INDEX(Client_List!$C:$C,MATCH(VALUE(B93),Client_List!$A:$A,0)),""))</f>
        <v/>
      </c>
      <c r="F93" s="53">
        <f>IF(B93="","",IFERROR(INDEX(Client_List!$D:$D,MATCH(VALUE(B93),Client_List!$A:$A,0)),""))</f>
        <v/>
      </c>
      <c r="G93" s="53">
        <f>IF(B93="","",IFERROR(INDEX(Client_List!$K:$K,MATCH(VALUE(B93),Client_List!$A:$A,0)),""))</f>
        <v/>
      </c>
      <c r="H93" s="32">
        <f>IF(B93="","",IFERROR(INDEX(Client_List!$J:$J,MATCH(VALUE(B93),Client_List!$A:$A,0)),""))</f>
        <v/>
      </c>
      <c r="I93" s="70">
        <f>IF(B93="","",IFERROR(A93-LOOKUP(2,1/($B$4:$B92=B93),$A$4:$A92),""))</f>
        <v/>
      </c>
      <c r="J93" s="32">
        <f>IF(B93="","",IFERROR(D93/I93,""))</f>
        <v/>
      </c>
      <c r="K93" s="71">
        <f>IF(B93="","",IFERROR(AVERAGEIFS($J$4:$J93,$B$4:$B93,B93,$J$4:$J93,"&gt;"&amp;0),""))</f>
        <v/>
      </c>
      <c r="L93" s="7" t="n"/>
    </row>
    <row r="94" ht="14" customHeight="1" s="72">
      <c r="A94" s="75" t="n">
        <v>46033</v>
      </c>
      <c r="B94" s="76" t="n">
        <v>4026</v>
      </c>
      <c r="C94" s="69">
        <f>IF(B94="","",IFERROR(INDEX(Client_List!$B:$B,MATCH(B94,Client_List!$A:$A,0)),"⚠ NOT FOUND"))</f>
        <v/>
      </c>
      <c r="D94" s="43" t="n">
        <v>336</v>
      </c>
      <c r="E94" s="32">
        <f>IF(B94="","",IFERROR(INDEX(Client_List!$C:$C,MATCH(VALUE(B94),Client_List!$A:$A,0)),""))</f>
        <v/>
      </c>
      <c r="F94" s="53">
        <f>IF(B94="","",IFERROR(INDEX(Client_List!$D:$D,MATCH(VALUE(B94),Client_List!$A:$A,0)),""))</f>
        <v/>
      </c>
      <c r="G94" s="53">
        <f>IF(B94="","",IFERROR(INDEX(Client_List!$K:$K,MATCH(VALUE(B94),Client_List!$A:$A,0)),""))</f>
        <v/>
      </c>
      <c r="H94" s="32">
        <f>IF(B94="","",IFERROR(INDEX(Client_List!$J:$J,MATCH(VALUE(B94),Client_List!$A:$A,0)),""))</f>
        <v/>
      </c>
      <c r="I94" s="70">
        <f>IF(B94="","",IFERROR(A94-LOOKUP(2,1/($B$4:$B93=B94),$A$4:$A93),""))</f>
        <v/>
      </c>
      <c r="J94" s="32">
        <f>IF(B94="","",IFERROR(D94/I94,""))</f>
        <v/>
      </c>
      <c r="K94" s="71">
        <f>IF(B94="","",IFERROR(AVERAGEIFS($J$4:$J94,$B$4:$B94,B94,$J$4:$J94,"&gt;"&amp;0),""))</f>
        <v/>
      </c>
      <c r="L94" s="4" t="n"/>
    </row>
    <row r="95" ht="14" customHeight="1" s="72">
      <c r="A95" s="75" t="n">
        <v>46033</v>
      </c>
      <c r="B95" s="76" t="n">
        <v>6101</v>
      </c>
      <c r="C95" s="69">
        <f>IF(B95="","",IFERROR(INDEX(Client_List!$B:$B,MATCH(B95,Client_List!$A:$A,0)),"⚠ NOT FOUND"))</f>
        <v/>
      </c>
      <c r="D95" s="43" t="n">
        <v>611</v>
      </c>
      <c r="E95" s="32">
        <f>IF(B95="","",IFERROR(INDEX(Client_List!$C:$C,MATCH(VALUE(B95),Client_List!$A:$A,0)),""))</f>
        <v/>
      </c>
      <c r="F95" s="53">
        <f>IF(B95="","",IFERROR(INDEX(Client_List!$D:$D,MATCH(VALUE(B95),Client_List!$A:$A,0)),""))</f>
        <v/>
      </c>
      <c r="G95" s="53">
        <f>IF(B95="","",IFERROR(INDEX(Client_List!$K:$K,MATCH(VALUE(B95),Client_List!$A:$A,0)),""))</f>
        <v/>
      </c>
      <c r="H95" s="32">
        <f>IF(B95="","",IFERROR(INDEX(Client_List!$J:$J,MATCH(VALUE(B95),Client_List!$A:$A,0)),""))</f>
        <v/>
      </c>
      <c r="I95" s="70">
        <f>IF(B95="","",IFERROR(A95-LOOKUP(2,1/($B$4:$B94=B95),$A$4:$A94),""))</f>
        <v/>
      </c>
      <c r="J95" s="32">
        <f>IF(B95="","",IFERROR(D95/I95,""))</f>
        <v/>
      </c>
      <c r="K95" s="71">
        <f>IF(B95="","",IFERROR(AVERAGEIFS($J$4:$J95,$B$4:$B95,B95,$J$4:$J95,"&gt;"&amp;0),""))</f>
        <v/>
      </c>
      <c r="L95" s="7" t="n"/>
    </row>
    <row r="96" ht="14" customHeight="1" s="72">
      <c r="A96" s="75" t="n">
        <v>46033</v>
      </c>
      <c r="B96" s="76" t="n">
        <v>8005</v>
      </c>
      <c r="C96" s="69">
        <f>IF(B96="","",IFERROR(INDEX(Client_List!$B:$B,MATCH(B96,Client_List!$A:$A,0)),"⚠ NOT FOUND"))</f>
        <v/>
      </c>
      <c r="D96" s="43" t="n">
        <v>915</v>
      </c>
      <c r="E96" s="32">
        <f>IF(B96="","",IFERROR(INDEX(Client_List!$C:$C,MATCH(VALUE(B96),Client_List!$A:$A,0)),""))</f>
        <v/>
      </c>
      <c r="F96" s="53">
        <f>IF(B96="","",IFERROR(INDEX(Client_List!$D:$D,MATCH(VALUE(B96),Client_List!$A:$A,0)),""))</f>
        <v/>
      </c>
      <c r="G96" s="53">
        <f>IF(B96="","",IFERROR(INDEX(Client_List!$K:$K,MATCH(VALUE(B96),Client_List!$A:$A,0)),""))</f>
        <v/>
      </c>
      <c r="H96" s="32">
        <f>IF(B96="","",IFERROR(INDEX(Client_List!$J:$J,MATCH(VALUE(B96),Client_List!$A:$A,0)),""))</f>
        <v/>
      </c>
      <c r="I96" s="70">
        <f>IF(B96="","",IFERROR(A96-LOOKUP(2,1/($B$4:$B95=B96),$A$4:$A95),""))</f>
        <v/>
      </c>
      <c r="J96" s="32">
        <f>IF(B96="","",IFERROR(D96/I96,""))</f>
        <v/>
      </c>
      <c r="K96" s="71">
        <f>IF(B96="","",IFERROR(AVERAGEIFS($J$4:$J96,$B$4:$B96,B96,$J$4:$J96,"&gt;"&amp;0),""))</f>
        <v/>
      </c>
      <c r="L96" s="4" t="n"/>
    </row>
    <row r="97" ht="14" customHeight="1" s="72">
      <c r="A97" s="75" t="n">
        <v>46033</v>
      </c>
      <c r="B97" s="76" t="n">
        <v>13015</v>
      </c>
      <c r="C97" s="69">
        <f>IF(B97="","",IFERROR(INDEX(Client_List!$B:$B,MATCH(B97,Client_List!$A:$A,0)),"⚠ NOT FOUND"))</f>
        <v/>
      </c>
      <c r="D97" s="43" t="n">
        <v>911</v>
      </c>
      <c r="E97" s="32">
        <f>IF(B97="","",IFERROR(INDEX(Client_List!$C:$C,MATCH(VALUE(B97),Client_List!$A:$A,0)),""))</f>
        <v/>
      </c>
      <c r="F97" s="53">
        <f>IF(B97="","",IFERROR(INDEX(Client_List!$D:$D,MATCH(VALUE(B97),Client_List!$A:$A,0)),""))</f>
        <v/>
      </c>
      <c r="G97" s="53">
        <f>IF(B97="","",IFERROR(INDEX(Client_List!$K:$K,MATCH(VALUE(B97),Client_List!$A:$A,0)),""))</f>
        <v/>
      </c>
      <c r="H97" s="32">
        <f>IF(B97="","",IFERROR(INDEX(Client_List!$J:$J,MATCH(VALUE(B97),Client_List!$A:$A,0)),""))</f>
        <v/>
      </c>
      <c r="I97" s="70">
        <f>IF(B97="","",IFERROR(A97-LOOKUP(2,1/($B$4:$B96=B97),$A$4:$A96),""))</f>
        <v/>
      </c>
      <c r="J97" s="32">
        <f>IF(B97="","",IFERROR(D97/I97,""))</f>
        <v/>
      </c>
      <c r="K97" s="71">
        <f>IF(B97="","",IFERROR(AVERAGEIFS($J$4:$J97,$B$4:$B97,B97,$J$4:$J97,"&gt;"&amp;0),""))</f>
        <v/>
      </c>
      <c r="L97" s="7" t="n"/>
    </row>
    <row r="98" ht="14" customHeight="1" s="72">
      <c r="A98" s="75" t="n">
        <v>46033</v>
      </c>
      <c r="B98" s="76" t="n">
        <v>20021</v>
      </c>
      <c r="C98" s="69">
        <f>IF(B98="","",IFERROR(INDEX(Client_List!$B:$B,MATCH(B98,Client_List!$A:$A,0)),"⚠ NOT FOUND"))</f>
        <v/>
      </c>
      <c r="D98" s="43" t="n">
        <v>1005</v>
      </c>
      <c r="E98" s="32">
        <f>IF(B98="","",IFERROR(INDEX(Client_List!$C:$C,MATCH(VALUE(B98),Client_List!$A:$A,0)),""))</f>
        <v/>
      </c>
      <c r="F98" s="53">
        <f>IF(B98="","",IFERROR(INDEX(Client_List!$D:$D,MATCH(VALUE(B98),Client_List!$A:$A,0)),""))</f>
        <v/>
      </c>
      <c r="G98" s="53">
        <f>IF(B98="","",IFERROR(INDEX(Client_List!$K:$K,MATCH(VALUE(B98),Client_List!$A:$A,0)),""))</f>
        <v/>
      </c>
      <c r="H98" s="32">
        <f>IF(B98="","",IFERROR(INDEX(Client_List!$J:$J,MATCH(VALUE(B98),Client_List!$A:$A,0)),""))</f>
        <v/>
      </c>
      <c r="I98" s="70">
        <f>IF(B98="","",IFERROR(A98-LOOKUP(2,1/($B$4:$B97=B98),$A$4:$A97),""))</f>
        <v/>
      </c>
      <c r="J98" s="32">
        <f>IF(B98="","",IFERROR(D98/I98,""))</f>
        <v/>
      </c>
      <c r="K98" s="71">
        <f>IF(B98="","",IFERROR(AVERAGEIFS($J$4:$J98,$B$4:$B98,B98,$J$4:$J98,"&gt;"&amp;0),""))</f>
        <v/>
      </c>
      <c r="L98" s="4" t="n"/>
    </row>
    <row r="99" ht="14" customHeight="1" s="72">
      <c r="A99" s="75" t="n">
        <v>46033</v>
      </c>
      <c r="B99" s="76" t="n">
        <v>20098</v>
      </c>
      <c r="C99" s="69">
        <f>IF(B99="","",IFERROR(INDEX(Client_List!$B:$B,MATCH(B99,Client_List!$A:$A,0)),"⚠ NOT FOUND"))</f>
        <v/>
      </c>
      <c r="D99" s="43" t="n">
        <v>150</v>
      </c>
      <c r="E99" s="32">
        <f>IF(B99="","",IFERROR(INDEX(Client_List!$C:$C,MATCH(VALUE(B99),Client_List!$A:$A,0)),""))</f>
        <v/>
      </c>
      <c r="F99" s="53">
        <f>IF(B99="","",IFERROR(INDEX(Client_List!$D:$D,MATCH(VALUE(B99),Client_List!$A:$A,0)),""))</f>
        <v/>
      </c>
      <c r="G99" s="53">
        <f>IF(B99="","",IFERROR(INDEX(Client_List!$K:$K,MATCH(VALUE(B99),Client_List!$A:$A,0)),""))</f>
        <v/>
      </c>
      <c r="H99" s="32">
        <f>IF(B99="","",IFERROR(INDEX(Client_List!$J:$J,MATCH(VALUE(B99),Client_List!$A:$A,0)),""))</f>
        <v/>
      </c>
      <c r="I99" s="70">
        <f>IF(B99="","",IFERROR(A99-LOOKUP(2,1/($B$4:$B98=B99),$A$4:$A98),""))</f>
        <v/>
      </c>
      <c r="J99" s="32">
        <f>IF(B99="","",IFERROR(D99/I99,""))</f>
        <v/>
      </c>
      <c r="K99" s="71">
        <f>IF(B99="","",IFERROR(AVERAGEIFS($J$4:$J99,$B$4:$B99,B99,$J$4:$J99,"&gt;"&amp;0),""))</f>
        <v/>
      </c>
      <c r="L99" s="7" t="n"/>
    </row>
    <row r="100" ht="14" customHeight="1" s="72">
      <c r="A100" s="75" t="n">
        <v>46035</v>
      </c>
      <c r="B100" s="76" t="n">
        <v>2023</v>
      </c>
      <c r="C100" s="69">
        <f>IF(B100="","",IFERROR(INDEX(Client_List!$B:$B,MATCH(B100,Client_List!$A:$A,0)),"⚠ NOT FOUND"))</f>
        <v/>
      </c>
      <c r="D100" s="43" t="n">
        <v>690</v>
      </c>
      <c r="E100" s="32">
        <f>IF(B100="","",IFERROR(INDEX(Client_List!$C:$C,MATCH(VALUE(B100),Client_List!$A:$A,0)),""))</f>
        <v/>
      </c>
      <c r="F100" s="53">
        <f>IF(B100="","",IFERROR(INDEX(Client_List!$D:$D,MATCH(VALUE(B100),Client_List!$A:$A,0)),""))</f>
        <v/>
      </c>
      <c r="G100" s="53">
        <f>IF(B100="","",IFERROR(INDEX(Client_List!$K:$K,MATCH(VALUE(B100),Client_List!$A:$A,0)),""))</f>
        <v/>
      </c>
      <c r="H100" s="32">
        <f>IF(B100="","",IFERROR(INDEX(Client_List!$J:$J,MATCH(VALUE(B100),Client_List!$A:$A,0)),""))</f>
        <v/>
      </c>
      <c r="I100" s="70">
        <f>IF(B100="","",IFERROR(A100-LOOKUP(2,1/($B$4:$B99=B100),$A$4:$A99),""))</f>
        <v/>
      </c>
      <c r="J100" s="32">
        <f>IF(B100="","",IFERROR(D100/I100,""))</f>
        <v/>
      </c>
      <c r="K100" s="71">
        <f>IF(B100="","",IFERROR(AVERAGEIFS($J$4:$J100,$B$4:$B100,B100,$J$4:$J100,"&gt;"&amp;0),""))</f>
        <v/>
      </c>
      <c r="L100" s="4" t="n"/>
    </row>
    <row r="101" ht="14" customHeight="1" s="72">
      <c r="A101" s="75" t="n">
        <v>46035</v>
      </c>
      <c r="B101" s="76" t="n">
        <v>3069</v>
      </c>
      <c r="C101" s="69">
        <f>IF(B101="","",IFERROR(INDEX(Client_List!$B:$B,MATCH(B101,Client_List!$A:$A,0)),"⚠ NOT FOUND"))</f>
        <v/>
      </c>
      <c r="D101" s="43" t="n">
        <v>1079</v>
      </c>
      <c r="E101" s="32">
        <f>IF(B101="","",IFERROR(INDEX(Client_List!$C:$C,MATCH(VALUE(B101),Client_List!$A:$A,0)),""))</f>
        <v/>
      </c>
      <c r="F101" s="53">
        <f>IF(B101="","",IFERROR(INDEX(Client_List!$D:$D,MATCH(VALUE(B101),Client_List!$A:$A,0)),""))</f>
        <v/>
      </c>
      <c r="G101" s="53">
        <f>IF(B101="","",IFERROR(INDEX(Client_List!$K:$K,MATCH(VALUE(B101),Client_List!$A:$A,0)),""))</f>
        <v/>
      </c>
      <c r="H101" s="32">
        <f>IF(B101="","",IFERROR(INDEX(Client_List!$J:$J,MATCH(VALUE(B101),Client_List!$A:$A,0)),""))</f>
        <v/>
      </c>
      <c r="I101" s="70">
        <f>IF(B101="","",IFERROR(A101-LOOKUP(2,1/($B$4:$B100=B101),$A$4:$A100),""))</f>
        <v/>
      </c>
      <c r="J101" s="32">
        <f>IF(B101="","",IFERROR(D101/I101,""))</f>
        <v/>
      </c>
      <c r="K101" s="71">
        <f>IF(B101="","",IFERROR(AVERAGEIFS($J$4:$J101,$B$4:$B101,B101,$J$4:$J101,"&gt;"&amp;0),""))</f>
        <v/>
      </c>
      <c r="L101" s="7" t="n"/>
    </row>
    <row r="102" ht="14" customHeight="1" s="72">
      <c r="A102" s="75" t="n">
        <v>46035</v>
      </c>
      <c r="B102" s="76" t="n">
        <v>8031</v>
      </c>
      <c r="C102" s="69">
        <f>IF(B102="","",IFERROR(INDEX(Client_List!$B:$B,MATCH(B102,Client_List!$A:$A,0)),"⚠ NOT FOUND"))</f>
        <v/>
      </c>
      <c r="D102" s="43" t="n">
        <v>1167</v>
      </c>
      <c r="E102" s="32">
        <f>IF(B102="","",IFERROR(INDEX(Client_List!$C:$C,MATCH(VALUE(B102),Client_List!$A:$A,0)),""))</f>
        <v/>
      </c>
      <c r="F102" s="53">
        <f>IF(B102="","",IFERROR(INDEX(Client_List!$D:$D,MATCH(VALUE(B102),Client_List!$A:$A,0)),""))</f>
        <v/>
      </c>
      <c r="G102" s="53">
        <f>IF(B102="","",IFERROR(INDEX(Client_List!$K:$K,MATCH(VALUE(B102),Client_List!$A:$A,0)),""))</f>
        <v/>
      </c>
      <c r="H102" s="32">
        <f>IF(B102="","",IFERROR(INDEX(Client_List!$J:$J,MATCH(VALUE(B102),Client_List!$A:$A,0)),""))</f>
        <v/>
      </c>
      <c r="I102" s="70">
        <f>IF(B102="","",IFERROR(A102-LOOKUP(2,1/($B$4:$B101=B102),$A$4:$A101),""))</f>
        <v/>
      </c>
      <c r="J102" s="32">
        <f>IF(B102="","",IFERROR(D102/I102,""))</f>
        <v/>
      </c>
      <c r="K102" s="71">
        <f>IF(B102="","",IFERROR(AVERAGEIFS($J$4:$J102,$B$4:$B102,B102,$J$4:$J102,"&gt;"&amp;0),""))</f>
        <v/>
      </c>
      <c r="L102" s="4" t="n"/>
    </row>
    <row r="103" ht="14" customHeight="1" s="72">
      <c r="A103" s="75" t="n">
        <v>46035</v>
      </c>
      <c r="B103" s="76" t="n">
        <v>8034</v>
      </c>
      <c r="C103" s="69">
        <f>IF(B103="","",IFERROR(INDEX(Client_List!$B:$B,MATCH(B103,Client_List!$A:$A,0)),"⚠ NOT FOUND"))</f>
        <v/>
      </c>
      <c r="D103" s="43" t="n">
        <v>373</v>
      </c>
      <c r="E103" s="32">
        <f>IF(B103="","",IFERROR(INDEX(Client_List!$C:$C,MATCH(VALUE(B103),Client_List!$A:$A,0)),""))</f>
        <v/>
      </c>
      <c r="F103" s="53">
        <f>IF(B103="","",IFERROR(INDEX(Client_List!$D:$D,MATCH(VALUE(B103),Client_List!$A:$A,0)),""))</f>
        <v/>
      </c>
      <c r="G103" s="53">
        <f>IF(B103="","",IFERROR(INDEX(Client_List!$K:$K,MATCH(VALUE(B103),Client_List!$A:$A,0)),""))</f>
        <v/>
      </c>
      <c r="H103" s="32">
        <f>IF(B103="","",IFERROR(INDEX(Client_List!$J:$J,MATCH(VALUE(B103),Client_List!$A:$A,0)),""))</f>
        <v/>
      </c>
      <c r="I103" s="70">
        <f>IF(B103="","",IFERROR(A103-LOOKUP(2,1/($B$4:$B102=B103),$A$4:$A102),""))</f>
        <v/>
      </c>
      <c r="J103" s="32">
        <f>IF(B103="","",IFERROR(D103/I103,""))</f>
        <v/>
      </c>
      <c r="K103" s="71">
        <f>IF(B103="","",IFERROR(AVERAGEIFS($J$4:$J103,$B$4:$B103,B103,$J$4:$J103,"&gt;"&amp;0),""))</f>
        <v/>
      </c>
      <c r="L103" s="7" t="n"/>
    </row>
    <row r="104" ht="14" customHeight="1" s="72">
      <c r="A104" s="75" t="n">
        <v>46035</v>
      </c>
      <c r="B104" s="76" t="n">
        <v>10001</v>
      </c>
      <c r="C104" s="69">
        <f>IF(B104="","",IFERROR(INDEX(Client_List!$B:$B,MATCH(B104,Client_List!$A:$A,0)),"⚠ NOT FOUND"))</f>
        <v/>
      </c>
      <c r="D104" s="43" t="n">
        <v>911</v>
      </c>
      <c r="E104" s="32">
        <f>IF(B104="","",IFERROR(INDEX(Client_List!$C:$C,MATCH(VALUE(B104),Client_List!$A:$A,0)),""))</f>
        <v/>
      </c>
      <c r="F104" s="53">
        <f>IF(B104="","",IFERROR(INDEX(Client_List!$D:$D,MATCH(VALUE(B104),Client_List!$A:$A,0)),""))</f>
        <v/>
      </c>
      <c r="G104" s="53">
        <f>IF(B104="","",IFERROR(INDEX(Client_List!$K:$K,MATCH(VALUE(B104),Client_List!$A:$A,0)),""))</f>
        <v/>
      </c>
      <c r="H104" s="32">
        <f>IF(B104="","",IFERROR(INDEX(Client_List!$J:$J,MATCH(VALUE(B104),Client_List!$A:$A,0)),""))</f>
        <v/>
      </c>
      <c r="I104" s="70">
        <f>IF(B104="","",IFERROR(A104-LOOKUP(2,1/($B$4:$B103=B104),$A$4:$A103),""))</f>
        <v/>
      </c>
      <c r="J104" s="32">
        <f>IF(B104="","",IFERROR(D104/I104,""))</f>
        <v/>
      </c>
      <c r="K104" s="71">
        <f>IF(B104="","",IFERROR(AVERAGEIFS($J$4:$J104,$B$4:$B104,B104,$J$4:$J104,"&gt;"&amp;0),""))</f>
        <v/>
      </c>
      <c r="L104" s="4" t="n"/>
    </row>
    <row r="105" ht="14" customHeight="1" s="72">
      <c r="A105" s="75" t="n">
        <v>46035</v>
      </c>
      <c r="B105" s="76" t="n">
        <v>11013</v>
      </c>
      <c r="C105" s="69">
        <f>IF(B105="","",IFERROR(INDEX(Client_List!$B:$B,MATCH(B105,Client_List!$A:$A,0)),"⚠ NOT FOUND"))</f>
        <v/>
      </c>
      <c r="D105" s="43" t="n">
        <v>1037</v>
      </c>
      <c r="E105" s="32">
        <f>IF(B105="","",IFERROR(INDEX(Client_List!$C:$C,MATCH(VALUE(B105),Client_List!$A:$A,0)),""))</f>
        <v/>
      </c>
      <c r="F105" s="53">
        <f>IF(B105="","",IFERROR(INDEX(Client_List!$D:$D,MATCH(VALUE(B105),Client_List!$A:$A,0)),""))</f>
        <v/>
      </c>
      <c r="G105" s="53">
        <f>IF(B105="","",IFERROR(INDEX(Client_List!$K:$K,MATCH(VALUE(B105),Client_List!$A:$A,0)),""))</f>
        <v/>
      </c>
      <c r="H105" s="32">
        <f>IF(B105="","",IFERROR(INDEX(Client_List!$J:$J,MATCH(VALUE(B105),Client_List!$A:$A,0)),""))</f>
        <v/>
      </c>
      <c r="I105" s="70">
        <f>IF(B105="","",IFERROR(A105-LOOKUP(2,1/($B$4:$B104=B105),$A$4:$A104),""))</f>
        <v/>
      </c>
      <c r="J105" s="32">
        <f>IF(B105="","",IFERROR(D105/I105,""))</f>
        <v/>
      </c>
      <c r="K105" s="71">
        <f>IF(B105="","",IFERROR(AVERAGEIFS($J$4:$J105,$B$4:$B105,B105,$J$4:$J105,"&gt;"&amp;0),""))</f>
        <v/>
      </c>
      <c r="L105" s="7" t="n"/>
    </row>
    <row r="106" ht="14" customHeight="1" s="72">
      <c r="A106" s="75" t="n">
        <v>46035</v>
      </c>
      <c r="B106" s="76" t="n">
        <v>12025</v>
      </c>
      <c r="C106" s="69">
        <f>IF(B106="","",IFERROR(INDEX(Client_List!$B:$B,MATCH(B106,Client_List!$A:$A,0)),"⚠ NOT FOUND"))</f>
        <v/>
      </c>
      <c r="D106" s="43" t="n">
        <v>612</v>
      </c>
      <c r="E106" s="32">
        <f>IF(B106="","",IFERROR(INDEX(Client_List!$C:$C,MATCH(VALUE(B106),Client_List!$A:$A,0)),""))</f>
        <v/>
      </c>
      <c r="F106" s="53">
        <f>IF(B106="","",IFERROR(INDEX(Client_List!$D:$D,MATCH(VALUE(B106),Client_List!$A:$A,0)),""))</f>
        <v/>
      </c>
      <c r="G106" s="53">
        <f>IF(B106="","",IFERROR(INDEX(Client_List!$K:$K,MATCH(VALUE(B106),Client_List!$A:$A,0)),""))</f>
        <v/>
      </c>
      <c r="H106" s="32">
        <f>IF(B106="","",IFERROR(INDEX(Client_List!$J:$J,MATCH(VALUE(B106),Client_List!$A:$A,0)),""))</f>
        <v/>
      </c>
      <c r="I106" s="70">
        <f>IF(B106="","",IFERROR(A106-LOOKUP(2,1/($B$4:$B105=B106),$A$4:$A105),""))</f>
        <v/>
      </c>
      <c r="J106" s="32">
        <f>IF(B106="","",IFERROR(D106/I106,""))</f>
        <v/>
      </c>
      <c r="K106" s="71">
        <f>IF(B106="","",IFERROR(AVERAGEIFS($J$4:$J106,$B$4:$B106,B106,$J$4:$J106,"&gt;"&amp;0),""))</f>
        <v/>
      </c>
      <c r="L106" s="4" t="n"/>
    </row>
    <row r="107" ht="14" customHeight="1" s="72">
      <c r="A107" s="75" t="n">
        <v>46035</v>
      </c>
      <c r="B107" s="76" t="n">
        <v>12051</v>
      </c>
      <c r="C107" s="69">
        <f>IF(B107="","",IFERROR(INDEX(Client_List!$B:$B,MATCH(B107,Client_List!$A:$A,0)),"⚠ NOT FOUND"))</f>
        <v/>
      </c>
      <c r="D107" s="43" t="n">
        <v>1011</v>
      </c>
      <c r="E107" s="32">
        <f>IF(B107="","",IFERROR(INDEX(Client_List!$C:$C,MATCH(VALUE(B107),Client_List!$A:$A,0)),""))</f>
        <v/>
      </c>
      <c r="F107" s="53">
        <f>IF(B107="","",IFERROR(INDEX(Client_List!$D:$D,MATCH(VALUE(B107),Client_List!$A:$A,0)),""))</f>
        <v/>
      </c>
      <c r="G107" s="53">
        <f>IF(B107="","",IFERROR(INDEX(Client_List!$K:$K,MATCH(VALUE(B107),Client_List!$A:$A,0)),""))</f>
        <v/>
      </c>
      <c r="H107" s="32">
        <f>IF(B107="","",IFERROR(INDEX(Client_List!$J:$J,MATCH(VALUE(B107),Client_List!$A:$A,0)),""))</f>
        <v/>
      </c>
      <c r="I107" s="70">
        <f>IF(B107="","",IFERROR(A107-LOOKUP(2,1/($B$4:$B106=B107),$A$4:$A106),""))</f>
        <v/>
      </c>
      <c r="J107" s="32">
        <f>IF(B107="","",IFERROR(D107/I107,""))</f>
        <v/>
      </c>
      <c r="K107" s="71">
        <f>IF(B107="","",IFERROR(AVERAGEIFS($J$4:$J107,$B$4:$B107,B107,$J$4:$J107,"&gt;"&amp;0),""))</f>
        <v/>
      </c>
      <c r="L107" s="7" t="n"/>
    </row>
    <row r="108" ht="14" customHeight="1" s="72">
      <c r="A108" s="75" t="n">
        <v>46035</v>
      </c>
      <c r="B108" s="76" t="n">
        <v>13013</v>
      </c>
      <c r="C108" s="69">
        <f>IF(B108="","",IFERROR(INDEX(Client_List!$B:$B,MATCH(B108,Client_List!$A:$A,0)),"⚠ NOT FOUND"))</f>
        <v/>
      </c>
      <c r="D108" s="43" t="n">
        <v>891</v>
      </c>
      <c r="E108" s="32">
        <f>IF(B108="","",IFERROR(INDEX(Client_List!$C:$C,MATCH(VALUE(B108),Client_List!$A:$A,0)),""))</f>
        <v/>
      </c>
      <c r="F108" s="53">
        <f>IF(B108="","",IFERROR(INDEX(Client_List!$D:$D,MATCH(VALUE(B108),Client_List!$A:$A,0)),""))</f>
        <v/>
      </c>
      <c r="G108" s="53">
        <f>IF(B108="","",IFERROR(INDEX(Client_List!$K:$K,MATCH(VALUE(B108),Client_List!$A:$A,0)),""))</f>
        <v/>
      </c>
      <c r="H108" s="32">
        <f>IF(B108="","",IFERROR(INDEX(Client_List!$J:$J,MATCH(VALUE(B108),Client_List!$A:$A,0)),""))</f>
        <v/>
      </c>
      <c r="I108" s="70">
        <f>IF(B108="","",IFERROR(A108-LOOKUP(2,1/($B$4:$B107=B108),$A$4:$A107),""))</f>
        <v/>
      </c>
      <c r="J108" s="32">
        <f>IF(B108="","",IFERROR(D108/I108,""))</f>
        <v/>
      </c>
      <c r="K108" s="71">
        <f>IF(B108="","",IFERROR(AVERAGEIFS($J$4:$J108,$B$4:$B108,B108,$J$4:$J108,"&gt;"&amp;0),""))</f>
        <v/>
      </c>
      <c r="L108" s="4" t="n"/>
    </row>
    <row r="109" ht="14" customHeight="1" s="72">
      <c r="A109" s="75" t="n">
        <v>46035</v>
      </c>
      <c r="B109" s="76" t="n">
        <v>15002</v>
      </c>
      <c r="C109" s="69">
        <f>IF(B109="","",IFERROR(INDEX(Client_List!$B:$B,MATCH(B109,Client_List!$A:$A,0)),"⚠ NOT FOUND"))</f>
        <v/>
      </c>
      <c r="D109" s="43" t="n">
        <v>482</v>
      </c>
      <c r="E109" s="32">
        <f>IF(B109="","",IFERROR(INDEX(Client_List!$C:$C,MATCH(VALUE(B109),Client_List!$A:$A,0)),""))</f>
        <v/>
      </c>
      <c r="F109" s="53">
        <f>IF(B109="","",IFERROR(INDEX(Client_List!$D:$D,MATCH(VALUE(B109),Client_List!$A:$A,0)),""))</f>
        <v/>
      </c>
      <c r="G109" s="53">
        <f>IF(B109="","",IFERROR(INDEX(Client_List!$K:$K,MATCH(VALUE(B109),Client_List!$A:$A,0)),""))</f>
        <v/>
      </c>
      <c r="H109" s="32">
        <f>IF(B109="","",IFERROR(INDEX(Client_List!$J:$J,MATCH(VALUE(B109),Client_List!$A:$A,0)),""))</f>
        <v/>
      </c>
      <c r="I109" s="70">
        <f>IF(B109="","",IFERROR(A109-LOOKUP(2,1/($B$4:$B108=B109),$A$4:$A108),""))</f>
        <v/>
      </c>
      <c r="J109" s="32">
        <f>IF(B109="","",IFERROR(D109/I109,""))</f>
        <v/>
      </c>
      <c r="K109" s="71">
        <f>IF(B109="","",IFERROR(AVERAGEIFS($J$4:$J109,$B$4:$B109,B109,$J$4:$J109,"&gt;"&amp;0),""))</f>
        <v/>
      </c>
      <c r="L109" s="7" t="n"/>
    </row>
    <row r="110" ht="14" customHeight="1" s="72">
      <c r="A110" s="75" t="n">
        <v>46035</v>
      </c>
      <c r="B110" s="76" t="n">
        <v>15005</v>
      </c>
      <c r="C110" s="69">
        <f>IF(B110="","",IFERROR(INDEX(Client_List!$B:$B,MATCH(B110,Client_List!$A:$A,0)),"⚠ NOT FOUND"))</f>
        <v/>
      </c>
      <c r="D110" s="43" t="n">
        <v>648</v>
      </c>
      <c r="E110" s="32">
        <f>IF(B110="","",IFERROR(INDEX(Client_List!$C:$C,MATCH(VALUE(B110),Client_List!$A:$A,0)),""))</f>
        <v/>
      </c>
      <c r="F110" s="53">
        <f>IF(B110="","",IFERROR(INDEX(Client_List!$D:$D,MATCH(VALUE(B110),Client_List!$A:$A,0)),""))</f>
        <v/>
      </c>
      <c r="G110" s="53">
        <f>IF(B110="","",IFERROR(INDEX(Client_List!$K:$K,MATCH(VALUE(B110),Client_List!$A:$A,0)),""))</f>
        <v/>
      </c>
      <c r="H110" s="32">
        <f>IF(B110="","",IFERROR(INDEX(Client_List!$J:$J,MATCH(VALUE(B110),Client_List!$A:$A,0)),""))</f>
        <v/>
      </c>
      <c r="I110" s="70">
        <f>IF(B110="","",IFERROR(A110-LOOKUP(2,1/($B$4:$B109=B110),$A$4:$A109),""))</f>
        <v/>
      </c>
      <c r="J110" s="32">
        <f>IF(B110="","",IFERROR(D110/I110,""))</f>
        <v/>
      </c>
      <c r="K110" s="71">
        <f>IF(B110="","",IFERROR(AVERAGEIFS($J$4:$J110,$B$4:$B110,B110,$J$4:$J110,"&gt;"&amp;0),""))</f>
        <v/>
      </c>
      <c r="L110" s="4" t="n"/>
    </row>
    <row r="111" ht="14" customHeight="1" s="72">
      <c r="A111" s="75" t="n">
        <v>46035</v>
      </c>
      <c r="B111" s="76" t="n">
        <v>16005</v>
      </c>
      <c r="C111" s="69">
        <f>IF(B111="","",IFERROR(INDEX(Client_List!$B:$B,MATCH(B111,Client_List!$A:$A,0)),"⚠ NOT FOUND"))</f>
        <v/>
      </c>
      <c r="D111" s="43" t="n">
        <v>788</v>
      </c>
      <c r="E111" s="32">
        <f>IF(B111="","",IFERROR(INDEX(Client_List!$C:$C,MATCH(VALUE(B111),Client_List!$A:$A,0)),""))</f>
        <v/>
      </c>
      <c r="F111" s="53">
        <f>IF(B111="","",IFERROR(INDEX(Client_List!$D:$D,MATCH(VALUE(B111),Client_List!$A:$A,0)),""))</f>
        <v/>
      </c>
      <c r="G111" s="53">
        <f>IF(B111="","",IFERROR(INDEX(Client_List!$K:$K,MATCH(VALUE(B111),Client_List!$A:$A,0)),""))</f>
        <v/>
      </c>
      <c r="H111" s="32">
        <f>IF(B111="","",IFERROR(INDEX(Client_List!$J:$J,MATCH(VALUE(B111),Client_List!$A:$A,0)),""))</f>
        <v/>
      </c>
      <c r="I111" s="70">
        <f>IF(B111="","",IFERROR(A111-LOOKUP(2,1/($B$4:$B110=B111),$A$4:$A110),""))</f>
        <v/>
      </c>
      <c r="J111" s="32">
        <f>IF(B111="","",IFERROR(D111/I111,""))</f>
        <v/>
      </c>
      <c r="K111" s="71">
        <f>IF(B111="","",IFERROR(AVERAGEIFS($J$4:$J111,$B$4:$B111,B111,$J$4:$J111,"&gt;"&amp;0),""))</f>
        <v/>
      </c>
      <c r="L111" s="7" t="n"/>
    </row>
    <row r="112" ht="14" customHeight="1" s="72">
      <c r="A112" s="75" t="n">
        <v>46035</v>
      </c>
      <c r="B112" s="76" t="n">
        <v>16008</v>
      </c>
      <c r="C112" s="69">
        <f>IF(B112="","",IFERROR(INDEX(Client_List!$B:$B,MATCH(B112,Client_List!$A:$A,0)),"⚠ NOT FOUND"))</f>
        <v/>
      </c>
      <c r="D112" s="43" t="n">
        <v>919</v>
      </c>
      <c r="E112" s="32">
        <f>IF(B112="","",IFERROR(INDEX(Client_List!$C:$C,MATCH(VALUE(B112),Client_List!$A:$A,0)),""))</f>
        <v/>
      </c>
      <c r="F112" s="53">
        <f>IF(B112="","",IFERROR(INDEX(Client_List!$D:$D,MATCH(VALUE(B112),Client_List!$A:$A,0)),""))</f>
        <v/>
      </c>
      <c r="G112" s="53">
        <f>IF(B112="","",IFERROR(INDEX(Client_List!$K:$K,MATCH(VALUE(B112),Client_List!$A:$A,0)),""))</f>
        <v/>
      </c>
      <c r="H112" s="32">
        <f>IF(B112="","",IFERROR(INDEX(Client_List!$J:$J,MATCH(VALUE(B112),Client_List!$A:$A,0)),""))</f>
        <v/>
      </c>
      <c r="I112" s="70">
        <f>IF(B112="","",IFERROR(A112-LOOKUP(2,1/($B$4:$B111=B112),$A$4:$A111),""))</f>
        <v/>
      </c>
      <c r="J112" s="32">
        <f>IF(B112="","",IFERROR(D112/I112,""))</f>
        <v/>
      </c>
      <c r="K112" s="71">
        <f>IF(B112="","",IFERROR(AVERAGEIFS($J$4:$J112,$B$4:$B112,B112,$J$4:$J112,"&gt;"&amp;0),""))</f>
        <v/>
      </c>
      <c r="L112" s="4" t="n"/>
    </row>
    <row r="113" ht="14" customHeight="1" s="72">
      <c r="A113" s="75" t="n">
        <v>46035</v>
      </c>
      <c r="B113" s="76" t="n">
        <v>16010</v>
      </c>
      <c r="C113" s="69">
        <f>IF(B113="","",IFERROR(INDEX(Client_List!$B:$B,MATCH(B113,Client_List!$A:$A,0)),"⚠ NOT FOUND"))</f>
        <v/>
      </c>
      <c r="D113" s="43" t="n">
        <v>1115</v>
      </c>
      <c r="E113" s="32">
        <f>IF(B113="","",IFERROR(INDEX(Client_List!$C:$C,MATCH(VALUE(B113),Client_List!$A:$A,0)),""))</f>
        <v/>
      </c>
      <c r="F113" s="53">
        <f>IF(B113="","",IFERROR(INDEX(Client_List!$D:$D,MATCH(VALUE(B113),Client_List!$A:$A,0)),""))</f>
        <v/>
      </c>
      <c r="G113" s="53">
        <f>IF(B113="","",IFERROR(INDEX(Client_List!$K:$K,MATCH(VALUE(B113),Client_List!$A:$A,0)),""))</f>
        <v/>
      </c>
      <c r="H113" s="32">
        <f>IF(B113="","",IFERROR(INDEX(Client_List!$J:$J,MATCH(VALUE(B113),Client_List!$A:$A,0)),""))</f>
        <v/>
      </c>
      <c r="I113" s="70">
        <f>IF(B113="","",IFERROR(A113-LOOKUP(2,1/($B$4:$B112=B113),$A$4:$A112),""))</f>
        <v/>
      </c>
      <c r="J113" s="32">
        <f>IF(B113="","",IFERROR(D113/I113,""))</f>
        <v/>
      </c>
      <c r="K113" s="71">
        <f>IF(B113="","",IFERROR(AVERAGEIFS($J$4:$J113,$B$4:$B113,B113,$J$4:$J113,"&gt;"&amp;0),""))</f>
        <v/>
      </c>
      <c r="L113" s="7" t="n"/>
    </row>
    <row r="114" ht="14" customHeight="1" s="72">
      <c r="A114" s="75" t="n">
        <v>46035</v>
      </c>
      <c r="B114" s="76" t="n">
        <v>20091</v>
      </c>
      <c r="C114" s="69">
        <f>IF(B114="","",IFERROR(INDEX(Client_List!$B:$B,MATCH(B114,Client_List!$A:$A,0)),"⚠ NOT FOUND"))</f>
        <v/>
      </c>
      <c r="D114" s="43" t="n">
        <v>976</v>
      </c>
      <c r="E114" s="32">
        <f>IF(B114="","",IFERROR(INDEX(Client_List!$C:$C,MATCH(VALUE(B114),Client_List!$A:$A,0)),""))</f>
        <v/>
      </c>
      <c r="F114" s="53">
        <f>IF(B114="","",IFERROR(INDEX(Client_List!$D:$D,MATCH(VALUE(B114),Client_List!$A:$A,0)),""))</f>
        <v/>
      </c>
      <c r="G114" s="53">
        <f>IF(B114="","",IFERROR(INDEX(Client_List!$K:$K,MATCH(VALUE(B114),Client_List!$A:$A,0)),""))</f>
        <v/>
      </c>
      <c r="H114" s="32">
        <f>IF(B114="","",IFERROR(INDEX(Client_List!$J:$J,MATCH(VALUE(B114),Client_List!$A:$A,0)),""))</f>
        <v/>
      </c>
      <c r="I114" s="70">
        <f>IF(B114="","",IFERROR(A114-LOOKUP(2,1/($B$4:$B113=B114),$A$4:$A113),""))</f>
        <v/>
      </c>
      <c r="J114" s="32">
        <f>IF(B114="","",IFERROR(D114/I114,""))</f>
        <v/>
      </c>
      <c r="K114" s="71">
        <f>IF(B114="","",IFERROR(AVERAGEIFS($J$4:$J114,$B$4:$B114,B114,$J$4:$J114,"&gt;"&amp;0),""))</f>
        <v/>
      </c>
      <c r="L114" s="4" t="n"/>
    </row>
    <row r="115" ht="14" customHeight="1" s="72">
      <c r="A115" s="75" t="n">
        <v>46035</v>
      </c>
      <c r="B115" s="76" t="n">
        <v>20092</v>
      </c>
      <c r="C115" s="69">
        <f>IF(B115="","",IFERROR(INDEX(Client_List!$B:$B,MATCH(B115,Client_List!$A:$A,0)),"⚠ NOT FOUND"))</f>
        <v/>
      </c>
      <c r="D115" s="43" t="n">
        <v>1096</v>
      </c>
      <c r="E115" s="32">
        <f>IF(B115="","",IFERROR(INDEX(Client_List!$C:$C,MATCH(VALUE(B115),Client_List!$A:$A,0)),""))</f>
        <v/>
      </c>
      <c r="F115" s="53">
        <f>IF(B115="","",IFERROR(INDEX(Client_List!$D:$D,MATCH(VALUE(B115),Client_List!$A:$A,0)),""))</f>
        <v/>
      </c>
      <c r="G115" s="53">
        <f>IF(B115="","",IFERROR(INDEX(Client_List!$K:$K,MATCH(VALUE(B115),Client_List!$A:$A,0)),""))</f>
        <v/>
      </c>
      <c r="H115" s="32">
        <f>IF(B115="","",IFERROR(INDEX(Client_List!$J:$J,MATCH(VALUE(B115),Client_List!$A:$A,0)),""))</f>
        <v/>
      </c>
      <c r="I115" s="70">
        <f>IF(B115="","",IFERROR(A115-LOOKUP(2,1/($B$4:$B114=B115),$A$4:$A114),""))</f>
        <v/>
      </c>
      <c r="J115" s="32">
        <f>IF(B115="","",IFERROR(D115/I115,""))</f>
        <v/>
      </c>
      <c r="K115" s="71">
        <f>IF(B115="","",IFERROR(AVERAGEIFS($J$4:$J115,$B$4:$B115,B115,$J$4:$J115,"&gt;"&amp;0),""))</f>
        <v/>
      </c>
      <c r="L115" s="7" t="n"/>
    </row>
    <row r="116" ht="14" customHeight="1" s="72">
      <c r="A116" s="75" t="n">
        <v>46035</v>
      </c>
      <c r="B116" s="76" t="n">
        <v>20097</v>
      </c>
      <c r="C116" s="69">
        <f>IF(B116="","",IFERROR(INDEX(Client_List!$B:$B,MATCH(B116,Client_List!$A:$A,0)),"⚠ NOT FOUND"))</f>
        <v/>
      </c>
      <c r="D116" s="43" t="n">
        <v>964</v>
      </c>
      <c r="E116" s="32">
        <f>IF(B116="","",IFERROR(INDEX(Client_List!$C:$C,MATCH(VALUE(B116),Client_List!$A:$A,0)),""))</f>
        <v/>
      </c>
      <c r="F116" s="53">
        <f>IF(B116="","",IFERROR(INDEX(Client_List!$D:$D,MATCH(VALUE(B116),Client_List!$A:$A,0)),""))</f>
        <v/>
      </c>
      <c r="G116" s="53">
        <f>IF(B116="","",IFERROR(INDEX(Client_List!$K:$K,MATCH(VALUE(B116),Client_List!$A:$A,0)),""))</f>
        <v/>
      </c>
      <c r="H116" s="32">
        <f>IF(B116="","",IFERROR(INDEX(Client_List!$J:$J,MATCH(VALUE(B116),Client_List!$A:$A,0)),""))</f>
        <v/>
      </c>
      <c r="I116" s="70">
        <f>IF(B116="","",IFERROR(A116-LOOKUP(2,1/($B$4:$B115=B116),$A$4:$A115),""))</f>
        <v/>
      </c>
      <c r="J116" s="32">
        <f>IF(B116="","",IFERROR(D116/I116,""))</f>
        <v/>
      </c>
      <c r="K116" s="71">
        <f>IF(B116="","",IFERROR(AVERAGEIFS($J$4:$J116,$B$4:$B116,B116,$J$4:$J116,"&gt;"&amp;0),""))</f>
        <v/>
      </c>
      <c r="L116" s="4" t="n"/>
    </row>
    <row r="117" ht="14" customHeight="1" s="72">
      <c r="A117" s="75" t="n">
        <v>46035</v>
      </c>
      <c r="B117" s="76" t="n">
        <v>20098</v>
      </c>
      <c r="C117" s="69">
        <f>IF(B117="","",IFERROR(INDEX(Client_List!$B:$B,MATCH(B117,Client_List!$A:$A,0)),"⚠ NOT FOUND"))</f>
        <v/>
      </c>
      <c r="D117" s="43" t="n">
        <v>1023</v>
      </c>
      <c r="E117" s="32">
        <f>IF(B117="","",IFERROR(INDEX(Client_List!$C:$C,MATCH(VALUE(B117),Client_List!$A:$A,0)),""))</f>
        <v/>
      </c>
      <c r="F117" s="53">
        <f>IF(B117="","",IFERROR(INDEX(Client_List!$D:$D,MATCH(VALUE(B117),Client_List!$A:$A,0)),""))</f>
        <v/>
      </c>
      <c r="G117" s="53">
        <f>IF(B117="","",IFERROR(INDEX(Client_List!$K:$K,MATCH(VALUE(B117),Client_List!$A:$A,0)),""))</f>
        <v/>
      </c>
      <c r="H117" s="32">
        <f>IF(B117="","",IFERROR(INDEX(Client_List!$J:$J,MATCH(VALUE(B117),Client_List!$A:$A,0)),""))</f>
        <v/>
      </c>
      <c r="I117" s="70">
        <f>IF(B117="","",IFERROR(A117-LOOKUP(2,1/($B$4:$B116=B117),$A$4:$A116),""))</f>
        <v/>
      </c>
      <c r="J117" s="32">
        <f>IF(B117="","",IFERROR(D117/I117,""))</f>
        <v/>
      </c>
      <c r="K117" s="71">
        <f>IF(B117="","",IFERROR(AVERAGEIFS($J$4:$J117,$B$4:$B117,B117,$J$4:$J117,"&gt;"&amp;0),""))</f>
        <v/>
      </c>
      <c r="L117" s="7" t="n"/>
    </row>
    <row r="118" ht="14" customHeight="1" s="72">
      <c r="A118" s="75" t="n">
        <v>46036</v>
      </c>
      <c r="B118" s="76" t="n">
        <v>2038</v>
      </c>
      <c r="C118" s="69">
        <f>IF(B118="","",IFERROR(INDEX(Client_List!$B:$B,MATCH(B118,Client_List!$A:$A,0)),"⚠ NOT FOUND"))</f>
        <v/>
      </c>
      <c r="D118" s="43" t="n">
        <v>614</v>
      </c>
      <c r="E118" s="32">
        <f>IF(B118="","",IFERROR(INDEX(Client_List!$C:$C,MATCH(VALUE(B118),Client_List!$A:$A,0)),""))</f>
        <v/>
      </c>
      <c r="F118" s="53">
        <f>IF(B118="","",IFERROR(INDEX(Client_List!$D:$D,MATCH(VALUE(B118),Client_List!$A:$A,0)),""))</f>
        <v/>
      </c>
      <c r="G118" s="53">
        <f>IF(B118="","",IFERROR(INDEX(Client_List!$K:$K,MATCH(VALUE(B118),Client_List!$A:$A,0)),""))</f>
        <v/>
      </c>
      <c r="H118" s="32">
        <f>IF(B118="","",IFERROR(INDEX(Client_List!$J:$J,MATCH(VALUE(B118),Client_List!$A:$A,0)),""))</f>
        <v/>
      </c>
      <c r="I118" s="70">
        <f>IF(B118="","",IFERROR(A118-LOOKUP(2,1/($B$4:$B117=B118),$A$4:$A117),""))</f>
        <v/>
      </c>
      <c r="J118" s="32">
        <f>IF(B118="","",IFERROR(D118/I118,""))</f>
        <v/>
      </c>
      <c r="K118" s="71">
        <f>IF(B118="","",IFERROR(AVERAGEIFS($J$4:$J118,$B$4:$B118,B118,$J$4:$J118,"&gt;"&amp;0),""))</f>
        <v/>
      </c>
      <c r="L118" s="4" t="n"/>
    </row>
    <row r="119" ht="14" customHeight="1" s="72">
      <c r="A119" s="75" t="n">
        <v>46036</v>
      </c>
      <c r="B119" s="76" t="n">
        <v>2078</v>
      </c>
      <c r="C119" s="69">
        <f>IF(B119="","",IFERROR(INDEX(Client_List!$B:$B,MATCH(B119,Client_List!$A:$A,0)),"⚠ NOT FOUND"))</f>
        <v/>
      </c>
      <c r="D119" s="43" t="n">
        <v>316</v>
      </c>
      <c r="E119" s="32">
        <f>IF(B119="","",IFERROR(INDEX(Client_List!$C:$C,MATCH(VALUE(B119),Client_List!$A:$A,0)),""))</f>
        <v/>
      </c>
      <c r="F119" s="53">
        <f>IF(B119="","",IFERROR(INDEX(Client_List!$D:$D,MATCH(VALUE(B119),Client_List!$A:$A,0)),""))</f>
        <v/>
      </c>
      <c r="G119" s="53">
        <f>IF(B119="","",IFERROR(INDEX(Client_List!$K:$K,MATCH(VALUE(B119),Client_List!$A:$A,0)),""))</f>
        <v/>
      </c>
      <c r="H119" s="32">
        <f>IF(B119="","",IFERROR(INDEX(Client_List!$J:$J,MATCH(VALUE(B119),Client_List!$A:$A,0)),""))</f>
        <v/>
      </c>
      <c r="I119" s="70">
        <f>IF(B119="","",IFERROR(A119-LOOKUP(2,1/($B$4:$B118=B119),$A$4:$A118),""))</f>
        <v/>
      </c>
      <c r="J119" s="32">
        <f>IF(B119="","",IFERROR(D119/I119,""))</f>
        <v/>
      </c>
      <c r="K119" s="71">
        <f>IF(B119="","",IFERROR(AVERAGEIFS($J$4:$J119,$B$4:$B119,B119,$J$4:$J119,"&gt;"&amp;0),""))</f>
        <v/>
      </c>
      <c r="L119" s="7" t="n"/>
    </row>
    <row r="120" ht="14" customHeight="1" s="72">
      <c r="A120" s="75" t="n">
        <v>46036</v>
      </c>
      <c r="B120" s="76" t="n">
        <v>3063</v>
      </c>
      <c r="C120" s="69">
        <f>IF(B120="","",IFERROR(INDEX(Client_List!$B:$B,MATCH(B120,Client_List!$A:$A,0)),"⚠ NOT FOUND"))</f>
        <v/>
      </c>
      <c r="D120" s="43" t="n">
        <v>1361</v>
      </c>
      <c r="E120" s="32">
        <f>IF(B120="","",IFERROR(INDEX(Client_List!$C:$C,MATCH(VALUE(B120),Client_List!$A:$A,0)),""))</f>
        <v/>
      </c>
      <c r="F120" s="53">
        <f>IF(B120="","",IFERROR(INDEX(Client_List!$D:$D,MATCH(VALUE(B120),Client_List!$A:$A,0)),""))</f>
        <v/>
      </c>
      <c r="G120" s="53">
        <f>IF(B120="","",IFERROR(INDEX(Client_List!$K:$K,MATCH(VALUE(B120),Client_List!$A:$A,0)),""))</f>
        <v/>
      </c>
      <c r="H120" s="32">
        <f>IF(B120="","",IFERROR(INDEX(Client_List!$J:$J,MATCH(VALUE(B120),Client_List!$A:$A,0)),""))</f>
        <v/>
      </c>
      <c r="I120" s="70">
        <f>IF(B120="","",IFERROR(A120-LOOKUP(2,1/($B$4:$B119=B120),$A$4:$A119),""))</f>
        <v/>
      </c>
      <c r="J120" s="32">
        <f>IF(B120="","",IFERROR(D120/I120,""))</f>
        <v/>
      </c>
      <c r="K120" s="71">
        <f>IF(B120="","",IFERROR(AVERAGEIFS($J$4:$J120,$B$4:$B120,B120,$J$4:$J120,"&gt;"&amp;0),""))</f>
        <v/>
      </c>
      <c r="L120" s="4" t="n"/>
    </row>
    <row r="121" ht="14" customHeight="1" s="72">
      <c r="A121" s="75" t="n">
        <v>46036</v>
      </c>
      <c r="B121" s="76" t="n">
        <v>6109</v>
      </c>
      <c r="C121" s="69">
        <f>IF(B121="","",IFERROR(INDEX(Client_List!$B:$B,MATCH(B121,Client_List!$A:$A,0)),"⚠ NOT FOUND"))</f>
        <v/>
      </c>
      <c r="D121" s="43" t="n">
        <v>521</v>
      </c>
      <c r="E121" s="32">
        <f>IF(B121="","",IFERROR(INDEX(Client_List!$C:$C,MATCH(VALUE(B121),Client_List!$A:$A,0)),""))</f>
        <v/>
      </c>
      <c r="F121" s="53">
        <f>IF(B121="","",IFERROR(INDEX(Client_List!$D:$D,MATCH(VALUE(B121),Client_List!$A:$A,0)),""))</f>
        <v/>
      </c>
      <c r="G121" s="53">
        <f>IF(B121="","",IFERROR(INDEX(Client_List!$K:$K,MATCH(VALUE(B121),Client_List!$A:$A,0)),""))</f>
        <v/>
      </c>
      <c r="H121" s="32">
        <f>IF(B121="","",IFERROR(INDEX(Client_List!$J:$J,MATCH(VALUE(B121),Client_List!$A:$A,0)),""))</f>
        <v/>
      </c>
      <c r="I121" s="70">
        <f>IF(B121="","",IFERROR(A121-LOOKUP(2,1/($B$4:$B120=B121),$A$4:$A120),""))</f>
        <v/>
      </c>
      <c r="J121" s="32">
        <f>IF(B121="","",IFERROR(D121/I121,""))</f>
        <v/>
      </c>
      <c r="K121" s="71">
        <f>IF(B121="","",IFERROR(AVERAGEIFS($J$4:$J121,$B$4:$B121,B121,$J$4:$J121,"&gt;"&amp;0),""))</f>
        <v/>
      </c>
      <c r="L121" s="7" t="n"/>
    </row>
    <row r="122" ht="14" customHeight="1" s="72">
      <c r="A122" s="75" t="n">
        <v>46036</v>
      </c>
      <c r="B122" s="76" t="n">
        <v>7053</v>
      </c>
      <c r="C122" s="69">
        <f>IF(B122="","",IFERROR(INDEX(Client_List!$B:$B,MATCH(B122,Client_List!$A:$A,0)),"⚠ NOT FOUND"))</f>
        <v/>
      </c>
      <c r="D122" s="43" t="n">
        <v>362</v>
      </c>
      <c r="E122" s="32">
        <f>IF(B122="","",IFERROR(INDEX(Client_List!$C:$C,MATCH(VALUE(B122),Client_List!$A:$A,0)),""))</f>
        <v/>
      </c>
      <c r="F122" s="53">
        <f>IF(B122="","",IFERROR(INDEX(Client_List!$D:$D,MATCH(VALUE(B122),Client_List!$A:$A,0)),""))</f>
        <v/>
      </c>
      <c r="G122" s="53">
        <f>IF(B122="","",IFERROR(INDEX(Client_List!$K:$K,MATCH(VALUE(B122),Client_List!$A:$A,0)),""))</f>
        <v/>
      </c>
      <c r="H122" s="32">
        <f>IF(B122="","",IFERROR(INDEX(Client_List!$J:$J,MATCH(VALUE(B122),Client_List!$A:$A,0)),""))</f>
        <v/>
      </c>
      <c r="I122" s="70">
        <f>IF(B122="","",IFERROR(A122-LOOKUP(2,1/($B$4:$B121=B122),$A$4:$A121),""))</f>
        <v/>
      </c>
      <c r="J122" s="32">
        <f>IF(B122="","",IFERROR(D122/I122,""))</f>
        <v/>
      </c>
      <c r="K122" s="71">
        <f>IF(B122="","",IFERROR(AVERAGEIFS($J$4:$J122,$B$4:$B122,B122,$J$4:$J122,"&gt;"&amp;0),""))</f>
        <v/>
      </c>
      <c r="L122" s="4" t="n"/>
    </row>
    <row r="123" ht="14" customHeight="1" s="72">
      <c r="A123" s="75" t="n">
        <v>46036</v>
      </c>
      <c r="B123" s="76" t="n">
        <v>12047</v>
      </c>
      <c r="C123" s="69">
        <f>IF(B123="","",IFERROR(INDEX(Client_List!$B:$B,MATCH(B123,Client_List!$A:$A,0)),"⚠ NOT FOUND"))</f>
        <v/>
      </c>
      <c r="D123" s="43" t="n">
        <v>632</v>
      </c>
      <c r="E123" s="32">
        <f>IF(B123="","",IFERROR(INDEX(Client_List!$C:$C,MATCH(VALUE(B123),Client_List!$A:$A,0)),""))</f>
        <v/>
      </c>
      <c r="F123" s="53">
        <f>IF(B123="","",IFERROR(INDEX(Client_List!$D:$D,MATCH(VALUE(B123),Client_List!$A:$A,0)),""))</f>
        <v/>
      </c>
      <c r="G123" s="53">
        <f>IF(B123="","",IFERROR(INDEX(Client_List!$K:$K,MATCH(VALUE(B123),Client_List!$A:$A,0)),""))</f>
        <v/>
      </c>
      <c r="H123" s="32">
        <f>IF(B123="","",IFERROR(INDEX(Client_List!$J:$J,MATCH(VALUE(B123),Client_List!$A:$A,0)),""))</f>
        <v/>
      </c>
      <c r="I123" s="70">
        <f>IF(B123="","",IFERROR(A123-LOOKUP(2,1/($B$4:$B122=B123),$A$4:$A122),""))</f>
        <v/>
      </c>
      <c r="J123" s="32">
        <f>IF(B123="","",IFERROR(D123/I123,""))</f>
        <v/>
      </c>
      <c r="K123" s="71">
        <f>IF(B123="","",IFERROR(AVERAGEIFS($J$4:$J123,$B$4:$B123,B123,$J$4:$J123,"&gt;"&amp;0),""))</f>
        <v/>
      </c>
      <c r="L123" s="7" t="n"/>
    </row>
    <row r="124" ht="14" customHeight="1" s="72">
      <c r="A124" s="75" t="n">
        <v>46036</v>
      </c>
      <c r="B124" s="76" t="n">
        <v>12055</v>
      </c>
      <c r="C124" s="69">
        <f>IF(B124="","",IFERROR(INDEX(Client_List!$B:$B,MATCH(B124,Client_List!$A:$A,0)),"⚠ NOT FOUND"))</f>
        <v/>
      </c>
      <c r="D124" s="43" t="n">
        <v>1045</v>
      </c>
      <c r="E124" s="32">
        <f>IF(B124="","",IFERROR(INDEX(Client_List!$C:$C,MATCH(VALUE(B124),Client_List!$A:$A,0)),""))</f>
        <v/>
      </c>
      <c r="F124" s="53">
        <f>IF(B124="","",IFERROR(INDEX(Client_List!$D:$D,MATCH(VALUE(B124),Client_List!$A:$A,0)),""))</f>
        <v/>
      </c>
      <c r="G124" s="53">
        <f>IF(B124="","",IFERROR(INDEX(Client_List!$K:$K,MATCH(VALUE(B124),Client_List!$A:$A,0)),""))</f>
        <v/>
      </c>
      <c r="H124" s="32">
        <f>IF(B124="","",IFERROR(INDEX(Client_List!$J:$J,MATCH(VALUE(B124),Client_List!$A:$A,0)),""))</f>
        <v/>
      </c>
      <c r="I124" s="70">
        <f>IF(B124="","",IFERROR(A124-LOOKUP(2,1/($B$4:$B123=B124),$A$4:$A123),""))</f>
        <v/>
      </c>
      <c r="J124" s="32">
        <f>IF(B124="","",IFERROR(D124/I124,""))</f>
        <v/>
      </c>
      <c r="K124" s="71">
        <f>IF(B124="","",IFERROR(AVERAGEIFS($J$4:$J124,$B$4:$B124,B124,$J$4:$J124,"&gt;"&amp;0),""))</f>
        <v/>
      </c>
      <c r="L124" s="4" t="n"/>
    </row>
    <row r="125" ht="14" customHeight="1" s="72">
      <c r="A125" s="75" t="n">
        <v>46036</v>
      </c>
      <c r="B125" s="76" t="n">
        <v>13057</v>
      </c>
      <c r="C125" s="69">
        <f>IF(B125="","",IFERROR(INDEX(Client_List!$B:$B,MATCH(B125,Client_List!$A:$A,0)),"⚠ NOT FOUND"))</f>
        <v/>
      </c>
      <c r="D125" s="43" t="n">
        <v>938</v>
      </c>
      <c r="E125" s="32">
        <f>IF(B125="","",IFERROR(INDEX(Client_List!$C:$C,MATCH(VALUE(B125),Client_List!$A:$A,0)),""))</f>
        <v/>
      </c>
      <c r="F125" s="53">
        <f>IF(B125="","",IFERROR(INDEX(Client_List!$D:$D,MATCH(VALUE(B125),Client_List!$A:$A,0)),""))</f>
        <v/>
      </c>
      <c r="G125" s="53">
        <f>IF(B125="","",IFERROR(INDEX(Client_List!$K:$K,MATCH(VALUE(B125),Client_List!$A:$A,0)),""))</f>
        <v/>
      </c>
      <c r="H125" s="32">
        <f>IF(B125="","",IFERROR(INDEX(Client_List!$J:$J,MATCH(VALUE(B125),Client_List!$A:$A,0)),""))</f>
        <v/>
      </c>
      <c r="I125" s="70">
        <f>IF(B125="","",IFERROR(A125-LOOKUP(2,1/($B$4:$B124=B125),$A$4:$A124),""))</f>
        <v/>
      </c>
      <c r="J125" s="32">
        <f>IF(B125="","",IFERROR(D125/I125,""))</f>
        <v/>
      </c>
      <c r="K125" s="71">
        <f>IF(B125="","",IFERROR(AVERAGEIFS($J$4:$J125,$B$4:$B125,B125,$J$4:$J125,"&gt;"&amp;0),""))</f>
        <v/>
      </c>
      <c r="L125" s="7" t="n"/>
    </row>
    <row r="126" ht="14" customHeight="1" s="72">
      <c r="A126" s="75" t="n">
        <v>46036</v>
      </c>
      <c r="B126" s="76" t="n">
        <v>15020</v>
      </c>
      <c r="C126" s="69">
        <f>IF(B126="","",IFERROR(INDEX(Client_List!$B:$B,MATCH(B126,Client_List!$A:$A,0)),"⚠ NOT FOUND"))</f>
        <v/>
      </c>
      <c r="D126" s="43" t="n">
        <v>452</v>
      </c>
      <c r="E126" s="32">
        <f>IF(B126="","",IFERROR(INDEX(Client_List!$C:$C,MATCH(VALUE(B126),Client_List!$A:$A,0)),""))</f>
        <v/>
      </c>
      <c r="F126" s="53">
        <f>IF(B126="","",IFERROR(INDEX(Client_List!$D:$D,MATCH(VALUE(B126),Client_List!$A:$A,0)),""))</f>
        <v/>
      </c>
      <c r="G126" s="53">
        <f>IF(B126="","",IFERROR(INDEX(Client_List!$K:$K,MATCH(VALUE(B126),Client_List!$A:$A,0)),""))</f>
        <v/>
      </c>
      <c r="H126" s="32">
        <f>IF(B126="","",IFERROR(INDEX(Client_List!$J:$J,MATCH(VALUE(B126),Client_List!$A:$A,0)),""))</f>
        <v/>
      </c>
      <c r="I126" s="70">
        <f>IF(B126="","",IFERROR(A126-LOOKUP(2,1/($B$4:$B125=B126),$A$4:$A125),""))</f>
        <v/>
      </c>
      <c r="J126" s="32">
        <f>IF(B126="","",IFERROR(D126/I126,""))</f>
        <v/>
      </c>
      <c r="K126" s="71">
        <f>IF(B126="","",IFERROR(AVERAGEIFS($J$4:$J126,$B$4:$B126,B126,$J$4:$J126,"&gt;"&amp;0),""))</f>
        <v/>
      </c>
      <c r="L126" s="4" t="n"/>
    </row>
    <row r="127" ht="14" customHeight="1" s="72">
      <c r="A127" s="75" t="n">
        <v>46036</v>
      </c>
      <c r="B127" s="76" t="n">
        <v>15023</v>
      </c>
      <c r="C127" s="69">
        <f>IF(B127="","",IFERROR(INDEX(Client_List!$B:$B,MATCH(B127,Client_List!$A:$A,0)),"⚠ NOT FOUND"))</f>
        <v/>
      </c>
      <c r="D127" s="43" t="n">
        <v>314</v>
      </c>
      <c r="E127" s="32">
        <f>IF(B127="","",IFERROR(INDEX(Client_List!$C:$C,MATCH(VALUE(B127),Client_List!$A:$A,0)),""))</f>
        <v/>
      </c>
      <c r="F127" s="53">
        <f>IF(B127="","",IFERROR(INDEX(Client_List!$D:$D,MATCH(VALUE(B127),Client_List!$A:$A,0)),""))</f>
        <v/>
      </c>
      <c r="G127" s="53">
        <f>IF(B127="","",IFERROR(INDEX(Client_List!$K:$K,MATCH(VALUE(B127),Client_List!$A:$A,0)),""))</f>
        <v/>
      </c>
      <c r="H127" s="32">
        <f>IF(B127="","",IFERROR(INDEX(Client_List!$J:$J,MATCH(VALUE(B127),Client_List!$A:$A,0)),""))</f>
        <v/>
      </c>
      <c r="I127" s="70">
        <f>IF(B127="","",IFERROR(A127-LOOKUP(2,1/($B$4:$B126=B127),$A$4:$A126),""))</f>
        <v/>
      </c>
      <c r="J127" s="32">
        <f>IF(B127="","",IFERROR(D127/I127,""))</f>
        <v/>
      </c>
      <c r="K127" s="71">
        <f>IF(B127="","",IFERROR(AVERAGEIFS($J$4:$J127,$B$4:$B127,B127,$J$4:$J127,"&gt;"&amp;0),""))</f>
        <v/>
      </c>
      <c r="L127" s="7" t="n"/>
    </row>
    <row r="128" ht="14" customHeight="1" s="72">
      <c r="A128" s="75" t="n">
        <v>46036</v>
      </c>
      <c r="B128" s="76" t="n">
        <v>15035</v>
      </c>
      <c r="C128" s="69">
        <f>IF(B128="","",IFERROR(INDEX(Client_List!$B:$B,MATCH(B128,Client_List!$A:$A,0)),"⚠ NOT FOUND"))</f>
        <v/>
      </c>
      <c r="D128" s="43" t="n">
        <v>1433</v>
      </c>
      <c r="E128" s="32">
        <f>IF(B128="","",IFERROR(INDEX(Client_List!$C:$C,MATCH(VALUE(B128),Client_List!$A:$A,0)),""))</f>
        <v/>
      </c>
      <c r="F128" s="53">
        <f>IF(B128="","",IFERROR(INDEX(Client_List!$D:$D,MATCH(VALUE(B128),Client_List!$A:$A,0)),""))</f>
        <v/>
      </c>
      <c r="G128" s="53">
        <f>IF(B128="","",IFERROR(INDEX(Client_List!$K:$K,MATCH(VALUE(B128),Client_List!$A:$A,0)),""))</f>
        <v/>
      </c>
      <c r="H128" s="32">
        <f>IF(B128="","",IFERROR(INDEX(Client_List!$J:$J,MATCH(VALUE(B128),Client_List!$A:$A,0)),""))</f>
        <v/>
      </c>
      <c r="I128" s="70">
        <f>IF(B128="","",IFERROR(A128-LOOKUP(2,1/($B$4:$B127=B128),$A$4:$A127),""))</f>
        <v/>
      </c>
      <c r="J128" s="32">
        <f>IF(B128="","",IFERROR(D128/I128,""))</f>
        <v/>
      </c>
      <c r="K128" s="71">
        <f>IF(B128="","",IFERROR(AVERAGEIFS($J$4:$J128,$B$4:$B128,B128,$J$4:$J128,"&gt;"&amp;0),""))</f>
        <v/>
      </c>
      <c r="L128" s="4" t="n"/>
    </row>
    <row r="129" ht="14" customHeight="1" s="72">
      <c r="A129" s="75" t="n">
        <v>46036</v>
      </c>
      <c r="B129" s="76" t="n">
        <v>16003</v>
      </c>
      <c r="C129" s="69">
        <f>IF(B129="","",IFERROR(INDEX(Client_List!$B:$B,MATCH(B129,Client_List!$A:$A,0)),"⚠ NOT FOUND"))</f>
        <v/>
      </c>
      <c r="D129" s="43" t="n">
        <v>776</v>
      </c>
      <c r="E129" s="32">
        <f>IF(B129="","",IFERROR(INDEX(Client_List!$C:$C,MATCH(VALUE(B129),Client_List!$A:$A,0)),""))</f>
        <v/>
      </c>
      <c r="F129" s="53">
        <f>IF(B129="","",IFERROR(INDEX(Client_List!$D:$D,MATCH(VALUE(B129),Client_List!$A:$A,0)),""))</f>
        <v/>
      </c>
      <c r="G129" s="53">
        <f>IF(B129="","",IFERROR(INDEX(Client_List!$K:$K,MATCH(VALUE(B129),Client_List!$A:$A,0)),""))</f>
        <v/>
      </c>
      <c r="H129" s="32">
        <f>IF(B129="","",IFERROR(INDEX(Client_List!$J:$J,MATCH(VALUE(B129),Client_List!$A:$A,0)),""))</f>
        <v/>
      </c>
      <c r="I129" s="70">
        <f>IF(B129="","",IFERROR(A129-LOOKUP(2,1/($B$4:$B128=B129),$A$4:$A128),""))</f>
        <v/>
      </c>
      <c r="J129" s="32">
        <f>IF(B129="","",IFERROR(D129/I129,""))</f>
        <v/>
      </c>
      <c r="K129" s="71">
        <f>IF(B129="","",IFERROR(AVERAGEIFS($J$4:$J129,$B$4:$B129,B129,$J$4:$J129,"&gt;"&amp;0),""))</f>
        <v/>
      </c>
      <c r="L129" s="7" t="n"/>
    </row>
    <row r="130" ht="14" customHeight="1" s="72">
      <c r="A130" s="75" t="n">
        <v>46036</v>
      </c>
      <c r="B130" s="76" t="n">
        <v>16004</v>
      </c>
      <c r="C130" s="69">
        <f>IF(B130="","",IFERROR(INDEX(Client_List!$B:$B,MATCH(B130,Client_List!$A:$A,0)),"⚠ NOT FOUND"))</f>
        <v/>
      </c>
      <c r="D130" s="43" t="n">
        <v>561</v>
      </c>
      <c r="E130" s="32">
        <f>IF(B130="","",IFERROR(INDEX(Client_List!$C:$C,MATCH(VALUE(B130),Client_List!$A:$A,0)),""))</f>
        <v/>
      </c>
      <c r="F130" s="53">
        <f>IF(B130="","",IFERROR(INDEX(Client_List!$D:$D,MATCH(VALUE(B130),Client_List!$A:$A,0)),""))</f>
        <v/>
      </c>
      <c r="G130" s="53">
        <f>IF(B130="","",IFERROR(INDEX(Client_List!$K:$K,MATCH(VALUE(B130),Client_List!$A:$A,0)),""))</f>
        <v/>
      </c>
      <c r="H130" s="32">
        <f>IF(B130="","",IFERROR(INDEX(Client_List!$J:$J,MATCH(VALUE(B130),Client_List!$A:$A,0)),""))</f>
        <v/>
      </c>
      <c r="I130" s="70">
        <f>IF(B130="","",IFERROR(A130-LOOKUP(2,1/($B$4:$B129=B130),$A$4:$A129),""))</f>
        <v/>
      </c>
      <c r="J130" s="32">
        <f>IF(B130="","",IFERROR(D130/I130,""))</f>
        <v/>
      </c>
      <c r="K130" s="71">
        <f>IF(B130="","",IFERROR(AVERAGEIFS($J$4:$J130,$B$4:$B130,B130,$J$4:$J130,"&gt;"&amp;0),""))</f>
        <v/>
      </c>
      <c r="L130" s="4" t="n"/>
    </row>
    <row r="131" ht="14" customHeight="1" s="72">
      <c r="A131" s="75" t="n">
        <v>46036</v>
      </c>
      <c r="B131" s="76" t="n">
        <v>16007</v>
      </c>
      <c r="C131" s="69">
        <f>IF(B131="","",IFERROR(INDEX(Client_List!$B:$B,MATCH(B131,Client_List!$A:$A,0)),"⚠ NOT FOUND"))</f>
        <v/>
      </c>
      <c r="D131" s="43" t="n">
        <v>841</v>
      </c>
      <c r="E131" s="32">
        <f>IF(B131="","",IFERROR(INDEX(Client_List!$C:$C,MATCH(VALUE(B131),Client_List!$A:$A,0)),""))</f>
        <v/>
      </c>
      <c r="F131" s="53">
        <f>IF(B131="","",IFERROR(INDEX(Client_List!$D:$D,MATCH(VALUE(B131),Client_List!$A:$A,0)),""))</f>
        <v/>
      </c>
      <c r="G131" s="53">
        <f>IF(B131="","",IFERROR(INDEX(Client_List!$K:$K,MATCH(VALUE(B131),Client_List!$A:$A,0)),""))</f>
        <v/>
      </c>
      <c r="H131" s="32">
        <f>IF(B131="","",IFERROR(INDEX(Client_List!$J:$J,MATCH(VALUE(B131),Client_List!$A:$A,0)),""))</f>
        <v/>
      </c>
      <c r="I131" s="70">
        <f>IF(B131="","",IFERROR(A131-LOOKUP(2,1/($B$4:$B130=B131),$A$4:$A130),""))</f>
        <v/>
      </c>
      <c r="J131" s="32">
        <f>IF(B131="","",IFERROR(D131/I131,""))</f>
        <v/>
      </c>
      <c r="K131" s="71">
        <f>IF(B131="","",IFERROR(AVERAGEIFS($J$4:$J131,$B$4:$B131,B131,$J$4:$J131,"&gt;"&amp;0),""))</f>
        <v/>
      </c>
      <c r="L131" s="7" t="n"/>
    </row>
    <row r="132" ht="14" customHeight="1" s="72">
      <c r="A132" s="75" t="n">
        <v>46036</v>
      </c>
      <c r="B132" s="76" t="n">
        <v>16009</v>
      </c>
      <c r="C132" s="69">
        <f>IF(B132="","",IFERROR(INDEX(Client_List!$B:$B,MATCH(B132,Client_List!$A:$A,0)),"⚠ NOT FOUND"))</f>
        <v/>
      </c>
      <c r="D132" s="43" t="n">
        <v>1930</v>
      </c>
      <c r="E132" s="32">
        <f>IF(B132="","",IFERROR(INDEX(Client_List!$C:$C,MATCH(VALUE(B132),Client_List!$A:$A,0)),""))</f>
        <v/>
      </c>
      <c r="F132" s="53">
        <f>IF(B132="","",IFERROR(INDEX(Client_List!$D:$D,MATCH(VALUE(B132),Client_List!$A:$A,0)),""))</f>
        <v/>
      </c>
      <c r="G132" s="53">
        <f>IF(B132="","",IFERROR(INDEX(Client_List!$K:$K,MATCH(VALUE(B132),Client_List!$A:$A,0)),""))</f>
        <v/>
      </c>
      <c r="H132" s="32">
        <f>IF(B132="","",IFERROR(INDEX(Client_List!$J:$J,MATCH(VALUE(B132),Client_List!$A:$A,0)),""))</f>
        <v/>
      </c>
      <c r="I132" s="70">
        <f>IF(B132="","",IFERROR(A132-LOOKUP(2,1/($B$4:$B131=B132),$A$4:$A131),""))</f>
        <v/>
      </c>
      <c r="J132" s="32">
        <f>IF(B132="","",IFERROR(D132/I132,""))</f>
        <v/>
      </c>
      <c r="K132" s="71">
        <f>IF(B132="","",IFERROR(AVERAGEIFS($J$4:$J132,$B$4:$B132,B132,$J$4:$J132,"&gt;"&amp;0),""))</f>
        <v/>
      </c>
      <c r="L132" s="4" t="n"/>
    </row>
    <row r="133" ht="14" customHeight="1" s="72">
      <c r="A133" s="75" t="n">
        <v>46036</v>
      </c>
      <c r="B133" s="76" t="n">
        <v>18001</v>
      </c>
      <c r="C133" s="69">
        <f>IF(B133="","",IFERROR(INDEX(Client_List!$B:$B,MATCH(B133,Client_List!$A:$A,0)),"⚠ NOT FOUND"))</f>
        <v/>
      </c>
      <c r="D133" s="43" t="n">
        <v>901</v>
      </c>
      <c r="E133" s="32">
        <f>IF(B133="","",IFERROR(INDEX(Client_List!$C:$C,MATCH(VALUE(B133),Client_List!$A:$A,0)),""))</f>
        <v/>
      </c>
      <c r="F133" s="53">
        <f>IF(B133="","",IFERROR(INDEX(Client_List!$D:$D,MATCH(VALUE(B133),Client_List!$A:$A,0)),""))</f>
        <v/>
      </c>
      <c r="G133" s="53">
        <f>IF(B133="","",IFERROR(INDEX(Client_List!$K:$K,MATCH(VALUE(B133),Client_List!$A:$A,0)),""))</f>
        <v/>
      </c>
      <c r="H133" s="32">
        <f>IF(B133="","",IFERROR(INDEX(Client_List!$J:$J,MATCH(VALUE(B133),Client_List!$A:$A,0)),""))</f>
        <v/>
      </c>
      <c r="I133" s="70">
        <f>IF(B133="","",IFERROR(A133-LOOKUP(2,1/($B$4:$B132=B133),$A$4:$A132),""))</f>
        <v/>
      </c>
      <c r="J133" s="32">
        <f>IF(B133="","",IFERROR(D133/I133,""))</f>
        <v/>
      </c>
      <c r="K133" s="71">
        <f>IF(B133="","",IFERROR(AVERAGEIFS($J$4:$J133,$B$4:$B133,B133,$J$4:$J133,"&gt;"&amp;0),""))</f>
        <v/>
      </c>
      <c r="L133" s="7" t="n"/>
    </row>
    <row r="134" ht="14" customHeight="1" s="72">
      <c r="A134" s="75" t="n">
        <v>46036</v>
      </c>
      <c r="B134" s="76" t="n">
        <v>19082</v>
      </c>
      <c r="C134" s="69">
        <f>IF(B134="","",IFERROR(INDEX(Client_List!$B:$B,MATCH(B134,Client_List!$A:$A,0)),"⚠ NOT FOUND"))</f>
        <v/>
      </c>
      <c r="D134" s="43" t="n">
        <v>616</v>
      </c>
      <c r="E134" s="32">
        <f>IF(B134="","",IFERROR(INDEX(Client_List!$C:$C,MATCH(VALUE(B134),Client_List!$A:$A,0)),""))</f>
        <v/>
      </c>
      <c r="F134" s="53">
        <f>IF(B134="","",IFERROR(INDEX(Client_List!$D:$D,MATCH(VALUE(B134),Client_List!$A:$A,0)),""))</f>
        <v/>
      </c>
      <c r="G134" s="53">
        <f>IF(B134="","",IFERROR(INDEX(Client_List!$K:$K,MATCH(VALUE(B134),Client_List!$A:$A,0)),""))</f>
        <v/>
      </c>
      <c r="H134" s="32">
        <f>IF(B134="","",IFERROR(INDEX(Client_List!$J:$J,MATCH(VALUE(B134),Client_List!$A:$A,0)),""))</f>
        <v/>
      </c>
      <c r="I134" s="70">
        <f>IF(B134="","",IFERROR(A134-LOOKUP(2,1/($B$4:$B133=B134),$A$4:$A133),""))</f>
        <v/>
      </c>
      <c r="J134" s="32">
        <f>IF(B134="","",IFERROR(D134/I134,""))</f>
        <v/>
      </c>
      <c r="K134" s="71">
        <f>IF(B134="","",IFERROR(AVERAGEIFS($J$4:$J134,$B$4:$B134,B134,$J$4:$J134,"&gt;"&amp;0),""))</f>
        <v/>
      </c>
      <c r="L134" s="4" t="n"/>
    </row>
    <row r="135" ht="14" customHeight="1" s="72">
      <c r="A135" s="75" t="n">
        <v>46036</v>
      </c>
      <c r="B135" s="76" t="n">
        <v>20013</v>
      </c>
      <c r="C135" s="69">
        <f>IF(B135="","",IFERROR(INDEX(Client_List!$B:$B,MATCH(B135,Client_List!$A:$A,0)),"⚠ NOT FOUND"))</f>
        <v/>
      </c>
      <c r="D135" s="43" t="n">
        <v>1051</v>
      </c>
      <c r="E135" s="32">
        <f>IF(B135="","",IFERROR(INDEX(Client_List!$C:$C,MATCH(VALUE(B135),Client_List!$A:$A,0)),""))</f>
        <v/>
      </c>
      <c r="F135" s="53">
        <f>IF(B135="","",IFERROR(INDEX(Client_List!$D:$D,MATCH(VALUE(B135),Client_List!$A:$A,0)),""))</f>
        <v/>
      </c>
      <c r="G135" s="53">
        <f>IF(B135="","",IFERROR(INDEX(Client_List!$K:$K,MATCH(VALUE(B135),Client_List!$A:$A,0)),""))</f>
        <v/>
      </c>
      <c r="H135" s="32">
        <f>IF(B135="","",IFERROR(INDEX(Client_List!$J:$J,MATCH(VALUE(B135),Client_List!$A:$A,0)),""))</f>
        <v/>
      </c>
      <c r="I135" s="70">
        <f>IF(B135="","",IFERROR(A135-LOOKUP(2,1/($B$4:$B134=B135),$A$4:$A134),""))</f>
        <v/>
      </c>
      <c r="J135" s="32">
        <f>IF(B135="","",IFERROR(D135/I135,""))</f>
        <v/>
      </c>
      <c r="K135" s="71">
        <f>IF(B135="","",IFERROR(AVERAGEIFS($J$4:$J135,$B$4:$B135,B135,$J$4:$J135,"&gt;"&amp;0),""))</f>
        <v/>
      </c>
      <c r="L135" s="7" t="n"/>
    </row>
    <row r="136" ht="14" customHeight="1" s="72">
      <c r="A136" s="75" t="n">
        <v>46036</v>
      </c>
      <c r="B136" s="76" t="n">
        <v>20077</v>
      </c>
      <c r="C136" s="69">
        <f>IF(B136="","",IFERROR(INDEX(Client_List!$B:$B,MATCH(B136,Client_List!$A:$A,0)),"⚠ NOT FOUND"))</f>
        <v/>
      </c>
      <c r="D136" s="43" t="n">
        <v>652</v>
      </c>
      <c r="E136" s="32">
        <f>IF(B136="","",IFERROR(INDEX(Client_List!$C:$C,MATCH(VALUE(B136),Client_List!$A:$A,0)),""))</f>
        <v/>
      </c>
      <c r="F136" s="53">
        <f>IF(B136="","",IFERROR(INDEX(Client_List!$D:$D,MATCH(VALUE(B136),Client_List!$A:$A,0)),""))</f>
        <v/>
      </c>
      <c r="G136" s="53">
        <f>IF(B136="","",IFERROR(INDEX(Client_List!$K:$K,MATCH(VALUE(B136),Client_List!$A:$A,0)),""))</f>
        <v/>
      </c>
      <c r="H136" s="32">
        <f>IF(B136="","",IFERROR(INDEX(Client_List!$J:$J,MATCH(VALUE(B136),Client_List!$A:$A,0)),""))</f>
        <v/>
      </c>
      <c r="I136" s="70">
        <f>IF(B136="","",IFERROR(A136-LOOKUP(2,1/($B$4:$B135=B136),$A$4:$A135),""))</f>
        <v/>
      </c>
      <c r="J136" s="32">
        <f>IF(B136="","",IFERROR(D136/I136,""))</f>
        <v/>
      </c>
      <c r="K136" s="71">
        <f>IF(B136="","",IFERROR(AVERAGEIFS($J$4:$J136,$B$4:$B136,B136,$J$4:$J136,"&gt;"&amp;0),""))</f>
        <v/>
      </c>
      <c r="L136" s="4" t="n"/>
    </row>
    <row r="137" ht="14" customHeight="1" s="72">
      <c r="A137" s="75" t="n">
        <v>46037</v>
      </c>
      <c r="B137" s="76" t="n">
        <v>1014</v>
      </c>
      <c r="C137" s="69">
        <f>IF(B137="","",IFERROR(INDEX(Client_List!$B:$B,MATCH(B137,Client_List!$A:$A,0)),"⚠ NOT FOUND"))</f>
        <v/>
      </c>
      <c r="D137" s="43" t="n">
        <v>1059</v>
      </c>
      <c r="E137" s="32">
        <f>IF(B137="","",IFERROR(INDEX(Client_List!$C:$C,MATCH(VALUE(B137),Client_List!$A:$A,0)),""))</f>
        <v/>
      </c>
      <c r="F137" s="53">
        <f>IF(B137="","",IFERROR(INDEX(Client_List!$D:$D,MATCH(VALUE(B137),Client_List!$A:$A,0)),""))</f>
        <v/>
      </c>
      <c r="G137" s="53">
        <f>IF(B137="","",IFERROR(INDEX(Client_List!$K:$K,MATCH(VALUE(B137),Client_List!$A:$A,0)),""))</f>
        <v/>
      </c>
      <c r="H137" s="32">
        <f>IF(B137="","",IFERROR(INDEX(Client_List!$J:$J,MATCH(VALUE(B137),Client_List!$A:$A,0)),""))</f>
        <v/>
      </c>
      <c r="I137" s="70">
        <f>IF(B137="","",IFERROR(A137-LOOKUP(2,1/($B$4:$B136=B137),$A$4:$A136),""))</f>
        <v/>
      </c>
      <c r="J137" s="32">
        <f>IF(B137="","",IFERROR(D137/I137,""))</f>
        <v/>
      </c>
      <c r="K137" s="71">
        <f>IF(B137="","",IFERROR(AVERAGEIFS($J$4:$J137,$B$4:$B137,B137,$J$4:$J137,"&gt;"&amp;0),""))</f>
        <v/>
      </c>
      <c r="L137" s="7" t="n"/>
    </row>
    <row r="138" ht="14" customHeight="1" s="72">
      <c r="A138" s="75" t="n">
        <v>46037</v>
      </c>
      <c r="B138" s="76" t="n">
        <v>1083</v>
      </c>
      <c r="C138" s="69">
        <f>IF(B138="","",IFERROR(INDEX(Client_List!$B:$B,MATCH(B138,Client_List!$A:$A,0)),"⚠ NOT FOUND"))</f>
        <v/>
      </c>
      <c r="D138" s="43" t="n">
        <v>227</v>
      </c>
      <c r="E138" s="32">
        <f>IF(B138="","",IFERROR(INDEX(Client_List!$C:$C,MATCH(VALUE(B138),Client_List!$A:$A,0)),""))</f>
        <v/>
      </c>
      <c r="F138" s="53">
        <f>IF(B138="","",IFERROR(INDEX(Client_List!$D:$D,MATCH(VALUE(B138),Client_List!$A:$A,0)),""))</f>
        <v/>
      </c>
      <c r="G138" s="53">
        <f>IF(B138="","",IFERROR(INDEX(Client_List!$K:$K,MATCH(VALUE(B138),Client_List!$A:$A,0)),""))</f>
        <v/>
      </c>
      <c r="H138" s="32">
        <f>IF(B138="","",IFERROR(INDEX(Client_List!$J:$J,MATCH(VALUE(B138),Client_List!$A:$A,0)),""))</f>
        <v/>
      </c>
      <c r="I138" s="70">
        <f>IF(B138="","",IFERROR(A138-LOOKUP(2,1/($B$4:$B137=B138),$A$4:$A137),""))</f>
        <v/>
      </c>
      <c r="J138" s="32">
        <f>IF(B138="","",IFERROR(D138/I138,""))</f>
        <v/>
      </c>
      <c r="K138" s="71">
        <f>IF(B138="","",IFERROR(AVERAGEIFS($J$4:$J138,$B$4:$B138,B138,$J$4:$J138,"&gt;"&amp;0),""))</f>
        <v/>
      </c>
      <c r="L138" s="4" t="n"/>
    </row>
    <row r="139" ht="14" customHeight="1" s="72">
      <c r="A139" s="75" t="n">
        <v>46037</v>
      </c>
      <c r="B139" s="76" t="n">
        <v>2053</v>
      </c>
      <c r="C139" s="69">
        <f>IF(B139="","",IFERROR(INDEX(Client_List!$B:$B,MATCH(B139,Client_List!$A:$A,0)),"⚠ NOT FOUND"))</f>
        <v/>
      </c>
      <c r="D139" s="43" t="n">
        <v>1051</v>
      </c>
      <c r="E139" s="32">
        <f>IF(B139="","",IFERROR(INDEX(Client_List!$C:$C,MATCH(VALUE(B139),Client_List!$A:$A,0)),""))</f>
        <v/>
      </c>
      <c r="F139" s="53">
        <f>IF(B139="","",IFERROR(INDEX(Client_List!$D:$D,MATCH(VALUE(B139),Client_List!$A:$A,0)),""))</f>
        <v/>
      </c>
      <c r="G139" s="53">
        <f>IF(B139="","",IFERROR(INDEX(Client_List!$K:$K,MATCH(VALUE(B139),Client_List!$A:$A,0)),""))</f>
        <v/>
      </c>
      <c r="H139" s="32">
        <f>IF(B139="","",IFERROR(INDEX(Client_List!$J:$J,MATCH(VALUE(B139),Client_List!$A:$A,0)),""))</f>
        <v/>
      </c>
      <c r="I139" s="70">
        <f>IF(B139="","",IFERROR(A139-LOOKUP(2,1/($B$4:$B138=B139),$A$4:$A138),""))</f>
        <v/>
      </c>
      <c r="J139" s="32">
        <f>IF(B139="","",IFERROR(D139/I139,""))</f>
        <v/>
      </c>
      <c r="K139" s="71">
        <f>IF(B139="","",IFERROR(AVERAGEIFS($J$4:$J139,$B$4:$B139,B139,$J$4:$J139,"&gt;"&amp;0),""))</f>
        <v/>
      </c>
      <c r="L139" s="7" t="n"/>
    </row>
    <row r="140" ht="14" customHeight="1" s="72">
      <c r="A140" s="75" t="n">
        <v>46037</v>
      </c>
      <c r="B140" s="76" t="n">
        <v>4027</v>
      </c>
      <c r="C140" s="69">
        <f>IF(B140="","",IFERROR(INDEX(Client_List!$B:$B,MATCH(B140,Client_List!$A:$A,0)),"⚠ NOT FOUND"))</f>
        <v/>
      </c>
      <c r="D140" s="43" t="n">
        <v>683</v>
      </c>
      <c r="E140" s="32">
        <f>IF(B140="","",IFERROR(INDEX(Client_List!$C:$C,MATCH(VALUE(B140),Client_List!$A:$A,0)),""))</f>
        <v/>
      </c>
      <c r="F140" s="53">
        <f>IF(B140="","",IFERROR(INDEX(Client_List!$D:$D,MATCH(VALUE(B140),Client_List!$A:$A,0)),""))</f>
        <v/>
      </c>
      <c r="G140" s="53">
        <f>IF(B140="","",IFERROR(INDEX(Client_List!$K:$K,MATCH(VALUE(B140),Client_List!$A:$A,0)),""))</f>
        <v/>
      </c>
      <c r="H140" s="32">
        <f>IF(B140="","",IFERROR(INDEX(Client_List!$J:$J,MATCH(VALUE(B140),Client_List!$A:$A,0)),""))</f>
        <v/>
      </c>
      <c r="I140" s="70">
        <f>IF(B140="","",IFERROR(A140-LOOKUP(2,1/($B$4:$B139=B140),$A$4:$A139),""))</f>
        <v/>
      </c>
      <c r="J140" s="32">
        <f>IF(B140="","",IFERROR(D140/I140,""))</f>
        <v/>
      </c>
      <c r="K140" s="71">
        <f>IF(B140="","",IFERROR(AVERAGEIFS($J$4:$J140,$B$4:$B140,B140,$J$4:$J140,"&gt;"&amp;0),""))</f>
        <v/>
      </c>
      <c r="L140" s="4" t="n"/>
    </row>
    <row r="141" ht="14" customHeight="1" s="72">
      <c r="A141" s="75" t="n">
        <v>46037</v>
      </c>
      <c r="B141" s="76" t="n">
        <v>5006</v>
      </c>
      <c r="C141" s="69">
        <f>IF(B141="","",IFERROR(INDEX(Client_List!$B:$B,MATCH(B141,Client_List!$A:$A,0)),"⚠ NOT FOUND"))</f>
        <v/>
      </c>
      <c r="D141" s="43" t="n">
        <v>317</v>
      </c>
      <c r="E141" s="32">
        <f>IF(B141="","",IFERROR(INDEX(Client_List!$C:$C,MATCH(VALUE(B141),Client_List!$A:$A,0)),""))</f>
        <v/>
      </c>
      <c r="F141" s="53">
        <f>IF(B141="","",IFERROR(INDEX(Client_List!$D:$D,MATCH(VALUE(B141),Client_List!$A:$A,0)),""))</f>
        <v/>
      </c>
      <c r="G141" s="53">
        <f>IF(B141="","",IFERROR(INDEX(Client_List!$K:$K,MATCH(VALUE(B141),Client_List!$A:$A,0)),""))</f>
        <v/>
      </c>
      <c r="H141" s="32">
        <f>IF(B141="","",IFERROR(INDEX(Client_List!$J:$J,MATCH(VALUE(B141),Client_List!$A:$A,0)),""))</f>
        <v/>
      </c>
      <c r="I141" s="70">
        <f>IF(B141="","",IFERROR(A141-LOOKUP(2,1/($B$4:$B140=B141),$A$4:$A140),""))</f>
        <v/>
      </c>
      <c r="J141" s="32">
        <f>IF(B141="","",IFERROR(D141/I141,""))</f>
        <v/>
      </c>
      <c r="K141" s="71">
        <f>IF(B141="","",IFERROR(AVERAGEIFS($J$4:$J141,$B$4:$B141,B141,$J$4:$J141,"&gt;"&amp;0),""))</f>
        <v/>
      </c>
      <c r="L141" s="7" t="n"/>
    </row>
    <row r="142" ht="14" customHeight="1" s="72">
      <c r="A142" s="75" t="n">
        <v>46037</v>
      </c>
      <c r="B142" s="76" t="n">
        <v>7052</v>
      </c>
      <c r="C142" s="69">
        <f>IF(B142="","",IFERROR(INDEX(Client_List!$B:$B,MATCH(B142,Client_List!$A:$A,0)),"⚠ NOT FOUND"))</f>
        <v/>
      </c>
      <c r="D142" s="43" t="n">
        <v>368</v>
      </c>
      <c r="E142" s="32">
        <f>IF(B142="","",IFERROR(INDEX(Client_List!$C:$C,MATCH(VALUE(B142),Client_List!$A:$A,0)),""))</f>
        <v/>
      </c>
      <c r="F142" s="53">
        <f>IF(B142="","",IFERROR(INDEX(Client_List!$D:$D,MATCH(VALUE(B142),Client_List!$A:$A,0)),""))</f>
        <v/>
      </c>
      <c r="G142" s="53">
        <f>IF(B142="","",IFERROR(INDEX(Client_List!$K:$K,MATCH(VALUE(B142),Client_List!$A:$A,0)),""))</f>
        <v/>
      </c>
      <c r="H142" s="32">
        <f>IF(B142="","",IFERROR(INDEX(Client_List!$J:$J,MATCH(VALUE(B142),Client_List!$A:$A,0)),""))</f>
        <v/>
      </c>
      <c r="I142" s="70">
        <f>IF(B142="","",IFERROR(A142-LOOKUP(2,1/($B$4:$B141=B142),$A$4:$A141),""))</f>
        <v/>
      </c>
      <c r="J142" s="32">
        <f>IF(B142="","",IFERROR(D142/I142,""))</f>
        <v/>
      </c>
      <c r="K142" s="71">
        <f>IF(B142="","",IFERROR(AVERAGEIFS($J$4:$J142,$B$4:$B142,B142,$J$4:$J142,"&gt;"&amp;0),""))</f>
        <v/>
      </c>
      <c r="L142" s="4" t="n"/>
    </row>
    <row r="143" ht="14" customHeight="1" s="72">
      <c r="A143" s="75" t="n">
        <v>46037</v>
      </c>
      <c r="B143" s="76" t="n">
        <v>15001</v>
      </c>
      <c r="C143" s="69">
        <f>IF(B143="","",IFERROR(INDEX(Client_List!$B:$B,MATCH(B143,Client_List!$A:$A,0)),"⚠ NOT FOUND"))</f>
        <v/>
      </c>
      <c r="D143" s="43" t="n">
        <v>1000</v>
      </c>
      <c r="E143" s="32">
        <f>IF(B143="","",IFERROR(INDEX(Client_List!$C:$C,MATCH(VALUE(B143),Client_List!$A:$A,0)),""))</f>
        <v/>
      </c>
      <c r="F143" s="53">
        <f>IF(B143="","",IFERROR(INDEX(Client_List!$D:$D,MATCH(VALUE(B143),Client_List!$A:$A,0)),""))</f>
        <v/>
      </c>
      <c r="G143" s="53">
        <f>IF(B143="","",IFERROR(INDEX(Client_List!$K:$K,MATCH(VALUE(B143),Client_List!$A:$A,0)),""))</f>
        <v/>
      </c>
      <c r="H143" s="32">
        <f>IF(B143="","",IFERROR(INDEX(Client_List!$J:$J,MATCH(VALUE(B143),Client_List!$A:$A,0)),""))</f>
        <v/>
      </c>
      <c r="I143" s="70">
        <f>IF(B143="","",IFERROR(A143-LOOKUP(2,1/($B$4:$B142=B143),$A$4:$A142),""))</f>
        <v/>
      </c>
      <c r="J143" s="32">
        <f>IF(B143="","",IFERROR(D143/I143,""))</f>
        <v/>
      </c>
      <c r="K143" s="71">
        <f>IF(B143="","",IFERROR(AVERAGEIFS($J$4:$J143,$B$4:$B143,B143,$J$4:$J143,"&gt;"&amp;0),""))</f>
        <v/>
      </c>
      <c r="L143" s="7" t="n"/>
    </row>
    <row r="144" ht="14" customHeight="1" s="72">
      <c r="A144" s="75" t="n">
        <v>46037</v>
      </c>
      <c r="B144" s="76" t="n">
        <v>16014</v>
      </c>
      <c r="C144" s="69">
        <f>IF(B144="","",IFERROR(INDEX(Client_List!$B:$B,MATCH(B144,Client_List!$A:$A,0)),"⚠ NOT FOUND"))</f>
        <v/>
      </c>
      <c r="D144" s="43" t="n">
        <v>1196</v>
      </c>
      <c r="E144" s="32">
        <f>IF(B144="","",IFERROR(INDEX(Client_List!$C:$C,MATCH(VALUE(B144),Client_List!$A:$A,0)),""))</f>
        <v/>
      </c>
      <c r="F144" s="53">
        <f>IF(B144="","",IFERROR(INDEX(Client_List!$D:$D,MATCH(VALUE(B144),Client_List!$A:$A,0)),""))</f>
        <v/>
      </c>
      <c r="G144" s="53">
        <f>IF(B144="","",IFERROR(INDEX(Client_List!$K:$K,MATCH(VALUE(B144),Client_List!$A:$A,0)),""))</f>
        <v/>
      </c>
      <c r="H144" s="32">
        <f>IF(B144="","",IFERROR(INDEX(Client_List!$J:$J,MATCH(VALUE(B144),Client_List!$A:$A,0)),""))</f>
        <v/>
      </c>
      <c r="I144" s="70">
        <f>IF(B144="","",IFERROR(A144-LOOKUP(2,1/($B$4:$B143=B144),$A$4:$A143),""))</f>
        <v/>
      </c>
      <c r="J144" s="32">
        <f>IF(B144="","",IFERROR(D144/I144,""))</f>
        <v/>
      </c>
      <c r="K144" s="71">
        <f>IF(B144="","",IFERROR(AVERAGEIFS($J$4:$J144,$B$4:$B144,B144,$J$4:$J144,"&gt;"&amp;0),""))</f>
        <v/>
      </c>
      <c r="L144" s="4" t="n"/>
    </row>
    <row r="145" ht="14" customHeight="1" s="72">
      <c r="A145" s="75" t="n">
        <v>46037</v>
      </c>
      <c r="B145" s="76" t="n">
        <v>16052</v>
      </c>
      <c r="C145" s="69">
        <f>IF(B145="","",IFERROR(INDEX(Client_List!$B:$B,MATCH(B145,Client_List!$A:$A,0)),"⚠ NOT FOUND"))</f>
        <v/>
      </c>
      <c r="D145" s="43" t="n">
        <v>883</v>
      </c>
      <c r="E145" s="32">
        <f>IF(B145="","",IFERROR(INDEX(Client_List!$C:$C,MATCH(VALUE(B145),Client_List!$A:$A,0)),""))</f>
        <v/>
      </c>
      <c r="F145" s="53">
        <f>IF(B145="","",IFERROR(INDEX(Client_List!$D:$D,MATCH(VALUE(B145),Client_List!$A:$A,0)),""))</f>
        <v/>
      </c>
      <c r="G145" s="53">
        <f>IF(B145="","",IFERROR(INDEX(Client_List!$K:$K,MATCH(VALUE(B145),Client_List!$A:$A,0)),""))</f>
        <v/>
      </c>
      <c r="H145" s="32">
        <f>IF(B145="","",IFERROR(INDEX(Client_List!$J:$J,MATCH(VALUE(B145),Client_List!$A:$A,0)),""))</f>
        <v/>
      </c>
      <c r="I145" s="70">
        <f>IF(B145="","",IFERROR(A145-LOOKUP(2,1/($B$4:$B144=B145),$A$4:$A144),""))</f>
        <v/>
      </c>
      <c r="J145" s="32">
        <f>IF(B145="","",IFERROR(D145/I145,""))</f>
        <v/>
      </c>
      <c r="K145" s="71">
        <f>IF(B145="","",IFERROR(AVERAGEIFS($J$4:$J145,$B$4:$B145,B145,$J$4:$J145,"&gt;"&amp;0),""))</f>
        <v/>
      </c>
      <c r="L145" s="7" t="n"/>
    </row>
    <row r="146" ht="14" customHeight="1" s="72">
      <c r="A146" s="75" t="n">
        <v>46037</v>
      </c>
      <c r="B146" s="76" t="n">
        <v>18004</v>
      </c>
      <c r="C146" s="69">
        <f>IF(B146="","",IFERROR(INDEX(Client_List!$B:$B,MATCH(B146,Client_List!$A:$A,0)),"⚠ NOT FOUND"))</f>
        <v/>
      </c>
      <c r="D146" s="43" t="n">
        <v>500</v>
      </c>
      <c r="E146" s="32">
        <f>IF(B146="","",IFERROR(INDEX(Client_List!$C:$C,MATCH(VALUE(B146),Client_List!$A:$A,0)),""))</f>
        <v/>
      </c>
      <c r="F146" s="53">
        <f>IF(B146="","",IFERROR(INDEX(Client_List!$D:$D,MATCH(VALUE(B146),Client_List!$A:$A,0)),""))</f>
        <v/>
      </c>
      <c r="G146" s="53">
        <f>IF(B146="","",IFERROR(INDEX(Client_List!$K:$K,MATCH(VALUE(B146),Client_List!$A:$A,0)),""))</f>
        <v/>
      </c>
      <c r="H146" s="32">
        <f>IF(B146="","",IFERROR(INDEX(Client_List!$J:$J,MATCH(VALUE(B146),Client_List!$A:$A,0)),""))</f>
        <v/>
      </c>
      <c r="I146" s="70">
        <f>IF(B146="","",IFERROR(A146-LOOKUP(2,1/($B$4:$B145=B146),$A$4:$A145),""))</f>
        <v/>
      </c>
      <c r="J146" s="32">
        <f>IF(B146="","",IFERROR(D146/I146,""))</f>
        <v/>
      </c>
      <c r="K146" s="71">
        <f>IF(B146="","",IFERROR(AVERAGEIFS($J$4:$J146,$B$4:$B146,B146,$J$4:$J146,"&gt;"&amp;0),""))</f>
        <v/>
      </c>
      <c r="L146" s="4" t="n"/>
    </row>
    <row r="147" ht="14" customHeight="1" s="72">
      <c r="A147" s="75" t="n">
        <v>46037</v>
      </c>
      <c r="B147" s="76" t="n">
        <v>18036</v>
      </c>
      <c r="C147" s="69">
        <f>IF(B147="","",IFERROR(INDEX(Client_List!$B:$B,MATCH(B147,Client_List!$A:$A,0)),"⚠ NOT FOUND"))</f>
        <v/>
      </c>
      <c r="D147" s="43" t="n">
        <v>1565</v>
      </c>
      <c r="E147" s="32">
        <f>IF(B147="","",IFERROR(INDEX(Client_List!$C:$C,MATCH(VALUE(B147),Client_List!$A:$A,0)),""))</f>
        <v/>
      </c>
      <c r="F147" s="53">
        <f>IF(B147="","",IFERROR(INDEX(Client_List!$D:$D,MATCH(VALUE(B147),Client_List!$A:$A,0)),""))</f>
        <v/>
      </c>
      <c r="G147" s="53">
        <f>IF(B147="","",IFERROR(INDEX(Client_List!$K:$K,MATCH(VALUE(B147),Client_List!$A:$A,0)),""))</f>
        <v/>
      </c>
      <c r="H147" s="32">
        <f>IF(B147="","",IFERROR(INDEX(Client_List!$J:$J,MATCH(VALUE(B147),Client_List!$A:$A,0)),""))</f>
        <v/>
      </c>
      <c r="I147" s="70">
        <f>IF(B147="","",IFERROR(A147-LOOKUP(2,1/($B$4:$B146=B147),$A$4:$A146),""))</f>
        <v/>
      </c>
      <c r="J147" s="32">
        <f>IF(B147="","",IFERROR(D147/I147,""))</f>
        <v/>
      </c>
      <c r="K147" s="71">
        <f>IF(B147="","",IFERROR(AVERAGEIFS($J$4:$J147,$B$4:$B147,B147,$J$4:$J147,"&gt;"&amp;0),""))</f>
        <v/>
      </c>
      <c r="L147" s="7" t="n"/>
    </row>
    <row r="148" ht="14" customHeight="1" s="72">
      <c r="A148" s="75" t="n">
        <v>46037</v>
      </c>
      <c r="B148" s="76" t="n">
        <v>19039</v>
      </c>
      <c r="C148" s="69">
        <f>IF(B148="","",IFERROR(INDEX(Client_List!$B:$B,MATCH(B148,Client_List!$A:$A,0)),"⚠ NOT FOUND"))</f>
        <v/>
      </c>
      <c r="D148" s="43" t="n">
        <v>912</v>
      </c>
      <c r="E148" s="32">
        <f>IF(B148="","",IFERROR(INDEX(Client_List!$C:$C,MATCH(VALUE(B148),Client_List!$A:$A,0)),""))</f>
        <v/>
      </c>
      <c r="F148" s="53">
        <f>IF(B148="","",IFERROR(INDEX(Client_List!$D:$D,MATCH(VALUE(B148),Client_List!$A:$A,0)),""))</f>
        <v/>
      </c>
      <c r="G148" s="53">
        <f>IF(B148="","",IFERROR(INDEX(Client_List!$K:$K,MATCH(VALUE(B148),Client_List!$A:$A,0)),""))</f>
        <v/>
      </c>
      <c r="H148" s="32">
        <f>IF(B148="","",IFERROR(INDEX(Client_List!$J:$J,MATCH(VALUE(B148),Client_List!$A:$A,0)),""))</f>
        <v/>
      </c>
      <c r="I148" s="70">
        <f>IF(B148="","",IFERROR(A148-LOOKUP(2,1/($B$4:$B147=B148),$A$4:$A147),""))</f>
        <v/>
      </c>
      <c r="J148" s="32">
        <f>IF(B148="","",IFERROR(D148/I148,""))</f>
        <v/>
      </c>
      <c r="K148" s="71">
        <f>IF(B148="","",IFERROR(AVERAGEIFS($J$4:$J148,$B$4:$B148,B148,$J$4:$J148,"&gt;"&amp;0),""))</f>
        <v/>
      </c>
      <c r="L148" s="4" t="n"/>
    </row>
    <row r="149" ht="14" customHeight="1" s="72">
      <c r="A149" s="75" t="n">
        <v>46037</v>
      </c>
      <c r="B149" s="76" t="n">
        <v>20089</v>
      </c>
      <c r="C149" s="69">
        <f>IF(B149="","",IFERROR(INDEX(Client_List!$B:$B,MATCH(B149,Client_List!$A:$A,0)),"⚠ NOT FOUND"))</f>
        <v/>
      </c>
      <c r="D149" s="43" t="n">
        <v>909</v>
      </c>
      <c r="E149" s="32">
        <f>IF(B149="","",IFERROR(INDEX(Client_List!$C:$C,MATCH(VALUE(B149),Client_List!$A:$A,0)),""))</f>
        <v/>
      </c>
      <c r="F149" s="53">
        <f>IF(B149="","",IFERROR(INDEX(Client_List!$D:$D,MATCH(VALUE(B149),Client_List!$A:$A,0)),""))</f>
        <v/>
      </c>
      <c r="G149" s="53">
        <f>IF(B149="","",IFERROR(INDEX(Client_List!$K:$K,MATCH(VALUE(B149),Client_List!$A:$A,0)),""))</f>
        <v/>
      </c>
      <c r="H149" s="32">
        <f>IF(B149="","",IFERROR(INDEX(Client_List!$J:$J,MATCH(VALUE(B149),Client_List!$A:$A,0)),""))</f>
        <v/>
      </c>
      <c r="I149" s="70">
        <f>IF(B149="","",IFERROR(A149-LOOKUP(2,1/($B$4:$B148=B149),$A$4:$A148),""))</f>
        <v/>
      </c>
      <c r="J149" s="32">
        <f>IF(B149="","",IFERROR(D149/I149,""))</f>
        <v/>
      </c>
      <c r="K149" s="71">
        <f>IF(B149="","",IFERROR(AVERAGEIFS($J$4:$J149,$B$4:$B149,B149,$J$4:$J149,"&gt;"&amp;0),""))</f>
        <v/>
      </c>
      <c r="L149" s="7" t="n"/>
    </row>
    <row r="150" ht="14" customHeight="1" s="72">
      <c r="A150" s="75" t="n">
        <v>46038</v>
      </c>
      <c r="B150" s="76" t="n">
        <v>2016</v>
      </c>
      <c r="C150" s="69">
        <f>IF(B150="","",IFERROR(INDEX(Client_List!$B:$B,MATCH(B150,Client_List!$A:$A,0)),"⚠ NOT FOUND"))</f>
        <v/>
      </c>
      <c r="D150" s="43" t="n">
        <v>451</v>
      </c>
      <c r="E150" s="32">
        <f>IF(B150="","",IFERROR(INDEX(Client_List!$C:$C,MATCH(VALUE(B150),Client_List!$A:$A,0)),""))</f>
        <v/>
      </c>
      <c r="F150" s="53">
        <f>IF(B150="","",IFERROR(INDEX(Client_List!$D:$D,MATCH(VALUE(B150),Client_List!$A:$A,0)),""))</f>
        <v/>
      </c>
      <c r="G150" s="53">
        <f>IF(B150="","",IFERROR(INDEX(Client_List!$K:$K,MATCH(VALUE(B150),Client_List!$A:$A,0)),""))</f>
        <v/>
      </c>
      <c r="H150" s="32">
        <f>IF(B150="","",IFERROR(INDEX(Client_List!$J:$J,MATCH(VALUE(B150),Client_List!$A:$A,0)),""))</f>
        <v/>
      </c>
      <c r="I150" s="70">
        <f>IF(B150="","",IFERROR(A150-LOOKUP(2,1/($B$4:$B149=B150),$A$4:$A149),""))</f>
        <v/>
      </c>
      <c r="J150" s="32">
        <f>IF(B150="","",IFERROR(D150/I150,""))</f>
        <v/>
      </c>
      <c r="K150" s="71">
        <f>IF(B150="","",IFERROR(AVERAGEIFS($J$4:$J150,$B$4:$B150,B150,$J$4:$J150,"&gt;"&amp;0),""))</f>
        <v/>
      </c>
      <c r="L150" s="4" t="n"/>
    </row>
    <row r="151" ht="14" customHeight="1" s="72">
      <c r="A151" s="75" t="n">
        <v>46038</v>
      </c>
      <c r="B151" s="76" t="n">
        <v>2017</v>
      </c>
      <c r="C151" s="69">
        <f>IF(B151="","",IFERROR(INDEX(Client_List!$B:$B,MATCH(B151,Client_List!$A:$A,0)),"⚠ NOT FOUND"))</f>
        <v/>
      </c>
      <c r="D151" s="43" t="n">
        <v>605</v>
      </c>
      <c r="E151" s="32">
        <f>IF(B151="","",IFERROR(INDEX(Client_List!$C:$C,MATCH(VALUE(B151),Client_List!$A:$A,0)),""))</f>
        <v/>
      </c>
      <c r="F151" s="53">
        <f>IF(B151="","",IFERROR(INDEX(Client_List!$D:$D,MATCH(VALUE(B151),Client_List!$A:$A,0)),""))</f>
        <v/>
      </c>
      <c r="G151" s="53">
        <f>IF(B151="","",IFERROR(INDEX(Client_List!$K:$K,MATCH(VALUE(B151),Client_List!$A:$A,0)),""))</f>
        <v/>
      </c>
      <c r="H151" s="32">
        <f>IF(B151="","",IFERROR(INDEX(Client_List!$J:$J,MATCH(VALUE(B151),Client_List!$A:$A,0)),""))</f>
        <v/>
      </c>
      <c r="I151" s="70">
        <f>IF(B151="","",IFERROR(A151-LOOKUP(2,1/($B$4:$B150=B151),$A$4:$A150),""))</f>
        <v/>
      </c>
      <c r="J151" s="32">
        <f>IF(B151="","",IFERROR(D151/I151,""))</f>
        <v/>
      </c>
      <c r="K151" s="71">
        <f>IF(B151="","",IFERROR(AVERAGEIFS($J$4:$J151,$B$4:$B151,B151,$J$4:$J151,"&gt;"&amp;0),""))</f>
        <v/>
      </c>
      <c r="L151" s="7" t="n"/>
    </row>
    <row r="152" ht="14" customHeight="1" s="72">
      <c r="A152" s="75" t="n">
        <v>46038</v>
      </c>
      <c r="B152" s="76" t="n">
        <v>2045</v>
      </c>
      <c r="C152" s="69">
        <f>IF(B152="","",IFERROR(INDEX(Client_List!$B:$B,MATCH(B152,Client_List!$A:$A,0)),"⚠ NOT FOUND"))</f>
        <v/>
      </c>
      <c r="D152" s="43" t="n">
        <v>188</v>
      </c>
      <c r="E152" s="32">
        <f>IF(B152="","",IFERROR(INDEX(Client_List!$C:$C,MATCH(VALUE(B152),Client_List!$A:$A,0)),""))</f>
        <v/>
      </c>
      <c r="F152" s="53">
        <f>IF(B152="","",IFERROR(INDEX(Client_List!$D:$D,MATCH(VALUE(B152),Client_List!$A:$A,0)),""))</f>
        <v/>
      </c>
      <c r="G152" s="53">
        <f>IF(B152="","",IFERROR(INDEX(Client_List!$K:$K,MATCH(VALUE(B152),Client_List!$A:$A,0)),""))</f>
        <v/>
      </c>
      <c r="H152" s="32">
        <f>IF(B152="","",IFERROR(INDEX(Client_List!$J:$J,MATCH(VALUE(B152),Client_List!$A:$A,0)),""))</f>
        <v/>
      </c>
      <c r="I152" s="70">
        <f>IF(B152="","",IFERROR(A152-LOOKUP(2,1/($B$4:$B151=B152),$A$4:$A151),""))</f>
        <v/>
      </c>
      <c r="J152" s="32">
        <f>IF(B152="","",IFERROR(D152/I152,""))</f>
        <v/>
      </c>
      <c r="K152" s="71">
        <f>IF(B152="","",IFERROR(AVERAGEIFS($J$4:$J152,$B$4:$B152,B152,$J$4:$J152,"&gt;"&amp;0),""))</f>
        <v/>
      </c>
      <c r="L152" s="4" t="n"/>
    </row>
    <row r="153" ht="14" customHeight="1" s="72">
      <c r="A153" s="75" t="n">
        <v>46038</v>
      </c>
      <c r="B153" s="76" t="n">
        <v>2073</v>
      </c>
      <c r="C153" s="69">
        <f>IF(B153="","",IFERROR(INDEX(Client_List!$B:$B,MATCH(B153,Client_List!$A:$A,0)),"⚠ NOT FOUND"))</f>
        <v/>
      </c>
      <c r="D153" s="43" t="n">
        <v>341</v>
      </c>
      <c r="E153" s="32">
        <f>IF(B153="","",IFERROR(INDEX(Client_List!$C:$C,MATCH(VALUE(B153),Client_List!$A:$A,0)),""))</f>
        <v/>
      </c>
      <c r="F153" s="53">
        <f>IF(B153="","",IFERROR(INDEX(Client_List!$D:$D,MATCH(VALUE(B153),Client_List!$A:$A,0)),""))</f>
        <v/>
      </c>
      <c r="G153" s="53">
        <f>IF(B153="","",IFERROR(INDEX(Client_List!$K:$K,MATCH(VALUE(B153),Client_List!$A:$A,0)),""))</f>
        <v/>
      </c>
      <c r="H153" s="32">
        <f>IF(B153="","",IFERROR(INDEX(Client_List!$J:$J,MATCH(VALUE(B153),Client_List!$A:$A,0)),""))</f>
        <v/>
      </c>
      <c r="I153" s="70">
        <f>IF(B153="","",IFERROR(A153-LOOKUP(2,1/($B$4:$B152=B153),$A$4:$A152),""))</f>
        <v/>
      </c>
      <c r="J153" s="32">
        <f>IF(B153="","",IFERROR(D153/I153,""))</f>
        <v/>
      </c>
      <c r="K153" s="71">
        <f>IF(B153="","",IFERROR(AVERAGEIFS($J$4:$J153,$B$4:$B153,B153,$J$4:$J153,"&gt;"&amp;0),""))</f>
        <v/>
      </c>
      <c r="L153" s="7" t="n"/>
    </row>
    <row r="154" ht="14" customHeight="1" s="72">
      <c r="A154" s="75" t="n">
        <v>46038</v>
      </c>
      <c r="B154" s="76" t="n">
        <v>3021</v>
      </c>
      <c r="C154" s="69">
        <f>IF(B154="","",IFERROR(INDEX(Client_List!$B:$B,MATCH(B154,Client_List!$A:$A,0)),"⚠ NOT FOUND"))</f>
        <v/>
      </c>
      <c r="D154" s="43" t="n">
        <v>413</v>
      </c>
      <c r="E154" s="32">
        <f>IF(B154="","",IFERROR(INDEX(Client_List!$C:$C,MATCH(VALUE(B154),Client_List!$A:$A,0)),""))</f>
        <v/>
      </c>
      <c r="F154" s="53">
        <f>IF(B154="","",IFERROR(INDEX(Client_List!$D:$D,MATCH(VALUE(B154),Client_List!$A:$A,0)),""))</f>
        <v/>
      </c>
      <c r="G154" s="53">
        <f>IF(B154="","",IFERROR(INDEX(Client_List!$K:$K,MATCH(VALUE(B154),Client_List!$A:$A,0)),""))</f>
        <v/>
      </c>
      <c r="H154" s="32">
        <f>IF(B154="","",IFERROR(INDEX(Client_List!$J:$J,MATCH(VALUE(B154),Client_List!$A:$A,0)),""))</f>
        <v/>
      </c>
      <c r="I154" s="70">
        <f>IF(B154="","",IFERROR(A154-LOOKUP(2,1/($B$4:$B153=B154),$A$4:$A153),""))</f>
        <v/>
      </c>
      <c r="J154" s="32">
        <f>IF(B154="","",IFERROR(D154/I154,""))</f>
        <v/>
      </c>
      <c r="K154" s="71">
        <f>IF(B154="","",IFERROR(AVERAGEIFS($J$4:$J154,$B$4:$B154,B154,$J$4:$J154,"&gt;"&amp;0),""))</f>
        <v/>
      </c>
      <c r="L154" s="4" t="n"/>
    </row>
    <row r="155" ht="14" customHeight="1" s="72">
      <c r="A155" s="75" t="n">
        <v>46038</v>
      </c>
      <c r="B155" s="76" t="n">
        <v>3028</v>
      </c>
      <c r="C155" s="69">
        <f>IF(B155="","",IFERROR(INDEX(Client_List!$B:$B,MATCH(B155,Client_List!$A:$A,0)),"⚠ NOT FOUND"))</f>
        <v/>
      </c>
      <c r="D155" s="43" t="n">
        <v>901</v>
      </c>
      <c r="E155" s="32">
        <f>IF(B155="","",IFERROR(INDEX(Client_List!$C:$C,MATCH(VALUE(B155),Client_List!$A:$A,0)),""))</f>
        <v/>
      </c>
      <c r="F155" s="53">
        <f>IF(B155="","",IFERROR(INDEX(Client_List!$D:$D,MATCH(VALUE(B155),Client_List!$A:$A,0)),""))</f>
        <v/>
      </c>
      <c r="G155" s="53">
        <f>IF(B155="","",IFERROR(INDEX(Client_List!$K:$K,MATCH(VALUE(B155),Client_List!$A:$A,0)),""))</f>
        <v/>
      </c>
      <c r="H155" s="32">
        <f>IF(B155="","",IFERROR(INDEX(Client_List!$J:$J,MATCH(VALUE(B155),Client_List!$A:$A,0)),""))</f>
        <v/>
      </c>
      <c r="I155" s="70">
        <f>IF(B155="","",IFERROR(A155-LOOKUP(2,1/($B$4:$B154=B155),$A$4:$A154),""))</f>
        <v/>
      </c>
      <c r="J155" s="32">
        <f>IF(B155="","",IFERROR(D155/I155,""))</f>
        <v/>
      </c>
      <c r="K155" s="71">
        <f>IF(B155="","",IFERROR(AVERAGEIFS($J$4:$J155,$B$4:$B155,B155,$J$4:$J155,"&gt;"&amp;0),""))</f>
        <v/>
      </c>
      <c r="L155" s="7" t="n"/>
    </row>
    <row r="156" ht="14" customHeight="1" s="72">
      <c r="A156" s="75" t="n">
        <v>46038</v>
      </c>
      <c r="B156" s="76" t="n">
        <v>4010</v>
      </c>
      <c r="C156" s="69">
        <f>IF(B156="","",IFERROR(INDEX(Client_List!$B:$B,MATCH(B156,Client_List!$A:$A,0)),"⚠ NOT FOUND"))</f>
        <v/>
      </c>
      <c r="D156" s="43" t="n">
        <v>421</v>
      </c>
      <c r="E156" s="32">
        <f>IF(B156="","",IFERROR(INDEX(Client_List!$C:$C,MATCH(VALUE(B156),Client_List!$A:$A,0)),""))</f>
        <v/>
      </c>
      <c r="F156" s="53">
        <f>IF(B156="","",IFERROR(INDEX(Client_List!$D:$D,MATCH(VALUE(B156),Client_List!$A:$A,0)),""))</f>
        <v/>
      </c>
      <c r="G156" s="53">
        <f>IF(B156="","",IFERROR(INDEX(Client_List!$K:$K,MATCH(VALUE(B156),Client_List!$A:$A,0)),""))</f>
        <v/>
      </c>
      <c r="H156" s="32">
        <f>IF(B156="","",IFERROR(INDEX(Client_List!$J:$J,MATCH(VALUE(B156),Client_List!$A:$A,0)),""))</f>
        <v/>
      </c>
      <c r="I156" s="70">
        <f>IF(B156="","",IFERROR(A156-LOOKUP(2,1/($B$4:$B155=B156),$A$4:$A155),""))</f>
        <v/>
      </c>
      <c r="J156" s="32">
        <f>IF(B156="","",IFERROR(D156/I156,""))</f>
        <v/>
      </c>
      <c r="K156" s="71">
        <f>IF(B156="","",IFERROR(AVERAGEIFS($J$4:$J156,$B$4:$B156,B156,$J$4:$J156,"&gt;"&amp;0),""))</f>
        <v/>
      </c>
      <c r="L156" s="4" t="n"/>
    </row>
    <row r="157" ht="14" customHeight="1" s="72">
      <c r="A157" s="75" t="n">
        <v>46038</v>
      </c>
      <c r="B157" s="76" t="n">
        <v>4029</v>
      </c>
      <c r="C157" s="69">
        <f>IF(B157="","",IFERROR(INDEX(Client_List!$B:$B,MATCH(B157,Client_List!$A:$A,0)),"⚠ NOT FOUND"))</f>
        <v/>
      </c>
      <c r="D157" s="43" t="n">
        <v>2004</v>
      </c>
      <c r="E157" s="32">
        <f>IF(B157="","",IFERROR(INDEX(Client_List!$C:$C,MATCH(VALUE(B157),Client_List!$A:$A,0)),""))</f>
        <v/>
      </c>
      <c r="F157" s="53">
        <f>IF(B157="","",IFERROR(INDEX(Client_List!$D:$D,MATCH(VALUE(B157),Client_List!$A:$A,0)),""))</f>
        <v/>
      </c>
      <c r="G157" s="53">
        <f>IF(B157="","",IFERROR(INDEX(Client_List!$K:$K,MATCH(VALUE(B157),Client_List!$A:$A,0)),""))</f>
        <v/>
      </c>
      <c r="H157" s="32">
        <f>IF(B157="","",IFERROR(INDEX(Client_List!$J:$J,MATCH(VALUE(B157),Client_List!$A:$A,0)),""))</f>
        <v/>
      </c>
      <c r="I157" s="70">
        <f>IF(B157="","",IFERROR(A157-LOOKUP(2,1/($B$4:$B156=B157),$A$4:$A156),""))</f>
        <v/>
      </c>
      <c r="J157" s="32">
        <f>IF(B157="","",IFERROR(D157/I157,""))</f>
        <v/>
      </c>
      <c r="K157" s="71">
        <f>IF(B157="","",IFERROR(AVERAGEIFS($J$4:$J157,$B$4:$B157,B157,$J$4:$J157,"&gt;"&amp;0),""))</f>
        <v/>
      </c>
      <c r="L157" s="7" t="n"/>
    </row>
    <row r="158" ht="14" customHeight="1" s="72">
      <c r="A158" s="75" t="n">
        <v>46038</v>
      </c>
      <c r="B158" s="76" t="n">
        <v>5004</v>
      </c>
      <c r="C158" s="69">
        <f>IF(B158="","",IFERROR(INDEX(Client_List!$B:$B,MATCH(B158,Client_List!$A:$A,0)),"⚠ NOT FOUND"))</f>
        <v/>
      </c>
      <c r="D158" s="43" t="n">
        <v>561</v>
      </c>
      <c r="E158" s="32">
        <f>IF(B158="","",IFERROR(INDEX(Client_List!$C:$C,MATCH(VALUE(B158),Client_List!$A:$A,0)),""))</f>
        <v/>
      </c>
      <c r="F158" s="53">
        <f>IF(B158="","",IFERROR(INDEX(Client_List!$D:$D,MATCH(VALUE(B158),Client_List!$A:$A,0)),""))</f>
        <v/>
      </c>
      <c r="G158" s="53">
        <f>IF(B158="","",IFERROR(INDEX(Client_List!$K:$K,MATCH(VALUE(B158),Client_List!$A:$A,0)),""))</f>
        <v/>
      </c>
      <c r="H158" s="32">
        <f>IF(B158="","",IFERROR(INDEX(Client_List!$J:$J,MATCH(VALUE(B158),Client_List!$A:$A,0)),""))</f>
        <v/>
      </c>
      <c r="I158" s="70">
        <f>IF(B158="","",IFERROR(A158-LOOKUP(2,1/($B$4:$B157=B158),$A$4:$A157),""))</f>
        <v/>
      </c>
      <c r="J158" s="32">
        <f>IF(B158="","",IFERROR(D158/I158,""))</f>
        <v/>
      </c>
      <c r="K158" s="71">
        <f>IF(B158="","",IFERROR(AVERAGEIFS($J$4:$J158,$B$4:$B158,B158,$J$4:$J158,"&gt;"&amp;0),""))</f>
        <v/>
      </c>
      <c r="L158" s="4" t="n"/>
    </row>
    <row r="159" ht="14" customHeight="1" s="72">
      <c r="A159" s="75" t="n">
        <v>46038</v>
      </c>
      <c r="B159" s="76" t="n">
        <v>7002</v>
      </c>
      <c r="C159" s="69">
        <f>IF(B159="","",IFERROR(INDEX(Client_List!$B:$B,MATCH(B159,Client_List!$A:$A,0)),"⚠ NOT FOUND"))</f>
        <v/>
      </c>
      <c r="D159" s="43" t="n">
        <v>439</v>
      </c>
      <c r="E159" s="32">
        <f>IF(B159="","",IFERROR(INDEX(Client_List!$C:$C,MATCH(VALUE(B159),Client_List!$A:$A,0)),""))</f>
        <v/>
      </c>
      <c r="F159" s="53">
        <f>IF(B159="","",IFERROR(INDEX(Client_List!$D:$D,MATCH(VALUE(B159),Client_List!$A:$A,0)),""))</f>
        <v/>
      </c>
      <c r="G159" s="53">
        <f>IF(B159="","",IFERROR(INDEX(Client_List!$K:$K,MATCH(VALUE(B159),Client_List!$A:$A,0)),""))</f>
        <v/>
      </c>
      <c r="H159" s="32">
        <f>IF(B159="","",IFERROR(INDEX(Client_List!$J:$J,MATCH(VALUE(B159),Client_List!$A:$A,0)),""))</f>
        <v/>
      </c>
      <c r="I159" s="70">
        <f>IF(B159="","",IFERROR(A159-LOOKUP(2,1/($B$4:$B158=B159),$A$4:$A158),""))</f>
        <v/>
      </c>
      <c r="J159" s="32">
        <f>IF(B159="","",IFERROR(D159/I159,""))</f>
        <v/>
      </c>
      <c r="K159" s="71">
        <f>IF(B159="","",IFERROR(AVERAGEIFS($J$4:$J159,$B$4:$B159,B159,$J$4:$J159,"&gt;"&amp;0),""))</f>
        <v/>
      </c>
      <c r="L159" s="7" t="n"/>
    </row>
    <row r="160" ht="14" customHeight="1" s="72">
      <c r="A160" s="75" t="n">
        <v>46038</v>
      </c>
      <c r="B160" s="76" t="n">
        <v>15009</v>
      </c>
      <c r="C160" s="69">
        <f>IF(B160="","",IFERROR(INDEX(Client_List!$B:$B,MATCH(B160,Client_List!$A:$A,0)),"⚠ NOT FOUND"))</f>
        <v/>
      </c>
      <c r="D160" s="43" t="n">
        <v>500</v>
      </c>
      <c r="E160" s="32">
        <f>IF(B160="","",IFERROR(INDEX(Client_List!$C:$C,MATCH(VALUE(B160),Client_List!$A:$A,0)),""))</f>
        <v/>
      </c>
      <c r="F160" s="53">
        <f>IF(B160="","",IFERROR(INDEX(Client_List!$D:$D,MATCH(VALUE(B160),Client_List!$A:$A,0)),""))</f>
        <v/>
      </c>
      <c r="G160" s="53">
        <f>IF(B160="","",IFERROR(INDEX(Client_List!$K:$K,MATCH(VALUE(B160),Client_List!$A:$A,0)),""))</f>
        <v/>
      </c>
      <c r="H160" s="32">
        <f>IF(B160="","",IFERROR(INDEX(Client_List!$J:$J,MATCH(VALUE(B160),Client_List!$A:$A,0)),""))</f>
        <v/>
      </c>
      <c r="I160" s="70">
        <f>IF(B160="","",IFERROR(A160-LOOKUP(2,1/($B$4:$B159=B160),$A$4:$A159),""))</f>
        <v/>
      </c>
      <c r="J160" s="32">
        <f>IF(B160="","",IFERROR(D160/I160,""))</f>
        <v/>
      </c>
      <c r="K160" s="71">
        <f>IF(B160="","",IFERROR(AVERAGEIFS($J$4:$J160,$B$4:$B160,B160,$J$4:$J160,"&gt;"&amp;0),""))</f>
        <v/>
      </c>
      <c r="L160" s="4" t="n"/>
    </row>
    <row r="161" ht="14" customHeight="1" s="72">
      <c r="A161" s="75" t="n">
        <v>46038</v>
      </c>
      <c r="B161" s="76" t="n">
        <v>15018</v>
      </c>
      <c r="C161" s="69">
        <f>IF(B161="","",IFERROR(INDEX(Client_List!$B:$B,MATCH(B161,Client_List!$A:$A,0)),"⚠ NOT FOUND"))</f>
        <v/>
      </c>
      <c r="D161" s="43" t="n">
        <v>470</v>
      </c>
      <c r="E161" s="32">
        <f>IF(B161="","",IFERROR(INDEX(Client_List!$C:$C,MATCH(VALUE(B161),Client_List!$A:$A,0)),""))</f>
        <v/>
      </c>
      <c r="F161" s="53">
        <f>IF(B161="","",IFERROR(INDEX(Client_List!$D:$D,MATCH(VALUE(B161),Client_List!$A:$A,0)),""))</f>
        <v/>
      </c>
      <c r="G161" s="53">
        <f>IF(B161="","",IFERROR(INDEX(Client_List!$K:$K,MATCH(VALUE(B161),Client_List!$A:$A,0)),""))</f>
        <v/>
      </c>
      <c r="H161" s="32">
        <f>IF(B161="","",IFERROR(INDEX(Client_List!$J:$J,MATCH(VALUE(B161),Client_List!$A:$A,0)),""))</f>
        <v/>
      </c>
      <c r="I161" s="70">
        <f>IF(B161="","",IFERROR(A161-LOOKUP(2,1/($B$4:$B160=B161),$A$4:$A160),""))</f>
        <v/>
      </c>
      <c r="J161" s="32">
        <f>IF(B161="","",IFERROR(D161/I161,""))</f>
        <v/>
      </c>
      <c r="K161" s="71">
        <f>IF(B161="","",IFERROR(AVERAGEIFS($J$4:$J161,$B$4:$B161,B161,$J$4:$J161,"&gt;"&amp;0),""))</f>
        <v/>
      </c>
      <c r="L161" s="7" t="n"/>
    </row>
    <row r="162" ht="14" customHeight="1" s="72">
      <c r="A162" s="75" t="n">
        <v>46038</v>
      </c>
      <c r="B162" s="76" t="n">
        <v>15024</v>
      </c>
      <c r="C162" s="69">
        <f>IF(B162="","",IFERROR(INDEX(Client_List!$B:$B,MATCH(B162,Client_List!$A:$A,0)),"⚠ NOT FOUND"))</f>
        <v/>
      </c>
      <c r="D162" s="43" t="n">
        <v>479</v>
      </c>
      <c r="E162" s="32">
        <f>IF(B162="","",IFERROR(INDEX(Client_List!$C:$C,MATCH(VALUE(B162),Client_List!$A:$A,0)),""))</f>
        <v/>
      </c>
      <c r="F162" s="53">
        <f>IF(B162="","",IFERROR(INDEX(Client_List!$D:$D,MATCH(VALUE(B162),Client_List!$A:$A,0)),""))</f>
        <v/>
      </c>
      <c r="G162" s="53">
        <f>IF(B162="","",IFERROR(INDEX(Client_List!$K:$K,MATCH(VALUE(B162),Client_List!$A:$A,0)),""))</f>
        <v/>
      </c>
      <c r="H162" s="32">
        <f>IF(B162="","",IFERROR(INDEX(Client_List!$J:$J,MATCH(VALUE(B162),Client_List!$A:$A,0)),""))</f>
        <v/>
      </c>
      <c r="I162" s="70">
        <f>IF(B162="","",IFERROR(A162-LOOKUP(2,1/($B$4:$B161=B162),$A$4:$A161),""))</f>
        <v/>
      </c>
      <c r="J162" s="32">
        <f>IF(B162="","",IFERROR(D162/I162,""))</f>
        <v/>
      </c>
      <c r="K162" s="71">
        <f>IF(B162="","",IFERROR(AVERAGEIFS($J$4:$J162,$B$4:$B162,B162,$J$4:$J162,"&gt;"&amp;0),""))</f>
        <v/>
      </c>
      <c r="L162" s="4" t="n"/>
    </row>
    <row r="163" ht="14" customHeight="1" s="72">
      <c r="A163" s="75" t="n">
        <v>46038</v>
      </c>
      <c r="B163" s="76" t="n">
        <v>15025</v>
      </c>
      <c r="C163" s="69">
        <f>IF(B163="","",IFERROR(INDEX(Client_List!$B:$B,MATCH(B163,Client_List!$A:$A,0)),"⚠ NOT FOUND"))</f>
        <v/>
      </c>
      <c r="D163" s="43" t="n">
        <v>606</v>
      </c>
      <c r="E163" s="32">
        <f>IF(B163="","",IFERROR(INDEX(Client_List!$C:$C,MATCH(VALUE(B163),Client_List!$A:$A,0)),""))</f>
        <v/>
      </c>
      <c r="F163" s="53">
        <f>IF(B163="","",IFERROR(INDEX(Client_List!$D:$D,MATCH(VALUE(B163),Client_List!$A:$A,0)),""))</f>
        <v/>
      </c>
      <c r="G163" s="53">
        <f>IF(B163="","",IFERROR(INDEX(Client_List!$K:$K,MATCH(VALUE(B163),Client_List!$A:$A,0)),""))</f>
        <v/>
      </c>
      <c r="H163" s="32">
        <f>IF(B163="","",IFERROR(INDEX(Client_List!$J:$J,MATCH(VALUE(B163),Client_List!$A:$A,0)),""))</f>
        <v/>
      </c>
      <c r="I163" s="70">
        <f>IF(B163="","",IFERROR(A163-LOOKUP(2,1/($B$4:$B162=B163),$A$4:$A162),""))</f>
        <v/>
      </c>
      <c r="J163" s="32">
        <f>IF(B163="","",IFERROR(D163/I163,""))</f>
        <v/>
      </c>
      <c r="K163" s="71">
        <f>IF(B163="","",IFERROR(AVERAGEIFS($J$4:$J163,$B$4:$B163,B163,$J$4:$J163,"&gt;"&amp;0),""))</f>
        <v/>
      </c>
      <c r="L163" s="7" t="n"/>
    </row>
    <row r="164" ht="14" customHeight="1" s="72">
      <c r="A164" s="75" t="n">
        <v>46038</v>
      </c>
      <c r="B164" s="76" t="n">
        <v>15027</v>
      </c>
      <c r="C164" s="69">
        <f>IF(B164="","",IFERROR(INDEX(Client_List!$B:$B,MATCH(B164,Client_List!$A:$A,0)),"⚠ NOT FOUND"))</f>
        <v/>
      </c>
      <c r="D164" s="43" t="n">
        <v>292</v>
      </c>
      <c r="E164" s="32">
        <f>IF(B164="","",IFERROR(INDEX(Client_List!$C:$C,MATCH(VALUE(B164),Client_List!$A:$A,0)),""))</f>
        <v/>
      </c>
      <c r="F164" s="53">
        <f>IF(B164="","",IFERROR(INDEX(Client_List!$D:$D,MATCH(VALUE(B164),Client_List!$A:$A,0)),""))</f>
        <v/>
      </c>
      <c r="G164" s="53">
        <f>IF(B164="","",IFERROR(INDEX(Client_List!$K:$K,MATCH(VALUE(B164),Client_List!$A:$A,0)),""))</f>
        <v/>
      </c>
      <c r="H164" s="32">
        <f>IF(B164="","",IFERROR(INDEX(Client_List!$J:$J,MATCH(VALUE(B164),Client_List!$A:$A,0)),""))</f>
        <v/>
      </c>
      <c r="I164" s="70">
        <f>IF(B164="","",IFERROR(A164-LOOKUP(2,1/($B$4:$B163=B164),$A$4:$A163),""))</f>
        <v/>
      </c>
      <c r="J164" s="32">
        <f>IF(B164="","",IFERROR(D164/I164,""))</f>
        <v/>
      </c>
      <c r="K164" s="71">
        <f>IF(B164="","",IFERROR(AVERAGEIFS($J$4:$J164,$B$4:$B164,B164,$J$4:$J164,"&gt;"&amp;0),""))</f>
        <v/>
      </c>
      <c r="L164" s="4" t="n"/>
    </row>
    <row r="165" ht="14" customHeight="1" s="72">
      <c r="A165" s="75" t="n">
        <v>46038</v>
      </c>
      <c r="B165" s="76" t="n">
        <v>15051</v>
      </c>
      <c r="C165" s="69">
        <f>IF(B165="","",IFERROR(INDEX(Client_List!$B:$B,MATCH(B165,Client_List!$A:$A,0)),"⚠ NOT FOUND"))</f>
        <v/>
      </c>
      <c r="D165" s="43" t="n">
        <v>511</v>
      </c>
      <c r="E165" s="32">
        <f>IF(B165="","",IFERROR(INDEX(Client_List!$C:$C,MATCH(VALUE(B165),Client_List!$A:$A,0)),""))</f>
        <v/>
      </c>
      <c r="F165" s="53">
        <f>IF(B165="","",IFERROR(INDEX(Client_List!$D:$D,MATCH(VALUE(B165),Client_List!$A:$A,0)),""))</f>
        <v/>
      </c>
      <c r="G165" s="53">
        <f>IF(B165="","",IFERROR(INDEX(Client_List!$K:$K,MATCH(VALUE(B165),Client_List!$A:$A,0)),""))</f>
        <v/>
      </c>
      <c r="H165" s="32">
        <f>IF(B165="","",IFERROR(INDEX(Client_List!$J:$J,MATCH(VALUE(B165),Client_List!$A:$A,0)),""))</f>
        <v/>
      </c>
      <c r="I165" s="70">
        <f>IF(B165="","",IFERROR(A165-LOOKUP(2,1/($B$4:$B164=B165),$A$4:$A164),""))</f>
        <v/>
      </c>
      <c r="J165" s="32">
        <f>IF(B165="","",IFERROR(D165/I165,""))</f>
        <v/>
      </c>
      <c r="K165" s="71">
        <f>IF(B165="","",IFERROR(AVERAGEIFS($J$4:$J165,$B$4:$B165,B165,$J$4:$J165,"&gt;"&amp;0),""))</f>
        <v/>
      </c>
      <c r="L165" s="7" t="n"/>
    </row>
    <row r="166" ht="14" customHeight="1" s="72">
      <c r="A166" s="75" t="n">
        <v>46038</v>
      </c>
      <c r="B166" s="76" t="n">
        <v>18042</v>
      </c>
      <c r="C166" s="69">
        <f>IF(B166="","",IFERROR(INDEX(Client_List!$B:$B,MATCH(B166,Client_List!$A:$A,0)),"⚠ NOT FOUND"))</f>
        <v/>
      </c>
      <c r="D166" s="43" t="n">
        <v>836</v>
      </c>
      <c r="E166" s="32">
        <f>IF(B166="","",IFERROR(INDEX(Client_List!$C:$C,MATCH(VALUE(B166),Client_List!$A:$A,0)),""))</f>
        <v/>
      </c>
      <c r="F166" s="53">
        <f>IF(B166="","",IFERROR(INDEX(Client_List!$D:$D,MATCH(VALUE(B166),Client_List!$A:$A,0)),""))</f>
        <v/>
      </c>
      <c r="G166" s="53">
        <f>IF(B166="","",IFERROR(INDEX(Client_List!$K:$K,MATCH(VALUE(B166),Client_List!$A:$A,0)),""))</f>
        <v/>
      </c>
      <c r="H166" s="32">
        <f>IF(B166="","",IFERROR(INDEX(Client_List!$J:$J,MATCH(VALUE(B166),Client_List!$A:$A,0)),""))</f>
        <v/>
      </c>
      <c r="I166" s="70">
        <f>IF(B166="","",IFERROR(A166-LOOKUP(2,1/($B$4:$B165=B166),$A$4:$A165),""))</f>
        <v/>
      </c>
      <c r="J166" s="32">
        <f>IF(B166="","",IFERROR(D166/I166,""))</f>
        <v/>
      </c>
      <c r="K166" s="71">
        <f>IF(B166="","",IFERROR(AVERAGEIFS($J$4:$J166,$B$4:$B166,B166,$J$4:$J166,"&gt;"&amp;0),""))</f>
        <v/>
      </c>
      <c r="L166" s="4" t="n"/>
    </row>
    <row r="167" ht="14" customHeight="1" s="72">
      <c r="A167" s="75" t="n">
        <v>46038</v>
      </c>
      <c r="B167" s="76" t="n">
        <v>19031</v>
      </c>
      <c r="C167" s="69">
        <f>IF(B167="","",IFERROR(INDEX(Client_List!$B:$B,MATCH(B167,Client_List!$A:$A,0)),"⚠ NOT FOUND"))</f>
        <v/>
      </c>
      <c r="D167" s="43" t="n">
        <v>626</v>
      </c>
      <c r="E167" s="32">
        <f>IF(B167="","",IFERROR(INDEX(Client_List!$C:$C,MATCH(VALUE(B167),Client_List!$A:$A,0)),""))</f>
        <v/>
      </c>
      <c r="F167" s="53">
        <f>IF(B167="","",IFERROR(INDEX(Client_List!$D:$D,MATCH(VALUE(B167),Client_List!$A:$A,0)),""))</f>
        <v/>
      </c>
      <c r="G167" s="53">
        <f>IF(B167="","",IFERROR(INDEX(Client_List!$K:$K,MATCH(VALUE(B167),Client_List!$A:$A,0)),""))</f>
        <v/>
      </c>
      <c r="H167" s="32">
        <f>IF(B167="","",IFERROR(INDEX(Client_List!$J:$J,MATCH(VALUE(B167),Client_List!$A:$A,0)),""))</f>
        <v/>
      </c>
      <c r="I167" s="70">
        <f>IF(B167="","",IFERROR(A167-LOOKUP(2,1/($B$4:$B166=B167),$A$4:$A166),""))</f>
        <v/>
      </c>
      <c r="J167" s="32">
        <f>IF(B167="","",IFERROR(D167/I167,""))</f>
        <v/>
      </c>
      <c r="K167" s="71">
        <f>IF(B167="","",IFERROR(AVERAGEIFS($J$4:$J167,$B$4:$B167,B167,$J$4:$J167,"&gt;"&amp;0),""))</f>
        <v/>
      </c>
      <c r="L167" s="7" t="n"/>
    </row>
    <row r="168" ht="14" customHeight="1" s="72">
      <c r="A168" s="75" t="n">
        <v>46038</v>
      </c>
      <c r="B168" s="76" t="n">
        <v>19077</v>
      </c>
      <c r="C168" s="69">
        <f>IF(B168="","",IFERROR(INDEX(Client_List!$B:$B,MATCH(B168,Client_List!$A:$A,0)),"⚠ NOT FOUND"))</f>
        <v/>
      </c>
      <c r="D168" s="43" t="n">
        <v>800</v>
      </c>
      <c r="E168" s="32">
        <f>IF(B168="","",IFERROR(INDEX(Client_List!$C:$C,MATCH(VALUE(B168),Client_List!$A:$A,0)),""))</f>
        <v/>
      </c>
      <c r="F168" s="53">
        <f>IF(B168="","",IFERROR(INDEX(Client_List!$D:$D,MATCH(VALUE(B168),Client_List!$A:$A,0)),""))</f>
        <v/>
      </c>
      <c r="G168" s="53">
        <f>IF(B168="","",IFERROR(INDEX(Client_List!$K:$K,MATCH(VALUE(B168),Client_List!$A:$A,0)),""))</f>
        <v/>
      </c>
      <c r="H168" s="32">
        <f>IF(B168="","",IFERROR(INDEX(Client_List!$J:$J,MATCH(VALUE(B168),Client_List!$A:$A,0)),""))</f>
        <v/>
      </c>
      <c r="I168" s="70">
        <f>IF(B168="","",IFERROR(A168-LOOKUP(2,1/($B$4:$B167=B168),$A$4:$A167),""))</f>
        <v/>
      </c>
      <c r="J168" s="32">
        <f>IF(B168="","",IFERROR(D168/I168,""))</f>
        <v/>
      </c>
      <c r="K168" s="71">
        <f>IF(B168="","",IFERROR(AVERAGEIFS($J$4:$J168,$B$4:$B168,B168,$J$4:$J168,"&gt;"&amp;0),""))</f>
        <v/>
      </c>
      <c r="L168" s="4" t="n"/>
    </row>
    <row r="169" ht="14" customHeight="1" s="72">
      <c r="A169" s="75" t="n">
        <v>46038</v>
      </c>
      <c r="B169" s="76" t="n">
        <v>20094</v>
      </c>
      <c r="C169" s="69">
        <f>IF(B169="","",IFERROR(INDEX(Client_List!$B:$B,MATCH(B169,Client_List!$A:$A,0)),"⚠ NOT FOUND"))</f>
        <v/>
      </c>
      <c r="D169" s="43" t="n">
        <v>1093</v>
      </c>
      <c r="E169" s="32">
        <f>IF(B169="","",IFERROR(INDEX(Client_List!$C:$C,MATCH(VALUE(B169),Client_List!$A:$A,0)),""))</f>
        <v/>
      </c>
      <c r="F169" s="53">
        <f>IF(B169="","",IFERROR(INDEX(Client_List!$D:$D,MATCH(VALUE(B169),Client_List!$A:$A,0)),""))</f>
        <v/>
      </c>
      <c r="G169" s="53">
        <f>IF(B169="","",IFERROR(INDEX(Client_List!$K:$K,MATCH(VALUE(B169),Client_List!$A:$A,0)),""))</f>
        <v/>
      </c>
      <c r="H169" s="32">
        <f>IF(B169="","",IFERROR(INDEX(Client_List!$J:$J,MATCH(VALUE(B169),Client_List!$A:$A,0)),""))</f>
        <v/>
      </c>
      <c r="I169" s="70">
        <f>IF(B169="","",IFERROR(A169-LOOKUP(2,1/($B$4:$B168=B169),$A$4:$A168),""))</f>
        <v/>
      </c>
      <c r="J169" s="32">
        <f>IF(B169="","",IFERROR(D169/I169,""))</f>
        <v/>
      </c>
      <c r="K169" s="71">
        <f>IF(B169="","",IFERROR(AVERAGEIFS($J$4:$J169,$B$4:$B169,B169,$J$4:$J169,"&gt;"&amp;0),""))</f>
        <v/>
      </c>
      <c r="L169" s="7" t="n"/>
    </row>
    <row r="170" ht="14" customHeight="1" s="72">
      <c r="A170" s="75" t="n">
        <v>46039</v>
      </c>
      <c r="B170" s="76" t="n">
        <v>1013</v>
      </c>
      <c r="C170" s="69">
        <f>IF(B170="","",IFERROR(INDEX(Client_List!$B:$B,MATCH(B170,Client_List!$A:$A,0)),"⚠ NOT FOUND"))</f>
        <v/>
      </c>
      <c r="D170" s="43" t="n">
        <v>828</v>
      </c>
      <c r="E170" s="32">
        <f>IF(B170="","",IFERROR(INDEX(Client_List!$C:$C,MATCH(VALUE(B170),Client_List!$A:$A,0)),""))</f>
        <v/>
      </c>
      <c r="F170" s="53">
        <f>IF(B170="","",IFERROR(INDEX(Client_List!$D:$D,MATCH(VALUE(B170),Client_List!$A:$A,0)),""))</f>
        <v/>
      </c>
      <c r="G170" s="53">
        <f>IF(B170="","",IFERROR(INDEX(Client_List!$K:$K,MATCH(VALUE(B170),Client_List!$A:$A,0)),""))</f>
        <v/>
      </c>
      <c r="H170" s="32">
        <f>IF(B170="","",IFERROR(INDEX(Client_List!$J:$J,MATCH(VALUE(B170),Client_List!$A:$A,0)),""))</f>
        <v/>
      </c>
      <c r="I170" s="70">
        <f>IF(B170="","",IFERROR(A170-LOOKUP(2,1/($B$4:$B169=B170),$A$4:$A169),""))</f>
        <v/>
      </c>
      <c r="J170" s="32">
        <f>IF(B170="","",IFERROR(D170/I170,""))</f>
        <v/>
      </c>
      <c r="K170" s="71">
        <f>IF(B170="","",IFERROR(AVERAGEIFS($J$4:$J170,$B$4:$B170,B170,$J$4:$J170,"&gt;"&amp;0),""))</f>
        <v/>
      </c>
      <c r="L170" s="4" t="n"/>
    </row>
    <row r="171" ht="14" customHeight="1" s="72">
      <c r="A171" s="75" t="n">
        <v>46039</v>
      </c>
      <c r="B171" s="76" t="n">
        <v>1057</v>
      </c>
      <c r="C171" s="69">
        <f>IF(B171="","",IFERROR(INDEX(Client_List!$B:$B,MATCH(B171,Client_List!$A:$A,0)),"⚠ NOT FOUND"))</f>
        <v/>
      </c>
      <c r="D171" s="43" t="n">
        <v>743</v>
      </c>
      <c r="E171" s="32">
        <f>IF(B171="","",IFERROR(INDEX(Client_List!$C:$C,MATCH(VALUE(B171),Client_List!$A:$A,0)),""))</f>
        <v/>
      </c>
      <c r="F171" s="53">
        <f>IF(B171="","",IFERROR(INDEX(Client_List!$D:$D,MATCH(VALUE(B171),Client_List!$A:$A,0)),""))</f>
        <v/>
      </c>
      <c r="G171" s="53">
        <f>IF(B171="","",IFERROR(INDEX(Client_List!$K:$K,MATCH(VALUE(B171),Client_List!$A:$A,0)),""))</f>
        <v/>
      </c>
      <c r="H171" s="32">
        <f>IF(B171="","",IFERROR(INDEX(Client_List!$J:$J,MATCH(VALUE(B171),Client_List!$A:$A,0)),""))</f>
        <v/>
      </c>
      <c r="I171" s="70">
        <f>IF(B171="","",IFERROR(A171-LOOKUP(2,1/($B$4:$B170=B171),$A$4:$A170),""))</f>
        <v/>
      </c>
      <c r="J171" s="32">
        <f>IF(B171="","",IFERROR(D171/I171,""))</f>
        <v/>
      </c>
      <c r="K171" s="71">
        <f>IF(B171="","",IFERROR(AVERAGEIFS($J$4:$J171,$B$4:$B171,B171,$J$4:$J171,"&gt;"&amp;0),""))</f>
        <v/>
      </c>
      <c r="L171" s="7" t="n"/>
    </row>
    <row r="172" ht="14" customHeight="1" s="72">
      <c r="A172" s="75" t="n">
        <v>46039</v>
      </c>
      <c r="B172" s="76" t="n">
        <v>3064</v>
      </c>
      <c r="C172" s="69">
        <f>IF(B172="","",IFERROR(INDEX(Client_List!$B:$B,MATCH(B172,Client_List!$A:$A,0)),"⚠ NOT FOUND"))</f>
        <v/>
      </c>
      <c r="D172" s="43" t="n">
        <v>571</v>
      </c>
      <c r="E172" s="32">
        <f>IF(B172="","",IFERROR(INDEX(Client_List!$C:$C,MATCH(VALUE(B172),Client_List!$A:$A,0)),""))</f>
        <v/>
      </c>
      <c r="F172" s="53">
        <f>IF(B172="","",IFERROR(INDEX(Client_List!$D:$D,MATCH(VALUE(B172),Client_List!$A:$A,0)),""))</f>
        <v/>
      </c>
      <c r="G172" s="53">
        <f>IF(B172="","",IFERROR(INDEX(Client_List!$K:$K,MATCH(VALUE(B172),Client_List!$A:$A,0)),""))</f>
        <v/>
      </c>
      <c r="H172" s="32">
        <f>IF(B172="","",IFERROR(INDEX(Client_List!$J:$J,MATCH(VALUE(B172),Client_List!$A:$A,0)),""))</f>
        <v/>
      </c>
      <c r="I172" s="70">
        <f>IF(B172="","",IFERROR(A172-LOOKUP(2,1/($B$4:$B171=B172),$A$4:$A171),""))</f>
        <v/>
      </c>
      <c r="J172" s="32">
        <f>IF(B172="","",IFERROR(D172/I172,""))</f>
        <v/>
      </c>
      <c r="K172" s="71">
        <f>IF(B172="","",IFERROR(AVERAGEIFS($J$4:$J172,$B$4:$B172,B172,$J$4:$J172,"&gt;"&amp;0),""))</f>
        <v/>
      </c>
      <c r="L172" s="4" t="n"/>
    </row>
    <row r="173" ht="14" customHeight="1" s="72">
      <c r="A173" s="75" t="n">
        <v>46039</v>
      </c>
      <c r="B173" s="76" t="n">
        <v>15021</v>
      </c>
      <c r="C173" s="69">
        <f>IF(B173="","",IFERROR(INDEX(Client_List!$B:$B,MATCH(B173,Client_List!$A:$A,0)),"⚠ NOT FOUND"))</f>
        <v/>
      </c>
      <c r="D173" s="43" t="n">
        <v>349</v>
      </c>
      <c r="E173" s="32">
        <f>IF(B173="","",IFERROR(INDEX(Client_List!$C:$C,MATCH(VALUE(B173),Client_List!$A:$A,0)),""))</f>
        <v/>
      </c>
      <c r="F173" s="53">
        <f>IF(B173="","",IFERROR(INDEX(Client_List!$D:$D,MATCH(VALUE(B173),Client_List!$A:$A,0)),""))</f>
        <v/>
      </c>
      <c r="G173" s="53">
        <f>IF(B173="","",IFERROR(INDEX(Client_List!$K:$K,MATCH(VALUE(B173),Client_List!$A:$A,0)),""))</f>
        <v/>
      </c>
      <c r="H173" s="32">
        <f>IF(B173="","",IFERROR(INDEX(Client_List!$J:$J,MATCH(VALUE(B173),Client_List!$A:$A,0)),""))</f>
        <v/>
      </c>
      <c r="I173" s="70">
        <f>IF(B173="","",IFERROR(A173-LOOKUP(2,1/($B$4:$B172=B173),$A$4:$A172),""))</f>
        <v/>
      </c>
      <c r="J173" s="32">
        <f>IF(B173="","",IFERROR(D173/I173,""))</f>
        <v/>
      </c>
      <c r="K173" s="71">
        <f>IF(B173="","",IFERROR(AVERAGEIFS($J$4:$J173,$B$4:$B173,B173,$J$4:$J173,"&gt;"&amp;0),""))</f>
        <v/>
      </c>
      <c r="L173" s="7" t="n"/>
    </row>
    <row r="174" ht="14" customHeight="1" s="72">
      <c r="A174" s="75" t="n">
        <v>46039</v>
      </c>
      <c r="B174" s="76" t="n">
        <v>15028</v>
      </c>
      <c r="C174" s="69">
        <f>IF(B174="","",IFERROR(INDEX(Client_List!$B:$B,MATCH(B174,Client_List!$A:$A,0)),"⚠ NOT FOUND"))</f>
        <v/>
      </c>
      <c r="D174" s="43" t="n">
        <v>683</v>
      </c>
      <c r="E174" s="32">
        <f>IF(B174="","",IFERROR(INDEX(Client_List!$C:$C,MATCH(VALUE(B174),Client_List!$A:$A,0)),""))</f>
        <v/>
      </c>
      <c r="F174" s="53">
        <f>IF(B174="","",IFERROR(INDEX(Client_List!$D:$D,MATCH(VALUE(B174),Client_List!$A:$A,0)),""))</f>
        <v/>
      </c>
      <c r="G174" s="53">
        <f>IF(B174="","",IFERROR(INDEX(Client_List!$K:$K,MATCH(VALUE(B174),Client_List!$A:$A,0)),""))</f>
        <v/>
      </c>
      <c r="H174" s="32">
        <f>IF(B174="","",IFERROR(INDEX(Client_List!$J:$J,MATCH(VALUE(B174),Client_List!$A:$A,0)),""))</f>
        <v/>
      </c>
      <c r="I174" s="70">
        <f>IF(B174="","",IFERROR(A174-LOOKUP(2,1/($B$4:$B173=B174),$A$4:$A173),""))</f>
        <v/>
      </c>
      <c r="J174" s="32">
        <f>IF(B174="","",IFERROR(D174/I174,""))</f>
        <v/>
      </c>
      <c r="K174" s="71">
        <f>IF(B174="","",IFERROR(AVERAGEIFS($J$4:$J174,$B$4:$B174,B174,$J$4:$J174,"&gt;"&amp;0),""))</f>
        <v/>
      </c>
      <c r="L174" s="4" t="n"/>
    </row>
    <row r="175" ht="14" customHeight="1" s="72">
      <c r="A175" s="75" t="n">
        <v>46039</v>
      </c>
      <c r="B175" s="76" t="n">
        <v>15033</v>
      </c>
      <c r="C175" s="69">
        <f>IF(B175="","",IFERROR(INDEX(Client_List!$B:$B,MATCH(B175,Client_List!$A:$A,0)),"⚠ NOT FOUND"))</f>
        <v/>
      </c>
      <c r="D175" s="43" t="n">
        <v>457</v>
      </c>
      <c r="E175" s="32">
        <f>IF(B175="","",IFERROR(INDEX(Client_List!$C:$C,MATCH(VALUE(B175),Client_List!$A:$A,0)),""))</f>
        <v/>
      </c>
      <c r="F175" s="53">
        <f>IF(B175="","",IFERROR(INDEX(Client_List!$D:$D,MATCH(VALUE(B175),Client_List!$A:$A,0)),""))</f>
        <v/>
      </c>
      <c r="G175" s="53">
        <f>IF(B175="","",IFERROR(INDEX(Client_List!$K:$K,MATCH(VALUE(B175),Client_List!$A:$A,0)),""))</f>
        <v/>
      </c>
      <c r="H175" s="32">
        <f>IF(B175="","",IFERROR(INDEX(Client_List!$J:$J,MATCH(VALUE(B175),Client_List!$A:$A,0)),""))</f>
        <v/>
      </c>
      <c r="I175" s="70">
        <f>IF(B175="","",IFERROR(A175-LOOKUP(2,1/($B$4:$B174=B175),$A$4:$A174),""))</f>
        <v/>
      </c>
      <c r="J175" s="32">
        <f>IF(B175="","",IFERROR(D175/I175,""))</f>
        <v/>
      </c>
      <c r="K175" s="71">
        <f>IF(B175="","",IFERROR(AVERAGEIFS($J$4:$J175,$B$4:$B175,B175,$J$4:$J175,"&gt;"&amp;0),""))</f>
        <v/>
      </c>
      <c r="L175" s="7" t="n"/>
    </row>
    <row r="176" ht="14" customHeight="1" s="72">
      <c r="A176" s="75" t="n">
        <v>46039</v>
      </c>
      <c r="B176" s="76" t="n">
        <v>16027</v>
      </c>
      <c r="C176" s="69">
        <f>IF(B176="","",IFERROR(INDEX(Client_List!$B:$B,MATCH(B176,Client_List!$A:$A,0)),"⚠ NOT FOUND"))</f>
        <v/>
      </c>
      <c r="D176" s="43" t="n">
        <v>466</v>
      </c>
      <c r="E176" s="32">
        <f>IF(B176="","",IFERROR(INDEX(Client_List!$C:$C,MATCH(VALUE(B176),Client_List!$A:$A,0)),""))</f>
        <v/>
      </c>
      <c r="F176" s="53">
        <f>IF(B176="","",IFERROR(INDEX(Client_List!$D:$D,MATCH(VALUE(B176),Client_List!$A:$A,0)),""))</f>
        <v/>
      </c>
      <c r="G176" s="53">
        <f>IF(B176="","",IFERROR(INDEX(Client_List!$K:$K,MATCH(VALUE(B176),Client_List!$A:$A,0)),""))</f>
        <v/>
      </c>
      <c r="H176" s="32">
        <f>IF(B176="","",IFERROR(INDEX(Client_List!$J:$J,MATCH(VALUE(B176),Client_List!$A:$A,0)),""))</f>
        <v/>
      </c>
      <c r="I176" s="70">
        <f>IF(B176="","",IFERROR(A176-LOOKUP(2,1/($B$4:$B175=B176),$A$4:$A175),""))</f>
        <v/>
      </c>
      <c r="J176" s="32">
        <f>IF(B176="","",IFERROR(D176/I176,""))</f>
        <v/>
      </c>
      <c r="K176" s="71">
        <f>IF(B176="","",IFERROR(AVERAGEIFS($J$4:$J176,$B$4:$B176,B176,$J$4:$J176,"&gt;"&amp;0),""))</f>
        <v/>
      </c>
      <c r="L176" s="4" t="n"/>
    </row>
    <row r="177" ht="14" customHeight="1" s="72">
      <c r="A177" s="75" t="n">
        <v>46039</v>
      </c>
      <c r="B177" s="76" t="n">
        <v>18003</v>
      </c>
      <c r="C177" s="69">
        <f>IF(B177="","",IFERROR(INDEX(Client_List!$B:$B,MATCH(B177,Client_List!$A:$A,0)),"⚠ NOT FOUND"))</f>
        <v/>
      </c>
      <c r="D177" s="43" t="n">
        <v>425</v>
      </c>
      <c r="E177" s="32">
        <f>IF(B177="","",IFERROR(INDEX(Client_List!$C:$C,MATCH(VALUE(B177),Client_List!$A:$A,0)),""))</f>
        <v/>
      </c>
      <c r="F177" s="53">
        <f>IF(B177="","",IFERROR(INDEX(Client_List!$D:$D,MATCH(VALUE(B177),Client_List!$A:$A,0)),""))</f>
        <v/>
      </c>
      <c r="G177" s="53">
        <f>IF(B177="","",IFERROR(INDEX(Client_List!$K:$K,MATCH(VALUE(B177),Client_List!$A:$A,0)),""))</f>
        <v/>
      </c>
      <c r="H177" s="32">
        <f>IF(B177="","",IFERROR(INDEX(Client_List!$J:$J,MATCH(VALUE(B177),Client_List!$A:$A,0)),""))</f>
        <v/>
      </c>
      <c r="I177" s="70">
        <f>IF(B177="","",IFERROR(A177-LOOKUP(2,1/($B$4:$B176=B177),$A$4:$A176),""))</f>
        <v/>
      </c>
      <c r="J177" s="32">
        <f>IF(B177="","",IFERROR(D177/I177,""))</f>
        <v/>
      </c>
      <c r="K177" s="71">
        <f>IF(B177="","",IFERROR(AVERAGEIFS($J$4:$J177,$B$4:$B177,B177,$J$4:$J177,"&gt;"&amp;0),""))</f>
        <v/>
      </c>
      <c r="L177" s="7" t="n"/>
    </row>
    <row r="178" ht="14" customHeight="1" s="72">
      <c r="A178" s="75" t="n">
        <v>46039</v>
      </c>
      <c r="B178" s="76" t="n">
        <v>19035</v>
      </c>
      <c r="C178" s="69">
        <f>IF(B178="","",IFERROR(INDEX(Client_List!$B:$B,MATCH(B178,Client_List!$A:$A,0)),"⚠ NOT FOUND"))</f>
        <v/>
      </c>
      <c r="D178" s="43" t="n">
        <v>344</v>
      </c>
      <c r="E178" s="32">
        <f>IF(B178="","",IFERROR(INDEX(Client_List!$C:$C,MATCH(VALUE(B178),Client_List!$A:$A,0)),""))</f>
        <v/>
      </c>
      <c r="F178" s="53">
        <f>IF(B178="","",IFERROR(INDEX(Client_List!$D:$D,MATCH(VALUE(B178),Client_List!$A:$A,0)),""))</f>
        <v/>
      </c>
      <c r="G178" s="53">
        <f>IF(B178="","",IFERROR(INDEX(Client_List!$K:$K,MATCH(VALUE(B178),Client_List!$A:$A,0)),""))</f>
        <v/>
      </c>
      <c r="H178" s="32">
        <f>IF(B178="","",IFERROR(INDEX(Client_List!$J:$J,MATCH(VALUE(B178),Client_List!$A:$A,0)),""))</f>
        <v/>
      </c>
      <c r="I178" s="70">
        <f>IF(B178="","",IFERROR(A178-LOOKUP(2,1/($B$4:$B177=B178),$A$4:$A177),""))</f>
        <v/>
      </c>
      <c r="J178" s="32">
        <f>IF(B178="","",IFERROR(D178/I178,""))</f>
        <v/>
      </c>
      <c r="K178" s="71">
        <f>IF(B178="","",IFERROR(AVERAGEIFS($J$4:$J178,$B$4:$B178,B178,$J$4:$J178,"&gt;"&amp;0),""))</f>
        <v/>
      </c>
      <c r="L178" s="4" t="n"/>
    </row>
    <row r="179" ht="14" customHeight="1" s="72">
      <c r="A179" s="75" t="n">
        <v>46039</v>
      </c>
      <c r="B179" s="76" t="n">
        <v>19110</v>
      </c>
      <c r="C179" s="69">
        <f>IF(B179="","",IFERROR(INDEX(Client_List!$B:$B,MATCH(B179,Client_List!$A:$A,0)),"⚠ NOT FOUND"))</f>
        <v/>
      </c>
      <c r="D179" s="43" t="n">
        <v>258</v>
      </c>
      <c r="E179" s="32">
        <f>IF(B179="","",IFERROR(INDEX(Client_List!$C:$C,MATCH(VALUE(B179),Client_List!$A:$A,0)),""))</f>
        <v/>
      </c>
      <c r="F179" s="53">
        <f>IF(B179="","",IFERROR(INDEX(Client_List!$D:$D,MATCH(VALUE(B179),Client_List!$A:$A,0)),""))</f>
        <v/>
      </c>
      <c r="G179" s="53">
        <f>IF(B179="","",IFERROR(INDEX(Client_List!$K:$K,MATCH(VALUE(B179),Client_List!$A:$A,0)),""))</f>
        <v/>
      </c>
      <c r="H179" s="32">
        <f>IF(B179="","",IFERROR(INDEX(Client_List!$J:$J,MATCH(VALUE(B179),Client_List!$A:$A,0)),""))</f>
        <v/>
      </c>
      <c r="I179" s="70">
        <f>IF(B179="","",IFERROR(A179-LOOKUP(2,1/($B$4:$B178=B179),$A$4:$A178),""))</f>
        <v/>
      </c>
      <c r="J179" s="32">
        <f>IF(B179="","",IFERROR(D179/I179,""))</f>
        <v/>
      </c>
      <c r="K179" s="71">
        <f>IF(B179="","",IFERROR(AVERAGEIFS($J$4:$J179,$B$4:$B179,B179,$J$4:$J179,"&gt;"&amp;0),""))</f>
        <v/>
      </c>
      <c r="L179" s="7" t="n"/>
    </row>
    <row r="180" ht="14" customHeight="1" s="72">
      <c r="A180" s="75" t="n">
        <v>46039</v>
      </c>
      <c r="B180" s="76" t="n">
        <v>19123</v>
      </c>
      <c r="C180" s="69">
        <f>IF(B180="","",IFERROR(INDEX(Client_List!$B:$B,MATCH(B180,Client_List!$A:$A,0)),"⚠ NOT FOUND"))</f>
        <v/>
      </c>
      <c r="D180" s="43" t="n">
        <v>258</v>
      </c>
      <c r="E180" s="32">
        <f>IF(B180="","",IFERROR(INDEX(Client_List!$C:$C,MATCH(VALUE(B180),Client_List!$A:$A,0)),""))</f>
        <v/>
      </c>
      <c r="F180" s="53">
        <f>IF(B180="","",IFERROR(INDEX(Client_List!$D:$D,MATCH(VALUE(B180),Client_List!$A:$A,0)),""))</f>
        <v/>
      </c>
      <c r="G180" s="53">
        <f>IF(B180="","",IFERROR(INDEX(Client_List!$K:$K,MATCH(VALUE(B180),Client_List!$A:$A,0)),""))</f>
        <v/>
      </c>
      <c r="H180" s="32">
        <f>IF(B180="","",IFERROR(INDEX(Client_List!$J:$J,MATCH(VALUE(B180),Client_List!$A:$A,0)),""))</f>
        <v/>
      </c>
      <c r="I180" s="70">
        <f>IF(B180="","",IFERROR(A180-LOOKUP(2,1/($B$4:$B179=B180),$A$4:$A179),""))</f>
        <v/>
      </c>
      <c r="J180" s="32">
        <f>IF(B180="","",IFERROR(D180/I180,""))</f>
        <v/>
      </c>
      <c r="K180" s="71">
        <f>IF(B180="","",IFERROR(AVERAGEIFS($J$4:$J180,$B$4:$B180,B180,$J$4:$J180,"&gt;"&amp;0),""))</f>
        <v/>
      </c>
      <c r="L180" s="4" t="n"/>
    </row>
    <row r="181" ht="14" customHeight="1" s="72">
      <c r="A181" s="75" t="n">
        <v>46040</v>
      </c>
      <c r="B181" s="76" t="n">
        <v>2023</v>
      </c>
      <c r="C181" s="69">
        <f>IF(B181="","",IFERROR(INDEX(Client_List!$B:$B,MATCH(B181,Client_List!$A:$A,0)),"⚠ NOT FOUND"))</f>
        <v/>
      </c>
      <c r="D181" s="43" t="n">
        <v>717</v>
      </c>
      <c r="E181" s="32">
        <f>IF(B181="","",IFERROR(INDEX(Client_List!$C:$C,MATCH(VALUE(B181),Client_List!$A:$A,0)),""))</f>
        <v/>
      </c>
      <c r="F181" s="53">
        <f>IF(B181="","",IFERROR(INDEX(Client_List!$D:$D,MATCH(VALUE(B181),Client_List!$A:$A,0)),""))</f>
        <v/>
      </c>
      <c r="G181" s="53">
        <f>IF(B181="","",IFERROR(INDEX(Client_List!$K:$K,MATCH(VALUE(B181),Client_List!$A:$A,0)),""))</f>
        <v/>
      </c>
      <c r="H181" s="32">
        <f>IF(B181="","",IFERROR(INDEX(Client_List!$J:$J,MATCH(VALUE(B181),Client_List!$A:$A,0)),""))</f>
        <v/>
      </c>
      <c r="I181" s="70">
        <f>IF(B181="","",IFERROR(A181-LOOKUP(2,1/($B$4:$B180=B181),$A$4:$A180),""))</f>
        <v/>
      </c>
      <c r="J181" s="32">
        <f>IF(B181="","",IFERROR(D181/I181,""))</f>
        <v/>
      </c>
      <c r="K181" s="71">
        <f>IF(B181="","",IFERROR(AVERAGEIFS($J$4:$J181,$B$4:$B181,B181,$J$4:$J181,"&gt;"&amp;0),""))</f>
        <v/>
      </c>
      <c r="L181" s="7" t="n"/>
    </row>
    <row r="182" ht="14" customHeight="1" s="72">
      <c r="A182" s="75" t="n">
        <v>46040</v>
      </c>
      <c r="B182" s="76" t="n">
        <v>12009</v>
      </c>
      <c r="C182" s="69">
        <f>IF(B182="","",IFERROR(INDEX(Client_List!$B:$B,MATCH(B182,Client_List!$A:$A,0)),"⚠ NOT FOUND"))</f>
        <v/>
      </c>
      <c r="D182" s="43" t="n">
        <v>267</v>
      </c>
      <c r="E182" s="32">
        <f>IF(B182="","",IFERROR(INDEX(Client_List!$C:$C,MATCH(VALUE(B182),Client_List!$A:$A,0)),""))</f>
        <v/>
      </c>
      <c r="F182" s="53">
        <f>IF(B182="","",IFERROR(INDEX(Client_List!$D:$D,MATCH(VALUE(B182),Client_List!$A:$A,0)),""))</f>
        <v/>
      </c>
      <c r="G182" s="53">
        <f>IF(B182="","",IFERROR(INDEX(Client_List!$K:$K,MATCH(VALUE(B182),Client_List!$A:$A,0)),""))</f>
        <v/>
      </c>
      <c r="H182" s="32">
        <f>IF(B182="","",IFERROR(INDEX(Client_List!$J:$J,MATCH(VALUE(B182),Client_List!$A:$A,0)),""))</f>
        <v/>
      </c>
      <c r="I182" s="70">
        <f>IF(B182="","",IFERROR(A182-LOOKUP(2,1/($B$4:$B181=B182),$A$4:$A181),""))</f>
        <v/>
      </c>
      <c r="J182" s="32">
        <f>IF(B182="","",IFERROR(D182/I182,""))</f>
        <v/>
      </c>
      <c r="K182" s="71">
        <f>IF(B182="","",IFERROR(AVERAGEIFS($J$4:$J182,$B$4:$B182,B182,$J$4:$J182,"&gt;"&amp;0),""))</f>
        <v/>
      </c>
      <c r="L182" s="4" t="n"/>
    </row>
    <row r="183" ht="14" customHeight="1" s="72">
      <c r="A183" s="75" t="n">
        <v>46040</v>
      </c>
      <c r="B183" s="76" t="n">
        <v>12050</v>
      </c>
      <c r="C183" s="69">
        <f>IF(B183="","",IFERROR(INDEX(Client_List!$B:$B,MATCH(B183,Client_List!$A:$A,0)),"⚠ NOT FOUND"))</f>
        <v/>
      </c>
      <c r="D183" s="43" t="n">
        <v>1007</v>
      </c>
      <c r="E183" s="32">
        <f>IF(B183="","",IFERROR(INDEX(Client_List!$C:$C,MATCH(VALUE(B183),Client_List!$A:$A,0)),""))</f>
        <v/>
      </c>
      <c r="F183" s="53">
        <f>IF(B183="","",IFERROR(INDEX(Client_List!$D:$D,MATCH(VALUE(B183),Client_List!$A:$A,0)),""))</f>
        <v/>
      </c>
      <c r="G183" s="53">
        <f>IF(B183="","",IFERROR(INDEX(Client_List!$K:$K,MATCH(VALUE(B183),Client_List!$A:$A,0)),""))</f>
        <v/>
      </c>
      <c r="H183" s="32">
        <f>IF(B183="","",IFERROR(INDEX(Client_List!$J:$J,MATCH(VALUE(B183),Client_List!$A:$A,0)),""))</f>
        <v/>
      </c>
      <c r="I183" s="70">
        <f>IF(B183="","",IFERROR(A183-LOOKUP(2,1/($B$4:$B182=B183),$A$4:$A182),""))</f>
        <v/>
      </c>
      <c r="J183" s="32">
        <f>IF(B183="","",IFERROR(D183/I183,""))</f>
        <v/>
      </c>
      <c r="K183" s="71">
        <f>IF(B183="","",IFERROR(AVERAGEIFS($J$4:$J183,$B$4:$B183,B183,$J$4:$J183,"&gt;"&amp;0),""))</f>
        <v/>
      </c>
      <c r="L183" s="7" t="n"/>
    </row>
    <row r="184" ht="14" customHeight="1" s="72">
      <c r="A184" s="75" t="n">
        <v>46040</v>
      </c>
      <c r="B184" s="76" t="n">
        <v>13012</v>
      </c>
      <c r="C184" s="69">
        <f>IF(B184="","",IFERROR(INDEX(Client_List!$B:$B,MATCH(B184,Client_List!$A:$A,0)),"⚠ NOT FOUND"))</f>
        <v/>
      </c>
      <c r="D184" s="43" t="n">
        <v>828</v>
      </c>
      <c r="E184" s="32">
        <f>IF(B184="","",IFERROR(INDEX(Client_List!$C:$C,MATCH(VALUE(B184),Client_List!$A:$A,0)),""))</f>
        <v/>
      </c>
      <c r="F184" s="53">
        <f>IF(B184="","",IFERROR(INDEX(Client_List!$D:$D,MATCH(VALUE(B184),Client_List!$A:$A,0)),""))</f>
        <v/>
      </c>
      <c r="G184" s="53">
        <f>IF(B184="","",IFERROR(INDEX(Client_List!$K:$K,MATCH(VALUE(B184),Client_List!$A:$A,0)),""))</f>
        <v/>
      </c>
      <c r="H184" s="32">
        <f>IF(B184="","",IFERROR(INDEX(Client_List!$J:$J,MATCH(VALUE(B184),Client_List!$A:$A,0)),""))</f>
        <v/>
      </c>
      <c r="I184" s="70">
        <f>IF(B184="","",IFERROR(A184-LOOKUP(2,1/($B$4:$B183=B184),$A$4:$A183),""))</f>
        <v/>
      </c>
      <c r="J184" s="32">
        <f>IF(B184="","",IFERROR(D184/I184,""))</f>
        <v/>
      </c>
      <c r="K184" s="71">
        <f>IF(B184="","",IFERROR(AVERAGEIFS($J$4:$J184,$B$4:$B184,B184,$J$4:$J184,"&gt;"&amp;0),""))</f>
        <v/>
      </c>
      <c r="L184" s="4" t="n"/>
    </row>
    <row r="185" ht="14" customHeight="1" s="72">
      <c r="A185" s="75" t="n">
        <v>46040</v>
      </c>
      <c r="B185" s="76" t="n">
        <v>16051</v>
      </c>
      <c r="C185" s="69">
        <f>IF(B185="","",IFERROR(INDEX(Client_List!$B:$B,MATCH(B185,Client_List!$A:$A,0)),"⚠ NOT FOUND"))</f>
        <v/>
      </c>
      <c r="D185" s="43" t="n">
        <v>1803</v>
      </c>
      <c r="E185" s="32">
        <f>IF(B185="","",IFERROR(INDEX(Client_List!$C:$C,MATCH(VALUE(B185),Client_List!$A:$A,0)),""))</f>
        <v/>
      </c>
      <c r="F185" s="53">
        <f>IF(B185="","",IFERROR(INDEX(Client_List!$D:$D,MATCH(VALUE(B185),Client_List!$A:$A,0)),""))</f>
        <v/>
      </c>
      <c r="G185" s="53">
        <f>IF(B185="","",IFERROR(INDEX(Client_List!$K:$K,MATCH(VALUE(B185),Client_List!$A:$A,0)),""))</f>
        <v/>
      </c>
      <c r="H185" s="32">
        <f>IF(B185="","",IFERROR(INDEX(Client_List!$J:$J,MATCH(VALUE(B185),Client_List!$A:$A,0)),""))</f>
        <v/>
      </c>
      <c r="I185" s="70">
        <f>IF(B185="","",IFERROR(A185-LOOKUP(2,1/($B$4:$B184=B185),$A$4:$A184),""))</f>
        <v/>
      </c>
      <c r="J185" s="32">
        <f>IF(B185="","",IFERROR(D185/I185,""))</f>
        <v/>
      </c>
      <c r="K185" s="71">
        <f>IF(B185="","",IFERROR(AVERAGEIFS($J$4:$J185,$B$4:$B185,B185,$J$4:$J185,"&gt;"&amp;0),""))</f>
        <v/>
      </c>
      <c r="L185" s="7" t="n"/>
    </row>
    <row r="186" ht="14" customHeight="1" s="72">
      <c r="A186" s="75" t="n">
        <v>46040</v>
      </c>
      <c r="B186" s="76" t="n">
        <v>20090</v>
      </c>
      <c r="C186" s="69">
        <f>IF(B186="","",IFERROR(INDEX(Client_List!$B:$B,MATCH(B186,Client_List!$A:$A,0)),"⚠ NOT FOUND"))</f>
        <v/>
      </c>
      <c r="D186" s="43" t="n">
        <v>1064</v>
      </c>
      <c r="E186" s="32">
        <f>IF(B186="","",IFERROR(INDEX(Client_List!$C:$C,MATCH(VALUE(B186),Client_List!$A:$A,0)),""))</f>
        <v/>
      </c>
      <c r="F186" s="53">
        <f>IF(B186="","",IFERROR(INDEX(Client_List!$D:$D,MATCH(VALUE(B186),Client_List!$A:$A,0)),""))</f>
        <v/>
      </c>
      <c r="G186" s="53">
        <f>IF(B186="","",IFERROR(INDEX(Client_List!$K:$K,MATCH(VALUE(B186),Client_List!$A:$A,0)),""))</f>
        <v/>
      </c>
      <c r="H186" s="32">
        <f>IF(B186="","",IFERROR(INDEX(Client_List!$J:$J,MATCH(VALUE(B186),Client_List!$A:$A,0)),""))</f>
        <v/>
      </c>
      <c r="I186" s="70">
        <f>IF(B186="","",IFERROR(A186-LOOKUP(2,1/($B$4:$B185=B186),$A$4:$A185),""))</f>
        <v/>
      </c>
      <c r="J186" s="32">
        <f>IF(B186="","",IFERROR(D186/I186,""))</f>
        <v/>
      </c>
      <c r="K186" s="71">
        <f>IF(B186="","",IFERROR(AVERAGEIFS($J$4:$J186,$B$4:$B186,B186,$J$4:$J186,"&gt;"&amp;0),""))</f>
        <v/>
      </c>
      <c r="L186" s="4" t="n"/>
    </row>
    <row r="187" ht="14" customHeight="1" s="72">
      <c r="A187" s="75" t="n">
        <v>46041</v>
      </c>
      <c r="B187" s="76" t="n">
        <v>1001</v>
      </c>
      <c r="C187" s="69">
        <f>IF(B187="","",IFERROR(INDEX(Client_List!$B:$B,MATCH(B187,Client_List!$A:$A,0)),"⚠ NOT FOUND"))</f>
        <v/>
      </c>
      <c r="D187" s="43" t="n">
        <v>710</v>
      </c>
      <c r="E187" s="32">
        <f>IF(B187="","",IFERROR(INDEX(Client_List!$C:$C,MATCH(VALUE(B187),Client_List!$A:$A,0)),""))</f>
        <v/>
      </c>
      <c r="F187" s="53">
        <f>IF(B187="","",IFERROR(INDEX(Client_List!$D:$D,MATCH(VALUE(B187),Client_List!$A:$A,0)),""))</f>
        <v/>
      </c>
      <c r="G187" s="53">
        <f>IF(B187="","",IFERROR(INDEX(Client_List!$K:$K,MATCH(VALUE(B187),Client_List!$A:$A,0)),""))</f>
        <v/>
      </c>
      <c r="H187" s="32">
        <f>IF(B187="","",IFERROR(INDEX(Client_List!$J:$J,MATCH(VALUE(B187),Client_List!$A:$A,0)),""))</f>
        <v/>
      </c>
      <c r="I187" s="70">
        <f>IF(B187="","",IFERROR(A187-LOOKUP(2,1/($B$4:$B186=B187),$A$4:$A186),""))</f>
        <v/>
      </c>
      <c r="J187" s="32">
        <f>IF(B187="","",IFERROR(D187/I187,""))</f>
        <v/>
      </c>
      <c r="K187" s="71">
        <f>IF(B187="","",IFERROR(AVERAGEIFS($J$4:$J187,$B$4:$B187,B187,$J$4:$J187,"&gt;"&amp;0),""))</f>
        <v/>
      </c>
      <c r="L187" s="7" t="n"/>
    </row>
    <row r="188" ht="14" customHeight="1" s="72">
      <c r="A188" s="75" t="n">
        <v>46041</v>
      </c>
      <c r="B188" s="76" t="n">
        <v>7052</v>
      </c>
      <c r="C188" s="69">
        <f>IF(B188="","",IFERROR(INDEX(Client_List!$B:$B,MATCH(B188,Client_List!$A:$A,0)),"⚠ NOT FOUND"))</f>
        <v/>
      </c>
      <c r="D188" s="43" t="n">
        <v>368</v>
      </c>
      <c r="E188" s="32">
        <f>IF(B188="","",IFERROR(INDEX(Client_List!$C:$C,MATCH(VALUE(B188),Client_List!$A:$A,0)),""))</f>
        <v/>
      </c>
      <c r="F188" s="53">
        <f>IF(B188="","",IFERROR(INDEX(Client_List!$D:$D,MATCH(VALUE(B188),Client_List!$A:$A,0)),""))</f>
        <v/>
      </c>
      <c r="G188" s="53">
        <f>IF(B188="","",IFERROR(INDEX(Client_List!$K:$K,MATCH(VALUE(B188),Client_List!$A:$A,0)),""))</f>
        <v/>
      </c>
      <c r="H188" s="32">
        <f>IF(B188="","",IFERROR(INDEX(Client_List!$J:$J,MATCH(VALUE(B188),Client_List!$A:$A,0)),""))</f>
        <v/>
      </c>
      <c r="I188" s="70">
        <f>IF(B188="","",IFERROR(A188-LOOKUP(2,1/($B$4:$B187=B188),$A$4:$A187),""))</f>
        <v/>
      </c>
      <c r="J188" s="32">
        <f>IF(B188="","",IFERROR(D188/I188,""))</f>
        <v/>
      </c>
      <c r="K188" s="71">
        <f>IF(B188="","",IFERROR(AVERAGEIFS($J$4:$J188,$B$4:$B188,B188,$J$4:$J188,"&gt;"&amp;0),""))</f>
        <v/>
      </c>
      <c r="L188" s="4" t="n"/>
    </row>
    <row r="189" ht="14" customHeight="1" s="72">
      <c r="A189" s="75" t="n">
        <v>46041</v>
      </c>
      <c r="B189" s="76" t="n">
        <v>8031</v>
      </c>
      <c r="C189" s="69">
        <f>IF(B189="","",IFERROR(INDEX(Client_List!$B:$B,MATCH(B189,Client_List!$A:$A,0)),"⚠ NOT FOUND"))</f>
        <v/>
      </c>
      <c r="D189" s="43" t="n">
        <v>1110</v>
      </c>
      <c r="E189" s="32">
        <f>IF(B189="","",IFERROR(INDEX(Client_List!$C:$C,MATCH(VALUE(B189),Client_List!$A:$A,0)),""))</f>
        <v/>
      </c>
      <c r="F189" s="53">
        <f>IF(B189="","",IFERROR(INDEX(Client_List!$D:$D,MATCH(VALUE(B189),Client_List!$A:$A,0)),""))</f>
        <v/>
      </c>
      <c r="G189" s="53">
        <f>IF(B189="","",IFERROR(INDEX(Client_List!$K:$K,MATCH(VALUE(B189),Client_List!$A:$A,0)),""))</f>
        <v/>
      </c>
      <c r="H189" s="32">
        <f>IF(B189="","",IFERROR(INDEX(Client_List!$J:$J,MATCH(VALUE(B189),Client_List!$A:$A,0)),""))</f>
        <v/>
      </c>
      <c r="I189" s="70">
        <f>IF(B189="","",IFERROR(A189-LOOKUP(2,1/($B$4:$B188=B189),$A$4:$A188),""))</f>
        <v/>
      </c>
      <c r="J189" s="32">
        <f>IF(B189="","",IFERROR(D189/I189,""))</f>
        <v/>
      </c>
      <c r="K189" s="71">
        <f>IF(B189="","",IFERROR(AVERAGEIFS($J$4:$J189,$B$4:$B189,B189,$J$4:$J189,"&gt;"&amp;0),""))</f>
        <v/>
      </c>
      <c r="L189" s="7" t="n"/>
    </row>
    <row r="190" ht="14" customHeight="1" s="72">
      <c r="A190" s="75" t="n">
        <v>46041</v>
      </c>
      <c r="B190" s="76" t="n">
        <v>12048</v>
      </c>
      <c r="C190" s="69">
        <f>IF(B190="","",IFERROR(INDEX(Client_List!$B:$B,MATCH(B190,Client_List!$A:$A,0)),"⚠ NOT FOUND"))</f>
        <v/>
      </c>
      <c r="D190" s="43" t="n">
        <v>1027</v>
      </c>
      <c r="E190" s="32">
        <f>IF(B190="","",IFERROR(INDEX(Client_List!$C:$C,MATCH(VALUE(B190),Client_List!$A:$A,0)),""))</f>
        <v/>
      </c>
      <c r="F190" s="53">
        <f>IF(B190="","",IFERROR(INDEX(Client_List!$D:$D,MATCH(VALUE(B190),Client_List!$A:$A,0)),""))</f>
        <v/>
      </c>
      <c r="G190" s="53">
        <f>IF(B190="","",IFERROR(INDEX(Client_List!$K:$K,MATCH(VALUE(B190),Client_List!$A:$A,0)),""))</f>
        <v/>
      </c>
      <c r="H190" s="32">
        <f>IF(B190="","",IFERROR(INDEX(Client_List!$J:$J,MATCH(VALUE(B190),Client_List!$A:$A,0)),""))</f>
        <v/>
      </c>
      <c r="I190" s="70">
        <f>IF(B190="","",IFERROR(A190-LOOKUP(2,1/($B$4:$B189=B190),$A$4:$A189),""))</f>
        <v/>
      </c>
      <c r="J190" s="32">
        <f>IF(B190="","",IFERROR(D190/I190,""))</f>
        <v/>
      </c>
      <c r="K190" s="71">
        <f>IF(B190="","",IFERROR(AVERAGEIFS($J$4:$J190,$B$4:$B190,B190,$J$4:$J190,"&gt;"&amp;0),""))</f>
        <v/>
      </c>
      <c r="L190" s="4" t="n"/>
    </row>
    <row r="191" ht="14" customHeight="1" s="72">
      <c r="A191" s="75" t="n">
        <v>46041</v>
      </c>
      <c r="B191" s="76" t="n">
        <v>13086</v>
      </c>
      <c r="C191" s="69">
        <f>IF(B191="","",IFERROR(INDEX(Client_List!$B:$B,MATCH(B191,Client_List!$A:$A,0)),"⚠ NOT FOUND"))</f>
        <v/>
      </c>
      <c r="D191" s="43" t="n">
        <v>259</v>
      </c>
      <c r="E191" s="32">
        <f>IF(B191="","",IFERROR(INDEX(Client_List!$C:$C,MATCH(VALUE(B191),Client_List!$A:$A,0)),""))</f>
        <v/>
      </c>
      <c r="F191" s="53">
        <f>IF(B191="","",IFERROR(INDEX(Client_List!$D:$D,MATCH(VALUE(B191),Client_List!$A:$A,0)),""))</f>
        <v/>
      </c>
      <c r="G191" s="53">
        <f>IF(B191="","",IFERROR(INDEX(Client_List!$K:$K,MATCH(VALUE(B191),Client_List!$A:$A,0)),""))</f>
        <v/>
      </c>
      <c r="H191" s="32">
        <f>IF(B191="","",IFERROR(INDEX(Client_List!$J:$J,MATCH(VALUE(B191),Client_List!$A:$A,0)),""))</f>
        <v/>
      </c>
      <c r="I191" s="70">
        <f>IF(B191="","",IFERROR(A191-LOOKUP(2,1/($B$4:$B190=B191),$A$4:$A190),""))</f>
        <v/>
      </c>
      <c r="J191" s="32">
        <f>IF(B191="","",IFERROR(D191/I191,""))</f>
        <v/>
      </c>
      <c r="K191" s="71">
        <f>IF(B191="","",IFERROR(AVERAGEIFS($J$4:$J191,$B$4:$B191,B191,$J$4:$J191,"&gt;"&amp;0),""))</f>
        <v/>
      </c>
      <c r="L191" s="7" t="n"/>
    </row>
    <row r="192" ht="14" customHeight="1" s="72">
      <c r="A192" s="75" t="n">
        <v>46041</v>
      </c>
      <c r="B192" s="76" t="n">
        <v>15007</v>
      </c>
      <c r="C192" s="69">
        <f>IF(B192="","",IFERROR(INDEX(Client_List!$B:$B,MATCH(B192,Client_List!$A:$A,0)),"⚠ NOT FOUND"))</f>
        <v/>
      </c>
      <c r="D192" s="43" t="n">
        <v>1079</v>
      </c>
      <c r="E192" s="32">
        <f>IF(B192="","",IFERROR(INDEX(Client_List!$C:$C,MATCH(VALUE(B192),Client_List!$A:$A,0)),""))</f>
        <v/>
      </c>
      <c r="F192" s="53">
        <f>IF(B192="","",IFERROR(INDEX(Client_List!$D:$D,MATCH(VALUE(B192),Client_List!$A:$A,0)),""))</f>
        <v/>
      </c>
      <c r="G192" s="53">
        <f>IF(B192="","",IFERROR(INDEX(Client_List!$K:$K,MATCH(VALUE(B192),Client_List!$A:$A,0)),""))</f>
        <v/>
      </c>
      <c r="H192" s="32">
        <f>IF(B192="","",IFERROR(INDEX(Client_List!$J:$J,MATCH(VALUE(B192),Client_List!$A:$A,0)),""))</f>
        <v/>
      </c>
      <c r="I192" s="70">
        <f>IF(B192="","",IFERROR(A192-LOOKUP(2,1/($B$4:$B191=B192),$A$4:$A191),""))</f>
        <v/>
      </c>
      <c r="J192" s="32">
        <f>IF(B192="","",IFERROR(D192/I192,""))</f>
        <v/>
      </c>
      <c r="K192" s="71">
        <f>IF(B192="","",IFERROR(AVERAGEIFS($J$4:$J192,$B$4:$B192,B192,$J$4:$J192,"&gt;"&amp;0),""))</f>
        <v/>
      </c>
      <c r="L192" s="4" t="n"/>
    </row>
    <row r="193" ht="14" customHeight="1" s="72">
      <c r="A193" s="75" t="n">
        <v>46041</v>
      </c>
      <c r="B193" s="76" t="n">
        <v>16006</v>
      </c>
      <c r="C193" s="69">
        <f>IF(B193="","",IFERROR(INDEX(Client_List!$B:$B,MATCH(B193,Client_List!$A:$A,0)),"⚠ NOT FOUND"))</f>
        <v/>
      </c>
      <c r="D193" s="43" t="n">
        <v>860</v>
      </c>
      <c r="E193" s="32">
        <f>IF(B193="","",IFERROR(INDEX(Client_List!$C:$C,MATCH(VALUE(B193),Client_List!$A:$A,0)),""))</f>
        <v/>
      </c>
      <c r="F193" s="53">
        <f>IF(B193="","",IFERROR(INDEX(Client_List!$D:$D,MATCH(VALUE(B193),Client_List!$A:$A,0)),""))</f>
        <v/>
      </c>
      <c r="G193" s="53">
        <f>IF(B193="","",IFERROR(INDEX(Client_List!$K:$K,MATCH(VALUE(B193),Client_List!$A:$A,0)),""))</f>
        <v/>
      </c>
      <c r="H193" s="32">
        <f>IF(B193="","",IFERROR(INDEX(Client_List!$J:$J,MATCH(VALUE(B193),Client_List!$A:$A,0)),""))</f>
        <v/>
      </c>
      <c r="I193" s="70">
        <f>IF(B193="","",IFERROR(A193-LOOKUP(2,1/($B$4:$B192=B193),$A$4:$A192),""))</f>
        <v/>
      </c>
      <c r="J193" s="32">
        <f>IF(B193="","",IFERROR(D193/I193,""))</f>
        <v/>
      </c>
      <c r="K193" s="71">
        <f>IF(B193="","",IFERROR(AVERAGEIFS($J$4:$J193,$B$4:$B193,B193,$J$4:$J193,"&gt;"&amp;0),""))</f>
        <v/>
      </c>
      <c r="L193" s="7" t="n"/>
    </row>
    <row r="194" ht="14" customHeight="1" s="72">
      <c r="A194" s="75" t="n">
        <v>46041</v>
      </c>
      <c r="B194" s="76" t="n">
        <v>16015</v>
      </c>
      <c r="C194" s="69">
        <f>IF(B194="","",IFERROR(INDEX(Client_List!$B:$B,MATCH(B194,Client_List!$A:$A,0)),"⚠ NOT FOUND"))</f>
        <v/>
      </c>
      <c r="D194" s="43" t="n">
        <v>1851</v>
      </c>
      <c r="E194" s="32">
        <f>IF(B194="","",IFERROR(INDEX(Client_List!$C:$C,MATCH(VALUE(B194),Client_List!$A:$A,0)),""))</f>
        <v/>
      </c>
      <c r="F194" s="53">
        <f>IF(B194="","",IFERROR(INDEX(Client_List!$D:$D,MATCH(VALUE(B194),Client_List!$A:$A,0)),""))</f>
        <v/>
      </c>
      <c r="G194" s="53">
        <f>IF(B194="","",IFERROR(INDEX(Client_List!$K:$K,MATCH(VALUE(B194),Client_List!$A:$A,0)),""))</f>
        <v/>
      </c>
      <c r="H194" s="32">
        <f>IF(B194="","",IFERROR(INDEX(Client_List!$J:$J,MATCH(VALUE(B194),Client_List!$A:$A,0)),""))</f>
        <v/>
      </c>
      <c r="I194" s="70">
        <f>IF(B194="","",IFERROR(A194-LOOKUP(2,1/($B$4:$B193=B194),$A$4:$A193),""))</f>
        <v/>
      </c>
      <c r="J194" s="32">
        <f>IF(B194="","",IFERROR(D194/I194,""))</f>
        <v/>
      </c>
      <c r="K194" s="71">
        <f>IF(B194="","",IFERROR(AVERAGEIFS($J$4:$J194,$B$4:$B194,B194,$J$4:$J194,"&gt;"&amp;0),""))</f>
        <v/>
      </c>
      <c r="L194" s="4" t="n"/>
    </row>
    <row r="195" ht="14" customHeight="1" s="72">
      <c r="A195" s="75" t="n">
        <v>46041</v>
      </c>
      <c r="B195" s="76" t="n">
        <v>19033</v>
      </c>
      <c r="C195" s="69">
        <f>IF(B195="","",IFERROR(INDEX(Client_List!$B:$B,MATCH(B195,Client_List!$A:$A,0)),"⚠ NOT FOUND"))</f>
        <v/>
      </c>
      <c r="D195" s="43" t="n">
        <v>339</v>
      </c>
      <c r="E195" s="32">
        <f>IF(B195="","",IFERROR(INDEX(Client_List!$C:$C,MATCH(VALUE(B195),Client_List!$A:$A,0)),""))</f>
        <v/>
      </c>
      <c r="F195" s="53">
        <f>IF(B195="","",IFERROR(INDEX(Client_List!$D:$D,MATCH(VALUE(B195),Client_List!$A:$A,0)),""))</f>
        <v/>
      </c>
      <c r="G195" s="53">
        <f>IF(B195="","",IFERROR(INDEX(Client_List!$K:$K,MATCH(VALUE(B195),Client_List!$A:$A,0)),""))</f>
        <v/>
      </c>
      <c r="H195" s="32">
        <f>IF(B195="","",IFERROR(INDEX(Client_List!$J:$J,MATCH(VALUE(B195),Client_List!$A:$A,0)),""))</f>
        <v/>
      </c>
      <c r="I195" s="70">
        <f>IF(B195="","",IFERROR(A195-LOOKUP(2,1/($B$4:$B194=B195),$A$4:$A194),""))</f>
        <v/>
      </c>
      <c r="J195" s="32">
        <f>IF(B195="","",IFERROR(D195/I195,""))</f>
        <v/>
      </c>
      <c r="K195" s="71">
        <f>IF(B195="","",IFERROR(AVERAGEIFS($J$4:$J195,$B$4:$B195,B195,$J$4:$J195,"&gt;"&amp;0),""))</f>
        <v/>
      </c>
      <c r="L195" s="7" t="n"/>
    </row>
    <row r="196" ht="14" customHeight="1" s="72">
      <c r="A196" s="75" t="n">
        <v>46041</v>
      </c>
      <c r="B196" s="76" t="n">
        <v>20051</v>
      </c>
      <c r="C196" s="69">
        <f>IF(B196="","",IFERROR(INDEX(Client_List!$B:$B,MATCH(B196,Client_List!$A:$A,0)),"⚠ NOT FOUND"))</f>
        <v/>
      </c>
      <c r="D196" s="43" t="n">
        <v>291</v>
      </c>
      <c r="E196" s="32">
        <f>IF(B196="","",IFERROR(INDEX(Client_List!$C:$C,MATCH(VALUE(B196),Client_List!$A:$A,0)),""))</f>
        <v/>
      </c>
      <c r="F196" s="53">
        <f>IF(B196="","",IFERROR(INDEX(Client_List!$D:$D,MATCH(VALUE(B196),Client_List!$A:$A,0)),""))</f>
        <v/>
      </c>
      <c r="G196" s="53">
        <f>IF(B196="","",IFERROR(INDEX(Client_List!$K:$K,MATCH(VALUE(B196),Client_List!$A:$A,0)),""))</f>
        <v/>
      </c>
      <c r="H196" s="32">
        <f>IF(B196="","",IFERROR(INDEX(Client_List!$J:$J,MATCH(VALUE(B196),Client_List!$A:$A,0)),""))</f>
        <v/>
      </c>
      <c r="I196" s="70">
        <f>IF(B196="","",IFERROR(A196-LOOKUP(2,1/($B$4:$B195=B196),$A$4:$A195),""))</f>
        <v/>
      </c>
      <c r="J196" s="32">
        <f>IF(B196="","",IFERROR(D196/I196,""))</f>
        <v/>
      </c>
      <c r="K196" s="71">
        <f>IF(B196="","",IFERROR(AVERAGEIFS($J$4:$J196,$B$4:$B196,B196,$J$4:$J196,"&gt;"&amp;0),""))</f>
        <v/>
      </c>
      <c r="L196" s="4" t="n"/>
    </row>
    <row r="197" ht="14" customHeight="1" s="72">
      <c r="A197" s="75" t="n">
        <v>46041</v>
      </c>
      <c r="B197" s="76" t="n">
        <v>20088</v>
      </c>
      <c r="C197" s="69">
        <f>IF(B197="","",IFERROR(INDEX(Client_List!$B:$B,MATCH(B197,Client_List!$A:$A,0)),"⚠ NOT FOUND"))</f>
        <v/>
      </c>
      <c r="D197" s="43" t="n">
        <v>983</v>
      </c>
      <c r="E197" s="32">
        <f>IF(B197="","",IFERROR(INDEX(Client_List!$C:$C,MATCH(VALUE(B197),Client_List!$A:$A,0)),""))</f>
        <v/>
      </c>
      <c r="F197" s="53">
        <f>IF(B197="","",IFERROR(INDEX(Client_List!$D:$D,MATCH(VALUE(B197),Client_List!$A:$A,0)),""))</f>
        <v/>
      </c>
      <c r="G197" s="53">
        <f>IF(B197="","",IFERROR(INDEX(Client_List!$K:$K,MATCH(VALUE(B197),Client_List!$A:$A,0)),""))</f>
        <v/>
      </c>
      <c r="H197" s="32">
        <f>IF(B197="","",IFERROR(INDEX(Client_List!$J:$J,MATCH(VALUE(B197),Client_List!$A:$A,0)),""))</f>
        <v/>
      </c>
      <c r="I197" s="70">
        <f>IF(B197="","",IFERROR(A197-LOOKUP(2,1/($B$4:$B196=B197),$A$4:$A196),""))</f>
        <v/>
      </c>
      <c r="J197" s="32">
        <f>IF(B197="","",IFERROR(D197/I197,""))</f>
        <v/>
      </c>
      <c r="K197" s="71">
        <f>IF(B197="","",IFERROR(AVERAGEIFS($J$4:$J197,$B$4:$B197,B197,$J$4:$J197,"&gt;"&amp;0),""))</f>
        <v/>
      </c>
      <c r="L197" s="7" t="n"/>
    </row>
    <row r="198" ht="14" customHeight="1" s="72">
      <c r="A198" s="75" t="n">
        <v>46042</v>
      </c>
      <c r="B198" s="76" t="n">
        <v>1011</v>
      </c>
      <c r="C198" s="69">
        <f>IF(B198="","",IFERROR(INDEX(Client_List!$B:$B,MATCH(B198,Client_List!$A:$A,0)),"⚠ NOT FOUND"))</f>
        <v/>
      </c>
      <c r="D198" s="43" t="n">
        <v>1022</v>
      </c>
      <c r="E198" s="32">
        <f>IF(B198="","",IFERROR(INDEX(Client_List!$C:$C,MATCH(VALUE(B198),Client_List!$A:$A,0)),""))</f>
        <v/>
      </c>
      <c r="F198" s="53">
        <f>IF(B198="","",IFERROR(INDEX(Client_List!$D:$D,MATCH(VALUE(B198),Client_List!$A:$A,0)),""))</f>
        <v/>
      </c>
      <c r="G198" s="53">
        <f>IF(B198="","",IFERROR(INDEX(Client_List!$K:$K,MATCH(VALUE(B198),Client_List!$A:$A,0)),""))</f>
        <v/>
      </c>
      <c r="H198" s="32">
        <f>IF(B198="","",IFERROR(INDEX(Client_List!$J:$J,MATCH(VALUE(B198),Client_List!$A:$A,0)),""))</f>
        <v/>
      </c>
      <c r="I198" s="70">
        <f>IF(B198="","",IFERROR(A198-LOOKUP(2,1/($B$4:$B197=B198),$A$4:$A197),""))</f>
        <v/>
      </c>
      <c r="J198" s="32">
        <f>IF(B198="","",IFERROR(D198/I198,""))</f>
        <v/>
      </c>
      <c r="K198" s="71">
        <f>IF(B198="","",IFERROR(AVERAGEIFS($J$4:$J198,$B$4:$B198,B198,$J$4:$J198,"&gt;"&amp;0),""))</f>
        <v/>
      </c>
      <c r="L198" s="4" t="n"/>
    </row>
    <row r="199" ht="14" customHeight="1" s="72">
      <c r="A199" s="75" t="n">
        <v>46042</v>
      </c>
      <c r="B199" s="76" t="n">
        <v>2021</v>
      </c>
      <c r="C199" s="69">
        <f>IF(B199="","",IFERROR(INDEX(Client_List!$B:$B,MATCH(B199,Client_List!$A:$A,0)),"⚠ NOT FOUND"))</f>
        <v/>
      </c>
      <c r="D199" s="43" t="n">
        <v>435</v>
      </c>
      <c r="E199" s="32">
        <f>IF(B199="","",IFERROR(INDEX(Client_List!$C:$C,MATCH(VALUE(B199),Client_List!$A:$A,0)),""))</f>
        <v/>
      </c>
      <c r="F199" s="53">
        <f>IF(B199="","",IFERROR(INDEX(Client_List!$D:$D,MATCH(VALUE(B199),Client_List!$A:$A,0)),""))</f>
        <v/>
      </c>
      <c r="G199" s="53">
        <f>IF(B199="","",IFERROR(INDEX(Client_List!$K:$K,MATCH(VALUE(B199),Client_List!$A:$A,0)),""))</f>
        <v/>
      </c>
      <c r="H199" s="32">
        <f>IF(B199="","",IFERROR(INDEX(Client_List!$J:$J,MATCH(VALUE(B199),Client_List!$A:$A,0)),""))</f>
        <v/>
      </c>
      <c r="I199" s="70">
        <f>IF(B199="","",IFERROR(A199-LOOKUP(2,1/($B$4:$B198=B199),$A$4:$A198),""))</f>
        <v/>
      </c>
      <c r="J199" s="32">
        <f>IF(B199="","",IFERROR(D199/I199,""))</f>
        <v/>
      </c>
      <c r="K199" s="71">
        <f>IF(B199="","",IFERROR(AVERAGEIFS($J$4:$J199,$B$4:$B199,B199,$J$4:$J199,"&gt;"&amp;0),""))</f>
        <v/>
      </c>
      <c r="L199" s="7" t="n"/>
    </row>
    <row r="200" ht="14" customHeight="1" s="72">
      <c r="A200" s="75" t="n">
        <v>46042</v>
      </c>
      <c r="B200" s="76" t="n">
        <v>2067</v>
      </c>
      <c r="C200" s="69">
        <f>IF(B200="","",IFERROR(INDEX(Client_List!$B:$B,MATCH(B200,Client_List!$A:$A,0)),"⚠ NOT FOUND"))</f>
        <v/>
      </c>
      <c r="D200" s="43" t="n">
        <v>945</v>
      </c>
      <c r="E200" s="32">
        <f>IF(B200="","",IFERROR(INDEX(Client_List!$C:$C,MATCH(VALUE(B200),Client_List!$A:$A,0)),""))</f>
        <v/>
      </c>
      <c r="F200" s="53">
        <f>IF(B200="","",IFERROR(INDEX(Client_List!$D:$D,MATCH(VALUE(B200),Client_List!$A:$A,0)),""))</f>
        <v/>
      </c>
      <c r="G200" s="53">
        <f>IF(B200="","",IFERROR(INDEX(Client_List!$K:$K,MATCH(VALUE(B200),Client_List!$A:$A,0)),""))</f>
        <v/>
      </c>
      <c r="H200" s="32">
        <f>IF(B200="","",IFERROR(INDEX(Client_List!$J:$J,MATCH(VALUE(B200),Client_List!$A:$A,0)),""))</f>
        <v/>
      </c>
      <c r="I200" s="70">
        <f>IF(B200="","",IFERROR(A200-LOOKUP(2,1/($B$4:$B199=B200),$A$4:$A199),""))</f>
        <v/>
      </c>
      <c r="J200" s="32">
        <f>IF(B200="","",IFERROR(D200/I200,""))</f>
        <v/>
      </c>
      <c r="K200" s="71">
        <f>IF(B200="","",IFERROR(AVERAGEIFS($J$4:$J200,$B$4:$B200,B200,$J$4:$J200,"&gt;"&amp;0),""))</f>
        <v/>
      </c>
      <c r="L200" s="4" t="n"/>
    </row>
    <row r="201" ht="14" customHeight="1" s="72">
      <c r="A201" s="75" t="n">
        <v>46042</v>
      </c>
      <c r="B201" s="76" t="n">
        <v>3046</v>
      </c>
      <c r="C201" s="69">
        <f>IF(B201="","",IFERROR(INDEX(Client_List!$B:$B,MATCH(B201,Client_List!$A:$A,0)),"⚠ NOT FOUND"))</f>
        <v/>
      </c>
      <c r="D201" s="43" t="n">
        <v>736</v>
      </c>
      <c r="E201" s="32">
        <f>IF(B201="","",IFERROR(INDEX(Client_List!$C:$C,MATCH(VALUE(B201),Client_List!$A:$A,0)),""))</f>
        <v/>
      </c>
      <c r="F201" s="53">
        <f>IF(B201="","",IFERROR(INDEX(Client_List!$D:$D,MATCH(VALUE(B201),Client_List!$A:$A,0)),""))</f>
        <v/>
      </c>
      <c r="G201" s="53">
        <f>IF(B201="","",IFERROR(INDEX(Client_List!$K:$K,MATCH(VALUE(B201),Client_List!$A:$A,0)),""))</f>
        <v/>
      </c>
      <c r="H201" s="32">
        <f>IF(B201="","",IFERROR(INDEX(Client_List!$J:$J,MATCH(VALUE(B201),Client_List!$A:$A,0)),""))</f>
        <v/>
      </c>
      <c r="I201" s="70">
        <f>IF(B201="","",IFERROR(A201-LOOKUP(2,1/($B$4:$B200=B201),$A$4:$A200),""))</f>
        <v/>
      </c>
      <c r="J201" s="32">
        <f>IF(B201="","",IFERROR(D201/I201,""))</f>
        <v/>
      </c>
      <c r="K201" s="71">
        <f>IF(B201="","",IFERROR(AVERAGEIFS($J$4:$J201,$B$4:$B201,B201,$J$4:$J201,"&gt;"&amp;0),""))</f>
        <v/>
      </c>
      <c r="L201" s="7" t="n"/>
    </row>
    <row r="202" ht="14" customHeight="1" s="72">
      <c r="A202" s="75" t="n">
        <v>46042</v>
      </c>
      <c r="B202" s="76" t="n">
        <v>6077</v>
      </c>
      <c r="C202" s="69">
        <f>IF(B202="","",IFERROR(INDEX(Client_List!$B:$B,MATCH(B202,Client_List!$A:$A,0)),"⚠ NOT FOUND"))</f>
        <v/>
      </c>
      <c r="D202" s="43" t="n">
        <v>2079</v>
      </c>
      <c r="E202" s="32">
        <f>IF(B202="","",IFERROR(INDEX(Client_List!$C:$C,MATCH(VALUE(B202),Client_List!$A:$A,0)),""))</f>
        <v/>
      </c>
      <c r="F202" s="53">
        <f>IF(B202="","",IFERROR(INDEX(Client_List!$D:$D,MATCH(VALUE(B202),Client_List!$A:$A,0)),""))</f>
        <v/>
      </c>
      <c r="G202" s="53">
        <f>IF(B202="","",IFERROR(INDEX(Client_List!$K:$K,MATCH(VALUE(B202),Client_List!$A:$A,0)),""))</f>
        <v/>
      </c>
      <c r="H202" s="32">
        <f>IF(B202="","",IFERROR(INDEX(Client_List!$J:$J,MATCH(VALUE(B202),Client_List!$A:$A,0)),""))</f>
        <v/>
      </c>
      <c r="I202" s="70">
        <f>IF(B202="","",IFERROR(A202-LOOKUP(2,1/($B$4:$B201=B202),$A$4:$A201),""))</f>
        <v/>
      </c>
      <c r="J202" s="32">
        <f>IF(B202="","",IFERROR(D202/I202,""))</f>
        <v/>
      </c>
      <c r="K202" s="71">
        <f>IF(B202="","",IFERROR(AVERAGEIFS($J$4:$J202,$B$4:$B202,B202,$J$4:$J202,"&gt;"&amp;0),""))</f>
        <v/>
      </c>
      <c r="L202" s="4" t="n"/>
    </row>
    <row r="203" ht="14" customHeight="1" s="72">
      <c r="A203" s="75" t="n">
        <v>46042</v>
      </c>
      <c r="B203" s="76" t="n">
        <v>6109</v>
      </c>
      <c r="C203" s="69">
        <f>IF(B203="","",IFERROR(INDEX(Client_List!$B:$B,MATCH(B203,Client_List!$A:$A,0)),"⚠ NOT FOUND"))</f>
        <v/>
      </c>
      <c r="D203" s="43" t="n">
        <v>433</v>
      </c>
      <c r="E203" s="32">
        <f>IF(B203="","",IFERROR(INDEX(Client_List!$C:$C,MATCH(VALUE(B203),Client_List!$A:$A,0)),""))</f>
        <v/>
      </c>
      <c r="F203" s="53">
        <f>IF(B203="","",IFERROR(INDEX(Client_List!$D:$D,MATCH(VALUE(B203),Client_List!$A:$A,0)),""))</f>
        <v/>
      </c>
      <c r="G203" s="53">
        <f>IF(B203="","",IFERROR(INDEX(Client_List!$K:$K,MATCH(VALUE(B203),Client_List!$A:$A,0)),""))</f>
        <v/>
      </c>
      <c r="H203" s="32">
        <f>IF(B203="","",IFERROR(INDEX(Client_List!$J:$J,MATCH(VALUE(B203),Client_List!$A:$A,0)),""))</f>
        <v/>
      </c>
      <c r="I203" s="70">
        <f>IF(B203="","",IFERROR(A203-LOOKUP(2,1/($B$4:$B202=B203),$A$4:$A202),""))</f>
        <v/>
      </c>
      <c r="J203" s="32">
        <f>IF(B203="","",IFERROR(D203/I203,""))</f>
        <v/>
      </c>
      <c r="K203" s="71">
        <f>IF(B203="","",IFERROR(AVERAGEIFS($J$4:$J203,$B$4:$B203,B203,$J$4:$J203,"&gt;"&amp;0),""))</f>
        <v/>
      </c>
      <c r="L203" s="7" t="n"/>
    </row>
    <row r="204" ht="14" customHeight="1" s="72">
      <c r="A204" s="75" t="n">
        <v>46042</v>
      </c>
      <c r="B204" s="76" t="n">
        <v>13009</v>
      </c>
      <c r="C204" s="69">
        <f>IF(B204="","",IFERROR(INDEX(Client_List!$B:$B,MATCH(B204,Client_List!$A:$A,0)),"⚠ NOT FOUND"))</f>
        <v/>
      </c>
      <c r="D204" s="43" t="n">
        <v>820</v>
      </c>
      <c r="E204" s="32">
        <f>IF(B204="","",IFERROR(INDEX(Client_List!$C:$C,MATCH(VALUE(B204),Client_List!$A:$A,0)),""))</f>
        <v/>
      </c>
      <c r="F204" s="53">
        <f>IF(B204="","",IFERROR(INDEX(Client_List!$D:$D,MATCH(VALUE(B204),Client_List!$A:$A,0)),""))</f>
        <v/>
      </c>
      <c r="G204" s="53">
        <f>IF(B204="","",IFERROR(INDEX(Client_List!$K:$K,MATCH(VALUE(B204),Client_List!$A:$A,0)),""))</f>
        <v/>
      </c>
      <c r="H204" s="32">
        <f>IF(B204="","",IFERROR(INDEX(Client_List!$J:$J,MATCH(VALUE(B204),Client_List!$A:$A,0)),""))</f>
        <v/>
      </c>
      <c r="I204" s="70">
        <f>IF(B204="","",IFERROR(A204-LOOKUP(2,1/($B$4:$B203=B204),$A$4:$A203),""))</f>
        <v/>
      </c>
      <c r="J204" s="32">
        <f>IF(B204="","",IFERROR(D204/I204,""))</f>
        <v/>
      </c>
      <c r="K204" s="71">
        <f>IF(B204="","",IFERROR(AVERAGEIFS($J$4:$J204,$B$4:$B204,B204,$J$4:$J204,"&gt;"&amp;0),""))</f>
        <v/>
      </c>
      <c r="L204" s="4" t="n"/>
    </row>
    <row r="205" ht="14" customHeight="1" s="72">
      <c r="A205" s="75" t="n">
        <v>46042</v>
      </c>
      <c r="B205" s="76" t="n">
        <v>13013</v>
      </c>
      <c r="C205" s="69">
        <f>IF(B205="","",IFERROR(INDEX(Client_List!$B:$B,MATCH(B205,Client_List!$A:$A,0)),"⚠ NOT FOUND"))</f>
        <v/>
      </c>
      <c r="D205" s="43" t="n">
        <v>859</v>
      </c>
      <c r="E205" s="32">
        <f>IF(B205="","",IFERROR(INDEX(Client_List!$C:$C,MATCH(VALUE(B205),Client_List!$A:$A,0)),""))</f>
        <v/>
      </c>
      <c r="F205" s="53">
        <f>IF(B205="","",IFERROR(INDEX(Client_List!$D:$D,MATCH(VALUE(B205),Client_List!$A:$A,0)),""))</f>
        <v/>
      </c>
      <c r="G205" s="53">
        <f>IF(B205="","",IFERROR(INDEX(Client_List!$K:$K,MATCH(VALUE(B205),Client_List!$A:$A,0)),""))</f>
        <v/>
      </c>
      <c r="H205" s="32">
        <f>IF(B205="","",IFERROR(INDEX(Client_List!$J:$J,MATCH(VALUE(B205),Client_List!$A:$A,0)),""))</f>
        <v/>
      </c>
      <c r="I205" s="70">
        <f>IF(B205="","",IFERROR(A205-LOOKUP(2,1/($B$4:$B204=B205),$A$4:$A204),""))</f>
        <v/>
      </c>
      <c r="J205" s="32">
        <f>IF(B205="","",IFERROR(D205/I205,""))</f>
        <v/>
      </c>
      <c r="K205" s="71">
        <f>IF(B205="","",IFERROR(AVERAGEIFS($J$4:$J205,$B$4:$B205,B205,$J$4:$J205,"&gt;"&amp;0),""))</f>
        <v/>
      </c>
      <c r="L205" s="7" t="n"/>
    </row>
    <row r="206" ht="14" customHeight="1" s="72">
      <c r="A206" s="75" t="n">
        <v>46042</v>
      </c>
      <c r="B206" s="76" t="n">
        <v>15015</v>
      </c>
      <c r="C206" s="69">
        <f>IF(B206="","",IFERROR(INDEX(Client_List!$B:$B,MATCH(B206,Client_List!$A:$A,0)),"⚠ NOT FOUND"))</f>
        <v/>
      </c>
      <c r="D206" s="43" t="n">
        <v>324</v>
      </c>
      <c r="E206" s="32">
        <f>IF(B206="","",IFERROR(INDEX(Client_List!$C:$C,MATCH(VALUE(B206),Client_List!$A:$A,0)),""))</f>
        <v/>
      </c>
      <c r="F206" s="53">
        <f>IF(B206="","",IFERROR(INDEX(Client_List!$D:$D,MATCH(VALUE(B206),Client_List!$A:$A,0)),""))</f>
        <v/>
      </c>
      <c r="G206" s="53">
        <f>IF(B206="","",IFERROR(INDEX(Client_List!$K:$K,MATCH(VALUE(B206),Client_List!$A:$A,0)),""))</f>
        <v/>
      </c>
      <c r="H206" s="32">
        <f>IF(B206="","",IFERROR(INDEX(Client_List!$J:$J,MATCH(VALUE(B206),Client_List!$A:$A,0)),""))</f>
        <v/>
      </c>
      <c r="I206" s="70">
        <f>IF(B206="","",IFERROR(A206-LOOKUP(2,1/($B$4:$B205=B206),$A$4:$A205),""))</f>
        <v/>
      </c>
      <c r="J206" s="32">
        <f>IF(B206="","",IFERROR(D206/I206,""))</f>
        <v/>
      </c>
      <c r="K206" s="71">
        <f>IF(B206="","",IFERROR(AVERAGEIFS($J$4:$J206,$B$4:$B206,B206,$J$4:$J206,"&gt;"&amp;0),""))</f>
        <v/>
      </c>
      <c r="L206" s="4" t="n"/>
    </row>
    <row r="207" ht="14" customHeight="1" s="72">
      <c r="A207" s="75" t="n">
        <v>46042</v>
      </c>
      <c r="B207" s="76" t="n">
        <v>16005</v>
      </c>
      <c r="C207" s="69">
        <f>IF(B207="","",IFERROR(INDEX(Client_List!$B:$B,MATCH(B207,Client_List!$A:$A,0)),"⚠ NOT FOUND"))</f>
        <v/>
      </c>
      <c r="D207" s="43" t="n">
        <v>655</v>
      </c>
      <c r="E207" s="32">
        <f>IF(B207="","",IFERROR(INDEX(Client_List!$C:$C,MATCH(VALUE(B207),Client_List!$A:$A,0)),""))</f>
        <v/>
      </c>
      <c r="F207" s="53">
        <f>IF(B207="","",IFERROR(INDEX(Client_List!$D:$D,MATCH(VALUE(B207),Client_List!$A:$A,0)),""))</f>
        <v/>
      </c>
      <c r="G207" s="53">
        <f>IF(B207="","",IFERROR(INDEX(Client_List!$K:$K,MATCH(VALUE(B207),Client_List!$A:$A,0)),""))</f>
        <v/>
      </c>
      <c r="H207" s="32">
        <f>IF(B207="","",IFERROR(INDEX(Client_List!$J:$J,MATCH(VALUE(B207),Client_List!$A:$A,0)),""))</f>
        <v/>
      </c>
      <c r="I207" s="70">
        <f>IF(B207="","",IFERROR(A207-LOOKUP(2,1/($B$4:$B206=B207),$A$4:$A206),""))</f>
        <v/>
      </c>
      <c r="J207" s="32">
        <f>IF(B207="","",IFERROR(D207/I207,""))</f>
        <v/>
      </c>
      <c r="K207" s="71">
        <f>IF(B207="","",IFERROR(AVERAGEIFS($J$4:$J207,$B$4:$B207,B207,$J$4:$J207,"&gt;"&amp;0),""))</f>
        <v/>
      </c>
      <c r="L207" s="7" t="n"/>
    </row>
    <row r="208" ht="14" customHeight="1" s="72">
      <c r="A208" s="75" t="n">
        <v>46042</v>
      </c>
      <c r="B208" s="76" t="n">
        <v>16008</v>
      </c>
      <c r="C208" s="69">
        <f>IF(B208="","",IFERROR(INDEX(Client_List!$B:$B,MATCH(B208,Client_List!$A:$A,0)),"⚠ NOT FOUND"))</f>
        <v/>
      </c>
      <c r="D208" s="43" t="n">
        <v>787</v>
      </c>
      <c r="E208" s="32">
        <f>IF(B208="","",IFERROR(INDEX(Client_List!$C:$C,MATCH(VALUE(B208),Client_List!$A:$A,0)),""))</f>
        <v/>
      </c>
      <c r="F208" s="53">
        <f>IF(B208="","",IFERROR(INDEX(Client_List!$D:$D,MATCH(VALUE(B208),Client_List!$A:$A,0)),""))</f>
        <v/>
      </c>
      <c r="G208" s="53">
        <f>IF(B208="","",IFERROR(INDEX(Client_List!$K:$K,MATCH(VALUE(B208),Client_List!$A:$A,0)),""))</f>
        <v/>
      </c>
      <c r="H208" s="32">
        <f>IF(B208="","",IFERROR(INDEX(Client_List!$J:$J,MATCH(VALUE(B208),Client_List!$A:$A,0)),""))</f>
        <v/>
      </c>
      <c r="I208" s="70">
        <f>IF(B208="","",IFERROR(A208-LOOKUP(2,1/($B$4:$B207=B208),$A$4:$A207),""))</f>
        <v/>
      </c>
      <c r="J208" s="32">
        <f>IF(B208="","",IFERROR(D208/I208,""))</f>
        <v/>
      </c>
      <c r="K208" s="71">
        <f>IF(B208="","",IFERROR(AVERAGEIFS($J$4:$J208,$B$4:$B208,B208,$J$4:$J208,"&gt;"&amp;0),""))</f>
        <v/>
      </c>
      <c r="L208" s="4" t="n"/>
    </row>
    <row r="209" ht="14" customHeight="1" s="72">
      <c r="A209" s="75" t="n">
        <v>46043</v>
      </c>
      <c r="B209" s="76" t="n">
        <v>1000</v>
      </c>
      <c r="C209" s="69">
        <f>IF(B209="","",IFERROR(INDEX(Client_List!$B:$B,MATCH(B209,Client_List!$A:$A,0)),"⚠ NOT FOUND"))</f>
        <v/>
      </c>
      <c r="D209" s="43" t="n">
        <v>781</v>
      </c>
      <c r="E209" s="32">
        <f>IF(B209="","",IFERROR(INDEX(Client_List!$C:$C,MATCH(VALUE(B209),Client_List!$A:$A,0)),""))</f>
        <v/>
      </c>
      <c r="F209" s="53">
        <f>IF(B209="","",IFERROR(INDEX(Client_List!$D:$D,MATCH(VALUE(B209),Client_List!$A:$A,0)),""))</f>
        <v/>
      </c>
      <c r="G209" s="53">
        <f>IF(B209="","",IFERROR(INDEX(Client_List!$K:$K,MATCH(VALUE(B209),Client_List!$A:$A,0)),""))</f>
        <v/>
      </c>
      <c r="H209" s="32">
        <f>IF(B209="","",IFERROR(INDEX(Client_List!$J:$J,MATCH(VALUE(B209),Client_List!$A:$A,0)),""))</f>
        <v/>
      </c>
      <c r="I209" s="70">
        <f>IF(B209="","",IFERROR(A209-LOOKUP(2,1/($B$4:$B208=B209),$A$4:$A208),""))</f>
        <v/>
      </c>
      <c r="J209" s="32">
        <f>IF(B209="","",IFERROR(D209/I209,""))</f>
        <v/>
      </c>
      <c r="K209" s="71">
        <f>IF(B209="","",IFERROR(AVERAGEIFS($J$4:$J209,$B$4:$B209,B209,$J$4:$J209,"&gt;"&amp;0),""))</f>
        <v/>
      </c>
      <c r="L209" s="7" t="n"/>
    </row>
    <row r="210" ht="14" customHeight="1" s="72">
      <c r="A210" s="75" t="n">
        <v>46043</v>
      </c>
      <c r="B210" s="76" t="n">
        <v>1018</v>
      </c>
      <c r="C210" s="69">
        <f>IF(B210="","",IFERROR(INDEX(Client_List!$B:$B,MATCH(B210,Client_List!$A:$A,0)),"⚠ NOT FOUND"))</f>
        <v/>
      </c>
      <c r="D210" s="43" t="n">
        <v>833</v>
      </c>
      <c r="E210" s="32">
        <f>IF(B210="","",IFERROR(INDEX(Client_List!$C:$C,MATCH(VALUE(B210),Client_List!$A:$A,0)),""))</f>
        <v/>
      </c>
      <c r="F210" s="53">
        <f>IF(B210="","",IFERROR(INDEX(Client_List!$D:$D,MATCH(VALUE(B210),Client_List!$A:$A,0)),""))</f>
        <v/>
      </c>
      <c r="G210" s="53">
        <f>IF(B210="","",IFERROR(INDEX(Client_List!$K:$K,MATCH(VALUE(B210),Client_List!$A:$A,0)),""))</f>
        <v/>
      </c>
      <c r="H210" s="32">
        <f>IF(B210="","",IFERROR(INDEX(Client_List!$J:$J,MATCH(VALUE(B210),Client_List!$A:$A,0)),""))</f>
        <v/>
      </c>
      <c r="I210" s="70">
        <f>IF(B210="","",IFERROR(A210-LOOKUP(2,1/($B$4:$B209=B210),$A$4:$A209),""))</f>
        <v/>
      </c>
      <c r="J210" s="32">
        <f>IF(B210="","",IFERROR(D210/I210,""))</f>
        <v/>
      </c>
      <c r="K210" s="71">
        <f>IF(B210="","",IFERROR(AVERAGEIFS($J$4:$J210,$B$4:$B210,B210,$J$4:$J210,"&gt;"&amp;0),""))</f>
        <v/>
      </c>
      <c r="L210" s="4" t="n"/>
    </row>
    <row r="211" ht="14" customHeight="1" s="72">
      <c r="A211" s="75" t="n">
        <v>46043</v>
      </c>
      <c r="B211" s="76" t="n">
        <v>1081</v>
      </c>
      <c r="C211" s="69">
        <f>IF(B211="","",IFERROR(INDEX(Client_List!$B:$B,MATCH(B211,Client_List!$A:$A,0)),"⚠ NOT FOUND"))</f>
        <v/>
      </c>
      <c r="D211" s="43" t="n">
        <v>364</v>
      </c>
      <c r="E211" s="32">
        <f>IF(B211="","",IFERROR(INDEX(Client_List!$C:$C,MATCH(VALUE(B211),Client_List!$A:$A,0)),""))</f>
        <v/>
      </c>
      <c r="F211" s="53">
        <f>IF(B211="","",IFERROR(INDEX(Client_List!$D:$D,MATCH(VALUE(B211),Client_List!$A:$A,0)),""))</f>
        <v/>
      </c>
      <c r="G211" s="53">
        <f>IF(B211="","",IFERROR(INDEX(Client_List!$K:$K,MATCH(VALUE(B211),Client_List!$A:$A,0)),""))</f>
        <v/>
      </c>
      <c r="H211" s="32">
        <f>IF(B211="","",IFERROR(INDEX(Client_List!$J:$J,MATCH(VALUE(B211),Client_List!$A:$A,0)),""))</f>
        <v/>
      </c>
      <c r="I211" s="70">
        <f>IF(B211="","",IFERROR(A211-LOOKUP(2,1/($B$4:$B210=B211),$A$4:$A210),""))</f>
        <v/>
      </c>
      <c r="J211" s="32">
        <f>IF(B211="","",IFERROR(D211/I211,""))</f>
        <v/>
      </c>
      <c r="K211" s="71">
        <f>IF(B211="","",IFERROR(AVERAGEIFS($J$4:$J211,$B$4:$B211,B211,$J$4:$J211,"&gt;"&amp;0),""))</f>
        <v/>
      </c>
      <c r="L211" s="7" t="n"/>
    </row>
    <row r="212" ht="14" customHeight="1" s="72">
      <c r="A212" s="75" t="n">
        <v>46043</v>
      </c>
      <c r="B212" s="76" t="n">
        <v>4029</v>
      </c>
      <c r="C212" s="69">
        <f>IF(B212="","",IFERROR(INDEX(Client_List!$B:$B,MATCH(B212,Client_List!$A:$A,0)),"⚠ NOT FOUND"))</f>
        <v/>
      </c>
      <c r="D212" s="43" t="n">
        <v>1776</v>
      </c>
      <c r="E212" s="32">
        <f>IF(B212="","",IFERROR(INDEX(Client_List!$C:$C,MATCH(VALUE(B212),Client_List!$A:$A,0)),""))</f>
        <v/>
      </c>
      <c r="F212" s="53">
        <f>IF(B212="","",IFERROR(INDEX(Client_List!$D:$D,MATCH(VALUE(B212),Client_List!$A:$A,0)),""))</f>
        <v/>
      </c>
      <c r="G212" s="53">
        <f>IF(B212="","",IFERROR(INDEX(Client_List!$K:$K,MATCH(VALUE(B212),Client_List!$A:$A,0)),""))</f>
        <v/>
      </c>
      <c r="H212" s="32">
        <f>IF(B212="","",IFERROR(INDEX(Client_List!$J:$J,MATCH(VALUE(B212),Client_List!$A:$A,0)),""))</f>
        <v/>
      </c>
      <c r="I212" s="70">
        <f>IF(B212="","",IFERROR(A212-LOOKUP(2,1/($B$4:$B211=B212),$A$4:$A211),""))</f>
        <v/>
      </c>
      <c r="J212" s="32">
        <f>IF(B212="","",IFERROR(D212/I212,""))</f>
        <v/>
      </c>
      <c r="K212" s="71">
        <f>IF(B212="","",IFERROR(AVERAGEIFS($J$4:$J212,$B$4:$B212,B212,$J$4:$J212,"&gt;"&amp;0),""))</f>
        <v/>
      </c>
      <c r="L212" s="4" t="n"/>
    </row>
    <row r="213" ht="14" customHeight="1" s="72">
      <c r="A213" s="75" t="n">
        <v>46043</v>
      </c>
      <c r="B213" s="76" t="n">
        <v>7053</v>
      </c>
      <c r="C213" s="69">
        <f>IF(B213="","",IFERROR(INDEX(Client_List!$B:$B,MATCH(B213,Client_List!$A:$A,0)),"⚠ NOT FOUND"))</f>
        <v/>
      </c>
      <c r="D213" s="43" t="n">
        <v>359</v>
      </c>
      <c r="E213" s="32">
        <f>IF(B213="","",IFERROR(INDEX(Client_List!$C:$C,MATCH(VALUE(B213),Client_List!$A:$A,0)),""))</f>
        <v/>
      </c>
      <c r="F213" s="53">
        <f>IF(B213="","",IFERROR(INDEX(Client_List!$D:$D,MATCH(VALUE(B213),Client_List!$A:$A,0)),""))</f>
        <v/>
      </c>
      <c r="G213" s="53">
        <f>IF(B213="","",IFERROR(INDEX(Client_List!$K:$K,MATCH(VALUE(B213),Client_List!$A:$A,0)),""))</f>
        <v/>
      </c>
      <c r="H213" s="32">
        <f>IF(B213="","",IFERROR(INDEX(Client_List!$J:$J,MATCH(VALUE(B213),Client_List!$A:$A,0)),""))</f>
        <v/>
      </c>
      <c r="I213" s="70">
        <f>IF(B213="","",IFERROR(A213-LOOKUP(2,1/($B$4:$B212=B213),$A$4:$A212),""))</f>
        <v/>
      </c>
      <c r="J213" s="32">
        <f>IF(B213="","",IFERROR(D213/I213,""))</f>
        <v/>
      </c>
      <c r="K213" s="71">
        <f>IF(B213="","",IFERROR(AVERAGEIFS($J$4:$J213,$B$4:$B213,B213,$J$4:$J213,"&gt;"&amp;0),""))</f>
        <v/>
      </c>
      <c r="L213" s="7" t="n"/>
    </row>
    <row r="214" ht="14" customHeight="1" s="72">
      <c r="A214" s="75" t="n">
        <v>46043</v>
      </c>
      <c r="B214" s="76" t="n">
        <v>13011</v>
      </c>
      <c r="C214" s="69">
        <f>IF(B214="","",IFERROR(INDEX(Client_List!$B:$B,MATCH(B214,Client_List!$A:$A,0)),"⚠ NOT FOUND"))</f>
        <v/>
      </c>
      <c r="D214" s="43" t="n">
        <v>654</v>
      </c>
      <c r="E214" s="32">
        <f>IF(B214="","",IFERROR(INDEX(Client_List!$C:$C,MATCH(VALUE(B214),Client_List!$A:$A,0)),""))</f>
        <v/>
      </c>
      <c r="F214" s="53">
        <f>IF(B214="","",IFERROR(INDEX(Client_List!$D:$D,MATCH(VALUE(B214),Client_List!$A:$A,0)),""))</f>
        <v/>
      </c>
      <c r="G214" s="53">
        <f>IF(B214="","",IFERROR(INDEX(Client_List!$K:$K,MATCH(VALUE(B214),Client_List!$A:$A,0)),""))</f>
        <v/>
      </c>
      <c r="H214" s="32">
        <f>IF(B214="","",IFERROR(INDEX(Client_List!$J:$J,MATCH(VALUE(B214),Client_List!$A:$A,0)),""))</f>
        <v/>
      </c>
      <c r="I214" s="70">
        <f>IF(B214="","",IFERROR(A214-LOOKUP(2,1/($B$4:$B213=B214),$A$4:$A213),""))</f>
        <v/>
      </c>
      <c r="J214" s="32">
        <f>IF(B214="","",IFERROR(D214/I214,""))</f>
        <v/>
      </c>
      <c r="K214" s="71">
        <f>IF(B214="","",IFERROR(AVERAGEIFS($J$4:$J214,$B$4:$B214,B214,$J$4:$J214,"&gt;"&amp;0),""))</f>
        <v/>
      </c>
      <c r="L214" s="4" t="n"/>
    </row>
    <row r="215" ht="14" customHeight="1" s="72">
      <c r="A215" s="75" t="n">
        <v>46043</v>
      </c>
      <c r="B215" s="76" t="n">
        <v>15035</v>
      </c>
      <c r="C215" s="69">
        <f>IF(B215="","",IFERROR(INDEX(Client_List!$B:$B,MATCH(B215,Client_List!$A:$A,0)),"⚠ NOT FOUND"))</f>
        <v/>
      </c>
      <c r="D215" s="43" t="n">
        <v>1438</v>
      </c>
      <c r="E215" s="32">
        <f>IF(B215="","",IFERROR(INDEX(Client_List!$C:$C,MATCH(VALUE(B215),Client_List!$A:$A,0)),""))</f>
        <v/>
      </c>
      <c r="F215" s="53">
        <f>IF(B215="","",IFERROR(INDEX(Client_List!$D:$D,MATCH(VALUE(B215),Client_List!$A:$A,0)),""))</f>
        <v/>
      </c>
      <c r="G215" s="53">
        <f>IF(B215="","",IFERROR(INDEX(Client_List!$K:$K,MATCH(VALUE(B215),Client_List!$A:$A,0)),""))</f>
        <v/>
      </c>
      <c r="H215" s="32">
        <f>IF(B215="","",IFERROR(INDEX(Client_List!$J:$J,MATCH(VALUE(B215),Client_List!$A:$A,0)),""))</f>
        <v/>
      </c>
      <c r="I215" s="70">
        <f>IF(B215="","",IFERROR(A215-LOOKUP(2,1/($B$4:$B214=B215),$A$4:$A214),""))</f>
        <v/>
      </c>
      <c r="J215" s="32">
        <f>IF(B215="","",IFERROR(D215/I215,""))</f>
        <v/>
      </c>
      <c r="K215" s="71">
        <f>IF(B215="","",IFERROR(AVERAGEIFS($J$4:$J215,$B$4:$B215,B215,$J$4:$J215,"&gt;"&amp;0),""))</f>
        <v/>
      </c>
      <c r="L215" s="7" t="n"/>
    </row>
    <row r="216" ht="14" customHeight="1" s="72">
      <c r="A216" s="75" t="n">
        <v>46043</v>
      </c>
      <c r="B216" s="76" t="n">
        <v>18001</v>
      </c>
      <c r="C216" s="69">
        <f>IF(B216="","",IFERROR(INDEX(Client_List!$B:$B,MATCH(B216,Client_List!$A:$A,0)),"⚠ NOT FOUND"))</f>
        <v/>
      </c>
      <c r="D216" s="43" t="n">
        <v>593</v>
      </c>
      <c r="E216" s="32">
        <f>IF(B216="","",IFERROR(INDEX(Client_List!$C:$C,MATCH(VALUE(B216),Client_List!$A:$A,0)),""))</f>
        <v/>
      </c>
      <c r="F216" s="53">
        <f>IF(B216="","",IFERROR(INDEX(Client_List!$D:$D,MATCH(VALUE(B216),Client_List!$A:$A,0)),""))</f>
        <v/>
      </c>
      <c r="G216" s="53">
        <f>IF(B216="","",IFERROR(INDEX(Client_List!$K:$K,MATCH(VALUE(B216),Client_List!$A:$A,0)),""))</f>
        <v/>
      </c>
      <c r="H216" s="32">
        <f>IF(B216="","",IFERROR(INDEX(Client_List!$J:$J,MATCH(VALUE(B216),Client_List!$A:$A,0)),""))</f>
        <v/>
      </c>
      <c r="I216" s="70">
        <f>IF(B216="","",IFERROR(A216-LOOKUP(2,1/($B$4:$B215=B216),$A$4:$A215),""))</f>
        <v/>
      </c>
      <c r="J216" s="32">
        <f>IF(B216="","",IFERROR(D216/I216,""))</f>
        <v/>
      </c>
      <c r="K216" s="71">
        <f>IF(B216="","",IFERROR(AVERAGEIFS($J$4:$J216,$B$4:$B216,B216,$J$4:$J216,"&gt;"&amp;0),""))</f>
        <v/>
      </c>
      <c r="L216" s="4" t="n"/>
    </row>
    <row r="217" ht="14" customHeight="1" s="72">
      <c r="A217" s="75" t="n">
        <v>46043</v>
      </c>
      <c r="B217" s="76" t="n">
        <v>20033</v>
      </c>
      <c r="C217" s="69">
        <f>IF(B217="","",IFERROR(INDEX(Client_List!$B:$B,MATCH(B217,Client_List!$A:$A,0)),"⚠ NOT FOUND"))</f>
        <v/>
      </c>
      <c r="D217" s="43" t="n">
        <v>1014</v>
      </c>
      <c r="E217" s="32">
        <f>IF(B217="","",IFERROR(INDEX(Client_List!$C:$C,MATCH(VALUE(B217),Client_List!$A:$A,0)),""))</f>
        <v/>
      </c>
      <c r="F217" s="53">
        <f>IF(B217="","",IFERROR(INDEX(Client_List!$D:$D,MATCH(VALUE(B217),Client_List!$A:$A,0)),""))</f>
        <v/>
      </c>
      <c r="G217" s="53">
        <f>IF(B217="","",IFERROR(INDEX(Client_List!$K:$K,MATCH(VALUE(B217),Client_List!$A:$A,0)),""))</f>
        <v/>
      </c>
      <c r="H217" s="32">
        <f>IF(B217="","",IFERROR(INDEX(Client_List!$J:$J,MATCH(VALUE(B217),Client_List!$A:$A,0)),""))</f>
        <v/>
      </c>
      <c r="I217" s="70">
        <f>IF(B217="","",IFERROR(A217-LOOKUP(2,1/($B$4:$B216=B217),$A$4:$A216),""))</f>
        <v/>
      </c>
      <c r="J217" s="32">
        <f>IF(B217="","",IFERROR(D217/I217,""))</f>
        <v/>
      </c>
      <c r="K217" s="71">
        <f>IF(B217="","",IFERROR(AVERAGEIFS($J$4:$J217,$B$4:$B217,B217,$J$4:$J217,"&gt;"&amp;0),""))</f>
        <v/>
      </c>
      <c r="L217" s="7" t="n"/>
    </row>
    <row r="218" ht="14" customHeight="1" s="72">
      <c r="A218" s="75" t="n">
        <v>46043</v>
      </c>
      <c r="B218" s="76" t="n">
        <v>20081</v>
      </c>
      <c r="C218" s="69">
        <f>IF(B218="","",IFERROR(INDEX(Client_List!$B:$B,MATCH(B218,Client_List!$A:$A,0)),"⚠ NOT FOUND"))</f>
        <v/>
      </c>
      <c r="D218" s="43" t="n">
        <v>843</v>
      </c>
      <c r="E218" s="32">
        <f>IF(B218="","",IFERROR(INDEX(Client_List!$C:$C,MATCH(VALUE(B218),Client_List!$A:$A,0)),""))</f>
        <v/>
      </c>
      <c r="F218" s="53">
        <f>IF(B218="","",IFERROR(INDEX(Client_List!$D:$D,MATCH(VALUE(B218),Client_List!$A:$A,0)),""))</f>
        <v/>
      </c>
      <c r="G218" s="53">
        <f>IF(B218="","",IFERROR(INDEX(Client_List!$K:$K,MATCH(VALUE(B218),Client_List!$A:$A,0)),""))</f>
        <v/>
      </c>
      <c r="H218" s="32">
        <f>IF(B218="","",IFERROR(INDEX(Client_List!$J:$J,MATCH(VALUE(B218),Client_List!$A:$A,0)),""))</f>
        <v/>
      </c>
      <c r="I218" s="70">
        <f>IF(B218="","",IFERROR(A218-LOOKUP(2,1/($B$4:$B217=B218),$A$4:$A217),""))</f>
        <v/>
      </c>
      <c r="J218" s="32">
        <f>IF(B218="","",IFERROR(D218/I218,""))</f>
        <v/>
      </c>
      <c r="K218" s="71">
        <f>IF(B218="","",IFERROR(AVERAGEIFS($J$4:$J218,$B$4:$B218,B218,$J$4:$J218,"&gt;"&amp;0),""))</f>
        <v/>
      </c>
      <c r="L218" s="4" t="n"/>
    </row>
    <row r="219" ht="14" customHeight="1" s="72">
      <c r="A219" s="75" t="n">
        <v>46044</v>
      </c>
      <c r="B219" s="76" t="n">
        <v>1054</v>
      </c>
      <c r="C219" s="69">
        <f>IF(B219="","",IFERROR(INDEX(Client_List!$B:$B,MATCH(B219,Client_List!$A:$A,0)),"⚠ NOT FOUND"))</f>
        <v/>
      </c>
      <c r="D219" s="43" t="n">
        <v>711</v>
      </c>
      <c r="E219" s="32">
        <f>IF(B219="","",IFERROR(INDEX(Client_List!$C:$C,MATCH(VALUE(B219),Client_List!$A:$A,0)),""))</f>
        <v/>
      </c>
      <c r="F219" s="53">
        <f>IF(B219="","",IFERROR(INDEX(Client_List!$D:$D,MATCH(VALUE(B219),Client_List!$A:$A,0)),""))</f>
        <v/>
      </c>
      <c r="G219" s="53">
        <f>IF(B219="","",IFERROR(INDEX(Client_List!$K:$K,MATCH(VALUE(B219),Client_List!$A:$A,0)),""))</f>
        <v/>
      </c>
      <c r="H219" s="32">
        <f>IF(B219="","",IFERROR(INDEX(Client_List!$J:$J,MATCH(VALUE(B219),Client_List!$A:$A,0)),""))</f>
        <v/>
      </c>
      <c r="I219" s="70">
        <f>IF(B219="","",IFERROR(A219-LOOKUP(2,1/($B$4:$B218=B219),$A$4:$A218),""))</f>
        <v/>
      </c>
      <c r="J219" s="32">
        <f>IF(B219="","",IFERROR(D219/I219,""))</f>
        <v/>
      </c>
      <c r="K219" s="71">
        <f>IF(B219="","",IFERROR(AVERAGEIFS($J$4:$J219,$B$4:$B219,B219,$J$4:$J219,"&gt;"&amp;0),""))</f>
        <v/>
      </c>
      <c r="L219" s="7" t="n"/>
    </row>
    <row r="220" ht="14" customHeight="1" s="72">
      <c r="A220" s="75" t="n">
        <v>46044</v>
      </c>
      <c r="B220" s="76" t="n">
        <v>1063</v>
      </c>
      <c r="C220" s="69">
        <f>IF(B220="","",IFERROR(INDEX(Client_List!$B:$B,MATCH(B220,Client_List!$A:$A,0)),"⚠ NOT FOUND"))</f>
        <v/>
      </c>
      <c r="D220" s="43" t="n">
        <v>783</v>
      </c>
      <c r="E220" s="32">
        <f>IF(B220="","",IFERROR(INDEX(Client_List!$C:$C,MATCH(VALUE(B220),Client_List!$A:$A,0)),""))</f>
        <v/>
      </c>
      <c r="F220" s="53">
        <f>IF(B220="","",IFERROR(INDEX(Client_List!$D:$D,MATCH(VALUE(B220),Client_List!$A:$A,0)),""))</f>
        <v/>
      </c>
      <c r="G220" s="53">
        <f>IF(B220="","",IFERROR(INDEX(Client_List!$K:$K,MATCH(VALUE(B220),Client_List!$A:$A,0)),""))</f>
        <v/>
      </c>
      <c r="H220" s="32">
        <f>IF(B220="","",IFERROR(INDEX(Client_List!$J:$J,MATCH(VALUE(B220),Client_List!$A:$A,0)),""))</f>
        <v/>
      </c>
      <c r="I220" s="70">
        <f>IF(B220="","",IFERROR(A220-LOOKUP(2,1/($B$4:$B219=B220),$A$4:$A219),""))</f>
        <v/>
      </c>
      <c r="J220" s="32">
        <f>IF(B220="","",IFERROR(D220/I220,""))</f>
        <v/>
      </c>
      <c r="K220" s="71">
        <f>IF(B220="","",IFERROR(AVERAGEIFS($J$4:$J220,$B$4:$B220,B220,$J$4:$J220,"&gt;"&amp;0),""))</f>
        <v/>
      </c>
      <c r="L220" s="4" t="n"/>
    </row>
    <row r="221" ht="14" customHeight="1" s="72">
      <c r="A221" s="75" t="n">
        <v>46044</v>
      </c>
      <c r="B221" s="76" t="n">
        <v>1083</v>
      </c>
      <c r="C221" s="69">
        <f>IF(B221="","",IFERROR(INDEX(Client_List!$B:$B,MATCH(B221,Client_List!$A:$A,0)),"⚠ NOT FOUND"))</f>
        <v/>
      </c>
      <c r="D221" s="43" t="n">
        <v>249</v>
      </c>
      <c r="E221" s="32">
        <f>IF(B221="","",IFERROR(INDEX(Client_List!$C:$C,MATCH(VALUE(B221),Client_List!$A:$A,0)),""))</f>
        <v/>
      </c>
      <c r="F221" s="53">
        <f>IF(B221="","",IFERROR(INDEX(Client_List!$D:$D,MATCH(VALUE(B221),Client_List!$A:$A,0)),""))</f>
        <v/>
      </c>
      <c r="G221" s="53">
        <f>IF(B221="","",IFERROR(INDEX(Client_List!$K:$K,MATCH(VALUE(B221),Client_List!$A:$A,0)),""))</f>
        <v/>
      </c>
      <c r="H221" s="32">
        <f>IF(B221="","",IFERROR(INDEX(Client_List!$J:$J,MATCH(VALUE(B221),Client_List!$A:$A,0)),""))</f>
        <v/>
      </c>
      <c r="I221" s="70">
        <f>IF(B221="","",IFERROR(A221-LOOKUP(2,1/($B$4:$B220=B221),$A$4:$A220),""))</f>
        <v/>
      </c>
      <c r="J221" s="32">
        <f>IF(B221="","",IFERROR(D221/I221,""))</f>
        <v/>
      </c>
      <c r="K221" s="71">
        <f>IF(B221="","",IFERROR(AVERAGEIFS($J$4:$J221,$B$4:$B221,B221,$J$4:$J221,"&gt;"&amp;0),""))</f>
        <v/>
      </c>
      <c r="L221" s="7" t="n"/>
    </row>
    <row r="222" ht="14" customHeight="1" s="72">
      <c r="A222" s="75" t="n">
        <v>46044</v>
      </c>
      <c r="B222" s="76" t="n">
        <v>2016</v>
      </c>
      <c r="C222" s="69">
        <f>IF(B222="","",IFERROR(INDEX(Client_List!$B:$B,MATCH(B222,Client_List!$A:$A,0)),"⚠ NOT FOUND"))</f>
        <v/>
      </c>
      <c r="D222" s="43" t="n">
        <v>298</v>
      </c>
      <c r="E222" s="32">
        <f>IF(B222="","",IFERROR(INDEX(Client_List!$C:$C,MATCH(VALUE(B222),Client_List!$A:$A,0)),""))</f>
        <v/>
      </c>
      <c r="F222" s="53">
        <f>IF(B222="","",IFERROR(INDEX(Client_List!$D:$D,MATCH(VALUE(B222),Client_List!$A:$A,0)),""))</f>
        <v/>
      </c>
      <c r="G222" s="53">
        <f>IF(B222="","",IFERROR(INDEX(Client_List!$K:$K,MATCH(VALUE(B222),Client_List!$A:$A,0)),""))</f>
        <v/>
      </c>
      <c r="H222" s="32">
        <f>IF(B222="","",IFERROR(INDEX(Client_List!$J:$J,MATCH(VALUE(B222),Client_List!$A:$A,0)),""))</f>
        <v/>
      </c>
      <c r="I222" s="70">
        <f>IF(B222="","",IFERROR(A222-LOOKUP(2,1/($B$4:$B221=B222),$A$4:$A221),""))</f>
        <v/>
      </c>
      <c r="J222" s="32">
        <f>IF(B222="","",IFERROR(D222/I222,""))</f>
        <v/>
      </c>
      <c r="K222" s="71">
        <f>IF(B222="","",IFERROR(AVERAGEIFS($J$4:$J222,$B$4:$B222,B222,$J$4:$J222,"&gt;"&amp;0),""))</f>
        <v/>
      </c>
      <c r="L222" s="4" t="n"/>
    </row>
    <row r="223" ht="14" customHeight="1" s="72">
      <c r="A223" s="75" t="n">
        <v>46044</v>
      </c>
      <c r="B223" s="76" t="n">
        <v>2017</v>
      </c>
      <c r="C223" s="69">
        <f>IF(B223="","",IFERROR(INDEX(Client_List!$B:$B,MATCH(B223,Client_List!$A:$A,0)),"⚠ NOT FOUND"))</f>
        <v/>
      </c>
      <c r="D223" s="43" t="n">
        <v>251</v>
      </c>
      <c r="E223" s="32">
        <f>IF(B223="","",IFERROR(INDEX(Client_List!$C:$C,MATCH(VALUE(B223),Client_List!$A:$A,0)),""))</f>
        <v/>
      </c>
      <c r="F223" s="53">
        <f>IF(B223="","",IFERROR(INDEX(Client_List!$D:$D,MATCH(VALUE(B223),Client_List!$A:$A,0)),""))</f>
        <v/>
      </c>
      <c r="G223" s="53">
        <f>IF(B223="","",IFERROR(INDEX(Client_List!$K:$K,MATCH(VALUE(B223),Client_List!$A:$A,0)),""))</f>
        <v/>
      </c>
      <c r="H223" s="32">
        <f>IF(B223="","",IFERROR(INDEX(Client_List!$J:$J,MATCH(VALUE(B223),Client_List!$A:$A,0)),""))</f>
        <v/>
      </c>
      <c r="I223" s="70">
        <f>IF(B223="","",IFERROR(A223-LOOKUP(2,1/($B$4:$B222=B223),$A$4:$A222),""))</f>
        <v/>
      </c>
      <c r="J223" s="32">
        <f>IF(B223="","",IFERROR(D223/I223,""))</f>
        <v/>
      </c>
      <c r="K223" s="71">
        <f>IF(B223="","",IFERROR(AVERAGEIFS($J$4:$J223,$B$4:$B223,B223,$J$4:$J223,"&gt;"&amp;0),""))</f>
        <v/>
      </c>
      <c r="L223" s="7" t="n"/>
    </row>
    <row r="224" ht="14" customHeight="1" s="72">
      <c r="A224" s="75" t="n">
        <v>46044</v>
      </c>
      <c r="B224" s="76" t="n">
        <v>3056</v>
      </c>
      <c r="C224" s="69">
        <f>IF(B224="","",IFERROR(INDEX(Client_List!$B:$B,MATCH(B224,Client_List!$A:$A,0)),"⚠ NOT FOUND"))</f>
        <v/>
      </c>
      <c r="D224" s="43" t="n">
        <v>329</v>
      </c>
      <c r="E224" s="32">
        <f>IF(B224="","",IFERROR(INDEX(Client_List!$C:$C,MATCH(VALUE(B224),Client_List!$A:$A,0)),""))</f>
        <v/>
      </c>
      <c r="F224" s="53">
        <f>IF(B224="","",IFERROR(INDEX(Client_List!$D:$D,MATCH(VALUE(B224),Client_List!$A:$A,0)),""))</f>
        <v/>
      </c>
      <c r="G224" s="53">
        <f>IF(B224="","",IFERROR(INDEX(Client_List!$K:$K,MATCH(VALUE(B224),Client_List!$A:$A,0)),""))</f>
        <v/>
      </c>
      <c r="H224" s="32">
        <f>IF(B224="","",IFERROR(INDEX(Client_List!$J:$J,MATCH(VALUE(B224),Client_List!$A:$A,0)),""))</f>
        <v/>
      </c>
      <c r="I224" s="70">
        <f>IF(B224="","",IFERROR(A224-LOOKUP(2,1/($B$4:$B223=B224),$A$4:$A223),""))</f>
        <v/>
      </c>
      <c r="J224" s="32">
        <f>IF(B224="","",IFERROR(D224/I224,""))</f>
        <v/>
      </c>
      <c r="K224" s="71">
        <f>IF(B224="","",IFERROR(AVERAGEIFS($J$4:$J224,$B$4:$B224,B224,$J$4:$J224,"&gt;"&amp;0),""))</f>
        <v/>
      </c>
      <c r="L224" s="4" t="n"/>
    </row>
    <row r="225" ht="14" customHeight="1" s="72">
      <c r="A225" s="75" t="n">
        <v>46044</v>
      </c>
      <c r="B225" s="76" t="n">
        <v>3065</v>
      </c>
      <c r="C225" s="69">
        <f>IF(B225="","",IFERROR(INDEX(Client_List!$B:$B,MATCH(B225,Client_List!$A:$A,0)),"⚠ NOT FOUND"))</f>
        <v/>
      </c>
      <c r="D225" s="43" t="n">
        <v>382</v>
      </c>
      <c r="E225" s="32">
        <f>IF(B225="","",IFERROR(INDEX(Client_List!$C:$C,MATCH(VALUE(B225),Client_List!$A:$A,0)),""))</f>
        <v/>
      </c>
      <c r="F225" s="53">
        <f>IF(B225="","",IFERROR(INDEX(Client_List!$D:$D,MATCH(VALUE(B225),Client_List!$A:$A,0)),""))</f>
        <v/>
      </c>
      <c r="G225" s="53">
        <f>IF(B225="","",IFERROR(INDEX(Client_List!$K:$K,MATCH(VALUE(B225),Client_List!$A:$A,0)),""))</f>
        <v/>
      </c>
      <c r="H225" s="32">
        <f>IF(B225="","",IFERROR(INDEX(Client_List!$J:$J,MATCH(VALUE(B225),Client_List!$A:$A,0)),""))</f>
        <v/>
      </c>
      <c r="I225" s="70">
        <f>IF(B225="","",IFERROR(A225-LOOKUP(2,1/($B$4:$B224=B225),$A$4:$A224),""))</f>
        <v/>
      </c>
      <c r="J225" s="32">
        <f>IF(B225="","",IFERROR(D225/I225,""))</f>
        <v/>
      </c>
      <c r="K225" s="71">
        <f>IF(B225="","",IFERROR(AVERAGEIFS($J$4:$J225,$B$4:$B225,B225,$J$4:$J225,"&gt;"&amp;0),""))</f>
        <v/>
      </c>
      <c r="L225" s="7" t="n"/>
    </row>
    <row r="226" ht="14" customHeight="1" s="72">
      <c r="A226" s="75" t="n">
        <v>46044</v>
      </c>
      <c r="B226" s="76" t="n">
        <v>4037</v>
      </c>
      <c r="C226" s="69">
        <f>IF(B226="","",IFERROR(INDEX(Client_List!$B:$B,MATCH(B226,Client_List!$A:$A,0)),"⚠ NOT FOUND"))</f>
        <v/>
      </c>
      <c r="D226" s="43" t="n">
        <v>142</v>
      </c>
      <c r="E226" s="32">
        <f>IF(B226="","",IFERROR(INDEX(Client_List!$C:$C,MATCH(VALUE(B226),Client_List!$A:$A,0)),""))</f>
        <v/>
      </c>
      <c r="F226" s="53">
        <f>IF(B226="","",IFERROR(INDEX(Client_List!$D:$D,MATCH(VALUE(B226),Client_List!$A:$A,0)),""))</f>
        <v/>
      </c>
      <c r="G226" s="53">
        <f>IF(B226="","",IFERROR(INDEX(Client_List!$K:$K,MATCH(VALUE(B226),Client_List!$A:$A,0)),""))</f>
        <v/>
      </c>
      <c r="H226" s="32">
        <f>IF(B226="","",IFERROR(INDEX(Client_List!$J:$J,MATCH(VALUE(B226),Client_List!$A:$A,0)),""))</f>
        <v/>
      </c>
      <c r="I226" s="70">
        <f>IF(B226="","",IFERROR(A226-LOOKUP(2,1/($B$4:$B225=B226),$A$4:$A225),""))</f>
        <v/>
      </c>
      <c r="J226" s="32">
        <f>IF(B226="","",IFERROR(D226/I226,""))</f>
        <v/>
      </c>
      <c r="K226" s="71">
        <f>IF(B226="","",IFERROR(AVERAGEIFS($J$4:$J226,$B$4:$B226,B226,$J$4:$J226,"&gt;"&amp;0),""))</f>
        <v/>
      </c>
      <c r="L226" s="4" t="n"/>
    </row>
    <row r="227" ht="14" customHeight="1" s="72">
      <c r="A227" s="75" t="n">
        <v>46044</v>
      </c>
      <c r="B227" s="76" t="n">
        <v>10001</v>
      </c>
      <c r="C227" s="69">
        <f>IF(B227="","",IFERROR(INDEX(Client_List!$B:$B,MATCH(B227,Client_List!$A:$A,0)),"⚠ NOT FOUND"))</f>
        <v/>
      </c>
      <c r="D227" s="43" t="n">
        <v>777</v>
      </c>
      <c r="E227" s="32">
        <f>IF(B227="","",IFERROR(INDEX(Client_List!$C:$C,MATCH(VALUE(B227),Client_List!$A:$A,0)),""))</f>
        <v/>
      </c>
      <c r="F227" s="53">
        <f>IF(B227="","",IFERROR(INDEX(Client_List!$D:$D,MATCH(VALUE(B227),Client_List!$A:$A,0)),""))</f>
        <v/>
      </c>
      <c r="G227" s="53">
        <f>IF(B227="","",IFERROR(INDEX(Client_List!$K:$K,MATCH(VALUE(B227),Client_List!$A:$A,0)),""))</f>
        <v/>
      </c>
      <c r="H227" s="32">
        <f>IF(B227="","",IFERROR(INDEX(Client_List!$J:$J,MATCH(VALUE(B227),Client_List!$A:$A,0)),""))</f>
        <v/>
      </c>
      <c r="I227" s="70">
        <f>IF(B227="","",IFERROR(A227-LOOKUP(2,1/($B$4:$B226=B227),$A$4:$A226),""))</f>
        <v/>
      </c>
      <c r="J227" s="32">
        <f>IF(B227="","",IFERROR(D227/I227,""))</f>
        <v/>
      </c>
      <c r="K227" s="71">
        <f>IF(B227="","",IFERROR(AVERAGEIFS($J$4:$J227,$B$4:$B227,B227,$J$4:$J227,"&gt;"&amp;0),""))</f>
        <v/>
      </c>
      <c r="L227" s="7" t="n"/>
    </row>
    <row r="228" ht="14" customHeight="1" s="72">
      <c r="A228" s="75" t="n">
        <v>46044</v>
      </c>
      <c r="B228" s="76" t="n">
        <v>13014</v>
      </c>
      <c r="C228" s="69">
        <f>IF(B228="","",IFERROR(INDEX(Client_List!$B:$B,MATCH(B228,Client_List!$A:$A,0)),"⚠ NOT FOUND"))</f>
        <v/>
      </c>
      <c r="D228" s="43" t="n">
        <v>704</v>
      </c>
      <c r="E228" s="32">
        <f>IF(B228="","",IFERROR(INDEX(Client_List!$C:$C,MATCH(VALUE(B228),Client_List!$A:$A,0)),""))</f>
        <v/>
      </c>
      <c r="F228" s="53">
        <f>IF(B228="","",IFERROR(INDEX(Client_List!$D:$D,MATCH(VALUE(B228),Client_List!$A:$A,0)),""))</f>
        <v/>
      </c>
      <c r="G228" s="53">
        <f>IF(B228="","",IFERROR(INDEX(Client_List!$K:$K,MATCH(VALUE(B228),Client_List!$A:$A,0)),""))</f>
        <v/>
      </c>
      <c r="H228" s="32">
        <f>IF(B228="","",IFERROR(INDEX(Client_List!$J:$J,MATCH(VALUE(B228),Client_List!$A:$A,0)),""))</f>
        <v/>
      </c>
      <c r="I228" s="70">
        <f>IF(B228="","",IFERROR(A228-LOOKUP(2,1/($B$4:$B227=B228),$A$4:$A227),""))</f>
        <v/>
      </c>
      <c r="J228" s="32">
        <f>IF(B228="","",IFERROR(D228/I228,""))</f>
        <v/>
      </c>
      <c r="K228" s="71">
        <f>IF(B228="","",IFERROR(AVERAGEIFS($J$4:$J228,$B$4:$B228,B228,$J$4:$J228,"&gt;"&amp;0),""))</f>
        <v/>
      </c>
      <c r="L228" s="4" t="n"/>
    </row>
    <row r="229" ht="14" customHeight="1" s="72">
      <c r="A229" s="75" t="n">
        <v>46044</v>
      </c>
      <c r="B229" s="76" t="n">
        <v>14009</v>
      </c>
      <c r="C229" s="69">
        <f>IF(B229="","",IFERROR(INDEX(Client_List!$B:$B,MATCH(B229,Client_List!$A:$A,0)),"⚠ NOT FOUND"))</f>
        <v/>
      </c>
      <c r="D229" s="43" t="n">
        <v>928</v>
      </c>
      <c r="E229" s="32">
        <f>IF(B229="","",IFERROR(INDEX(Client_List!$C:$C,MATCH(VALUE(B229),Client_List!$A:$A,0)),""))</f>
        <v/>
      </c>
      <c r="F229" s="53">
        <f>IF(B229="","",IFERROR(INDEX(Client_List!$D:$D,MATCH(VALUE(B229),Client_List!$A:$A,0)),""))</f>
        <v/>
      </c>
      <c r="G229" s="53">
        <f>IF(B229="","",IFERROR(INDEX(Client_List!$K:$K,MATCH(VALUE(B229),Client_List!$A:$A,0)),""))</f>
        <v/>
      </c>
      <c r="H229" s="32">
        <f>IF(B229="","",IFERROR(INDEX(Client_List!$J:$J,MATCH(VALUE(B229),Client_List!$A:$A,0)),""))</f>
        <v/>
      </c>
      <c r="I229" s="70">
        <f>IF(B229="","",IFERROR(A229-LOOKUP(2,1/($B$4:$B228=B229),$A$4:$A228),""))</f>
        <v/>
      </c>
      <c r="J229" s="32">
        <f>IF(B229="","",IFERROR(D229/I229,""))</f>
        <v/>
      </c>
      <c r="K229" s="71">
        <f>IF(B229="","",IFERROR(AVERAGEIFS($J$4:$J229,$B$4:$B229,B229,$J$4:$J229,"&gt;"&amp;0),""))</f>
        <v/>
      </c>
      <c r="L229" s="7" t="n"/>
    </row>
    <row r="230" ht="14" customHeight="1" s="72">
      <c r="A230" s="75" t="n">
        <v>46044</v>
      </c>
      <c r="B230" s="76" t="n">
        <v>15000</v>
      </c>
      <c r="C230" s="69">
        <f>IF(B230="","",IFERROR(INDEX(Client_List!$B:$B,MATCH(B230,Client_List!$A:$A,0)),"⚠ NOT FOUND"))</f>
        <v/>
      </c>
      <c r="D230" s="43" t="n">
        <v>1038</v>
      </c>
      <c r="E230" s="32">
        <f>IF(B230="","",IFERROR(INDEX(Client_List!$C:$C,MATCH(VALUE(B230),Client_List!$A:$A,0)),""))</f>
        <v/>
      </c>
      <c r="F230" s="53">
        <f>IF(B230="","",IFERROR(INDEX(Client_List!$D:$D,MATCH(VALUE(B230),Client_List!$A:$A,0)),""))</f>
        <v/>
      </c>
      <c r="G230" s="53">
        <f>IF(B230="","",IFERROR(INDEX(Client_List!$K:$K,MATCH(VALUE(B230),Client_List!$A:$A,0)),""))</f>
        <v/>
      </c>
      <c r="H230" s="32">
        <f>IF(B230="","",IFERROR(INDEX(Client_List!$J:$J,MATCH(VALUE(B230),Client_List!$A:$A,0)),""))</f>
        <v/>
      </c>
      <c r="I230" s="70">
        <f>IF(B230="","",IFERROR(A230-LOOKUP(2,1/($B$4:$B229=B230),$A$4:$A229),""))</f>
        <v/>
      </c>
      <c r="J230" s="32">
        <f>IF(B230="","",IFERROR(D230/I230,""))</f>
        <v/>
      </c>
      <c r="K230" s="71">
        <f>IF(B230="","",IFERROR(AVERAGEIFS($J$4:$J230,$B$4:$B230,B230,$J$4:$J230,"&gt;"&amp;0),""))</f>
        <v/>
      </c>
      <c r="L230" s="4" t="n"/>
    </row>
    <row r="231" ht="14" customHeight="1" s="72">
      <c r="A231" s="75" t="n">
        <v>46044</v>
      </c>
      <c r="B231" s="76" t="n">
        <v>15026</v>
      </c>
      <c r="C231" s="69">
        <f>IF(B231="","",IFERROR(INDEX(Client_List!$B:$B,MATCH(B231,Client_List!$A:$A,0)),"⚠ NOT FOUND"))</f>
        <v/>
      </c>
      <c r="D231" s="43" t="n">
        <v>479</v>
      </c>
      <c r="E231" s="32">
        <f>IF(B231="","",IFERROR(INDEX(Client_List!$C:$C,MATCH(VALUE(B231),Client_List!$A:$A,0)),""))</f>
        <v/>
      </c>
      <c r="F231" s="53">
        <f>IF(B231="","",IFERROR(INDEX(Client_List!$D:$D,MATCH(VALUE(B231),Client_List!$A:$A,0)),""))</f>
        <v/>
      </c>
      <c r="G231" s="53">
        <f>IF(B231="","",IFERROR(INDEX(Client_List!$K:$K,MATCH(VALUE(B231),Client_List!$A:$A,0)),""))</f>
        <v/>
      </c>
      <c r="H231" s="32">
        <f>IF(B231="","",IFERROR(INDEX(Client_List!$J:$J,MATCH(VALUE(B231),Client_List!$A:$A,0)),""))</f>
        <v/>
      </c>
      <c r="I231" s="70">
        <f>IF(B231="","",IFERROR(A231-LOOKUP(2,1/($B$4:$B230=B231),$A$4:$A230),""))</f>
        <v/>
      </c>
      <c r="J231" s="32">
        <f>IF(B231="","",IFERROR(D231/I231,""))</f>
        <v/>
      </c>
      <c r="K231" s="71">
        <f>IF(B231="","",IFERROR(AVERAGEIFS($J$4:$J231,$B$4:$B231,B231,$J$4:$J231,"&gt;"&amp;0),""))</f>
        <v/>
      </c>
      <c r="L231" s="7" t="n"/>
    </row>
    <row r="232" ht="14" customHeight="1" s="72">
      <c r="A232" s="75" t="n">
        <v>46044</v>
      </c>
      <c r="B232" s="76" t="n">
        <v>15041</v>
      </c>
      <c r="C232" s="69">
        <f>IF(B232="","",IFERROR(INDEX(Client_List!$B:$B,MATCH(B232,Client_List!$A:$A,0)),"⚠ NOT FOUND"))</f>
        <v/>
      </c>
      <c r="D232" s="43" t="n">
        <v>444</v>
      </c>
      <c r="E232" s="32">
        <f>IF(B232="","",IFERROR(INDEX(Client_List!$C:$C,MATCH(VALUE(B232),Client_List!$A:$A,0)),""))</f>
        <v/>
      </c>
      <c r="F232" s="53">
        <f>IF(B232="","",IFERROR(INDEX(Client_List!$D:$D,MATCH(VALUE(B232),Client_List!$A:$A,0)),""))</f>
        <v/>
      </c>
      <c r="G232" s="53">
        <f>IF(B232="","",IFERROR(INDEX(Client_List!$K:$K,MATCH(VALUE(B232),Client_List!$A:$A,0)),""))</f>
        <v/>
      </c>
      <c r="H232" s="32">
        <f>IF(B232="","",IFERROR(INDEX(Client_List!$J:$J,MATCH(VALUE(B232),Client_List!$A:$A,0)),""))</f>
        <v/>
      </c>
      <c r="I232" s="70">
        <f>IF(B232="","",IFERROR(A232-LOOKUP(2,1/($B$4:$B231=B232),$A$4:$A231),""))</f>
        <v/>
      </c>
      <c r="J232" s="32">
        <f>IF(B232="","",IFERROR(D232/I232,""))</f>
        <v/>
      </c>
      <c r="K232" s="71">
        <f>IF(B232="","",IFERROR(AVERAGEIFS($J$4:$J232,$B$4:$B232,B232,$J$4:$J232,"&gt;"&amp;0),""))</f>
        <v/>
      </c>
      <c r="L232" s="4" t="n"/>
    </row>
    <row r="233" ht="14" customHeight="1" s="72">
      <c r="A233" s="75" t="n">
        <v>46044</v>
      </c>
      <c r="B233" s="76" t="n">
        <v>18054</v>
      </c>
      <c r="C233" s="69">
        <f>IF(B233="","",IFERROR(INDEX(Client_List!$B:$B,MATCH(B233,Client_List!$A:$A,0)),"⚠ NOT FOUND"))</f>
        <v/>
      </c>
      <c r="D233" s="43" t="n">
        <v>1107</v>
      </c>
      <c r="E233" s="32">
        <f>IF(B233="","",IFERROR(INDEX(Client_List!$C:$C,MATCH(VALUE(B233),Client_List!$A:$A,0)),""))</f>
        <v/>
      </c>
      <c r="F233" s="53">
        <f>IF(B233="","",IFERROR(INDEX(Client_List!$D:$D,MATCH(VALUE(B233),Client_List!$A:$A,0)),""))</f>
        <v/>
      </c>
      <c r="G233" s="53">
        <f>IF(B233="","",IFERROR(INDEX(Client_List!$K:$K,MATCH(VALUE(B233),Client_List!$A:$A,0)),""))</f>
        <v/>
      </c>
      <c r="H233" s="32">
        <f>IF(B233="","",IFERROR(INDEX(Client_List!$J:$J,MATCH(VALUE(B233),Client_List!$A:$A,0)),""))</f>
        <v/>
      </c>
      <c r="I233" s="70">
        <f>IF(B233="","",IFERROR(A233-LOOKUP(2,1/($B$4:$B232=B233),$A$4:$A232),""))</f>
        <v/>
      </c>
      <c r="J233" s="32">
        <f>IF(B233="","",IFERROR(D233/I233,""))</f>
        <v/>
      </c>
      <c r="K233" s="71">
        <f>IF(B233="","",IFERROR(AVERAGEIFS($J$4:$J233,$B$4:$B233,B233,$J$4:$J233,"&gt;"&amp;0),""))</f>
        <v/>
      </c>
      <c r="L233" s="7" t="n"/>
    </row>
    <row r="234" ht="14" customHeight="1" s="72">
      <c r="A234" s="75" t="n">
        <v>46044</v>
      </c>
      <c r="B234" s="76" t="n">
        <v>19080</v>
      </c>
      <c r="C234" s="69">
        <f>IF(B234="","",IFERROR(INDEX(Client_List!$B:$B,MATCH(B234,Client_List!$A:$A,0)),"⚠ NOT FOUND"))</f>
        <v/>
      </c>
      <c r="D234" s="43" t="n">
        <v>482</v>
      </c>
      <c r="E234" s="32">
        <f>IF(B234="","",IFERROR(INDEX(Client_List!$C:$C,MATCH(VALUE(B234),Client_List!$A:$A,0)),""))</f>
        <v/>
      </c>
      <c r="F234" s="53">
        <f>IF(B234="","",IFERROR(INDEX(Client_List!$D:$D,MATCH(VALUE(B234),Client_List!$A:$A,0)),""))</f>
        <v/>
      </c>
      <c r="G234" s="53">
        <f>IF(B234="","",IFERROR(INDEX(Client_List!$K:$K,MATCH(VALUE(B234),Client_List!$A:$A,0)),""))</f>
        <v/>
      </c>
      <c r="H234" s="32">
        <f>IF(B234="","",IFERROR(INDEX(Client_List!$J:$J,MATCH(VALUE(B234),Client_List!$A:$A,0)),""))</f>
        <v/>
      </c>
      <c r="I234" s="70">
        <f>IF(B234="","",IFERROR(A234-LOOKUP(2,1/($B$4:$B233=B234),$A$4:$A233),""))</f>
        <v/>
      </c>
      <c r="J234" s="32">
        <f>IF(B234="","",IFERROR(D234/I234,""))</f>
        <v/>
      </c>
      <c r="K234" s="71">
        <f>IF(B234="","",IFERROR(AVERAGEIFS($J$4:$J234,$B$4:$B234,B234,$J$4:$J234,"&gt;"&amp;0),""))</f>
        <v/>
      </c>
      <c r="L234" s="4" t="n"/>
    </row>
    <row r="235" ht="14" customHeight="1" s="72">
      <c r="A235" s="75" t="n">
        <v>46044</v>
      </c>
      <c r="B235" s="76" t="n">
        <v>19089</v>
      </c>
      <c r="C235" s="69">
        <f>IF(B235="","",IFERROR(INDEX(Client_List!$B:$B,MATCH(B235,Client_List!$A:$A,0)),"⚠ NOT FOUND"))</f>
        <v/>
      </c>
      <c r="D235" s="43" t="n">
        <v>299</v>
      </c>
      <c r="E235" s="32">
        <f>IF(B235="","",IFERROR(INDEX(Client_List!$C:$C,MATCH(VALUE(B235),Client_List!$A:$A,0)),""))</f>
        <v/>
      </c>
      <c r="F235" s="53">
        <f>IF(B235="","",IFERROR(INDEX(Client_List!$D:$D,MATCH(VALUE(B235),Client_List!$A:$A,0)),""))</f>
        <v/>
      </c>
      <c r="G235" s="53">
        <f>IF(B235="","",IFERROR(INDEX(Client_List!$K:$K,MATCH(VALUE(B235),Client_List!$A:$A,0)),""))</f>
        <v/>
      </c>
      <c r="H235" s="32">
        <f>IF(B235="","",IFERROR(INDEX(Client_List!$J:$J,MATCH(VALUE(B235),Client_List!$A:$A,0)),""))</f>
        <v/>
      </c>
      <c r="I235" s="70">
        <f>IF(B235="","",IFERROR(A235-LOOKUP(2,1/($B$4:$B234=B235),$A$4:$A234),""))</f>
        <v/>
      </c>
      <c r="J235" s="32">
        <f>IF(B235="","",IFERROR(D235/I235,""))</f>
        <v/>
      </c>
      <c r="K235" s="71">
        <f>IF(B235="","",IFERROR(AVERAGEIFS($J$4:$J235,$B$4:$B235,B235,$J$4:$J235,"&gt;"&amp;0),""))</f>
        <v/>
      </c>
      <c r="L235" s="7" t="n"/>
    </row>
    <row r="236" ht="14" customHeight="1" s="72">
      <c r="A236" s="75" t="n">
        <v>46045</v>
      </c>
      <c r="B236" s="76" t="n">
        <v>2038</v>
      </c>
      <c r="C236" s="69">
        <f>IF(B236="","",IFERROR(INDEX(Client_List!$B:$B,MATCH(B236,Client_List!$A:$A,0)),"⚠ NOT FOUND"))</f>
        <v/>
      </c>
      <c r="D236" s="43" t="n">
        <v>482</v>
      </c>
      <c r="E236" s="32">
        <f>IF(B236="","",IFERROR(INDEX(Client_List!$C:$C,MATCH(VALUE(B236),Client_List!$A:$A,0)),""))</f>
        <v/>
      </c>
      <c r="F236" s="53">
        <f>IF(B236="","",IFERROR(INDEX(Client_List!$D:$D,MATCH(VALUE(B236),Client_List!$A:$A,0)),""))</f>
        <v/>
      </c>
      <c r="G236" s="53">
        <f>IF(B236="","",IFERROR(INDEX(Client_List!$K:$K,MATCH(VALUE(B236),Client_List!$A:$A,0)),""))</f>
        <v/>
      </c>
      <c r="H236" s="32">
        <f>IF(B236="","",IFERROR(INDEX(Client_List!$J:$J,MATCH(VALUE(B236),Client_List!$A:$A,0)),""))</f>
        <v/>
      </c>
      <c r="I236" s="70">
        <f>IF(B236="","",IFERROR(A236-LOOKUP(2,1/($B$4:$B235=B236),$A$4:$A235),""))</f>
        <v/>
      </c>
      <c r="J236" s="32">
        <f>IF(B236="","",IFERROR(D236/I236,""))</f>
        <v/>
      </c>
      <c r="K236" s="71">
        <f>IF(B236="","",IFERROR(AVERAGEIFS($J$4:$J236,$B$4:$B236,B236,$J$4:$J236,"&gt;"&amp;0),""))</f>
        <v/>
      </c>
      <c r="L236" s="4" t="n"/>
    </row>
    <row r="237" ht="14" customHeight="1" s="72">
      <c r="A237" s="75" t="n">
        <v>46045</v>
      </c>
      <c r="B237" s="76" t="n">
        <v>2073</v>
      </c>
      <c r="C237" s="69">
        <f>IF(B237="","",IFERROR(INDEX(Client_List!$B:$B,MATCH(B237,Client_List!$A:$A,0)),"⚠ NOT FOUND"))</f>
        <v/>
      </c>
      <c r="D237" s="43" t="n">
        <v>344</v>
      </c>
      <c r="E237" s="32">
        <f>IF(B237="","",IFERROR(INDEX(Client_List!$C:$C,MATCH(VALUE(B237),Client_List!$A:$A,0)),""))</f>
        <v/>
      </c>
      <c r="F237" s="53">
        <f>IF(B237="","",IFERROR(INDEX(Client_List!$D:$D,MATCH(VALUE(B237),Client_List!$A:$A,0)),""))</f>
        <v/>
      </c>
      <c r="G237" s="53">
        <f>IF(B237="","",IFERROR(INDEX(Client_List!$K:$K,MATCH(VALUE(B237),Client_List!$A:$A,0)),""))</f>
        <v/>
      </c>
      <c r="H237" s="32">
        <f>IF(B237="","",IFERROR(INDEX(Client_List!$J:$J,MATCH(VALUE(B237),Client_List!$A:$A,0)),""))</f>
        <v/>
      </c>
      <c r="I237" s="70">
        <f>IF(B237="","",IFERROR(A237-LOOKUP(2,1/($B$4:$B236=B237),$A$4:$A236),""))</f>
        <v/>
      </c>
      <c r="J237" s="32">
        <f>IF(B237="","",IFERROR(D237/I237,""))</f>
        <v/>
      </c>
      <c r="K237" s="71">
        <f>IF(B237="","",IFERROR(AVERAGEIFS($J$4:$J237,$B$4:$B237,B237,$J$4:$J237,"&gt;"&amp;0),""))</f>
        <v/>
      </c>
      <c r="L237" s="7" t="n"/>
    </row>
    <row r="238" ht="14" customHeight="1" s="72">
      <c r="A238" s="75" t="n">
        <v>46045</v>
      </c>
      <c r="B238" s="76" t="n">
        <v>4009</v>
      </c>
      <c r="C238" s="69">
        <f>IF(B238="","",IFERROR(INDEX(Client_List!$B:$B,MATCH(B238,Client_List!$A:$A,0)),"⚠ NOT FOUND"))</f>
        <v/>
      </c>
      <c r="D238" s="43" t="n">
        <v>677</v>
      </c>
      <c r="E238" s="32">
        <f>IF(B238="","",IFERROR(INDEX(Client_List!$C:$C,MATCH(VALUE(B238),Client_List!$A:$A,0)),""))</f>
        <v/>
      </c>
      <c r="F238" s="53">
        <f>IF(B238="","",IFERROR(INDEX(Client_List!$D:$D,MATCH(VALUE(B238),Client_List!$A:$A,0)),""))</f>
        <v/>
      </c>
      <c r="G238" s="53">
        <f>IF(B238="","",IFERROR(INDEX(Client_List!$K:$K,MATCH(VALUE(B238),Client_List!$A:$A,0)),""))</f>
        <v/>
      </c>
      <c r="H238" s="32">
        <f>IF(B238="","",IFERROR(INDEX(Client_List!$J:$J,MATCH(VALUE(B238),Client_List!$A:$A,0)),""))</f>
        <v/>
      </c>
      <c r="I238" s="70">
        <f>IF(B238="","",IFERROR(A238-LOOKUP(2,1/($B$4:$B237=B238),$A$4:$A237),""))</f>
        <v/>
      </c>
      <c r="J238" s="32">
        <f>IF(B238="","",IFERROR(D238/I238,""))</f>
        <v/>
      </c>
      <c r="K238" s="71">
        <f>IF(B238="","",IFERROR(AVERAGEIFS($J$4:$J238,$B$4:$B238,B238,$J$4:$J238,"&gt;"&amp;0),""))</f>
        <v/>
      </c>
      <c r="L238" s="4" t="n"/>
    </row>
    <row r="239" ht="14" customHeight="1" s="72">
      <c r="A239" s="75" t="n">
        <v>46045</v>
      </c>
      <c r="B239" s="76" t="inlineStr">
        <is>
          <t>4015A</t>
        </is>
      </c>
      <c r="C239" s="69">
        <f>IF(B239="","",IFERROR(INDEX(Client_List!$B:$B,MATCH(B239,Client_List!$A:$A,0)),"⚠ NOT FOUND"))</f>
        <v/>
      </c>
      <c r="D239" s="43" t="n">
        <v>490</v>
      </c>
      <c r="E239" s="32">
        <f>IF(B239="","",IFERROR(INDEX(Client_List!$C:$C,MATCH(VALUE(B239),Client_List!$A:$A,0)),""))</f>
        <v/>
      </c>
      <c r="F239" s="53">
        <f>IF(B239="","",IFERROR(INDEX(Client_List!$D:$D,MATCH(VALUE(B239),Client_List!$A:$A,0)),""))</f>
        <v/>
      </c>
      <c r="G239" s="53">
        <f>IF(B239="","",IFERROR(INDEX(Client_List!$K:$K,MATCH(VALUE(B239),Client_List!$A:$A,0)),""))</f>
        <v/>
      </c>
      <c r="H239" s="32">
        <f>IF(B239="","",IFERROR(INDEX(Client_List!$J:$J,MATCH(VALUE(B239),Client_List!$A:$A,0)),""))</f>
        <v/>
      </c>
      <c r="I239" s="70">
        <f>IF(B239="","",IFERROR(A239-LOOKUP(2,1/($B$4:$B238=B239),$A$4:$A238),""))</f>
        <v/>
      </c>
      <c r="J239" s="32">
        <f>IF(B239="","",IFERROR(D239/I239,""))</f>
        <v/>
      </c>
      <c r="K239" s="71">
        <f>IF(B239="","",IFERROR(AVERAGEIFS($J$4:$J239,$B$4:$B239,B239,$J$4:$J239,"&gt;"&amp;0),""))</f>
        <v/>
      </c>
      <c r="L239" s="7" t="n"/>
    </row>
    <row r="240" ht="14" customHeight="1" s="72">
      <c r="A240" s="75" t="n">
        <v>46045</v>
      </c>
      <c r="B240" s="76" t="n">
        <v>6101</v>
      </c>
      <c r="C240" s="69">
        <f>IF(B240="","",IFERROR(INDEX(Client_List!$B:$B,MATCH(B240,Client_List!$A:$A,0)),"⚠ NOT FOUND"))</f>
        <v/>
      </c>
      <c r="D240" s="43" t="n">
        <v>641</v>
      </c>
      <c r="E240" s="32">
        <f>IF(B240="","",IFERROR(INDEX(Client_List!$C:$C,MATCH(VALUE(B240),Client_List!$A:$A,0)),""))</f>
        <v/>
      </c>
      <c r="F240" s="53">
        <f>IF(B240="","",IFERROR(INDEX(Client_List!$D:$D,MATCH(VALUE(B240),Client_List!$A:$A,0)),""))</f>
        <v/>
      </c>
      <c r="G240" s="53">
        <f>IF(B240="","",IFERROR(INDEX(Client_List!$K:$K,MATCH(VALUE(B240),Client_List!$A:$A,0)),""))</f>
        <v/>
      </c>
      <c r="H240" s="32">
        <f>IF(B240="","",IFERROR(INDEX(Client_List!$J:$J,MATCH(VALUE(B240),Client_List!$A:$A,0)),""))</f>
        <v/>
      </c>
      <c r="I240" s="70">
        <f>IF(B240="","",IFERROR(A240-LOOKUP(2,1/($B$4:$B239=B240),$A$4:$A239),""))</f>
        <v/>
      </c>
      <c r="J240" s="32">
        <f>IF(B240="","",IFERROR(D240/I240,""))</f>
        <v/>
      </c>
      <c r="K240" s="71">
        <f>IF(B240="","",IFERROR(AVERAGEIFS($J$4:$J240,$B$4:$B240,B240,$J$4:$J240,"&gt;"&amp;0),""))</f>
        <v/>
      </c>
      <c r="L240" s="4" t="n"/>
    </row>
    <row r="241" ht="14" customHeight="1" s="72">
      <c r="A241" s="75" t="n">
        <v>46045</v>
      </c>
      <c r="B241" s="76" t="n">
        <v>8034</v>
      </c>
      <c r="C241" s="69">
        <f>IF(B241="","",IFERROR(INDEX(Client_List!$B:$B,MATCH(B241,Client_List!$A:$A,0)),"⚠ NOT FOUND"))</f>
        <v/>
      </c>
      <c r="D241" s="43" t="n">
        <v>609</v>
      </c>
      <c r="E241" s="32">
        <f>IF(B241="","",IFERROR(INDEX(Client_List!$C:$C,MATCH(VALUE(B241),Client_List!$A:$A,0)),""))</f>
        <v/>
      </c>
      <c r="F241" s="53">
        <f>IF(B241="","",IFERROR(INDEX(Client_List!$D:$D,MATCH(VALUE(B241),Client_List!$A:$A,0)),""))</f>
        <v/>
      </c>
      <c r="G241" s="53">
        <f>IF(B241="","",IFERROR(INDEX(Client_List!$K:$K,MATCH(VALUE(B241),Client_List!$A:$A,0)),""))</f>
        <v/>
      </c>
      <c r="H241" s="32">
        <f>IF(B241="","",IFERROR(INDEX(Client_List!$J:$J,MATCH(VALUE(B241),Client_List!$A:$A,0)),""))</f>
        <v/>
      </c>
      <c r="I241" s="70">
        <f>IF(B241="","",IFERROR(A241-LOOKUP(2,1/($B$4:$B240=B241),$A$4:$A240),""))</f>
        <v/>
      </c>
      <c r="J241" s="32">
        <f>IF(B241="","",IFERROR(D241/I241,""))</f>
        <v/>
      </c>
      <c r="K241" s="71">
        <f>IF(B241="","",IFERROR(AVERAGEIFS($J$4:$J241,$B$4:$B241,B241,$J$4:$J241,"&gt;"&amp;0),""))</f>
        <v/>
      </c>
      <c r="L241" s="7" t="n"/>
    </row>
    <row r="242" ht="14" customHeight="1" s="72">
      <c r="A242" s="75" t="n">
        <v>46045</v>
      </c>
      <c r="B242" s="76" t="n">
        <v>12025</v>
      </c>
      <c r="C242" s="69">
        <f>IF(B242="","",IFERROR(INDEX(Client_List!$B:$B,MATCH(B242,Client_List!$A:$A,0)),"⚠ NOT FOUND"))</f>
        <v/>
      </c>
      <c r="D242" s="43" t="n">
        <v>381</v>
      </c>
      <c r="E242" s="32">
        <f>IF(B242="","",IFERROR(INDEX(Client_List!$C:$C,MATCH(VALUE(B242),Client_List!$A:$A,0)),""))</f>
        <v/>
      </c>
      <c r="F242" s="53">
        <f>IF(B242="","",IFERROR(INDEX(Client_List!$D:$D,MATCH(VALUE(B242),Client_List!$A:$A,0)),""))</f>
        <v/>
      </c>
      <c r="G242" s="53">
        <f>IF(B242="","",IFERROR(INDEX(Client_List!$K:$K,MATCH(VALUE(B242),Client_List!$A:$A,0)),""))</f>
        <v/>
      </c>
      <c r="H242" s="32">
        <f>IF(B242="","",IFERROR(INDEX(Client_List!$J:$J,MATCH(VALUE(B242),Client_List!$A:$A,0)),""))</f>
        <v/>
      </c>
      <c r="I242" s="70">
        <f>IF(B242="","",IFERROR(A242-LOOKUP(2,1/($B$4:$B241=B242),$A$4:$A241),""))</f>
        <v/>
      </c>
      <c r="J242" s="32">
        <f>IF(B242="","",IFERROR(D242/I242,""))</f>
        <v/>
      </c>
      <c r="K242" s="71">
        <f>IF(B242="","",IFERROR(AVERAGEIFS($J$4:$J242,$B$4:$B242,B242,$J$4:$J242,"&gt;"&amp;0),""))</f>
        <v/>
      </c>
      <c r="L242" s="4" t="n"/>
    </row>
    <row r="243" ht="14" customHeight="1" s="72">
      <c r="A243" s="75" t="n">
        <v>46045</v>
      </c>
      <c r="B243" s="76" t="n">
        <v>13015</v>
      </c>
      <c r="C243" s="69">
        <f>IF(B243="","",IFERROR(INDEX(Client_List!$B:$B,MATCH(B243,Client_List!$A:$A,0)),"⚠ NOT FOUND"))</f>
        <v/>
      </c>
      <c r="D243" s="43" t="n">
        <v>946</v>
      </c>
      <c r="E243" s="32">
        <f>IF(B243="","",IFERROR(INDEX(Client_List!$C:$C,MATCH(VALUE(B243),Client_List!$A:$A,0)),""))</f>
        <v/>
      </c>
      <c r="F243" s="53">
        <f>IF(B243="","",IFERROR(INDEX(Client_List!$D:$D,MATCH(VALUE(B243),Client_List!$A:$A,0)),""))</f>
        <v/>
      </c>
      <c r="G243" s="53">
        <f>IF(B243="","",IFERROR(INDEX(Client_List!$K:$K,MATCH(VALUE(B243),Client_List!$A:$A,0)),""))</f>
        <v/>
      </c>
      <c r="H243" s="32">
        <f>IF(B243="","",IFERROR(INDEX(Client_List!$J:$J,MATCH(VALUE(B243),Client_List!$A:$A,0)),""))</f>
        <v/>
      </c>
      <c r="I243" s="70">
        <f>IF(B243="","",IFERROR(A243-LOOKUP(2,1/($B$4:$B242=B243),$A$4:$A242),""))</f>
        <v/>
      </c>
      <c r="J243" s="32">
        <f>IF(B243="","",IFERROR(D243/I243,""))</f>
        <v/>
      </c>
      <c r="K243" s="71">
        <f>IF(B243="","",IFERROR(AVERAGEIFS($J$4:$J243,$B$4:$B243,B243,$J$4:$J243,"&gt;"&amp;0),""))</f>
        <v/>
      </c>
      <c r="L243" s="7" t="n"/>
    </row>
    <row r="244" ht="14" customHeight="1" s="72">
      <c r="A244" s="75" t="n">
        <v>46045</v>
      </c>
      <c r="B244" s="76" t="n">
        <v>13061</v>
      </c>
      <c r="C244" s="69">
        <f>IF(B244="","",IFERROR(INDEX(Client_List!$B:$B,MATCH(B244,Client_List!$A:$A,0)),"⚠ NOT FOUND"))</f>
        <v/>
      </c>
      <c r="D244" s="43" t="n">
        <v>340</v>
      </c>
      <c r="E244" s="32">
        <f>IF(B244="","",IFERROR(INDEX(Client_List!$C:$C,MATCH(VALUE(B244),Client_List!$A:$A,0)),""))</f>
        <v/>
      </c>
      <c r="F244" s="53">
        <f>IF(B244="","",IFERROR(INDEX(Client_List!$D:$D,MATCH(VALUE(B244),Client_List!$A:$A,0)),""))</f>
        <v/>
      </c>
      <c r="G244" s="53">
        <f>IF(B244="","",IFERROR(INDEX(Client_List!$K:$K,MATCH(VALUE(B244),Client_List!$A:$A,0)),""))</f>
        <v/>
      </c>
      <c r="H244" s="32">
        <f>IF(B244="","",IFERROR(INDEX(Client_List!$J:$J,MATCH(VALUE(B244),Client_List!$A:$A,0)),""))</f>
        <v/>
      </c>
      <c r="I244" s="70">
        <f>IF(B244="","",IFERROR(A244-LOOKUP(2,1/($B$4:$B243=B244),$A$4:$A243),""))</f>
        <v/>
      </c>
      <c r="J244" s="32">
        <f>IF(B244="","",IFERROR(D244/I244,""))</f>
        <v/>
      </c>
      <c r="K244" s="71">
        <f>IF(B244="","",IFERROR(AVERAGEIFS($J$4:$J244,$B$4:$B244,B244,$J$4:$J244,"&gt;"&amp;0),""))</f>
        <v/>
      </c>
      <c r="L244" s="4" t="n"/>
    </row>
    <row r="245" ht="14" customHeight="1" s="72">
      <c r="A245" s="75" t="n">
        <v>46045</v>
      </c>
      <c r="B245" s="76" t="n">
        <v>13069</v>
      </c>
      <c r="C245" s="69">
        <f>IF(B245="","",IFERROR(INDEX(Client_List!$B:$B,MATCH(B245,Client_List!$A:$A,0)),"⚠ NOT FOUND"))</f>
        <v/>
      </c>
      <c r="D245" s="43" t="n">
        <v>958</v>
      </c>
      <c r="E245" s="32">
        <f>IF(B245="","",IFERROR(INDEX(Client_List!$C:$C,MATCH(VALUE(B245),Client_List!$A:$A,0)),""))</f>
        <v/>
      </c>
      <c r="F245" s="53">
        <f>IF(B245="","",IFERROR(INDEX(Client_List!$D:$D,MATCH(VALUE(B245),Client_List!$A:$A,0)),""))</f>
        <v/>
      </c>
      <c r="G245" s="53">
        <f>IF(B245="","",IFERROR(INDEX(Client_List!$K:$K,MATCH(VALUE(B245),Client_List!$A:$A,0)),""))</f>
        <v/>
      </c>
      <c r="H245" s="32">
        <f>IF(B245="","",IFERROR(INDEX(Client_List!$J:$J,MATCH(VALUE(B245),Client_List!$A:$A,0)),""))</f>
        <v/>
      </c>
      <c r="I245" s="70">
        <f>IF(B245="","",IFERROR(A245-LOOKUP(2,1/($B$4:$B244=B245),$A$4:$A244),""))</f>
        <v/>
      </c>
      <c r="J245" s="32">
        <f>IF(B245="","",IFERROR(D245/I245,""))</f>
        <v/>
      </c>
      <c r="K245" s="71">
        <f>IF(B245="","",IFERROR(AVERAGEIFS($J$4:$J245,$B$4:$B245,B245,$J$4:$J245,"&gt;"&amp;0),""))</f>
        <v/>
      </c>
      <c r="L245" s="7" t="n"/>
    </row>
    <row r="246" ht="14" customHeight="1" s="72">
      <c r="A246" s="75" t="n">
        <v>46045</v>
      </c>
      <c r="B246" s="76" t="n">
        <v>15016</v>
      </c>
      <c r="C246" s="69">
        <f>IF(B246="","",IFERROR(INDEX(Client_List!$B:$B,MATCH(B246,Client_List!$A:$A,0)),"⚠ NOT FOUND"))</f>
        <v/>
      </c>
      <c r="D246" s="43" t="n">
        <v>318</v>
      </c>
      <c r="E246" s="32">
        <f>IF(B246="","",IFERROR(INDEX(Client_List!$C:$C,MATCH(VALUE(B246),Client_List!$A:$A,0)),""))</f>
        <v/>
      </c>
      <c r="F246" s="53">
        <f>IF(B246="","",IFERROR(INDEX(Client_List!$D:$D,MATCH(VALUE(B246),Client_List!$A:$A,0)),""))</f>
        <v/>
      </c>
      <c r="G246" s="53">
        <f>IF(B246="","",IFERROR(INDEX(Client_List!$K:$K,MATCH(VALUE(B246),Client_List!$A:$A,0)),""))</f>
        <v/>
      </c>
      <c r="H246" s="32">
        <f>IF(B246="","",IFERROR(INDEX(Client_List!$J:$J,MATCH(VALUE(B246),Client_List!$A:$A,0)),""))</f>
        <v/>
      </c>
      <c r="I246" s="70">
        <f>IF(B246="","",IFERROR(A246-LOOKUP(2,1/($B$4:$B245=B246),$A$4:$A245),""))</f>
        <v/>
      </c>
      <c r="J246" s="32">
        <f>IF(B246="","",IFERROR(D246/I246,""))</f>
        <v/>
      </c>
      <c r="K246" s="71">
        <f>IF(B246="","",IFERROR(AVERAGEIFS($J$4:$J246,$B$4:$B246,B246,$J$4:$J246,"&gt;"&amp;0),""))</f>
        <v/>
      </c>
      <c r="L246" s="4" t="n"/>
    </row>
    <row r="247" ht="14" customHeight="1" s="72">
      <c r="A247" s="75" t="n">
        <v>46045</v>
      </c>
      <c r="B247" s="76" t="n">
        <v>16007</v>
      </c>
      <c r="C247" s="69">
        <f>IF(B247="","",IFERROR(INDEX(Client_List!$B:$B,MATCH(B247,Client_List!$A:$A,0)),"⚠ NOT FOUND"))</f>
        <v/>
      </c>
      <c r="D247" s="43" t="n">
        <v>494</v>
      </c>
      <c r="E247" s="32">
        <f>IF(B247="","",IFERROR(INDEX(Client_List!$C:$C,MATCH(VALUE(B247),Client_List!$A:$A,0)),""))</f>
        <v/>
      </c>
      <c r="F247" s="53">
        <f>IF(B247="","",IFERROR(INDEX(Client_List!$D:$D,MATCH(VALUE(B247),Client_List!$A:$A,0)),""))</f>
        <v/>
      </c>
      <c r="G247" s="53">
        <f>IF(B247="","",IFERROR(INDEX(Client_List!$K:$K,MATCH(VALUE(B247),Client_List!$A:$A,0)),""))</f>
        <v/>
      </c>
      <c r="H247" s="32">
        <f>IF(B247="","",IFERROR(INDEX(Client_List!$J:$J,MATCH(VALUE(B247),Client_List!$A:$A,0)),""))</f>
        <v/>
      </c>
      <c r="I247" s="70">
        <f>IF(B247="","",IFERROR(A247-LOOKUP(2,1/($B$4:$B246=B247),$A$4:$A246),""))</f>
        <v/>
      </c>
      <c r="J247" s="32">
        <f>IF(B247="","",IFERROR(D247/I247,""))</f>
        <v/>
      </c>
      <c r="K247" s="71">
        <f>IF(B247="","",IFERROR(AVERAGEIFS($J$4:$J247,$B$4:$B247,B247,$J$4:$J247,"&gt;"&amp;0),""))</f>
        <v/>
      </c>
      <c r="L247" s="7" t="n"/>
    </row>
    <row r="248" ht="14" customHeight="1" s="72">
      <c r="A248" s="75" t="n">
        <v>46045</v>
      </c>
      <c r="B248" s="76" t="n">
        <v>16009</v>
      </c>
      <c r="C248" s="69">
        <f>IF(B248="","",IFERROR(INDEX(Client_List!$B:$B,MATCH(B248,Client_List!$A:$A,0)),"⚠ NOT FOUND"))</f>
        <v/>
      </c>
      <c r="D248" s="43" t="n">
        <v>1484</v>
      </c>
      <c r="E248" s="32">
        <f>IF(B248="","",IFERROR(INDEX(Client_List!$C:$C,MATCH(VALUE(B248),Client_List!$A:$A,0)),""))</f>
        <v/>
      </c>
      <c r="F248" s="53">
        <f>IF(B248="","",IFERROR(INDEX(Client_List!$D:$D,MATCH(VALUE(B248),Client_List!$A:$A,0)),""))</f>
        <v/>
      </c>
      <c r="G248" s="53">
        <f>IF(B248="","",IFERROR(INDEX(Client_List!$K:$K,MATCH(VALUE(B248),Client_List!$A:$A,0)),""))</f>
        <v/>
      </c>
      <c r="H248" s="32">
        <f>IF(B248="","",IFERROR(INDEX(Client_List!$J:$J,MATCH(VALUE(B248),Client_List!$A:$A,0)),""))</f>
        <v/>
      </c>
      <c r="I248" s="70">
        <f>IF(B248="","",IFERROR(A248-LOOKUP(2,1/($B$4:$B247=B248),$A$4:$A247),""))</f>
        <v/>
      </c>
      <c r="J248" s="32">
        <f>IF(B248="","",IFERROR(D248/I248,""))</f>
        <v/>
      </c>
      <c r="K248" s="71">
        <f>IF(B248="","",IFERROR(AVERAGEIFS($J$4:$J248,$B$4:$B248,B248,$J$4:$J248,"&gt;"&amp;0),""))</f>
        <v/>
      </c>
      <c r="L248" s="4" t="n"/>
    </row>
    <row r="249" ht="14" customHeight="1" s="72">
      <c r="A249" s="75" t="n">
        <v>46045</v>
      </c>
      <c r="B249" s="76" t="n">
        <v>16019</v>
      </c>
      <c r="C249" s="69">
        <f>IF(B249="","",IFERROR(INDEX(Client_List!$B:$B,MATCH(B249,Client_List!$A:$A,0)),"⚠ NOT FOUND"))</f>
        <v/>
      </c>
      <c r="D249" s="43" t="n">
        <v>779</v>
      </c>
      <c r="E249" s="32">
        <f>IF(B249="","",IFERROR(INDEX(Client_List!$C:$C,MATCH(VALUE(B249),Client_List!$A:$A,0)),""))</f>
        <v/>
      </c>
      <c r="F249" s="53">
        <f>IF(B249="","",IFERROR(INDEX(Client_List!$D:$D,MATCH(VALUE(B249),Client_List!$A:$A,0)),""))</f>
        <v/>
      </c>
      <c r="G249" s="53">
        <f>IF(B249="","",IFERROR(INDEX(Client_List!$K:$K,MATCH(VALUE(B249),Client_List!$A:$A,0)),""))</f>
        <v/>
      </c>
      <c r="H249" s="32">
        <f>IF(B249="","",IFERROR(INDEX(Client_List!$J:$J,MATCH(VALUE(B249),Client_List!$A:$A,0)),""))</f>
        <v/>
      </c>
      <c r="I249" s="70">
        <f>IF(B249="","",IFERROR(A249-LOOKUP(2,1/($B$4:$B248=B249),$A$4:$A248),""))</f>
        <v/>
      </c>
      <c r="J249" s="32">
        <f>IF(B249="","",IFERROR(D249/I249,""))</f>
        <v/>
      </c>
      <c r="K249" s="71">
        <f>IF(B249="","",IFERROR(AVERAGEIFS($J$4:$J249,$B$4:$B249,B249,$J$4:$J249,"&gt;"&amp;0),""))</f>
        <v/>
      </c>
      <c r="L249" s="7" t="n"/>
    </row>
    <row r="250" ht="14" customHeight="1" s="72">
      <c r="A250" s="75" t="n">
        <v>46045</v>
      </c>
      <c r="B250" s="76" t="n">
        <v>18003</v>
      </c>
      <c r="C250" s="69">
        <f>IF(B250="","",IFERROR(INDEX(Client_List!$B:$B,MATCH(B250,Client_List!$A:$A,0)),"⚠ NOT FOUND"))</f>
        <v/>
      </c>
      <c r="D250" s="43" t="n">
        <v>387</v>
      </c>
      <c r="E250" s="32">
        <f>IF(B250="","",IFERROR(INDEX(Client_List!$C:$C,MATCH(VALUE(B250),Client_List!$A:$A,0)),""))</f>
        <v/>
      </c>
      <c r="F250" s="53">
        <f>IF(B250="","",IFERROR(INDEX(Client_List!$D:$D,MATCH(VALUE(B250),Client_List!$A:$A,0)),""))</f>
        <v/>
      </c>
      <c r="G250" s="53">
        <f>IF(B250="","",IFERROR(INDEX(Client_List!$K:$K,MATCH(VALUE(B250),Client_List!$A:$A,0)),""))</f>
        <v/>
      </c>
      <c r="H250" s="32">
        <f>IF(B250="","",IFERROR(INDEX(Client_List!$J:$J,MATCH(VALUE(B250),Client_List!$A:$A,0)),""))</f>
        <v/>
      </c>
      <c r="I250" s="70">
        <f>IF(B250="","",IFERROR(A250-LOOKUP(2,1/($B$4:$B249=B250),$A$4:$A249),""))</f>
        <v/>
      </c>
      <c r="J250" s="32">
        <f>IF(B250="","",IFERROR(D250/I250,""))</f>
        <v/>
      </c>
      <c r="K250" s="71">
        <f>IF(B250="","",IFERROR(AVERAGEIFS($J$4:$J250,$B$4:$B250,B250,$J$4:$J250,"&gt;"&amp;0),""))</f>
        <v/>
      </c>
      <c r="L250" s="4" t="n"/>
    </row>
    <row r="251" ht="14" customHeight="1" s="72">
      <c r="A251" s="75" t="n">
        <v>46045</v>
      </c>
      <c r="B251" s="76" t="n">
        <v>18031</v>
      </c>
      <c r="C251" s="69">
        <f>IF(B251="","",IFERROR(INDEX(Client_List!$B:$B,MATCH(B251,Client_List!$A:$A,0)),"⚠ NOT FOUND"))</f>
        <v/>
      </c>
      <c r="D251" s="43" t="n">
        <v>421</v>
      </c>
      <c r="E251" s="32">
        <f>IF(B251="","",IFERROR(INDEX(Client_List!$C:$C,MATCH(VALUE(B251),Client_List!$A:$A,0)),""))</f>
        <v/>
      </c>
      <c r="F251" s="53">
        <f>IF(B251="","",IFERROR(INDEX(Client_List!$D:$D,MATCH(VALUE(B251),Client_List!$A:$A,0)),""))</f>
        <v/>
      </c>
      <c r="G251" s="53">
        <f>IF(B251="","",IFERROR(INDEX(Client_List!$K:$K,MATCH(VALUE(B251),Client_List!$A:$A,0)),""))</f>
        <v/>
      </c>
      <c r="H251" s="32">
        <f>IF(B251="","",IFERROR(INDEX(Client_List!$J:$J,MATCH(VALUE(B251),Client_List!$A:$A,0)),""))</f>
        <v/>
      </c>
      <c r="I251" s="70">
        <f>IF(B251="","",IFERROR(A251-LOOKUP(2,1/($B$4:$B250=B251),$A$4:$A250),""))</f>
        <v/>
      </c>
      <c r="J251" s="32">
        <f>IF(B251="","",IFERROR(D251/I251,""))</f>
        <v/>
      </c>
      <c r="K251" s="71">
        <f>IF(B251="","",IFERROR(AVERAGEIFS($J$4:$J251,$B$4:$B251,B251,$J$4:$J251,"&gt;"&amp;0),""))</f>
        <v/>
      </c>
      <c r="L251" s="7" t="n"/>
    </row>
    <row r="252" ht="14" customHeight="1" s="72">
      <c r="A252" s="75" t="n">
        <v>46045</v>
      </c>
      <c r="B252" s="76" t="n">
        <v>19035</v>
      </c>
      <c r="C252" s="69">
        <f>IF(B252="","",IFERROR(INDEX(Client_List!$B:$B,MATCH(B252,Client_List!$A:$A,0)),"⚠ NOT FOUND"))</f>
        <v/>
      </c>
      <c r="D252" s="43" t="n">
        <v>138</v>
      </c>
      <c r="E252" s="32">
        <f>IF(B252="","",IFERROR(INDEX(Client_List!$C:$C,MATCH(VALUE(B252),Client_List!$A:$A,0)),""))</f>
        <v/>
      </c>
      <c r="F252" s="53">
        <f>IF(B252="","",IFERROR(INDEX(Client_List!$D:$D,MATCH(VALUE(B252),Client_List!$A:$A,0)),""))</f>
        <v/>
      </c>
      <c r="G252" s="53">
        <f>IF(B252="","",IFERROR(INDEX(Client_List!$K:$K,MATCH(VALUE(B252),Client_List!$A:$A,0)),""))</f>
        <v/>
      </c>
      <c r="H252" s="32">
        <f>IF(B252="","",IFERROR(INDEX(Client_List!$J:$J,MATCH(VALUE(B252),Client_List!$A:$A,0)),""))</f>
        <v/>
      </c>
      <c r="I252" s="70">
        <f>IF(B252="","",IFERROR(A252-LOOKUP(2,1/($B$4:$B251=B252),$A$4:$A251),""))</f>
        <v/>
      </c>
      <c r="J252" s="32">
        <f>IF(B252="","",IFERROR(D252/I252,""))</f>
        <v/>
      </c>
      <c r="K252" s="71">
        <f>IF(B252="","",IFERROR(AVERAGEIFS($J$4:$J252,$B$4:$B252,B252,$J$4:$J252,"&gt;"&amp;0),""))</f>
        <v/>
      </c>
      <c r="L252" s="4" t="n"/>
    </row>
    <row r="253" ht="14" customHeight="1" s="72">
      <c r="A253" s="75" t="n">
        <v>46045</v>
      </c>
      <c r="B253" s="76" t="n">
        <v>19081</v>
      </c>
      <c r="C253" s="69">
        <f>IF(B253="","",IFERROR(INDEX(Client_List!$B:$B,MATCH(B253,Client_List!$A:$A,0)),"⚠ NOT FOUND"))</f>
        <v/>
      </c>
      <c r="D253" s="43" t="n">
        <v>403</v>
      </c>
      <c r="E253" s="32">
        <f>IF(B253="","",IFERROR(INDEX(Client_List!$C:$C,MATCH(VALUE(B253),Client_List!$A:$A,0)),""))</f>
        <v/>
      </c>
      <c r="F253" s="53">
        <f>IF(B253="","",IFERROR(INDEX(Client_List!$D:$D,MATCH(VALUE(B253),Client_List!$A:$A,0)),""))</f>
        <v/>
      </c>
      <c r="G253" s="53">
        <f>IF(B253="","",IFERROR(INDEX(Client_List!$K:$K,MATCH(VALUE(B253),Client_List!$A:$A,0)),""))</f>
        <v/>
      </c>
      <c r="H253" s="32">
        <f>IF(B253="","",IFERROR(INDEX(Client_List!$J:$J,MATCH(VALUE(B253),Client_List!$A:$A,0)),""))</f>
        <v/>
      </c>
      <c r="I253" s="70">
        <f>IF(B253="","",IFERROR(A253-LOOKUP(2,1/($B$4:$B252=B253),$A$4:$A252),""))</f>
        <v/>
      </c>
      <c r="J253" s="32">
        <f>IF(B253="","",IFERROR(D253/I253,""))</f>
        <v/>
      </c>
      <c r="K253" s="71">
        <f>IF(B253="","",IFERROR(AVERAGEIFS($J$4:$J253,$B$4:$B253,B253,$J$4:$J253,"&gt;"&amp;0),""))</f>
        <v/>
      </c>
      <c r="L253" s="7" t="n"/>
    </row>
    <row r="254" ht="14" customHeight="1" s="72">
      <c r="A254" s="75" t="n">
        <v>46045</v>
      </c>
      <c r="B254" s="76" t="n">
        <v>19110</v>
      </c>
      <c r="C254" s="69">
        <f>IF(B254="","",IFERROR(INDEX(Client_List!$B:$B,MATCH(B254,Client_List!$A:$A,0)),"⚠ NOT FOUND"))</f>
        <v/>
      </c>
      <c r="D254" s="43" t="n">
        <v>330</v>
      </c>
      <c r="E254" s="32">
        <f>IF(B254="","",IFERROR(INDEX(Client_List!$C:$C,MATCH(VALUE(B254),Client_List!$A:$A,0)),""))</f>
        <v/>
      </c>
      <c r="F254" s="53">
        <f>IF(B254="","",IFERROR(INDEX(Client_List!$D:$D,MATCH(VALUE(B254),Client_List!$A:$A,0)),""))</f>
        <v/>
      </c>
      <c r="G254" s="53">
        <f>IF(B254="","",IFERROR(INDEX(Client_List!$K:$K,MATCH(VALUE(B254),Client_List!$A:$A,0)),""))</f>
        <v/>
      </c>
      <c r="H254" s="32">
        <f>IF(B254="","",IFERROR(INDEX(Client_List!$J:$J,MATCH(VALUE(B254),Client_List!$A:$A,0)),""))</f>
        <v/>
      </c>
      <c r="I254" s="70">
        <f>IF(B254="","",IFERROR(A254-LOOKUP(2,1/($B$4:$B253=B254),$A$4:$A253),""))</f>
        <v/>
      </c>
      <c r="J254" s="32">
        <f>IF(B254="","",IFERROR(D254/I254,""))</f>
        <v/>
      </c>
      <c r="K254" s="71">
        <f>IF(B254="","",IFERROR(AVERAGEIFS($J$4:$J254,$B$4:$B254,B254,$J$4:$J254,"&gt;"&amp;0),""))</f>
        <v/>
      </c>
      <c r="L254" s="4" t="n"/>
    </row>
    <row r="255" ht="14" customHeight="1" s="72">
      <c r="A255" s="75" t="n">
        <v>46045</v>
      </c>
      <c r="B255" s="76" t="n">
        <v>19123</v>
      </c>
      <c r="C255" s="69">
        <f>IF(B255="","",IFERROR(INDEX(Client_List!$B:$B,MATCH(B255,Client_List!$A:$A,0)),"⚠ NOT FOUND"))</f>
        <v/>
      </c>
      <c r="D255" s="43" t="n">
        <v>330</v>
      </c>
      <c r="E255" s="32">
        <f>IF(B255="","",IFERROR(INDEX(Client_List!$C:$C,MATCH(VALUE(B255),Client_List!$A:$A,0)),""))</f>
        <v/>
      </c>
      <c r="F255" s="53">
        <f>IF(B255="","",IFERROR(INDEX(Client_List!$D:$D,MATCH(VALUE(B255),Client_List!$A:$A,0)),""))</f>
        <v/>
      </c>
      <c r="G255" s="53">
        <f>IF(B255="","",IFERROR(INDEX(Client_List!$K:$K,MATCH(VALUE(B255),Client_List!$A:$A,0)),""))</f>
        <v/>
      </c>
      <c r="H255" s="32">
        <f>IF(B255="","",IFERROR(INDEX(Client_List!$J:$J,MATCH(VALUE(B255),Client_List!$A:$A,0)),""))</f>
        <v/>
      </c>
      <c r="I255" s="70">
        <f>IF(B255="","",IFERROR(A255-LOOKUP(2,1/($B$4:$B254=B255),$A$4:$A254),""))</f>
        <v/>
      </c>
      <c r="J255" s="32">
        <f>IF(B255="","",IFERROR(D255/I255,""))</f>
        <v/>
      </c>
      <c r="K255" s="71">
        <f>IF(B255="","",IFERROR(AVERAGEIFS($J$4:$J255,$B$4:$B255,B255,$J$4:$J255,"&gt;"&amp;0),""))</f>
        <v/>
      </c>
      <c r="L255" s="7" t="n"/>
    </row>
    <row r="256" ht="14" customHeight="1" s="72">
      <c r="A256" s="75" t="n">
        <v>46045</v>
      </c>
      <c r="B256" s="76" t="n">
        <v>20093</v>
      </c>
      <c r="C256" s="69">
        <f>IF(B256="","",IFERROR(INDEX(Client_List!$B:$B,MATCH(B256,Client_List!$A:$A,0)),"⚠ NOT FOUND"))</f>
        <v/>
      </c>
      <c r="D256" s="43" t="n">
        <v>1092</v>
      </c>
      <c r="E256" s="32">
        <f>IF(B256="","",IFERROR(INDEX(Client_List!$C:$C,MATCH(VALUE(B256),Client_List!$A:$A,0)),""))</f>
        <v/>
      </c>
      <c r="F256" s="53">
        <f>IF(B256="","",IFERROR(INDEX(Client_List!$D:$D,MATCH(VALUE(B256),Client_List!$A:$A,0)),""))</f>
        <v/>
      </c>
      <c r="G256" s="53">
        <f>IF(B256="","",IFERROR(INDEX(Client_List!$K:$K,MATCH(VALUE(B256),Client_List!$A:$A,0)),""))</f>
        <v/>
      </c>
      <c r="H256" s="32">
        <f>IF(B256="","",IFERROR(INDEX(Client_List!$J:$J,MATCH(VALUE(B256),Client_List!$A:$A,0)),""))</f>
        <v/>
      </c>
      <c r="I256" s="70">
        <f>IF(B256="","",IFERROR(A256-LOOKUP(2,1/($B$4:$B255=B256),$A$4:$A255),""))</f>
        <v/>
      </c>
      <c r="J256" s="32">
        <f>IF(B256="","",IFERROR(D256/I256,""))</f>
        <v/>
      </c>
      <c r="K256" s="71">
        <f>IF(B256="","",IFERROR(AVERAGEIFS($J$4:$J256,$B$4:$B256,B256,$J$4:$J256,"&gt;"&amp;0),""))</f>
        <v/>
      </c>
      <c r="L256" s="4" t="n"/>
    </row>
    <row r="257" ht="14" customHeight="1" s="72">
      <c r="A257" s="75" t="n">
        <v>46046</v>
      </c>
      <c r="B257" s="76" t="n">
        <v>2023</v>
      </c>
      <c r="C257" s="69">
        <f>IF(B257="","",IFERROR(INDEX(Client_List!$B:$B,MATCH(B257,Client_List!$A:$A,0)),"⚠ NOT FOUND"))</f>
        <v/>
      </c>
      <c r="D257" s="43" t="n">
        <v>549</v>
      </c>
      <c r="E257" s="32">
        <f>IF(B257="","",IFERROR(INDEX(Client_List!$C:$C,MATCH(VALUE(B257),Client_List!$A:$A,0)),""))</f>
        <v/>
      </c>
      <c r="F257" s="53">
        <f>IF(B257="","",IFERROR(INDEX(Client_List!$D:$D,MATCH(VALUE(B257),Client_List!$A:$A,0)),""))</f>
        <v/>
      </c>
      <c r="G257" s="53">
        <f>IF(B257="","",IFERROR(INDEX(Client_List!$K:$K,MATCH(VALUE(B257),Client_List!$A:$A,0)),""))</f>
        <v/>
      </c>
      <c r="H257" s="32">
        <f>IF(B257="","",IFERROR(INDEX(Client_List!$J:$J,MATCH(VALUE(B257),Client_List!$A:$A,0)),""))</f>
        <v/>
      </c>
      <c r="I257" s="70">
        <f>IF(B257="","",IFERROR(A257-LOOKUP(2,1/($B$4:$B256=B257),$A$4:$A256),""))</f>
        <v/>
      </c>
      <c r="J257" s="32">
        <f>IF(B257="","",IFERROR(D257/I257,""))</f>
        <v/>
      </c>
      <c r="K257" s="71">
        <f>IF(B257="","",IFERROR(AVERAGEIFS($J$4:$J257,$B$4:$B257,B257,$J$4:$J257,"&gt;"&amp;0),""))</f>
        <v/>
      </c>
      <c r="L257" s="7" t="n"/>
    </row>
    <row r="258" ht="14" customHeight="1" s="72">
      <c r="A258" s="75" t="n">
        <v>46046</v>
      </c>
      <c r="B258" s="76" t="n">
        <v>8031</v>
      </c>
      <c r="C258" s="69">
        <f>IF(B258="","",IFERROR(INDEX(Client_List!$B:$B,MATCH(B258,Client_List!$A:$A,0)),"⚠ NOT FOUND"))</f>
        <v/>
      </c>
      <c r="D258" s="43" t="n">
        <v>884</v>
      </c>
      <c r="E258" s="32">
        <f>IF(B258="","",IFERROR(INDEX(Client_List!$C:$C,MATCH(VALUE(B258),Client_List!$A:$A,0)),""))</f>
        <v/>
      </c>
      <c r="F258" s="53">
        <f>IF(B258="","",IFERROR(INDEX(Client_List!$D:$D,MATCH(VALUE(B258),Client_List!$A:$A,0)),""))</f>
        <v/>
      </c>
      <c r="G258" s="53">
        <f>IF(B258="","",IFERROR(INDEX(Client_List!$K:$K,MATCH(VALUE(B258),Client_List!$A:$A,0)),""))</f>
        <v/>
      </c>
      <c r="H258" s="32">
        <f>IF(B258="","",IFERROR(INDEX(Client_List!$J:$J,MATCH(VALUE(B258),Client_List!$A:$A,0)),""))</f>
        <v/>
      </c>
      <c r="I258" s="70">
        <f>IF(B258="","",IFERROR(A258-LOOKUP(2,1/($B$4:$B257=B258),$A$4:$A257),""))</f>
        <v/>
      </c>
      <c r="J258" s="32">
        <f>IF(B258="","",IFERROR(D258/I258,""))</f>
        <v/>
      </c>
      <c r="K258" s="71">
        <f>IF(B258="","",IFERROR(AVERAGEIFS($J$4:$J258,$B$4:$B258,B258,$J$4:$J258,"&gt;"&amp;0),""))</f>
        <v/>
      </c>
      <c r="L258" s="4" t="n"/>
    </row>
    <row r="259" ht="14" customHeight="1" s="72">
      <c r="A259" s="75" t="n">
        <v>46046</v>
      </c>
      <c r="B259" s="76" t="n">
        <v>11005</v>
      </c>
      <c r="C259" s="69">
        <f>IF(B259="","",IFERROR(INDEX(Client_List!$B:$B,MATCH(B259,Client_List!$A:$A,0)),"⚠ NOT FOUND"))</f>
        <v/>
      </c>
      <c r="D259" s="43" t="n">
        <v>690</v>
      </c>
      <c r="E259" s="32">
        <f>IF(B259="","",IFERROR(INDEX(Client_List!$C:$C,MATCH(VALUE(B259),Client_List!$A:$A,0)),""))</f>
        <v/>
      </c>
      <c r="F259" s="53">
        <f>IF(B259="","",IFERROR(INDEX(Client_List!$D:$D,MATCH(VALUE(B259),Client_List!$A:$A,0)),""))</f>
        <v/>
      </c>
      <c r="G259" s="53">
        <f>IF(B259="","",IFERROR(INDEX(Client_List!$K:$K,MATCH(VALUE(B259),Client_List!$A:$A,0)),""))</f>
        <v/>
      </c>
      <c r="H259" s="32">
        <f>IF(B259="","",IFERROR(INDEX(Client_List!$J:$J,MATCH(VALUE(B259),Client_List!$A:$A,0)),""))</f>
        <v/>
      </c>
      <c r="I259" s="70">
        <f>IF(B259="","",IFERROR(A259-LOOKUP(2,1/($B$4:$B258=B259),$A$4:$A258),""))</f>
        <v/>
      </c>
      <c r="J259" s="32">
        <f>IF(B259="","",IFERROR(D259/I259,""))</f>
        <v/>
      </c>
      <c r="K259" s="71">
        <f>IF(B259="","",IFERROR(AVERAGEIFS($J$4:$J259,$B$4:$B259,B259,$J$4:$J259,"&gt;"&amp;0),""))</f>
        <v/>
      </c>
      <c r="L259" s="7" t="n"/>
    </row>
    <row r="260" ht="14" customHeight="1" s="72">
      <c r="A260" s="75" t="n">
        <v>46046</v>
      </c>
      <c r="B260" s="76" t="n">
        <v>12021</v>
      </c>
      <c r="C260" s="69">
        <f>IF(B260="","",IFERROR(INDEX(Client_List!$B:$B,MATCH(B260,Client_List!$A:$A,0)),"⚠ NOT FOUND"))</f>
        <v/>
      </c>
      <c r="D260" s="43" t="n">
        <v>296</v>
      </c>
      <c r="E260" s="32">
        <f>IF(B260="","",IFERROR(INDEX(Client_List!$C:$C,MATCH(VALUE(B260),Client_List!$A:$A,0)),""))</f>
        <v/>
      </c>
      <c r="F260" s="53">
        <f>IF(B260="","",IFERROR(INDEX(Client_List!$D:$D,MATCH(VALUE(B260),Client_List!$A:$A,0)),""))</f>
        <v/>
      </c>
      <c r="G260" s="53">
        <f>IF(B260="","",IFERROR(INDEX(Client_List!$K:$K,MATCH(VALUE(B260),Client_List!$A:$A,0)),""))</f>
        <v/>
      </c>
      <c r="H260" s="32">
        <f>IF(B260="","",IFERROR(INDEX(Client_List!$J:$J,MATCH(VALUE(B260),Client_List!$A:$A,0)),""))</f>
        <v/>
      </c>
      <c r="I260" s="70">
        <f>IF(B260="","",IFERROR(A260-LOOKUP(2,1/($B$4:$B259=B260),$A$4:$A259),""))</f>
        <v/>
      </c>
      <c r="J260" s="32">
        <f>IF(B260="","",IFERROR(D260/I260,""))</f>
        <v/>
      </c>
      <c r="K260" s="71">
        <f>IF(B260="","",IFERROR(AVERAGEIFS($J$4:$J260,$B$4:$B260,B260,$J$4:$J260,"&gt;"&amp;0),""))</f>
        <v/>
      </c>
      <c r="L260" s="4" t="n"/>
    </row>
    <row r="261" ht="14" customHeight="1" s="72">
      <c r="A261" s="75" t="n">
        <v>46046</v>
      </c>
      <c r="B261" s="76" t="n">
        <v>15005</v>
      </c>
      <c r="C261" s="69">
        <f>IF(B261="","",IFERROR(INDEX(Client_List!$B:$B,MATCH(B261,Client_List!$A:$A,0)),"⚠ NOT FOUND"))</f>
        <v/>
      </c>
      <c r="D261" s="43" t="n">
        <v>490</v>
      </c>
      <c r="E261" s="32">
        <f>IF(B261="","",IFERROR(INDEX(Client_List!$C:$C,MATCH(VALUE(B261),Client_List!$A:$A,0)),""))</f>
        <v/>
      </c>
      <c r="F261" s="53">
        <f>IF(B261="","",IFERROR(INDEX(Client_List!$D:$D,MATCH(VALUE(B261),Client_List!$A:$A,0)),""))</f>
        <v/>
      </c>
      <c r="G261" s="53">
        <f>IF(B261="","",IFERROR(INDEX(Client_List!$K:$K,MATCH(VALUE(B261),Client_List!$A:$A,0)),""))</f>
        <v/>
      </c>
      <c r="H261" s="32">
        <f>IF(B261="","",IFERROR(INDEX(Client_List!$J:$J,MATCH(VALUE(B261),Client_List!$A:$A,0)),""))</f>
        <v/>
      </c>
      <c r="I261" s="70">
        <f>IF(B261="","",IFERROR(A261-LOOKUP(2,1/($B$4:$B260=B261),$A$4:$A260),""))</f>
        <v/>
      </c>
      <c r="J261" s="32">
        <f>IF(B261="","",IFERROR(D261/I261,""))</f>
        <v/>
      </c>
      <c r="K261" s="71">
        <f>IF(B261="","",IFERROR(AVERAGEIFS($J$4:$J261,$B$4:$B261,B261,$J$4:$J261,"&gt;"&amp;0),""))</f>
        <v/>
      </c>
      <c r="L261" s="7" t="n"/>
    </row>
    <row r="262" ht="14" customHeight="1" s="72">
      <c r="A262" s="75" t="n">
        <v>46046</v>
      </c>
      <c r="B262" s="76" t="n">
        <v>15032</v>
      </c>
      <c r="C262" s="69">
        <f>IF(B262="","",IFERROR(INDEX(Client_List!$B:$B,MATCH(B262,Client_List!$A:$A,0)),"⚠ NOT FOUND"))</f>
        <v/>
      </c>
      <c r="D262" s="43" t="n">
        <v>602</v>
      </c>
      <c r="E262" s="32">
        <f>IF(B262="","",IFERROR(INDEX(Client_List!$C:$C,MATCH(VALUE(B262),Client_List!$A:$A,0)),""))</f>
        <v/>
      </c>
      <c r="F262" s="53">
        <f>IF(B262="","",IFERROR(INDEX(Client_List!$D:$D,MATCH(VALUE(B262),Client_List!$A:$A,0)),""))</f>
        <v/>
      </c>
      <c r="G262" s="53">
        <f>IF(B262="","",IFERROR(INDEX(Client_List!$K:$K,MATCH(VALUE(B262),Client_List!$A:$A,0)),""))</f>
        <v/>
      </c>
      <c r="H262" s="32">
        <f>IF(B262="","",IFERROR(INDEX(Client_List!$J:$J,MATCH(VALUE(B262),Client_List!$A:$A,0)),""))</f>
        <v/>
      </c>
      <c r="I262" s="70">
        <f>IF(B262="","",IFERROR(A262-LOOKUP(2,1/($B$4:$B261=B262),$A$4:$A261),""))</f>
        <v/>
      </c>
      <c r="J262" s="32">
        <f>IF(B262="","",IFERROR(D262/I262,""))</f>
        <v/>
      </c>
      <c r="K262" s="71">
        <f>IF(B262="","",IFERROR(AVERAGEIFS($J$4:$J262,$B$4:$B262,B262,$J$4:$J262,"&gt;"&amp;0),""))</f>
        <v/>
      </c>
      <c r="L262" s="4" t="n"/>
    </row>
    <row r="263" ht="14" customHeight="1" s="72">
      <c r="A263" s="75" t="n">
        <v>46046</v>
      </c>
      <c r="B263" s="76" t="n">
        <v>16004</v>
      </c>
      <c r="C263" s="69">
        <f>IF(B263="","",IFERROR(INDEX(Client_List!$B:$B,MATCH(B263,Client_List!$A:$A,0)),"⚠ NOT FOUND"))</f>
        <v/>
      </c>
      <c r="D263" s="43" t="n">
        <v>756</v>
      </c>
      <c r="E263" s="32">
        <f>IF(B263="","",IFERROR(INDEX(Client_List!$C:$C,MATCH(VALUE(B263),Client_List!$A:$A,0)),""))</f>
        <v/>
      </c>
      <c r="F263" s="53">
        <f>IF(B263="","",IFERROR(INDEX(Client_List!$D:$D,MATCH(VALUE(B263),Client_List!$A:$A,0)),""))</f>
        <v/>
      </c>
      <c r="G263" s="53">
        <f>IF(B263="","",IFERROR(INDEX(Client_List!$K:$K,MATCH(VALUE(B263),Client_List!$A:$A,0)),""))</f>
        <v/>
      </c>
      <c r="H263" s="32">
        <f>IF(B263="","",IFERROR(INDEX(Client_List!$J:$J,MATCH(VALUE(B263),Client_List!$A:$A,0)),""))</f>
        <v/>
      </c>
      <c r="I263" s="70">
        <f>IF(B263="","",IFERROR(A263-LOOKUP(2,1/($B$4:$B262=B263),$A$4:$A262),""))</f>
        <v/>
      </c>
      <c r="J263" s="32">
        <f>IF(B263="","",IFERROR(D263/I263,""))</f>
        <v/>
      </c>
      <c r="K263" s="71">
        <f>IF(B263="","",IFERROR(AVERAGEIFS($J$4:$J263,$B$4:$B263,B263,$J$4:$J263,"&gt;"&amp;0),""))</f>
        <v/>
      </c>
      <c r="L263" s="7" t="n"/>
    </row>
    <row r="264" ht="14" customHeight="1" s="72">
      <c r="A264" s="75" t="n">
        <v>46046</v>
      </c>
      <c r="B264" s="76" t="n">
        <v>16010</v>
      </c>
      <c r="C264" s="69">
        <f>IF(B264="","",IFERROR(INDEX(Client_List!$B:$B,MATCH(B264,Client_List!$A:$A,0)),"⚠ NOT FOUND"))</f>
        <v/>
      </c>
      <c r="D264" s="43" t="n">
        <v>1679</v>
      </c>
      <c r="E264" s="32">
        <f>IF(B264="","",IFERROR(INDEX(Client_List!$C:$C,MATCH(VALUE(B264),Client_List!$A:$A,0)),""))</f>
        <v/>
      </c>
      <c r="F264" s="53">
        <f>IF(B264="","",IFERROR(INDEX(Client_List!$D:$D,MATCH(VALUE(B264),Client_List!$A:$A,0)),""))</f>
        <v/>
      </c>
      <c r="G264" s="53">
        <f>IF(B264="","",IFERROR(INDEX(Client_List!$K:$K,MATCH(VALUE(B264),Client_List!$A:$A,0)),""))</f>
        <v/>
      </c>
      <c r="H264" s="32">
        <f>IF(B264="","",IFERROR(INDEX(Client_List!$J:$J,MATCH(VALUE(B264),Client_List!$A:$A,0)),""))</f>
        <v/>
      </c>
      <c r="I264" s="70">
        <f>IF(B264="","",IFERROR(A264-LOOKUP(2,1/($B$4:$B263=B264),$A$4:$A263),""))</f>
        <v/>
      </c>
      <c r="J264" s="32">
        <f>IF(B264="","",IFERROR(D264/I264,""))</f>
        <v/>
      </c>
      <c r="K264" s="71">
        <f>IF(B264="","",IFERROR(AVERAGEIFS($J$4:$J264,$B$4:$B264,B264,$J$4:$J264,"&gt;"&amp;0),""))</f>
        <v/>
      </c>
      <c r="L264" s="4" t="n"/>
    </row>
    <row r="265" ht="14" customHeight="1" s="72">
      <c r="A265" s="75" t="n">
        <v>46046</v>
      </c>
      <c r="B265" s="76" t="n">
        <v>18051</v>
      </c>
      <c r="C265" s="69">
        <f>IF(B265="","",IFERROR(INDEX(Client_List!$B:$B,MATCH(B265,Client_List!$A:$A,0)),"⚠ NOT FOUND"))</f>
        <v/>
      </c>
      <c r="D265" s="43" t="n">
        <v>955</v>
      </c>
      <c r="E265" s="32">
        <f>IF(B265="","",IFERROR(INDEX(Client_List!$C:$C,MATCH(VALUE(B265),Client_List!$A:$A,0)),""))</f>
        <v/>
      </c>
      <c r="F265" s="53">
        <f>IF(B265="","",IFERROR(INDEX(Client_List!$D:$D,MATCH(VALUE(B265),Client_List!$A:$A,0)),""))</f>
        <v/>
      </c>
      <c r="G265" s="53">
        <f>IF(B265="","",IFERROR(INDEX(Client_List!$K:$K,MATCH(VALUE(B265),Client_List!$A:$A,0)),""))</f>
        <v/>
      </c>
      <c r="H265" s="32">
        <f>IF(B265="","",IFERROR(INDEX(Client_List!$J:$J,MATCH(VALUE(B265),Client_List!$A:$A,0)),""))</f>
        <v/>
      </c>
      <c r="I265" s="70">
        <f>IF(B265="","",IFERROR(A265-LOOKUP(2,1/($B$4:$B264=B265),$A$4:$A264),""))</f>
        <v/>
      </c>
      <c r="J265" s="32">
        <f>IF(B265="","",IFERROR(D265/I265,""))</f>
        <v/>
      </c>
      <c r="K265" s="71">
        <f>IF(B265="","",IFERROR(AVERAGEIFS($J$4:$J265,$B$4:$B265,B265,$J$4:$J265,"&gt;"&amp;0),""))</f>
        <v/>
      </c>
      <c r="L265" s="7" t="n"/>
    </row>
    <row r="266" ht="14" customHeight="1" s="72">
      <c r="A266" s="75" t="n">
        <v>46046</v>
      </c>
      <c r="B266" s="76" t="n">
        <v>19077</v>
      </c>
      <c r="C266" s="69">
        <f>IF(B266="","",IFERROR(INDEX(Client_List!$B:$B,MATCH(B266,Client_List!$A:$A,0)),"⚠ NOT FOUND"))</f>
        <v/>
      </c>
      <c r="D266" s="43" t="n">
        <v>1013</v>
      </c>
      <c r="E266" s="32">
        <f>IF(B266="","",IFERROR(INDEX(Client_List!$C:$C,MATCH(VALUE(B266),Client_List!$A:$A,0)),""))</f>
        <v/>
      </c>
      <c r="F266" s="53">
        <f>IF(B266="","",IFERROR(INDEX(Client_List!$D:$D,MATCH(VALUE(B266),Client_List!$A:$A,0)),""))</f>
        <v/>
      </c>
      <c r="G266" s="53">
        <f>IF(B266="","",IFERROR(INDEX(Client_List!$K:$K,MATCH(VALUE(B266),Client_List!$A:$A,0)),""))</f>
        <v/>
      </c>
      <c r="H266" s="32">
        <f>IF(B266="","",IFERROR(INDEX(Client_List!$J:$J,MATCH(VALUE(B266),Client_List!$A:$A,0)),""))</f>
        <v/>
      </c>
      <c r="I266" s="70">
        <f>IF(B266="","",IFERROR(A266-LOOKUP(2,1/($B$4:$B265=B266),$A$4:$A265),""))</f>
        <v/>
      </c>
      <c r="J266" s="32">
        <f>IF(B266="","",IFERROR(D266/I266,""))</f>
        <v/>
      </c>
      <c r="K266" s="71">
        <f>IF(B266="","",IFERROR(AVERAGEIFS($J$4:$J266,$B$4:$B266,B266,$J$4:$J266,"&gt;"&amp;0),""))</f>
        <v/>
      </c>
      <c r="L266" s="4" t="n"/>
    </row>
    <row r="267" ht="14" customHeight="1" s="72">
      <c r="A267" s="75" t="n">
        <v>46046</v>
      </c>
      <c r="B267" s="76" t="n">
        <v>20091</v>
      </c>
      <c r="C267" s="69">
        <f>IF(B267="","",IFERROR(INDEX(Client_List!$B:$B,MATCH(B267,Client_List!$A:$A,0)),"⚠ NOT FOUND"))</f>
        <v/>
      </c>
      <c r="D267" s="43" t="n">
        <v>1127</v>
      </c>
      <c r="E267" s="32">
        <f>IF(B267="","",IFERROR(INDEX(Client_List!$C:$C,MATCH(VALUE(B267),Client_List!$A:$A,0)),""))</f>
        <v/>
      </c>
      <c r="F267" s="53">
        <f>IF(B267="","",IFERROR(INDEX(Client_List!$D:$D,MATCH(VALUE(B267),Client_List!$A:$A,0)),""))</f>
        <v/>
      </c>
      <c r="G267" s="53">
        <f>IF(B267="","",IFERROR(INDEX(Client_List!$K:$K,MATCH(VALUE(B267),Client_List!$A:$A,0)),""))</f>
        <v/>
      </c>
      <c r="H267" s="32">
        <f>IF(B267="","",IFERROR(INDEX(Client_List!$J:$J,MATCH(VALUE(B267),Client_List!$A:$A,0)),""))</f>
        <v/>
      </c>
      <c r="I267" s="70">
        <f>IF(B267="","",IFERROR(A267-LOOKUP(2,1/($B$4:$B266=B267),$A$4:$A266),""))</f>
        <v/>
      </c>
      <c r="J267" s="32">
        <f>IF(B267="","",IFERROR(D267/I267,""))</f>
        <v/>
      </c>
      <c r="K267" s="71">
        <f>IF(B267="","",IFERROR(AVERAGEIFS($J$4:$J267,$B$4:$B267,B267,$J$4:$J267,"&gt;"&amp;0),""))</f>
        <v/>
      </c>
      <c r="L267" s="7" t="n"/>
    </row>
    <row r="268" ht="14" customHeight="1" s="72">
      <c r="A268" s="75" t="n">
        <v>46046</v>
      </c>
      <c r="B268" s="76" t="n">
        <v>20095</v>
      </c>
      <c r="C268" s="69">
        <f>IF(B268="","",IFERROR(INDEX(Client_List!$B:$B,MATCH(B268,Client_List!$A:$A,0)),"⚠ NOT FOUND"))</f>
        <v/>
      </c>
      <c r="D268" s="43" t="n">
        <v>849</v>
      </c>
      <c r="E268" s="32">
        <f>IF(B268="","",IFERROR(INDEX(Client_List!$C:$C,MATCH(VALUE(B268),Client_List!$A:$A,0)),""))</f>
        <v/>
      </c>
      <c r="F268" s="53">
        <f>IF(B268="","",IFERROR(INDEX(Client_List!$D:$D,MATCH(VALUE(B268),Client_List!$A:$A,0)),""))</f>
        <v/>
      </c>
      <c r="G268" s="53">
        <f>IF(B268="","",IFERROR(INDEX(Client_List!$K:$K,MATCH(VALUE(B268),Client_List!$A:$A,0)),""))</f>
        <v/>
      </c>
      <c r="H268" s="32">
        <f>IF(B268="","",IFERROR(INDEX(Client_List!$J:$J,MATCH(VALUE(B268),Client_List!$A:$A,0)),""))</f>
        <v/>
      </c>
      <c r="I268" s="70">
        <f>IF(B268="","",IFERROR(A268-LOOKUP(2,1/($B$4:$B267=B268),$A$4:$A267),""))</f>
        <v/>
      </c>
      <c r="J268" s="32">
        <f>IF(B268="","",IFERROR(D268/I268,""))</f>
        <v/>
      </c>
      <c r="K268" s="71">
        <f>IF(B268="","",IFERROR(AVERAGEIFS($J$4:$J268,$B$4:$B268,B268,$J$4:$J268,"&gt;"&amp;0),""))</f>
        <v/>
      </c>
      <c r="L268" s="4" t="n"/>
    </row>
    <row r="269" ht="14" customHeight="1" s="72">
      <c r="A269" s="75" t="n">
        <v>46046</v>
      </c>
      <c r="B269" s="76" t="n">
        <v>20098</v>
      </c>
      <c r="C269" s="69">
        <f>IF(B269="","",IFERROR(INDEX(Client_List!$B:$B,MATCH(B269,Client_List!$A:$A,0)),"⚠ NOT FOUND"))</f>
        <v/>
      </c>
      <c r="D269" s="43" t="n">
        <v>776</v>
      </c>
      <c r="E269" s="32">
        <f>IF(B269="","",IFERROR(INDEX(Client_List!$C:$C,MATCH(VALUE(B269),Client_List!$A:$A,0)),""))</f>
        <v/>
      </c>
      <c r="F269" s="53">
        <f>IF(B269="","",IFERROR(INDEX(Client_List!$D:$D,MATCH(VALUE(B269),Client_List!$A:$A,0)),""))</f>
        <v/>
      </c>
      <c r="G269" s="53">
        <f>IF(B269="","",IFERROR(INDEX(Client_List!$K:$K,MATCH(VALUE(B269),Client_List!$A:$A,0)),""))</f>
        <v/>
      </c>
      <c r="H269" s="32">
        <f>IF(B269="","",IFERROR(INDEX(Client_List!$J:$J,MATCH(VALUE(B269),Client_List!$A:$A,0)),""))</f>
        <v/>
      </c>
      <c r="I269" s="70">
        <f>IF(B269="","",IFERROR(A269-LOOKUP(2,1/($B$4:$B268=B269),$A$4:$A268),""))</f>
        <v/>
      </c>
      <c r="J269" s="32">
        <f>IF(B269="","",IFERROR(D269/I269,""))</f>
        <v/>
      </c>
      <c r="K269" s="71">
        <f>IF(B269="","",IFERROR(AVERAGEIFS($J$4:$J269,$B$4:$B269,B269,$J$4:$J269,"&gt;"&amp;0),""))</f>
        <v/>
      </c>
      <c r="L269" s="7" t="n"/>
    </row>
    <row r="270" ht="14" customHeight="1" s="72">
      <c r="A270" s="75" t="n">
        <v>46047</v>
      </c>
      <c r="B270" s="76" t="n">
        <v>1014</v>
      </c>
      <c r="C270" s="69">
        <f>IF(B270="","",IFERROR(INDEX(Client_List!$B:$B,MATCH(B270,Client_List!$A:$A,0)),"⚠ NOT FOUND"))</f>
        <v/>
      </c>
      <c r="D270" s="43" t="n">
        <v>636</v>
      </c>
      <c r="E270" s="32">
        <f>IF(B270="","",IFERROR(INDEX(Client_List!$C:$C,MATCH(VALUE(B270),Client_List!$A:$A,0)),""))</f>
        <v/>
      </c>
      <c r="F270" s="53">
        <f>IF(B270="","",IFERROR(INDEX(Client_List!$D:$D,MATCH(VALUE(B270),Client_List!$A:$A,0)),""))</f>
        <v/>
      </c>
      <c r="G270" s="53">
        <f>IF(B270="","",IFERROR(INDEX(Client_List!$K:$K,MATCH(VALUE(B270),Client_List!$A:$A,0)),""))</f>
        <v/>
      </c>
      <c r="H270" s="32">
        <f>IF(B270="","",IFERROR(INDEX(Client_List!$J:$J,MATCH(VALUE(B270),Client_List!$A:$A,0)),""))</f>
        <v/>
      </c>
      <c r="I270" s="70">
        <f>IF(B270="","",IFERROR(A270-LOOKUP(2,1/($B$4:$B269=B270),$A$4:$A269),""))</f>
        <v/>
      </c>
      <c r="J270" s="32">
        <f>IF(B270="","",IFERROR(D270/I270,""))</f>
        <v/>
      </c>
      <c r="K270" s="71">
        <f>IF(B270="","",IFERROR(AVERAGEIFS($J$4:$J270,$B$4:$B270,B270,$J$4:$J270,"&gt;"&amp;0),""))</f>
        <v/>
      </c>
      <c r="L270" s="4" t="n"/>
    </row>
    <row r="271" ht="14" customHeight="1" s="72">
      <c r="A271" s="75" t="n">
        <v>46047</v>
      </c>
      <c r="B271" s="76" t="n">
        <v>2045</v>
      </c>
      <c r="C271" s="69">
        <f>IF(B271="","",IFERROR(INDEX(Client_List!$B:$B,MATCH(B271,Client_List!$A:$A,0)),"⚠ NOT FOUND"))</f>
        <v/>
      </c>
      <c r="D271" s="43" t="n">
        <v>273</v>
      </c>
      <c r="E271" s="32">
        <f>IF(B271="","",IFERROR(INDEX(Client_List!$C:$C,MATCH(VALUE(B271),Client_List!$A:$A,0)),""))</f>
        <v/>
      </c>
      <c r="F271" s="53">
        <f>IF(B271="","",IFERROR(INDEX(Client_List!$D:$D,MATCH(VALUE(B271),Client_List!$A:$A,0)),""))</f>
        <v/>
      </c>
      <c r="G271" s="53">
        <f>IF(B271="","",IFERROR(INDEX(Client_List!$K:$K,MATCH(VALUE(B271),Client_List!$A:$A,0)),""))</f>
        <v/>
      </c>
      <c r="H271" s="32">
        <f>IF(B271="","",IFERROR(INDEX(Client_List!$J:$J,MATCH(VALUE(B271),Client_List!$A:$A,0)),""))</f>
        <v/>
      </c>
      <c r="I271" s="70">
        <f>IF(B271="","",IFERROR(A271-LOOKUP(2,1/($B$4:$B270=B271),$A$4:$A270),""))</f>
        <v/>
      </c>
      <c r="J271" s="32">
        <f>IF(B271="","",IFERROR(D271/I271,""))</f>
        <v/>
      </c>
      <c r="K271" s="71">
        <f>IF(B271="","",IFERROR(AVERAGEIFS($J$4:$J271,$B$4:$B271,B271,$J$4:$J271,"&gt;"&amp;0),""))</f>
        <v/>
      </c>
      <c r="L271" s="7" t="n"/>
    </row>
    <row r="272" ht="14" customHeight="1" s="72">
      <c r="A272" s="75" t="n">
        <v>46047</v>
      </c>
      <c r="B272" s="76" t="n">
        <v>5006</v>
      </c>
      <c r="C272" s="69">
        <f>IF(B272="","",IFERROR(INDEX(Client_List!$B:$B,MATCH(B272,Client_List!$A:$A,0)),"⚠ NOT FOUND"))</f>
        <v/>
      </c>
      <c r="D272" s="43" t="n">
        <v>406</v>
      </c>
      <c r="E272" s="32">
        <f>IF(B272="","",IFERROR(INDEX(Client_List!$C:$C,MATCH(VALUE(B272),Client_List!$A:$A,0)),""))</f>
        <v/>
      </c>
      <c r="F272" s="53">
        <f>IF(B272="","",IFERROR(INDEX(Client_List!$D:$D,MATCH(VALUE(B272),Client_List!$A:$A,0)),""))</f>
        <v/>
      </c>
      <c r="G272" s="53">
        <f>IF(B272="","",IFERROR(INDEX(Client_List!$K:$K,MATCH(VALUE(B272),Client_List!$A:$A,0)),""))</f>
        <v/>
      </c>
      <c r="H272" s="32">
        <f>IF(B272="","",IFERROR(INDEX(Client_List!$J:$J,MATCH(VALUE(B272),Client_List!$A:$A,0)),""))</f>
        <v/>
      </c>
      <c r="I272" s="70">
        <f>IF(B272="","",IFERROR(A272-LOOKUP(2,1/($B$4:$B271=B272),$A$4:$A271),""))</f>
        <v/>
      </c>
      <c r="J272" s="32">
        <f>IF(B272="","",IFERROR(D272/I272,""))</f>
        <v/>
      </c>
      <c r="K272" s="71">
        <f>IF(B272="","",IFERROR(AVERAGEIFS($J$4:$J272,$B$4:$B272,B272,$J$4:$J272,"&gt;"&amp;0),""))</f>
        <v/>
      </c>
      <c r="L272" s="4" t="n"/>
    </row>
    <row r="273" ht="14" customHeight="1" s="72">
      <c r="A273" s="75" t="n">
        <v>46047</v>
      </c>
      <c r="B273" s="76" t="n">
        <v>7002</v>
      </c>
      <c r="C273" s="69">
        <f>IF(B273="","",IFERROR(INDEX(Client_List!$B:$B,MATCH(B273,Client_List!$A:$A,0)),"⚠ NOT FOUND"))</f>
        <v/>
      </c>
      <c r="D273" s="43" t="n">
        <v>446</v>
      </c>
      <c r="E273" s="32">
        <f>IF(B273="","",IFERROR(INDEX(Client_List!$C:$C,MATCH(VALUE(B273),Client_List!$A:$A,0)),""))</f>
        <v/>
      </c>
      <c r="F273" s="53">
        <f>IF(B273="","",IFERROR(INDEX(Client_List!$D:$D,MATCH(VALUE(B273),Client_List!$A:$A,0)),""))</f>
        <v/>
      </c>
      <c r="G273" s="53">
        <f>IF(B273="","",IFERROR(INDEX(Client_List!$K:$K,MATCH(VALUE(B273),Client_List!$A:$A,0)),""))</f>
        <v/>
      </c>
      <c r="H273" s="32">
        <f>IF(B273="","",IFERROR(INDEX(Client_List!$J:$J,MATCH(VALUE(B273),Client_List!$A:$A,0)),""))</f>
        <v/>
      </c>
      <c r="I273" s="70">
        <f>IF(B273="","",IFERROR(A273-LOOKUP(2,1/($B$4:$B272=B273),$A$4:$A272),""))</f>
        <v/>
      </c>
      <c r="J273" s="32">
        <f>IF(B273="","",IFERROR(D273/I273,""))</f>
        <v/>
      </c>
      <c r="K273" s="71">
        <f>IF(B273="","",IFERROR(AVERAGEIFS($J$4:$J273,$B$4:$B273,B273,$J$4:$J273,"&gt;"&amp;0),""))</f>
        <v/>
      </c>
      <c r="L273" s="7" t="n"/>
    </row>
    <row r="274" ht="14" customHeight="1" s="72">
      <c r="A274" s="75" t="n">
        <v>46047</v>
      </c>
      <c r="B274" s="76" t="n">
        <v>13057</v>
      </c>
      <c r="C274" s="69">
        <f>IF(B274="","",IFERROR(INDEX(Client_List!$B:$B,MATCH(B274,Client_List!$A:$A,0)),"⚠ NOT FOUND"))</f>
        <v/>
      </c>
      <c r="D274" s="43" t="n">
        <v>540</v>
      </c>
      <c r="E274" s="32">
        <f>IF(B274="","",IFERROR(INDEX(Client_List!$C:$C,MATCH(VALUE(B274),Client_List!$A:$A,0)),""))</f>
        <v/>
      </c>
      <c r="F274" s="53">
        <f>IF(B274="","",IFERROR(INDEX(Client_List!$D:$D,MATCH(VALUE(B274),Client_List!$A:$A,0)),""))</f>
        <v/>
      </c>
      <c r="G274" s="53">
        <f>IF(B274="","",IFERROR(INDEX(Client_List!$K:$K,MATCH(VALUE(B274),Client_List!$A:$A,0)),""))</f>
        <v/>
      </c>
      <c r="H274" s="32">
        <f>IF(B274="","",IFERROR(INDEX(Client_List!$J:$J,MATCH(VALUE(B274),Client_List!$A:$A,0)),""))</f>
        <v/>
      </c>
      <c r="I274" s="70">
        <f>IF(B274="","",IFERROR(A274-LOOKUP(2,1/($B$4:$B273=B274),$A$4:$A273),""))</f>
        <v/>
      </c>
      <c r="J274" s="32">
        <f>IF(B274="","",IFERROR(D274/I274,""))</f>
        <v/>
      </c>
      <c r="K274" s="71">
        <f>IF(B274="","",IFERROR(AVERAGEIFS($J$4:$J274,$B$4:$B274,B274,$J$4:$J274,"&gt;"&amp;0),""))</f>
        <v/>
      </c>
      <c r="L274" s="4" t="n"/>
    </row>
    <row r="275" ht="14" customHeight="1" s="72">
      <c r="A275" s="75" t="n">
        <v>46047</v>
      </c>
      <c r="B275" s="76" t="n">
        <v>15009</v>
      </c>
      <c r="C275" s="69">
        <f>IF(B275="","",IFERROR(INDEX(Client_List!$B:$B,MATCH(B275,Client_List!$A:$A,0)),"⚠ NOT FOUND"))</f>
        <v/>
      </c>
      <c r="D275" s="43" t="n">
        <v>253</v>
      </c>
      <c r="E275" s="32">
        <f>IF(B275="","",IFERROR(INDEX(Client_List!$C:$C,MATCH(VALUE(B275),Client_List!$A:$A,0)),""))</f>
        <v/>
      </c>
      <c r="F275" s="53">
        <f>IF(B275="","",IFERROR(INDEX(Client_List!$D:$D,MATCH(VALUE(B275),Client_List!$A:$A,0)),""))</f>
        <v/>
      </c>
      <c r="G275" s="53">
        <f>IF(B275="","",IFERROR(INDEX(Client_List!$K:$K,MATCH(VALUE(B275),Client_List!$A:$A,0)),""))</f>
        <v/>
      </c>
      <c r="H275" s="32">
        <f>IF(B275="","",IFERROR(INDEX(Client_List!$J:$J,MATCH(VALUE(B275),Client_List!$A:$A,0)),""))</f>
        <v/>
      </c>
      <c r="I275" s="70">
        <f>IF(B275="","",IFERROR(A275-LOOKUP(2,1/($B$4:$B274=B275),$A$4:$A274),""))</f>
        <v/>
      </c>
      <c r="J275" s="32">
        <f>IF(B275="","",IFERROR(D275/I275,""))</f>
        <v/>
      </c>
      <c r="K275" s="71">
        <f>IF(B275="","",IFERROR(AVERAGEIFS($J$4:$J275,$B$4:$B275,B275,$J$4:$J275,"&gt;"&amp;0),""))</f>
        <v/>
      </c>
      <c r="L275" s="7" t="n"/>
    </row>
    <row r="276" ht="14" customHeight="1" s="72">
      <c r="A276" s="75" t="n">
        <v>46047</v>
      </c>
      <c r="B276" s="76" t="n">
        <v>15020</v>
      </c>
      <c r="C276" s="69">
        <f>IF(B276="","",IFERROR(INDEX(Client_List!$B:$B,MATCH(B276,Client_List!$A:$A,0)),"⚠ NOT FOUND"))</f>
        <v/>
      </c>
      <c r="D276" s="43" t="n">
        <v>180</v>
      </c>
      <c r="E276" s="32">
        <f>IF(B276="","",IFERROR(INDEX(Client_List!$C:$C,MATCH(VALUE(B276),Client_List!$A:$A,0)),""))</f>
        <v/>
      </c>
      <c r="F276" s="53">
        <f>IF(B276="","",IFERROR(INDEX(Client_List!$D:$D,MATCH(VALUE(B276),Client_List!$A:$A,0)),""))</f>
        <v/>
      </c>
      <c r="G276" s="53">
        <f>IF(B276="","",IFERROR(INDEX(Client_List!$K:$K,MATCH(VALUE(B276),Client_List!$A:$A,0)),""))</f>
        <v/>
      </c>
      <c r="H276" s="32">
        <f>IF(B276="","",IFERROR(INDEX(Client_List!$J:$J,MATCH(VALUE(B276),Client_List!$A:$A,0)),""))</f>
        <v/>
      </c>
      <c r="I276" s="70">
        <f>IF(B276="","",IFERROR(A276-LOOKUP(2,1/($B$4:$B275=B276),$A$4:$A275),""))</f>
        <v/>
      </c>
      <c r="J276" s="32">
        <f>IF(B276="","",IFERROR(D276/I276,""))</f>
        <v/>
      </c>
      <c r="K276" s="71">
        <f>IF(B276="","",IFERROR(AVERAGEIFS($J$4:$J276,$B$4:$B276,B276,$J$4:$J276,"&gt;"&amp;0),""))</f>
        <v/>
      </c>
      <c r="L276" s="4" t="n"/>
    </row>
    <row r="277" ht="14" customHeight="1" s="72">
      <c r="A277" s="75" t="n">
        <v>46047</v>
      </c>
      <c r="B277" s="76" t="n">
        <v>15024</v>
      </c>
      <c r="C277" s="69">
        <f>IF(B277="","",IFERROR(INDEX(Client_List!$B:$B,MATCH(B277,Client_List!$A:$A,0)),"⚠ NOT FOUND"))</f>
        <v/>
      </c>
      <c r="D277" s="43" t="n">
        <v>173</v>
      </c>
      <c r="E277" s="32">
        <f>IF(B277="","",IFERROR(INDEX(Client_List!$C:$C,MATCH(VALUE(B277),Client_List!$A:$A,0)),""))</f>
        <v/>
      </c>
      <c r="F277" s="53">
        <f>IF(B277="","",IFERROR(INDEX(Client_List!$D:$D,MATCH(VALUE(B277),Client_List!$A:$A,0)),""))</f>
        <v/>
      </c>
      <c r="G277" s="53">
        <f>IF(B277="","",IFERROR(INDEX(Client_List!$K:$K,MATCH(VALUE(B277),Client_List!$A:$A,0)),""))</f>
        <v/>
      </c>
      <c r="H277" s="32">
        <f>IF(B277="","",IFERROR(INDEX(Client_List!$J:$J,MATCH(VALUE(B277),Client_List!$A:$A,0)),""))</f>
        <v/>
      </c>
      <c r="I277" s="70">
        <f>IF(B277="","",IFERROR(A277-LOOKUP(2,1/($B$4:$B276=B277),$A$4:$A276),""))</f>
        <v/>
      </c>
      <c r="J277" s="32">
        <f>IF(B277="","",IFERROR(D277/I277,""))</f>
        <v/>
      </c>
      <c r="K277" s="71">
        <f>IF(B277="","",IFERROR(AVERAGEIFS($J$4:$J277,$B$4:$B277,B277,$J$4:$J277,"&gt;"&amp;0),""))</f>
        <v/>
      </c>
      <c r="L277" s="7" t="n"/>
    </row>
    <row r="278" ht="14" customHeight="1" s="72">
      <c r="A278" s="75" t="n">
        <v>46047</v>
      </c>
      <c r="B278" s="76" t="n">
        <v>15051</v>
      </c>
      <c r="C278" s="69">
        <f>IF(B278="","",IFERROR(INDEX(Client_List!$B:$B,MATCH(B278,Client_List!$A:$A,0)),"⚠ NOT FOUND"))</f>
        <v/>
      </c>
      <c r="D278" s="43" t="n">
        <v>250</v>
      </c>
      <c r="E278" s="32">
        <f>IF(B278="","",IFERROR(INDEX(Client_List!$C:$C,MATCH(VALUE(B278),Client_List!$A:$A,0)),""))</f>
        <v/>
      </c>
      <c r="F278" s="53">
        <f>IF(B278="","",IFERROR(INDEX(Client_List!$D:$D,MATCH(VALUE(B278),Client_List!$A:$A,0)),""))</f>
        <v/>
      </c>
      <c r="G278" s="53">
        <f>IF(B278="","",IFERROR(INDEX(Client_List!$K:$K,MATCH(VALUE(B278),Client_List!$A:$A,0)),""))</f>
        <v/>
      </c>
      <c r="H278" s="32">
        <f>IF(B278="","",IFERROR(INDEX(Client_List!$J:$J,MATCH(VALUE(B278),Client_List!$A:$A,0)),""))</f>
        <v/>
      </c>
      <c r="I278" s="70">
        <f>IF(B278="","",IFERROR(A278-LOOKUP(2,1/($B$4:$B277=B278),$A$4:$A277),""))</f>
        <v/>
      </c>
      <c r="J278" s="32">
        <f>IF(B278="","",IFERROR(D278/I278,""))</f>
        <v/>
      </c>
      <c r="K278" s="71">
        <f>IF(B278="","",IFERROR(AVERAGEIFS($J$4:$J278,$B$4:$B278,B278,$J$4:$J278,"&gt;"&amp;0),""))</f>
        <v/>
      </c>
      <c r="L278" s="4" t="n"/>
    </row>
    <row r="279" ht="14" customHeight="1" s="72">
      <c r="A279" s="75" t="n">
        <v>46047</v>
      </c>
      <c r="B279" s="76" t="n">
        <v>16003</v>
      </c>
      <c r="C279" s="69">
        <f>IF(B279="","",IFERROR(INDEX(Client_List!$B:$B,MATCH(B279,Client_List!$A:$A,0)),"⚠ NOT FOUND"))</f>
        <v/>
      </c>
      <c r="D279" s="43" t="n">
        <v>836</v>
      </c>
      <c r="E279" s="32">
        <f>IF(B279="","",IFERROR(INDEX(Client_List!$C:$C,MATCH(VALUE(B279),Client_List!$A:$A,0)),""))</f>
        <v/>
      </c>
      <c r="F279" s="53">
        <f>IF(B279="","",IFERROR(INDEX(Client_List!$D:$D,MATCH(VALUE(B279),Client_List!$A:$A,0)),""))</f>
        <v/>
      </c>
      <c r="G279" s="53">
        <f>IF(B279="","",IFERROR(INDEX(Client_List!$K:$K,MATCH(VALUE(B279),Client_List!$A:$A,0)),""))</f>
        <v/>
      </c>
      <c r="H279" s="32">
        <f>IF(B279="","",IFERROR(INDEX(Client_List!$J:$J,MATCH(VALUE(B279),Client_List!$A:$A,0)),""))</f>
        <v/>
      </c>
      <c r="I279" s="70">
        <f>IF(B279="","",IFERROR(A279-LOOKUP(2,1/($B$4:$B278=B279),$A$4:$A278),""))</f>
        <v/>
      </c>
      <c r="J279" s="32">
        <f>IF(B279="","",IFERROR(D279/I279,""))</f>
        <v/>
      </c>
      <c r="K279" s="71">
        <f>IF(B279="","",IFERROR(AVERAGEIFS($J$4:$J279,$B$4:$B279,B279,$J$4:$J279,"&gt;"&amp;0),""))</f>
        <v/>
      </c>
      <c r="L279" s="7" t="n"/>
    </row>
    <row r="280" ht="14" customHeight="1" s="72">
      <c r="A280" s="75" t="n">
        <v>46047</v>
      </c>
      <c r="B280" s="76" t="n">
        <v>18004</v>
      </c>
      <c r="C280" s="69">
        <f>IF(B280="","",IFERROR(INDEX(Client_List!$B:$B,MATCH(B280,Client_List!$A:$A,0)),"⚠ NOT FOUND"))</f>
        <v/>
      </c>
      <c r="D280" s="43" t="n">
        <v>650</v>
      </c>
      <c r="E280" s="32">
        <f>IF(B280="","",IFERROR(INDEX(Client_List!$C:$C,MATCH(VALUE(B280),Client_List!$A:$A,0)),""))</f>
        <v/>
      </c>
      <c r="F280" s="53">
        <f>IF(B280="","",IFERROR(INDEX(Client_List!$D:$D,MATCH(VALUE(B280),Client_List!$A:$A,0)),""))</f>
        <v/>
      </c>
      <c r="G280" s="53">
        <f>IF(B280="","",IFERROR(INDEX(Client_List!$K:$K,MATCH(VALUE(B280),Client_List!$A:$A,0)),""))</f>
        <v/>
      </c>
      <c r="H280" s="32">
        <f>IF(B280="","",IFERROR(INDEX(Client_List!$J:$J,MATCH(VALUE(B280),Client_List!$A:$A,0)),""))</f>
        <v/>
      </c>
      <c r="I280" s="70">
        <f>IF(B280="","",IFERROR(A280-LOOKUP(2,1/($B$4:$B279=B280),$A$4:$A279),""))</f>
        <v/>
      </c>
      <c r="J280" s="32">
        <f>IF(B280="","",IFERROR(D280/I280,""))</f>
        <v/>
      </c>
      <c r="K280" s="71">
        <f>IF(B280="","",IFERROR(AVERAGEIFS($J$4:$J280,$B$4:$B280,B280,$J$4:$J280,"&gt;"&amp;0),""))</f>
        <v/>
      </c>
      <c r="L280" s="4" t="n"/>
    </row>
    <row r="281" ht="14" customHeight="1" s="72">
      <c r="A281" s="75" t="n">
        <v>46048</v>
      </c>
      <c r="B281" s="76" t="n">
        <v>1013</v>
      </c>
      <c r="C281" s="69">
        <f>IF(B281="","",IFERROR(INDEX(Client_List!$B:$B,MATCH(B281,Client_List!$A:$A,0)),"⚠ NOT FOUND"))</f>
        <v/>
      </c>
      <c r="D281" s="43" t="n">
        <v>597</v>
      </c>
      <c r="E281" s="32">
        <f>IF(B281="","",IFERROR(INDEX(Client_List!$C:$C,MATCH(VALUE(B281),Client_List!$A:$A,0)),""))</f>
        <v/>
      </c>
      <c r="F281" s="53">
        <f>IF(B281="","",IFERROR(INDEX(Client_List!$D:$D,MATCH(VALUE(B281),Client_List!$A:$A,0)),""))</f>
        <v/>
      </c>
      <c r="G281" s="53">
        <f>IF(B281="","",IFERROR(INDEX(Client_List!$K:$K,MATCH(VALUE(B281),Client_List!$A:$A,0)),""))</f>
        <v/>
      </c>
      <c r="H281" s="32">
        <f>IF(B281="","",IFERROR(INDEX(Client_List!$J:$J,MATCH(VALUE(B281),Client_List!$A:$A,0)),""))</f>
        <v/>
      </c>
      <c r="I281" s="70">
        <f>IF(B281="","",IFERROR(A281-LOOKUP(2,1/($B$4:$B280=B281),$A$4:$A280),""))</f>
        <v/>
      </c>
      <c r="J281" s="32">
        <f>IF(B281="","",IFERROR(D281/I281,""))</f>
        <v/>
      </c>
      <c r="K281" s="71">
        <f>IF(B281="","",IFERROR(AVERAGEIFS($J$4:$J281,$B$4:$B281,B281,$J$4:$J281,"&gt;"&amp;0),""))</f>
        <v/>
      </c>
      <c r="L281" s="7" t="n"/>
    </row>
    <row r="282" ht="14" customHeight="1" s="72">
      <c r="A282" s="75" t="n">
        <v>46048</v>
      </c>
      <c r="B282" s="76" t="n">
        <v>3021</v>
      </c>
      <c r="C282" s="69">
        <f>IF(B282="","",IFERROR(INDEX(Client_List!$B:$B,MATCH(B282,Client_List!$A:$A,0)),"⚠ NOT FOUND"))</f>
        <v/>
      </c>
      <c r="D282" s="43" t="n">
        <v>288</v>
      </c>
      <c r="E282" s="32">
        <f>IF(B282="","",IFERROR(INDEX(Client_List!$C:$C,MATCH(VALUE(B282),Client_List!$A:$A,0)),""))</f>
        <v/>
      </c>
      <c r="F282" s="53">
        <f>IF(B282="","",IFERROR(INDEX(Client_List!$D:$D,MATCH(VALUE(B282),Client_List!$A:$A,0)),""))</f>
        <v/>
      </c>
      <c r="G282" s="53">
        <f>IF(B282="","",IFERROR(INDEX(Client_List!$K:$K,MATCH(VALUE(B282),Client_List!$A:$A,0)),""))</f>
        <v/>
      </c>
      <c r="H282" s="32">
        <f>IF(B282="","",IFERROR(INDEX(Client_List!$J:$J,MATCH(VALUE(B282),Client_List!$A:$A,0)),""))</f>
        <v/>
      </c>
      <c r="I282" s="70">
        <f>IF(B282="","",IFERROR(A282-LOOKUP(2,1/($B$4:$B281=B282),$A$4:$A281),""))</f>
        <v/>
      </c>
      <c r="J282" s="32">
        <f>IF(B282="","",IFERROR(D282/I282,""))</f>
        <v/>
      </c>
      <c r="K282" s="71">
        <f>IF(B282="","",IFERROR(AVERAGEIFS($J$4:$J282,$B$4:$B282,B282,$J$4:$J282,"&gt;"&amp;0),""))</f>
        <v/>
      </c>
      <c r="L282" s="4" t="n"/>
    </row>
    <row r="283" ht="14" customHeight="1" s="72">
      <c r="A283" s="75" t="n">
        <v>46048</v>
      </c>
      <c r="B283" s="76" t="n">
        <v>13013</v>
      </c>
      <c r="C283" s="69">
        <f>IF(B283="","",IFERROR(INDEX(Client_List!$B:$B,MATCH(B283,Client_List!$A:$A,0)),"⚠ NOT FOUND"))</f>
        <v/>
      </c>
      <c r="D283" s="43" t="n">
        <v>797</v>
      </c>
      <c r="E283" s="32">
        <f>IF(B283="","",IFERROR(INDEX(Client_List!$C:$C,MATCH(VALUE(B283),Client_List!$A:$A,0)),""))</f>
        <v/>
      </c>
      <c r="F283" s="53">
        <f>IF(B283="","",IFERROR(INDEX(Client_List!$D:$D,MATCH(VALUE(B283),Client_List!$A:$A,0)),""))</f>
        <v/>
      </c>
      <c r="G283" s="53">
        <f>IF(B283="","",IFERROR(INDEX(Client_List!$K:$K,MATCH(VALUE(B283),Client_List!$A:$A,0)),""))</f>
        <v/>
      </c>
      <c r="H283" s="32">
        <f>IF(B283="","",IFERROR(INDEX(Client_List!$J:$J,MATCH(VALUE(B283),Client_List!$A:$A,0)),""))</f>
        <v/>
      </c>
      <c r="I283" s="70">
        <f>IF(B283="","",IFERROR(A283-LOOKUP(2,1/($B$4:$B282=B283),$A$4:$A282),""))</f>
        <v/>
      </c>
      <c r="J283" s="32">
        <f>IF(B283="","",IFERROR(D283/I283,""))</f>
        <v/>
      </c>
      <c r="K283" s="71">
        <f>IF(B283="","",IFERROR(AVERAGEIFS($J$4:$J283,$B$4:$B283,B283,$J$4:$J283,"&gt;"&amp;0),""))</f>
        <v/>
      </c>
      <c r="L283" s="7" t="n"/>
    </row>
    <row r="284" ht="14" customHeight="1" s="72">
      <c r="A284" s="75" t="n">
        <v>46048</v>
      </c>
      <c r="B284" s="76" t="n">
        <v>16005</v>
      </c>
      <c r="C284" s="69">
        <f>IF(B284="","",IFERROR(INDEX(Client_List!$B:$B,MATCH(B284,Client_List!$A:$A,0)),"⚠ NOT FOUND"))</f>
        <v/>
      </c>
      <c r="D284" s="43" t="n">
        <v>588</v>
      </c>
      <c r="E284" s="32">
        <f>IF(B284="","",IFERROR(INDEX(Client_List!$C:$C,MATCH(VALUE(B284),Client_List!$A:$A,0)),""))</f>
        <v/>
      </c>
      <c r="F284" s="53">
        <f>IF(B284="","",IFERROR(INDEX(Client_List!$D:$D,MATCH(VALUE(B284),Client_List!$A:$A,0)),""))</f>
        <v/>
      </c>
      <c r="G284" s="53">
        <f>IF(B284="","",IFERROR(INDEX(Client_List!$K:$K,MATCH(VALUE(B284),Client_List!$A:$A,0)),""))</f>
        <v/>
      </c>
      <c r="H284" s="32">
        <f>IF(B284="","",IFERROR(INDEX(Client_List!$J:$J,MATCH(VALUE(B284),Client_List!$A:$A,0)),""))</f>
        <v/>
      </c>
      <c r="I284" s="70">
        <f>IF(B284="","",IFERROR(A284-LOOKUP(2,1/($B$4:$B283=B284),$A$4:$A283),""))</f>
        <v/>
      </c>
      <c r="J284" s="32">
        <f>IF(B284="","",IFERROR(D284/I284,""))</f>
        <v/>
      </c>
      <c r="K284" s="71">
        <f>IF(B284="","",IFERROR(AVERAGEIFS($J$4:$J284,$B$4:$B284,B284,$J$4:$J284,"&gt;"&amp;0),""))</f>
        <v/>
      </c>
      <c r="L284" s="4" t="n"/>
    </row>
    <row r="285" ht="14" customHeight="1" s="72">
      <c r="A285" s="75" t="n">
        <v>46048</v>
      </c>
      <c r="B285" s="76" t="n">
        <v>16008</v>
      </c>
      <c r="C285" s="69">
        <f>IF(B285="","",IFERROR(INDEX(Client_List!$B:$B,MATCH(B285,Client_List!$A:$A,0)),"⚠ NOT FOUND"))</f>
        <v/>
      </c>
      <c r="D285" s="43" t="n">
        <v>753</v>
      </c>
      <c r="E285" s="32">
        <f>IF(B285="","",IFERROR(INDEX(Client_List!$C:$C,MATCH(VALUE(B285),Client_List!$A:$A,0)),""))</f>
        <v/>
      </c>
      <c r="F285" s="53">
        <f>IF(B285="","",IFERROR(INDEX(Client_List!$D:$D,MATCH(VALUE(B285),Client_List!$A:$A,0)),""))</f>
        <v/>
      </c>
      <c r="G285" s="53">
        <f>IF(B285="","",IFERROR(INDEX(Client_List!$K:$K,MATCH(VALUE(B285),Client_List!$A:$A,0)),""))</f>
        <v/>
      </c>
      <c r="H285" s="32">
        <f>IF(B285="","",IFERROR(INDEX(Client_List!$J:$J,MATCH(VALUE(B285),Client_List!$A:$A,0)),""))</f>
        <v/>
      </c>
      <c r="I285" s="70">
        <f>IF(B285="","",IFERROR(A285-LOOKUP(2,1/($B$4:$B284=B285),$A$4:$A284),""))</f>
        <v/>
      </c>
      <c r="J285" s="32">
        <f>IF(B285="","",IFERROR(D285/I285,""))</f>
        <v/>
      </c>
      <c r="K285" s="71">
        <f>IF(B285="","",IFERROR(AVERAGEIFS($J$4:$J285,$B$4:$B285,B285,$J$4:$J285,"&gt;"&amp;0),""))</f>
        <v/>
      </c>
      <c r="L285" s="7" t="n"/>
    </row>
    <row r="286" ht="14" customHeight="1" s="72">
      <c r="A286" s="75" t="n">
        <v>46048</v>
      </c>
      <c r="B286" s="76" t="n">
        <v>16014</v>
      </c>
      <c r="C286" s="69">
        <f>IF(B286="","",IFERROR(INDEX(Client_List!$B:$B,MATCH(B286,Client_List!$A:$A,0)),"⚠ NOT FOUND"))</f>
        <v/>
      </c>
      <c r="D286" s="43" t="n">
        <v>904</v>
      </c>
      <c r="E286" s="32">
        <f>IF(B286="","",IFERROR(INDEX(Client_List!$C:$C,MATCH(VALUE(B286),Client_List!$A:$A,0)),""))</f>
        <v/>
      </c>
      <c r="F286" s="53">
        <f>IF(B286="","",IFERROR(INDEX(Client_List!$D:$D,MATCH(VALUE(B286),Client_List!$A:$A,0)),""))</f>
        <v/>
      </c>
      <c r="G286" s="53">
        <f>IF(B286="","",IFERROR(INDEX(Client_List!$K:$K,MATCH(VALUE(B286),Client_List!$A:$A,0)),""))</f>
        <v/>
      </c>
      <c r="H286" s="32">
        <f>IF(B286="","",IFERROR(INDEX(Client_List!$J:$J,MATCH(VALUE(B286),Client_List!$A:$A,0)),""))</f>
        <v/>
      </c>
      <c r="I286" s="70">
        <f>IF(B286="","",IFERROR(A286-LOOKUP(2,1/($B$4:$B285=B286),$A$4:$A285),""))</f>
        <v/>
      </c>
      <c r="J286" s="32">
        <f>IF(B286="","",IFERROR(D286/I286,""))</f>
        <v/>
      </c>
      <c r="K286" s="71">
        <f>IF(B286="","",IFERROR(AVERAGEIFS($J$4:$J286,$B$4:$B286,B286,$J$4:$J286,"&gt;"&amp;0),""))</f>
        <v/>
      </c>
      <c r="L286" s="4" t="n"/>
    </row>
    <row r="287" ht="14" customHeight="1" s="72">
      <c r="A287" s="75" t="n">
        <v>46048</v>
      </c>
      <c r="B287" s="76" t="n">
        <v>19033</v>
      </c>
      <c r="C287" s="69">
        <f>IF(B287="","",IFERROR(INDEX(Client_List!$B:$B,MATCH(B287,Client_List!$A:$A,0)),"⚠ NOT FOUND"))</f>
        <v/>
      </c>
      <c r="D287" s="43" t="n">
        <v>287</v>
      </c>
      <c r="E287" s="32">
        <f>IF(B287="","",IFERROR(INDEX(Client_List!$C:$C,MATCH(VALUE(B287),Client_List!$A:$A,0)),""))</f>
        <v/>
      </c>
      <c r="F287" s="53">
        <f>IF(B287="","",IFERROR(INDEX(Client_List!$D:$D,MATCH(VALUE(B287),Client_List!$A:$A,0)),""))</f>
        <v/>
      </c>
      <c r="G287" s="53">
        <f>IF(B287="","",IFERROR(INDEX(Client_List!$K:$K,MATCH(VALUE(B287),Client_List!$A:$A,0)),""))</f>
        <v/>
      </c>
      <c r="H287" s="32">
        <f>IF(B287="","",IFERROR(INDEX(Client_List!$J:$J,MATCH(VALUE(B287),Client_List!$A:$A,0)),""))</f>
        <v/>
      </c>
      <c r="I287" s="70">
        <f>IF(B287="","",IFERROR(A287-LOOKUP(2,1/($B$4:$B286=B287),$A$4:$A286),""))</f>
        <v/>
      </c>
      <c r="J287" s="32">
        <f>IF(B287="","",IFERROR(D287/I287,""))</f>
        <v/>
      </c>
      <c r="K287" s="71">
        <f>IF(B287="","",IFERROR(AVERAGEIFS($J$4:$J287,$B$4:$B287,B287,$J$4:$J287,"&gt;"&amp;0),""))</f>
        <v/>
      </c>
      <c r="L287" s="7" t="n"/>
    </row>
    <row r="288" ht="14" customHeight="1" s="72">
      <c r="A288" s="75" t="n">
        <v>46048</v>
      </c>
      <c r="B288" s="76" t="n">
        <v>19082</v>
      </c>
      <c r="C288" s="69">
        <f>IF(B288="","",IFERROR(INDEX(Client_List!$B:$B,MATCH(B288,Client_List!$A:$A,0)),"⚠ NOT FOUND"))</f>
        <v/>
      </c>
      <c r="D288" s="43" t="n">
        <v>429</v>
      </c>
      <c r="E288" s="32">
        <f>IF(B288="","",IFERROR(INDEX(Client_List!$C:$C,MATCH(VALUE(B288),Client_List!$A:$A,0)),""))</f>
        <v/>
      </c>
      <c r="F288" s="53">
        <f>IF(B288="","",IFERROR(INDEX(Client_List!$D:$D,MATCH(VALUE(B288),Client_List!$A:$A,0)),""))</f>
        <v/>
      </c>
      <c r="G288" s="53">
        <f>IF(B288="","",IFERROR(INDEX(Client_List!$K:$K,MATCH(VALUE(B288),Client_List!$A:$A,0)),""))</f>
        <v/>
      </c>
      <c r="H288" s="32">
        <f>IF(B288="","",IFERROR(INDEX(Client_List!$J:$J,MATCH(VALUE(B288),Client_List!$A:$A,0)),""))</f>
        <v/>
      </c>
      <c r="I288" s="70">
        <f>IF(B288="","",IFERROR(A288-LOOKUP(2,1/($B$4:$B287=B288),$A$4:$A287),""))</f>
        <v/>
      </c>
      <c r="J288" s="32">
        <f>IF(B288="","",IFERROR(D288/I288,""))</f>
        <v/>
      </c>
      <c r="K288" s="71">
        <f>IF(B288="","",IFERROR(AVERAGEIFS($J$4:$J288,$B$4:$B288,B288,$J$4:$J288,"&gt;"&amp;0),""))</f>
        <v/>
      </c>
      <c r="L288" s="4" t="n"/>
    </row>
    <row r="289" ht="14" customHeight="1" s="72">
      <c r="A289" s="75" t="n">
        <v>46048</v>
      </c>
      <c r="B289" s="76" t="n">
        <v>19107</v>
      </c>
      <c r="C289" s="69">
        <f>IF(B289="","",IFERROR(INDEX(Client_List!$B:$B,MATCH(B289,Client_List!$A:$A,0)),"⚠ NOT FOUND"))</f>
        <v/>
      </c>
      <c r="D289" s="43" t="n">
        <v>365</v>
      </c>
      <c r="E289" s="32">
        <f>IF(B289="","",IFERROR(INDEX(Client_List!$C:$C,MATCH(VALUE(B289),Client_List!$A:$A,0)),""))</f>
        <v/>
      </c>
      <c r="F289" s="53">
        <f>IF(B289="","",IFERROR(INDEX(Client_List!$D:$D,MATCH(VALUE(B289),Client_List!$A:$A,0)),""))</f>
        <v/>
      </c>
      <c r="G289" s="53">
        <f>IF(B289="","",IFERROR(INDEX(Client_List!$K:$K,MATCH(VALUE(B289),Client_List!$A:$A,0)),""))</f>
        <v/>
      </c>
      <c r="H289" s="32">
        <f>IF(B289="","",IFERROR(INDEX(Client_List!$J:$J,MATCH(VALUE(B289),Client_List!$A:$A,0)),""))</f>
        <v/>
      </c>
      <c r="I289" s="70">
        <f>IF(B289="","",IFERROR(A289-LOOKUP(2,1/($B$4:$B288=B289),$A$4:$A288),""))</f>
        <v/>
      </c>
      <c r="J289" s="32">
        <f>IF(B289="","",IFERROR(D289/I289,""))</f>
        <v/>
      </c>
      <c r="K289" s="71">
        <f>IF(B289="","",IFERROR(AVERAGEIFS($J$4:$J289,$B$4:$B289,B289,$J$4:$J289,"&gt;"&amp;0),""))</f>
        <v/>
      </c>
      <c r="L289" s="7" t="n"/>
    </row>
    <row r="290" ht="14" customHeight="1" s="72">
      <c r="A290" s="75" t="n">
        <v>46048</v>
      </c>
      <c r="B290" s="76" t="n">
        <v>20051</v>
      </c>
      <c r="C290" s="69">
        <f>IF(B290="","",IFERROR(INDEX(Client_List!$B:$B,MATCH(B290,Client_List!$A:$A,0)),"⚠ NOT FOUND"))</f>
        <v/>
      </c>
      <c r="D290" s="43" t="n">
        <v>278</v>
      </c>
      <c r="E290" s="32">
        <f>IF(B290="","",IFERROR(INDEX(Client_List!$C:$C,MATCH(VALUE(B290),Client_List!$A:$A,0)),""))</f>
        <v/>
      </c>
      <c r="F290" s="53">
        <f>IF(B290="","",IFERROR(INDEX(Client_List!$D:$D,MATCH(VALUE(B290),Client_List!$A:$A,0)),""))</f>
        <v/>
      </c>
      <c r="G290" s="53">
        <f>IF(B290="","",IFERROR(INDEX(Client_List!$K:$K,MATCH(VALUE(B290),Client_List!$A:$A,0)),""))</f>
        <v/>
      </c>
      <c r="H290" s="32">
        <f>IF(B290="","",IFERROR(INDEX(Client_List!$J:$J,MATCH(VALUE(B290),Client_List!$A:$A,0)),""))</f>
        <v/>
      </c>
      <c r="I290" s="70">
        <f>IF(B290="","",IFERROR(A290-LOOKUP(2,1/($B$4:$B289=B290),$A$4:$A289),""))</f>
        <v/>
      </c>
      <c r="J290" s="32">
        <f>IF(B290="","",IFERROR(D290/I290,""))</f>
        <v/>
      </c>
      <c r="K290" s="71">
        <f>IF(B290="","",IFERROR(AVERAGEIFS($J$4:$J290,$B$4:$B290,B290,$J$4:$J290,"&gt;"&amp;0),""))</f>
        <v/>
      </c>
      <c r="L290" s="4" t="n"/>
    </row>
    <row r="291" ht="14" customHeight="1" s="72">
      <c r="A291" s="75" t="n">
        <v>46049</v>
      </c>
      <c r="B291" s="76" t="n">
        <v>1001</v>
      </c>
      <c r="C291" s="69">
        <f>IF(B291="","",IFERROR(INDEX(Client_List!$B:$B,MATCH(B291,Client_List!$A:$A,0)),"⚠ NOT FOUND"))</f>
        <v/>
      </c>
      <c r="D291" s="43" t="n">
        <v>510</v>
      </c>
      <c r="E291" s="32">
        <f>IF(B291="","",IFERROR(INDEX(Client_List!$C:$C,MATCH(VALUE(B291),Client_List!$A:$A,0)),""))</f>
        <v/>
      </c>
      <c r="F291" s="53">
        <f>IF(B291="","",IFERROR(INDEX(Client_List!$D:$D,MATCH(VALUE(B291),Client_List!$A:$A,0)),""))</f>
        <v/>
      </c>
      <c r="G291" s="53">
        <f>IF(B291="","",IFERROR(INDEX(Client_List!$K:$K,MATCH(VALUE(B291),Client_List!$A:$A,0)),""))</f>
        <v/>
      </c>
      <c r="H291" s="32">
        <f>IF(B291="","",IFERROR(INDEX(Client_List!$J:$J,MATCH(VALUE(B291),Client_List!$A:$A,0)),""))</f>
        <v/>
      </c>
      <c r="I291" s="70">
        <f>IF(B291="","",IFERROR(A291-LOOKUP(2,1/($B$4:$B290=B291),$A$4:$A290),""))</f>
        <v/>
      </c>
      <c r="J291" s="32">
        <f>IF(B291="","",IFERROR(D291/I291,""))</f>
        <v/>
      </c>
      <c r="K291" s="71">
        <f>IF(B291="","",IFERROR(AVERAGEIFS($J$4:$J291,$B$4:$B291,B291,$J$4:$J291,"&gt;"&amp;0),""))</f>
        <v/>
      </c>
      <c r="L291" s="7" t="n"/>
    </row>
    <row r="292" ht="14" customHeight="1" s="72">
      <c r="A292" s="75" t="n">
        <v>46049</v>
      </c>
      <c r="B292" s="76" t="n">
        <v>4038</v>
      </c>
      <c r="C292" s="69">
        <f>IF(B292="","",IFERROR(INDEX(Client_List!$B:$B,MATCH(B292,Client_List!$A:$A,0)),"⚠ NOT FOUND"))</f>
        <v/>
      </c>
      <c r="D292" s="43" t="n">
        <v>860</v>
      </c>
      <c r="E292" s="32">
        <f>IF(B292="","",IFERROR(INDEX(Client_List!$C:$C,MATCH(VALUE(B292),Client_List!$A:$A,0)),""))</f>
        <v/>
      </c>
      <c r="F292" s="53">
        <f>IF(B292="","",IFERROR(INDEX(Client_List!$D:$D,MATCH(VALUE(B292),Client_List!$A:$A,0)),""))</f>
        <v/>
      </c>
      <c r="G292" s="53">
        <f>IF(B292="","",IFERROR(INDEX(Client_List!$K:$K,MATCH(VALUE(B292),Client_List!$A:$A,0)),""))</f>
        <v/>
      </c>
      <c r="H292" s="32">
        <f>IF(B292="","",IFERROR(INDEX(Client_List!$J:$J,MATCH(VALUE(B292),Client_List!$A:$A,0)),""))</f>
        <v/>
      </c>
      <c r="I292" s="70">
        <f>IF(B292="","",IFERROR(A292-LOOKUP(2,1/($B$4:$B291=B292),$A$4:$A291),""))</f>
        <v/>
      </c>
      <c r="J292" s="32">
        <f>IF(B292="","",IFERROR(D292/I292,""))</f>
        <v/>
      </c>
      <c r="K292" s="71">
        <f>IF(B292="","",IFERROR(AVERAGEIFS($J$4:$J292,$B$4:$B292,B292,$J$4:$J292,"&gt;"&amp;0),""))</f>
        <v/>
      </c>
      <c r="L292" s="4" t="n"/>
    </row>
    <row r="293" ht="14" customHeight="1" s="72">
      <c r="A293" s="75" t="n">
        <v>46049</v>
      </c>
      <c r="B293" s="76" t="n">
        <v>6109</v>
      </c>
      <c r="C293" s="69">
        <f>IF(B293="","",IFERROR(INDEX(Client_List!$B:$B,MATCH(B293,Client_List!$A:$A,0)),"⚠ NOT FOUND"))</f>
        <v/>
      </c>
      <c r="D293" s="43" t="n">
        <v>510</v>
      </c>
      <c r="E293" s="32">
        <f>IF(B293="","",IFERROR(INDEX(Client_List!$C:$C,MATCH(VALUE(B293),Client_List!$A:$A,0)),""))</f>
        <v/>
      </c>
      <c r="F293" s="53">
        <f>IF(B293="","",IFERROR(INDEX(Client_List!$D:$D,MATCH(VALUE(B293),Client_List!$A:$A,0)),""))</f>
        <v/>
      </c>
      <c r="G293" s="53">
        <f>IF(B293="","",IFERROR(INDEX(Client_List!$K:$K,MATCH(VALUE(B293),Client_List!$A:$A,0)),""))</f>
        <v/>
      </c>
      <c r="H293" s="32">
        <f>IF(B293="","",IFERROR(INDEX(Client_List!$J:$J,MATCH(VALUE(B293),Client_List!$A:$A,0)),""))</f>
        <v/>
      </c>
      <c r="I293" s="70">
        <f>IF(B293="","",IFERROR(A293-LOOKUP(2,1/($B$4:$B292=B293),$A$4:$A292),""))</f>
        <v/>
      </c>
      <c r="J293" s="32">
        <f>IF(B293="","",IFERROR(D293/I293,""))</f>
        <v/>
      </c>
      <c r="K293" s="71">
        <f>IF(B293="","",IFERROR(AVERAGEIFS($J$4:$J293,$B$4:$B293,B293,$J$4:$J293,"&gt;"&amp;0),""))</f>
        <v/>
      </c>
      <c r="L293" s="7" t="n"/>
    </row>
    <row r="294" ht="14" customHeight="1" s="72">
      <c r="A294" s="75" t="n">
        <v>46049</v>
      </c>
      <c r="B294" s="76" t="n">
        <v>11013</v>
      </c>
      <c r="C294" s="69">
        <f>IF(B294="","",IFERROR(INDEX(Client_List!$B:$B,MATCH(B294,Client_List!$A:$A,0)),"⚠ NOT FOUND"))</f>
        <v/>
      </c>
      <c r="D294" s="43" t="n">
        <v>1017</v>
      </c>
      <c r="E294" s="32">
        <f>IF(B294="","",IFERROR(INDEX(Client_List!$C:$C,MATCH(VALUE(B294),Client_List!$A:$A,0)),""))</f>
        <v/>
      </c>
      <c r="F294" s="53">
        <f>IF(B294="","",IFERROR(INDEX(Client_List!$D:$D,MATCH(VALUE(B294),Client_List!$A:$A,0)),""))</f>
        <v/>
      </c>
      <c r="G294" s="53">
        <f>IF(B294="","",IFERROR(INDEX(Client_List!$K:$K,MATCH(VALUE(B294),Client_List!$A:$A,0)),""))</f>
        <v/>
      </c>
      <c r="H294" s="32">
        <f>IF(B294="","",IFERROR(INDEX(Client_List!$J:$J,MATCH(VALUE(B294),Client_List!$A:$A,0)),""))</f>
        <v/>
      </c>
      <c r="I294" s="70">
        <f>IF(B294="","",IFERROR(A294-LOOKUP(2,1/($B$4:$B293=B294),$A$4:$A293),""))</f>
        <v/>
      </c>
      <c r="J294" s="32">
        <f>IF(B294="","",IFERROR(D294/I294,""))</f>
        <v/>
      </c>
      <c r="K294" s="71">
        <f>IF(B294="","",IFERROR(AVERAGEIFS($J$4:$J294,$B$4:$B294,B294,$J$4:$J294,"&gt;"&amp;0),""))</f>
        <v/>
      </c>
      <c r="L294" s="4" t="n"/>
    </row>
    <row r="295" ht="14" customHeight="1" s="72">
      <c r="A295" s="75" t="n">
        <v>46049</v>
      </c>
      <c r="B295" s="76" t="n">
        <v>12051</v>
      </c>
      <c r="C295" s="69">
        <f>IF(B295="","",IFERROR(INDEX(Client_List!$B:$B,MATCH(B295,Client_List!$A:$A,0)),"⚠ NOT FOUND"))</f>
        <v/>
      </c>
      <c r="D295" s="43" t="n">
        <v>952</v>
      </c>
      <c r="E295" s="32">
        <f>IF(B295="","",IFERROR(INDEX(Client_List!$C:$C,MATCH(VALUE(B295),Client_List!$A:$A,0)),""))</f>
        <v/>
      </c>
      <c r="F295" s="53">
        <f>IF(B295="","",IFERROR(INDEX(Client_List!$D:$D,MATCH(VALUE(B295),Client_List!$A:$A,0)),""))</f>
        <v/>
      </c>
      <c r="G295" s="53">
        <f>IF(B295="","",IFERROR(INDEX(Client_List!$K:$K,MATCH(VALUE(B295),Client_List!$A:$A,0)),""))</f>
        <v/>
      </c>
      <c r="H295" s="32">
        <f>IF(B295="","",IFERROR(INDEX(Client_List!$J:$J,MATCH(VALUE(B295),Client_List!$A:$A,0)),""))</f>
        <v/>
      </c>
      <c r="I295" s="70">
        <f>IF(B295="","",IFERROR(A295-LOOKUP(2,1/($B$4:$B294=B295),$A$4:$A294),""))</f>
        <v/>
      </c>
      <c r="J295" s="32">
        <f>IF(B295="","",IFERROR(D295/I295,""))</f>
        <v/>
      </c>
      <c r="K295" s="71">
        <f>IF(B295="","",IFERROR(AVERAGEIFS($J$4:$J295,$B$4:$B295,B295,$J$4:$J295,"&gt;"&amp;0),""))</f>
        <v/>
      </c>
      <c r="L295" s="7" t="n"/>
    </row>
    <row r="296" ht="14" customHeight="1" s="72">
      <c r="A296" s="75" t="n">
        <v>46049</v>
      </c>
      <c r="B296" s="76" t="n">
        <v>13009</v>
      </c>
      <c r="C296" s="69">
        <f>IF(B296="","",IFERROR(INDEX(Client_List!$B:$B,MATCH(B296,Client_List!$A:$A,0)),"⚠ NOT FOUND"))</f>
        <v/>
      </c>
      <c r="D296" s="43" t="n">
        <v>937</v>
      </c>
      <c r="E296" s="32">
        <f>IF(B296="","",IFERROR(INDEX(Client_List!$C:$C,MATCH(VALUE(B296),Client_List!$A:$A,0)),""))</f>
        <v/>
      </c>
      <c r="F296" s="53">
        <f>IF(B296="","",IFERROR(INDEX(Client_List!$D:$D,MATCH(VALUE(B296),Client_List!$A:$A,0)),""))</f>
        <v/>
      </c>
      <c r="G296" s="53">
        <f>IF(B296="","",IFERROR(INDEX(Client_List!$K:$K,MATCH(VALUE(B296),Client_List!$A:$A,0)),""))</f>
        <v/>
      </c>
      <c r="H296" s="32">
        <f>IF(B296="","",IFERROR(INDEX(Client_List!$J:$J,MATCH(VALUE(B296),Client_List!$A:$A,0)),""))</f>
        <v/>
      </c>
      <c r="I296" s="70">
        <f>IF(B296="","",IFERROR(A296-LOOKUP(2,1/($B$4:$B295=B296),$A$4:$A295),""))</f>
        <v/>
      </c>
      <c r="J296" s="32">
        <f>IF(B296="","",IFERROR(D296/I296,""))</f>
        <v/>
      </c>
      <c r="K296" s="71">
        <f>IF(B296="","",IFERROR(AVERAGEIFS($J$4:$J296,$B$4:$B296,B296,$J$4:$J296,"&gt;"&amp;0),""))</f>
        <v/>
      </c>
      <c r="L296" s="4" t="n"/>
    </row>
    <row r="297" ht="14" customHeight="1" s="72">
      <c r="A297" s="75" t="n">
        <v>46049</v>
      </c>
      <c r="B297" s="76" t="n">
        <v>14008</v>
      </c>
      <c r="C297" s="69">
        <f>IF(B297="","",IFERROR(INDEX(Client_List!$B:$B,MATCH(B297,Client_List!$A:$A,0)),"⚠ NOT FOUND"))</f>
        <v/>
      </c>
      <c r="D297" s="43" t="n">
        <v>1400</v>
      </c>
      <c r="E297" s="32">
        <f>IF(B297="","",IFERROR(INDEX(Client_List!$C:$C,MATCH(VALUE(B297),Client_List!$A:$A,0)),""))</f>
        <v/>
      </c>
      <c r="F297" s="53">
        <f>IF(B297="","",IFERROR(INDEX(Client_List!$D:$D,MATCH(VALUE(B297),Client_List!$A:$A,0)),""))</f>
        <v/>
      </c>
      <c r="G297" s="53">
        <f>IF(B297="","",IFERROR(INDEX(Client_List!$K:$K,MATCH(VALUE(B297),Client_List!$A:$A,0)),""))</f>
        <v/>
      </c>
      <c r="H297" s="32">
        <f>IF(B297="","",IFERROR(INDEX(Client_List!$J:$J,MATCH(VALUE(B297),Client_List!$A:$A,0)),""))</f>
        <v/>
      </c>
      <c r="I297" s="70">
        <f>IF(B297="","",IFERROR(A297-LOOKUP(2,1/($B$4:$B296=B297),$A$4:$A296),""))</f>
        <v/>
      </c>
      <c r="J297" s="32">
        <f>IF(B297="","",IFERROR(D297/I297,""))</f>
        <v/>
      </c>
      <c r="K297" s="71">
        <f>IF(B297="","",IFERROR(AVERAGEIFS($J$4:$J297,$B$4:$B297,B297,$J$4:$J297,"&gt;"&amp;0),""))</f>
        <v/>
      </c>
      <c r="L297" s="7" t="n"/>
    </row>
    <row r="298" ht="14" customHeight="1" s="72">
      <c r="A298" s="75" t="n">
        <v>46049</v>
      </c>
      <c r="B298" s="76" t="n">
        <v>15001</v>
      </c>
      <c r="C298" s="69">
        <f>IF(B298="","",IFERROR(INDEX(Client_List!$B:$B,MATCH(B298,Client_List!$A:$A,0)),"⚠ NOT FOUND"))</f>
        <v/>
      </c>
      <c r="D298" s="43" t="n">
        <v>1061</v>
      </c>
      <c r="E298" s="32">
        <f>IF(B298="","",IFERROR(INDEX(Client_List!$C:$C,MATCH(VALUE(B298),Client_List!$A:$A,0)),""))</f>
        <v/>
      </c>
      <c r="F298" s="53">
        <f>IF(B298="","",IFERROR(INDEX(Client_List!$D:$D,MATCH(VALUE(B298),Client_List!$A:$A,0)),""))</f>
        <v/>
      </c>
      <c r="G298" s="53">
        <f>IF(B298="","",IFERROR(INDEX(Client_List!$K:$K,MATCH(VALUE(B298),Client_List!$A:$A,0)),""))</f>
        <v/>
      </c>
      <c r="H298" s="32">
        <f>IF(B298="","",IFERROR(INDEX(Client_List!$J:$J,MATCH(VALUE(B298),Client_List!$A:$A,0)),""))</f>
        <v/>
      </c>
      <c r="I298" s="70">
        <f>IF(B298="","",IFERROR(A298-LOOKUP(2,1/($B$4:$B297=B298),$A$4:$A297),""))</f>
        <v/>
      </c>
      <c r="J298" s="32">
        <f>IF(B298="","",IFERROR(D298/I298,""))</f>
        <v/>
      </c>
      <c r="K298" s="71">
        <f>IF(B298="","",IFERROR(AVERAGEIFS($J$4:$J298,$B$4:$B298,B298,$J$4:$J298,"&gt;"&amp;0),""))</f>
        <v/>
      </c>
      <c r="L298" s="4" t="n"/>
    </row>
    <row r="299" ht="14" customHeight="1" s="72">
      <c r="A299" s="75" t="n">
        <v>46049</v>
      </c>
      <c r="B299" s="76" t="n">
        <v>15002</v>
      </c>
      <c r="C299" s="69">
        <f>IF(B299="","",IFERROR(INDEX(Client_List!$B:$B,MATCH(B299,Client_List!$A:$A,0)),"⚠ NOT FOUND"))</f>
        <v/>
      </c>
      <c r="D299" s="43" t="n">
        <v>373</v>
      </c>
      <c r="E299" s="32">
        <f>IF(B299="","",IFERROR(INDEX(Client_List!$C:$C,MATCH(VALUE(B299),Client_List!$A:$A,0)),""))</f>
        <v/>
      </c>
      <c r="F299" s="53">
        <f>IF(B299="","",IFERROR(INDEX(Client_List!$D:$D,MATCH(VALUE(B299),Client_List!$A:$A,0)),""))</f>
        <v/>
      </c>
      <c r="G299" s="53">
        <f>IF(B299="","",IFERROR(INDEX(Client_List!$K:$K,MATCH(VALUE(B299),Client_List!$A:$A,0)),""))</f>
        <v/>
      </c>
      <c r="H299" s="32">
        <f>IF(B299="","",IFERROR(INDEX(Client_List!$J:$J,MATCH(VALUE(B299),Client_List!$A:$A,0)),""))</f>
        <v/>
      </c>
      <c r="I299" s="70">
        <f>IF(B299="","",IFERROR(A299-LOOKUP(2,1/($B$4:$B298=B299),$A$4:$A298),""))</f>
        <v/>
      </c>
      <c r="J299" s="32">
        <f>IF(B299="","",IFERROR(D299/I299,""))</f>
        <v/>
      </c>
      <c r="K299" s="71">
        <f>IF(B299="","",IFERROR(AVERAGEIFS($J$4:$J299,$B$4:$B299,B299,$J$4:$J299,"&gt;"&amp;0),""))</f>
        <v/>
      </c>
      <c r="L299" s="7" t="n"/>
    </row>
    <row r="300" ht="14" customHeight="1" s="72">
      <c r="A300" s="75" t="n">
        <v>46049</v>
      </c>
      <c r="B300" s="76" t="n">
        <v>19110</v>
      </c>
      <c r="C300" s="69">
        <f>IF(B300="","",IFERROR(INDEX(Client_List!$B:$B,MATCH(B300,Client_List!$A:$A,0)),"⚠ NOT FOUND"))</f>
        <v/>
      </c>
      <c r="D300" s="43" t="n">
        <v>1252</v>
      </c>
      <c r="E300" s="32">
        <f>IF(B300="","",IFERROR(INDEX(Client_List!$C:$C,MATCH(VALUE(B300),Client_List!$A:$A,0)),""))</f>
        <v/>
      </c>
      <c r="F300" s="53">
        <f>IF(B300="","",IFERROR(INDEX(Client_List!$D:$D,MATCH(VALUE(B300),Client_List!$A:$A,0)),""))</f>
        <v/>
      </c>
      <c r="G300" s="53">
        <f>IF(B300="","",IFERROR(INDEX(Client_List!$K:$K,MATCH(VALUE(B300),Client_List!$A:$A,0)),""))</f>
        <v/>
      </c>
      <c r="H300" s="32">
        <f>IF(B300="","",IFERROR(INDEX(Client_List!$J:$J,MATCH(VALUE(B300),Client_List!$A:$A,0)),""))</f>
        <v/>
      </c>
      <c r="I300" s="70">
        <f>IF(B300="","",IFERROR(A300-LOOKUP(2,1/($B$4:$B299=B300),$A$4:$A299),""))</f>
        <v/>
      </c>
      <c r="J300" s="32">
        <f>IF(B300="","",IFERROR(D300/I300,""))</f>
        <v/>
      </c>
      <c r="K300" s="71">
        <f>IF(B300="","",IFERROR(AVERAGEIFS($J$4:$J300,$B$4:$B300,B300,$J$4:$J300,"&gt;"&amp;0),""))</f>
        <v/>
      </c>
      <c r="L300" s="4" t="n"/>
    </row>
    <row r="301" ht="14" customHeight="1" s="72">
      <c r="A301" s="75" t="n">
        <v>46050</v>
      </c>
      <c r="B301" s="76" t="n">
        <v>1081</v>
      </c>
      <c r="C301" s="69">
        <f>IF(B301="","",IFERROR(INDEX(Client_List!$B:$B,MATCH(B301,Client_List!$A:$A,0)),"⚠ NOT FOUND"))</f>
        <v/>
      </c>
      <c r="D301" s="43" t="n">
        <v>311</v>
      </c>
      <c r="E301" s="32">
        <f>IF(B301="","",IFERROR(INDEX(Client_List!$C:$C,MATCH(VALUE(B301),Client_List!$A:$A,0)),""))</f>
        <v/>
      </c>
      <c r="F301" s="53">
        <f>IF(B301="","",IFERROR(INDEX(Client_List!$D:$D,MATCH(VALUE(B301),Client_List!$A:$A,0)),""))</f>
        <v/>
      </c>
      <c r="G301" s="53">
        <f>IF(B301="","",IFERROR(INDEX(Client_List!$K:$K,MATCH(VALUE(B301),Client_List!$A:$A,0)),""))</f>
        <v/>
      </c>
      <c r="H301" s="32">
        <f>IF(B301="","",IFERROR(INDEX(Client_List!$J:$J,MATCH(VALUE(B301),Client_List!$A:$A,0)),""))</f>
        <v/>
      </c>
      <c r="I301" s="70">
        <f>IF(B301="","",IFERROR(A301-LOOKUP(2,1/($B$4:$B300=B301),$A$4:$A300),""))</f>
        <v/>
      </c>
      <c r="J301" s="32">
        <f>IF(B301="","",IFERROR(D301/I301,""))</f>
        <v/>
      </c>
      <c r="K301" s="71">
        <f>IF(B301="","",IFERROR(AVERAGEIFS($J$4:$J301,$B$4:$B301,B301,$J$4:$J301,"&gt;"&amp;0),""))</f>
        <v/>
      </c>
      <c r="L301" s="7" t="n"/>
    </row>
    <row r="302" ht="14" customHeight="1" s="72">
      <c r="A302" s="75" t="n">
        <v>46050</v>
      </c>
      <c r="B302" s="76" t="n">
        <v>4029</v>
      </c>
      <c r="C302" s="69">
        <f>IF(B302="","",IFERROR(INDEX(Client_List!$B:$B,MATCH(B302,Client_List!$A:$A,0)),"⚠ NOT FOUND"))</f>
        <v/>
      </c>
      <c r="D302" s="43" t="n">
        <v>2004</v>
      </c>
      <c r="E302" s="32">
        <f>IF(B302="","",IFERROR(INDEX(Client_List!$C:$C,MATCH(VALUE(B302),Client_List!$A:$A,0)),""))</f>
        <v/>
      </c>
      <c r="F302" s="53">
        <f>IF(B302="","",IFERROR(INDEX(Client_List!$D:$D,MATCH(VALUE(B302),Client_List!$A:$A,0)),""))</f>
        <v/>
      </c>
      <c r="G302" s="53">
        <f>IF(B302="","",IFERROR(INDEX(Client_List!$K:$K,MATCH(VALUE(B302),Client_List!$A:$A,0)),""))</f>
        <v/>
      </c>
      <c r="H302" s="32">
        <f>IF(B302="","",IFERROR(INDEX(Client_List!$J:$J,MATCH(VALUE(B302),Client_List!$A:$A,0)),""))</f>
        <v/>
      </c>
      <c r="I302" s="70">
        <f>IF(B302="","",IFERROR(A302-LOOKUP(2,1/($B$4:$B301=B302),$A$4:$A301),""))</f>
        <v/>
      </c>
      <c r="J302" s="32">
        <f>IF(B302="","",IFERROR(D302/I302,""))</f>
        <v/>
      </c>
      <c r="K302" s="71">
        <f>IF(B302="","",IFERROR(AVERAGEIFS($J$4:$J302,$B$4:$B302,B302,$J$4:$J302,"&gt;"&amp;0),""))</f>
        <v/>
      </c>
      <c r="L302" s="4" t="n"/>
    </row>
    <row r="303" ht="14" customHeight="1" s="72">
      <c r="A303" s="75" t="n">
        <v>46050</v>
      </c>
      <c r="B303" s="76" t="n">
        <v>7001</v>
      </c>
      <c r="C303" s="69">
        <f>IF(B303="","",IFERROR(INDEX(Client_List!$B:$B,MATCH(B303,Client_List!$A:$A,0)),"⚠ NOT FOUND"))</f>
        <v/>
      </c>
      <c r="D303" s="43" t="n">
        <v>1252</v>
      </c>
      <c r="E303" s="32">
        <f>IF(B303="","",IFERROR(INDEX(Client_List!$C:$C,MATCH(VALUE(B303),Client_List!$A:$A,0)),""))</f>
        <v/>
      </c>
      <c r="F303" s="53">
        <f>IF(B303="","",IFERROR(INDEX(Client_List!$D:$D,MATCH(VALUE(B303),Client_List!$A:$A,0)),""))</f>
        <v/>
      </c>
      <c r="G303" s="53">
        <f>IF(B303="","",IFERROR(INDEX(Client_List!$K:$K,MATCH(VALUE(B303),Client_List!$A:$A,0)),""))</f>
        <v/>
      </c>
      <c r="H303" s="32">
        <f>IF(B303="","",IFERROR(INDEX(Client_List!$J:$J,MATCH(VALUE(B303),Client_List!$A:$A,0)),""))</f>
        <v/>
      </c>
      <c r="I303" s="70">
        <f>IF(B303="","",IFERROR(A303-LOOKUP(2,1/($B$4:$B302=B303),$A$4:$A302),""))</f>
        <v/>
      </c>
      <c r="J303" s="32">
        <f>IF(B303="","",IFERROR(D303/I303,""))</f>
        <v/>
      </c>
      <c r="K303" s="71">
        <f>IF(B303="","",IFERROR(AVERAGEIFS($J$4:$J303,$B$4:$B303,B303,$J$4:$J303,"&gt;"&amp;0),""))</f>
        <v/>
      </c>
      <c r="L303" s="7" t="n"/>
    </row>
    <row r="304" ht="14" customHeight="1" s="72">
      <c r="A304" s="75" t="n">
        <v>46050</v>
      </c>
      <c r="B304" s="76" t="n">
        <v>7052</v>
      </c>
      <c r="C304" s="69">
        <f>IF(B304="","",IFERROR(INDEX(Client_List!$B:$B,MATCH(B304,Client_List!$A:$A,0)),"⚠ NOT FOUND"))</f>
        <v/>
      </c>
      <c r="D304" s="43" t="n">
        <v>348</v>
      </c>
      <c r="E304" s="32">
        <f>IF(B304="","",IFERROR(INDEX(Client_List!$C:$C,MATCH(VALUE(B304),Client_List!$A:$A,0)),""))</f>
        <v/>
      </c>
      <c r="F304" s="53">
        <f>IF(B304="","",IFERROR(INDEX(Client_List!$D:$D,MATCH(VALUE(B304),Client_List!$A:$A,0)),""))</f>
        <v/>
      </c>
      <c r="G304" s="53">
        <f>IF(B304="","",IFERROR(INDEX(Client_List!$K:$K,MATCH(VALUE(B304),Client_List!$A:$A,0)),""))</f>
        <v/>
      </c>
      <c r="H304" s="32">
        <f>IF(B304="","",IFERROR(INDEX(Client_List!$J:$J,MATCH(VALUE(B304),Client_List!$A:$A,0)),""))</f>
        <v/>
      </c>
      <c r="I304" s="70">
        <f>IF(B304="","",IFERROR(A304-LOOKUP(2,1/($B$4:$B303=B304),$A$4:$A303),""))</f>
        <v/>
      </c>
      <c r="J304" s="32">
        <f>IF(B304="","",IFERROR(D304/I304,""))</f>
        <v/>
      </c>
      <c r="K304" s="71">
        <f>IF(B304="","",IFERROR(AVERAGEIFS($J$4:$J304,$B$4:$B304,B304,$J$4:$J304,"&gt;"&amp;0),""))</f>
        <v/>
      </c>
      <c r="L304" s="4" t="n"/>
    </row>
    <row r="305" ht="14" customHeight="1" s="72">
      <c r="A305" s="75" t="n">
        <v>46050</v>
      </c>
      <c r="B305" s="76" t="n">
        <v>10011</v>
      </c>
      <c r="C305" s="69">
        <f>IF(B305="","",IFERROR(INDEX(Client_List!$B:$B,MATCH(B305,Client_List!$A:$A,0)),"⚠ NOT FOUND"))</f>
        <v/>
      </c>
      <c r="D305" s="43" t="n">
        <v>300</v>
      </c>
      <c r="E305" s="32">
        <f>IF(B305="","",IFERROR(INDEX(Client_List!$C:$C,MATCH(VALUE(B305),Client_List!$A:$A,0)),""))</f>
        <v/>
      </c>
      <c r="F305" s="53">
        <f>IF(B305="","",IFERROR(INDEX(Client_List!$D:$D,MATCH(VALUE(B305),Client_List!$A:$A,0)),""))</f>
        <v/>
      </c>
      <c r="G305" s="53">
        <f>IF(B305="","",IFERROR(INDEX(Client_List!$K:$K,MATCH(VALUE(B305),Client_List!$A:$A,0)),""))</f>
        <v/>
      </c>
      <c r="H305" s="32">
        <f>IF(B305="","",IFERROR(INDEX(Client_List!$J:$J,MATCH(VALUE(B305),Client_List!$A:$A,0)),""))</f>
        <v/>
      </c>
      <c r="I305" s="70">
        <f>IF(B305="","",IFERROR(A305-LOOKUP(2,1/($B$4:$B304=B305),$A$4:$A304),""))</f>
        <v/>
      </c>
      <c r="J305" s="32">
        <f>IF(B305="","",IFERROR(D305/I305,""))</f>
        <v/>
      </c>
      <c r="K305" s="71">
        <f>IF(B305="","",IFERROR(AVERAGEIFS($J$4:$J305,$B$4:$B305,B305,$J$4:$J305,"&gt;"&amp;0),""))</f>
        <v/>
      </c>
      <c r="L305" s="7" t="n"/>
    </row>
    <row r="306" ht="14" customHeight="1" s="72">
      <c r="A306" s="75" t="n">
        <v>46050</v>
      </c>
      <c r="B306" s="76" t="n">
        <v>13012</v>
      </c>
      <c r="C306" s="69">
        <f>IF(B306="","",IFERROR(INDEX(Client_List!$B:$B,MATCH(B306,Client_List!$A:$A,0)),"⚠ NOT FOUND"))</f>
        <v/>
      </c>
      <c r="D306" s="43" t="n">
        <v>711</v>
      </c>
      <c r="E306" s="32">
        <f>IF(B306="","",IFERROR(INDEX(Client_List!$C:$C,MATCH(VALUE(B306),Client_List!$A:$A,0)),""))</f>
        <v/>
      </c>
      <c r="F306" s="53">
        <f>IF(B306="","",IFERROR(INDEX(Client_List!$D:$D,MATCH(VALUE(B306),Client_List!$A:$A,0)),""))</f>
        <v/>
      </c>
      <c r="G306" s="53">
        <f>IF(B306="","",IFERROR(INDEX(Client_List!$K:$K,MATCH(VALUE(B306),Client_List!$A:$A,0)),""))</f>
        <v/>
      </c>
      <c r="H306" s="32">
        <f>IF(B306="","",IFERROR(INDEX(Client_List!$J:$J,MATCH(VALUE(B306),Client_List!$A:$A,0)),""))</f>
        <v/>
      </c>
      <c r="I306" s="70">
        <f>IF(B306="","",IFERROR(A306-LOOKUP(2,1/($B$4:$B305=B306),$A$4:$A305),""))</f>
        <v/>
      </c>
      <c r="J306" s="32">
        <f>IF(B306="","",IFERROR(D306/I306,""))</f>
        <v/>
      </c>
      <c r="K306" s="71">
        <f>IF(B306="","",IFERROR(AVERAGEIFS($J$4:$J306,$B$4:$B306,B306,$J$4:$J306,"&gt;"&amp;0),""))</f>
        <v/>
      </c>
      <c r="L306" s="4" t="n"/>
    </row>
    <row r="307" ht="14" customHeight="1" s="72">
      <c r="A307" s="75" t="n">
        <v>46050</v>
      </c>
      <c r="B307" s="76" t="n">
        <v>15023</v>
      </c>
      <c r="C307" s="69">
        <f>IF(B307="","",IFERROR(INDEX(Client_List!$B:$B,MATCH(B307,Client_List!$A:$A,0)),"⚠ NOT FOUND"))</f>
        <v/>
      </c>
      <c r="D307" s="43" t="n">
        <v>336</v>
      </c>
      <c r="E307" s="32">
        <f>IF(B307="","",IFERROR(INDEX(Client_List!$C:$C,MATCH(VALUE(B307),Client_List!$A:$A,0)),""))</f>
        <v/>
      </c>
      <c r="F307" s="53">
        <f>IF(B307="","",IFERROR(INDEX(Client_List!$D:$D,MATCH(VALUE(B307),Client_List!$A:$A,0)),""))</f>
        <v/>
      </c>
      <c r="G307" s="53">
        <f>IF(B307="","",IFERROR(INDEX(Client_List!$K:$K,MATCH(VALUE(B307),Client_List!$A:$A,0)),""))</f>
        <v/>
      </c>
      <c r="H307" s="32">
        <f>IF(B307="","",IFERROR(INDEX(Client_List!$J:$J,MATCH(VALUE(B307),Client_List!$A:$A,0)),""))</f>
        <v/>
      </c>
      <c r="I307" s="70">
        <f>IF(B307="","",IFERROR(A307-LOOKUP(2,1/($B$4:$B306=B307),$A$4:$A306),""))</f>
        <v/>
      </c>
      <c r="J307" s="32">
        <f>IF(B307="","",IFERROR(D307/I307,""))</f>
        <v/>
      </c>
      <c r="K307" s="71">
        <f>IF(B307="","",IFERROR(AVERAGEIFS($J$4:$J307,$B$4:$B307,B307,$J$4:$J307,"&gt;"&amp;0),""))</f>
        <v/>
      </c>
      <c r="L307" s="7" t="n"/>
    </row>
    <row r="308" ht="14" customHeight="1" s="72">
      <c r="A308" s="75" t="n">
        <v>46050</v>
      </c>
      <c r="B308" s="76" t="n">
        <v>19022</v>
      </c>
      <c r="C308" s="69">
        <f>IF(B308="","",IFERROR(INDEX(Client_List!$B:$B,MATCH(B308,Client_List!$A:$A,0)),"⚠ NOT FOUND"))</f>
        <v/>
      </c>
      <c r="D308" s="43" t="n">
        <v>851</v>
      </c>
      <c r="E308" s="32">
        <f>IF(B308="","",IFERROR(INDEX(Client_List!$C:$C,MATCH(VALUE(B308),Client_List!$A:$A,0)),""))</f>
        <v/>
      </c>
      <c r="F308" s="53">
        <f>IF(B308="","",IFERROR(INDEX(Client_List!$D:$D,MATCH(VALUE(B308),Client_List!$A:$A,0)),""))</f>
        <v/>
      </c>
      <c r="G308" s="53">
        <f>IF(B308="","",IFERROR(INDEX(Client_List!$K:$K,MATCH(VALUE(B308),Client_List!$A:$A,0)),""))</f>
        <v/>
      </c>
      <c r="H308" s="32">
        <f>IF(B308="","",IFERROR(INDEX(Client_List!$J:$J,MATCH(VALUE(B308),Client_List!$A:$A,0)),""))</f>
        <v/>
      </c>
      <c r="I308" s="70">
        <f>IF(B308="","",IFERROR(A308-LOOKUP(2,1/($B$4:$B307=B308),$A$4:$A307),""))</f>
        <v/>
      </c>
      <c r="J308" s="32">
        <f>IF(B308="","",IFERROR(D308/I308,""))</f>
        <v/>
      </c>
      <c r="K308" s="71">
        <f>IF(B308="","",IFERROR(AVERAGEIFS($J$4:$J308,$B$4:$B308,B308,$J$4:$J308,"&gt;"&amp;0),""))</f>
        <v/>
      </c>
      <c r="L308" s="4" t="n"/>
    </row>
    <row r="309" ht="14" customHeight="1" s="72">
      <c r="A309" s="75" t="n">
        <v>46050</v>
      </c>
      <c r="B309" s="76" t="n">
        <v>20014</v>
      </c>
      <c r="C309" s="69">
        <f>IF(B309="","",IFERROR(INDEX(Client_List!$B:$B,MATCH(B309,Client_List!$A:$A,0)),"⚠ NOT FOUND"))</f>
        <v/>
      </c>
      <c r="D309" s="43" t="n">
        <v>904</v>
      </c>
      <c r="E309" s="32">
        <f>IF(B309="","",IFERROR(INDEX(Client_List!$C:$C,MATCH(VALUE(B309),Client_List!$A:$A,0)),""))</f>
        <v/>
      </c>
      <c r="F309" s="53">
        <f>IF(B309="","",IFERROR(INDEX(Client_List!$D:$D,MATCH(VALUE(B309),Client_List!$A:$A,0)),""))</f>
        <v/>
      </c>
      <c r="G309" s="53">
        <f>IF(B309="","",IFERROR(INDEX(Client_List!$K:$K,MATCH(VALUE(B309),Client_List!$A:$A,0)),""))</f>
        <v/>
      </c>
      <c r="H309" s="32">
        <f>IF(B309="","",IFERROR(INDEX(Client_List!$J:$J,MATCH(VALUE(B309),Client_List!$A:$A,0)),""))</f>
        <v/>
      </c>
      <c r="I309" s="70">
        <f>IF(B309="","",IFERROR(A309-LOOKUP(2,1/($B$4:$B308=B309),$A$4:$A308),""))</f>
        <v/>
      </c>
      <c r="J309" s="32">
        <f>IF(B309="","",IFERROR(D309/I309,""))</f>
        <v/>
      </c>
      <c r="K309" s="71">
        <f>IF(B309="","",IFERROR(AVERAGEIFS($J$4:$J309,$B$4:$B309,B309,$J$4:$J309,"&gt;"&amp;0),""))</f>
        <v/>
      </c>
      <c r="L309" s="7" t="n"/>
    </row>
    <row r="310" ht="14" customHeight="1" s="72">
      <c r="A310" s="75" t="n">
        <v>46051</v>
      </c>
      <c r="B310" s="76" t="n">
        <v>1083</v>
      </c>
      <c r="C310" s="69">
        <f>IF(B310="","",IFERROR(INDEX(Client_List!$B:$B,MATCH(B310,Client_List!$A:$A,0)),"⚠ NOT FOUND"))</f>
        <v/>
      </c>
      <c r="D310" s="43" t="n">
        <v>310</v>
      </c>
      <c r="E310" s="32">
        <f>IF(B310="","",IFERROR(INDEX(Client_List!$C:$C,MATCH(VALUE(B310),Client_List!$A:$A,0)),""))</f>
        <v/>
      </c>
      <c r="F310" s="53">
        <f>IF(B310="","",IFERROR(INDEX(Client_List!$D:$D,MATCH(VALUE(B310),Client_List!$A:$A,0)),""))</f>
        <v/>
      </c>
      <c r="G310" s="53">
        <f>IF(B310="","",IFERROR(INDEX(Client_List!$K:$K,MATCH(VALUE(B310),Client_List!$A:$A,0)),""))</f>
        <v/>
      </c>
      <c r="H310" s="32">
        <f>IF(B310="","",IFERROR(INDEX(Client_List!$J:$J,MATCH(VALUE(B310),Client_List!$A:$A,0)),""))</f>
        <v/>
      </c>
      <c r="I310" s="70">
        <f>IF(B310="","",IFERROR(A310-LOOKUP(2,1/($B$4:$B309=B310),$A$4:$A309),""))</f>
        <v/>
      </c>
      <c r="J310" s="32">
        <f>IF(B310="","",IFERROR(D310/I310,""))</f>
        <v/>
      </c>
      <c r="K310" s="71">
        <f>IF(B310="","",IFERROR(AVERAGEIFS($J$4:$J310,$B$4:$B310,B310,$J$4:$J310,"&gt;"&amp;0),""))</f>
        <v/>
      </c>
      <c r="L310" s="4" t="n"/>
    </row>
    <row r="311" ht="14" customHeight="1" s="72">
      <c r="A311" s="75" t="n">
        <v>46051</v>
      </c>
      <c r="B311" s="76" t="n">
        <v>2017</v>
      </c>
      <c r="C311" s="69">
        <f>IF(B311="","",IFERROR(INDEX(Client_List!$B:$B,MATCH(B311,Client_List!$A:$A,0)),"⚠ NOT FOUND"))</f>
        <v/>
      </c>
      <c r="D311" s="43" t="n">
        <v>428</v>
      </c>
      <c r="E311" s="32">
        <f>IF(B311="","",IFERROR(INDEX(Client_List!$C:$C,MATCH(VALUE(B311),Client_List!$A:$A,0)),""))</f>
        <v/>
      </c>
      <c r="F311" s="53">
        <f>IF(B311="","",IFERROR(INDEX(Client_List!$D:$D,MATCH(VALUE(B311),Client_List!$A:$A,0)),""))</f>
        <v/>
      </c>
      <c r="G311" s="53">
        <f>IF(B311="","",IFERROR(INDEX(Client_List!$K:$K,MATCH(VALUE(B311),Client_List!$A:$A,0)),""))</f>
        <v/>
      </c>
      <c r="H311" s="32">
        <f>IF(B311="","",IFERROR(INDEX(Client_List!$J:$J,MATCH(VALUE(B311),Client_List!$A:$A,0)),""))</f>
        <v/>
      </c>
      <c r="I311" s="70">
        <f>IF(B311="","",IFERROR(A311-LOOKUP(2,1/($B$4:$B310=B311),$A$4:$A310),""))</f>
        <v/>
      </c>
      <c r="J311" s="32">
        <f>IF(B311="","",IFERROR(D311/I311,""))</f>
        <v/>
      </c>
      <c r="K311" s="71">
        <f>IF(B311="","",IFERROR(AVERAGEIFS($J$4:$J311,$B$4:$B311,B311,$J$4:$J311,"&gt;"&amp;0),""))</f>
        <v/>
      </c>
      <c r="L311" s="7" t="n"/>
    </row>
    <row r="312" ht="14" customHeight="1" s="72">
      <c r="A312" s="75" t="n">
        <v>46051</v>
      </c>
      <c r="B312" s="76" t="n">
        <v>2053</v>
      </c>
      <c r="C312" s="69">
        <f>IF(B312="","",IFERROR(INDEX(Client_List!$B:$B,MATCH(B312,Client_List!$A:$A,0)),"⚠ NOT FOUND"))</f>
        <v/>
      </c>
      <c r="D312" s="43" t="n">
        <v>901</v>
      </c>
      <c r="E312" s="32">
        <f>IF(B312="","",IFERROR(INDEX(Client_List!$C:$C,MATCH(VALUE(B312),Client_List!$A:$A,0)),""))</f>
        <v/>
      </c>
      <c r="F312" s="53">
        <f>IF(B312="","",IFERROR(INDEX(Client_List!$D:$D,MATCH(VALUE(B312),Client_List!$A:$A,0)),""))</f>
        <v/>
      </c>
      <c r="G312" s="53">
        <f>IF(B312="","",IFERROR(INDEX(Client_List!$K:$K,MATCH(VALUE(B312),Client_List!$A:$A,0)),""))</f>
        <v/>
      </c>
      <c r="H312" s="32">
        <f>IF(B312="","",IFERROR(INDEX(Client_List!$J:$J,MATCH(VALUE(B312),Client_List!$A:$A,0)),""))</f>
        <v/>
      </c>
      <c r="I312" s="70">
        <f>IF(B312="","",IFERROR(A312-LOOKUP(2,1/($B$4:$B311=B312),$A$4:$A311),""))</f>
        <v/>
      </c>
      <c r="J312" s="32">
        <f>IF(B312="","",IFERROR(D312/I312,""))</f>
        <v/>
      </c>
      <c r="K312" s="71">
        <f>IF(B312="","",IFERROR(AVERAGEIFS($J$4:$J312,$B$4:$B312,B312,$J$4:$J312,"&gt;"&amp;0),""))</f>
        <v/>
      </c>
      <c r="L312" s="4" t="n"/>
    </row>
    <row r="313" ht="14" customHeight="1" s="72">
      <c r="A313" s="75" t="n">
        <v>46051</v>
      </c>
      <c r="B313" s="76" t="n">
        <v>2067</v>
      </c>
      <c r="C313" s="69">
        <f>IF(B313="","",IFERROR(INDEX(Client_List!$B:$B,MATCH(B313,Client_List!$A:$A,0)),"⚠ NOT FOUND"))</f>
        <v/>
      </c>
      <c r="D313" s="43" t="n">
        <v>723</v>
      </c>
      <c r="E313" s="32">
        <f>IF(B313="","",IFERROR(INDEX(Client_List!$C:$C,MATCH(VALUE(B313),Client_List!$A:$A,0)),""))</f>
        <v/>
      </c>
      <c r="F313" s="53">
        <f>IF(B313="","",IFERROR(INDEX(Client_List!$D:$D,MATCH(VALUE(B313),Client_List!$A:$A,0)),""))</f>
        <v/>
      </c>
      <c r="G313" s="53">
        <f>IF(B313="","",IFERROR(INDEX(Client_List!$K:$K,MATCH(VALUE(B313),Client_List!$A:$A,0)),""))</f>
        <v/>
      </c>
      <c r="H313" s="32">
        <f>IF(B313="","",IFERROR(INDEX(Client_List!$J:$J,MATCH(VALUE(B313),Client_List!$A:$A,0)),""))</f>
        <v/>
      </c>
      <c r="I313" s="70">
        <f>IF(B313="","",IFERROR(A313-LOOKUP(2,1/($B$4:$B312=B313),$A$4:$A312),""))</f>
        <v/>
      </c>
      <c r="J313" s="32">
        <f>IF(B313="","",IFERROR(D313/I313,""))</f>
        <v/>
      </c>
      <c r="K313" s="71">
        <f>IF(B313="","",IFERROR(AVERAGEIFS($J$4:$J313,$B$4:$B313,B313,$J$4:$J313,"&gt;"&amp;0),""))</f>
        <v/>
      </c>
      <c r="L313" s="7" t="n"/>
    </row>
    <row r="314" ht="14" customHeight="1" s="72">
      <c r="A314" s="75" t="n">
        <v>46051</v>
      </c>
      <c r="B314" s="76" t="n">
        <v>2078</v>
      </c>
      <c r="C314" s="69">
        <f>IF(B314="","",IFERROR(INDEX(Client_List!$B:$B,MATCH(B314,Client_List!$A:$A,0)),"⚠ NOT FOUND"))</f>
        <v/>
      </c>
      <c r="D314" s="43" t="n">
        <v>318</v>
      </c>
      <c r="E314" s="32">
        <f>IF(B314="","",IFERROR(INDEX(Client_List!$C:$C,MATCH(VALUE(B314),Client_List!$A:$A,0)),""))</f>
        <v/>
      </c>
      <c r="F314" s="53">
        <f>IF(B314="","",IFERROR(INDEX(Client_List!$D:$D,MATCH(VALUE(B314),Client_List!$A:$A,0)),""))</f>
        <v/>
      </c>
      <c r="G314" s="53">
        <f>IF(B314="","",IFERROR(INDEX(Client_List!$K:$K,MATCH(VALUE(B314),Client_List!$A:$A,0)),""))</f>
        <v/>
      </c>
      <c r="H314" s="32">
        <f>IF(B314="","",IFERROR(INDEX(Client_List!$J:$J,MATCH(VALUE(B314),Client_List!$A:$A,0)),""))</f>
        <v/>
      </c>
      <c r="I314" s="70">
        <f>IF(B314="","",IFERROR(A314-LOOKUP(2,1/($B$4:$B313=B314),$A$4:$A313),""))</f>
        <v/>
      </c>
      <c r="J314" s="32">
        <f>IF(B314="","",IFERROR(D314/I314,""))</f>
        <v/>
      </c>
      <c r="K314" s="71">
        <f>IF(B314="","",IFERROR(AVERAGEIFS($J$4:$J314,$B$4:$B314,B314,$J$4:$J314,"&gt;"&amp;0),""))</f>
        <v/>
      </c>
      <c r="L314" s="4" t="n"/>
    </row>
    <row r="315" ht="14" customHeight="1" s="72">
      <c r="A315" s="75" t="n">
        <v>46051</v>
      </c>
      <c r="B315" s="76" t="n">
        <v>4010</v>
      </c>
      <c r="C315" s="69">
        <f>IF(B315="","",IFERROR(INDEX(Client_List!$B:$B,MATCH(B315,Client_List!$A:$A,0)),"⚠ NOT FOUND"))</f>
        <v/>
      </c>
      <c r="D315" s="43" t="n">
        <v>457</v>
      </c>
      <c r="E315" s="32">
        <f>IF(B315="","",IFERROR(INDEX(Client_List!$C:$C,MATCH(VALUE(B315),Client_List!$A:$A,0)),""))</f>
        <v/>
      </c>
      <c r="F315" s="53">
        <f>IF(B315="","",IFERROR(INDEX(Client_List!$D:$D,MATCH(VALUE(B315),Client_List!$A:$A,0)),""))</f>
        <v/>
      </c>
      <c r="G315" s="53">
        <f>IF(B315="","",IFERROR(INDEX(Client_List!$K:$K,MATCH(VALUE(B315),Client_List!$A:$A,0)),""))</f>
        <v/>
      </c>
      <c r="H315" s="32">
        <f>IF(B315="","",IFERROR(INDEX(Client_List!$J:$J,MATCH(VALUE(B315),Client_List!$A:$A,0)),""))</f>
        <v/>
      </c>
      <c r="I315" s="70">
        <f>IF(B315="","",IFERROR(A315-LOOKUP(2,1/($B$4:$B314=B315),$A$4:$A314),""))</f>
        <v/>
      </c>
      <c r="J315" s="32">
        <f>IF(B315="","",IFERROR(D315/I315,""))</f>
        <v/>
      </c>
      <c r="K315" s="71">
        <f>IF(B315="","",IFERROR(AVERAGEIFS($J$4:$J315,$B$4:$B315,B315,$J$4:$J315,"&gt;"&amp;0),""))</f>
        <v/>
      </c>
      <c r="L315" s="7" t="n"/>
    </row>
    <row r="316" ht="14" customHeight="1" s="72">
      <c r="A316" s="75" t="n">
        <v>46051</v>
      </c>
      <c r="B316" s="76" t="n">
        <v>5018</v>
      </c>
      <c r="C316" s="69">
        <f>IF(B316="","",IFERROR(INDEX(Client_List!$B:$B,MATCH(B316,Client_List!$A:$A,0)),"⚠ NOT FOUND"))</f>
        <v/>
      </c>
      <c r="D316" s="43" t="n">
        <v>170</v>
      </c>
      <c r="E316" s="32">
        <f>IF(B316="","",IFERROR(INDEX(Client_List!$C:$C,MATCH(VALUE(B316),Client_List!$A:$A,0)),""))</f>
        <v/>
      </c>
      <c r="F316" s="53">
        <f>IF(B316="","",IFERROR(INDEX(Client_List!$D:$D,MATCH(VALUE(B316),Client_List!$A:$A,0)),""))</f>
        <v/>
      </c>
      <c r="G316" s="53">
        <f>IF(B316="","",IFERROR(INDEX(Client_List!$K:$K,MATCH(VALUE(B316),Client_List!$A:$A,0)),""))</f>
        <v/>
      </c>
      <c r="H316" s="32">
        <f>IF(B316="","",IFERROR(INDEX(Client_List!$J:$J,MATCH(VALUE(B316),Client_List!$A:$A,0)),""))</f>
        <v/>
      </c>
      <c r="I316" s="70">
        <f>IF(B316="","",IFERROR(A316-LOOKUP(2,1/($B$4:$B315=B316),$A$4:$A315),""))</f>
        <v/>
      </c>
      <c r="J316" s="32">
        <f>IF(B316="","",IFERROR(D316/I316,""))</f>
        <v/>
      </c>
      <c r="K316" s="71">
        <f>IF(B316="","",IFERROR(AVERAGEIFS($J$4:$J316,$B$4:$B316,B316,$J$4:$J316,"&gt;"&amp;0),""))</f>
        <v/>
      </c>
      <c r="L316" s="4" t="n"/>
    </row>
    <row r="317" ht="14" customHeight="1" s="72">
      <c r="A317" s="75" t="n">
        <v>46051</v>
      </c>
      <c r="B317" s="76" t="n">
        <v>7053</v>
      </c>
      <c r="C317" s="69">
        <f>IF(B317="","",IFERROR(INDEX(Client_List!$B:$B,MATCH(B317,Client_List!$A:$A,0)),"⚠ NOT FOUND"))</f>
        <v/>
      </c>
      <c r="D317" s="43" t="n">
        <v>251</v>
      </c>
      <c r="E317" s="32">
        <f>IF(B317="","",IFERROR(INDEX(Client_List!$C:$C,MATCH(VALUE(B317),Client_List!$A:$A,0)),""))</f>
        <v/>
      </c>
      <c r="F317" s="53">
        <f>IF(B317="","",IFERROR(INDEX(Client_List!$D:$D,MATCH(VALUE(B317),Client_List!$A:$A,0)),""))</f>
        <v/>
      </c>
      <c r="G317" s="53">
        <f>IF(B317="","",IFERROR(INDEX(Client_List!$K:$K,MATCH(VALUE(B317),Client_List!$A:$A,0)),""))</f>
        <v/>
      </c>
      <c r="H317" s="32">
        <f>IF(B317="","",IFERROR(INDEX(Client_List!$J:$J,MATCH(VALUE(B317),Client_List!$A:$A,0)),""))</f>
        <v/>
      </c>
      <c r="I317" s="70">
        <f>IF(B317="","",IFERROR(A317-LOOKUP(2,1/($B$4:$B316=B317),$A$4:$A316),""))</f>
        <v/>
      </c>
      <c r="J317" s="32">
        <f>IF(B317="","",IFERROR(D317/I317,""))</f>
        <v/>
      </c>
      <c r="K317" s="71">
        <f>IF(B317="","",IFERROR(AVERAGEIFS($J$4:$J317,$B$4:$B317,B317,$J$4:$J317,"&gt;"&amp;0),""))</f>
        <v/>
      </c>
      <c r="L317" s="7" t="n"/>
    </row>
    <row r="318" ht="14" customHeight="1" s="72">
      <c r="A318" s="75" t="n">
        <v>46051</v>
      </c>
      <c r="B318" s="76" t="n">
        <v>8031</v>
      </c>
      <c r="C318" s="69">
        <f>IF(B318="","",IFERROR(INDEX(Client_List!$B:$B,MATCH(B318,Client_List!$A:$A,0)),"⚠ NOT FOUND"))</f>
        <v/>
      </c>
      <c r="D318" s="43" t="n">
        <v>788</v>
      </c>
      <c r="E318" s="32">
        <f>IF(B318="","",IFERROR(INDEX(Client_List!$C:$C,MATCH(VALUE(B318),Client_List!$A:$A,0)),""))</f>
        <v/>
      </c>
      <c r="F318" s="53">
        <f>IF(B318="","",IFERROR(INDEX(Client_List!$D:$D,MATCH(VALUE(B318),Client_List!$A:$A,0)),""))</f>
        <v/>
      </c>
      <c r="G318" s="53">
        <f>IF(B318="","",IFERROR(INDEX(Client_List!$K:$K,MATCH(VALUE(B318),Client_List!$A:$A,0)),""))</f>
        <v/>
      </c>
      <c r="H318" s="32">
        <f>IF(B318="","",IFERROR(INDEX(Client_List!$J:$J,MATCH(VALUE(B318),Client_List!$A:$A,0)),""))</f>
        <v/>
      </c>
      <c r="I318" s="70">
        <f>IF(B318="","",IFERROR(A318-LOOKUP(2,1/($B$4:$B317=B318),$A$4:$A317),""))</f>
        <v/>
      </c>
      <c r="J318" s="32">
        <f>IF(B318="","",IFERROR(D318/I318,""))</f>
        <v/>
      </c>
      <c r="K318" s="71">
        <f>IF(B318="","",IFERROR(AVERAGEIFS($J$4:$J318,$B$4:$B318,B318,$J$4:$J318,"&gt;"&amp;0),""))</f>
        <v/>
      </c>
      <c r="L318" s="4" t="n"/>
    </row>
    <row r="319" ht="14" customHeight="1" s="72">
      <c r="A319" s="75" t="n">
        <v>46051</v>
      </c>
      <c r="B319" s="76" t="n">
        <v>8034</v>
      </c>
      <c r="C319" s="69">
        <f>IF(B319="","",IFERROR(INDEX(Client_List!$B:$B,MATCH(B319,Client_List!$A:$A,0)),"⚠ NOT FOUND"))</f>
        <v/>
      </c>
      <c r="D319" s="43" t="n">
        <v>399</v>
      </c>
      <c r="E319" s="32">
        <f>IF(B319="","",IFERROR(INDEX(Client_List!$C:$C,MATCH(VALUE(B319),Client_List!$A:$A,0)),""))</f>
        <v/>
      </c>
      <c r="F319" s="53">
        <f>IF(B319="","",IFERROR(INDEX(Client_List!$D:$D,MATCH(VALUE(B319),Client_List!$A:$A,0)),""))</f>
        <v/>
      </c>
      <c r="G319" s="53">
        <f>IF(B319="","",IFERROR(INDEX(Client_List!$K:$K,MATCH(VALUE(B319),Client_List!$A:$A,0)),""))</f>
        <v/>
      </c>
      <c r="H319" s="32">
        <f>IF(B319="","",IFERROR(INDEX(Client_List!$J:$J,MATCH(VALUE(B319),Client_List!$A:$A,0)),""))</f>
        <v/>
      </c>
      <c r="I319" s="70">
        <f>IF(B319="","",IFERROR(A319-LOOKUP(2,1/($B$4:$B318=B319),$A$4:$A318),""))</f>
        <v/>
      </c>
      <c r="J319" s="32">
        <f>IF(B319="","",IFERROR(D319/I319,""))</f>
        <v/>
      </c>
      <c r="K319" s="71">
        <f>IF(B319="","",IFERROR(AVERAGEIFS($J$4:$J319,$B$4:$B319,B319,$J$4:$J319,"&gt;"&amp;0),""))</f>
        <v/>
      </c>
      <c r="L319" s="7" t="n"/>
    </row>
    <row r="320" ht="14" customHeight="1" s="72">
      <c r="A320" s="75" t="n">
        <v>46051</v>
      </c>
      <c r="B320" s="76" t="n">
        <v>15003</v>
      </c>
      <c r="C320" s="69">
        <f>IF(B320="","",IFERROR(INDEX(Client_List!$B:$B,MATCH(B320,Client_List!$A:$A,0)),"⚠ NOT FOUND"))</f>
        <v/>
      </c>
      <c r="D320" s="43" t="n">
        <v>773</v>
      </c>
      <c r="E320" s="32">
        <f>IF(B320="","",IFERROR(INDEX(Client_List!$C:$C,MATCH(VALUE(B320),Client_List!$A:$A,0)),""))</f>
        <v/>
      </c>
      <c r="F320" s="53">
        <f>IF(B320="","",IFERROR(INDEX(Client_List!$D:$D,MATCH(VALUE(B320),Client_List!$A:$A,0)),""))</f>
        <v/>
      </c>
      <c r="G320" s="53">
        <f>IF(B320="","",IFERROR(INDEX(Client_List!$K:$K,MATCH(VALUE(B320),Client_List!$A:$A,0)),""))</f>
        <v/>
      </c>
      <c r="H320" s="32">
        <f>IF(B320="","",IFERROR(INDEX(Client_List!$J:$J,MATCH(VALUE(B320),Client_List!$A:$A,0)),""))</f>
        <v/>
      </c>
      <c r="I320" s="70">
        <f>IF(B320="","",IFERROR(A320-LOOKUP(2,1/($B$4:$B319=B320),$A$4:$A319),""))</f>
        <v/>
      </c>
      <c r="J320" s="32">
        <f>IF(B320="","",IFERROR(D320/I320,""))</f>
        <v/>
      </c>
      <c r="K320" s="71">
        <f>IF(B320="","",IFERROR(AVERAGEIFS($J$4:$J320,$B$4:$B320,B320,$J$4:$J320,"&gt;"&amp;0),""))</f>
        <v/>
      </c>
      <c r="L320" s="4" t="n"/>
    </row>
    <row r="321" ht="14" customHeight="1" s="72">
      <c r="A321" s="75" t="n">
        <v>46051</v>
      </c>
      <c r="B321" s="76" t="n">
        <v>16006</v>
      </c>
      <c r="C321" s="69">
        <f>IF(B321="","",IFERROR(INDEX(Client_List!$B:$B,MATCH(B321,Client_List!$A:$A,0)),"⚠ NOT FOUND"))</f>
        <v/>
      </c>
      <c r="D321" s="43" t="n">
        <v>700</v>
      </c>
      <c r="E321" s="32">
        <f>IF(B321="","",IFERROR(INDEX(Client_List!$C:$C,MATCH(VALUE(B321),Client_List!$A:$A,0)),""))</f>
        <v/>
      </c>
      <c r="F321" s="53">
        <f>IF(B321="","",IFERROR(INDEX(Client_List!$D:$D,MATCH(VALUE(B321),Client_List!$A:$A,0)),""))</f>
        <v/>
      </c>
      <c r="G321" s="53">
        <f>IF(B321="","",IFERROR(INDEX(Client_List!$K:$K,MATCH(VALUE(B321),Client_List!$A:$A,0)),""))</f>
        <v/>
      </c>
      <c r="H321" s="32">
        <f>IF(B321="","",IFERROR(INDEX(Client_List!$J:$J,MATCH(VALUE(B321),Client_List!$A:$A,0)),""))</f>
        <v/>
      </c>
      <c r="I321" s="70">
        <f>IF(B321="","",IFERROR(A321-LOOKUP(2,1/($B$4:$B320=B321),$A$4:$A320),""))</f>
        <v/>
      </c>
      <c r="J321" s="32">
        <f>IF(B321="","",IFERROR(D321/I321,""))</f>
        <v/>
      </c>
      <c r="K321" s="71">
        <f>IF(B321="","",IFERROR(AVERAGEIFS($J$4:$J321,$B$4:$B321,B321,$J$4:$J321,"&gt;"&amp;0),""))</f>
        <v/>
      </c>
      <c r="L321" s="7" t="n"/>
    </row>
    <row r="322" ht="14" customHeight="1" s="72">
      <c r="A322" s="75" t="n">
        <v>46051</v>
      </c>
      <c r="B322" s="76" t="n">
        <v>16015</v>
      </c>
      <c r="C322" s="69">
        <f>IF(B322="","",IFERROR(INDEX(Client_List!$B:$B,MATCH(B322,Client_List!$A:$A,0)),"⚠ NOT FOUND"))</f>
        <v/>
      </c>
      <c r="D322" s="43" t="n">
        <v>1391</v>
      </c>
      <c r="E322" s="32">
        <f>IF(B322="","",IFERROR(INDEX(Client_List!$C:$C,MATCH(VALUE(B322),Client_List!$A:$A,0)),""))</f>
        <v/>
      </c>
      <c r="F322" s="53">
        <f>IF(B322="","",IFERROR(INDEX(Client_List!$D:$D,MATCH(VALUE(B322),Client_List!$A:$A,0)),""))</f>
        <v/>
      </c>
      <c r="G322" s="53">
        <f>IF(B322="","",IFERROR(INDEX(Client_List!$K:$K,MATCH(VALUE(B322),Client_List!$A:$A,0)),""))</f>
        <v/>
      </c>
      <c r="H322" s="32">
        <f>IF(B322="","",IFERROR(INDEX(Client_List!$J:$J,MATCH(VALUE(B322),Client_List!$A:$A,0)),""))</f>
        <v/>
      </c>
      <c r="I322" s="70">
        <f>IF(B322="","",IFERROR(A322-LOOKUP(2,1/($B$4:$B321=B322),$A$4:$A321),""))</f>
        <v/>
      </c>
      <c r="J322" s="32">
        <f>IF(B322="","",IFERROR(D322/I322,""))</f>
        <v/>
      </c>
      <c r="K322" s="71">
        <f>IF(B322="","",IFERROR(AVERAGEIFS($J$4:$J322,$B$4:$B322,B322,$J$4:$J322,"&gt;"&amp;0),""))</f>
        <v/>
      </c>
      <c r="L322" s="4" t="n"/>
    </row>
    <row r="323" ht="14" customHeight="1" s="72">
      <c r="A323" s="75" t="n">
        <v>46051</v>
      </c>
      <c r="B323" s="76" t="n">
        <v>19119</v>
      </c>
      <c r="C323" s="69">
        <f>IF(B323="","",IFERROR(INDEX(Client_List!$B:$B,MATCH(B323,Client_List!$A:$A,0)),"⚠ NOT FOUND"))</f>
        <v/>
      </c>
      <c r="D323" s="43" t="n">
        <v>379</v>
      </c>
      <c r="E323" s="32">
        <f>IF(B323="","",IFERROR(INDEX(Client_List!$C:$C,MATCH(VALUE(B323),Client_List!$A:$A,0)),""))</f>
        <v/>
      </c>
      <c r="F323" s="53">
        <f>IF(B323="","",IFERROR(INDEX(Client_List!$D:$D,MATCH(VALUE(B323),Client_List!$A:$A,0)),""))</f>
        <v/>
      </c>
      <c r="G323" s="53">
        <f>IF(B323="","",IFERROR(INDEX(Client_List!$K:$K,MATCH(VALUE(B323),Client_List!$A:$A,0)),""))</f>
        <v/>
      </c>
      <c r="H323" s="32">
        <f>IF(B323="","",IFERROR(INDEX(Client_List!$J:$J,MATCH(VALUE(B323),Client_List!$A:$A,0)),""))</f>
        <v/>
      </c>
      <c r="I323" s="70">
        <f>IF(B323="","",IFERROR(A323-LOOKUP(2,1/($B$4:$B322=B323),$A$4:$A322),""))</f>
        <v/>
      </c>
      <c r="J323" s="32">
        <f>IF(B323="","",IFERROR(D323/I323,""))</f>
        <v/>
      </c>
      <c r="K323" s="71">
        <f>IF(B323="","",IFERROR(AVERAGEIFS($J$4:$J323,$B$4:$B323,B323,$J$4:$J323,"&gt;"&amp;0),""))</f>
        <v/>
      </c>
      <c r="L323" s="7" t="n"/>
    </row>
    <row r="324" ht="14" customHeight="1" s="72">
      <c r="A324" s="75" t="n">
        <v>46051</v>
      </c>
      <c r="B324" s="76" t="n">
        <v>20021</v>
      </c>
      <c r="C324" s="69">
        <f>IF(B324="","",IFERROR(INDEX(Client_List!$B:$B,MATCH(B324,Client_List!$A:$A,0)),"⚠ NOT FOUND"))</f>
        <v/>
      </c>
      <c r="D324" s="43" t="n">
        <v>520</v>
      </c>
      <c r="E324" s="32">
        <f>IF(B324="","",IFERROR(INDEX(Client_List!$C:$C,MATCH(VALUE(B324),Client_List!$A:$A,0)),""))</f>
        <v/>
      </c>
      <c r="F324" s="53">
        <f>IF(B324="","",IFERROR(INDEX(Client_List!$D:$D,MATCH(VALUE(B324),Client_List!$A:$A,0)),""))</f>
        <v/>
      </c>
      <c r="G324" s="53">
        <f>IF(B324="","",IFERROR(INDEX(Client_List!$K:$K,MATCH(VALUE(B324),Client_List!$A:$A,0)),""))</f>
        <v/>
      </c>
      <c r="H324" s="32">
        <f>IF(B324="","",IFERROR(INDEX(Client_List!$J:$J,MATCH(VALUE(B324),Client_List!$A:$A,0)),""))</f>
        <v/>
      </c>
      <c r="I324" s="70">
        <f>IF(B324="","",IFERROR(A324-LOOKUP(2,1/($B$4:$B323=B324),$A$4:$A323),""))</f>
        <v/>
      </c>
      <c r="J324" s="32">
        <f>IF(B324="","",IFERROR(D324/I324,""))</f>
        <v/>
      </c>
      <c r="K324" s="71">
        <f>IF(B324="","",IFERROR(AVERAGEIFS($J$4:$J324,$B$4:$B324,B324,$J$4:$J324,"&gt;"&amp;0),""))</f>
        <v/>
      </c>
      <c r="L324" s="4" t="n"/>
    </row>
    <row r="325" ht="14" customHeight="1" s="72">
      <c r="A325" s="75" t="n">
        <v>46051</v>
      </c>
      <c r="B325" s="76" t="n">
        <v>20092</v>
      </c>
      <c r="C325" s="69">
        <f>IF(B325="","",IFERROR(INDEX(Client_List!$B:$B,MATCH(B325,Client_List!$A:$A,0)),"⚠ NOT FOUND"))</f>
        <v/>
      </c>
      <c r="D325" s="43" t="n">
        <v>1079</v>
      </c>
      <c r="E325" s="32">
        <f>IF(B325="","",IFERROR(INDEX(Client_List!$C:$C,MATCH(VALUE(B325),Client_List!$A:$A,0)),""))</f>
        <v/>
      </c>
      <c r="F325" s="53">
        <f>IF(B325="","",IFERROR(INDEX(Client_List!$D:$D,MATCH(VALUE(B325),Client_List!$A:$A,0)),""))</f>
        <v/>
      </c>
      <c r="G325" s="53">
        <f>IF(B325="","",IFERROR(INDEX(Client_List!$K:$K,MATCH(VALUE(B325),Client_List!$A:$A,0)),""))</f>
        <v/>
      </c>
      <c r="H325" s="32">
        <f>IF(B325="","",IFERROR(INDEX(Client_List!$J:$J,MATCH(VALUE(B325),Client_List!$A:$A,0)),""))</f>
        <v/>
      </c>
      <c r="I325" s="70">
        <f>IF(B325="","",IFERROR(A325-LOOKUP(2,1/($B$4:$B324=B325),$A$4:$A324),""))</f>
        <v/>
      </c>
      <c r="J325" s="32">
        <f>IF(B325="","",IFERROR(D325/I325,""))</f>
        <v/>
      </c>
      <c r="K325" s="71">
        <f>IF(B325="","",IFERROR(AVERAGEIFS($J$4:$J325,$B$4:$B325,B325,$J$4:$J325,"&gt;"&amp;0),""))</f>
        <v/>
      </c>
      <c r="L325" s="7" t="n"/>
    </row>
    <row r="326" ht="14" customHeight="1" s="72">
      <c r="A326" s="75" t="n">
        <v>46051</v>
      </c>
      <c r="B326" s="76" t="n">
        <v>20097</v>
      </c>
      <c r="C326" s="69">
        <f>IF(B326="","",IFERROR(INDEX(Client_List!$B:$B,MATCH(B326,Client_List!$A:$A,0)),"⚠ NOT FOUND"))</f>
        <v/>
      </c>
      <c r="D326" s="43" t="n">
        <v>957</v>
      </c>
      <c r="E326" s="32">
        <f>IF(B326="","",IFERROR(INDEX(Client_List!$C:$C,MATCH(VALUE(B326),Client_List!$A:$A,0)),""))</f>
        <v/>
      </c>
      <c r="F326" s="53">
        <f>IF(B326="","",IFERROR(INDEX(Client_List!$D:$D,MATCH(VALUE(B326),Client_List!$A:$A,0)),""))</f>
        <v/>
      </c>
      <c r="G326" s="53">
        <f>IF(B326="","",IFERROR(INDEX(Client_List!$K:$K,MATCH(VALUE(B326),Client_List!$A:$A,0)),""))</f>
        <v/>
      </c>
      <c r="H326" s="32">
        <f>IF(B326="","",IFERROR(INDEX(Client_List!$J:$J,MATCH(VALUE(B326),Client_List!$A:$A,0)),""))</f>
        <v/>
      </c>
      <c r="I326" s="70">
        <f>IF(B326="","",IFERROR(A326-LOOKUP(2,1/($B$4:$B325=B326),$A$4:$A325),""))</f>
        <v/>
      </c>
      <c r="J326" s="32">
        <f>IF(B326="","",IFERROR(D326/I326,""))</f>
        <v/>
      </c>
      <c r="K326" s="71">
        <f>IF(B326="","",IFERROR(AVERAGEIFS($J$4:$J326,$B$4:$B326,B326,$J$4:$J326,"&gt;"&amp;0),""))</f>
        <v/>
      </c>
      <c r="L326" s="4" t="n"/>
    </row>
    <row r="327" ht="14" customHeight="1" s="72">
      <c r="A327" s="75" t="n">
        <v>46051</v>
      </c>
      <c r="B327" s="76" t="n">
        <v>21001</v>
      </c>
      <c r="C327" s="69">
        <f>IF(B327="","",IFERROR(INDEX(Client_List!$B:$B,MATCH(B327,Client_List!$A:$A,0)),"⚠ NOT FOUND"))</f>
        <v/>
      </c>
      <c r="D327" s="43" t="n">
        <v>1200</v>
      </c>
      <c r="E327" s="32">
        <f>IF(B327="","",IFERROR(INDEX(Client_List!$C:$C,MATCH(VALUE(B327),Client_List!$A:$A,0)),""))</f>
        <v/>
      </c>
      <c r="F327" s="53">
        <f>IF(B327="","",IFERROR(INDEX(Client_List!$D:$D,MATCH(VALUE(B327),Client_List!$A:$A,0)),""))</f>
        <v/>
      </c>
      <c r="G327" s="53">
        <f>IF(B327="","",IFERROR(INDEX(Client_List!$K:$K,MATCH(VALUE(B327),Client_List!$A:$A,0)),""))</f>
        <v/>
      </c>
      <c r="H327" s="32">
        <f>IF(B327="","",IFERROR(INDEX(Client_List!$J:$J,MATCH(VALUE(B327),Client_List!$A:$A,0)),""))</f>
        <v/>
      </c>
      <c r="I327" s="70">
        <f>IF(B327="","",IFERROR(A327-LOOKUP(2,1/($B$4:$B326=B327),$A$4:$A326),""))</f>
        <v/>
      </c>
      <c r="J327" s="32">
        <f>IF(B327="","",IFERROR(D327/I327,""))</f>
        <v/>
      </c>
      <c r="K327" s="71">
        <f>IF(B327="","",IFERROR(AVERAGEIFS($J$4:$J327,$B$4:$B327,B327,$J$4:$J327,"&gt;"&amp;0),""))</f>
        <v/>
      </c>
      <c r="L327" s="7" t="n"/>
    </row>
    <row r="328" ht="14" customHeight="1" s="72">
      <c r="A328" s="75" t="n">
        <v>46052</v>
      </c>
      <c r="B328" s="76" t="n">
        <v>1000</v>
      </c>
      <c r="C328" s="69">
        <f>IF(B328="","",IFERROR(INDEX(Client_List!$B:$B,MATCH(B328,Client_List!$A:$A,0)),"⚠ NOT FOUND"))</f>
        <v/>
      </c>
      <c r="D328" s="43" t="n">
        <v>623</v>
      </c>
      <c r="E328" s="32">
        <f>IF(B328="","",IFERROR(INDEX(Client_List!$C:$C,MATCH(VALUE(B328),Client_List!$A:$A,0)),""))</f>
        <v/>
      </c>
      <c r="F328" s="53">
        <f>IF(B328="","",IFERROR(INDEX(Client_List!$D:$D,MATCH(VALUE(B328),Client_List!$A:$A,0)),""))</f>
        <v/>
      </c>
      <c r="G328" s="53">
        <f>IF(B328="","",IFERROR(INDEX(Client_List!$K:$K,MATCH(VALUE(B328),Client_List!$A:$A,0)),""))</f>
        <v/>
      </c>
      <c r="H328" s="32">
        <f>IF(B328="","",IFERROR(INDEX(Client_List!$J:$J,MATCH(VALUE(B328),Client_List!$A:$A,0)),""))</f>
        <v/>
      </c>
      <c r="I328" s="70">
        <f>IF(B328="","",IFERROR(A328-LOOKUP(2,1/($B$4:$B327=B328),$A$4:$A327),""))</f>
        <v/>
      </c>
      <c r="J328" s="32">
        <f>IF(B328="","",IFERROR(D328/I328,""))</f>
        <v/>
      </c>
      <c r="K328" s="71">
        <f>IF(B328="","",IFERROR(AVERAGEIFS($J$4:$J328,$B$4:$B328,B328,$J$4:$J328,"&gt;"&amp;0),""))</f>
        <v/>
      </c>
      <c r="L328" s="4" t="n"/>
    </row>
    <row r="329" ht="14" customHeight="1" s="72">
      <c r="A329" s="75" t="n">
        <v>46052</v>
      </c>
      <c r="B329" s="76" t="n">
        <v>1018</v>
      </c>
      <c r="C329" s="69">
        <f>IF(B329="","",IFERROR(INDEX(Client_List!$B:$B,MATCH(B329,Client_List!$A:$A,0)),"⚠ NOT FOUND"))</f>
        <v/>
      </c>
      <c r="D329" s="43" t="n">
        <v>859</v>
      </c>
      <c r="E329" s="32">
        <f>IF(B329="","",IFERROR(INDEX(Client_List!$C:$C,MATCH(VALUE(B329),Client_List!$A:$A,0)),""))</f>
        <v/>
      </c>
      <c r="F329" s="53">
        <f>IF(B329="","",IFERROR(INDEX(Client_List!$D:$D,MATCH(VALUE(B329),Client_List!$A:$A,0)),""))</f>
        <v/>
      </c>
      <c r="G329" s="53">
        <f>IF(B329="","",IFERROR(INDEX(Client_List!$K:$K,MATCH(VALUE(B329),Client_List!$A:$A,0)),""))</f>
        <v/>
      </c>
      <c r="H329" s="32">
        <f>IF(B329="","",IFERROR(INDEX(Client_List!$J:$J,MATCH(VALUE(B329),Client_List!$A:$A,0)),""))</f>
        <v/>
      </c>
      <c r="I329" s="70">
        <f>IF(B329="","",IFERROR(A329-LOOKUP(2,1/($B$4:$B328=B329),$A$4:$A328),""))</f>
        <v/>
      </c>
      <c r="J329" s="32">
        <f>IF(B329="","",IFERROR(D329/I329,""))</f>
        <v/>
      </c>
      <c r="K329" s="71">
        <f>IF(B329="","",IFERROR(AVERAGEIFS($J$4:$J329,$B$4:$B329,B329,$J$4:$J329,"&gt;"&amp;0),""))</f>
        <v/>
      </c>
      <c r="L329" s="7" t="n"/>
    </row>
    <row r="330" ht="14" customHeight="1" s="72">
      <c r="A330" s="75" t="n">
        <v>46052</v>
      </c>
      <c r="B330" s="76" t="n">
        <v>1054</v>
      </c>
      <c r="C330" s="69">
        <f>IF(B330="","",IFERROR(INDEX(Client_List!$B:$B,MATCH(B330,Client_List!$A:$A,0)),"⚠ NOT FOUND"))</f>
        <v/>
      </c>
      <c r="D330" s="43" t="n">
        <v>314</v>
      </c>
      <c r="E330" s="32">
        <f>IF(B330="","",IFERROR(INDEX(Client_List!$C:$C,MATCH(VALUE(B330),Client_List!$A:$A,0)),""))</f>
        <v/>
      </c>
      <c r="F330" s="53">
        <f>IF(B330="","",IFERROR(INDEX(Client_List!$D:$D,MATCH(VALUE(B330),Client_List!$A:$A,0)),""))</f>
        <v/>
      </c>
      <c r="G330" s="53">
        <f>IF(B330="","",IFERROR(INDEX(Client_List!$K:$K,MATCH(VALUE(B330),Client_List!$A:$A,0)),""))</f>
        <v/>
      </c>
      <c r="H330" s="32">
        <f>IF(B330="","",IFERROR(INDEX(Client_List!$J:$J,MATCH(VALUE(B330),Client_List!$A:$A,0)),""))</f>
        <v/>
      </c>
      <c r="I330" s="70">
        <f>IF(B330="","",IFERROR(A330-LOOKUP(2,1/($B$4:$B329=B330),$A$4:$A329),""))</f>
        <v/>
      </c>
      <c r="J330" s="32">
        <f>IF(B330="","",IFERROR(D330/I330,""))</f>
        <v/>
      </c>
      <c r="K330" s="71">
        <f>IF(B330="","",IFERROR(AVERAGEIFS($J$4:$J330,$B$4:$B330,B330,$J$4:$J330,"&gt;"&amp;0),""))</f>
        <v/>
      </c>
      <c r="L330" s="4" t="n"/>
    </row>
    <row r="331" ht="14" customHeight="1" s="72">
      <c r="A331" s="75" t="n">
        <v>46052</v>
      </c>
      <c r="B331" s="76" t="n">
        <v>2016</v>
      </c>
      <c r="C331" s="69">
        <f>IF(B331="","",IFERROR(INDEX(Client_List!$B:$B,MATCH(B331,Client_List!$A:$A,0)),"⚠ NOT FOUND"))</f>
        <v/>
      </c>
      <c r="D331" s="43" t="n">
        <v>489</v>
      </c>
      <c r="E331" s="32">
        <f>IF(B331="","",IFERROR(INDEX(Client_List!$C:$C,MATCH(VALUE(B331),Client_List!$A:$A,0)),""))</f>
        <v/>
      </c>
      <c r="F331" s="53">
        <f>IF(B331="","",IFERROR(INDEX(Client_List!$D:$D,MATCH(VALUE(B331),Client_List!$A:$A,0)),""))</f>
        <v/>
      </c>
      <c r="G331" s="53">
        <f>IF(B331="","",IFERROR(INDEX(Client_List!$K:$K,MATCH(VALUE(B331),Client_List!$A:$A,0)),""))</f>
        <v/>
      </c>
      <c r="H331" s="32">
        <f>IF(B331="","",IFERROR(INDEX(Client_List!$J:$J,MATCH(VALUE(B331),Client_List!$A:$A,0)),""))</f>
        <v/>
      </c>
      <c r="I331" s="70">
        <f>IF(B331="","",IFERROR(A331-LOOKUP(2,1/($B$4:$B330=B331),$A$4:$A330),""))</f>
        <v/>
      </c>
      <c r="J331" s="32">
        <f>IF(B331="","",IFERROR(D331/I331,""))</f>
        <v/>
      </c>
      <c r="K331" s="71">
        <f>IF(B331="","",IFERROR(AVERAGEIFS($J$4:$J331,$B$4:$B331,B331,$J$4:$J331,"&gt;"&amp;0),""))</f>
        <v/>
      </c>
      <c r="L331" s="7" t="n"/>
    </row>
    <row r="332" ht="14" customHeight="1" s="72">
      <c r="A332" s="75" t="n">
        <v>46052</v>
      </c>
      <c r="B332" s="76" t="n">
        <v>2023</v>
      </c>
      <c r="C332" s="69">
        <f>IF(B332="","",IFERROR(INDEX(Client_List!$B:$B,MATCH(B332,Client_List!$A:$A,0)),"⚠ NOT FOUND"))</f>
        <v/>
      </c>
      <c r="D332" s="43" t="n">
        <v>812</v>
      </c>
      <c r="E332" s="32">
        <f>IF(B332="","",IFERROR(INDEX(Client_List!$C:$C,MATCH(VALUE(B332),Client_List!$A:$A,0)),""))</f>
        <v/>
      </c>
      <c r="F332" s="53">
        <f>IF(B332="","",IFERROR(INDEX(Client_List!$D:$D,MATCH(VALUE(B332),Client_List!$A:$A,0)),""))</f>
        <v/>
      </c>
      <c r="G332" s="53">
        <f>IF(B332="","",IFERROR(INDEX(Client_List!$K:$K,MATCH(VALUE(B332),Client_List!$A:$A,0)),""))</f>
        <v/>
      </c>
      <c r="H332" s="32">
        <f>IF(B332="","",IFERROR(INDEX(Client_List!$J:$J,MATCH(VALUE(B332),Client_List!$A:$A,0)),""))</f>
        <v/>
      </c>
      <c r="I332" s="70">
        <f>IF(B332="","",IFERROR(A332-LOOKUP(2,1/($B$4:$B331=B332),$A$4:$A331),""))</f>
        <v/>
      </c>
      <c r="J332" s="32">
        <f>IF(B332="","",IFERROR(D332/I332,""))</f>
        <v/>
      </c>
      <c r="K332" s="71">
        <f>IF(B332="","",IFERROR(AVERAGEIFS($J$4:$J332,$B$4:$B332,B332,$J$4:$J332,"&gt;"&amp;0),""))</f>
        <v/>
      </c>
      <c r="L332" s="4" t="n"/>
    </row>
    <row r="333" ht="14" customHeight="1" s="72">
      <c r="A333" s="75" t="n">
        <v>46052</v>
      </c>
      <c r="B333" s="76" t="n">
        <v>2073</v>
      </c>
      <c r="C333" s="69">
        <f>IF(B333="","",IFERROR(INDEX(Client_List!$B:$B,MATCH(B333,Client_List!$A:$A,0)),"⚠ NOT FOUND"))</f>
        <v/>
      </c>
      <c r="D333" s="43" t="n">
        <v>279</v>
      </c>
      <c r="E333" s="32">
        <f>IF(B333="","",IFERROR(INDEX(Client_List!$C:$C,MATCH(VALUE(B333),Client_List!$A:$A,0)),""))</f>
        <v/>
      </c>
      <c r="F333" s="53">
        <f>IF(B333="","",IFERROR(INDEX(Client_List!$D:$D,MATCH(VALUE(B333),Client_List!$A:$A,0)),""))</f>
        <v/>
      </c>
      <c r="G333" s="53">
        <f>IF(B333="","",IFERROR(INDEX(Client_List!$K:$K,MATCH(VALUE(B333),Client_List!$A:$A,0)),""))</f>
        <v/>
      </c>
      <c r="H333" s="32">
        <f>IF(B333="","",IFERROR(INDEX(Client_List!$J:$J,MATCH(VALUE(B333),Client_List!$A:$A,0)),""))</f>
        <v/>
      </c>
      <c r="I333" s="70">
        <f>IF(B333="","",IFERROR(A333-LOOKUP(2,1/($B$4:$B332=B333),$A$4:$A332),""))</f>
        <v/>
      </c>
      <c r="J333" s="32">
        <f>IF(B333="","",IFERROR(D333/I333,""))</f>
        <v/>
      </c>
      <c r="K333" s="71">
        <f>IF(B333="","",IFERROR(AVERAGEIFS($J$4:$J333,$B$4:$B333,B333,$J$4:$J333,"&gt;"&amp;0),""))</f>
        <v/>
      </c>
      <c r="L333" s="7" t="n"/>
    </row>
    <row r="334" ht="14" customHeight="1" s="72">
      <c r="A334" s="75" t="n">
        <v>46052</v>
      </c>
      <c r="B334" s="76" t="n">
        <v>4025</v>
      </c>
      <c r="C334" s="69">
        <f>IF(B334="","",IFERROR(INDEX(Client_List!$B:$B,MATCH(B334,Client_List!$A:$A,0)),"⚠ NOT FOUND"))</f>
        <v/>
      </c>
      <c r="D334" s="43" t="n">
        <v>851</v>
      </c>
      <c r="E334" s="32">
        <f>IF(B334="","",IFERROR(INDEX(Client_List!$C:$C,MATCH(VALUE(B334),Client_List!$A:$A,0)),""))</f>
        <v/>
      </c>
      <c r="F334" s="53">
        <f>IF(B334="","",IFERROR(INDEX(Client_List!$D:$D,MATCH(VALUE(B334),Client_List!$A:$A,0)),""))</f>
        <v/>
      </c>
      <c r="G334" s="53">
        <f>IF(B334="","",IFERROR(INDEX(Client_List!$K:$K,MATCH(VALUE(B334),Client_List!$A:$A,0)),""))</f>
        <v/>
      </c>
      <c r="H334" s="32">
        <f>IF(B334="","",IFERROR(INDEX(Client_List!$J:$J,MATCH(VALUE(B334),Client_List!$A:$A,0)),""))</f>
        <v/>
      </c>
      <c r="I334" s="70">
        <f>IF(B334="","",IFERROR(A334-LOOKUP(2,1/($B$4:$B333=B334),$A$4:$A333),""))</f>
        <v/>
      </c>
      <c r="J334" s="32">
        <f>IF(B334="","",IFERROR(D334/I334,""))</f>
        <v/>
      </c>
      <c r="K334" s="71">
        <f>IF(B334="","",IFERROR(AVERAGEIFS($J$4:$J334,$B$4:$B334,B334,$J$4:$J334,"&gt;"&amp;0),""))</f>
        <v/>
      </c>
      <c r="L334" s="4" t="n"/>
    </row>
    <row r="335" ht="14" customHeight="1" s="72">
      <c r="A335" s="75" t="n">
        <v>46052</v>
      </c>
      <c r="B335" s="76" t="n">
        <v>8005</v>
      </c>
      <c r="C335" s="69">
        <f>IF(B335="","",IFERROR(INDEX(Client_List!$B:$B,MATCH(B335,Client_List!$A:$A,0)),"⚠ NOT FOUND"))</f>
        <v/>
      </c>
      <c r="D335" s="43" t="n">
        <v>548</v>
      </c>
      <c r="E335" s="32">
        <f>IF(B335="","",IFERROR(INDEX(Client_List!$C:$C,MATCH(VALUE(B335),Client_List!$A:$A,0)),""))</f>
        <v/>
      </c>
      <c r="F335" s="53">
        <f>IF(B335="","",IFERROR(INDEX(Client_List!$D:$D,MATCH(VALUE(B335),Client_List!$A:$A,0)),""))</f>
        <v/>
      </c>
      <c r="G335" s="53">
        <f>IF(B335="","",IFERROR(INDEX(Client_List!$K:$K,MATCH(VALUE(B335),Client_List!$A:$A,0)),""))</f>
        <v/>
      </c>
      <c r="H335" s="32">
        <f>IF(B335="","",IFERROR(INDEX(Client_List!$J:$J,MATCH(VALUE(B335),Client_List!$A:$A,0)),""))</f>
        <v/>
      </c>
      <c r="I335" s="70">
        <f>IF(B335="","",IFERROR(A335-LOOKUP(2,1/($B$4:$B334=B335),$A$4:$A334),""))</f>
        <v/>
      </c>
      <c r="J335" s="32">
        <f>IF(B335="","",IFERROR(D335/I335,""))</f>
        <v/>
      </c>
      <c r="K335" s="71">
        <f>IF(B335="","",IFERROR(AVERAGEIFS($J$4:$J335,$B$4:$B335,B335,$J$4:$J335,"&gt;"&amp;0),""))</f>
        <v/>
      </c>
      <c r="L335" s="7" t="n"/>
    </row>
    <row r="336" ht="14" customHeight="1" s="72">
      <c r="A336" s="75" t="n">
        <v>46052</v>
      </c>
      <c r="B336" s="76" t="n">
        <v>15015</v>
      </c>
      <c r="C336" s="69">
        <f>IF(B336="","",IFERROR(INDEX(Client_List!$B:$B,MATCH(B336,Client_List!$A:$A,0)),"⚠ NOT FOUND"))</f>
        <v/>
      </c>
      <c r="D336" s="43" t="n">
        <v>309</v>
      </c>
      <c r="E336" s="32">
        <f>IF(B336="","",IFERROR(INDEX(Client_List!$C:$C,MATCH(VALUE(B336),Client_List!$A:$A,0)),""))</f>
        <v/>
      </c>
      <c r="F336" s="53">
        <f>IF(B336="","",IFERROR(INDEX(Client_List!$D:$D,MATCH(VALUE(B336),Client_List!$A:$A,0)),""))</f>
        <v/>
      </c>
      <c r="G336" s="53">
        <f>IF(B336="","",IFERROR(INDEX(Client_List!$K:$K,MATCH(VALUE(B336),Client_List!$A:$A,0)),""))</f>
        <v/>
      </c>
      <c r="H336" s="32">
        <f>IF(B336="","",IFERROR(INDEX(Client_List!$J:$J,MATCH(VALUE(B336),Client_List!$A:$A,0)),""))</f>
        <v/>
      </c>
      <c r="I336" s="70">
        <f>IF(B336="","",IFERROR(A336-LOOKUP(2,1/($B$4:$B335=B336),$A$4:$A335),""))</f>
        <v/>
      </c>
      <c r="J336" s="32">
        <f>IF(B336="","",IFERROR(D336/I336,""))</f>
        <v/>
      </c>
      <c r="K336" s="71">
        <f>IF(B336="","",IFERROR(AVERAGEIFS($J$4:$J336,$B$4:$B336,B336,$J$4:$J336,"&gt;"&amp;0),""))</f>
        <v/>
      </c>
      <c r="L336" s="4" t="n"/>
    </row>
    <row r="337" ht="14" customHeight="1" s="72">
      <c r="A337" s="75" t="n">
        <v>46052</v>
      </c>
      <c r="B337" s="76" t="n">
        <v>15018</v>
      </c>
      <c r="C337" s="69">
        <f>IF(B337="","",IFERROR(INDEX(Client_List!$B:$B,MATCH(B337,Client_List!$A:$A,0)),"⚠ NOT FOUND"))</f>
        <v/>
      </c>
      <c r="D337" s="43" t="n">
        <v>447</v>
      </c>
      <c r="E337" s="32">
        <f>IF(B337="","",IFERROR(INDEX(Client_List!$C:$C,MATCH(VALUE(B337),Client_List!$A:$A,0)),""))</f>
        <v/>
      </c>
      <c r="F337" s="53">
        <f>IF(B337="","",IFERROR(INDEX(Client_List!$D:$D,MATCH(VALUE(B337),Client_List!$A:$A,0)),""))</f>
        <v/>
      </c>
      <c r="G337" s="53">
        <f>IF(B337="","",IFERROR(INDEX(Client_List!$K:$K,MATCH(VALUE(B337),Client_List!$A:$A,0)),""))</f>
        <v/>
      </c>
      <c r="H337" s="32">
        <f>IF(B337="","",IFERROR(INDEX(Client_List!$J:$J,MATCH(VALUE(B337),Client_List!$A:$A,0)),""))</f>
        <v/>
      </c>
      <c r="I337" s="70">
        <f>IF(B337="","",IFERROR(A337-LOOKUP(2,1/($B$4:$B336=B337),$A$4:$A336),""))</f>
        <v/>
      </c>
      <c r="J337" s="32">
        <f>IF(B337="","",IFERROR(D337/I337,""))</f>
        <v/>
      </c>
      <c r="K337" s="71">
        <f>IF(B337="","",IFERROR(AVERAGEIFS($J$4:$J337,$B$4:$B337,B337,$J$4:$J337,"&gt;"&amp;0),""))</f>
        <v/>
      </c>
      <c r="L337" s="7" t="n"/>
    </row>
    <row r="338" ht="14" customHeight="1" s="72">
      <c r="A338" s="75" t="n">
        <v>46052</v>
      </c>
      <c r="B338" s="76" t="n">
        <v>15035</v>
      </c>
      <c r="C338" s="69">
        <f>IF(B338="","",IFERROR(INDEX(Client_List!$B:$B,MATCH(B338,Client_List!$A:$A,0)),"⚠ NOT FOUND"))</f>
        <v/>
      </c>
      <c r="D338" s="43" t="n">
        <v>1197</v>
      </c>
      <c r="E338" s="32">
        <f>IF(B338="","",IFERROR(INDEX(Client_List!$C:$C,MATCH(VALUE(B338),Client_List!$A:$A,0)),""))</f>
        <v/>
      </c>
      <c r="F338" s="53">
        <f>IF(B338="","",IFERROR(INDEX(Client_List!$D:$D,MATCH(VALUE(B338),Client_List!$A:$A,0)),""))</f>
        <v/>
      </c>
      <c r="G338" s="53">
        <f>IF(B338="","",IFERROR(INDEX(Client_List!$K:$K,MATCH(VALUE(B338),Client_List!$A:$A,0)),""))</f>
        <v/>
      </c>
      <c r="H338" s="32">
        <f>IF(B338="","",IFERROR(INDEX(Client_List!$J:$J,MATCH(VALUE(B338),Client_List!$A:$A,0)),""))</f>
        <v/>
      </c>
      <c r="I338" s="70">
        <f>IF(B338="","",IFERROR(A338-LOOKUP(2,1/($B$4:$B337=B338),$A$4:$A337),""))</f>
        <v/>
      </c>
      <c r="J338" s="32">
        <f>IF(B338="","",IFERROR(D338/I338,""))</f>
        <v/>
      </c>
      <c r="K338" s="71">
        <f>IF(B338="","",IFERROR(AVERAGEIFS($J$4:$J338,$B$4:$B338,B338,$J$4:$J338,"&gt;"&amp;0),""))</f>
        <v/>
      </c>
      <c r="L338" s="4" t="n"/>
    </row>
    <row r="339" ht="14" customHeight="1" s="72">
      <c r="A339" s="75" t="n">
        <v>46052</v>
      </c>
      <c r="B339" s="76" t="n">
        <v>16018</v>
      </c>
      <c r="C339" s="69">
        <f>IF(B339="","",IFERROR(INDEX(Client_List!$B:$B,MATCH(B339,Client_List!$A:$A,0)),"⚠ NOT FOUND"))</f>
        <v/>
      </c>
      <c r="D339" s="43" t="n">
        <v>736</v>
      </c>
      <c r="E339" s="32">
        <f>IF(B339="","",IFERROR(INDEX(Client_List!$C:$C,MATCH(VALUE(B339),Client_List!$A:$A,0)),""))</f>
        <v/>
      </c>
      <c r="F339" s="53">
        <f>IF(B339="","",IFERROR(INDEX(Client_List!$D:$D,MATCH(VALUE(B339),Client_List!$A:$A,0)),""))</f>
        <v/>
      </c>
      <c r="G339" s="53">
        <f>IF(B339="","",IFERROR(INDEX(Client_List!$K:$K,MATCH(VALUE(B339),Client_List!$A:$A,0)),""))</f>
        <v/>
      </c>
      <c r="H339" s="32">
        <f>IF(B339="","",IFERROR(INDEX(Client_List!$J:$J,MATCH(VALUE(B339),Client_List!$A:$A,0)),""))</f>
        <v/>
      </c>
      <c r="I339" s="70">
        <f>IF(B339="","",IFERROR(A339-LOOKUP(2,1/($B$4:$B338=B339),$A$4:$A338),""))</f>
        <v/>
      </c>
      <c r="J339" s="32">
        <f>IF(B339="","",IFERROR(D339/I339,""))</f>
        <v/>
      </c>
      <c r="K339" s="71">
        <f>IF(B339="","",IFERROR(AVERAGEIFS($J$4:$J339,$B$4:$B339,B339,$J$4:$J339,"&gt;"&amp;0),""))</f>
        <v/>
      </c>
      <c r="L339" s="7" t="n"/>
    </row>
    <row r="340" ht="14" customHeight="1" s="72">
      <c r="A340" s="75" t="n">
        <v>46052</v>
      </c>
      <c r="B340" s="76" t="n">
        <v>19031</v>
      </c>
      <c r="C340" s="69">
        <f>IF(B340="","",IFERROR(INDEX(Client_List!$B:$B,MATCH(B340,Client_List!$A:$A,0)),"⚠ NOT FOUND"))</f>
        <v/>
      </c>
      <c r="D340" s="43" t="n">
        <v>641</v>
      </c>
      <c r="E340" s="32">
        <f>IF(B340="","",IFERROR(INDEX(Client_List!$C:$C,MATCH(VALUE(B340),Client_List!$A:$A,0)),""))</f>
        <v/>
      </c>
      <c r="F340" s="53">
        <f>IF(B340="","",IFERROR(INDEX(Client_List!$D:$D,MATCH(VALUE(B340),Client_List!$A:$A,0)),""))</f>
        <v/>
      </c>
      <c r="G340" s="53">
        <f>IF(B340="","",IFERROR(INDEX(Client_List!$K:$K,MATCH(VALUE(B340),Client_List!$A:$A,0)),""))</f>
        <v/>
      </c>
      <c r="H340" s="32">
        <f>IF(B340="","",IFERROR(INDEX(Client_List!$J:$J,MATCH(VALUE(B340),Client_List!$A:$A,0)),""))</f>
        <v/>
      </c>
      <c r="I340" s="70">
        <f>IF(B340="","",IFERROR(A340-LOOKUP(2,1/($B$4:$B339=B340),$A$4:$A339),""))</f>
        <v/>
      </c>
      <c r="J340" s="32">
        <f>IF(B340="","",IFERROR(D340/I340,""))</f>
        <v/>
      </c>
      <c r="K340" s="71">
        <f>IF(B340="","",IFERROR(AVERAGEIFS($J$4:$J340,$B$4:$B340,B340,$J$4:$J340,"&gt;"&amp;0),""))</f>
        <v/>
      </c>
      <c r="L340" s="4" t="n"/>
    </row>
    <row r="341" ht="14" customHeight="1" s="72">
      <c r="A341" s="75" t="n">
        <v>46052</v>
      </c>
      <c r="B341" s="76" t="n">
        <v>19035</v>
      </c>
      <c r="C341" s="69">
        <f>IF(B341="","",IFERROR(INDEX(Client_List!$B:$B,MATCH(B341,Client_List!$A:$A,0)),"⚠ NOT FOUND"))</f>
        <v/>
      </c>
      <c r="D341" s="43" t="n">
        <v>244</v>
      </c>
      <c r="E341" s="32">
        <f>IF(B341="","",IFERROR(INDEX(Client_List!$C:$C,MATCH(VALUE(B341),Client_List!$A:$A,0)),""))</f>
        <v/>
      </c>
      <c r="F341" s="53">
        <f>IF(B341="","",IFERROR(INDEX(Client_List!$D:$D,MATCH(VALUE(B341),Client_List!$A:$A,0)),""))</f>
        <v/>
      </c>
      <c r="G341" s="53">
        <f>IF(B341="","",IFERROR(INDEX(Client_List!$K:$K,MATCH(VALUE(B341),Client_List!$A:$A,0)),""))</f>
        <v/>
      </c>
      <c r="H341" s="32">
        <f>IF(B341="","",IFERROR(INDEX(Client_List!$J:$J,MATCH(VALUE(B341),Client_List!$A:$A,0)),""))</f>
        <v/>
      </c>
      <c r="I341" s="70">
        <f>IF(B341="","",IFERROR(A341-LOOKUP(2,1/($B$4:$B340=B341),$A$4:$A340),""))</f>
        <v/>
      </c>
      <c r="J341" s="32">
        <f>IF(B341="","",IFERROR(D341/I341,""))</f>
        <v/>
      </c>
      <c r="K341" s="71">
        <f>IF(B341="","",IFERROR(AVERAGEIFS($J$4:$J341,$B$4:$B341,B341,$J$4:$J341,"&gt;"&amp;0),""))</f>
        <v/>
      </c>
      <c r="L341" s="7" t="n"/>
    </row>
    <row r="342" ht="14" customHeight="1" s="72">
      <c r="A342" s="75" t="n">
        <v>46052</v>
      </c>
      <c r="B342" s="76" t="n">
        <v>19039</v>
      </c>
      <c r="C342" s="69">
        <f>IF(B342="","",IFERROR(INDEX(Client_List!$B:$B,MATCH(B342,Client_List!$A:$A,0)),"⚠ NOT FOUND"))</f>
        <v/>
      </c>
      <c r="D342" s="43" t="n">
        <v>632</v>
      </c>
      <c r="E342" s="32">
        <f>IF(B342="","",IFERROR(INDEX(Client_List!$C:$C,MATCH(VALUE(B342),Client_List!$A:$A,0)),""))</f>
        <v/>
      </c>
      <c r="F342" s="53">
        <f>IF(B342="","",IFERROR(INDEX(Client_List!$D:$D,MATCH(VALUE(B342),Client_List!$A:$A,0)),""))</f>
        <v/>
      </c>
      <c r="G342" s="53">
        <f>IF(B342="","",IFERROR(INDEX(Client_List!$K:$K,MATCH(VALUE(B342),Client_List!$A:$A,0)),""))</f>
        <v/>
      </c>
      <c r="H342" s="32">
        <f>IF(B342="","",IFERROR(INDEX(Client_List!$J:$J,MATCH(VALUE(B342),Client_List!$A:$A,0)),""))</f>
        <v/>
      </c>
      <c r="I342" s="70">
        <f>IF(B342="","",IFERROR(A342-LOOKUP(2,1/($B$4:$B341=B342),$A$4:$A341),""))</f>
        <v/>
      </c>
      <c r="J342" s="32">
        <f>IF(B342="","",IFERROR(D342/I342,""))</f>
        <v/>
      </c>
      <c r="K342" s="71">
        <f>IF(B342="","",IFERROR(AVERAGEIFS($J$4:$J342,$B$4:$B342,B342,$J$4:$J342,"&gt;"&amp;0),""))</f>
        <v/>
      </c>
      <c r="L342" s="4" t="n"/>
    </row>
    <row r="343" ht="14" customHeight="1" s="72">
      <c r="A343" s="75" t="n">
        <v>46052</v>
      </c>
      <c r="B343" s="76" t="n">
        <v>20077</v>
      </c>
      <c r="C343" s="69">
        <f>IF(B343="","",IFERROR(INDEX(Client_List!$B:$B,MATCH(B343,Client_List!$A:$A,0)),"⚠ NOT FOUND"))</f>
        <v/>
      </c>
      <c r="D343" s="43" t="n">
        <v>518</v>
      </c>
      <c r="E343" s="32">
        <f>IF(B343="","",IFERROR(INDEX(Client_List!$C:$C,MATCH(VALUE(B343),Client_List!$A:$A,0)),""))</f>
        <v/>
      </c>
      <c r="F343" s="53">
        <f>IF(B343="","",IFERROR(INDEX(Client_List!$D:$D,MATCH(VALUE(B343),Client_List!$A:$A,0)),""))</f>
        <v/>
      </c>
      <c r="G343" s="53">
        <f>IF(B343="","",IFERROR(INDEX(Client_List!$K:$K,MATCH(VALUE(B343),Client_List!$A:$A,0)),""))</f>
        <v/>
      </c>
      <c r="H343" s="32">
        <f>IF(B343="","",IFERROR(INDEX(Client_List!$J:$J,MATCH(VALUE(B343),Client_List!$A:$A,0)),""))</f>
        <v/>
      </c>
      <c r="I343" s="70">
        <f>IF(B343="","",IFERROR(A343-LOOKUP(2,1/($B$4:$B342=B343),$A$4:$A342),""))</f>
        <v/>
      </c>
      <c r="J343" s="32">
        <f>IF(B343="","",IFERROR(D343/I343,""))</f>
        <v/>
      </c>
      <c r="K343" s="71">
        <f>IF(B343="","",IFERROR(AVERAGEIFS($J$4:$J343,$B$4:$B343,B343,$J$4:$J343,"&gt;"&amp;0),""))</f>
        <v/>
      </c>
      <c r="L343" s="7" t="n"/>
    </row>
    <row r="344" ht="14" customHeight="1" s="72">
      <c r="A344" s="75" t="n">
        <v>46052</v>
      </c>
      <c r="B344" s="76" t="n">
        <v>22006</v>
      </c>
      <c r="C344" s="69">
        <f>IF(B344="","",IFERROR(INDEX(Client_List!$B:$B,MATCH(B344,Client_List!$A:$A,0)),"⚠ NOT FOUND"))</f>
        <v/>
      </c>
      <c r="D344" s="43" t="n">
        <v>555</v>
      </c>
      <c r="E344" s="32">
        <f>IF(B344="","",IFERROR(INDEX(Client_List!$C:$C,MATCH(VALUE(B344),Client_List!$A:$A,0)),""))</f>
        <v/>
      </c>
      <c r="F344" s="53">
        <f>IF(B344="","",IFERROR(INDEX(Client_List!$D:$D,MATCH(VALUE(B344),Client_List!$A:$A,0)),""))</f>
        <v/>
      </c>
      <c r="G344" s="53">
        <f>IF(B344="","",IFERROR(INDEX(Client_List!$K:$K,MATCH(VALUE(B344),Client_List!$A:$A,0)),""))</f>
        <v/>
      </c>
      <c r="H344" s="32">
        <f>IF(B344="","",IFERROR(INDEX(Client_List!$J:$J,MATCH(VALUE(B344),Client_List!$A:$A,0)),""))</f>
        <v/>
      </c>
      <c r="I344" s="70">
        <f>IF(B344="","",IFERROR(A344-LOOKUP(2,1/($B$4:$B343=B344),$A$4:$A343),""))</f>
        <v/>
      </c>
      <c r="J344" s="32">
        <f>IF(B344="","",IFERROR(D344/I344,""))</f>
        <v/>
      </c>
      <c r="K344" s="71">
        <f>IF(B344="","",IFERROR(AVERAGEIFS($J$4:$J344,$B$4:$B344,B344,$J$4:$J344,"&gt;"&amp;0),""))</f>
        <v/>
      </c>
      <c r="L344" s="4" t="n"/>
    </row>
    <row r="345" ht="14" customHeight="1" s="72">
      <c r="A345" s="75" t="n">
        <v>46053</v>
      </c>
      <c r="B345" s="76" t="n">
        <v>1057</v>
      </c>
      <c r="C345" s="69">
        <f>IF(B345="","",IFERROR(INDEX(Client_List!$B:$B,MATCH(B345,Client_List!$A:$A,0)),"⚠ NOT FOUND"))</f>
        <v/>
      </c>
      <c r="D345" s="43" t="n">
        <v>773</v>
      </c>
      <c r="E345" s="32">
        <f>IF(B345="","",IFERROR(INDEX(Client_List!$C:$C,MATCH(VALUE(B345),Client_List!$A:$A,0)),""))</f>
        <v/>
      </c>
      <c r="F345" s="53">
        <f>IF(B345="","",IFERROR(INDEX(Client_List!$D:$D,MATCH(VALUE(B345),Client_List!$A:$A,0)),""))</f>
        <v/>
      </c>
      <c r="G345" s="53">
        <f>IF(B345="","",IFERROR(INDEX(Client_List!$K:$K,MATCH(VALUE(B345),Client_List!$A:$A,0)),""))</f>
        <v/>
      </c>
      <c r="H345" s="32">
        <f>IF(B345="","",IFERROR(INDEX(Client_List!$J:$J,MATCH(VALUE(B345),Client_List!$A:$A,0)),""))</f>
        <v/>
      </c>
      <c r="I345" s="70">
        <f>IF(B345="","",IFERROR(A345-LOOKUP(2,1/($B$4:$B344=B345),$A$4:$A344),""))</f>
        <v/>
      </c>
      <c r="J345" s="32">
        <f>IF(B345="","",IFERROR(D345/I345,""))</f>
        <v/>
      </c>
      <c r="K345" s="71">
        <f>IF(B345="","",IFERROR(AVERAGEIFS($J$4:$J345,$B$4:$B345,B345,$J$4:$J345,"&gt;"&amp;0),""))</f>
        <v/>
      </c>
      <c r="L345" s="7" t="n"/>
    </row>
    <row r="346" ht="14" customHeight="1" s="72">
      <c r="A346" s="75" t="n">
        <v>46053</v>
      </c>
      <c r="B346" s="76" t="n">
        <v>6101</v>
      </c>
      <c r="C346" s="69">
        <f>IF(B346="","",IFERROR(INDEX(Client_List!$B:$B,MATCH(B346,Client_List!$A:$A,0)),"⚠ NOT FOUND"))</f>
        <v/>
      </c>
      <c r="D346" s="43" t="n">
        <v>534</v>
      </c>
      <c r="E346" s="32">
        <f>IF(B346="","",IFERROR(INDEX(Client_List!$C:$C,MATCH(VALUE(B346),Client_List!$A:$A,0)),""))</f>
        <v/>
      </c>
      <c r="F346" s="53">
        <f>IF(B346="","",IFERROR(INDEX(Client_List!$D:$D,MATCH(VALUE(B346),Client_List!$A:$A,0)),""))</f>
        <v/>
      </c>
      <c r="G346" s="53">
        <f>IF(B346="","",IFERROR(INDEX(Client_List!$K:$K,MATCH(VALUE(B346),Client_List!$A:$A,0)),""))</f>
        <v/>
      </c>
      <c r="H346" s="32">
        <f>IF(B346="","",IFERROR(INDEX(Client_List!$J:$J,MATCH(VALUE(B346),Client_List!$A:$A,0)),""))</f>
        <v/>
      </c>
      <c r="I346" s="70">
        <f>IF(B346="","",IFERROR(A346-LOOKUP(2,1/($B$4:$B345=B346),$A$4:$A345),""))</f>
        <v/>
      </c>
      <c r="J346" s="32">
        <f>IF(B346="","",IFERROR(D346/I346,""))</f>
        <v/>
      </c>
      <c r="K346" s="71">
        <f>IF(B346="","",IFERROR(AVERAGEIFS($J$4:$J346,$B$4:$B346,B346,$J$4:$J346,"&gt;"&amp;0),""))</f>
        <v/>
      </c>
      <c r="L346" s="4" t="n"/>
    </row>
    <row r="347" ht="14" customHeight="1" s="72">
      <c r="A347" s="75" t="n">
        <v>46053</v>
      </c>
      <c r="B347" s="76" t="n">
        <v>12055</v>
      </c>
      <c r="C347" s="69">
        <f>IF(B347="","",IFERROR(INDEX(Client_List!$B:$B,MATCH(B347,Client_List!$A:$A,0)),"⚠ NOT FOUND"))</f>
        <v/>
      </c>
      <c r="D347" s="43" t="n">
        <v>844</v>
      </c>
      <c r="E347" s="32">
        <f>IF(B347="","",IFERROR(INDEX(Client_List!$C:$C,MATCH(VALUE(B347),Client_List!$A:$A,0)),""))</f>
        <v/>
      </c>
      <c r="F347" s="53">
        <f>IF(B347="","",IFERROR(INDEX(Client_List!$D:$D,MATCH(VALUE(B347),Client_List!$A:$A,0)),""))</f>
        <v/>
      </c>
      <c r="G347" s="53">
        <f>IF(B347="","",IFERROR(INDEX(Client_List!$K:$K,MATCH(VALUE(B347),Client_List!$A:$A,0)),""))</f>
        <v/>
      </c>
      <c r="H347" s="32">
        <f>IF(B347="","",IFERROR(INDEX(Client_List!$J:$J,MATCH(VALUE(B347),Client_List!$A:$A,0)),""))</f>
        <v/>
      </c>
      <c r="I347" s="70">
        <f>IF(B347="","",IFERROR(A347-LOOKUP(2,1/($B$4:$B346=B347),$A$4:$A346),""))</f>
        <v/>
      </c>
      <c r="J347" s="32">
        <f>IF(B347="","",IFERROR(D347/I347,""))</f>
        <v/>
      </c>
      <c r="K347" s="71">
        <f>IF(B347="","",IFERROR(AVERAGEIFS($J$4:$J347,$B$4:$B347,B347,$J$4:$J347,"&gt;"&amp;0),""))</f>
        <v/>
      </c>
      <c r="L347" s="7" t="n"/>
    </row>
    <row r="348" ht="14" customHeight="1" s="72">
      <c r="A348" s="75" t="n">
        <v>46053</v>
      </c>
      <c r="B348" s="76" t="n">
        <v>13015</v>
      </c>
      <c r="C348" s="69">
        <f>IF(B348="","",IFERROR(INDEX(Client_List!$B:$B,MATCH(B348,Client_List!$A:$A,0)),"⚠ NOT FOUND"))</f>
        <v/>
      </c>
      <c r="D348" s="43" t="n">
        <v>698</v>
      </c>
      <c r="E348" s="32">
        <f>IF(B348="","",IFERROR(INDEX(Client_List!$C:$C,MATCH(VALUE(B348),Client_List!$A:$A,0)),""))</f>
        <v/>
      </c>
      <c r="F348" s="53">
        <f>IF(B348="","",IFERROR(INDEX(Client_List!$D:$D,MATCH(VALUE(B348),Client_List!$A:$A,0)),""))</f>
        <v/>
      </c>
      <c r="G348" s="53">
        <f>IF(B348="","",IFERROR(INDEX(Client_List!$K:$K,MATCH(VALUE(B348),Client_List!$A:$A,0)),""))</f>
        <v/>
      </c>
      <c r="H348" s="32">
        <f>IF(B348="","",IFERROR(INDEX(Client_List!$J:$J,MATCH(VALUE(B348),Client_List!$A:$A,0)),""))</f>
        <v/>
      </c>
      <c r="I348" s="70">
        <f>IF(B348="","",IFERROR(A348-LOOKUP(2,1/($B$4:$B347=B348),$A$4:$A347),""))</f>
        <v/>
      </c>
      <c r="J348" s="32">
        <f>IF(B348="","",IFERROR(D348/I348,""))</f>
        <v/>
      </c>
      <c r="K348" s="71">
        <f>IF(B348="","",IFERROR(AVERAGEIFS($J$4:$J348,$B$4:$B348,B348,$J$4:$J348,"&gt;"&amp;0),""))</f>
        <v/>
      </c>
      <c r="L348" s="4" t="n"/>
    </row>
    <row r="349" ht="14" customHeight="1" s="72">
      <c r="A349" s="75" t="n">
        <v>46053</v>
      </c>
      <c r="B349" s="76" t="n">
        <v>15021</v>
      </c>
      <c r="C349" s="69">
        <f>IF(B349="","",IFERROR(INDEX(Client_List!$B:$B,MATCH(B349,Client_List!$A:$A,0)),"⚠ NOT FOUND"))</f>
        <v/>
      </c>
      <c r="D349" s="43" t="n">
        <v>338</v>
      </c>
      <c r="E349" s="32">
        <f>IF(B349="","",IFERROR(INDEX(Client_List!$C:$C,MATCH(VALUE(B349),Client_List!$A:$A,0)),""))</f>
        <v/>
      </c>
      <c r="F349" s="53">
        <f>IF(B349="","",IFERROR(INDEX(Client_List!$D:$D,MATCH(VALUE(B349),Client_List!$A:$A,0)),""))</f>
        <v/>
      </c>
      <c r="G349" s="53">
        <f>IF(B349="","",IFERROR(INDEX(Client_List!$K:$K,MATCH(VALUE(B349),Client_List!$A:$A,0)),""))</f>
        <v/>
      </c>
      <c r="H349" s="32">
        <f>IF(B349="","",IFERROR(INDEX(Client_List!$J:$J,MATCH(VALUE(B349),Client_List!$A:$A,0)),""))</f>
        <v/>
      </c>
      <c r="I349" s="70">
        <f>IF(B349="","",IFERROR(A349-LOOKUP(2,1/($B$4:$B348=B349),$A$4:$A348),""))</f>
        <v/>
      </c>
      <c r="J349" s="32">
        <f>IF(B349="","",IFERROR(D349/I349,""))</f>
        <v/>
      </c>
      <c r="K349" s="71">
        <f>IF(B349="","",IFERROR(AVERAGEIFS($J$4:$J349,$B$4:$B349,B349,$J$4:$J349,"&gt;"&amp;0),""))</f>
        <v/>
      </c>
      <c r="L349" s="7" t="n"/>
    </row>
    <row r="350" ht="14" customHeight="1" s="72">
      <c r="A350" s="75" t="n">
        <v>46053</v>
      </c>
      <c r="B350" s="76" t="n">
        <v>15028</v>
      </c>
      <c r="C350" s="69">
        <f>IF(B350="","",IFERROR(INDEX(Client_List!$B:$B,MATCH(B350,Client_List!$A:$A,0)),"⚠ NOT FOUND"))</f>
        <v/>
      </c>
      <c r="D350" s="43" t="n">
        <v>580</v>
      </c>
      <c r="E350" s="32">
        <f>IF(B350="","",IFERROR(INDEX(Client_List!$C:$C,MATCH(VALUE(B350),Client_List!$A:$A,0)),""))</f>
        <v/>
      </c>
      <c r="F350" s="53">
        <f>IF(B350="","",IFERROR(INDEX(Client_List!$D:$D,MATCH(VALUE(B350),Client_List!$A:$A,0)),""))</f>
        <v/>
      </c>
      <c r="G350" s="53">
        <f>IF(B350="","",IFERROR(INDEX(Client_List!$K:$K,MATCH(VALUE(B350),Client_List!$A:$A,0)),""))</f>
        <v/>
      </c>
      <c r="H350" s="32">
        <f>IF(B350="","",IFERROR(INDEX(Client_List!$J:$J,MATCH(VALUE(B350),Client_List!$A:$A,0)),""))</f>
        <v/>
      </c>
      <c r="I350" s="70">
        <f>IF(B350="","",IFERROR(A350-LOOKUP(2,1/($B$4:$B349=B350),$A$4:$A349),""))</f>
        <v/>
      </c>
      <c r="J350" s="32">
        <f>IF(B350="","",IFERROR(D350/I350,""))</f>
        <v/>
      </c>
      <c r="K350" s="71">
        <f>IF(B350="","",IFERROR(AVERAGEIFS($J$4:$J350,$B$4:$B350,B350,$J$4:$J350,"&gt;"&amp;0),""))</f>
        <v/>
      </c>
      <c r="L350" s="4" t="n"/>
    </row>
    <row r="351" ht="14" customHeight="1" s="72">
      <c r="A351" s="75" t="n">
        <v>46053</v>
      </c>
      <c r="B351" s="76" t="n">
        <v>15033</v>
      </c>
      <c r="C351" s="69">
        <f>IF(B351="","",IFERROR(INDEX(Client_List!$B:$B,MATCH(B351,Client_List!$A:$A,0)),"⚠ NOT FOUND"))</f>
        <v/>
      </c>
      <c r="D351" s="43" t="n">
        <v>453</v>
      </c>
      <c r="E351" s="32">
        <f>IF(B351="","",IFERROR(INDEX(Client_List!$C:$C,MATCH(VALUE(B351),Client_List!$A:$A,0)),""))</f>
        <v/>
      </c>
      <c r="F351" s="53">
        <f>IF(B351="","",IFERROR(INDEX(Client_List!$D:$D,MATCH(VALUE(B351),Client_List!$A:$A,0)),""))</f>
        <v/>
      </c>
      <c r="G351" s="53">
        <f>IF(B351="","",IFERROR(INDEX(Client_List!$K:$K,MATCH(VALUE(B351),Client_List!$A:$A,0)),""))</f>
        <v/>
      </c>
      <c r="H351" s="32">
        <f>IF(B351="","",IFERROR(INDEX(Client_List!$J:$J,MATCH(VALUE(B351),Client_List!$A:$A,0)),""))</f>
        <v/>
      </c>
      <c r="I351" s="70">
        <f>IF(B351="","",IFERROR(A351-LOOKUP(2,1/($B$4:$B350=B351),$A$4:$A350),""))</f>
        <v/>
      </c>
      <c r="J351" s="32">
        <f>IF(B351="","",IFERROR(D351/I351,""))</f>
        <v/>
      </c>
      <c r="K351" s="71">
        <f>IF(B351="","",IFERROR(AVERAGEIFS($J$4:$J351,$B$4:$B351,B351,$J$4:$J351,"&gt;"&amp;0),""))</f>
        <v/>
      </c>
      <c r="L351" s="7" t="n"/>
    </row>
    <row r="352" ht="14" customHeight="1" s="72">
      <c r="A352" s="75" t="n">
        <v>46053</v>
      </c>
      <c r="B352" s="76" t="n">
        <v>16027</v>
      </c>
      <c r="C352" s="69">
        <f>IF(B352="","",IFERROR(INDEX(Client_List!$B:$B,MATCH(B352,Client_List!$A:$A,0)),"⚠ NOT FOUND"))</f>
        <v/>
      </c>
      <c r="D352" s="43" t="n">
        <v>502</v>
      </c>
      <c r="E352" s="32">
        <f>IF(B352="","",IFERROR(INDEX(Client_List!$C:$C,MATCH(VALUE(B352),Client_List!$A:$A,0)),""))</f>
        <v/>
      </c>
      <c r="F352" s="53">
        <f>IF(B352="","",IFERROR(INDEX(Client_List!$D:$D,MATCH(VALUE(B352),Client_List!$A:$A,0)),""))</f>
        <v/>
      </c>
      <c r="G352" s="53">
        <f>IF(B352="","",IFERROR(INDEX(Client_List!$K:$K,MATCH(VALUE(B352),Client_List!$A:$A,0)),""))</f>
        <v/>
      </c>
      <c r="H352" s="32">
        <f>IF(B352="","",IFERROR(INDEX(Client_List!$J:$J,MATCH(VALUE(B352),Client_List!$A:$A,0)),""))</f>
        <v/>
      </c>
      <c r="I352" s="70">
        <f>IF(B352="","",IFERROR(A352-LOOKUP(2,1/($B$4:$B351=B352),$A$4:$A351),""))</f>
        <v/>
      </c>
      <c r="J352" s="32">
        <f>IF(B352="","",IFERROR(D352/I352,""))</f>
        <v/>
      </c>
      <c r="K352" s="71">
        <f>IF(B352="","",IFERROR(AVERAGEIFS($J$4:$J352,$B$4:$B352,B352,$J$4:$J352,"&gt;"&amp;0),""))</f>
        <v/>
      </c>
      <c r="L352" s="4" t="n"/>
    </row>
    <row r="353" ht="14" customHeight="1" s="72">
      <c r="A353" s="75" t="n">
        <v>46053</v>
      </c>
      <c r="B353" s="76" t="n">
        <v>16051</v>
      </c>
      <c r="C353" s="69">
        <f>IF(B353="","",IFERROR(INDEX(Client_List!$B:$B,MATCH(B353,Client_List!$A:$A,0)),"⚠ NOT FOUND"))</f>
        <v/>
      </c>
      <c r="D353" s="43" t="n">
        <v>1228</v>
      </c>
      <c r="E353" s="32">
        <f>IF(B353="","",IFERROR(INDEX(Client_List!$C:$C,MATCH(VALUE(B353),Client_List!$A:$A,0)),""))</f>
        <v/>
      </c>
      <c r="F353" s="53">
        <f>IF(B353="","",IFERROR(INDEX(Client_List!$D:$D,MATCH(VALUE(B353),Client_List!$A:$A,0)),""))</f>
        <v/>
      </c>
      <c r="G353" s="53">
        <f>IF(B353="","",IFERROR(INDEX(Client_List!$K:$K,MATCH(VALUE(B353),Client_List!$A:$A,0)),""))</f>
        <v/>
      </c>
      <c r="H353" s="32">
        <f>IF(B353="","",IFERROR(INDEX(Client_List!$J:$J,MATCH(VALUE(B353),Client_List!$A:$A,0)),""))</f>
        <v/>
      </c>
      <c r="I353" s="70">
        <f>IF(B353="","",IFERROR(A353-LOOKUP(2,1/($B$4:$B352=B353),$A$4:$A352),""))</f>
        <v/>
      </c>
      <c r="J353" s="32">
        <f>IF(B353="","",IFERROR(D353/I353,""))</f>
        <v/>
      </c>
      <c r="K353" s="71">
        <f>IF(B353="","",IFERROR(AVERAGEIFS($J$4:$J353,$B$4:$B353,B353,$J$4:$J353,"&gt;"&amp;0),""))</f>
        <v/>
      </c>
      <c r="L353" s="7" t="n"/>
    </row>
    <row r="354" ht="14" customHeight="1" s="72">
      <c r="A354" s="75" t="n">
        <v>46053</v>
      </c>
      <c r="B354" s="76" t="n">
        <v>18001</v>
      </c>
      <c r="C354" s="69">
        <f>IF(B354="","",IFERROR(INDEX(Client_List!$B:$B,MATCH(B354,Client_List!$A:$A,0)),"⚠ NOT FOUND"))</f>
        <v/>
      </c>
      <c r="D354" s="43" t="n">
        <v>829</v>
      </c>
      <c r="E354" s="32">
        <f>IF(B354="","",IFERROR(INDEX(Client_List!$C:$C,MATCH(VALUE(B354),Client_List!$A:$A,0)),""))</f>
        <v/>
      </c>
      <c r="F354" s="53">
        <f>IF(B354="","",IFERROR(INDEX(Client_List!$D:$D,MATCH(VALUE(B354),Client_List!$A:$A,0)),""))</f>
        <v/>
      </c>
      <c r="G354" s="53">
        <f>IF(B354="","",IFERROR(INDEX(Client_List!$K:$K,MATCH(VALUE(B354),Client_List!$A:$A,0)),""))</f>
        <v/>
      </c>
      <c r="H354" s="32">
        <f>IF(B354="","",IFERROR(INDEX(Client_List!$J:$J,MATCH(VALUE(B354),Client_List!$A:$A,0)),""))</f>
        <v/>
      </c>
      <c r="I354" s="70">
        <f>IF(B354="","",IFERROR(A354-LOOKUP(2,1/($B$4:$B353=B354),$A$4:$A353),""))</f>
        <v/>
      </c>
      <c r="J354" s="32">
        <f>IF(B354="","",IFERROR(D354/I354,""))</f>
        <v/>
      </c>
      <c r="K354" s="71">
        <f>IF(B354="","",IFERROR(AVERAGEIFS($J$4:$J354,$B$4:$B354,B354,$J$4:$J354,"&gt;"&amp;0),""))</f>
        <v/>
      </c>
      <c r="L354" s="4" t="n"/>
    </row>
    <row r="355" ht="14" customHeight="1" s="72">
      <c r="A355" s="75" t="n">
        <v>46053</v>
      </c>
      <c r="B355" s="76" t="n">
        <v>20094</v>
      </c>
      <c r="C355" s="69">
        <f>IF(B355="","",IFERROR(INDEX(Client_List!$B:$B,MATCH(B355,Client_List!$A:$A,0)),"⚠ NOT FOUND"))</f>
        <v/>
      </c>
      <c r="D355" s="43" t="n">
        <v>968</v>
      </c>
      <c r="E355" s="32">
        <f>IF(B355="","",IFERROR(INDEX(Client_List!$C:$C,MATCH(VALUE(B355),Client_List!$A:$A,0)),""))</f>
        <v/>
      </c>
      <c r="F355" s="53">
        <f>IF(B355="","",IFERROR(INDEX(Client_List!$D:$D,MATCH(VALUE(B355),Client_List!$A:$A,0)),""))</f>
        <v/>
      </c>
      <c r="G355" s="53">
        <f>IF(B355="","",IFERROR(INDEX(Client_List!$K:$K,MATCH(VALUE(B355),Client_List!$A:$A,0)),""))</f>
        <v/>
      </c>
      <c r="H355" s="32">
        <f>IF(B355="","",IFERROR(INDEX(Client_List!$J:$J,MATCH(VALUE(B355),Client_List!$A:$A,0)),""))</f>
        <v/>
      </c>
      <c r="I355" s="70">
        <f>IF(B355="","",IFERROR(A355-LOOKUP(2,1/($B$4:$B354=B355),$A$4:$A354),""))</f>
        <v/>
      </c>
      <c r="J355" s="32">
        <f>IF(B355="","",IFERROR(D355/I355,""))</f>
        <v/>
      </c>
      <c r="K355" s="71">
        <f>IF(B355="","",IFERROR(AVERAGEIFS($J$4:$J355,$B$4:$B355,B355,$J$4:$J355,"&gt;"&amp;0),""))</f>
        <v/>
      </c>
      <c r="L355" s="7" t="n"/>
    </row>
    <row r="356" ht="14" customHeight="1" s="72">
      <c r="A356" s="75" t="n">
        <v>46054</v>
      </c>
      <c r="B356" s="76" t="n">
        <v>2038</v>
      </c>
      <c r="C356" s="69">
        <f>IF(B356="","",IFERROR(INDEX(Client_List!$B:$B,MATCH(B356,Client_List!$A:$A,0)),"⚠ NOT FOUND"))</f>
        <v/>
      </c>
      <c r="D356" s="43" t="n">
        <v>414</v>
      </c>
      <c r="E356" s="32">
        <f>IF(B356="","",IFERROR(INDEX(Client_List!$C:$C,MATCH(VALUE(B356),Client_List!$A:$A,0)),""))</f>
        <v/>
      </c>
      <c r="F356" s="53">
        <f>IF(B356="","",IFERROR(INDEX(Client_List!$D:$D,MATCH(VALUE(B356),Client_List!$A:$A,0)),""))</f>
        <v/>
      </c>
      <c r="G356" s="53">
        <f>IF(B356="","",IFERROR(INDEX(Client_List!$K:$K,MATCH(VALUE(B356),Client_List!$A:$A,0)),""))</f>
        <v/>
      </c>
      <c r="H356" s="32">
        <f>IF(B356="","",IFERROR(INDEX(Client_List!$J:$J,MATCH(VALUE(B356),Client_List!$A:$A,0)),""))</f>
        <v/>
      </c>
      <c r="I356" s="70">
        <f>IF(B356="","",IFERROR(A356-LOOKUP(2,1/($B$4:$B355=B356),$A$4:$A355),""))</f>
        <v/>
      </c>
      <c r="J356" s="32">
        <f>IF(B356="","",IFERROR(D356/I356,""))</f>
        <v/>
      </c>
      <c r="K356" s="71">
        <f>IF(B356="","",IFERROR(AVERAGEIFS($J$4:$J356,$B$4:$B356,B356,$J$4:$J356,"&gt;"&amp;0),""))</f>
        <v/>
      </c>
      <c r="L356" s="4" t="n"/>
    </row>
    <row r="357" ht="14" customHeight="1" s="72">
      <c r="A357" s="75" t="n">
        <v>46054</v>
      </c>
      <c r="B357" s="76" t="n">
        <v>2045</v>
      </c>
      <c r="C357" s="69">
        <f>IF(B357="","",IFERROR(INDEX(Client_List!$B:$B,MATCH(B357,Client_List!$A:$A,0)),"⚠ NOT FOUND"))</f>
        <v/>
      </c>
      <c r="D357" s="43" t="n">
        <v>229</v>
      </c>
      <c r="E357" s="32">
        <f>IF(B357="","",IFERROR(INDEX(Client_List!$C:$C,MATCH(VALUE(B357),Client_List!$A:$A,0)),""))</f>
        <v/>
      </c>
      <c r="F357" s="53">
        <f>IF(B357="","",IFERROR(INDEX(Client_List!$D:$D,MATCH(VALUE(B357),Client_List!$A:$A,0)),""))</f>
        <v/>
      </c>
      <c r="G357" s="53">
        <f>IF(B357="","",IFERROR(INDEX(Client_List!$K:$K,MATCH(VALUE(B357),Client_List!$A:$A,0)),""))</f>
        <v/>
      </c>
      <c r="H357" s="32">
        <f>IF(B357="","",IFERROR(INDEX(Client_List!$J:$J,MATCH(VALUE(B357),Client_List!$A:$A,0)),""))</f>
        <v/>
      </c>
      <c r="I357" s="70">
        <f>IF(B357="","",IFERROR(A357-LOOKUP(2,1/($B$4:$B356=B357),$A$4:$A356),""))</f>
        <v/>
      </c>
      <c r="J357" s="32">
        <f>IF(B357="","",IFERROR(D357/I357,""))</f>
        <v/>
      </c>
      <c r="K357" s="71">
        <f>IF(B357="","",IFERROR(AVERAGEIFS($J$4:$J357,$B$4:$B357,B357,$J$4:$J357,"&gt;"&amp;0),""))</f>
        <v/>
      </c>
      <c r="L357" s="7" t="n"/>
    </row>
    <row r="358" ht="14" customHeight="1" s="72">
      <c r="A358" s="75" t="n">
        <v>46054</v>
      </c>
      <c r="B358" s="76" t="n">
        <v>4026</v>
      </c>
      <c r="C358" s="69">
        <f>IF(B358="","",IFERROR(INDEX(Client_List!$B:$B,MATCH(B358,Client_List!$A:$A,0)),"⚠ NOT FOUND"))</f>
        <v/>
      </c>
      <c r="D358" s="43" t="n">
        <v>371</v>
      </c>
      <c r="E358" s="32">
        <f>IF(B358="","",IFERROR(INDEX(Client_List!$C:$C,MATCH(VALUE(B358),Client_List!$A:$A,0)),""))</f>
        <v/>
      </c>
      <c r="F358" s="53">
        <f>IF(B358="","",IFERROR(INDEX(Client_List!$D:$D,MATCH(VALUE(B358),Client_List!$A:$A,0)),""))</f>
        <v/>
      </c>
      <c r="G358" s="53">
        <f>IF(B358="","",IFERROR(INDEX(Client_List!$K:$K,MATCH(VALUE(B358),Client_List!$A:$A,0)),""))</f>
        <v/>
      </c>
      <c r="H358" s="32">
        <f>IF(B358="","",IFERROR(INDEX(Client_List!$J:$J,MATCH(VALUE(B358),Client_List!$A:$A,0)),""))</f>
        <v/>
      </c>
      <c r="I358" s="70">
        <f>IF(B358="","",IFERROR(A358-LOOKUP(2,1/($B$4:$B357=B358),$A$4:$A357),""))</f>
        <v/>
      </c>
      <c r="J358" s="32">
        <f>IF(B358="","",IFERROR(D358/I358,""))</f>
        <v/>
      </c>
      <c r="K358" s="71">
        <f>IF(B358="","",IFERROR(AVERAGEIFS($J$4:$J358,$B$4:$B358,B358,$J$4:$J358,"&gt;"&amp;0),""))</f>
        <v/>
      </c>
      <c r="L358" s="4" t="n"/>
    </row>
    <row r="359" ht="14" customHeight="1" s="72">
      <c r="A359" s="75" t="n">
        <v>46054</v>
      </c>
      <c r="B359" s="76" t="n">
        <v>5006</v>
      </c>
      <c r="C359" s="69">
        <f>IF(B359="","",IFERROR(INDEX(Client_List!$B:$B,MATCH(B359,Client_List!$A:$A,0)),"⚠ NOT FOUND"))</f>
        <v/>
      </c>
      <c r="D359" s="43" t="n">
        <v>255</v>
      </c>
      <c r="E359" s="32">
        <f>IF(B359="","",IFERROR(INDEX(Client_List!$C:$C,MATCH(VALUE(B359),Client_List!$A:$A,0)),""))</f>
        <v/>
      </c>
      <c r="F359" s="53">
        <f>IF(B359="","",IFERROR(INDEX(Client_List!$D:$D,MATCH(VALUE(B359),Client_List!$A:$A,0)),""))</f>
        <v/>
      </c>
      <c r="G359" s="53">
        <f>IF(B359="","",IFERROR(INDEX(Client_List!$K:$K,MATCH(VALUE(B359),Client_List!$A:$A,0)),""))</f>
        <v/>
      </c>
      <c r="H359" s="32">
        <f>IF(B359="","",IFERROR(INDEX(Client_List!$J:$J,MATCH(VALUE(B359),Client_List!$A:$A,0)),""))</f>
        <v/>
      </c>
      <c r="I359" s="70">
        <f>IF(B359="","",IFERROR(A359-LOOKUP(2,1/($B$4:$B358=B359),$A$4:$A358),""))</f>
        <v/>
      </c>
      <c r="J359" s="32">
        <f>IF(B359="","",IFERROR(D359/I359,""))</f>
        <v/>
      </c>
      <c r="K359" s="71">
        <f>IF(B359="","",IFERROR(AVERAGEIFS($J$4:$J359,$B$4:$B359,B359,$J$4:$J359,"&gt;"&amp;0),""))</f>
        <v/>
      </c>
      <c r="L359" s="7" t="n"/>
    </row>
    <row r="360" ht="14" customHeight="1" s="72">
      <c r="A360" s="75" t="n">
        <v>46054</v>
      </c>
      <c r="B360" s="76" t="n">
        <v>10001</v>
      </c>
      <c r="C360" s="69">
        <f>IF(B360="","",IFERROR(INDEX(Client_List!$B:$B,MATCH(B360,Client_List!$A:$A,0)),"⚠ NOT FOUND"))</f>
        <v/>
      </c>
      <c r="D360" s="43" t="n">
        <v>815</v>
      </c>
      <c r="E360" s="32">
        <f>IF(B360="","",IFERROR(INDEX(Client_List!$C:$C,MATCH(VALUE(B360),Client_List!$A:$A,0)),""))</f>
        <v/>
      </c>
      <c r="F360" s="53">
        <f>IF(B360="","",IFERROR(INDEX(Client_List!$D:$D,MATCH(VALUE(B360),Client_List!$A:$A,0)),""))</f>
        <v/>
      </c>
      <c r="G360" s="53">
        <f>IF(B360="","",IFERROR(INDEX(Client_List!$K:$K,MATCH(VALUE(B360),Client_List!$A:$A,0)),""))</f>
        <v/>
      </c>
      <c r="H360" s="32">
        <f>IF(B360="","",IFERROR(INDEX(Client_List!$J:$J,MATCH(VALUE(B360),Client_List!$A:$A,0)),""))</f>
        <v/>
      </c>
      <c r="I360" s="70">
        <f>IF(B360="","",IFERROR(A360-LOOKUP(2,1/($B$4:$B359=B360),$A$4:$A359),""))</f>
        <v/>
      </c>
      <c r="J360" s="32">
        <f>IF(B360="","",IFERROR(D360/I360,""))</f>
        <v/>
      </c>
      <c r="K360" s="71">
        <f>IF(B360="","",IFERROR(AVERAGEIFS($J$4:$J360,$B$4:$B360,B360,$J$4:$J360,"&gt;"&amp;0),""))</f>
        <v/>
      </c>
      <c r="L360" s="4" t="n"/>
    </row>
    <row r="361" ht="14" customHeight="1" s="72">
      <c r="A361" s="75" t="n">
        <v>46054</v>
      </c>
      <c r="B361" s="76" t="n">
        <v>12047</v>
      </c>
      <c r="C361" s="69">
        <f>IF(B361="","",IFERROR(INDEX(Client_List!$B:$B,MATCH(B361,Client_List!$A:$A,0)),"⚠ NOT FOUND"))</f>
        <v/>
      </c>
      <c r="D361" s="43" t="n">
        <v>584</v>
      </c>
      <c r="E361" s="32">
        <f>IF(B361="","",IFERROR(INDEX(Client_List!$C:$C,MATCH(VALUE(B361),Client_List!$A:$A,0)),""))</f>
        <v/>
      </c>
      <c r="F361" s="53">
        <f>IF(B361="","",IFERROR(INDEX(Client_List!$D:$D,MATCH(VALUE(B361),Client_List!$A:$A,0)),""))</f>
        <v/>
      </c>
      <c r="G361" s="53">
        <f>IF(B361="","",IFERROR(INDEX(Client_List!$K:$K,MATCH(VALUE(B361),Client_List!$A:$A,0)),""))</f>
        <v/>
      </c>
      <c r="H361" s="32">
        <f>IF(B361="","",IFERROR(INDEX(Client_List!$J:$J,MATCH(VALUE(B361),Client_List!$A:$A,0)),""))</f>
        <v/>
      </c>
      <c r="I361" s="70">
        <f>IF(B361="","",IFERROR(A361-LOOKUP(2,1/($B$4:$B360=B361),$A$4:$A360),""))</f>
        <v/>
      </c>
      <c r="J361" s="32">
        <f>IF(B361="","",IFERROR(D361/I361,""))</f>
        <v/>
      </c>
      <c r="K361" s="71">
        <f>IF(B361="","",IFERROR(AVERAGEIFS($J$4:$J361,$B$4:$B361,B361,$J$4:$J361,"&gt;"&amp;0),""))</f>
        <v/>
      </c>
      <c r="L361" s="7" t="n"/>
    </row>
    <row r="362" ht="14" customHeight="1" s="72">
      <c r="A362" s="75" t="n">
        <v>46054</v>
      </c>
      <c r="B362" s="76" t="n">
        <v>15051</v>
      </c>
      <c r="C362" s="69">
        <f>IF(B362="","",IFERROR(INDEX(Client_List!$B:$B,MATCH(B362,Client_List!$A:$A,0)),"⚠ NOT FOUND"))</f>
        <v/>
      </c>
      <c r="D362" s="43" t="n">
        <v>180</v>
      </c>
      <c r="E362" s="32">
        <f>IF(B362="","",IFERROR(INDEX(Client_List!$C:$C,MATCH(VALUE(B362),Client_List!$A:$A,0)),""))</f>
        <v/>
      </c>
      <c r="F362" s="53">
        <f>IF(B362="","",IFERROR(INDEX(Client_List!$D:$D,MATCH(VALUE(B362),Client_List!$A:$A,0)),""))</f>
        <v/>
      </c>
      <c r="G362" s="53">
        <f>IF(B362="","",IFERROR(INDEX(Client_List!$K:$K,MATCH(VALUE(B362),Client_List!$A:$A,0)),""))</f>
        <v/>
      </c>
      <c r="H362" s="32">
        <f>IF(B362="","",IFERROR(INDEX(Client_List!$J:$J,MATCH(VALUE(B362),Client_List!$A:$A,0)),""))</f>
        <v/>
      </c>
      <c r="I362" s="70">
        <f>IF(B362="","",IFERROR(A362-LOOKUP(2,1/($B$4:$B361=B362),$A$4:$A361),""))</f>
        <v/>
      </c>
      <c r="J362" s="32">
        <f>IF(B362="","",IFERROR(D362/I362,""))</f>
        <v/>
      </c>
      <c r="K362" s="71">
        <f>IF(B362="","",IFERROR(AVERAGEIFS($J$4:$J362,$B$4:$B362,B362,$J$4:$J362,"&gt;"&amp;0),""))</f>
        <v/>
      </c>
      <c r="L362" s="4" t="n"/>
    </row>
    <row r="363" ht="14" customHeight="1" s="72">
      <c r="A363" s="75" t="n">
        <v>46054</v>
      </c>
      <c r="B363" s="76" t="n">
        <v>19110</v>
      </c>
      <c r="C363" s="69">
        <f>IF(B363="","",IFERROR(INDEX(Client_List!$B:$B,MATCH(B363,Client_List!$A:$A,0)),"⚠ NOT FOUND"))</f>
        <v/>
      </c>
      <c r="D363" s="43" t="n">
        <v>358</v>
      </c>
      <c r="E363" s="32">
        <f>IF(B363="","",IFERROR(INDEX(Client_List!$C:$C,MATCH(VALUE(B363),Client_List!$A:$A,0)),""))</f>
        <v/>
      </c>
      <c r="F363" s="53">
        <f>IF(B363="","",IFERROR(INDEX(Client_List!$D:$D,MATCH(VALUE(B363),Client_List!$A:$A,0)),""))</f>
        <v/>
      </c>
      <c r="G363" s="53">
        <f>IF(B363="","",IFERROR(INDEX(Client_List!$K:$K,MATCH(VALUE(B363),Client_List!$A:$A,0)),""))</f>
        <v/>
      </c>
      <c r="H363" s="32">
        <f>IF(B363="","",IFERROR(INDEX(Client_List!$J:$J,MATCH(VALUE(B363),Client_List!$A:$A,0)),""))</f>
        <v/>
      </c>
      <c r="I363" s="70">
        <f>IF(B363="","",IFERROR(A363-LOOKUP(2,1/($B$4:$B362=B363),$A$4:$A362),""))</f>
        <v/>
      </c>
      <c r="J363" s="32">
        <f>IF(B363="","",IFERROR(D363/I363,""))</f>
        <v/>
      </c>
      <c r="K363" s="71">
        <f>IF(B363="","",IFERROR(AVERAGEIFS($J$4:$J363,$B$4:$B363,B363,$J$4:$J363,"&gt;"&amp;0),""))</f>
        <v/>
      </c>
      <c r="L363" s="7" t="n"/>
    </row>
    <row r="364" ht="14" customHeight="1" s="72">
      <c r="A364" s="75" t="n">
        <v>46054</v>
      </c>
      <c r="B364" s="76" t="n">
        <v>19123</v>
      </c>
      <c r="C364" s="69">
        <f>IF(B364="","",IFERROR(INDEX(Client_List!$B:$B,MATCH(B364,Client_List!$A:$A,0)),"⚠ NOT FOUND"))</f>
        <v/>
      </c>
      <c r="D364" s="43" t="n">
        <v>358</v>
      </c>
      <c r="E364" s="32">
        <f>IF(B364="","",IFERROR(INDEX(Client_List!$C:$C,MATCH(VALUE(B364),Client_List!$A:$A,0)),""))</f>
        <v/>
      </c>
      <c r="F364" s="53">
        <f>IF(B364="","",IFERROR(INDEX(Client_List!$D:$D,MATCH(VALUE(B364),Client_List!$A:$A,0)),""))</f>
        <v/>
      </c>
      <c r="G364" s="53">
        <f>IF(B364="","",IFERROR(INDEX(Client_List!$K:$K,MATCH(VALUE(B364),Client_List!$A:$A,0)),""))</f>
        <v/>
      </c>
      <c r="H364" s="32">
        <f>IF(B364="","",IFERROR(INDEX(Client_List!$J:$J,MATCH(VALUE(B364),Client_List!$A:$A,0)),""))</f>
        <v/>
      </c>
      <c r="I364" s="70">
        <f>IF(B364="","",IFERROR(A364-LOOKUP(2,1/($B$4:$B363=B364),$A$4:$A363),""))</f>
        <v/>
      </c>
      <c r="J364" s="32">
        <f>IF(B364="","",IFERROR(D364/I364,""))</f>
        <v/>
      </c>
      <c r="K364" s="71">
        <f>IF(B364="","",IFERROR(AVERAGEIFS($J$4:$J364,$B$4:$B364,B364,$J$4:$J364,"&gt;"&amp;0),""))</f>
        <v/>
      </c>
      <c r="L364" s="4" t="n"/>
    </row>
    <row r="365" ht="14" customHeight="1" s="72">
      <c r="A365" s="75" t="n">
        <v>46054</v>
      </c>
      <c r="B365" s="76" t="n">
        <v>20088</v>
      </c>
      <c r="C365" s="69">
        <f>IF(B365="","",IFERROR(INDEX(Client_List!$B:$B,MATCH(B365,Client_List!$A:$A,0)),"⚠ NOT FOUND"))</f>
        <v/>
      </c>
      <c r="D365" s="43" t="n">
        <v>917</v>
      </c>
      <c r="E365" s="32">
        <f>IF(B365="","",IFERROR(INDEX(Client_List!$C:$C,MATCH(VALUE(B365),Client_List!$A:$A,0)),""))</f>
        <v/>
      </c>
      <c r="F365" s="53">
        <f>IF(B365="","",IFERROR(INDEX(Client_List!$D:$D,MATCH(VALUE(B365),Client_List!$A:$A,0)),""))</f>
        <v/>
      </c>
      <c r="G365" s="53">
        <f>IF(B365="","",IFERROR(INDEX(Client_List!$K:$K,MATCH(VALUE(B365),Client_List!$A:$A,0)),""))</f>
        <v/>
      </c>
      <c r="H365" s="32">
        <f>IF(B365="","",IFERROR(INDEX(Client_List!$J:$J,MATCH(VALUE(B365),Client_List!$A:$A,0)),""))</f>
        <v/>
      </c>
      <c r="I365" s="70">
        <f>IF(B365="","",IFERROR(A365-LOOKUP(2,1/($B$4:$B364=B365),$A$4:$A364),""))</f>
        <v/>
      </c>
      <c r="J365" s="32">
        <f>IF(B365="","",IFERROR(D365/I365,""))</f>
        <v/>
      </c>
      <c r="K365" s="71">
        <f>IF(B365="","",IFERROR(AVERAGEIFS($J$4:$J365,$B$4:$B365,B365,$J$4:$J365,"&gt;"&amp;0),""))</f>
        <v/>
      </c>
      <c r="L365" s="7" t="n"/>
    </row>
    <row r="366" ht="14" customHeight="1" s="72">
      <c r="A366" s="75" t="n">
        <v>46055</v>
      </c>
      <c r="B366" s="76" t="n">
        <v>1</v>
      </c>
      <c r="C366" s="69">
        <f>IF(B366="","",IFERROR(INDEX(Client_List!$B:$B,MATCH(B366,Client_List!$A:$A,0)),"⚠ NOT FOUND"))</f>
        <v/>
      </c>
      <c r="D366" s="43" t="n">
        <v>263</v>
      </c>
      <c r="E366" s="32">
        <f>IF(B366="","",IFERROR(INDEX(Client_List!$C:$C,MATCH(VALUE(B366),Client_List!$A:$A,0)),""))</f>
        <v/>
      </c>
      <c r="F366" s="53">
        <f>IF(B366="","",IFERROR(INDEX(Client_List!$D:$D,MATCH(VALUE(B366),Client_List!$A:$A,0)),""))</f>
        <v/>
      </c>
      <c r="G366" s="53">
        <f>IF(B366="","",IFERROR(INDEX(Client_List!$K:$K,MATCH(VALUE(B366),Client_List!$A:$A,0)),""))</f>
        <v/>
      </c>
      <c r="H366" s="32">
        <f>IF(B366="","",IFERROR(INDEX(Client_List!$J:$J,MATCH(VALUE(B366),Client_List!$A:$A,0)),""))</f>
        <v/>
      </c>
      <c r="I366" s="70">
        <f>IF(B366="","",IFERROR(A366-LOOKUP(2,1/($B$4:$B365=B366),$A$4:$A365),""))</f>
        <v/>
      </c>
      <c r="J366" s="32">
        <f>IF(B366="","",IFERROR(D366/I366,""))</f>
        <v/>
      </c>
      <c r="K366" s="71">
        <f>IF(B366="","",IFERROR(AVERAGEIFS($J$4:$J366,$B$4:$B366,B366,$J$4:$J366,"&gt;"&amp;0),""))</f>
        <v/>
      </c>
      <c r="L366" s="4" t="n"/>
    </row>
    <row r="367" ht="14" customHeight="1" s="72">
      <c r="A367" s="75" t="n">
        <v>46055</v>
      </c>
      <c r="B367" s="76" t="n">
        <v>13013</v>
      </c>
      <c r="C367" s="69">
        <f>IF(B367="","",IFERROR(INDEX(Client_List!$B:$B,MATCH(B367,Client_List!$A:$A,0)),"⚠ NOT FOUND"))</f>
        <v/>
      </c>
      <c r="D367" s="43" t="n">
        <v>870</v>
      </c>
      <c r="E367" s="32">
        <f>IF(B367="","",IFERROR(INDEX(Client_List!$C:$C,MATCH(VALUE(B367),Client_List!$A:$A,0)),""))</f>
        <v/>
      </c>
      <c r="F367" s="53">
        <f>IF(B367="","",IFERROR(INDEX(Client_List!$D:$D,MATCH(VALUE(B367),Client_List!$A:$A,0)),""))</f>
        <v/>
      </c>
      <c r="G367" s="53">
        <f>IF(B367="","",IFERROR(INDEX(Client_List!$K:$K,MATCH(VALUE(B367),Client_List!$A:$A,0)),""))</f>
        <v/>
      </c>
      <c r="H367" s="32">
        <f>IF(B367="","",IFERROR(INDEX(Client_List!$J:$J,MATCH(VALUE(B367),Client_List!$A:$A,0)),""))</f>
        <v/>
      </c>
      <c r="I367" s="70">
        <f>IF(B367="","",IFERROR(A367-LOOKUP(2,1/($B$4:$B366=B367),$A$4:$A366),""))</f>
        <v/>
      </c>
      <c r="J367" s="32">
        <f>IF(B367="","",IFERROR(D367/I367,""))</f>
        <v/>
      </c>
      <c r="K367" s="71">
        <f>IF(B367="","",IFERROR(AVERAGEIFS($J$4:$J367,$B$4:$B367,B367,$J$4:$J367,"&gt;"&amp;0),""))</f>
        <v/>
      </c>
      <c r="L367" s="7" t="n"/>
    </row>
    <row r="368" ht="14" customHeight="1" s="72">
      <c r="A368" s="75" t="n">
        <v>46055</v>
      </c>
      <c r="B368" s="76" t="n">
        <v>15000</v>
      </c>
      <c r="C368" s="69">
        <f>IF(B368="","",IFERROR(INDEX(Client_List!$B:$B,MATCH(B368,Client_List!$A:$A,0)),"⚠ NOT FOUND"))</f>
        <v/>
      </c>
      <c r="D368" s="43" t="n">
        <v>969</v>
      </c>
      <c r="E368" s="32">
        <f>IF(B368="","",IFERROR(INDEX(Client_List!$C:$C,MATCH(VALUE(B368),Client_List!$A:$A,0)),""))</f>
        <v/>
      </c>
      <c r="F368" s="53">
        <f>IF(B368="","",IFERROR(INDEX(Client_List!$D:$D,MATCH(VALUE(B368),Client_List!$A:$A,0)),""))</f>
        <v/>
      </c>
      <c r="G368" s="53">
        <f>IF(B368="","",IFERROR(INDEX(Client_List!$K:$K,MATCH(VALUE(B368),Client_List!$A:$A,0)),""))</f>
        <v/>
      </c>
      <c r="H368" s="32">
        <f>IF(B368="","",IFERROR(INDEX(Client_List!$J:$J,MATCH(VALUE(B368),Client_List!$A:$A,0)),""))</f>
        <v/>
      </c>
      <c r="I368" s="70">
        <f>IF(B368="","",IFERROR(A368-LOOKUP(2,1/($B$4:$B367=B368),$A$4:$A367),""))</f>
        <v/>
      </c>
      <c r="J368" s="32">
        <f>IF(B368="","",IFERROR(D368/I368,""))</f>
        <v/>
      </c>
      <c r="K368" s="71">
        <f>IF(B368="","",IFERROR(AVERAGEIFS($J$4:$J368,$B$4:$B368,B368,$J$4:$J368,"&gt;"&amp;0),""))</f>
        <v/>
      </c>
      <c r="L368" s="4" t="n"/>
    </row>
    <row r="369" ht="14" customHeight="1" s="72">
      <c r="A369" s="75" t="n">
        <v>46055</v>
      </c>
      <c r="B369" s="76" t="n">
        <v>15007</v>
      </c>
      <c r="C369" s="69">
        <f>IF(B369="","",IFERROR(INDEX(Client_List!$B:$B,MATCH(B369,Client_List!$A:$A,0)),"⚠ NOT FOUND"))</f>
        <v/>
      </c>
      <c r="D369" s="43" t="n">
        <v>887</v>
      </c>
      <c r="E369" s="32">
        <f>IF(B369="","",IFERROR(INDEX(Client_List!$C:$C,MATCH(VALUE(B369),Client_List!$A:$A,0)),""))</f>
        <v/>
      </c>
      <c r="F369" s="53">
        <f>IF(B369="","",IFERROR(INDEX(Client_List!$D:$D,MATCH(VALUE(B369),Client_List!$A:$A,0)),""))</f>
        <v/>
      </c>
      <c r="G369" s="53">
        <f>IF(B369="","",IFERROR(INDEX(Client_List!$K:$K,MATCH(VALUE(B369),Client_List!$A:$A,0)),""))</f>
        <v/>
      </c>
      <c r="H369" s="32">
        <f>IF(B369="","",IFERROR(INDEX(Client_List!$J:$J,MATCH(VALUE(B369),Client_List!$A:$A,0)),""))</f>
        <v/>
      </c>
      <c r="I369" s="70">
        <f>IF(B369="","",IFERROR(A369-LOOKUP(2,1/($B$4:$B368=B369),$A$4:$A368),""))</f>
        <v/>
      </c>
      <c r="J369" s="32">
        <f>IF(B369="","",IFERROR(D369/I369,""))</f>
        <v/>
      </c>
      <c r="K369" s="71">
        <f>IF(B369="","",IFERROR(AVERAGEIFS($J$4:$J369,$B$4:$B369,B369,$J$4:$J369,"&gt;"&amp;0),""))</f>
        <v/>
      </c>
      <c r="L369" s="7" t="n"/>
    </row>
    <row r="370" ht="14" customHeight="1" s="72">
      <c r="A370" s="75" t="n">
        <v>46055</v>
      </c>
      <c r="B370" s="76" t="n">
        <v>16008</v>
      </c>
      <c r="C370" s="69">
        <f>IF(B370="","",IFERROR(INDEX(Client_List!$B:$B,MATCH(B370,Client_List!$A:$A,0)),"⚠ NOT FOUND"))</f>
        <v/>
      </c>
      <c r="D370" s="43" t="n">
        <v>744</v>
      </c>
      <c r="E370" s="32">
        <f>IF(B370="","",IFERROR(INDEX(Client_List!$C:$C,MATCH(VALUE(B370),Client_List!$A:$A,0)),""))</f>
        <v/>
      </c>
      <c r="F370" s="53">
        <f>IF(B370="","",IFERROR(INDEX(Client_List!$D:$D,MATCH(VALUE(B370),Client_List!$A:$A,0)),""))</f>
        <v/>
      </c>
      <c r="G370" s="53">
        <f>IF(B370="","",IFERROR(INDEX(Client_List!$K:$K,MATCH(VALUE(B370),Client_List!$A:$A,0)),""))</f>
        <v/>
      </c>
      <c r="H370" s="32">
        <f>IF(B370="","",IFERROR(INDEX(Client_List!$J:$J,MATCH(VALUE(B370),Client_List!$A:$A,0)),""))</f>
        <v/>
      </c>
      <c r="I370" s="70">
        <f>IF(B370="","",IFERROR(A370-LOOKUP(2,1/($B$4:$B369=B370),$A$4:$A369),""))</f>
        <v/>
      </c>
      <c r="J370" s="32">
        <f>IF(B370="","",IFERROR(D370/I370,""))</f>
        <v/>
      </c>
      <c r="K370" s="71">
        <f>IF(B370="","",IFERROR(AVERAGEIFS($J$4:$J370,$B$4:$B370,B370,$J$4:$J370,"&gt;"&amp;0),""))</f>
        <v/>
      </c>
      <c r="L370" s="4" t="n"/>
    </row>
    <row r="371" ht="14" customHeight="1" s="72">
      <c r="A371" s="75" t="n">
        <v>46055</v>
      </c>
      <c r="B371" s="76" t="n">
        <v>18003</v>
      </c>
      <c r="C371" s="69">
        <f>IF(B371="","",IFERROR(INDEX(Client_List!$B:$B,MATCH(B371,Client_List!$A:$A,0)),"⚠ NOT FOUND"))</f>
        <v/>
      </c>
      <c r="D371" s="43" t="n">
        <v>446</v>
      </c>
      <c r="E371" s="32">
        <f>IF(B371="","",IFERROR(INDEX(Client_List!$C:$C,MATCH(VALUE(B371),Client_List!$A:$A,0)),""))</f>
        <v/>
      </c>
      <c r="F371" s="53">
        <f>IF(B371="","",IFERROR(INDEX(Client_List!$D:$D,MATCH(VALUE(B371),Client_List!$A:$A,0)),""))</f>
        <v/>
      </c>
      <c r="G371" s="53">
        <f>IF(B371="","",IFERROR(INDEX(Client_List!$K:$K,MATCH(VALUE(B371),Client_List!$A:$A,0)),""))</f>
        <v/>
      </c>
      <c r="H371" s="32">
        <f>IF(B371="","",IFERROR(INDEX(Client_List!$J:$J,MATCH(VALUE(B371),Client_List!$A:$A,0)),""))</f>
        <v/>
      </c>
      <c r="I371" s="70">
        <f>IF(B371="","",IFERROR(A371-LOOKUP(2,1/($B$4:$B370=B371),$A$4:$A370),""))</f>
        <v/>
      </c>
      <c r="J371" s="32">
        <f>IF(B371="","",IFERROR(D371/I371,""))</f>
        <v/>
      </c>
      <c r="K371" s="71">
        <f>IF(B371="","",IFERROR(AVERAGEIFS($J$4:$J371,$B$4:$B371,B371,$J$4:$J371,"&gt;"&amp;0),""))</f>
        <v/>
      </c>
      <c r="L371" s="7" t="n"/>
    </row>
    <row r="372" ht="14" customHeight="1" s="72">
      <c r="A372" s="75" t="n">
        <v>46056</v>
      </c>
      <c r="B372" s="76" t="n">
        <v>1011</v>
      </c>
      <c r="C372" s="69">
        <f>IF(B372="","",IFERROR(INDEX(Client_List!$B:$B,MATCH(B372,Client_List!$A:$A,0)),"⚠ NOT FOUND"))</f>
        <v/>
      </c>
      <c r="D372" s="43" t="n">
        <v>899</v>
      </c>
      <c r="E372" s="32">
        <f>IF(B372="","",IFERROR(INDEX(Client_List!$C:$C,MATCH(VALUE(B372),Client_List!$A:$A,0)),""))</f>
        <v/>
      </c>
      <c r="F372" s="53">
        <f>IF(B372="","",IFERROR(INDEX(Client_List!$D:$D,MATCH(VALUE(B372),Client_List!$A:$A,0)),""))</f>
        <v/>
      </c>
      <c r="G372" s="53">
        <f>IF(B372="","",IFERROR(INDEX(Client_List!$K:$K,MATCH(VALUE(B372),Client_List!$A:$A,0)),""))</f>
        <v/>
      </c>
      <c r="H372" s="32">
        <f>IF(B372="","",IFERROR(INDEX(Client_List!$J:$J,MATCH(VALUE(B372),Client_List!$A:$A,0)),""))</f>
        <v/>
      </c>
      <c r="I372" s="70">
        <f>IF(B372="","",IFERROR(A372-LOOKUP(2,1/($B$4:$B371=B372),$A$4:$A371),""))</f>
        <v/>
      </c>
      <c r="J372" s="32">
        <f>IF(B372="","",IFERROR(D372/I372,""))</f>
        <v/>
      </c>
      <c r="K372" s="71">
        <f>IF(B372="","",IFERROR(AVERAGEIFS($J$4:$J372,$B$4:$B372,B372,$J$4:$J372,"&gt;"&amp;0),""))</f>
        <v/>
      </c>
      <c r="L372" s="4" t="n"/>
    </row>
    <row r="373" ht="14" customHeight="1" s="72">
      <c r="A373" s="75" t="n">
        <v>46056</v>
      </c>
      <c r="B373" s="76" t="n">
        <v>1081</v>
      </c>
      <c r="C373" s="69">
        <f>IF(B373="","",IFERROR(INDEX(Client_List!$B:$B,MATCH(B373,Client_List!$A:$A,0)),"⚠ NOT FOUND"))</f>
        <v/>
      </c>
      <c r="D373" s="43" t="n">
        <v>228</v>
      </c>
      <c r="E373" s="32">
        <f>IF(B373="","",IFERROR(INDEX(Client_List!$C:$C,MATCH(VALUE(B373),Client_List!$A:$A,0)),""))</f>
        <v/>
      </c>
      <c r="F373" s="53">
        <f>IF(B373="","",IFERROR(INDEX(Client_List!$D:$D,MATCH(VALUE(B373),Client_List!$A:$A,0)),""))</f>
        <v/>
      </c>
      <c r="G373" s="53">
        <f>IF(B373="","",IFERROR(INDEX(Client_List!$K:$K,MATCH(VALUE(B373),Client_List!$A:$A,0)),""))</f>
        <v/>
      </c>
      <c r="H373" s="32">
        <f>IF(B373="","",IFERROR(INDEX(Client_List!$J:$J,MATCH(VALUE(B373),Client_List!$A:$A,0)),""))</f>
        <v/>
      </c>
      <c r="I373" s="70">
        <f>IF(B373="","",IFERROR(A373-LOOKUP(2,1/($B$4:$B372=B373),$A$4:$A372),""))</f>
        <v/>
      </c>
      <c r="J373" s="32">
        <f>IF(B373="","",IFERROR(D373/I373,""))</f>
        <v/>
      </c>
      <c r="K373" s="71">
        <f>IF(B373="","",IFERROR(AVERAGEIFS($J$4:$J373,$B$4:$B373,B373,$J$4:$J373,"&gt;"&amp;0),""))</f>
        <v/>
      </c>
      <c r="L373" s="7" t="n"/>
    </row>
    <row r="374" ht="14" customHeight="1" s="72">
      <c r="A374" s="75" t="n">
        <v>46056</v>
      </c>
      <c r="B374" s="76" t="n">
        <v>6109</v>
      </c>
      <c r="C374" s="69">
        <f>IF(B374="","",IFERROR(INDEX(Client_List!$B:$B,MATCH(B374,Client_List!$A:$A,0)),"⚠ NOT FOUND"))</f>
        <v/>
      </c>
      <c r="D374" s="43" t="n">
        <v>485</v>
      </c>
      <c r="E374" s="32">
        <f>IF(B374="","",IFERROR(INDEX(Client_List!$C:$C,MATCH(VALUE(B374),Client_List!$A:$A,0)),""))</f>
        <v/>
      </c>
      <c r="F374" s="53">
        <f>IF(B374="","",IFERROR(INDEX(Client_List!$D:$D,MATCH(VALUE(B374),Client_List!$A:$A,0)),""))</f>
        <v/>
      </c>
      <c r="G374" s="53">
        <f>IF(B374="","",IFERROR(INDEX(Client_List!$K:$K,MATCH(VALUE(B374),Client_List!$A:$A,0)),""))</f>
        <v/>
      </c>
      <c r="H374" s="32">
        <f>IF(B374="","",IFERROR(INDEX(Client_List!$J:$J,MATCH(VALUE(B374),Client_List!$A:$A,0)),""))</f>
        <v/>
      </c>
      <c r="I374" s="70">
        <f>IF(B374="","",IFERROR(A374-LOOKUP(2,1/($B$4:$B373=B374),$A$4:$A373),""))</f>
        <v/>
      </c>
      <c r="J374" s="32">
        <f>IF(B374="","",IFERROR(D374/I374,""))</f>
        <v/>
      </c>
      <c r="K374" s="71">
        <f>IF(B374="","",IFERROR(AVERAGEIFS($J$4:$J374,$B$4:$B374,B374,$J$4:$J374,"&gt;"&amp;0),""))</f>
        <v/>
      </c>
      <c r="L374" s="4" t="n"/>
    </row>
    <row r="375" ht="14" customHeight="1" s="72">
      <c r="A375" s="75" t="n">
        <v>46056</v>
      </c>
      <c r="B375" s="76" t="n">
        <v>8031</v>
      </c>
      <c r="C375" s="69">
        <f>IF(B375="","",IFERROR(INDEX(Client_List!$B:$B,MATCH(B375,Client_List!$A:$A,0)),"⚠ NOT FOUND"))</f>
        <v/>
      </c>
      <c r="D375" s="43" t="n">
        <v>881</v>
      </c>
      <c r="E375" s="32">
        <f>IF(B375="","",IFERROR(INDEX(Client_List!$C:$C,MATCH(VALUE(B375),Client_List!$A:$A,0)),""))</f>
        <v/>
      </c>
      <c r="F375" s="53">
        <f>IF(B375="","",IFERROR(INDEX(Client_List!$D:$D,MATCH(VALUE(B375),Client_List!$A:$A,0)),""))</f>
        <v/>
      </c>
      <c r="G375" s="53">
        <f>IF(B375="","",IFERROR(INDEX(Client_List!$K:$K,MATCH(VALUE(B375),Client_List!$A:$A,0)),""))</f>
        <v/>
      </c>
      <c r="H375" s="32">
        <f>IF(B375="","",IFERROR(INDEX(Client_List!$J:$J,MATCH(VALUE(B375),Client_List!$A:$A,0)),""))</f>
        <v/>
      </c>
      <c r="I375" s="70">
        <f>IF(B375="","",IFERROR(A375-LOOKUP(2,1/($B$4:$B374=B375),$A$4:$A374),""))</f>
        <v/>
      </c>
      <c r="J375" s="32">
        <f>IF(B375="","",IFERROR(D375/I375,""))</f>
        <v/>
      </c>
      <c r="K375" s="71">
        <f>IF(B375="","",IFERROR(AVERAGEIFS($J$4:$J375,$B$4:$B375,B375,$J$4:$J375,"&gt;"&amp;0),""))</f>
        <v/>
      </c>
      <c r="L375" s="7" t="n"/>
    </row>
    <row r="376" ht="14" customHeight="1" s="72">
      <c r="A376" s="75" t="n">
        <v>46056</v>
      </c>
      <c r="B376" s="76" t="n">
        <v>12048</v>
      </c>
      <c r="C376" s="69">
        <f>IF(B376="","",IFERROR(INDEX(Client_List!$B:$B,MATCH(B376,Client_List!$A:$A,0)),"⚠ NOT FOUND"))</f>
        <v/>
      </c>
      <c r="D376" s="43" t="n">
        <v>901</v>
      </c>
      <c r="E376" s="32">
        <f>IF(B376="","",IFERROR(INDEX(Client_List!$C:$C,MATCH(VALUE(B376),Client_List!$A:$A,0)),""))</f>
        <v/>
      </c>
      <c r="F376" s="53">
        <f>IF(B376="","",IFERROR(INDEX(Client_List!$D:$D,MATCH(VALUE(B376),Client_List!$A:$A,0)),""))</f>
        <v/>
      </c>
      <c r="G376" s="53">
        <f>IF(B376="","",IFERROR(INDEX(Client_List!$K:$K,MATCH(VALUE(B376),Client_List!$A:$A,0)),""))</f>
        <v/>
      </c>
      <c r="H376" s="32">
        <f>IF(B376="","",IFERROR(INDEX(Client_List!$J:$J,MATCH(VALUE(B376),Client_List!$A:$A,0)),""))</f>
        <v/>
      </c>
      <c r="I376" s="70">
        <f>IF(B376="","",IFERROR(A376-LOOKUP(2,1/($B$4:$B375=B376),$A$4:$A375),""))</f>
        <v/>
      </c>
      <c r="J376" s="32">
        <f>IF(B376="","",IFERROR(D376/I376,""))</f>
        <v/>
      </c>
      <c r="K376" s="71">
        <f>IF(B376="","",IFERROR(AVERAGEIFS($J$4:$J376,$B$4:$B376,B376,$J$4:$J376,"&gt;"&amp;0),""))</f>
        <v/>
      </c>
      <c r="L376" s="4" t="n"/>
    </row>
    <row r="377" ht="14" customHeight="1" s="72">
      <c r="A377" s="75" t="n">
        <v>46056</v>
      </c>
      <c r="B377" s="76" t="n">
        <v>15020</v>
      </c>
      <c r="C377" s="69">
        <f>IF(B377="","",IFERROR(INDEX(Client_List!$B:$B,MATCH(B377,Client_List!$A:$A,0)),"⚠ NOT FOUND"))</f>
        <v/>
      </c>
      <c r="D377" s="43" t="n">
        <v>440</v>
      </c>
      <c r="E377" s="32">
        <f>IF(B377="","",IFERROR(INDEX(Client_List!$C:$C,MATCH(VALUE(B377),Client_List!$A:$A,0)),""))</f>
        <v/>
      </c>
      <c r="F377" s="53">
        <f>IF(B377="","",IFERROR(INDEX(Client_List!$D:$D,MATCH(VALUE(B377),Client_List!$A:$A,0)),""))</f>
        <v/>
      </c>
      <c r="G377" s="53">
        <f>IF(B377="","",IFERROR(INDEX(Client_List!$K:$K,MATCH(VALUE(B377),Client_List!$A:$A,0)),""))</f>
        <v/>
      </c>
      <c r="H377" s="32">
        <f>IF(B377="","",IFERROR(INDEX(Client_List!$J:$J,MATCH(VALUE(B377),Client_List!$A:$A,0)),""))</f>
        <v/>
      </c>
      <c r="I377" s="70">
        <f>IF(B377="","",IFERROR(A377-LOOKUP(2,1/($B$4:$B376=B377),$A$4:$A376),""))</f>
        <v/>
      </c>
      <c r="J377" s="32">
        <f>IF(B377="","",IFERROR(D377/I377,""))</f>
        <v/>
      </c>
      <c r="K377" s="71">
        <f>IF(B377="","",IFERROR(AVERAGEIFS($J$4:$J377,$B$4:$B377,B377,$J$4:$J377,"&gt;"&amp;0),""))</f>
        <v/>
      </c>
      <c r="L377" s="7" t="n"/>
    </row>
    <row r="378" ht="14" customHeight="1" s="72">
      <c r="A378" s="75" t="n">
        <v>46056</v>
      </c>
      <c r="B378" s="76" t="n">
        <v>16004</v>
      </c>
      <c r="C378" s="69">
        <f>IF(B378="","",IFERROR(INDEX(Client_List!$B:$B,MATCH(B378,Client_List!$A:$A,0)),"⚠ NOT FOUND"))</f>
        <v/>
      </c>
      <c r="D378" s="43" t="n">
        <v>609</v>
      </c>
      <c r="E378" s="32">
        <f>IF(B378="","",IFERROR(INDEX(Client_List!$C:$C,MATCH(VALUE(B378),Client_List!$A:$A,0)),""))</f>
        <v/>
      </c>
      <c r="F378" s="53">
        <f>IF(B378="","",IFERROR(INDEX(Client_List!$D:$D,MATCH(VALUE(B378),Client_List!$A:$A,0)),""))</f>
        <v/>
      </c>
      <c r="G378" s="53">
        <f>IF(B378="","",IFERROR(INDEX(Client_List!$K:$K,MATCH(VALUE(B378),Client_List!$A:$A,0)),""))</f>
        <v/>
      </c>
      <c r="H378" s="32">
        <f>IF(B378="","",IFERROR(INDEX(Client_List!$J:$J,MATCH(VALUE(B378),Client_List!$A:$A,0)),""))</f>
        <v/>
      </c>
      <c r="I378" s="70">
        <f>IF(B378="","",IFERROR(A378-LOOKUP(2,1/($B$4:$B377=B378),$A$4:$A377),""))</f>
        <v/>
      </c>
      <c r="J378" s="32">
        <f>IF(B378="","",IFERROR(D378/I378,""))</f>
        <v/>
      </c>
      <c r="K378" s="71">
        <f>IF(B378="","",IFERROR(AVERAGEIFS($J$4:$J378,$B$4:$B378,B378,$J$4:$J378,"&gt;"&amp;0),""))</f>
        <v/>
      </c>
      <c r="L378" s="4" t="n"/>
    </row>
    <row r="379" ht="14" customHeight="1" s="72">
      <c r="A379" s="75" t="n">
        <v>46056</v>
      </c>
      <c r="B379" s="76" t="n">
        <v>16005</v>
      </c>
      <c r="C379" s="69">
        <f>IF(B379="","",IFERROR(INDEX(Client_List!$B:$B,MATCH(B379,Client_List!$A:$A,0)),"⚠ NOT FOUND"))</f>
        <v/>
      </c>
      <c r="D379" s="43" t="n">
        <v>740</v>
      </c>
      <c r="E379" s="32">
        <f>IF(B379="","",IFERROR(INDEX(Client_List!$C:$C,MATCH(VALUE(B379),Client_List!$A:$A,0)),""))</f>
        <v/>
      </c>
      <c r="F379" s="53">
        <f>IF(B379="","",IFERROR(INDEX(Client_List!$D:$D,MATCH(VALUE(B379),Client_List!$A:$A,0)),""))</f>
        <v/>
      </c>
      <c r="G379" s="53">
        <f>IF(B379="","",IFERROR(INDEX(Client_List!$K:$K,MATCH(VALUE(B379),Client_List!$A:$A,0)),""))</f>
        <v/>
      </c>
      <c r="H379" s="32">
        <f>IF(B379="","",IFERROR(INDEX(Client_List!$J:$J,MATCH(VALUE(B379),Client_List!$A:$A,0)),""))</f>
        <v/>
      </c>
      <c r="I379" s="70">
        <f>IF(B379="","",IFERROR(A379-LOOKUP(2,1/($B$4:$B378=B379),$A$4:$A378),""))</f>
        <v/>
      </c>
      <c r="J379" s="32">
        <f>IF(B379="","",IFERROR(D379/I379,""))</f>
        <v/>
      </c>
      <c r="K379" s="71">
        <f>IF(B379="","",IFERROR(AVERAGEIFS($J$4:$J379,$B$4:$B379,B379,$J$4:$J379,"&gt;"&amp;0),""))</f>
        <v/>
      </c>
      <c r="L379" s="7" t="n"/>
    </row>
    <row r="380" ht="14" customHeight="1" s="72">
      <c r="A380" s="75" t="n">
        <v>46056</v>
      </c>
      <c r="B380" s="76" t="n">
        <v>16009</v>
      </c>
      <c r="C380" s="69">
        <f>IF(B380="","",IFERROR(INDEX(Client_List!$B:$B,MATCH(B380,Client_List!$A:$A,0)),"⚠ NOT FOUND"))</f>
        <v/>
      </c>
      <c r="D380" s="43" t="n">
        <v>1321</v>
      </c>
      <c r="E380" s="32">
        <f>IF(B380="","",IFERROR(INDEX(Client_List!$C:$C,MATCH(VALUE(B380),Client_List!$A:$A,0)),""))</f>
        <v/>
      </c>
      <c r="F380" s="53">
        <f>IF(B380="","",IFERROR(INDEX(Client_List!$D:$D,MATCH(VALUE(B380),Client_List!$A:$A,0)),""))</f>
        <v/>
      </c>
      <c r="G380" s="53">
        <f>IF(B380="","",IFERROR(INDEX(Client_List!$K:$K,MATCH(VALUE(B380),Client_List!$A:$A,0)),""))</f>
        <v/>
      </c>
      <c r="H380" s="32">
        <f>IF(B380="","",IFERROR(INDEX(Client_List!$J:$J,MATCH(VALUE(B380),Client_List!$A:$A,0)),""))</f>
        <v/>
      </c>
      <c r="I380" s="70">
        <f>IF(B380="","",IFERROR(A380-LOOKUP(2,1/($B$4:$B379=B380),$A$4:$A379),""))</f>
        <v/>
      </c>
      <c r="J380" s="32">
        <f>IF(B380="","",IFERROR(D380/I380,""))</f>
        <v/>
      </c>
      <c r="K380" s="71">
        <f>IF(B380="","",IFERROR(AVERAGEIFS($J$4:$J380,$B$4:$B380,B380,$J$4:$J380,"&gt;"&amp;0),""))</f>
        <v/>
      </c>
      <c r="L380" s="4" t="n"/>
    </row>
    <row r="381" ht="14" customHeight="1" s="72">
      <c r="A381" s="75" t="n">
        <v>46056</v>
      </c>
      <c r="B381" s="76" t="n">
        <v>18004</v>
      </c>
      <c r="C381" s="69">
        <f>IF(B381="","",IFERROR(INDEX(Client_List!$B:$B,MATCH(B381,Client_List!$A:$A,0)),"⚠ NOT FOUND"))</f>
        <v/>
      </c>
      <c r="D381" s="43" t="n">
        <v>558</v>
      </c>
      <c r="E381" s="32">
        <f>IF(B381="","",IFERROR(INDEX(Client_List!$C:$C,MATCH(VALUE(B381),Client_List!$A:$A,0)),""))</f>
        <v/>
      </c>
      <c r="F381" s="53">
        <f>IF(B381="","",IFERROR(INDEX(Client_List!$D:$D,MATCH(VALUE(B381),Client_List!$A:$A,0)),""))</f>
        <v/>
      </c>
      <c r="G381" s="53">
        <f>IF(B381="","",IFERROR(INDEX(Client_List!$K:$K,MATCH(VALUE(B381),Client_List!$A:$A,0)),""))</f>
        <v/>
      </c>
      <c r="H381" s="32">
        <f>IF(B381="","",IFERROR(INDEX(Client_List!$J:$J,MATCH(VALUE(B381),Client_List!$A:$A,0)),""))</f>
        <v/>
      </c>
      <c r="I381" s="70">
        <f>IF(B381="","",IFERROR(A381-LOOKUP(2,1/($B$4:$B380=B381),$A$4:$A380),""))</f>
        <v/>
      </c>
      <c r="J381" s="32">
        <f>IF(B381="","",IFERROR(D381/I381,""))</f>
        <v/>
      </c>
      <c r="K381" s="71">
        <f>IF(B381="","",IFERROR(AVERAGEIFS($J$4:$J381,$B$4:$B381,B381,$J$4:$J381,"&gt;"&amp;0),""))</f>
        <v/>
      </c>
      <c r="L381" s="7" t="n"/>
    </row>
    <row r="382" ht="14" customHeight="1" s="72">
      <c r="A382" s="75" t="n">
        <v>46056</v>
      </c>
      <c r="B382" s="76" t="n">
        <v>19077</v>
      </c>
      <c r="C382" s="69">
        <f>IF(B382="","",IFERROR(INDEX(Client_List!$B:$B,MATCH(B382,Client_List!$A:$A,0)),"⚠ NOT FOUND"))</f>
        <v/>
      </c>
      <c r="D382" s="43" t="n">
        <v>1108</v>
      </c>
      <c r="E382" s="32">
        <f>IF(B382="","",IFERROR(INDEX(Client_List!$C:$C,MATCH(VALUE(B382),Client_List!$A:$A,0)),""))</f>
        <v/>
      </c>
      <c r="F382" s="53">
        <f>IF(B382="","",IFERROR(INDEX(Client_List!$D:$D,MATCH(VALUE(B382),Client_List!$A:$A,0)),""))</f>
        <v/>
      </c>
      <c r="G382" s="53">
        <f>IF(B382="","",IFERROR(INDEX(Client_List!$K:$K,MATCH(VALUE(B382),Client_List!$A:$A,0)),""))</f>
        <v/>
      </c>
      <c r="H382" s="32">
        <f>IF(B382="","",IFERROR(INDEX(Client_List!$J:$J,MATCH(VALUE(B382),Client_List!$A:$A,0)),""))</f>
        <v/>
      </c>
      <c r="I382" s="70">
        <f>IF(B382="","",IFERROR(A382-LOOKUP(2,1/($B$4:$B381=B382),$A$4:$A381),""))</f>
        <v/>
      </c>
      <c r="J382" s="32">
        <f>IF(B382="","",IFERROR(D382/I382,""))</f>
        <v/>
      </c>
      <c r="K382" s="71">
        <f>IF(B382="","",IFERROR(AVERAGEIFS($J$4:$J382,$B$4:$B382,B382,$J$4:$J382,"&gt;"&amp;0),""))</f>
        <v/>
      </c>
      <c r="L382" s="4" t="n"/>
    </row>
    <row r="383" ht="14" customHeight="1" s="72">
      <c r="A383" s="75" t="n">
        <v>46057</v>
      </c>
      <c r="B383" s="76" t="n">
        <v>2023</v>
      </c>
      <c r="C383" s="69">
        <f>IF(B383="","",IFERROR(INDEX(Client_List!$B:$B,MATCH(B383,Client_List!$A:$A,0)),"⚠ NOT FOUND"))</f>
        <v/>
      </c>
      <c r="D383" s="43" t="n">
        <v>545</v>
      </c>
      <c r="E383" s="32">
        <f>IF(B383="","",IFERROR(INDEX(Client_List!$C:$C,MATCH(VALUE(B383),Client_List!$A:$A,0)),""))</f>
        <v/>
      </c>
      <c r="F383" s="53">
        <f>IF(B383="","",IFERROR(INDEX(Client_List!$D:$D,MATCH(VALUE(B383),Client_List!$A:$A,0)),""))</f>
        <v/>
      </c>
      <c r="G383" s="53">
        <f>IF(B383="","",IFERROR(INDEX(Client_List!$K:$K,MATCH(VALUE(B383),Client_List!$A:$A,0)),""))</f>
        <v/>
      </c>
      <c r="H383" s="32">
        <f>IF(B383="","",IFERROR(INDEX(Client_List!$J:$J,MATCH(VALUE(B383),Client_List!$A:$A,0)),""))</f>
        <v/>
      </c>
      <c r="I383" s="70">
        <f>IF(B383="","",IFERROR(A383-LOOKUP(2,1/($B$4:$B382=B383),$A$4:$A382),""))</f>
        <v/>
      </c>
      <c r="J383" s="32">
        <f>IF(B383="","",IFERROR(D383/I383,""))</f>
        <v/>
      </c>
      <c r="K383" s="71">
        <f>IF(B383="","",IFERROR(AVERAGEIFS($J$4:$J383,$B$4:$B383,B383,$J$4:$J383,"&gt;"&amp;0),""))</f>
        <v/>
      </c>
      <c r="L383" s="7" t="n"/>
    </row>
    <row r="384" ht="14" customHeight="1" s="72">
      <c r="A384" s="75" t="n">
        <v>46057</v>
      </c>
      <c r="B384" s="76" t="n">
        <v>4014</v>
      </c>
      <c r="C384" s="69">
        <f>IF(B384="","",IFERROR(INDEX(Client_List!$B:$B,MATCH(B384,Client_List!$A:$A,0)),"⚠ NOT FOUND"))</f>
        <v/>
      </c>
      <c r="D384" s="43" t="n">
        <v>544</v>
      </c>
      <c r="E384" s="32">
        <f>IF(B384="","",IFERROR(INDEX(Client_List!$C:$C,MATCH(VALUE(B384),Client_List!$A:$A,0)),""))</f>
        <v/>
      </c>
      <c r="F384" s="53">
        <f>IF(B384="","",IFERROR(INDEX(Client_List!$D:$D,MATCH(VALUE(B384),Client_List!$A:$A,0)),""))</f>
        <v/>
      </c>
      <c r="G384" s="53">
        <f>IF(B384="","",IFERROR(INDEX(Client_List!$K:$K,MATCH(VALUE(B384),Client_List!$A:$A,0)),""))</f>
        <v/>
      </c>
      <c r="H384" s="32">
        <f>IF(B384="","",IFERROR(INDEX(Client_List!$J:$J,MATCH(VALUE(B384),Client_List!$A:$A,0)),""))</f>
        <v/>
      </c>
      <c r="I384" s="70">
        <f>IF(B384="","",IFERROR(A384-LOOKUP(2,1/($B$4:$B383=B384),$A$4:$A383),""))</f>
        <v/>
      </c>
      <c r="J384" s="32">
        <f>IF(B384="","",IFERROR(D384/I384,""))</f>
        <v/>
      </c>
      <c r="K384" s="71">
        <f>IF(B384="","",IFERROR(AVERAGEIFS($J$4:$J384,$B$4:$B384,B384,$J$4:$J384,"&gt;"&amp;0),""))</f>
        <v/>
      </c>
      <c r="L384" s="4" t="n"/>
    </row>
    <row r="385" ht="14" customHeight="1" s="72">
      <c r="A385" s="75" t="n">
        <v>46057</v>
      </c>
      <c r="B385" s="76" t="n">
        <v>5004</v>
      </c>
      <c r="C385" s="69">
        <f>IF(B385="","",IFERROR(INDEX(Client_List!$B:$B,MATCH(B385,Client_List!$A:$A,0)),"⚠ NOT FOUND"))</f>
        <v/>
      </c>
      <c r="D385" s="43" t="n">
        <v>303</v>
      </c>
      <c r="E385" s="32">
        <f>IF(B385="","",IFERROR(INDEX(Client_List!$C:$C,MATCH(VALUE(B385),Client_List!$A:$A,0)),""))</f>
        <v/>
      </c>
      <c r="F385" s="53">
        <f>IF(B385="","",IFERROR(INDEX(Client_List!$D:$D,MATCH(VALUE(B385),Client_List!$A:$A,0)),""))</f>
        <v/>
      </c>
      <c r="G385" s="53">
        <f>IF(B385="","",IFERROR(INDEX(Client_List!$K:$K,MATCH(VALUE(B385),Client_List!$A:$A,0)),""))</f>
        <v/>
      </c>
      <c r="H385" s="32">
        <f>IF(B385="","",IFERROR(INDEX(Client_List!$J:$J,MATCH(VALUE(B385),Client_List!$A:$A,0)),""))</f>
        <v/>
      </c>
      <c r="I385" s="70">
        <f>IF(B385="","",IFERROR(A385-LOOKUP(2,1/($B$4:$B384=B385),$A$4:$A384),""))</f>
        <v/>
      </c>
      <c r="J385" s="32">
        <f>IF(B385="","",IFERROR(D385/I385,""))</f>
        <v/>
      </c>
      <c r="K385" s="71">
        <f>IF(B385="","",IFERROR(AVERAGEIFS($J$4:$J385,$B$4:$B385,B385,$J$4:$J385,"&gt;"&amp;0),""))</f>
        <v/>
      </c>
      <c r="L385" s="7" t="n"/>
    </row>
    <row r="386" ht="14" customHeight="1" s="72">
      <c r="A386" s="75" t="n">
        <v>46057</v>
      </c>
      <c r="B386" s="76" t="n">
        <v>13011</v>
      </c>
      <c r="C386" s="69">
        <f>IF(B386="","",IFERROR(INDEX(Client_List!$B:$B,MATCH(B386,Client_List!$A:$A,0)),"⚠ NOT FOUND"))</f>
        <v/>
      </c>
      <c r="D386" s="43" t="n">
        <v>687</v>
      </c>
      <c r="E386" s="32">
        <f>IF(B386="","",IFERROR(INDEX(Client_List!$C:$C,MATCH(VALUE(B386),Client_List!$A:$A,0)),""))</f>
        <v/>
      </c>
      <c r="F386" s="53">
        <f>IF(B386="","",IFERROR(INDEX(Client_List!$D:$D,MATCH(VALUE(B386),Client_List!$A:$A,0)),""))</f>
        <v/>
      </c>
      <c r="G386" s="53">
        <f>IF(B386="","",IFERROR(INDEX(Client_List!$K:$K,MATCH(VALUE(B386),Client_List!$A:$A,0)),""))</f>
        <v/>
      </c>
      <c r="H386" s="32">
        <f>IF(B386="","",IFERROR(INDEX(Client_List!$J:$J,MATCH(VALUE(B386),Client_List!$A:$A,0)),""))</f>
        <v/>
      </c>
      <c r="I386" s="70">
        <f>IF(B386="","",IFERROR(A386-LOOKUP(2,1/($B$4:$B385=B386),$A$4:$A385),""))</f>
        <v/>
      </c>
      <c r="J386" s="32">
        <f>IF(B386="","",IFERROR(D386/I386,""))</f>
        <v/>
      </c>
      <c r="K386" s="71">
        <f>IF(B386="","",IFERROR(AVERAGEIFS($J$4:$J386,$B$4:$B386,B386,$J$4:$J386,"&gt;"&amp;0),""))</f>
        <v/>
      </c>
      <c r="L386" s="4" t="n"/>
    </row>
    <row r="387" ht="14" customHeight="1" s="72">
      <c r="A387" s="75" t="n">
        <v>46057</v>
      </c>
      <c r="B387" s="76" t="n">
        <v>15025</v>
      </c>
      <c r="C387" s="69">
        <f>IF(B387="","",IFERROR(INDEX(Client_List!$B:$B,MATCH(B387,Client_List!$A:$A,0)),"⚠ NOT FOUND"))</f>
        <v/>
      </c>
      <c r="D387" s="43" t="n">
        <v>479</v>
      </c>
      <c r="E387" s="32">
        <f>IF(B387="","",IFERROR(INDEX(Client_List!$C:$C,MATCH(VALUE(B387),Client_List!$A:$A,0)),""))</f>
        <v/>
      </c>
      <c r="F387" s="53">
        <f>IF(B387="","",IFERROR(INDEX(Client_List!$D:$D,MATCH(VALUE(B387),Client_List!$A:$A,0)),""))</f>
        <v/>
      </c>
      <c r="G387" s="53">
        <f>IF(B387="","",IFERROR(INDEX(Client_List!$K:$K,MATCH(VALUE(B387),Client_List!$A:$A,0)),""))</f>
        <v/>
      </c>
      <c r="H387" s="32">
        <f>IF(B387="","",IFERROR(INDEX(Client_List!$J:$J,MATCH(VALUE(B387),Client_List!$A:$A,0)),""))</f>
        <v/>
      </c>
      <c r="I387" s="70">
        <f>IF(B387="","",IFERROR(A387-LOOKUP(2,1/($B$4:$B386=B387),$A$4:$A386),""))</f>
        <v/>
      </c>
      <c r="J387" s="32">
        <f>IF(B387="","",IFERROR(D387/I387,""))</f>
        <v/>
      </c>
      <c r="K387" s="71">
        <f>IF(B387="","",IFERROR(AVERAGEIFS($J$4:$J387,$B$4:$B387,B387,$J$4:$J387,"&gt;"&amp;0),""))</f>
        <v/>
      </c>
      <c r="L387" s="7" t="n"/>
    </row>
    <row r="388" ht="14" customHeight="1" s="72">
      <c r="A388" s="75" t="n">
        <v>46057</v>
      </c>
      <c r="B388" s="76" t="n">
        <v>16010</v>
      </c>
      <c r="C388" s="69">
        <f>IF(B388="","",IFERROR(INDEX(Client_List!$B:$B,MATCH(B388,Client_List!$A:$A,0)),"⚠ NOT FOUND"))</f>
        <v/>
      </c>
      <c r="D388" s="43" t="n">
        <v>1540</v>
      </c>
      <c r="E388" s="32">
        <f>IF(B388="","",IFERROR(INDEX(Client_List!$C:$C,MATCH(VALUE(B388),Client_List!$A:$A,0)),""))</f>
        <v/>
      </c>
      <c r="F388" s="53">
        <f>IF(B388="","",IFERROR(INDEX(Client_List!$D:$D,MATCH(VALUE(B388),Client_List!$A:$A,0)),""))</f>
        <v/>
      </c>
      <c r="G388" s="53">
        <f>IF(B388="","",IFERROR(INDEX(Client_List!$K:$K,MATCH(VALUE(B388),Client_List!$A:$A,0)),""))</f>
        <v/>
      </c>
      <c r="H388" s="32">
        <f>IF(B388="","",IFERROR(INDEX(Client_List!$J:$J,MATCH(VALUE(B388),Client_List!$A:$A,0)),""))</f>
        <v/>
      </c>
      <c r="I388" s="70">
        <f>IF(B388="","",IFERROR(A388-LOOKUP(2,1/($B$4:$B387=B388),$A$4:$A387),""))</f>
        <v/>
      </c>
      <c r="J388" s="32">
        <f>IF(B388="","",IFERROR(D388/I388,""))</f>
        <v/>
      </c>
      <c r="K388" s="71">
        <f>IF(B388="","",IFERROR(AVERAGEIFS($J$4:$J388,$B$4:$B388,B388,$J$4:$J388,"&gt;"&amp;0),""))</f>
        <v/>
      </c>
      <c r="L388" s="4" t="n"/>
    </row>
    <row r="389" ht="14" customHeight="1" s="72">
      <c r="A389" s="75" t="n">
        <v>46057</v>
      </c>
      <c r="B389" s="76" t="n">
        <v>20051</v>
      </c>
      <c r="C389" s="69">
        <f>IF(B389="","",IFERROR(INDEX(Client_List!$B:$B,MATCH(B389,Client_List!$A:$A,0)),"⚠ NOT FOUND"))</f>
        <v/>
      </c>
      <c r="D389" s="43" t="n">
        <v>283</v>
      </c>
      <c r="E389" s="32">
        <f>IF(B389="","",IFERROR(INDEX(Client_List!$C:$C,MATCH(VALUE(B389),Client_List!$A:$A,0)),""))</f>
        <v/>
      </c>
      <c r="F389" s="53">
        <f>IF(B389="","",IFERROR(INDEX(Client_List!$D:$D,MATCH(VALUE(B389),Client_List!$A:$A,0)),""))</f>
        <v/>
      </c>
      <c r="G389" s="53">
        <f>IF(B389="","",IFERROR(INDEX(Client_List!$K:$K,MATCH(VALUE(B389),Client_List!$A:$A,0)),""))</f>
        <v/>
      </c>
      <c r="H389" s="32">
        <f>IF(B389="","",IFERROR(INDEX(Client_List!$J:$J,MATCH(VALUE(B389),Client_List!$A:$A,0)),""))</f>
        <v/>
      </c>
      <c r="I389" s="70">
        <f>IF(B389="","",IFERROR(A389-LOOKUP(2,1/($B$4:$B388=B389),$A$4:$A388),""))</f>
        <v/>
      </c>
      <c r="J389" s="32">
        <f>IF(B389="","",IFERROR(D389/I389,""))</f>
        <v/>
      </c>
      <c r="K389" s="71">
        <f>IF(B389="","",IFERROR(AVERAGEIFS($J$4:$J389,$B$4:$B389,B389,$J$4:$J389,"&gt;"&amp;0),""))</f>
        <v/>
      </c>
      <c r="L389" s="7" t="n"/>
    </row>
    <row r="390" ht="14" customHeight="1" s="72">
      <c r="A390" s="75" t="n">
        <v>46057</v>
      </c>
      <c r="B390" s="76" t="n">
        <v>20081</v>
      </c>
      <c r="C390" s="69">
        <f>IF(B390="","",IFERROR(INDEX(Client_List!$B:$B,MATCH(B390,Client_List!$A:$A,0)),"⚠ NOT FOUND"))</f>
        <v/>
      </c>
      <c r="D390" s="43" t="n">
        <v>869</v>
      </c>
      <c r="E390" s="32">
        <f>IF(B390="","",IFERROR(INDEX(Client_List!$C:$C,MATCH(VALUE(B390),Client_List!$A:$A,0)),""))</f>
        <v/>
      </c>
      <c r="F390" s="53">
        <f>IF(B390="","",IFERROR(INDEX(Client_List!$D:$D,MATCH(VALUE(B390),Client_List!$A:$A,0)),""))</f>
        <v/>
      </c>
      <c r="G390" s="53">
        <f>IF(B390="","",IFERROR(INDEX(Client_List!$K:$K,MATCH(VALUE(B390),Client_List!$A:$A,0)),""))</f>
        <v/>
      </c>
      <c r="H390" s="32">
        <f>IF(B390="","",IFERROR(INDEX(Client_List!$J:$J,MATCH(VALUE(B390),Client_List!$A:$A,0)),""))</f>
        <v/>
      </c>
      <c r="I390" s="70">
        <f>IF(B390="","",IFERROR(A390-LOOKUP(2,1/($B$4:$B389=B390),$A$4:$A389),""))</f>
        <v/>
      </c>
      <c r="J390" s="32">
        <f>IF(B390="","",IFERROR(D390/I390,""))</f>
        <v/>
      </c>
      <c r="K390" s="71">
        <f>IF(B390="","",IFERROR(AVERAGEIFS($J$4:$J390,$B$4:$B390,B390,$J$4:$J390,"&gt;"&amp;0),""))</f>
        <v/>
      </c>
      <c r="L390" s="4" t="n"/>
    </row>
    <row r="391" ht="14" customHeight="1" s="72">
      <c r="A391" s="75" t="n">
        <v>46058</v>
      </c>
      <c r="B391" s="76" t="n">
        <v>1013</v>
      </c>
      <c r="C391" s="69">
        <f>IF(B391="","",IFERROR(INDEX(Client_List!$B:$B,MATCH(B391,Client_List!$A:$A,0)),"⚠ NOT FOUND"))</f>
        <v/>
      </c>
      <c r="D391" s="43" t="n">
        <v>777</v>
      </c>
      <c r="E391" s="32">
        <f>IF(B391="","",IFERROR(INDEX(Client_List!$C:$C,MATCH(VALUE(B391),Client_List!$A:$A,0)),""))</f>
        <v/>
      </c>
      <c r="F391" s="53">
        <f>IF(B391="","",IFERROR(INDEX(Client_List!$D:$D,MATCH(VALUE(B391),Client_List!$A:$A,0)),""))</f>
        <v/>
      </c>
      <c r="G391" s="53">
        <f>IF(B391="","",IFERROR(INDEX(Client_List!$K:$K,MATCH(VALUE(B391),Client_List!$A:$A,0)),""))</f>
        <v/>
      </c>
      <c r="H391" s="32">
        <f>IF(B391="","",IFERROR(INDEX(Client_List!$J:$J,MATCH(VALUE(B391),Client_List!$A:$A,0)),""))</f>
        <v/>
      </c>
      <c r="I391" s="70">
        <f>IF(B391="","",IFERROR(A391-LOOKUP(2,1/($B$4:$B390=B391),$A$4:$A390),""))</f>
        <v/>
      </c>
      <c r="J391" s="32">
        <f>IF(B391="","",IFERROR(D391/I391,""))</f>
        <v/>
      </c>
      <c r="K391" s="71">
        <f>IF(B391="","",IFERROR(AVERAGEIFS($J$4:$J391,$B$4:$B391,B391,$J$4:$J391,"&gt;"&amp;0),""))</f>
        <v/>
      </c>
      <c r="L391" s="7" t="n"/>
    </row>
    <row r="392" ht="14" customHeight="1" s="72">
      <c r="A392" s="75" t="n">
        <v>46058</v>
      </c>
      <c r="B392" s="76" t="n">
        <v>1014</v>
      </c>
      <c r="C392" s="69">
        <f>IF(B392="","",IFERROR(INDEX(Client_List!$B:$B,MATCH(B392,Client_List!$A:$A,0)),"⚠ NOT FOUND"))</f>
        <v/>
      </c>
      <c r="D392" s="43" t="n">
        <v>575</v>
      </c>
      <c r="E392" s="32">
        <f>IF(B392="","",IFERROR(INDEX(Client_List!$C:$C,MATCH(VALUE(B392),Client_List!$A:$A,0)),""))</f>
        <v/>
      </c>
      <c r="F392" s="53">
        <f>IF(B392="","",IFERROR(INDEX(Client_List!$D:$D,MATCH(VALUE(B392),Client_List!$A:$A,0)),""))</f>
        <v/>
      </c>
      <c r="G392" s="53">
        <f>IF(B392="","",IFERROR(INDEX(Client_List!$K:$K,MATCH(VALUE(B392),Client_List!$A:$A,0)),""))</f>
        <v/>
      </c>
      <c r="H392" s="32">
        <f>IF(B392="","",IFERROR(INDEX(Client_List!$J:$J,MATCH(VALUE(B392),Client_List!$A:$A,0)),""))</f>
        <v/>
      </c>
      <c r="I392" s="70">
        <f>IF(B392="","",IFERROR(A392-LOOKUP(2,1/($B$4:$B391=B392),$A$4:$A391),""))</f>
        <v/>
      </c>
      <c r="J392" s="32">
        <f>IF(B392="","",IFERROR(D392/I392,""))</f>
        <v/>
      </c>
      <c r="K392" s="71">
        <f>IF(B392="","",IFERROR(AVERAGEIFS($J$4:$J392,$B$4:$B392,B392,$J$4:$J392,"&gt;"&amp;0),""))</f>
        <v/>
      </c>
      <c r="L392" s="4" t="n"/>
    </row>
    <row r="393" ht="14" customHeight="1" s="72">
      <c r="A393" s="75" t="n">
        <v>46058</v>
      </c>
      <c r="B393" s="76" t="n">
        <v>1083</v>
      </c>
      <c r="C393" s="69">
        <f>IF(B393="","",IFERROR(INDEX(Client_List!$B:$B,MATCH(B393,Client_List!$A:$A,0)),"⚠ NOT FOUND"))</f>
        <v/>
      </c>
      <c r="D393" s="43" t="n">
        <v>247</v>
      </c>
      <c r="E393" s="32">
        <f>IF(B393="","",IFERROR(INDEX(Client_List!$C:$C,MATCH(VALUE(B393),Client_List!$A:$A,0)),""))</f>
        <v/>
      </c>
      <c r="F393" s="53">
        <f>IF(B393="","",IFERROR(INDEX(Client_List!$D:$D,MATCH(VALUE(B393),Client_List!$A:$A,0)),""))</f>
        <v/>
      </c>
      <c r="G393" s="53">
        <f>IF(B393="","",IFERROR(INDEX(Client_List!$K:$K,MATCH(VALUE(B393),Client_List!$A:$A,0)),""))</f>
        <v/>
      </c>
      <c r="H393" s="32">
        <f>IF(B393="","",IFERROR(INDEX(Client_List!$J:$J,MATCH(VALUE(B393),Client_List!$A:$A,0)),""))</f>
        <v/>
      </c>
      <c r="I393" s="70">
        <f>IF(B393="","",IFERROR(A393-LOOKUP(2,1/($B$4:$B392=B393),$A$4:$A392),""))</f>
        <v/>
      </c>
      <c r="J393" s="32">
        <f>IF(B393="","",IFERROR(D393/I393,""))</f>
        <v/>
      </c>
      <c r="K393" s="71">
        <f>IF(B393="","",IFERROR(AVERAGEIFS($J$4:$J393,$B$4:$B393,B393,$J$4:$J393,"&gt;"&amp;0),""))</f>
        <v/>
      </c>
      <c r="L393" s="7" t="n"/>
    </row>
    <row r="394" ht="14" customHeight="1" s="72">
      <c r="A394" s="75" t="n">
        <v>46058</v>
      </c>
      <c r="B394" s="76" t="n">
        <v>2017</v>
      </c>
      <c r="C394" s="69">
        <f>IF(B394="","",IFERROR(INDEX(Client_List!$B:$B,MATCH(B394,Client_List!$A:$A,0)),"⚠ NOT FOUND"))</f>
        <v/>
      </c>
      <c r="D394" s="43" t="n">
        <v>603</v>
      </c>
      <c r="E394" s="32">
        <f>IF(B394="","",IFERROR(INDEX(Client_List!$C:$C,MATCH(VALUE(B394),Client_List!$A:$A,0)),""))</f>
        <v/>
      </c>
      <c r="F394" s="53">
        <f>IF(B394="","",IFERROR(INDEX(Client_List!$D:$D,MATCH(VALUE(B394),Client_List!$A:$A,0)),""))</f>
        <v/>
      </c>
      <c r="G394" s="53">
        <f>IF(B394="","",IFERROR(INDEX(Client_List!$K:$K,MATCH(VALUE(B394),Client_List!$A:$A,0)),""))</f>
        <v/>
      </c>
      <c r="H394" s="32">
        <f>IF(B394="","",IFERROR(INDEX(Client_List!$J:$J,MATCH(VALUE(B394),Client_List!$A:$A,0)),""))</f>
        <v/>
      </c>
      <c r="I394" s="70">
        <f>IF(B394="","",IFERROR(A394-LOOKUP(2,1/($B$4:$B393=B394),$A$4:$A393),""))</f>
        <v/>
      </c>
      <c r="J394" s="32">
        <f>IF(B394="","",IFERROR(D394/I394,""))</f>
        <v/>
      </c>
      <c r="K394" s="71">
        <f>IF(B394="","",IFERROR(AVERAGEIFS($J$4:$J394,$B$4:$B394,B394,$J$4:$J394,"&gt;"&amp;0),""))</f>
        <v/>
      </c>
      <c r="L394" s="4" t="n"/>
    </row>
    <row r="395" ht="14" customHeight="1" s="72">
      <c r="A395" s="75" t="n">
        <v>46058</v>
      </c>
      <c r="B395" s="76" t="n">
        <v>4009</v>
      </c>
      <c r="C395" s="69">
        <f>IF(B395="","",IFERROR(INDEX(Client_List!$B:$B,MATCH(B395,Client_List!$A:$A,0)),"⚠ NOT FOUND"))</f>
        <v/>
      </c>
      <c r="D395" s="43" t="n">
        <v>616</v>
      </c>
      <c r="E395" s="32">
        <f>IF(B395="","",IFERROR(INDEX(Client_List!$C:$C,MATCH(VALUE(B395),Client_List!$A:$A,0)),""))</f>
        <v/>
      </c>
      <c r="F395" s="53">
        <f>IF(B395="","",IFERROR(INDEX(Client_List!$D:$D,MATCH(VALUE(B395),Client_List!$A:$A,0)),""))</f>
        <v/>
      </c>
      <c r="G395" s="53">
        <f>IF(B395="","",IFERROR(INDEX(Client_List!$K:$K,MATCH(VALUE(B395),Client_List!$A:$A,0)),""))</f>
        <v/>
      </c>
      <c r="H395" s="32">
        <f>IF(B395="","",IFERROR(INDEX(Client_List!$J:$J,MATCH(VALUE(B395),Client_List!$A:$A,0)),""))</f>
        <v/>
      </c>
      <c r="I395" s="70">
        <f>IF(B395="","",IFERROR(A395-LOOKUP(2,1/($B$4:$B394=B395),$A$4:$A394),""))</f>
        <v/>
      </c>
      <c r="J395" s="32">
        <f>IF(B395="","",IFERROR(D395/I395,""))</f>
        <v/>
      </c>
      <c r="K395" s="71">
        <f>IF(B395="","",IFERROR(AVERAGEIFS($J$4:$J395,$B$4:$B395,B395,$J$4:$J395,"&gt;"&amp;0),""))</f>
        <v/>
      </c>
      <c r="L395" s="7" t="n"/>
    </row>
    <row r="396" ht="14" customHeight="1" s="72">
      <c r="A396" s="75" t="n">
        <v>46058</v>
      </c>
      <c r="B396" s="76" t="inlineStr">
        <is>
          <t>4015A</t>
        </is>
      </c>
      <c r="C396" s="69">
        <f>IF(B396="","",IFERROR(INDEX(Client_List!$B:$B,MATCH(B396,Client_List!$A:$A,0)),"⚠ NOT FOUND"))</f>
        <v/>
      </c>
      <c r="D396" s="43" t="n">
        <v>417</v>
      </c>
      <c r="E396" s="32">
        <f>IF(B396="","",IFERROR(INDEX(Client_List!$C:$C,MATCH(VALUE(B396),Client_List!$A:$A,0)),""))</f>
        <v/>
      </c>
      <c r="F396" s="53">
        <f>IF(B396="","",IFERROR(INDEX(Client_List!$D:$D,MATCH(VALUE(B396),Client_List!$A:$A,0)),""))</f>
        <v/>
      </c>
      <c r="G396" s="53">
        <f>IF(B396="","",IFERROR(INDEX(Client_List!$K:$K,MATCH(VALUE(B396),Client_List!$A:$A,0)),""))</f>
        <v/>
      </c>
      <c r="H396" s="32">
        <f>IF(B396="","",IFERROR(INDEX(Client_List!$J:$J,MATCH(VALUE(B396),Client_List!$A:$A,0)),""))</f>
        <v/>
      </c>
      <c r="I396" s="70">
        <f>IF(B396="","",IFERROR(A396-LOOKUP(2,1/($B$4:$B395=B396),$A$4:$A395),""))</f>
        <v/>
      </c>
      <c r="J396" s="32">
        <f>IF(B396="","",IFERROR(D396/I396,""))</f>
        <v/>
      </c>
      <c r="K396" s="71">
        <f>IF(B396="","",IFERROR(AVERAGEIFS($J$4:$J396,$B$4:$B396,B396,$J$4:$J396,"&gt;"&amp;0),""))</f>
        <v/>
      </c>
      <c r="L396" s="4" t="n"/>
    </row>
    <row r="397" ht="14" customHeight="1" s="72">
      <c r="A397" s="75" t="n">
        <v>46058</v>
      </c>
      <c r="B397" s="76" t="n">
        <v>4029</v>
      </c>
      <c r="C397" s="69">
        <f>IF(B397="","",IFERROR(INDEX(Client_List!$B:$B,MATCH(B397,Client_List!$A:$A,0)),"⚠ NOT FOUND"))</f>
        <v/>
      </c>
      <c r="D397" s="43" t="n">
        <v>1703</v>
      </c>
      <c r="E397" s="32">
        <f>IF(B397="","",IFERROR(INDEX(Client_List!$C:$C,MATCH(VALUE(B397),Client_List!$A:$A,0)),""))</f>
        <v/>
      </c>
      <c r="F397" s="53">
        <f>IF(B397="","",IFERROR(INDEX(Client_List!$D:$D,MATCH(VALUE(B397),Client_List!$A:$A,0)),""))</f>
        <v/>
      </c>
      <c r="G397" s="53">
        <f>IF(B397="","",IFERROR(INDEX(Client_List!$K:$K,MATCH(VALUE(B397),Client_List!$A:$A,0)),""))</f>
        <v/>
      </c>
      <c r="H397" s="32">
        <f>IF(B397="","",IFERROR(INDEX(Client_List!$J:$J,MATCH(VALUE(B397),Client_List!$A:$A,0)),""))</f>
        <v/>
      </c>
      <c r="I397" s="70">
        <f>IF(B397="","",IFERROR(A397-LOOKUP(2,1/($B$4:$B396=B397),$A$4:$A396),""))</f>
        <v/>
      </c>
      <c r="J397" s="32">
        <f>IF(B397="","",IFERROR(D397/I397,""))</f>
        <v/>
      </c>
      <c r="K397" s="71">
        <f>IF(B397="","",IFERROR(AVERAGEIFS($J$4:$J397,$B$4:$B397,B397,$J$4:$J397,"&gt;"&amp;0),""))</f>
        <v/>
      </c>
      <c r="L397" s="7" t="n"/>
    </row>
    <row r="398" ht="14" customHeight="1" s="72">
      <c r="A398" s="75" t="n">
        <v>46058</v>
      </c>
      <c r="B398" s="76" t="n">
        <v>7002</v>
      </c>
      <c r="C398" s="69">
        <f>IF(B398="","",IFERROR(INDEX(Client_List!$B:$B,MATCH(B398,Client_List!$A:$A,0)),"⚠ NOT FOUND"))</f>
        <v/>
      </c>
      <c r="D398" s="43" t="n">
        <v>441</v>
      </c>
      <c r="E398" s="32">
        <f>IF(B398="","",IFERROR(INDEX(Client_List!$C:$C,MATCH(VALUE(B398),Client_List!$A:$A,0)),""))</f>
        <v/>
      </c>
      <c r="F398" s="53">
        <f>IF(B398="","",IFERROR(INDEX(Client_List!$D:$D,MATCH(VALUE(B398),Client_List!$A:$A,0)),""))</f>
        <v/>
      </c>
      <c r="G398" s="53">
        <f>IF(B398="","",IFERROR(INDEX(Client_List!$K:$K,MATCH(VALUE(B398),Client_List!$A:$A,0)),""))</f>
        <v/>
      </c>
      <c r="H398" s="32">
        <f>IF(B398="","",IFERROR(INDEX(Client_List!$J:$J,MATCH(VALUE(B398),Client_List!$A:$A,0)),""))</f>
        <v/>
      </c>
      <c r="I398" s="70">
        <f>IF(B398="","",IFERROR(A398-LOOKUP(2,1/($B$4:$B397=B398),$A$4:$A397),""))</f>
        <v/>
      </c>
      <c r="J398" s="32">
        <f>IF(B398="","",IFERROR(D398/I398,""))</f>
        <v/>
      </c>
      <c r="K398" s="71">
        <f>IF(B398="","",IFERROR(AVERAGEIFS($J$4:$J398,$B$4:$B398,B398,$J$4:$J398,"&gt;"&amp;0),""))</f>
        <v/>
      </c>
      <c r="L398" s="4" t="n"/>
    </row>
    <row r="399" ht="14" customHeight="1" s="72">
      <c r="A399" s="75" t="n">
        <v>46058</v>
      </c>
      <c r="B399" s="76" t="n">
        <v>7052</v>
      </c>
      <c r="C399" s="69">
        <f>IF(B399="","",IFERROR(INDEX(Client_List!$B:$B,MATCH(B399,Client_List!$A:$A,0)),"⚠ NOT FOUND"))</f>
        <v/>
      </c>
      <c r="D399" s="43" t="n">
        <v>177</v>
      </c>
      <c r="E399" s="32">
        <f>IF(B399="","",IFERROR(INDEX(Client_List!$C:$C,MATCH(VALUE(B399),Client_List!$A:$A,0)),""))</f>
        <v/>
      </c>
      <c r="F399" s="53">
        <f>IF(B399="","",IFERROR(INDEX(Client_List!$D:$D,MATCH(VALUE(B399),Client_List!$A:$A,0)),""))</f>
        <v/>
      </c>
      <c r="G399" s="53">
        <f>IF(B399="","",IFERROR(INDEX(Client_List!$K:$K,MATCH(VALUE(B399),Client_List!$A:$A,0)),""))</f>
        <v/>
      </c>
      <c r="H399" s="32">
        <f>IF(B399="","",IFERROR(INDEX(Client_List!$J:$J,MATCH(VALUE(B399),Client_List!$A:$A,0)),""))</f>
        <v/>
      </c>
      <c r="I399" s="70">
        <f>IF(B399="","",IFERROR(A399-LOOKUP(2,1/($B$4:$B398=B399),$A$4:$A398),""))</f>
        <v/>
      </c>
      <c r="J399" s="32">
        <f>IF(B399="","",IFERROR(D399/I399,""))</f>
        <v/>
      </c>
      <c r="K399" s="71">
        <f>IF(B399="","",IFERROR(AVERAGEIFS($J$4:$J399,$B$4:$B399,B399,$J$4:$J399,"&gt;"&amp;0),""))</f>
        <v/>
      </c>
      <c r="L399" s="7" t="n"/>
    </row>
    <row r="400" ht="14" customHeight="1" s="72">
      <c r="A400" s="75" t="n">
        <v>46058</v>
      </c>
      <c r="B400" s="76" t="n">
        <v>11014</v>
      </c>
      <c r="C400" s="69">
        <f>IF(B400="","",IFERROR(INDEX(Client_List!$B:$B,MATCH(B400,Client_List!$A:$A,0)),"⚠ NOT FOUND"))</f>
        <v/>
      </c>
      <c r="D400" s="43" t="n">
        <v>332</v>
      </c>
      <c r="E400" s="32">
        <f>IF(B400="","",IFERROR(INDEX(Client_List!$C:$C,MATCH(VALUE(B400),Client_List!$A:$A,0)),""))</f>
        <v/>
      </c>
      <c r="F400" s="53">
        <f>IF(B400="","",IFERROR(INDEX(Client_List!$D:$D,MATCH(VALUE(B400),Client_List!$A:$A,0)),""))</f>
        <v/>
      </c>
      <c r="G400" s="53">
        <f>IF(B400="","",IFERROR(INDEX(Client_List!$K:$K,MATCH(VALUE(B400),Client_List!$A:$A,0)),""))</f>
        <v/>
      </c>
      <c r="H400" s="32">
        <f>IF(B400="","",IFERROR(INDEX(Client_List!$J:$J,MATCH(VALUE(B400),Client_List!$A:$A,0)),""))</f>
        <v/>
      </c>
      <c r="I400" s="70">
        <f>IF(B400="","",IFERROR(A400-LOOKUP(2,1/($B$4:$B399=B400),$A$4:$A399),""))</f>
        <v/>
      </c>
      <c r="J400" s="32">
        <f>IF(B400="","",IFERROR(D400/I400,""))</f>
        <v/>
      </c>
      <c r="K400" s="71">
        <f>IF(B400="","",IFERROR(AVERAGEIFS($J$4:$J400,$B$4:$B400,B400,$J$4:$J400,"&gt;"&amp;0),""))</f>
        <v/>
      </c>
      <c r="L400" s="4" t="n"/>
    </row>
    <row r="401" ht="14" customHeight="1" s="72">
      <c r="A401" s="75" t="n">
        <v>46058</v>
      </c>
      <c r="B401" s="76" t="n">
        <v>12050</v>
      </c>
      <c r="C401" s="69">
        <f>IF(B401="","",IFERROR(INDEX(Client_List!$B:$B,MATCH(B401,Client_List!$A:$A,0)),"⚠ NOT FOUND"))</f>
        <v/>
      </c>
      <c r="D401" s="43" t="n">
        <v>903</v>
      </c>
      <c r="E401" s="32">
        <f>IF(B401="","",IFERROR(INDEX(Client_List!$C:$C,MATCH(VALUE(B401),Client_List!$A:$A,0)),""))</f>
        <v/>
      </c>
      <c r="F401" s="53">
        <f>IF(B401="","",IFERROR(INDEX(Client_List!$D:$D,MATCH(VALUE(B401),Client_List!$A:$A,0)),""))</f>
        <v/>
      </c>
      <c r="G401" s="53">
        <f>IF(B401="","",IFERROR(INDEX(Client_List!$K:$K,MATCH(VALUE(B401),Client_List!$A:$A,0)),""))</f>
        <v/>
      </c>
      <c r="H401" s="32">
        <f>IF(B401="","",IFERROR(INDEX(Client_List!$J:$J,MATCH(VALUE(B401),Client_List!$A:$A,0)),""))</f>
        <v/>
      </c>
      <c r="I401" s="70">
        <f>IF(B401="","",IFERROR(A401-LOOKUP(2,1/($B$4:$B400=B401),$A$4:$A400),""))</f>
        <v/>
      </c>
      <c r="J401" s="32">
        <f>IF(B401="","",IFERROR(D401/I401,""))</f>
        <v/>
      </c>
      <c r="K401" s="71">
        <f>IF(B401="","",IFERROR(AVERAGEIFS($J$4:$J401,$B$4:$B401,B401,$J$4:$J401,"&gt;"&amp;0),""))</f>
        <v/>
      </c>
      <c r="L401" s="7" t="n"/>
    </row>
    <row r="402" ht="14" customHeight="1" s="72">
      <c r="A402" s="75" t="n">
        <v>46058</v>
      </c>
      <c r="B402" s="76" t="n">
        <v>15009</v>
      </c>
      <c r="C402" s="69">
        <f>IF(B402="","",IFERROR(INDEX(Client_List!$B:$B,MATCH(B402,Client_List!$A:$A,0)),"⚠ NOT FOUND"))</f>
        <v/>
      </c>
      <c r="D402" s="43" t="n">
        <v>447</v>
      </c>
      <c r="E402" s="32">
        <f>IF(B402="","",IFERROR(INDEX(Client_List!$C:$C,MATCH(VALUE(B402),Client_List!$A:$A,0)),""))</f>
        <v/>
      </c>
      <c r="F402" s="53">
        <f>IF(B402="","",IFERROR(INDEX(Client_List!$D:$D,MATCH(VALUE(B402),Client_List!$A:$A,0)),""))</f>
        <v/>
      </c>
      <c r="G402" s="53">
        <f>IF(B402="","",IFERROR(INDEX(Client_List!$K:$K,MATCH(VALUE(B402),Client_List!$A:$A,0)),""))</f>
        <v/>
      </c>
      <c r="H402" s="32">
        <f>IF(B402="","",IFERROR(INDEX(Client_List!$J:$J,MATCH(VALUE(B402),Client_List!$A:$A,0)),""))</f>
        <v/>
      </c>
      <c r="I402" s="70">
        <f>IF(B402="","",IFERROR(A402-LOOKUP(2,1/($B$4:$B401=B402),$A$4:$A401),""))</f>
        <v/>
      </c>
      <c r="J402" s="32">
        <f>IF(B402="","",IFERROR(D402/I402,""))</f>
        <v/>
      </c>
      <c r="K402" s="71">
        <f>IF(B402="","",IFERROR(AVERAGEIFS($J$4:$J402,$B$4:$B402,B402,$J$4:$J402,"&gt;"&amp;0),""))</f>
        <v/>
      </c>
      <c r="L402" s="4" t="n"/>
    </row>
    <row r="403" ht="14" customHeight="1" s="72">
      <c r="A403" s="75" t="n">
        <v>46058</v>
      </c>
      <c r="B403" s="76" t="n">
        <v>15027</v>
      </c>
      <c r="C403" s="69">
        <f>IF(B403="","",IFERROR(INDEX(Client_List!$B:$B,MATCH(B403,Client_List!$A:$A,0)),"⚠ NOT FOUND"))</f>
        <v/>
      </c>
      <c r="D403" s="43" t="n">
        <v>648</v>
      </c>
      <c r="E403" s="32">
        <f>IF(B403="","",IFERROR(INDEX(Client_List!$C:$C,MATCH(VALUE(B403),Client_List!$A:$A,0)),""))</f>
        <v/>
      </c>
      <c r="F403" s="53">
        <f>IF(B403="","",IFERROR(INDEX(Client_List!$D:$D,MATCH(VALUE(B403),Client_List!$A:$A,0)),""))</f>
        <v/>
      </c>
      <c r="G403" s="53">
        <f>IF(B403="","",IFERROR(INDEX(Client_List!$K:$K,MATCH(VALUE(B403),Client_List!$A:$A,0)),""))</f>
        <v/>
      </c>
      <c r="H403" s="32">
        <f>IF(B403="","",IFERROR(INDEX(Client_List!$J:$J,MATCH(VALUE(B403),Client_List!$A:$A,0)),""))</f>
        <v/>
      </c>
      <c r="I403" s="70">
        <f>IF(B403="","",IFERROR(A403-LOOKUP(2,1/($B$4:$B402=B403),$A$4:$A402),""))</f>
        <v/>
      </c>
      <c r="J403" s="32">
        <f>IF(B403="","",IFERROR(D403/I403,""))</f>
        <v/>
      </c>
      <c r="K403" s="71">
        <f>IF(B403="","",IFERROR(AVERAGEIFS($J$4:$J403,$B$4:$B403,B403,$J$4:$J403,"&gt;"&amp;0),""))</f>
        <v/>
      </c>
      <c r="L403" s="7" t="n"/>
    </row>
    <row r="404" ht="14" customHeight="1" s="72">
      <c r="A404" s="75" t="n">
        <v>46058</v>
      </c>
      <c r="B404" s="76" t="n">
        <v>16003</v>
      </c>
      <c r="C404" s="69">
        <f>IF(B404="","",IFERROR(INDEX(Client_List!$B:$B,MATCH(B404,Client_List!$A:$A,0)),"⚠ NOT FOUND"))</f>
        <v/>
      </c>
      <c r="D404" s="43" t="n">
        <v>642</v>
      </c>
      <c r="E404" s="32">
        <f>IF(B404="","",IFERROR(INDEX(Client_List!$C:$C,MATCH(VALUE(B404),Client_List!$A:$A,0)),""))</f>
        <v/>
      </c>
      <c r="F404" s="53">
        <f>IF(B404="","",IFERROR(INDEX(Client_List!$D:$D,MATCH(VALUE(B404),Client_List!$A:$A,0)),""))</f>
        <v/>
      </c>
      <c r="G404" s="53">
        <f>IF(B404="","",IFERROR(INDEX(Client_List!$K:$K,MATCH(VALUE(B404),Client_List!$A:$A,0)),""))</f>
        <v/>
      </c>
      <c r="H404" s="32">
        <f>IF(B404="","",IFERROR(INDEX(Client_List!$J:$J,MATCH(VALUE(B404),Client_List!$A:$A,0)),""))</f>
        <v/>
      </c>
      <c r="I404" s="70">
        <f>IF(B404="","",IFERROR(A404-LOOKUP(2,1/($B$4:$B403=B404),$A$4:$A403),""))</f>
        <v/>
      </c>
      <c r="J404" s="32">
        <f>IF(B404="","",IFERROR(D404/I404,""))</f>
        <v/>
      </c>
      <c r="K404" s="71">
        <f>IF(B404="","",IFERROR(AVERAGEIFS($J$4:$J404,$B$4:$B404,B404,$J$4:$J404,"&gt;"&amp;0),""))</f>
        <v/>
      </c>
      <c r="L404" s="4" t="n"/>
    </row>
    <row r="405" ht="14" customHeight="1" s="72">
      <c r="A405" s="75" t="n">
        <v>46058</v>
      </c>
      <c r="B405" s="76" t="n">
        <v>16007</v>
      </c>
      <c r="C405" s="69">
        <f>IF(B405="","",IFERROR(INDEX(Client_List!$B:$B,MATCH(B405,Client_List!$A:$A,0)),"⚠ NOT FOUND"))</f>
        <v/>
      </c>
      <c r="D405" s="43" t="n">
        <v>720</v>
      </c>
      <c r="E405" s="32">
        <f>IF(B405="","",IFERROR(INDEX(Client_List!$C:$C,MATCH(VALUE(B405),Client_List!$A:$A,0)),""))</f>
        <v/>
      </c>
      <c r="F405" s="53">
        <f>IF(B405="","",IFERROR(INDEX(Client_List!$D:$D,MATCH(VALUE(B405),Client_List!$A:$A,0)),""))</f>
        <v/>
      </c>
      <c r="G405" s="53">
        <f>IF(B405="","",IFERROR(INDEX(Client_List!$K:$K,MATCH(VALUE(B405),Client_List!$A:$A,0)),""))</f>
        <v/>
      </c>
      <c r="H405" s="32">
        <f>IF(B405="","",IFERROR(INDEX(Client_List!$J:$J,MATCH(VALUE(B405),Client_List!$A:$A,0)),""))</f>
        <v/>
      </c>
      <c r="I405" s="70">
        <f>IF(B405="","",IFERROR(A405-LOOKUP(2,1/($B$4:$B404=B405),$A$4:$A404),""))</f>
        <v/>
      </c>
      <c r="J405" s="32">
        <f>IF(B405="","",IFERROR(D405/I405,""))</f>
        <v/>
      </c>
      <c r="K405" s="71">
        <f>IF(B405="","",IFERROR(AVERAGEIFS($J$4:$J405,$B$4:$B405,B405,$J$4:$J405,"&gt;"&amp;0),""))</f>
        <v/>
      </c>
      <c r="L405" s="7" t="n"/>
    </row>
    <row r="406" ht="14" customHeight="1" s="72">
      <c r="A406" s="75" t="n">
        <v>46058</v>
      </c>
      <c r="B406" s="76" t="n">
        <v>19081</v>
      </c>
      <c r="C406" s="69">
        <f>IF(B406="","",IFERROR(INDEX(Client_List!$B:$B,MATCH(B406,Client_List!$A:$A,0)),"⚠ NOT FOUND"))</f>
        <v/>
      </c>
      <c r="D406" s="43" t="n">
        <v>331</v>
      </c>
      <c r="E406" s="32">
        <f>IF(B406="","",IFERROR(INDEX(Client_List!$C:$C,MATCH(VALUE(B406),Client_List!$A:$A,0)),""))</f>
        <v/>
      </c>
      <c r="F406" s="53">
        <f>IF(B406="","",IFERROR(INDEX(Client_List!$D:$D,MATCH(VALUE(B406),Client_List!$A:$A,0)),""))</f>
        <v/>
      </c>
      <c r="G406" s="53">
        <f>IF(B406="","",IFERROR(INDEX(Client_List!$K:$K,MATCH(VALUE(B406),Client_List!$A:$A,0)),""))</f>
        <v/>
      </c>
      <c r="H406" s="32">
        <f>IF(B406="","",IFERROR(INDEX(Client_List!$J:$J,MATCH(VALUE(B406),Client_List!$A:$A,0)),""))</f>
        <v/>
      </c>
      <c r="I406" s="70">
        <f>IF(B406="","",IFERROR(A406-LOOKUP(2,1/($B$4:$B405=B406),$A$4:$A405),""))</f>
        <v/>
      </c>
      <c r="J406" s="32">
        <f>IF(B406="","",IFERROR(D406/I406,""))</f>
        <v/>
      </c>
      <c r="K406" s="71">
        <f>IF(B406="","",IFERROR(AVERAGEIFS($J$4:$J406,$B$4:$B406,B406,$J$4:$J406,"&gt;"&amp;0),""))</f>
        <v/>
      </c>
      <c r="L406" s="4" t="n"/>
    </row>
    <row r="407" ht="14" customHeight="1" s="72">
      <c r="A407" s="75" t="n">
        <v>46059</v>
      </c>
      <c r="B407" s="76" t="n">
        <v>1063</v>
      </c>
      <c r="C407" s="69">
        <f>IF(B407="","",IFERROR(INDEX(Client_List!$B:$B,MATCH(B407,Client_List!$A:$A,0)),"⚠ NOT FOUND"))</f>
        <v/>
      </c>
      <c r="D407" s="43" t="n">
        <v>765</v>
      </c>
      <c r="E407" s="32">
        <f>IF(B407="","",IFERROR(INDEX(Client_List!$C:$C,MATCH(VALUE(B407),Client_List!$A:$A,0)),""))</f>
        <v/>
      </c>
      <c r="F407" s="53">
        <f>IF(B407="","",IFERROR(INDEX(Client_List!$D:$D,MATCH(VALUE(B407),Client_List!$A:$A,0)),""))</f>
        <v/>
      </c>
      <c r="G407" s="53">
        <f>IF(B407="","",IFERROR(INDEX(Client_List!$K:$K,MATCH(VALUE(B407),Client_List!$A:$A,0)),""))</f>
        <v/>
      </c>
      <c r="H407" s="32">
        <f>IF(B407="","",IFERROR(INDEX(Client_List!$J:$J,MATCH(VALUE(B407),Client_List!$A:$A,0)),""))</f>
        <v/>
      </c>
      <c r="I407" s="70">
        <f>IF(B407="","",IFERROR(A407-LOOKUP(2,1/($B$4:$B406=B407),$A$4:$A406),""))</f>
        <v/>
      </c>
      <c r="J407" s="32">
        <f>IF(B407="","",IFERROR(D407/I407,""))</f>
        <v/>
      </c>
      <c r="K407" s="71">
        <f>IF(B407="","",IFERROR(AVERAGEIFS($J$4:$J407,$B$4:$B407,B407,$J$4:$J407,"&gt;"&amp;0),""))</f>
        <v/>
      </c>
      <c r="L407" s="7" t="n"/>
    </row>
    <row r="408" ht="14" customHeight="1" s="72">
      <c r="A408" s="75" t="n">
        <v>46059</v>
      </c>
      <c r="B408" s="76" t="n">
        <v>3021</v>
      </c>
      <c r="C408" s="69">
        <f>IF(B408="","",IFERROR(INDEX(Client_List!$B:$B,MATCH(B408,Client_List!$A:$A,0)),"⚠ NOT FOUND"))</f>
        <v/>
      </c>
      <c r="D408" s="43" t="n">
        <v>496</v>
      </c>
      <c r="E408" s="32">
        <f>IF(B408="","",IFERROR(INDEX(Client_List!$C:$C,MATCH(VALUE(B408),Client_List!$A:$A,0)),""))</f>
        <v/>
      </c>
      <c r="F408" s="53">
        <f>IF(B408="","",IFERROR(INDEX(Client_List!$D:$D,MATCH(VALUE(B408),Client_List!$A:$A,0)),""))</f>
        <v/>
      </c>
      <c r="G408" s="53">
        <f>IF(B408="","",IFERROR(INDEX(Client_List!$K:$K,MATCH(VALUE(B408),Client_List!$A:$A,0)),""))</f>
        <v/>
      </c>
      <c r="H408" s="32">
        <f>IF(B408="","",IFERROR(INDEX(Client_List!$J:$J,MATCH(VALUE(B408),Client_List!$A:$A,0)),""))</f>
        <v/>
      </c>
      <c r="I408" s="70">
        <f>IF(B408="","",IFERROR(A408-LOOKUP(2,1/($B$4:$B407=B408),$A$4:$A407),""))</f>
        <v/>
      </c>
      <c r="J408" s="32">
        <f>IF(B408="","",IFERROR(D408/I408,""))</f>
        <v/>
      </c>
      <c r="K408" s="71">
        <f>IF(B408="","",IFERROR(AVERAGEIFS($J$4:$J408,$B$4:$B408,B408,$J$4:$J408,"&gt;"&amp;0),""))</f>
        <v/>
      </c>
      <c r="L408" s="4" t="n"/>
    </row>
    <row r="409" ht="14" customHeight="1" s="72">
      <c r="A409" s="75" t="n">
        <v>46059</v>
      </c>
      <c r="B409" s="76" t="n">
        <v>3056</v>
      </c>
      <c r="C409" s="69">
        <f>IF(B409="","",IFERROR(INDEX(Client_List!$B:$B,MATCH(B409,Client_List!$A:$A,0)),"⚠ NOT FOUND"))</f>
        <v/>
      </c>
      <c r="D409" s="43" t="n">
        <v>257</v>
      </c>
      <c r="E409" s="32">
        <f>IF(B409="","",IFERROR(INDEX(Client_List!$C:$C,MATCH(VALUE(B409),Client_List!$A:$A,0)),""))</f>
        <v/>
      </c>
      <c r="F409" s="53">
        <f>IF(B409="","",IFERROR(INDEX(Client_List!$D:$D,MATCH(VALUE(B409),Client_List!$A:$A,0)),""))</f>
        <v/>
      </c>
      <c r="G409" s="53">
        <f>IF(B409="","",IFERROR(INDEX(Client_List!$K:$K,MATCH(VALUE(B409),Client_List!$A:$A,0)),""))</f>
        <v/>
      </c>
      <c r="H409" s="32">
        <f>IF(B409="","",IFERROR(INDEX(Client_List!$J:$J,MATCH(VALUE(B409),Client_List!$A:$A,0)),""))</f>
        <v/>
      </c>
      <c r="I409" s="70">
        <f>IF(B409="","",IFERROR(A409-LOOKUP(2,1/($B$4:$B408=B409),$A$4:$A408),""))</f>
        <v/>
      </c>
      <c r="J409" s="32">
        <f>IF(B409="","",IFERROR(D409/I409,""))</f>
        <v/>
      </c>
      <c r="K409" s="71">
        <f>IF(B409="","",IFERROR(AVERAGEIFS($J$4:$J409,$B$4:$B409,B409,$J$4:$J409,"&gt;"&amp;0),""))</f>
        <v/>
      </c>
      <c r="L409" s="7" t="n"/>
    </row>
    <row r="410" ht="14" customHeight="1" s="72">
      <c r="A410" s="75" t="n">
        <v>46059</v>
      </c>
      <c r="B410" s="76" t="n">
        <v>3064</v>
      </c>
      <c r="C410" s="69">
        <f>IF(B410="","",IFERROR(INDEX(Client_List!$B:$B,MATCH(B410,Client_List!$A:$A,0)),"⚠ NOT FOUND"))</f>
        <v/>
      </c>
      <c r="D410" s="43" t="n">
        <v>553</v>
      </c>
      <c r="E410" s="32">
        <f>IF(B410="","",IFERROR(INDEX(Client_List!$C:$C,MATCH(VALUE(B410),Client_List!$A:$A,0)),""))</f>
        <v/>
      </c>
      <c r="F410" s="53">
        <f>IF(B410="","",IFERROR(INDEX(Client_List!$D:$D,MATCH(VALUE(B410),Client_List!$A:$A,0)),""))</f>
        <v/>
      </c>
      <c r="G410" s="53">
        <f>IF(B410="","",IFERROR(INDEX(Client_List!$K:$K,MATCH(VALUE(B410),Client_List!$A:$A,0)),""))</f>
        <v/>
      </c>
      <c r="H410" s="32">
        <f>IF(B410="","",IFERROR(INDEX(Client_List!$J:$J,MATCH(VALUE(B410),Client_List!$A:$A,0)),""))</f>
        <v/>
      </c>
      <c r="I410" s="70">
        <f>IF(B410="","",IFERROR(A410-LOOKUP(2,1/($B$4:$B409=B410),$A$4:$A409),""))</f>
        <v/>
      </c>
      <c r="J410" s="32">
        <f>IF(B410="","",IFERROR(D410/I410,""))</f>
        <v/>
      </c>
      <c r="K410" s="71">
        <f>IF(B410="","",IFERROR(AVERAGEIFS($J$4:$J410,$B$4:$B410,B410,$J$4:$J410,"&gt;"&amp;0),""))</f>
        <v/>
      </c>
      <c r="L410" s="4" t="n"/>
    </row>
    <row r="411" ht="14" customHeight="1" s="72">
      <c r="A411" s="75" t="n">
        <v>46059</v>
      </c>
      <c r="B411" s="76" t="n">
        <v>6101</v>
      </c>
      <c r="C411" s="69">
        <f>IF(B411="","",IFERROR(INDEX(Client_List!$B:$B,MATCH(B411,Client_List!$A:$A,0)),"⚠ NOT FOUND"))</f>
        <v/>
      </c>
      <c r="D411" s="43" t="n">
        <v>451</v>
      </c>
      <c r="E411" s="32">
        <f>IF(B411="","",IFERROR(INDEX(Client_List!$C:$C,MATCH(VALUE(B411),Client_List!$A:$A,0)),""))</f>
        <v/>
      </c>
      <c r="F411" s="53">
        <f>IF(B411="","",IFERROR(INDEX(Client_List!$D:$D,MATCH(VALUE(B411),Client_List!$A:$A,0)),""))</f>
        <v/>
      </c>
      <c r="G411" s="53">
        <f>IF(B411="","",IFERROR(INDEX(Client_List!$K:$K,MATCH(VALUE(B411),Client_List!$A:$A,0)),""))</f>
        <v/>
      </c>
      <c r="H411" s="32">
        <f>IF(B411="","",IFERROR(INDEX(Client_List!$J:$J,MATCH(VALUE(B411),Client_List!$A:$A,0)),""))</f>
        <v/>
      </c>
      <c r="I411" s="70">
        <f>IF(B411="","",IFERROR(A411-LOOKUP(2,1/($B$4:$B410=B411),$A$4:$A410),""))</f>
        <v/>
      </c>
      <c r="J411" s="32">
        <f>IF(B411="","",IFERROR(D411/I411,""))</f>
        <v/>
      </c>
      <c r="K411" s="71">
        <f>IF(B411="","",IFERROR(AVERAGEIFS($J$4:$J411,$B$4:$B411,B411,$J$4:$J411,"&gt;"&amp;0),""))</f>
        <v/>
      </c>
      <c r="L411" s="7" t="n"/>
    </row>
    <row r="412" ht="14" customHeight="1" s="72">
      <c r="A412" s="75" t="n">
        <v>46059</v>
      </c>
      <c r="B412" s="76" t="n">
        <v>7053</v>
      </c>
      <c r="C412" s="69">
        <f>IF(B412="","",IFERROR(INDEX(Client_List!$B:$B,MATCH(B412,Client_List!$A:$A,0)),"⚠ NOT FOUND"))</f>
        <v/>
      </c>
      <c r="D412" s="43" t="n">
        <v>195</v>
      </c>
      <c r="E412" s="32">
        <f>IF(B412="","",IFERROR(INDEX(Client_List!$C:$C,MATCH(VALUE(B412),Client_List!$A:$A,0)),""))</f>
        <v/>
      </c>
      <c r="F412" s="53">
        <f>IF(B412="","",IFERROR(INDEX(Client_List!$D:$D,MATCH(VALUE(B412),Client_List!$A:$A,0)),""))</f>
        <v/>
      </c>
      <c r="G412" s="53">
        <f>IF(B412="","",IFERROR(INDEX(Client_List!$K:$K,MATCH(VALUE(B412),Client_List!$A:$A,0)),""))</f>
        <v/>
      </c>
      <c r="H412" s="32">
        <f>IF(B412="","",IFERROR(INDEX(Client_List!$J:$J,MATCH(VALUE(B412),Client_List!$A:$A,0)),""))</f>
        <v/>
      </c>
      <c r="I412" s="70">
        <f>IF(B412="","",IFERROR(A412-LOOKUP(2,1/($B$4:$B411=B412),$A$4:$A411),""))</f>
        <v/>
      </c>
      <c r="J412" s="32">
        <f>IF(B412="","",IFERROR(D412/I412,""))</f>
        <v/>
      </c>
      <c r="K412" s="71">
        <f>IF(B412="","",IFERROR(AVERAGEIFS($J$4:$J412,$B$4:$B412,B412,$J$4:$J412,"&gt;"&amp;0),""))</f>
        <v/>
      </c>
      <c r="L412" s="4" t="n"/>
    </row>
    <row r="413" ht="14" customHeight="1" s="72">
      <c r="A413" s="75" t="n">
        <v>46059</v>
      </c>
      <c r="B413" s="76" t="n">
        <v>12025</v>
      </c>
      <c r="C413" s="69">
        <f>IF(B413="","",IFERROR(INDEX(Client_List!$B:$B,MATCH(B413,Client_List!$A:$A,0)),"⚠ NOT FOUND"))</f>
        <v/>
      </c>
      <c r="D413" s="43" t="n">
        <v>538</v>
      </c>
      <c r="E413" s="32">
        <f>IF(B413="","",IFERROR(INDEX(Client_List!$C:$C,MATCH(VALUE(B413),Client_List!$A:$A,0)),""))</f>
        <v/>
      </c>
      <c r="F413" s="53">
        <f>IF(B413="","",IFERROR(INDEX(Client_List!$D:$D,MATCH(VALUE(B413),Client_List!$A:$A,0)),""))</f>
        <v/>
      </c>
      <c r="G413" s="53">
        <f>IF(B413="","",IFERROR(INDEX(Client_List!$K:$K,MATCH(VALUE(B413),Client_List!$A:$A,0)),""))</f>
        <v/>
      </c>
      <c r="H413" s="32">
        <f>IF(B413="","",IFERROR(INDEX(Client_List!$J:$J,MATCH(VALUE(B413),Client_List!$A:$A,0)),""))</f>
        <v/>
      </c>
      <c r="I413" s="70">
        <f>IF(B413="","",IFERROR(A413-LOOKUP(2,1/($B$4:$B412=B413),$A$4:$A412),""))</f>
        <v/>
      </c>
      <c r="J413" s="32">
        <f>IF(B413="","",IFERROR(D413/I413,""))</f>
        <v/>
      </c>
      <c r="K413" s="71">
        <f>IF(B413="","",IFERROR(AVERAGEIFS($J$4:$J413,$B$4:$B413,B413,$J$4:$J413,"&gt;"&amp;0),""))</f>
        <v/>
      </c>
      <c r="L413" s="7" t="n"/>
    </row>
    <row r="414" ht="14" customHeight="1" s="72">
      <c r="A414" s="75" t="n">
        <v>46059</v>
      </c>
      <c r="B414" s="76" t="n">
        <v>13009</v>
      </c>
      <c r="C414" s="69">
        <f>IF(B414="","",IFERROR(INDEX(Client_List!$B:$B,MATCH(B414,Client_List!$A:$A,0)),"⚠ NOT FOUND"))</f>
        <v/>
      </c>
      <c r="D414" s="43" t="n">
        <v>1001</v>
      </c>
      <c r="E414" s="32">
        <f>IF(B414="","",IFERROR(INDEX(Client_List!$C:$C,MATCH(VALUE(B414),Client_List!$A:$A,0)),""))</f>
        <v/>
      </c>
      <c r="F414" s="53">
        <f>IF(B414="","",IFERROR(INDEX(Client_List!$D:$D,MATCH(VALUE(B414),Client_List!$A:$A,0)),""))</f>
        <v/>
      </c>
      <c r="G414" s="53">
        <f>IF(B414="","",IFERROR(INDEX(Client_List!$K:$K,MATCH(VALUE(B414),Client_List!$A:$A,0)),""))</f>
        <v/>
      </c>
      <c r="H414" s="32">
        <f>IF(B414="","",IFERROR(INDEX(Client_List!$J:$J,MATCH(VALUE(B414),Client_List!$A:$A,0)),""))</f>
        <v/>
      </c>
      <c r="I414" s="70">
        <f>IF(B414="","",IFERROR(A414-LOOKUP(2,1/($B$4:$B413=B414),$A$4:$A413),""))</f>
        <v/>
      </c>
      <c r="J414" s="32">
        <f>IF(B414="","",IFERROR(D414/I414,""))</f>
        <v/>
      </c>
      <c r="K414" s="71">
        <f>IF(B414="","",IFERROR(AVERAGEIFS($J$4:$J414,$B$4:$B414,B414,$J$4:$J414,"&gt;"&amp;0),""))</f>
        <v/>
      </c>
      <c r="L414" s="4" t="n"/>
    </row>
    <row r="415" ht="14" customHeight="1" s="72">
      <c r="A415" s="75" t="n">
        <v>46059</v>
      </c>
      <c r="B415" s="76" t="n">
        <v>13012</v>
      </c>
      <c r="C415" s="69">
        <f>IF(B415="","",IFERROR(INDEX(Client_List!$B:$B,MATCH(B415,Client_List!$A:$A,0)),"⚠ NOT FOUND"))</f>
        <v/>
      </c>
      <c r="D415" s="43" t="n">
        <v>723</v>
      </c>
      <c r="E415" s="32">
        <f>IF(B415="","",IFERROR(INDEX(Client_List!$C:$C,MATCH(VALUE(B415),Client_List!$A:$A,0)),""))</f>
        <v/>
      </c>
      <c r="F415" s="53">
        <f>IF(B415="","",IFERROR(INDEX(Client_List!$D:$D,MATCH(VALUE(B415),Client_List!$A:$A,0)),""))</f>
        <v/>
      </c>
      <c r="G415" s="53">
        <f>IF(B415="","",IFERROR(INDEX(Client_List!$K:$K,MATCH(VALUE(B415),Client_List!$A:$A,0)),""))</f>
        <v/>
      </c>
      <c r="H415" s="32">
        <f>IF(B415="","",IFERROR(INDEX(Client_List!$J:$J,MATCH(VALUE(B415),Client_List!$A:$A,0)),""))</f>
        <v/>
      </c>
      <c r="I415" s="70">
        <f>IF(B415="","",IFERROR(A415-LOOKUP(2,1/($B$4:$B414=B415),$A$4:$A414),""))</f>
        <v/>
      </c>
      <c r="J415" s="32">
        <f>IF(B415="","",IFERROR(D415/I415,""))</f>
        <v/>
      </c>
      <c r="K415" s="71">
        <f>IF(B415="","",IFERROR(AVERAGEIFS($J$4:$J415,$B$4:$B415,B415,$J$4:$J415,"&gt;"&amp;0),""))</f>
        <v/>
      </c>
      <c r="L415" s="7" t="n"/>
    </row>
    <row r="416" ht="14" customHeight="1" s="72">
      <c r="A416" s="75" t="n">
        <v>46059</v>
      </c>
      <c r="B416" s="76" t="n">
        <v>13014</v>
      </c>
      <c r="C416" s="69">
        <f>IF(B416="","",IFERROR(INDEX(Client_List!$B:$B,MATCH(B416,Client_List!$A:$A,0)),"⚠ NOT FOUND"))</f>
        <v/>
      </c>
      <c r="D416" s="43" t="n">
        <v>752</v>
      </c>
      <c r="E416" s="32">
        <f>IF(B416="","",IFERROR(INDEX(Client_List!$C:$C,MATCH(VALUE(B416),Client_List!$A:$A,0)),""))</f>
        <v/>
      </c>
      <c r="F416" s="53">
        <f>IF(B416="","",IFERROR(INDEX(Client_List!$D:$D,MATCH(VALUE(B416),Client_List!$A:$A,0)),""))</f>
        <v/>
      </c>
      <c r="G416" s="53">
        <f>IF(B416="","",IFERROR(INDEX(Client_List!$K:$K,MATCH(VALUE(B416),Client_List!$A:$A,0)),""))</f>
        <v/>
      </c>
      <c r="H416" s="32">
        <f>IF(B416="","",IFERROR(INDEX(Client_List!$J:$J,MATCH(VALUE(B416),Client_List!$A:$A,0)),""))</f>
        <v/>
      </c>
      <c r="I416" s="70">
        <f>IF(B416="","",IFERROR(A416-LOOKUP(2,1/($B$4:$B415=B416),$A$4:$A415),""))</f>
        <v/>
      </c>
      <c r="J416" s="32">
        <f>IF(B416="","",IFERROR(D416/I416,""))</f>
        <v/>
      </c>
      <c r="K416" s="71">
        <f>IF(B416="","",IFERROR(AVERAGEIFS($J$4:$J416,$B$4:$B416,B416,$J$4:$J416,"&gt;"&amp;0),""))</f>
        <v/>
      </c>
      <c r="L416" s="4" t="n"/>
    </row>
    <row r="417" ht="14" customHeight="1" s="72">
      <c r="A417" s="75" t="n">
        <v>46059</v>
      </c>
      <c r="B417" s="76" t="n">
        <v>13057</v>
      </c>
      <c r="C417" s="69">
        <f>IF(B417="","",IFERROR(INDEX(Client_List!$B:$B,MATCH(B417,Client_List!$A:$A,0)),"⚠ NOT FOUND"))</f>
        <v/>
      </c>
      <c r="D417" s="43" t="n">
        <v>567</v>
      </c>
      <c r="E417" s="32">
        <f>IF(B417="","",IFERROR(INDEX(Client_List!$C:$C,MATCH(VALUE(B417),Client_List!$A:$A,0)),""))</f>
        <v/>
      </c>
      <c r="F417" s="53">
        <f>IF(B417="","",IFERROR(INDEX(Client_List!$D:$D,MATCH(VALUE(B417),Client_List!$A:$A,0)),""))</f>
        <v/>
      </c>
      <c r="G417" s="53">
        <f>IF(B417="","",IFERROR(INDEX(Client_List!$K:$K,MATCH(VALUE(B417),Client_List!$A:$A,0)),""))</f>
        <v/>
      </c>
      <c r="H417" s="32">
        <f>IF(B417="","",IFERROR(INDEX(Client_List!$J:$J,MATCH(VALUE(B417),Client_List!$A:$A,0)),""))</f>
        <v/>
      </c>
      <c r="I417" s="70">
        <f>IF(B417="","",IFERROR(A417-LOOKUP(2,1/($B$4:$B416=B417),$A$4:$A416),""))</f>
        <v/>
      </c>
      <c r="J417" s="32">
        <f>IF(B417="","",IFERROR(D417/I417,""))</f>
        <v/>
      </c>
      <c r="K417" s="71">
        <f>IF(B417="","",IFERROR(AVERAGEIFS($J$4:$J417,$B$4:$B417,B417,$J$4:$J417,"&gt;"&amp;0),""))</f>
        <v/>
      </c>
      <c r="L417" s="7" t="n"/>
    </row>
    <row r="418" ht="14" customHeight="1" s="72">
      <c r="A418" s="75" t="n">
        <v>46059</v>
      </c>
      <c r="B418" s="76" t="n">
        <v>15005</v>
      </c>
      <c r="C418" s="69">
        <f>IF(B418="","",IFERROR(INDEX(Client_List!$B:$B,MATCH(B418,Client_List!$A:$A,0)),"⚠ NOT FOUND"))</f>
        <v/>
      </c>
      <c r="D418" s="43" t="n">
        <v>644</v>
      </c>
      <c r="E418" s="32">
        <f>IF(B418="","",IFERROR(INDEX(Client_List!$C:$C,MATCH(VALUE(B418),Client_List!$A:$A,0)),""))</f>
        <v/>
      </c>
      <c r="F418" s="53">
        <f>IF(B418="","",IFERROR(INDEX(Client_List!$D:$D,MATCH(VALUE(B418),Client_List!$A:$A,0)),""))</f>
        <v/>
      </c>
      <c r="G418" s="53">
        <f>IF(B418="","",IFERROR(INDEX(Client_List!$K:$K,MATCH(VALUE(B418),Client_List!$A:$A,0)),""))</f>
        <v/>
      </c>
      <c r="H418" s="32">
        <f>IF(B418="","",IFERROR(INDEX(Client_List!$J:$J,MATCH(VALUE(B418),Client_List!$A:$A,0)),""))</f>
        <v/>
      </c>
      <c r="I418" s="70">
        <f>IF(B418="","",IFERROR(A418-LOOKUP(2,1/($B$4:$B417=B418),$A$4:$A417),""))</f>
        <v/>
      </c>
      <c r="J418" s="32">
        <f>IF(B418="","",IFERROR(D418/I418,""))</f>
        <v/>
      </c>
      <c r="K418" s="71">
        <f>IF(B418="","",IFERROR(AVERAGEIFS($J$4:$J418,$B$4:$B418,B418,$J$4:$J418,"&gt;"&amp;0),""))</f>
        <v/>
      </c>
      <c r="L418" s="4" t="n"/>
    </row>
    <row r="419" ht="14" customHeight="1" s="72">
      <c r="A419" s="75" t="n">
        <v>46059</v>
      </c>
      <c r="B419" s="76" t="n">
        <v>16019</v>
      </c>
      <c r="C419" s="69">
        <f>IF(B419="","",IFERROR(INDEX(Client_List!$B:$B,MATCH(B419,Client_List!$A:$A,0)),"⚠ NOT FOUND"))</f>
        <v/>
      </c>
      <c r="D419" s="43" t="n">
        <v>634</v>
      </c>
      <c r="E419" s="32">
        <f>IF(B419="","",IFERROR(INDEX(Client_List!$C:$C,MATCH(VALUE(B419),Client_List!$A:$A,0)),""))</f>
        <v/>
      </c>
      <c r="F419" s="53">
        <f>IF(B419="","",IFERROR(INDEX(Client_List!$D:$D,MATCH(VALUE(B419),Client_List!$A:$A,0)),""))</f>
        <v/>
      </c>
      <c r="G419" s="53">
        <f>IF(B419="","",IFERROR(INDEX(Client_List!$K:$K,MATCH(VALUE(B419),Client_List!$A:$A,0)),""))</f>
        <v/>
      </c>
      <c r="H419" s="32">
        <f>IF(B419="","",IFERROR(INDEX(Client_List!$J:$J,MATCH(VALUE(B419),Client_List!$A:$A,0)),""))</f>
        <v/>
      </c>
      <c r="I419" s="70">
        <f>IF(B419="","",IFERROR(A419-LOOKUP(2,1/($B$4:$B418=B419),$A$4:$A418),""))</f>
        <v/>
      </c>
      <c r="J419" s="32">
        <f>IF(B419="","",IFERROR(D419/I419,""))</f>
        <v/>
      </c>
      <c r="K419" s="71">
        <f>IF(B419="","",IFERROR(AVERAGEIFS($J$4:$J419,$B$4:$B419,B419,$J$4:$J419,"&gt;"&amp;0),""))</f>
        <v/>
      </c>
      <c r="L419" s="7" t="n"/>
    </row>
    <row r="420" ht="14" customHeight="1" s="72">
      <c r="A420" s="75" t="n">
        <v>46059</v>
      </c>
      <c r="B420" s="76" t="n">
        <v>18036</v>
      </c>
      <c r="C420" s="69">
        <f>IF(B420="","",IFERROR(INDEX(Client_List!$B:$B,MATCH(B420,Client_List!$A:$A,0)),"⚠ NOT FOUND"))</f>
        <v/>
      </c>
      <c r="D420" s="43" t="n">
        <v>1555</v>
      </c>
      <c r="E420" s="32">
        <f>IF(B420="","",IFERROR(INDEX(Client_List!$C:$C,MATCH(VALUE(B420),Client_List!$A:$A,0)),""))</f>
        <v/>
      </c>
      <c r="F420" s="53">
        <f>IF(B420="","",IFERROR(INDEX(Client_List!$D:$D,MATCH(VALUE(B420),Client_List!$A:$A,0)),""))</f>
        <v/>
      </c>
      <c r="G420" s="53">
        <f>IF(B420="","",IFERROR(INDEX(Client_List!$K:$K,MATCH(VALUE(B420),Client_List!$A:$A,0)),""))</f>
        <v/>
      </c>
      <c r="H420" s="32">
        <f>IF(B420="","",IFERROR(INDEX(Client_List!$J:$J,MATCH(VALUE(B420),Client_List!$A:$A,0)),""))</f>
        <v/>
      </c>
      <c r="I420" s="70">
        <f>IF(B420="","",IFERROR(A420-LOOKUP(2,1/($B$4:$B419=B420),$A$4:$A419),""))</f>
        <v/>
      </c>
      <c r="J420" s="32">
        <f>IF(B420="","",IFERROR(D420/I420,""))</f>
        <v/>
      </c>
      <c r="K420" s="71">
        <f>IF(B420="","",IFERROR(AVERAGEIFS($J$4:$J420,$B$4:$B420,B420,$J$4:$J420,"&gt;"&amp;0),""))</f>
        <v/>
      </c>
      <c r="L420" s="4" t="n"/>
    </row>
    <row r="421" ht="14" customHeight="1" s="72">
      <c r="A421" s="75" t="n">
        <v>46059</v>
      </c>
      <c r="B421" s="76" t="n">
        <v>19080</v>
      </c>
      <c r="C421" s="69">
        <f>IF(B421="","",IFERROR(INDEX(Client_List!$B:$B,MATCH(B421,Client_List!$A:$A,0)),"⚠ NOT FOUND"))</f>
        <v/>
      </c>
      <c r="D421" s="43" t="n">
        <v>326</v>
      </c>
      <c r="E421" s="32">
        <f>IF(B421="","",IFERROR(INDEX(Client_List!$C:$C,MATCH(VALUE(B421),Client_List!$A:$A,0)),""))</f>
        <v/>
      </c>
      <c r="F421" s="53">
        <f>IF(B421="","",IFERROR(INDEX(Client_List!$D:$D,MATCH(VALUE(B421),Client_List!$A:$A,0)),""))</f>
        <v/>
      </c>
      <c r="G421" s="53">
        <f>IF(B421="","",IFERROR(INDEX(Client_List!$K:$K,MATCH(VALUE(B421),Client_List!$A:$A,0)),""))</f>
        <v/>
      </c>
      <c r="H421" s="32">
        <f>IF(B421="","",IFERROR(INDEX(Client_List!$J:$J,MATCH(VALUE(B421),Client_List!$A:$A,0)),""))</f>
        <v/>
      </c>
      <c r="I421" s="70">
        <f>IF(B421="","",IFERROR(A421-LOOKUP(2,1/($B$4:$B420=B421),$A$4:$A420),""))</f>
        <v/>
      </c>
      <c r="J421" s="32">
        <f>IF(B421="","",IFERROR(D421/I421,""))</f>
        <v/>
      </c>
      <c r="K421" s="71">
        <f>IF(B421="","",IFERROR(AVERAGEIFS($J$4:$J421,$B$4:$B421,B421,$J$4:$J421,"&gt;"&amp;0),""))</f>
        <v/>
      </c>
      <c r="L421" s="7" t="n"/>
    </row>
    <row r="422" ht="14" customHeight="1" s="72">
      <c r="A422" s="75" t="n">
        <v>46059</v>
      </c>
      <c r="B422" s="76" t="n">
        <v>20090</v>
      </c>
      <c r="C422" s="69">
        <f>IF(B422="","",IFERROR(INDEX(Client_List!$B:$B,MATCH(B422,Client_List!$A:$A,0)),"⚠ NOT FOUND"))</f>
        <v/>
      </c>
      <c r="D422" s="43" t="n">
        <v>902</v>
      </c>
      <c r="E422" s="32">
        <f>IF(B422="","",IFERROR(INDEX(Client_List!$C:$C,MATCH(VALUE(B422),Client_List!$A:$A,0)),""))</f>
        <v/>
      </c>
      <c r="F422" s="53">
        <f>IF(B422="","",IFERROR(INDEX(Client_List!$D:$D,MATCH(VALUE(B422),Client_List!$A:$A,0)),""))</f>
        <v/>
      </c>
      <c r="G422" s="53">
        <f>IF(B422="","",IFERROR(INDEX(Client_List!$K:$K,MATCH(VALUE(B422),Client_List!$A:$A,0)),""))</f>
        <v/>
      </c>
      <c r="H422" s="32">
        <f>IF(B422="","",IFERROR(INDEX(Client_List!$J:$J,MATCH(VALUE(B422),Client_List!$A:$A,0)),""))</f>
        <v/>
      </c>
      <c r="I422" s="70">
        <f>IF(B422="","",IFERROR(A422-LOOKUP(2,1/($B$4:$B421=B422),$A$4:$A421),""))</f>
        <v/>
      </c>
      <c r="J422" s="32">
        <f>IF(B422="","",IFERROR(D422/I422,""))</f>
        <v/>
      </c>
      <c r="K422" s="71">
        <f>IF(B422="","",IFERROR(AVERAGEIFS($J$4:$J422,$B$4:$B422,B422,$J$4:$J422,"&gt;"&amp;0),""))</f>
        <v/>
      </c>
      <c r="L422" s="4" t="n"/>
    </row>
    <row r="423" ht="14" customHeight="1" s="72">
      <c r="A423" s="75" t="n">
        <v>46059</v>
      </c>
      <c r="B423" s="76" t="n">
        <v>20091</v>
      </c>
      <c r="C423" s="69">
        <f>IF(B423="","",IFERROR(INDEX(Client_List!$B:$B,MATCH(B423,Client_List!$A:$A,0)),"⚠ NOT FOUND"))</f>
        <v/>
      </c>
      <c r="D423" s="43" t="n">
        <v>990</v>
      </c>
      <c r="E423" s="32">
        <f>IF(B423="","",IFERROR(INDEX(Client_List!$C:$C,MATCH(VALUE(B423),Client_List!$A:$A,0)),""))</f>
        <v/>
      </c>
      <c r="F423" s="53">
        <f>IF(B423="","",IFERROR(INDEX(Client_List!$D:$D,MATCH(VALUE(B423),Client_List!$A:$A,0)),""))</f>
        <v/>
      </c>
      <c r="G423" s="53">
        <f>IF(B423="","",IFERROR(INDEX(Client_List!$K:$K,MATCH(VALUE(B423),Client_List!$A:$A,0)),""))</f>
        <v/>
      </c>
      <c r="H423" s="32">
        <f>IF(B423="","",IFERROR(INDEX(Client_List!$J:$J,MATCH(VALUE(B423),Client_List!$A:$A,0)),""))</f>
        <v/>
      </c>
      <c r="I423" s="70">
        <f>IF(B423="","",IFERROR(A423-LOOKUP(2,1/($B$4:$B422=B423),$A$4:$A422),""))</f>
        <v/>
      </c>
      <c r="J423" s="32">
        <f>IF(B423="","",IFERROR(D423/I423,""))</f>
        <v/>
      </c>
      <c r="K423" s="71">
        <f>IF(B423="","",IFERROR(AVERAGEIFS($J$4:$J423,$B$4:$B423,B423,$J$4:$J423,"&gt;"&amp;0),""))</f>
        <v/>
      </c>
      <c r="L423" s="7" t="n"/>
    </row>
    <row r="424" ht="14" customHeight="1" s="72">
      <c r="A424" s="75" t="n">
        <v>46059</v>
      </c>
      <c r="B424" s="76" t="n">
        <v>20093</v>
      </c>
      <c r="C424" s="69">
        <f>IF(B424="","",IFERROR(INDEX(Client_List!$B:$B,MATCH(B424,Client_List!$A:$A,0)),"⚠ NOT FOUND"))</f>
        <v/>
      </c>
      <c r="D424" s="43" t="n">
        <v>925</v>
      </c>
      <c r="E424" s="32">
        <f>IF(B424="","",IFERROR(INDEX(Client_List!$C:$C,MATCH(VALUE(B424),Client_List!$A:$A,0)),""))</f>
        <v/>
      </c>
      <c r="F424" s="53">
        <f>IF(B424="","",IFERROR(INDEX(Client_List!$D:$D,MATCH(VALUE(B424),Client_List!$A:$A,0)),""))</f>
        <v/>
      </c>
      <c r="G424" s="53">
        <f>IF(B424="","",IFERROR(INDEX(Client_List!$K:$K,MATCH(VALUE(B424),Client_List!$A:$A,0)),""))</f>
        <v/>
      </c>
      <c r="H424" s="32">
        <f>IF(B424="","",IFERROR(INDEX(Client_List!$J:$J,MATCH(VALUE(B424),Client_List!$A:$A,0)),""))</f>
        <v/>
      </c>
      <c r="I424" s="70">
        <f>IF(B424="","",IFERROR(A424-LOOKUP(2,1/($B$4:$B423=B424),$A$4:$A423),""))</f>
        <v/>
      </c>
      <c r="J424" s="32">
        <f>IF(B424="","",IFERROR(D424/I424,""))</f>
        <v/>
      </c>
      <c r="K424" s="71">
        <f>IF(B424="","",IFERROR(AVERAGEIFS($J$4:$J424,$B$4:$B424,B424,$J$4:$J424,"&gt;"&amp;0),""))</f>
        <v/>
      </c>
      <c r="L424" s="4" t="n"/>
    </row>
    <row r="425" ht="14" customHeight="1" s="72">
      <c r="A425" s="75" t="n">
        <v>46060</v>
      </c>
      <c r="B425" s="76" t="n">
        <v>1001</v>
      </c>
      <c r="C425" s="69">
        <f>IF(B425="","",IFERROR(INDEX(Client_List!$B:$B,MATCH(B425,Client_List!$A:$A,0)),"⚠ NOT FOUND"))</f>
        <v/>
      </c>
      <c r="D425" s="43" t="n">
        <v>703</v>
      </c>
      <c r="E425" s="32">
        <f>IF(B425="","",IFERROR(INDEX(Client_List!$C:$C,MATCH(VALUE(B425),Client_List!$A:$A,0)),""))</f>
        <v/>
      </c>
      <c r="F425" s="53">
        <f>IF(B425="","",IFERROR(INDEX(Client_List!$D:$D,MATCH(VALUE(B425),Client_List!$A:$A,0)),""))</f>
        <v/>
      </c>
      <c r="G425" s="53">
        <f>IF(B425="","",IFERROR(INDEX(Client_List!$K:$K,MATCH(VALUE(B425),Client_List!$A:$A,0)),""))</f>
        <v/>
      </c>
      <c r="H425" s="32">
        <f>IF(B425="","",IFERROR(INDEX(Client_List!$J:$J,MATCH(VALUE(B425),Client_List!$A:$A,0)),""))</f>
        <v/>
      </c>
      <c r="I425" s="70">
        <f>IF(B425="","",IFERROR(A425-LOOKUP(2,1/($B$4:$B424=B425),$A$4:$A424),""))</f>
        <v/>
      </c>
      <c r="J425" s="32">
        <f>IF(B425="","",IFERROR(D425/I425,""))</f>
        <v/>
      </c>
      <c r="K425" s="71">
        <f>IF(B425="","",IFERROR(AVERAGEIFS($J$4:$J425,$B$4:$B425,B425,$J$4:$J425,"&gt;"&amp;0),""))</f>
        <v/>
      </c>
      <c r="L425" s="7" t="n"/>
    </row>
    <row r="426" ht="14" customHeight="1" s="72">
      <c r="A426" s="75" t="n">
        <v>46060</v>
      </c>
      <c r="B426" s="76" t="n">
        <v>2078</v>
      </c>
      <c r="C426" s="69">
        <f>IF(B426="","",IFERROR(INDEX(Client_List!$B:$B,MATCH(B426,Client_List!$A:$A,0)),"⚠ NOT FOUND"))</f>
        <v/>
      </c>
      <c r="D426" s="43" t="n">
        <v>178</v>
      </c>
      <c r="E426" s="32">
        <f>IF(B426="","",IFERROR(INDEX(Client_List!$C:$C,MATCH(VALUE(B426),Client_List!$A:$A,0)),""))</f>
        <v/>
      </c>
      <c r="F426" s="53">
        <f>IF(B426="","",IFERROR(INDEX(Client_List!$D:$D,MATCH(VALUE(B426),Client_List!$A:$A,0)),""))</f>
        <v/>
      </c>
      <c r="G426" s="53">
        <f>IF(B426="","",IFERROR(INDEX(Client_List!$K:$K,MATCH(VALUE(B426),Client_List!$A:$A,0)),""))</f>
        <v/>
      </c>
      <c r="H426" s="32">
        <f>IF(B426="","",IFERROR(INDEX(Client_List!$J:$J,MATCH(VALUE(B426),Client_List!$A:$A,0)),""))</f>
        <v/>
      </c>
      <c r="I426" s="70">
        <f>IF(B426="","",IFERROR(A426-LOOKUP(2,1/($B$4:$B425=B426),$A$4:$A425),""))</f>
        <v/>
      </c>
      <c r="J426" s="32">
        <f>IF(B426="","",IFERROR(D426/I426,""))</f>
        <v/>
      </c>
      <c r="K426" s="71">
        <f>IF(B426="","",IFERROR(AVERAGEIFS($J$4:$J426,$B$4:$B426,B426,$J$4:$J426,"&gt;"&amp;0),""))</f>
        <v/>
      </c>
      <c r="L426" s="4" t="n"/>
    </row>
    <row r="427" ht="14" customHeight="1" s="72">
      <c r="A427" s="75" t="n">
        <v>46060</v>
      </c>
      <c r="B427" s="76" t="n">
        <v>8031</v>
      </c>
      <c r="C427" s="69">
        <f>IF(B427="","",IFERROR(INDEX(Client_List!$B:$B,MATCH(B427,Client_List!$A:$A,0)),"⚠ NOT FOUND"))</f>
        <v/>
      </c>
      <c r="D427" s="43" t="n">
        <v>737</v>
      </c>
      <c r="E427" s="32">
        <f>IF(B427="","",IFERROR(INDEX(Client_List!$C:$C,MATCH(VALUE(B427),Client_List!$A:$A,0)),""))</f>
        <v/>
      </c>
      <c r="F427" s="53">
        <f>IF(B427="","",IFERROR(INDEX(Client_List!$D:$D,MATCH(VALUE(B427),Client_List!$A:$A,0)),""))</f>
        <v/>
      </c>
      <c r="G427" s="53">
        <f>IF(B427="","",IFERROR(INDEX(Client_List!$K:$K,MATCH(VALUE(B427),Client_List!$A:$A,0)),""))</f>
        <v/>
      </c>
      <c r="H427" s="32">
        <f>IF(B427="","",IFERROR(INDEX(Client_List!$J:$J,MATCH(VALUE(B427),Client_List!$A:$A,0)),""))</f>
        <v/>
      </c>
      <c r="I427" s="70">
        <f>IF(B427="","",IFERROR(A427-LOOKUP(2,1/($B$4:$B426=B427),$A$4:$A426),""))</f>
        <v/>
      </c>
      <c r="J427" s="32">
        <f>IF(B427="","",IFERROR(D427/I427,""))</f>
        <v/>
      </c>
      <c r="K427" s="71">
        <f>IF(B427="","",IFERROR(AVERAGEIFS($J$4:$J427,$B$4:$B427,B427,$J$4:$J427,"&gt;"&amp;0),""))</f>
        <v/>
      </c>
      <c r="L427" s="7" t="n"/>
    </row>
    <row r="428" ht="14" customHeight="1" s="72">
      <c r="A428" s="75" t="n">
        <v>46060</v>
      </c>
      <c r="B428" s="76" t="n">
        <v>8034</v>
      </c>
      <c r="C428" s="69">
        <f>IF(B428="","",IFERROR(INDEX(Client_List!$B:$B,MATCH(B428,Client_List!$A:$A,0)),"⚠ NOT FOUND"))</f>
        <v/>
      </c>
      <c r="D428" s="43" t="n">
        <v>500</v>
      </c>
      <c r="E428" s="32">
        <f>IF(B428="","",IFERROR(INDEX(Client_List!$C:$C,MATCH(VALUE(B428),Client_List!$A:$A,0)),""))</f>
        <v/>
      </c>
      <c r="F428" s="53">
        <f>IF(B428="","",IFERROR(INDEX(Client_List!$D:$D,MATCH(VALUE(B428),Client_List!$A:$A,0)),""))</f>
        <v/>
      </c>
      <c r="G428" s="53">
        <f>IF(B428="","",IFERROR(INDEX(Client_List!$K:$K,MATCH(VALUE(B428),Client_List!$A:$A,0)),""))</f>
        <v/>
      </c>
      <c r="H428" s="32">
        <f>IF(B428="","",IFERROR(INDEX(Client_List!$J:$J,MATCH(VALUE(B428),Client_List!$A:$A,0)),""))</f>
        <v/>
      </c>
      <c r="I428" s="70">
        <f>IF(B428="","",IFERROR(A428-LOOKUP(2,1/($B$4:$B427=B428),$A$4:$A427),""))</f>
        <v/>
      </c>
      <c r="J428" s="32">
        <f>IF(B428="","",IFERROR(D428/I428,""))</f>
        <v/>
      </c>
      <c r="K428" s="71">
        <f>IF(B428="","",IFERROR(AVERAGEIFS($J$4:$J428,$B$4:$B428,B428,$J$4:$J428,"&gt;"&amp;0),""))</f>
        <v/>
      </c>
      <c r="L428" s="4" t="n"/>
    </row>
    <row r="429" ht="14" customHeight="1" s="72">
      <c r="A429" s="75" t="n">
        <v>46060</v>
      </c>
      <c r="B429" s="76" t="n">
        <v>11005</v>
      </c>
      <c r="C429" s="69">
        <f>IF(B429="","",IFERROR(INDEX(Client_List!$B:$B,MATCH(B429,Client_List!$A:$A,0)),"⚠ NOT FOUND"))</f>
        <v/>
      </c>
      <c r="D429" s="43" t="n">
        <v>747</v>
      </c>
      <c r="E429" s="32">
        <f>IF(B429="","",IFERROR(INDEX(Client_List!$C:$C,MATCH(VALUE(B429),Client_List!$A:$A,0)),""))</f>
        <v/>
      </c>
      <c r="F429" s="53">
        <f>IF(B429="","",IFERROR(INDEX(Client_List!$D:$D,MATCH(VALUE(B429),Client_List!$A:$A,0)),""))</f>
        <v/>
      </c>
      <c r="G429" s="53">
        <f>IF(B429="","",IFERROR(INDEX(Client_List!$K:$K,MATCH(VALUE(B429),Client_List!$A:$A,0)),""))</f>
        <v/>
      </c>
      <c r="H429" s="32">
        <f>IF(B429="","",IFERROR(INDEX(Client_List!$J:$J,MATCH(VALUE(B429),Client_List!$A:$A,0)),""))</f>
        <v/>
      </c>
      <c r="I429" s="70">
        <f>IF(B429="","",IFERROR(A429-LOOKUP(2,1/($B$4:$B428=B429),$A$4:$A428),""))</f>
        <v/>
      </c>
      <c r="J429" s="32">
        <f>IF(B429="","",IFERROR(D429/I429,""))</f>
        <v/>
      </c>
      <c r="K429" s="71">
        <f>IF(B429="","",IFERROR(AVERAGEIFS($J$4:$J429,$B$4:$B429,B429,$J$4:$J429,"&gt;"&amp;0),""))</f>
        <v/>
      </c>
      <c r="L429" s="7" t="n"/>
    </row>
    <row r="430" ht="14" customHeight="1" s="72">
      <c r="A430" s="75" t="n">
        <v>46060</v>
      </c>
      <c r="B430" s="76" t="n">
        <v>12021</v>
      </c>
      <c r="C430" s="69">
        <f>IF(B430="","",IFERROR(INDEX(Client_List!$B:$B,MATCH(B430,Client_List!$A:$A,0)),"⚠ NOT FOUND"))</f>
        <v/>
      </c>
      <c r="D430" s="43" t="n">
        <v>214</v>
      </c>
      <c r="E430" s="32">
        <f>IF(B430="","",IFERROR(INDEX(Client_List!$C:$C,MATCH(VALUE(B430),Client_List!$A:$A,0)),""))</f>
        <v/>
      </c>
      <c r="F430" s="53">
        <f>IF(B430="","",IFERROR(INDEX(Client_List!$D:$D,MATCH(VALUE(B430),Client_List!$A:$A,0)),""))</f>
        <v/>
      </c>
      <c r="G430" s="53">
        <f>IF(B430="","",IFERROR(INDEX(Client_List!$K:$K,MATCH(VALUE(B430),Client_List!$A:$A,0)),""))</f>
        <v/>
      </c>
      <c r="H430" s="32">
        <f>IF(B430="","",IFERROR(INDEX(Client_List!$J:$J,MATCH(VALUE(B430),Client_List!$A:$A,0)),""))</f>
        <v/>
      </c>
      <c r="I430" s="70">
        <f>IF(B430="","",IFERROR(A430-LOOKUP(2,1/($B$4:$B429=B430),$A$4:$A429),""))</f>
        <v/>
      </c>
      <c r="J430" s="32">
        <f>IF(B430="","",IFERROR(D430/I430,""))</f>
        <v/>
      </c>
      <c r="K430" s="71">
        <f>IF(B430="","",IFERROR(AVERAGEIFS($J$4:$J430,$B$4:$B430,B430,$J$4:$J430,"&gt;"&amp;0),""))</f>
        <v/>
      </c>
      <c r="L430" s="4" t="n"/>
    </row>
    <row r="431" ht="14" customHeight="1" s="72">
      <c r="A431" s="75" t="n">
        <v>46060</v>
      </c>
      <c r="B431" s="76" t="n">
        <v>15004</v>
      </c>
      <c r="C431" s="69">
        <f>IF(B431="","",IFERROR(INDEX(Client_List!$B:$B,MATCH(B431,Client_List!$A:$A,0)),"⚠ NOT FOUND"))</f>
        <v/>
      </c>
      <c r="D431" s="43" t="n">
        <v>611</v>
      </c>
      <c r="E431" s="32">
        <f>IF(B431="","",IFERROR(INDEX(Client_List!$C:$C,MATCH(VALUE(B431),Client_List!$A:$A,0)),""))</f>
        <v/>
      </c>
      <c r="F431" s="53">
        <f>IF(B431="","",IFERROR(INDEX(Client_List!$D:$D,MATCH(VALUE(B431),Client_List!$A:$A,0)),""))</f>
        <v/>
      </c>
      <c r="G431" s="53">
        <f>IF(B431="","",IFERROR(INDEX(Client_List!$K:$K,MATCH(VALUE(B431),Client_List!$A:$A,0)),""))</f>
        <v/>
      </c>
      <c r="H431" s="32">
        <f>IF(B431="","",IFERROR(INDEX(Client_List!$J:$J,MATCH(VALUE(B431),Client_List!$A:$A,0)),""))</f>
        <v/>
      </c>
      <c r="I431" s="70">
        <f>IF(B431="","",IFERROR(A431-LOOKUP(2,1/($B$4:$B430=B431),$A$4:$A430),""))</f>
        <v/>
      </c>
      <c r="J431" s="32">
        <f>IF(B431="","",IFERROR(D431/I431,""))</f>
        <v/>
      </c>
      <c r="K431" s="71">
        <f>IF(B431="","",IFERROR(AVERAGEIFS($J$4:$J431,$B$4:$B431,B431,$J$4:$J431,"&gt;"&amp;0),""))</f>
        <v/>
      </c>
      <c r="L431" s="7" t="n"/>
    </row>
    <row r="432" ht="14" customHeight="1" s="72">
      <c r="A432" s="75" t="n">
        <v>46060</v>
      </c>
      <c r="B432" s="76" t="n">
        <v>15032</v>
      </c>
      <c r="C432" s="69">
        <f>IF(B432="","",IFERROR(INDEX(Client_List!$B:$B,MATCH(B432,Client_List!$A:$A,0)),"⚠ NOT FOUND"))</f>
        <v/>
      </c>
      <c r="D432" s="43" t="n">
        <v>491</v>
      </c>
      <c r="E432" s="32">
        <f>IF(B432="","",IFERROR(INDEX(Client_List!$C:$C,MATCH(VALUE(B432),Client_List!$A:$A,0)),""))</f>
        <v/>
      </c>
      <c r="F432" s="53">
        <f>IF(B432="","",IFERROR(INDEX(Client_List!$D:$D,MATCH(VALUE(B432),Client_List!$A:$A,0)),""))</f>
        <v/>
      </c>
      <c r="G432" s="53">
        <f>IF(B432="","",IFERROR(INDEX(Client_List!$K:$K,MATCH(VALUE(B432),Client_List!$A:$A,0)),""))</f>
        <v/>
      </c>
      <c r="H432" s="32">
        <f>IF(B432="","",IFERROR(INDEX(Client_List!$J:$J,MATCH(VALUE(B432),Client_List!$A:$A,0)),""))</f>
        <v/>
      </c>
      <c r="I432" s="70">
        <f>IF(B432="","",IFERROR(A432-LOOKUP(2,1/($B$4:$B431=B432),$A$4:$A431),""))</f>
        <v/>
      </c>
      <c r="J432" s="32">
        <f>IF(B432="","",IFERROR(D432/I432,""))</f>
        <v/>
      </c>
      <c r="K432" s="71">
        <f>IF(B432="","",IFERROR(AVERAGEIFS($J$4:$J432,$B$4:$B432,B432,$J$4:$J432,"&gt;"&amp;0),""))</f>
        <v/>
      </c>
      <c r="L432" s="4" t="n"/>
    </row>
    <row r="433" ht="14" customHeight="1" s="72">
      <c r="A433" s="75" t="n">
        <v>46060</v>
      </c>
      <c r="B433" s="76" t="n">
        <v>16015</v>
      </c>
      <c r="C433" s="69">
        <f>IF(B433="","",IFERROR(INDEX(Client_List!$B:$B,MATCH(B433,Client_List!$A:$A,0)),"⚠ NOT FOUND"))</f>
        <v/>
      </c>
      <c r="D433" s="43" t="n">
        <v>1441</v>
      </c>
      <c r="E433" s="32">
        <f>IF(B433="","",IFERROR(INDEX(Client_List!$C:$C,MATCH(VALUE(B433),Client_List!$A:$A,0)),""))</f>
        <v/>
      </c>
      <c r="F433" s="53">
        <f>IF(B433="","",IFERROR(INDEX(Client_List!$D:$D,MATCH(VALUE(B433),Client_List!$A:$A,0)),""))</f>
        <v/>
      </c>
      <c r="G433" s="53">
        <f>IF(B433="","",IFERROR(INDEX(Client_List!$K:$K,MATCH(VALUE(B433),Client_List!$A:$A,0)),""))</f>
        <v/>
      </c>
      <c r="H433" s="32">
        <f>IF(B433="","",IFERROR(INDEX(Client_List!$J:$J,MATCH(VALUE(B433),Client_List!$A:$A,0)),""))</f>
        <v/>
      </c>
      <c r="I433" s="70">
        <f>IF(B433="","",IFERROR(A433-LOOKUP(2,1/($B$4:$B432=B433),$A$4:$A432),""))</f>
        <v/>
      </c>
      <c r="J433" s="32">
        <f>IF(B433="","",IFERROR(D433/I433,""))</f>
        <v/>
      </c>
      <c r="K433" s="71">
        <f>IF(B433="","",IFERROR(AVERAGEIFS($J$4:$J433,$B$4:$B433,B433,$J$4:$J433,"&gt;"&amp;0),""))</f>
        <v/>
      </c>
      <c r="L433" s="7" t="n"/>
    </row>
    <row r="434" ht="14" customHeight="1" s="72">
      <c r="A434" s="75" t="n">
        <v>46060</v>
      </c>
      <c r="B434" s="76" t="n">
        <v>19035</v>
      </c>
      <c r="C434" s="69">
        <f>IF(B434="","",IFERROR(INDEX(Client_List!$B:$B,MATCH(B434,Client_List!$A:$A,0)),"⚠ NOT FOUND"))</f>
        <v/>
      </c>
      <c r="D434" s="43" t="n">
        <v>266</v>
      </c>
      <c r="E434" s="32">
        <f>IF(B434="","",IFERROR(INDEX(Client_List!$C:$C,MATCH(VALUE(B434),Client_List!$A:$A,0)),""))</f>
        <v/>
      </c>
      <c r="F434" s="53">
        <f>IF(B434="","",IFERROR(INDEX(Client_List!$D:$D,MATCH(VALUE(B434),Client_List!$A:$A,0)),""))</f>
        <v/>
      </c>
      <c r="G434" s="53">
        <f>IF(B434="","",IFERROR(INDEX(Client_List!$K:$K,MATCH(VALUE(B434),Client_List!$A:$A,0)),""))</f>
        <v/>
      </c>
      <c r="H434" s="32">
        <f>IF(B434="","",IFERROR(INDEX(Client_List!$J:$J,MATCH(VALUE(B434),Client_List!$A:$A,0)),""))</f>
        <v/>
      </c>
      <c r="I434" s="70">
        <f>IF(B434="","",IFERROR(A434-LOOKUP(2,1/($B$4:$B433=B434),$A$4:$A433),""))</f>
        <v/>
      </c>
      <c r="J434" s="32">
        <f>IF(B434="","",IFERROR(D434/I434,""))</f>
        <v/>
      </c>
      <c r="K434" s="71">
        <f>IF(B434="","",IFERROR(AVERAGEIFS($J$4:$J434,$B$4:$B434,B434,$J$4:$J434,"&gt;"&amp;0),""))</f>
        <v/>
      </c>
      <c r="L434" s="4" t="n"/>
    </row>
    <row r="435" ht="14" customHeight="1" s="72">
      <c r="A435" s="75" t="n">
        <v>46060</v>
      </c>
      <c r="B435" s="76" t="n">
        <v>19082</v>
      </c>
      <c r="C435" s="69">
        <f>IF(B435="","",IFERROR(INDEX(Client_List!$B:$B,MATCH(B435,Client_List!$A:$A,0)),"⚠ NOT FOUND"))</f>
        <v/>
      </c>
      <c r="D435" s="43" t="n">
        <v>563</v>
      </c>
      <c r="E435" s="32">
        <f>IF(B435="","",IFERROR(INDEX(Client_List!$C:$C,MATCH(VALUE(B435),Client_List!$A:$A,0)),""))</f>
        <v/>
      </c>
      <c r="F435" s="53">
        <f>IF(B435="","",IFERROR(INDEX(Client_List!$D:$D,MATCH(VALUE(B435),Client_List!$A:$A,0)),""))</f>
        <v/>
      </c>
      <c r="G435" s="53">
        <f>IF(B435="","",IFERROR(INDEX(Client_List!$K:$K,MATCH(VALUE(B435),Client_List!$A:$A,0)),""))</f>
        <v/>
      </c>
      <c r="H435" s="32">
        <f>IF(B435="","",IFERROR(INDEX(Client_List!$J:$J,MATCH(VALUE(B435),Client_List!$A:$A,0)),""))</f>
        <v/>
      </c>
      <c r="I435" s="70">
        <f>IF(B435="","",IFERROR(A435-LOOKUP(2,1/($B$4:$B434=B435),$A$4:$A434),""))</f>
        <v/>
      </c>
      <c r="J435" s="32">
        <f>IF(B435="","",IFERROR(D435/I435,""))</f>
        <v/>
      </c>
      <c r="K435" s="71">
        <f>IF(B435="","",IFERROR(AVERAGEIFS($J$4:$J435,$B$4:$B435,B435,$J$4:$J435,"&gt;"&amp;0),""))</f>
        <v/>
      </c>
      <c r="L435" s="7" t="n"/>
    </row>
    <row r="436" ht="14" customHeight="1" s="72">
      <c r="A436" s="75" t="n">
        <v>46060</v>
      </c>
      <c r="B436" s="76" t="n">
        <v>19089</v>
      </c>
      <c r="C436" s="69">
        <f>IF(B436="","",IFERROR(INDEX(Client_List!$B:$B,MATCH(B436,Client_List!$A:$A,0)),"⚠ NOT FOUND"))</f>
        <v/>
      </c>
      <c r="D436" s="43" t="n">
        <v>219</v>
      </c>
      <c r="E436" s="32">
        <f>IF(B436="","",IFERROR(INDEX(Client_List!$C:$C,MATCH(VALUE(B436),Client_List!$A:$A,0)),""))</f>
        <v/>
      </c>
      <c r="F436" s="53">
        <f>IF(B436="","",IFERROR(INDEX(Client_List!$D:$D,MATCH(VALUE(B436),Client_List!$A:$A,0)),""))</f>
        <v/>
      </c>
      <c r="G436" s="53">
        <f>IF(B436="","",IFERROR(INDEX(Client_List!$K:$K,MATCH(VALUE(B436),Client_List!$A:$A,0)),""))</f>
        <v/>
      </c>
      <c r="H436" s="32">
        <f>IF(B436="","",IFERROR(INDEX(Client_List!$J:$J,MATCH(VALUE(B436),Client_List!$A:$A,0)),""))</f>
        <v/>
      </c>
      <c r="I436" s="70">
        <f>IF(B436="","",IFERROR(A436-LOOKUP(2,1/($B$4:$B435=B436),$A$4:$A435),""))</f>
        <v/>
      </c>
      <c r="J436" s="32">
        <f>IF(B436="","",IFERROR(D436/I436,""))</f>
        <v/>
      </c>
      <c r="K436" s="71">
        <f>IF(B436="","",IFERROR(AVERAGEIFS($J$4:$J436,$B$4:$B436,B436,$J$4:$J436,"&gt;"&amp;0),""))</f>
        <v/>
      </c>
      <c r="L436" s="4" t="n"/>
    </row>
    <row r="437" ht="14" customHeight="1" s="72">
      <c r="A437" s="75" t="n">
        <v>46060</v>
      </c>
      <c r="B437" s="76" t="n">
        <v>19110</v>
      </c>
      <c r="C437" s="69">
        <f>IF(B437="","",IFERROR(INDEX(Client_List!$B:$B,MATCH(B437,Client_List!$A:$A,0)),"⚠ NOT FOUND"))</f>
        <v/>
      </c>
      <c r="D437" s="43" t="n">
        <v>258</v>
      </c>
      <c r="E437" s="32">
        <f>IF(B437="","",IFERROR(INDEX(Client_List!$C:$C,MATCH(VALUE(B437),Client_List!$A:$A,0)),""))</f>
        <v/>
      </c>
      <c r="F437" s="53">
        <f>IF(B437="","",IFERROR(INDEX(Client_List!$D:$D,MATCH(VALUE(B437),Client_List!$A:$A,0)),""))</f>
        <v/>
      </c>
      <c r="G437" s="53">
        <f>IF(B437="","",IFERROR(INDEX(Client_List!$K:$K,MATCH(VALUE(B437),Client_List!$A:$A,0)),""))</f>
        <v/>
      </c>
      <c r="H437" s="32">
        <f>IF(B437="","",IFERROR(INDEX(Client_List!$J:$J,MATCH(VALUE(B437),Client_List!$A:$A,0)),""))</f>
        <v/>
      </c>
      <c r="I437" s="70">
        <f>IF(B437="","",IFERROR(A437-LOOKUP(2,1/($B$4:$B436=B437),$A$4:$A436),""))</f>
        <v/>
      </c>
      <c r="J437" s="32">
        <f>IF(B437="","",IFERROR(D437/I437,""))</f>
        <v/>
      </c>
      <c r="K437" s="71">
        <f>IF(B437="","",IFERROR(AVERAGEIFS($J$4:$J437,$B$4:$B437,B437,$J$4:$J437,"&gt;"&amp;0),""))</f>
        <v/>
      </c>
      <c r="L437" s="7" t="n"/>
    </row>
    <row r="438" ht="14" customHeight="1" s="72">
      <c r="A438" s="75" t="n">
        <v>46060</v>
      </c>
      <c r="B438" s="76" t="n">
        <v>19123</v>
      </c>
      <c r="C438" s="69">
        <f>IF(B438="","",IFERROR(INDEX(Client_List!$B:$B,MATCH(B438,Client_List!$A:$A,0)),"⚠ NOT FOUND"))</f>
        <v/>
      </c>
      <c r="D438" s="43" t="n">
        <v>258</v>
      </c>
      <c r="E438" s="32">
        <f>IF(B438="","",IFERROR(INDEX(Client_List!$C:$C,MATCH(VALUE(B438),Client_List!$A:$A,0)),""))</f>
        <v/>
      </c>
      <c r="F438" s="53">
        <f>IF(B438="","",IFERROR(INDEX(Client_List!$D:$D,MATCH(VALUE(B438),Client_List!$A:$A,0)),""))</f>
        <v/>
      </c>
      <c r="G438" s="53">
        <f>IF(B438="","",IFERROR(INDEX(Client_List!$K:$K,MATCH(VALUE(B438),Client_List!$A:$A,0)),""))</f>
        <v/>
      </c>
      <c r="H438" s="32">
        <f>IF(B438="","",IFERROR(INDEX(Client_List!$J:$J,MATCH(VALUE(B438),Client_List!$A:$A,0)),""))</f>
        <v/>
      </c>
      <c r="I438" s="70">
        <f>IF(B438="","",IFERROR(A438-LOOKUP(2,1/($B$4:$B437=B438),$A$4:$A437),""))</f>
        <v/>
      </c>
      <c r="J438" s="32">
        <f>IF(B438="","",IFERROR(D438/I438,""))</f>
        <v/>
      </c>
      <c r="K438" s="71">
        <f>IF(B438="","",IFERROR(AVERAGEIFS($J$4:$J438,$B$4:$B438,B438,$J$4:$J438,"&gt;"&amp;0),""))</f>
        <v/>
      </c>
      <c r="L438" s="4" t="n"/>
    </row>
    <row r="439" ht="14" customHeight="1" s="72">
      <c r="A439" s="75" t="n">
        <v>46060</v>
      </c>
      <c r="B439" s="76" t="n">
        <v>20013</v>
      </c>
      <c r="C439" s="69">
        <f>IF(B439="","",IFERROR(INDEX(Client_List!$B:$B,MATCH(B439,Client_List!$A:$A,0)),"⚠ NOT FOUND"))</f>
        <v/>
      </c>
      <c r="D439" s="43" t="n">
        <v>986</v>
      </c>
      <c r="E439" s="32">
        <f>IF(B439="","",IFERROR(INDEX(Client_List!$C:$C,MATCH(VALUE(B439),Client_List!$A:$A,0)),""))</f>
        <v/>
      </c>
      <c r="F439" s="53">
        <f>IF(B439="","",IFERROR(INDEX(Client_List!$D:$D,MATCH(VALUE(B439),Client_List!$A:$A,0)),""))</f>
        <v/>
      </c>
      <c r="G439" s="53">
        <f>IF(B439="","",IFERROR(INDEX(Client_List!$K:$K,MATCH(VALUE(B439),Client_List!$A:$A,0)),""))</f>
        <v/>
      </c>
      <c r="H439" s="32">
        <f>IF(B439="","",IFERROR(INDEX(Client_List!$J:$J,MATCH(VALUE(B439),Client_List!$A:$A,0)),""))</f>
        <v/>
      </c>
      <c r="I439" s="70">
        <f>IF(B439="","",IFERROR(A439-LOOKUP(2,1/($B$4:$B438=B439),$A$4:$A438),""))</f>
        <v/>
      </c>
      <c r="J439" s="32">
        <f>IF(B439="","",IFERROR(D439/I439,""))</f>
        <v/>
      </c>
      <c r="K439" s="71">
        <f>IF(B439="","",IFERROR(AVERAGEIFS($J$4:$J439,$B$4:$B439,B439,$J$4:$J439,"&gt;"&amp;0),""))</f>
        <v/>
      </c>
      <c r="L439" s="7" t="n"/>
    </row>
    <row r="440" ht="14" customHeight="1" s="72">
      <c r="A440" s="75" t="n">
        <v>46060</v>
      </c>
      <c r="B440" s="76" t="n">
        <v>20019</v>
      </c>
      <c r="C440" s="69">
        <f>IF(B440="","",IFERROR(INDEX(Client_List!$B:$B,MATCH(B440,Client_List!$A:$A,0)),"⚠ NOT FOUND"))</f>
        <v/>
      </c>
      <c r="D440" s="43" t="n">
        <v>908</v>
      </c>
      <c r="E440" s="32">
        <f>IF(B440="","",IFERROR(INDEX(Client_List!$C:$C,MATCH(VALUE(B440),Client_List!$A:$A,0)),""))</f>
        <v/>
      </c>
      <c r="F440" s="53">
        <f>IF(B440="","",IFERROR(INDEX(Client_List!$D:$D,MATCH(VALUE(B440),Client_List!$A:$A,0)),""))</f>
        <v/>
      </c>
      <c r="G440" s="53">
        <f>IF(B440="","",IFERROR(INDEX(Client_List!$K:$K,MATCH(VALUE(B440),Client_List!$A:$A,0)),""))</f>
        <v/>
      </c>
      <c r="H440" s="32">
        <f>IF(B440="","",IFERROR(INDEX(Client_List!$J:$J,MATCH(VALUE(B440),Client_List!$A:$A,0)),""))</f>
        <v/>
      </c>
      <c r="I440" s="70">
        <f>IF(B440="","",IFERROR(A440-LOOKUP(2,1/($B$4:$B439=B440),$A$4:$A439),""))</f>
        <v/>
      </c>
      <c r="J440" s="32">
        <f>IF(B440="","",IFERROR(D440/I440,""))</f>
        <v/>
      </c>
      <c r="K440" s="71">
        <f>IF(B440="","",IFERROR(AVERAGEIFS($J$4:$J440,$B$4:$B440,B440,$J$4:$J440,"&gt;"&amp;0),""))</f>
        <v/>
      </c>
      <c r="L440" s="4" t="n"/>
    </row>
    <row r="441" ht="14" customHeight="1" s="72">
      <c r="A441" s="75" t="n">
        <v>46060</v>
      </c>
      <c r="B441" s="76" t="n">
        <v>20098</v>
      </c>
      <c r="C441" s="69">
        <f>IF(B441="","",IFERROR(INDEX(Client_List!$B:$B,MATCH(B441,Client_List!$A:$A,0)),"⚠ NOT FOUND"))</f>
        <v/>
      </c>
      <c r="D441" s="43" t="n">
        <v>942</v>
      </c>
      <c r="E441" s="32">
        <f>IF(B441="","",IFERROR(INDEX(Client_List!$C:$C,MATCH(VALUE(B441),Client_List!$A:$A,0)),""))</f>
        <v/>
      </c>
      <c r="F441" s="53">
        <f>IF(B441="","",IFERROR(INDEX(Client_List!$D:$D,MATCH(VALUE(B441),Client_List!$A:$A,0)),""))</f>
        <v/>
      </c>
      <c r="G441" s="53">
        <f>IF(B441="","",IFERROR(INDEX(Client_List!$K:$K,MATCH(VALUE(B441),Client_List!$A:$A,0)),""))</f>
        <v/>
      </c>
      <c r="H441" s="32">
        <f>IF(B441="","",IFERROR(INDEX(Client_List!$J:$J,MATCH(VALUE(B441),Client_List!$A:$A,0)),""))</f>
        <v/>
      </c>
      <c r="I441" s="70">
        <f>IF(B441="","",IFERROR(A441-LOOKUP(2,1/($B$4:$B440=B441),$A$4:$A440),""))</f>
        <v/>
      </c>
      <c r="J441" s="32">
        <f>IF(B441="","",IFERROR(D441/I441,""))</f>
        <v/>
      </c>
      <c r="K441" s="71">
        <f>IF(B441="","",IFERROR(AVERAGEIFS($J$4:$J441,$B$4:$B441,B441,$J$4:$J441,"&gt;"&amp;0),""))</f>
        <v/>
      </c>
      <c r="L441" s="7" t="n"/>
    </row>
    <row r="442" ht="14" customHeight="1" s="72">
      <c r="A442" s="75" t="n">
        <v>46061</v>
      </c>
      <c r="B442" s="76" t="n">
        <v>2016</v>
      </c>
      <c r="C442" s="69">
        <f>IF(B442="","",IFERROR(INDEX(Client_List!$B:$B,MATCH(B442,Client_List!$A:$A,0)),"⚠ NOT FOUND"))</f>
        <v/>
      </c>
      <c r="D442" s="43" t="n">
        <v>252</v>
      </c>
      <c r="E442" s="32">
        <f>IF(B442="","",IFERROR(INDEX(Client_List!$C:$C,MATCH(VALUE(B442),Client_List!$A:$A,0)),""))</f>
        <v/>
      </c>
      <c r="F442" s="53">
        <f>IF(B442="","",IFERROR(INDEX(Client_List!$D:$D,MATCH(VALUE(B442),Client_List!$A:$A,0)),""))</f>
        <v/>
      </c>
      <c r="G442" s="53">
        <f>IF(B442="","",IFERROR(INDEX(Client_List!$K:$K,MATCH(VALUE(B442),Client_List!$A:$A,0)),""))</f>
        <v/>
      </c>
      <c r="H442" s="32">
        <f>IF(B442="","",IFERROR(INDEX(Client_List!$J:$J,MATCH(VALUE(B442),Client_List!$A:$A,0)),""))</f>
        <v/>
      </c>
      <c r="I442" s="70">
        <f>IF(B442="","",IFERROR(A442-LOOKUP(2,1/($B$4:$B441=B442),$A$4:$A441),""))</f>
        <v/>
      </c>
      <c r="J442" s="32">
        <f>IF(B442="","",IFERROR(D442/I442,""))</f>
        <v/>
      </c>
      <c r="K442" s="71">
        <f>IF(B442="","",IFERROR(AVERAGEIFS($J$4:$J442,$B$4:$B442,B442,$J$4:$J442,"&gt;"&amp;0),""))</f>
        <v/>
      </c>
      <c r="L442" s="4" t="n"/>
    </row>
    <row r="443" ht="14" customHeight="1" s="72">
      <c r="A443" s="75" t="n">
        <v>46061</v>
      </c>
      <c r="B443" s="76" t="n">
        <v>2021</v>
      </c>
      <c r="C443" s="69">
        <f>IF(B443="","",IFERROR(INDEX(Client_List!$B:$B,MATCH(B443,Client_List!$A:$A,0)),"⚠ NOT FOUND"))</f>
        <v/>
      </c>
      <c r="D443" s="43" t="n">
        <v>527</v>
      </c>
      <c r="E443" s="32">
        <f>IF(B443="","",IFERROR(INDEX(Client_List!$C:$C,MATCH(VALUE(B443),Client_List!$A:$A,0)),""))</f>
        <v/>
      </c>
      <c r="F443" s="53">
        <f>IF(B443="","",IFERROR(INDEX(Client_List!$D:$D,MATCH(VALUE(B443),Client_List!$A:$A,0)),""))</f>
        <v/>
      </c>
      <c r="G443" s="53">
        <f>IF(B443="","",IFERROR(INDEX(Client_List!$K:$K,MATCH(VALUE(B443),Client_List!$A:$A,0)),""))</f>
        <v/>
      </c>
      <c r="H443" s="32">
        <f>IF(B443="","",IFERROR(INDEX(Client_List!$J:$J,MATCH(VALUE(B443),Client_List!$A:$A,0)),""))</f>
        <v/>
      </c>
      <c r="I443" s="70">
        <f>IF(B443="","",IFERROR(A443-LOOKUP(2,1/($B$4:$B442=B443),$A$4:$A442),""))</f>
        <v/>
      </c>
      <c r="J443" s="32">
        <f>IF(B443="","",IFERROR(D443/I443,""))</f>
        <v/>
      </c>
      <c r="K443" s="71">
        <f>IF(B443="","",IFERROR(AVERAGEIFS($J$4:$J443,$B$4:$B443,B443,$J$4:$J443,"&gt;"&amp;0),""))</f>
        <v/>
      </c>
      <c r="L443" s="7" t="n"/>
    </row>
    <row r="444" ht="14" customHeight="1" s="72">
      <c r="A444" s="75" t="n">
        <v>46061</v>
      </c>
      <c r="B444" s="76" t="n">
        <v>2067</v>
      </c>
      <c r="C444" s="69">
        <f>IF(B444="","",IFERROR(INDEX(Client_List!$B:$B,MATCH(B444,Client_List!$A:$A,0)),"⚠ NOT FOUND"))</f>
        <v/>
      </c>
      <c r="D444" s="43" t="n">
        <v>798</v>
      </c>
      <c r="E444" s="32">
        <f>IF(B444="","",IFERROR(INDEX(Client_List!$C:$C,MATCH(VALUE(B444),Client_List!$A:$A,0)),""))</f>
        <v/>
      </c>
      <c r="F444" s="53">
        <f>IF(B444="","",IFERROR(INDEX(Client_List!$D:$D,MATCH(VALUE(B444),Client_List!$A:$A,0)),""))</f>
        <v/>
      </c>
      <c r="G444" s="53">
        <f>IF(B444="","",IFERROR(INDEX(Client_List!$K:$K,MATCH(VALUE(B444),Client_List!$A:$A,0)),""))</f>
        <v/>
      </c>
      <c r="H444" s="32">
        <f>IF(B444="","",IFERROR(INDEX(Client_List!$J:$J,MATCH(VALUE(B444),Client_List!$A:$A,0)),""))</f>
        <v/>
      </c>
      <c r="I444" s="70">
        <f>IF(B444="","",IFERROR(A444-LOOKUP(2,1/($B$4:$B443=B444),$A$4:$A443),""))</f>
        <v/>
      </c>
      <c r="J444" s="32">
        <f>IF(B444="","",IFERROR(D444/I444,""))</f>
        <v/>
      </c>
      <c r="K444" s="71">
        <f>IF(B444="","",IFERROR(AVERAGEIFS($J$4:$J444,$B$4:$B444,B444,$J$4:$J444,"&gt;"&amp;0),""))</f>
        <v/>
      </c>
      <c r="L444" s="4" t="n"/>
    </row>
    <row r="445" ht="14" customHeight="1" s="72">
      <c r="A445" s="75" t="n">
        <v>46061</v>
      </c>
      <c r="B445" s="76" t="n">
        <v>4037</v>
      </c>
      <c r="C445" s="69">
        <f>IF(B445="","",IFERROR(INDEX(Client_List!$B:$B,MATCH(B445,Client_List!$A:$A,0)),"⚠ NOT FOUND"))</f>
        <v/>
      </c>
      <c r="D445" s="43" t="n">
        <v>186</v>
      </c>
      <c r="E445" s="32">
        <f>IF(B445="","",IFERROR(INDEX(Client_List!$C:$C,MATCH(VALUE(B445),Client_List!$A:$A,0)),""))</f>
        <v/>
      </c>
      <c r="F445" s="53">
        <f>IF(B445="","",IFERROR(INDEX(Client_List!$D:$D,MATCH(VALUE(B445),Client_List!$A:$A,0)),""))</f>
        <v/>
      </c>
      <c r="G445" s="53">
        <f>IF(B445="","",IFERROR(INDEX(Client_List!$K:$K,MATCH(VALUE(B445),Client_List!$A:$A,0)),""))</f>
        <v/>
      </c>
      <c r="H445" s="32">
        <f>IF(B445="","",IFERROR(INDEX(Client_List!$J:$J,MATCH(VALUE(B445),Client_List!$A:$A,0)),""))</f>
        <v/>
      </c>
      <c r="I445" s="70">
        <f>IF(B445="","",IFERROR(A445-LOOKUP(2,1/($B$4:$B444=B445),$A$4:$A444),""))</f>
        <v/>
      </c>
      <c r="J445" s="32">
        <f>IF(B445="","",IFERROR(D445/I445,""))</f>
        <v/>
      </c>
      <c r="K445" s="71">
        <f>IF(B445="","",IFERROR(AVERAGEIFS($J$4:$J445,$B$4:$B445,B445,$J$4:$J445,"&gt;"&amp;0),""))</f>
        <v/>
      </c>
      <c r="L445" s="7" t="n"/>
    </row>
    <row r="446" ht="14" customHeight="1" s="72">
      <c r="A446" s="75" t="n">
        <v>46061</v>
      </c>
      <c r="B446" s="76" t="n">
        <v>13015</v>
      </c>
      <c r="C446" s="69">
        <f>IF(B446="","",IFERROR(INDEX(Client_List!$B:$B,MATCH(B446,Client_List!$A:$A,0)),"⚠ NOT FOUND"))</f>
        <v/>
      </c>
      <c r="D446" s="43" t="n">
        <v>752</v>
      </c>
      <c r="E446" s="32">
        <f>IF(B446="","",IFERROR(INDEX(Client_List!$C:$C,MATCH(VALUE(B446),Client_List!$A:$A,0)),""))</f>
        <v/>
      </c>
      <c r="F446" s="53">
        <f>IF(B446="","",IFERROR(INDEX(Client_List!$D:$D,MATCH(VALUE(B446),Client_List!$A:$A,0)),""))</f>
        <v/>
      </c>
      <c r="G446" s="53">
        <f>IF(B446="","",IFERROR(INDEX(Client_List!$K:$K,MATCH(VALUE(B446),Client_List!$A:$A,0)),""))</f>
        <v/>
      </c>
      <c r="H446" s="32">
        <f>IF(B446="","",IFERROR(INDEX(Client_List!$J:$J,MATCH(VALUE(B446),Client_List!$A:$A,0)),""))</f>
        <v/>
      </c>
      <c r="I446" s="70">
        <f>IF(B446="","",IFERROR(A446-LOOKUP(2,1/($B$4:$B445=B446),$A$4:$A445),""))</f>
        <v/>
      </c>
      <c r="J446" s="32">
        <f>IF(B446="","",IFERROR(D446/I446,""))</f>
        <v/>
      </c>
      <c r="K446" s="71">
        <f>IF(B446="","",IFERROR(AVERAGEIFS($J$4:$J446,$B$4:$B446,B446,$J$4:$J446,"&gt;"&amp;0),""))</f>
        <v/>
      </c>
      <c r="L446" s="4" t="n"/>
    </row>
    <row r="447" ht="14" customHeight="1" s="72">
      <c r="A447" s="75" t="n">
        <v>46061</v>
      </c>
      <c r="B447" s="76" t="n">
        <v>15016</v>
      </c>
      <c r="C447" s="69">
        <f>IF(B447="","",IFERROR(INDEX(Client_List!$B:$B,MATCH(B447,Client_List!$A:$A,0)),"⚠ NOT FOUND"))</f>
        <v/>
      </c>
      <c r="D447" s="43" t="n">
        <v>356</v>
      </c>
      <c r="E447" s="32">
        <f>IF(B447="","",IFERROR(INDEX(Client_List!$C:$C,MATCH(VALUE(B447),Client_List!$A:$A,0)),""))</f>
        <v/>
      </c>
      <c r="F447" s="53">
        <f>IF(B447="","",IFERROR(INDEX(Client_List!$D:$D,MATCH(VALUE(B447),Client_List!$A:$A,0)),""))</f>
        <v/>
      </c>
      <c r="G447" s="53">
        <f>IF(B447="","",IFERROR(INDEX(Client_List!$K:$K,MATCH(VALUE(B447),Client_List!$A:$A,0)),""))</f>
        <v/>
      </c>
      <c r="H447" s="32">
        <f>IF(B447="","",IFERROR(INDEX(Client_List!$J:$J,MATCH(VALUE(B447),Client_List!$A:$A,0)),""))</f>
        <v/>
      </c>
      <c r="I447" s="70">
        <f>IF(B447="","",IFERROR(A447-LOOKUP(2,1/($B$4:$B446=B447),$A$4:$A446),""))</f>
        <v/>
      </c>
      <c r="J447" s="32">
        <f>IF(B447="","",IFERROR(D447/I447,""))</f>
        <v/>
      </c>
      <c r="K447" s="71">
        <f>IF(B447="","",IFERROR(AVERAGEIFS($J$4:$J447,$B$4:$B447,B447,$J$4:$J447,"&gt;"&amp;0),""))</f>
        <v/>
      </c>
      <c r="L447" s="7" t="n"/>
    </row>
    <row r="448" ht="14" customHeight="1" s="72">
      <c r="A448" s="75" t="n">
        <v>46061</v>
      </c>
      <c r="B448" s="76" t="n">
        <v>15024</v>
      </c>
      <c r="C448" s="69">
        <f>IF(B448="","",IFERROR(INDEX(Client_List!$B:$B,MATCH(B448,Client_List!$A:$A,0)),"⚠ NOT FOUND"))</f>
        <v/>
      </c>
      <c r="D448" s="43" t="n">
        <v>415</v>
      </c>
      <c r="E448" s="32">
        <f>IF(B448="","",IFERROR(INDEX(Client_List!$C:$C,MATCH(VALUE(B448),Client_List!$A:$A,0)),""))</f>
        <v/>
      </c>
      <c r="F448" s="53">
        <f>IF(B448="","",IFERROR(INDEX(Client_List!$D:$D,MATCH(VALUE(B448),Client_List!$A:$A,0)),""))</f>
        <v/>
      </c>
      <c r="G448" s="53">
        <f>IF(B448="","",IFERROR(INDEX(Client_List!$K:$K,MATCH(VALUE(B448),Client_List!$A:$A,0)),""))</f>
        <v/>
      </c>
      <c r="H448" s="32">
        <f>IF(B448="","",IFERROR(INDEX(Client_List!$J:$J,MATCH(VALUE(B448),Client_List!$A:$A,0)),""))</f>
        <v/>
      </c>
      <c r="I448" s="70">
        <f>IF(B448="","",IFERROR(A448-LOOKUP(2,1/($B$4:$B447=B448),$A$4:$A447),""))</f>
        <v/>
      </c>
      <c r="J448" s="32">
        <f>IF(B448="","",IFERROR(D448/I448,""))</f>
        <v/>
      </c>
      <c r="K448" s="71">
        <f>IF(B448="","",IFERROR(AVERAGEIFS($J$4:$J448,$B$4:$B448,B448,$J$4:$J448,"&gt;"&amp;0),""))</f>
        <v/>
      </c>
      <c r="L448" s="4" t="n"/>
    </row>
    <row r="449" ht="14" customHeight="1" s="72">
      <c r="A449" s="75" t="n">
        <v>46061</v>
      </c>
      <c r="B449" s="76" t="n">
        <v>15035</v>
      </c>
      <c r="C449" s="69">
        <f>IF(B449="","",IFERROR(INDEX(Client_List!$B:$B,MATCH(B449,Client_List!$A:$A,0)),"⚠ NOT FOUND"))</f>
        <v/>
      </c>
      <c r="D449" s="43" t="n">
        <v>1275</v>
      </c>
      <c r="E449" s="32">
        <f>IF(B449="","",IFERROR(INDEX(Client_List!$C:$C,MATCH(VALUE(B449),Client_List!$A:$A,0)),""))</f>
        <v/>
      </c>
      <c r="F449" s="53">
        <f>IF(B449="","",IFERROR(INDEX(Client_List!$D:$D,MATCH(VALUE(B449),Client_List!$A:$A,0)),""))</f>
        <v/>
      </c>
      <c r="G449" s="53">
        <f>IF(B449="","",IFERROR(INDEX(Client_List!$K:$K,MATCH(VALUE(B449),Client_List!$A:$A,0)),""))</f>
        <v/>
      </c>
      <c r="H449" s="32">
        <f>IF(B449="","",IFERROR(INDEX(Client_List!$J:$J,MATCH(VALUE(B449),Client_List!$A:$A,0)),""))</f>
        <v/>
      </c>
      <c r="I449" s="70">
        <f>IF(B449="","",IFERROR(A449-LOOKUP(2,1/($B$4:$B448=B449),$A$4:$A448),""))</f>
        <v/>
      </c>
      <c r="J449" s="32">
        <f>IF(B449="","",IFERROR(D449/I449,""))</f>
        <v/>
      </c>
      <c r="K449" s="71">
        <f>IF(B449="","",IFERROR(AVERAGEIFS($J$4:$J449,$B$4:$B449,B449,$J$4:$J449,"&gt;"&amp;0),""))</f>
        <v/>
      </c>
      <c r="L449" s="7" t="n"/>
    </row>
    <row r="450" ht="14" customHeight="1" s="72">
      <c r="A450" s="75" t="n">
        <v>46061</v>
      </c>
      <c r="B450" s="76" t="n">
        <v>18001</v>
      </c>
      <c r="C450" s="69">
        <f>IF(B450="","",IFERROR(INDEX(Client_List!$B:$B,MATCH(B450,Client_List!$A:$A,0)),"⚠ NOT FOUND"))</f>
        <v/>
      </c>
      <c r="D450" s="43" t="n">
        <v>883</v>
      </c>
      <c r="E450" s="32">
        <f>IF(B450="","",IFERROR(INDEX(Client_List!$C:$C,MATCH(VALUE(B450),Client_List!$A:$A,0)),""))</f>
        <v/>
      </c>
      <c r="F450" s="53">
        <f>IF(B450="","",IFERROR(INDEX(Client_List!$D:$D,MATCH(VALUE(B450),Client_List!$A:$A,0)),""))</f>
        <v/>
      </c>
      <c r="G450" s="53">
        <f>IF(B450="","",IFERROR(INDEX(Client_List!$K:$K,MATCH(VALUE(B450),Client_List!$A:$A,0)),""))</f>
        <v/>
      </c>
      <c r="H450" s="32">
        <f>IF(B450="","",IFERROR(INDEX(Client_List!$J:$J,MATCH(VALUE(B450),Client_List!$A:$A,0)),""))</f>
        <v/>
      </c>
      <c r="I450" s="70">
        <f>IF(B450="","",IFERROR(A450-LOOKUP(2,1/($B$4:$B449=B450),$A$4:$A449),""))</f>
        <v/>
      </c>
      <c r="J450" s="32">
        <f>IF(B450="","",IFERROR(D450/I450,""))</f>
        <v/>
      </c>
      <c r="K450" s="71">
        <f>IF(B450="","",IFERROR(AVERAGEIFS($J$4:$J450,$B$4:$B450,B450,$J$4:$J450,"&gt;"&amp;0),""))</f>
        <v/>
      </c>
      <c r="L450" s="4" t="n"/>
    </row>
    <row r="451" ht="14" customHeight="1" s="72">
      <c r="A451" s="75" t="n">
        <v>46061</v>
      </c>
      <c r="B451" s="76" t="n">
        <v>18003</v>
      </c>
      <c r="C451" s="69">
        <f>IF(B451="","",IFERROR(INDEX(Client_List!$B:$B,MATCH(B451,Client_List!$A:$A,0)),"⚠ NOT FOUND"))</f>
        <v/>
      </c>
      <c r="D451" s="43" t="n">
        <v>179</v>
      </c>
      <c r="E451" s="32">
        <f>IF(B451="","",IFERROR(INDEX(Client_List!$C:$C,MATCH(VALUE(B451),Client_List!$A:$A,0)),""))</f>
        <v/>
      </c>
      <c r="F451" s="53">
        <f>IF(B451="","",IFERROR(INDEX(Client_List!$D:$D,MATCH(VALUE(B451),Client_List!$A:$A,0)),""))</f>
        <v/>
      </c>
      <c r="G451" s="53">
        <f>IF(B451="","",IFERROR(INDEX(Client_List!$K:$K,MATCH(VALUE(B451),Client_List!$A:$A,0)),""))</f>
        <v/>
      </c>
      <c r="H451" s="32">
        <f>IF(B451="","",IFERROR(INDEX(Client_List!$J:$J,MATCH(VALUE(B451),Client_List!$A:$A,0)),""))</f>
        <v/>
      </c>
      <c r="I451" s="70">
        <f>IF(B451="","",IFERROR(A451-LOOKUP(2,1/($B$4:$B450=B451),$A$4:$A450),""))</f>
        <v/>
      </c>
      <c r="J451" s="32">
        <f>IF(B451="","",IFERROR(D451/I451,""))</f>
        <v/>
      </c>
      <c r="K451" s="71">
        <f>IF(B451="","",IFERROR(AVERAGEIFS($J$4:$J451,$B$4:$B451,B451,$J$4:$J451,"&gt;"&amp;0),""))</f>
        <v/>
      </c>
      <c r="L451" s="7" t="n"/>
    </row>
    <row r="452" ht="14" customHeight="1" s="72">
      <c r="A452" s="75" t="n">
        <v>46062</v>
      </c>
      <c r="B452" s="76" t="n">
        <v>1000</v>
      </c>
      <c r="C452" s="69">
        <f>IF(B452="","",IFERROR(INDEX(Client_List!$B:$B,MATCH(B452,Client_List!$A:$A,0)),"⚠ NOT FOUND"))</f>
        <v/>
      </c>
      <c r="D452" s="43" t="n">
        <v>734</v>
      </c>
      <c r="E452" s="32">
        <f>IF(B452="","",IFERROR(INDEX(Client_List!$C:$C,MATCH(VALUE(B452),Client_List!$A:$A,0)),""))</f>
        <v/>
      </c>
      <c r="F452" s="53">
        <f>IF(B452="","",IFERROR(INDEX(Client_List!$D:$D,MATCH(VALUE(B452),Client_List!$A:$A,0)),""))</f>
        <v/>
      </c>
      <c r="G452" s="53">
        <f>IF(B452="","",IFERROR(INDEX(Client_List!$K:$K,MATCH(VALUE(B452),Client_List!$A:$A,0)),""))</f>
        <v/>
      </c>
      <c r="H452" s="32">
        <f>IF(B452="","",IFERROR(INDEX(Client_List!$J:$J,MATCH(VALUE(B452),Client_List!$A:$A,0)),""))</f>
        <v/>
      </c>
      <c r="I452" s="70">
        <f>IF(B452="","",IFERROR(A452-LOOKUP(2,1/($B$4:$B451=B452),$A$4:$A451),""))</f>
        <v/>
      </c>
      <c r="J452" s="32">
        <f>IF(B452="","",IFERROR(D452/I452,""))</f>
        <v/>
      </c>
      <c r="K452" s="71">
        <f>IF(B452="","",IFERROR(AVERAGEIFS($J$4:$J452,$B$4:$B452,B452,$J$4:$J452,"&gt;"&amp;0),""))</f>
        <v/>
      </c>
      <c r="L452" s="4" t="n"/>
    </row>
    <row r="453" ht="14" customHeight="1" s="72">
      <c r="A453" s="75" t="n">
        <v>46062</v>
      </c>
      <c r="B453" s="76" t="n">
        <v>1018</v>
      </c>
      <c r="C453" s="69">
        <f>IF(B453="","",IFERROR(INDEX(Client_List!$B:$B,MATCH(B453,Client_List!$A:$A,0)),"⚠ NOT FOUND"))</f>
        <v/>
      </c>
      <c r="D453" s="43" t="n">
        <v>682</v>
      </c>
      <c r="E453" s="32">
        <f>IF(B453="","",IFERROR(INDEX(Client_List!$C:$C,MATCH(VALUE(B453),Client_List!$A:$A,0)),""))</f>
        <v/>
      </c>
      <c r="F453" s="53">
        <f>IF(B453="","",IFERROR(INDEX(Client_List!$D:$D,MATCH(VALUE(B453),Client_List!$A:$A,0)),""))</f>
        <v/>
      </c>
      <c r="G453" s="53">
        <f>IF(B453="","",IFERROR(INDEX(Client_List!$K:$K,MATCH(VALUE(B453),Client_List!$A:$A,0)),""))</f>
        <v/>
      </c>
      <c r="H453" s="32">
        <f>IF(B453="","",IFERROR(INDEX(Client_List!$J:$J,MATCH(VALUE(B453),Client_List!$A:$A,0)),""))</f>
        <v/>
      </c>
      <c r="I453" s="70">
        <f>IF(B453="","",IFERROR(A453-LOOKUP(2,1/($B$4:$B452=B453),$A$4:$A452),""))</f>
        <v/>
      </c>
      <c r="J453" s="32">
        <f>IF(B453="","",IFERROR(D453/I453,""))</f>
        <v/>
      </c>
      <c r="K453" s="71">
        <f>IF(B453="","",IFERROR(AVERAGEIFS($J$4:$J453,$B$4:$B453,B453,$J$4:$J453,"&gt;"&amp;0),""))</f>
        <v/>
      </c>
      <c r="L453" s="7" t="n"/>
    </row>
    <row r="454" ht="14" customHeight="1" s="72">
      <c r="A454" s="75" t="n">
        <v>46062</v>
      </c>
      <c r="B454" s="76" t="n">
        <v>2038</v>
      </c>
      <c r="C454" s="69">
        <f>IF(B454="","",IFERROR(INDEX(Client_List!$B:$B,MATCH(B454,Client_List!$A:$A,0)),"⚠ NOT FOUND"))</f>
        <v/>
      </c>
      <c r="D454" s="43" t="n">
        <v>459</v>
      </c>
      <c r="E454" s="32">
        <f>IF(B454="","",IFERROR(INDEX(Client_List!$C:$C,MATCH(VALUE(B454),Client_List!$A:$A,0)),""))</f>
        <v/>
      </c>
      <c r="F454" s="53">
        <f>IF(B454="","",IFERROR(INDEX(Client_List!$D:$D,MATCH(VALUE(B454),Client_List!$A:$A,0)),""))</f>
        <v/>
      </c>
      <c r="G454" s="53">
        <f>IF(B454="","",IFERROR(INDEX(Client_List!$K:$K,MATCH(VALUE(B454),Client_List!$A:$A,0)),""))</f>
        <v/>
      </c>
      <c r="H454" s="32">
        <f>IF(B454="","",IFERROR(INDEX(Client_List!$J:$J,MATCH(VALUE(B454),Client_List!$A:$A,0)),""))</f>
        <v/>
      </c>
      <c r="I454" s="70">
        <f>IF(B454="","",IFERROR(A454-LOOKUP(2,1/($B$4:$B453=B454),$A$4:$A453),""))</f>
        <v/>
      </c>
      <c r="J454" s="32">
        <f>IF(B454="","",IFERROR(D454/I454,""))</f>
        <v/>
      </c>
      <c r="K454" s="71">
        <f>IF(B454="","",IFERROR(AVERAGEIFS($J$4:$J454,$B$4:$B454,B454,$J$4:$J454,"&gt;"&amp;0),""))</f>
        <v/>
      </c>
      <c r="L454" s="4" t="n"/>
    </row>
    <row r="455" ht="14" customHeight="1" s="72">
      <c r="A455" s="75" t="n">
        <v>46062</v>
      </c>
      <c r="B455" s="76" t="n">
        <v>2045</v>
      </c>
      <c r="C455" s="69">
        <f>IF(B455="","",IFERROR(INDEX(Client_List!$B:$B,MATCH(B455,Client_List!$A:$A,0)),"⚠ NOT FOUND"))</f>
        <v/>
      </c>
      <c r="D455" s="43" t="n">
        <v>432</v>
      </c>
      <c r="E455" s="32">
        <f>IF(B455="","",IFERROR(INDEX(Client_List!$C:$C,MATCH(VALUE(B455),Client_List!$A:$A,0)),""))</f>
        <v/>
      </c>
      <c r="F455" s="53">
        <f>IF(B455="","",IFERROR(INDEX(Client_List!$D:$D,MATCH(VALUE(B455),Client_List!$A:$A,0)),""))</f>
        <v/>
      </c>
      <c r="G455" s="53">
        <f>IF(B455="","",IFERROR(INDEX(Client_List!$K:$K,MATCH(VALUE(B455),Client_List!$A:$A,0)),""))</f>
        <v/>
      </c>
      <c r="H455" s="32">
        <f>IF(B455="","",IFERROR(INDEX(Client_List!$J:$J,MATCH(VALUE(B455),Client_List!$A:$A,0)),""))</f>
        <v/>
      </c>
      <c r="I455" s="70">
        <f>IF(B455="","",IFERROR(A455-LOOKUP(2,1/($B$4:$B454=B455),$A$4:$A454),""))</f>
        <v/>
      </c>
      <c r="J455" s="32">
        <f>IF(B455="","",IFERROR(D455/I455,""))</f>
        <v/>
      </c>
      <c r="K455" s="71">
        <f>IF(B455="","",IFERROR(AVERAGEIFS($J$4:$J455,$B$4:$B455,B455,$J$4:$J455,"&gt;"&amp;0),""))</f>
        <v/>
      </c>
      <c r="L455" s="7" t="n"/>
    </row>
    <row r="456" ht="14" customHeight="1" s="72">
      <c r="A456" s="75" t="n">
        <v>46062</v>
      </c>
      <c r="B456" s="76" t="n">
        <v>11013</v>
      </c>
      <c r="C456" s="69">
        <f>IF(B456="","",IFERROR(INDEX(Client_List!$B:$B,MATCH(B456,Client_List!$A:$A,0)),"⚠ NOT FOUND"))</f>
        <v/>
      </c>
      <c r="D456" s="43" t="n">
        <v>918</v>
      </c>
      <c r="E456" s="32">
        <f>IF(B456="","",IFERROR(INDEX(Client_List!$C:$C,MATCH(VALUE(B456),Client_List!$A:$A,0)),""))</f>
        <v/>
      </c>
      <c r="F456" s="53">
        <f>IF(B456="","",IFERROR(INDEX(Client_List!$D:$D,MATCH(VALUE(B456),Client_List!$A:$A,0)),""))</f>
        <v/>
      </c>
      <c r="G456" s="53">
        <f>IF(B456="","",IFERROR(INDEX(Client_List!$K:$K,MATCH(VALUE(B456),Client_List!$A:$A,0)),""))</f>
        <v/>
      </c>
      <c r="H456" s="32">
        <f>IF(B456="","",IFERROR(INDEX(Client_List!$J:$J,MATCH(VALUE(B456),Client_List!$A:$A,0)),""))</f>
        <v/>
      </c>
      <c r="I456" s="70">
        <f>IF(B456="","",IFERROR(A456-LOOKUP(2,1/($B$4:$B455=B456),$A$4:$A455),""))</f>
        <v/>
      </c>
      <c r="J456" s="32">
        <f>IF(B456="","",IFERROR(D456/I456,""))</f>
        <v/>
      </c>
      <c r="K456" s="71">
        <f>IF(B456="","",IFERROR(AVERAGEIFS($J$4:$J456,$B$4:$B456,B456,$J$4:$J456,"&gt;"&amp;0),""))</f>
        <v/>
      </c>
      <c r="L456" s="4" t="n"/>
    </row>
    <row r="457" ht="14" customHeight="1" s="72">
      <c r="A457" s="75" t="n">
        <v>46062</v>
      </c>
      <c r="B457" s="76" t="n">
        <v>13013</v>
      </c>
      <c r="C457" s="69">
        <f>IF(B457="","",IFERROR(INDEX(Client_List!$B:$B,MATCH(B457,Client_List!$A:$A,0)),"⚠ NOT FOUND"))</f>
        <v/>
      </c>
      <c r="D457" s="43" t="n">
        <v>1069</v>
      </c>
      <c r="E457" s="32">
        <f>IF(B457="","",IFERROR(INDEX(Client_List!$C:$C,MATCH(VALUE(B457),Client_List!$A:$A,0)),""))</f>
        <v/>
      </c>
      <c r="F457" s="53">
        <f>IF(B457="","",IFERROR(INDEX(Client_List!$D:$D,MATCH(VALUE(B457),Client_List!$A:$A,0)),""))</f>
        <v/>
      </c>
      <c r="G457" s="53">
        <f>IF(B457="","",IFERROR(INDEX(Client_List!$K:$K,MATCH(VALUE(B457),Client_List!$A:$A,0)),""))</f>
        <v/>
      </c>
      <c r="H457" s="32">
        <f>IF(B457="","",IFERROR(INDEX(Client_List!$J:$J,MATCH(VALUE(B457),Client_List!$A:$A,0)),""))</f>
        <v/>
      </c>
      <c r="I457" s="70">
        <f>IF(B457="","",IFERROR(A457-LOOKUP(2,1/($B$4:$B456=B457),$A$4:$A456),""))</f>
        <v/>
      </c>
      <c r="J457" s="32">
        <f>IF(B457="","",IFERROR(D457/I457,""))</f>
        <v/>
      </c>
      <c r="K457" s="71">
        <f>IF(B457="","",IFERROR(AVERAGEIFS($J$4:$J457,$B$4:$B457,B457,$J$4:$J457,"&gt;"&amp;0),""))</f>
        <v/>
      </c>
      <c r="L457" s="7" t="n"/>
    </row>
    <row r="458" ht="14" customHeight="1" s="72">
      <c r="A458" s="75" t="n">
        <v>46062</v>
      </c>
      <c r="B458" s="76" t="n">
        <v>15001</v>
      </c>
      <c r="C458" s="69">
        <f>IF(B458="","",IFERROR(INDEX(Client_List!$B:$B,MATCH(B458,Client_List!$A:$A,0)),"⚠ NOT FOUND"))</f>
        <v/>
      </c>
      <c r="D458" s="43" t="n">
        <v>1019</v>
      </c>
      <c r="E458" s="32">
        <f>IF(B458="","",IFERROR(INDEX(Client_List!$C:$C,MATCH(VALUE(B458),Client_List!$A:$A,0)),""))</f>
        <v/>
      </c>
      <c r="F458" s="53">
        <f>IF(B458="","",IFERROR(INDEX(Client_List!$D:$D,MATCH(VALUE(B458),Client_List!$A:$A,0)),""))</f>
        <v/>
      </c>
      <c r="G458" s="53">
        <f>IF(B458="","",IFERROR(INDEX(Client_List!$K:$K,MATCH(VALUE(B458),Client_List!$A:$A,0)),""))</f>
        <v/>
      </c>
      <c r="H458" s="32">
        <f>IF(B458="","",IFERROR(INDEX(Client_List!$J:$J,MATCH(VALUE(B458),Client_List!$A:$A,0)),""))</f>
        <v/>
      </c>
      <c r="I458" s="70">
        <f>IF(B458="","",IFERROR(A458-LOOKUP(2,1/($B$4:$B457=B458),$A$4:$A457),""))</f>
        <v/>
      </c>
      <c r="J458" s="32">
        <f>IF(B458="","",IFERROR(D458/I458,""))</f>
        <v/>
      </c>
      <c r="K458" s="71">
        <f>IF(B458="","",IFERROR(AVERAGEIFS($J$4:$J458,$B$4:$B458,B458,$J$4:$J458,"&gt;"&amp;0),""))</f>
        <v/>
      </c>
      <c r="L458" s="4" t="n"/>
    </row>
    <row r="459" ht="14" customHeight="1" s="72">
      <c r="A459" s="75" t="n">
        <v>46062</v>
      </c>
      <c r="B459" s="76" t="n">
        <v>16005</v>
      </c>
      <c r="C459" s="69">
        <f>IF(B459="","",IFERROR(INDEX(Client_List!$B:$B,MATCH(B459,Client_List!$A:$A,0)),"⚠ NOT FOUND"))</f>
        <v/>
      </c>
      <c r="D459" s="43" t="n">
        <v>587</v>
      </c>
      <c r="E459" s="32">
        <f>IF(B459="","",IFERROR(INDEX(Client_List!$C:$C,MATCH(VALUE(B459),Client_List!$A:$A,0)),""))</f>
        <v/>
      </c>
      <c r="F459" s="53">
        <f>IF(B459="","",IFERROR(INDEX(Client_List!$D:$D,MATCH(VALUE(B459),Client_List!$A:$A,0)),""))</f>
        <v/>
      </c>
      <c r="G459" s="53">
        <f>IF(B459="","",IFERROR(INDEX(Client_List!$K:$K,MATCH(VALUE(B459),Client_List!$A:$A,0)),""))</f>
        <v/>
      </c>
      <c r="H459" s="32">
        <f>IF(B459="","",IFERROR(INDEX(Client_List!$J:$J,MATCH(VALUE(B459),Client_List!$A:$A,0)),""))</f>
        <v/>
      </c>
      <c r="I459" s="70">
        <f>IF(B459="","",IFERROR(A459-LOOKUP(2,1/($B$4:$B458=B459),$A$4:$A458),""))</f>
        <v/>
      </c>
      <c r="J459" s="32">
        <f>IF(B459="","",IFERROR(D459/I459,""))</f>
        <v/>
      </c>
      <c r="K459" s="71">
        <f>IF(B459="","",IFERROR(AVERAGEIFS($J$4:$J459,$B$4:$B459,B459,$J$4:$J459,"&gt;"&amp;0),""))</f>
        <v/>
      </c>
      <c r="L459" s="7" t="n"/>
    </row>
    <row r="460" ht="14" customHeight="1" s="72">
      <c r="A460" s="75" t="n">
        <v>46062</v>
      </c>
      <c r="B460" s="76" t="n">
        <v>16008</v>
      </c>
      <c r="C460" s="69">
        <f>IF(B460="","",IFERROR(INDEX(Client_List!$B:$B,MATCH(B460,Client_List!$A:$A,0)),"⚠ NOT FOUND"))</f>
        <v/>
      </c>
      <c r="D460" s="43" t="n">
        <v>942</v>
      </c>
      <c r="E460" s="32">
        <f>IF(B460="","",IFERROR(INDEX(Client_List!$C:$C,MATCH(VALUE(B460),Client_List!$A:$A,0)),""))</f>
        <v/>
      </c>
      <c r="F460" s="53">
        <f>IF(B460="","",IFERROR(INDEX(Client_List!$D:$D,MATCH(VALUE(B460),Client_List!$A:$A,0)),""))</f>
        <v/>
      </c>
      <c r="G460" s="53">
        <f>IF(B460="","",IFERROR(INDEX(Client_List!$K:$K,MATCH(VALUE(B460),Client_List!$A:$A,0)),""))</f>
        <v/>
      </c>
      <c r="H460" s="32">
        <f>IF(B460="","",IFERROR(INDEX(Client_List!$J:$J,MATCH(VALUE(B460),Client_List!$A:$A,0)),""))</f>
        <v/>
      </c>
      <c r="I460" s="70">
        <f>IF(B460="","",IFERROR(A460-LOOKUP(2,1/($B$4:$B459=B460),$A$4:$A459),""))</f>
        <v/>
      </c>
      <c r="J460" s="32">
        <f>IF(B460="","",IFERROR(D460/I460,""))</f>
        <v/>
      </c>
      <c r="K460" s="71">
        <f>IF(B460="","",IFERROR(AVERAGEIFS($J$4:$J460,$B$4:$B460,B460,$J$4:$J460,"&gt;"&amp;0),""))</f>
        <v/>
      </c>
      <c r="L460" s="4" t="n"/>
    </row>
    <row r="461" ht="14" customHeight="1" s="72">
      <c r="A461" s="75" t="n">
        <v>46062</v>
      </c>
      <c r="B461" s="76" t="n">
        <v>16014</v>
      </c>
      <c r="C461" s="69">
        <f>IF(B461="","",IFERROR(INDEX(Client_List!$B:$B,MATCH(B461,Client_List!$A:$A,0)),"⚠ NOT FOUND"))</f>
        <v/>
      </c>
      <c r="D461" s="43" t="n">
        <v>1400</v>
      </c>
      <c r="E461" s="32">
        <f>IF(B461="","",IFERROR(INDEX(Client_List!$C:$C,MATCH(VALUE(B461),Client_List!$A:$A,0)),""))</f>
        <v/>
      </c>
      <c r="F461" s="53">
        <f>IF(B461="","",IFERROR(INDEX(Client_List!$D:$D,MATCH(VALUE(B461),Client_List!$A:$A,0)),""))</f>
        <v/>
      </c>
      <c r="G461" s="53">
        <f>IF(B461="","",IFERROR(INDEX(Client_List!$K:$K,MATCH(VALUE(B461),Client_List!$A:$A,0)),""))</f>
        <v/>
      </c>
      <c r="H461" s="32">
        <f>IF(B461="","",IFERROR(INDEX(Client_List!$J:$J,MATCH(VALUE(B461),Client_List!$A:$A,0)),""))</f>
        <v/>
      </c>
      <c r="I461" s="70">
        <f>IF(B461="","",IFERROR(A461-LOOKUP(2,1/($B$4:$B460=B461),$A$4:$A460),""))</f>
        <v/>
      </c>
      <c r="J461" s="32">
        <f>IF(B461="","",IFERROR(D461/I461,""))</f>
        <v/>
      </c>
      <c r="K461" s="71">
        <f>IF(B461="","",IFERROR(AVERAGEIFS($J$4:$J461,$B$4:$B461,B461,$J$4:$J461,"&gt;"&amp;0),""))</f>
        <v/>
      </c>
      <c r="L461" s="7" t="n"/>
    </row>
    <row r="462" ht="14" customHeight="1" s="72">
      <c r="A462" s="75" t="n">
        <v>46062</v>
      </c>
      <c r="B462" s="76" t="n">
        <v>19033</v>
      </c>
      <c r="C462" s="69">
        <f>IF(B462="","",IFERROR(INDEX(Client_List!$B:$B,MATCH(B462,Client_List!$A:$A,0)),"⚠ NOT FOUND"))</f>
        <v/>
      </c>
      <c r="D462" s="43" t="n">
        <v>176</v>
      </c>
      <c r="E462" s="32">
        <f>IF(B462="","",IFERROR(INDEX(Client_List!$C:$C,MATCH(VALUE(B462),Client_List!$A:$A,0)),""))</f>
        <v/>
      </c>
      <c r="F462" s="53">
        <f>IF(B462="","",IFERROR(INDEX(Client_List!$D:$D,MATCH(VALUE(B462),Client_List!$A:$A,0)),""))</f>
        <v/>
      </c>
      <c r="G462" s="53">
        <f>IF(B462="","",IFERROR(INDEX(Client_List!$K:$K,MATCH(VALUE(B462),Client_List!$A:$A,0)),""))</f>
        <v/>
      </c>
      <c r="H462" s="32">
        <f>IF(B462="","",IFERROR(INDEX(Client_List!$J:$J,MATCH(VALUE(B462),Client_List!$A:$A,0)),""))</f>
        <v/>
      </c>
      <c r="I462" s="70">
        <f>IF(B462="","",IFERROR(A462-LOOKUP(2,1/($B$4:$B461=B462),$A$4:$A461),""))</f>
        <v/>
      </c>
      <c r="J462" s="32">
        <f>IF(B462="","",IFERROR(D462/I462,""))</f>
        <v/>
      </c>
      <c r="K462" s="71">
        <f>IF(B462="","",IFERROR(AVERAGEIFS($J$4:$J462,$B$4:$B462,B462,$J$4:$J462,"&gt;"&amp;0),""))</f>
        <v/>
      </c>
      <c r="L462" s="4" t="n"/>
    </row>
    <row r="463" ht="14" customHeight="1" s="72">
      <c r="A463" s="75" t="n">
        <v>46063</v>
      </c>
      <c r="B463" s="76" t="n">
        <v>1054</v>
      </c>
      <c r="C463" s="69">
        <f>IF(B463="","",IFERROR(INDEX(Client_List!$B:$B,MATCH(B463,Client_List!$A:$A,0)),"⚠ NOT FOUND"))</f>
        <v/>
      </c>
      <c r="D463" s="43" t="n">
        <v>526</v>
      </c>
      <c r="E463" s="32">
        <f>IF(B463="","",IFERROR(INDEX(Client_List!$C:$C,MATCH(VALUE(B463),Client_List!$A:$A,0)),""))</f>
        <v/>
      </c>
      <c r="F463" s="53">
        <f>IF(B463="","",IFERROR(INDEX(Client_List!$D:$D,MATCH(VALUE(B463),Client_List!$A:$A,0)),""))</f>
        <v/>
      </c>
      <c r="G463" s="53">
        <f>IF(B463="","",IFERROR(INDEX(Client_List!$K:$K,MATCH(VALUE(B463),Client_List!$A:$A,0)),""))</f>
        <v/>
      </c>
      <c r="H463" s="32">
        <f>IF(B463="","",IFERROR(INDEX(Client_List!$J:$J,MATCH(VALUE(B463),Client_List!$A:$A,0)),""))</f>
        <v/>
      </c>
      <c r="I463" s="70">
        <f>IF(B463="","",IFERROR(A463-LOOKUP(2,1/($B$4:$B462=B463),$A$4:$A462),""))</f>
        <v/>
      </c>
      <c r="J463" s="32">
        <f>IF(B463="","",IFERROR(D463/I463,""))</f>
        <v/>
      </c>
      <c r="K463" s="71">
        <f>IF(B463="","",IFERROR(AVERAGEIFS($J$4:$J463,$B$4:$B463,B463,$J$4:$J463,"&gt;"&amp;0),""))</f>
        <v/>
      </c>
      <c r="L463" s="7" t="n"/>
    </row>
    <row r="464" ht="14" customHeight="1" s="72">
      <c r="A464" s="75" t="n">
        <v>46063</v>
      </c>
      <c r="B464" s="76" t="n">
        <v>2023</v>
      </c>
      <c r="C464" s="69">
        <f>IF(B464="","",IFERROR(INDEX(Client_List!$B:$B,MATCH(B464,Client_List!$A:$A,0)),"⚠ NOT FOUND"))</f>
        <v/>
      </c>
      <c r="D464" s="43" t="n">
        <v>718</v>
      </c>
      <c r="E464" s="32">
        <f>IF(B464="","",IFERROR(INDEX(Client_List!$C:$C,MATCH(VALUE(B464),Client_List!$A:$A,0)),""))</f>
        <v/>
      </c>
      <c r="F464" s="53">
        <f>IF(B464="","",IFERROR(INDEX(Client_List!$D:$D,MATCH(VALUE(B464),Client_List!$A:$A,0)),""))</f>
        <v/>
      </c>
      <c r="G464" s="53">
        <f>IF(B464="","",IFERROR(INDEX(Client_List!$K:$K,MATCH(VALUE(B464),Client_List!$A:$A,0)),""))</f>
        <v/>
      </c>
      <c r="H464" s="32">
        <f>IF(B464="","",IFERROR(INDEX(Client_List!$J:$J,MATCH(VALUE(B464),Client_List!$A:$A,0)),""))</f>
        <v/>
      </c>
      <c r="I464" s="70">
        <f>IF(B464="","",IFERROR(A464-LOOKUP(2,1/($B$4:$B463=B464),$A$4:$A463),""))</f>
        <v/>
      </c>
      <c r="J464" s="32">
        <f>IF(B464="","",IFERROR(D464/I464,""))</f>
        <v/>
      </c>
      <c r="K464" s="71">
        <f>IF(B464="","",IFERROR(AVERAGEIFS($J$4:$J464,$B$4:$B464,B464,$J$4:$J464,"&gt;"&amp;0),""))</f>
        <v/>
      </c>
      <c r="L464" s="4" t="n"/>
    </row>
    <row r="465" ht="14" customHeight="1" s="72">
      <c r="A465" s="75" t="n">
        <v>46063</v>
      </c>
      <c r="B465" s="76" t="n">
        <v>3046</v>
      </c>
      <c r="C465" s="69">
        <f>IF(B465="","",IFERROR(INDEX(Client_List!$B:$B,MATCH(B465,Client_List!$A:$A,0)),"⚠ NOT FOUND"))</f>
        <v/>
      </c>
      <c r="D465" s="43" t="n">
        <v>941</v>
      </c>
      <c r="E465" s="32">
        <f>IF(B465="","",IFERROR(INDEX(Client_List!$C:$C,MATCH(VALUE(B465),Client_List!$A:$A,0)),""))</f>
        <v/>
      </c>
      <c r="F465" s="53">
        <f>IF(B465="","",IFERROR(INDEX(Client_List!$D:$D,MATCH(VALUE(B465),Client_List!$A:$A,0)),""))</f>
        <v/>
      </c>
      <c r="G465" s="53">
        <f>IF(B465="","",IFERROR(INDEX(Client_List!$K:$K,MATCH(VALUE(B465),Client_List!$A:$A,0)),""))</f>
        <v/>
      </c>
      <c r="H465" s="32">
        <f>IF(B465="","",IFERROR(INDEX(Client_List!$J:$J,MATCH(VALUE(B465),Client_List!$A:$A,0)),""))</f>
        <v/>
      </c>
      <c r="I465" s="70">
        <f>IF(B465="","",IFERROR(A465-LOOKUP(2,1/($B$4:$B464=B465),$A$4:$A464),""))</f>
        <v/>
      </c>
      <c r="J465" s="32">
        <f>IF(B465="","",IFERROR(D465/I465,""))</f>
        <v/>
      </c>
      <c r="K465" s="71">
        <f>IF(B465="","",IFERROR(AVERAGEIFS($J$4:$J465,$B$4:$B465,B465,$J$4:$J465,"&gt;"&amp;0),""))</f>
        <v/>
      </c>
      <c r="L465" s="7" t="n"/>
    </row>
    <row r="466" ht="14" customHeight="1" s="72">
      <c r="A466" s="75" t="n">
        <v>46063</v>
      </c>
      <c r="B466" s="76" t="n">
        <v>4027</v>
      </c>
      <c r="C466" s="69">
        <f>IF(B466="","",IFERROR(INDEX(Client_List!$B:$B,MATCH(B466,Client_List!$A:$A,0)),"⚠ NOT FOUND"))</f>
        <v/>
      </c>
      <c r="D466" s="43" t="n">
        <v>1023</v>
      </c>
      <c r="E466" s="32">
        <f>IF(B466="","",IFERROR(INDEX(Client_List!$C:$C,MATCH(VALUE(B466),Client_List!$A:$A,0)),""))</f>
        <v/>
      </c>
      <c r="F466" s="53">
        <f>IF(B466="","",IFERROR(INDEX(Client_List!$D:$D,MATCH(VALUE(B466),Client_List!$A:$A,0)),""))</f>
        <v/>
      </c>
      <c r="G466" s="53">
        <f>IF(B466="","",IFERROR(INDEX(Client_List!$K:$K,MATCH(VALUE(B466),Client_List!$A:$A,0)),""))</f>
        <v/>
      </c>
      <c r="H466" s="32">
        <f>IF(B466="","",IFERROR(INDEX(Client_List!$J:$J,MATCH(VALUE(B466),Client_List!$A:$A,0)),""))</f>
        <v/>
      </c>
      <c r="I466" s="70">
        <f>IF(B466="","",IFERROR(A466-LOOKUP(2,1/($B$4:$B465=B466),$A$4:$A465),""))</f>
        <v/>
      </c>
      <c r="J466" s="32">
        <f>IF(B466="","",IFERROR(D466/I466,""))</f>
        <v/>
      </c>
      <c r="K466" s="71">
        <f>IF(B466="","",IFERROR(AVERAGEIFS($J$4:$J466,$B$4:$B466,B466,$J$4:$J466,"&gt;"&amp;0),""))</f>
        <v/>
      </c>
      <c r="L466" s="4" t="n"/>
    </row>
    <row r="467" ht="14" customHeight="1" s="72">
      <c r="A467" s="75" t="n">
        <v>46063</v>
      </c>
      <c r="B467" s="76" t="n">
        <v>5006</v>
      </c>
      <c r="C467" s="69">
        <f>IF(B467="","",IFERROR(INDEX(Client_List!$B:$B,MATCH(B467,Client_List!$A:$A,0)),"⚠ NOT FOUND"))</f>
        <v/>
      </c>
      <c r="D467" s="43" t="n">
        <v>361</v>
      </c>
      <c r="E467" s="32">
        <f>IF(B467="","",IFERROR(INDEX(Client_List!$C:$C,MATCH(VALUE(B467),Client_List!$A:$A,0)),""))</f>
        <v/>
      </c>
      <c r="F467" s="53">
        <f>IF(B467="","",IFERROR(INDEX(Client_List!$D:$D,MATCH(VALUE(B467),Client_List!$A:$A,0)),""))</f>
        <v/>
      </c>
      <c r="G467" s="53">
        <f>IF(B467="","",IFERROR(INDEX(Client_List!$K:$K,MATCH(VALUE(B467),Client_List!$A:$A,0)),""))</f>
        <v/>
      </c>
      <c r="H467" s="32">
        <f>IF(B467="","",IFERROR(INDEX(Client_List!$J:$J,MATCH(VALUE(B467),Client_List!$A:$A,0)),""))</f>
        <v/>
      </c>
      <c r="I467" s="70">
        <f>IF(B467="","",IFERROR(A467-LOOKUP(2,1/($B$4:$B466=B467),$A$4:$A466),""))</f>
        <v/>
      </c>
      <c r="J467" s="32">
        <f>IF(B467="","",IFERROR(D467/I467,""))</f>
        <v/>
      </c>
      <c r="K467" s="71">
        <f>IF(B467="","",IFERROR(AVERAGEIFS($J$4:$J467,$B$4:$B467,B467,$J$4:$J467,"&gt;"&amp;0),""))</f>
        <v/>
      </c>
      <c r="L467" s="7" t="n"/>
    </row>
    <row r="468" ht="14" customHeight="1" s="72">
      <c r="A468" s="75" t="n">
        <v>46063</v>
      </c>
      <c r="B468" s="76" t="n">
        <v>15002</v>
      </c>
      <c r="C468" s="69">
        <f>IF(B468="","",IFERROR(INDEX(Client_List!$B:$B,MATCH(B468,Client_List!$A:$A,0)),"⚠ NOT FOUND"))</f>
        <v/>
      </c>
      <c r="D468" s="43" t="n">
        <v>329</v>
      </c>
      <c r="E468" s="32">
        <f>IF(B468="","",IFERROR(INDEX(Client_List!$C:$C,MATCH(VALUE(B468),Client_List!$A:$A,0)),""))</f>
        <v/>
      </c>
      <c r="F468" s="53">
        <f>IF(B468="","",IFERROR(INDEX(Client_List!$D:$D,MATCH(VALUE(B468),Client_List!$A:$A,0)),""))</f>
        <v/>
      </c>
      <c r="G468" s="53">
        <f>IF(B468="","",IFERROR(INDEX(Client_List!$K:$K,MATCH(VALUE(B468),Client_List!$A:$A,0)),""))</f>
        <v/>
      </c>
      <c r="H468" s="32">
        <f>IF(B468="","",IFERROR(INDEX(Client_List!$J:$J,MATCH(VALUE(B468),Client_List!$A:$A,0)),""))</f>
        <v/>
      </c>
      <c r="I468" s="70">
        <f>IF(B468="","",IFERROR(A468-LOOKUP(2,1/($B$4:$B467=B468),$A$4:$A467),""))</f>
        <v/>
      </c>
      <c r="J468" s="32">
        <f>IF(B468="","",IFERROR(D468/I468,""))</f>
        <v/>
      </c>
      <c r="K468" s="71">
        <f>IF(B468="","",IFERROR(AVERAGEIFS($J$4:$J468,$B$4:$B468,B468,$J$4:$J468,"&gt;"&amp;0),""))</f>
        <v/>
      </c>
      <c r="L468" s="4" t="n"/>
    </row>
    <row r="469" ht="14" customHeight="1" s="72">
      <c r="A469" s="75" t="n">
        <v>46063</v>
      </c>
      <c r="B469" s="76" t="n">
        <v>15051</v>
      </c>
      <c r="C469" s="69">
        <f>IF(B469="","",IFERROR(INDEX(Client_List!$B:$B,MATCH(B469,Client_List!$A:$A,0)),"⚠ NOT FOUND"))</f>
        <v/>
      </c>
      <c r="D469" s="43" t="n">
        <v>383</v>
      </c>
      <c r="E469" s="32">
        <f>IF(B469="","",IFERROR(INDEX(Client_List!$C:$C,MATCH(VALUE(B469),Client_List!$A:$A,0)),""))</f>
        <v/>
      </c>
      <c r="F469" s="53">
        <f>IF(B469="","",IFERROR(INDEX(Client_List!$D:$D,MATCH(VALUE(B469),Client_List!$A:$A,0)),""))</f>
        <v/>
      </c>
      <c r="G469" s="53">
        <f>IF(B469="","",IFERROR(INDEX(Client_List!$K:$K,MATCH(VALUE(B469),Client_List!$A:$A,0)),""))</f>
        <v/>
      </c>
      <c r="H469" s="32">
        <f>IF(B469="","",IFERROR(INDEX(Client_List!$J:$J,MATCH(VALUE(B469),Client_List!$A:$A,0)),""))</f>
        <v/>
      </c>
      <c r="I469" s="70">
        <f>IF(B469="","",IFERROR(A469-LOOKUP(2,1/($B$4:$B468=B469),$A$4:$A468),""))</f>
        <v/>
      </c>
      <c r="J469" s="32">
        <f>IF(B469="","",IFERROR(D469/I469,""))</f>
        <v/>
      </c>
      <c r="K469" s="71">
        <f>IF(B469="","",IFERROR(AVERAGEIFS($J$4:$J469,$B$4:$B469,B469,$J$4:$J469,"&gt;"&amp;0),""))</f>
        <v/>
      </c>
      <c r="L469" s="7" t="n"/>
    </row>
    <row r="470" ht="14" customHeight="1" s="72">
      <c r="A470" s="75" t="n">
        <v>46063</v>
      </c>
      <c r="B470" s="76" t="n">
        <v>16051</v>
      </c>
      <c r="C470" s="69">
        <f>IF(B470="","",IFERROR(INDEX(Client_List!$B:$B,MATCH(B470,Client_List!$A:$A,0)),"⚠ NOT FOUND"))</f>
        <v/>
      </c>
      <c r="D470" s="43" t="n">
        <v>1682</v>
      </c>
      <c r="E470" s="32">
        <f>IF(B470="","",IFERROR(INDEX(Client_List!$C:$C,MATCH(VALUE(B470),Client_List!$A:$A,0)),""))</f>
        <v/>
      </c>
      <c r="F470" s="53">
        <f>IF(B470="","",IFERROR(INDEX(Client_List!$D:$D,MATCH(VALUE(B470),Client_List!$A:$A,0)),""))</f>
        <v/>
      </c>
      <c r="G470" s="53">
        <f>IF(B470="","",IFERROR(INDEX(Client_List!$K:$K,MATCH(VALUE(B470),Client_List!$A:$A,0)),""))</f>
        <v/>
      </c>
      <c r="H470" s="32">
        <f>IF(B470="","",IFERROR(INDEX(Client_List!$J:$J,MATCH(VALUE(B470),Client_List!$A:$A,0)),""))</f>
        <v/>
      </c>
      <c r="I470" s="70">
        <f>IF(B470="","",IFERROR(A470-LOOKUP(2,1/($B$4:$B469=B470),$A$4:$A469),""))</f>
        <v/>
      </c>
      <c r="J470" s="32">
        <f>IF(B470="","",IFERROR(D470/I470,""))</f>
        <v/>
      </c>
      <c r="K470" s="71">
        <f>IF(B470="","",IFERROR(AVERAGEIFS($J$4:$J470,$B$4:$B470,B470,$J$4:$J470,"&gt;"&amp;0),""))</f>
        <v/>
      </c>
      <c r="L470" s="4" t="n"/>
    </row>
    <row r="471" ht="14" customHeight="1" s="72">
      <c r="A471" s="75" t="n">
        <v>46063</v>
      </c>
      <c r="B471" s="76" t="n">
        <v>18054</v>
      </c>
      <c r="C471" s="69">
        <f>IF(B471="","",IFERROR(INDEX(Client_List!$B:$B,MATCH(B471,Client_List!$A:$A,0)),"⚠ NOT FOUND"))</f>
        <v/>
      </c>
      <c r="D471" s="43" t="n">
        <v>1077</v>
      </c>
      <c r="E471" s="32">
        <f>IF(B471="","",IFERROR(INDEX(Client_List!$C:$C,MATCH(VALUE(B471),Client_List!$A:$A,0)),""))</f>
        <v/>
      </c>
      <c r="F471" s="53">
        <f>IF(B471="","",IFERROR(INDEX(Client_List!$D:$D,MATCH(VALUE(B471),Client_List!$A:$A,0)),""))</f>
        <v/>
      </c>
      <c r="G471" s="53">
        <f>IF(B471="","",IFERROR(INDEX(Client_List!$K:$K,MATCH(VALUE(B471),Client_List!$A:$A,0)),""))</f>
        <v/>
      </c>
      <c r="H471" s="32">
        <f>IF(B471="","",IFERROR(INDEX(Client_List!$J:$J,MATCH(VALUE(B471),Client_List!$A:$A,0)),""))</f>
        <v/>
      </c>
      <c r="I471" s="70">
        <f>IF(B471="","",IFERROR(A471-LOOKUP(2,1/($B$4:$B470=B471),$A$4:$A470),""))</f>
        <v/>
      </c>
      <c r="J471" s="32">
        <f>IF(B471="","",IFERROR(D471/I471,""))</f>
        <v/>
      </c>
      <c r="K471" s="71">
        <f>IF(B471="","",IFERROR(AVERAGEIFS($J$4:$J471,$B$4:$B471,B471,$J$4:$J471,"&gt;"&amp;0),""))</f>
        <v/>
      </c>
      <c r="L471" s="7" t="n"/>
    </row>
    <row r="472" ht="14" customHeight="1" s="72">
      <c r="A472" s="75" t="n">
        <v>46063</v>
      </c>
      <c r="B472" s="76" t="n">
        <v>20077</v>
      </c>
      <c r="C472" s="69">
        <f>IF(B472="","",IFERROR(INDEX(Client_List!$B:$B,MATCH(B472,Client_List!$A:$A,0)),"⚠ NOT FOUND"))</f>
        <v/>
      </c>
      <c r="D472" s="43" t="n">
        <v>478</v>
      </c>
      <c r="E472" s="32">
        <f>IF(B472="","",IFERROR(INDEX(Client_List!$C:$C,MATCH(VALUE(B472),Client_List!$A:$A,0)),""))</f>
        <v/>
      </c>
      <c r="F472" s="53">
        <f>IF(B472="","",IFERROR(INDEX(Client_List!$D:$D,MATCH(VALUE(B472),Client_List!$A:$A,0)),""))</f>
        <v/>
      </c>
      <c r="G472" s="53">
        <f>IF(B472="","",IFERROR(INDEX(Client_List!$K:$K,MATCH(VALUE(B472),Client_List!$A:$A,0)),""))</f>
        <v/>
      </c>
      <c r="H472" s="32">
        <f>IF(B472="","",IFERROR(INDEX(Client_List!$J:$J,MATCH(VALUE(B472),Client_List!$A:$A,0)),""))</f>
        <v/>
      </c>
      <c r="I472" s="70">
        <f>IF(B472="","",IFERROR(A472-LOOKUP(2,1/($B$4:$B471=B472),$A$4:$A471),""))</f>
        <v/>
      </c>
      <c r="J472" s="32">
        <f>IF(B472="","",IFERROR(D472/I472,""))</f>
        <v/>
      </c>
      <c r="K472" s="71">
        <f>IF(B472="","",IFERROR(AVERAGEIFS($J$4:$J472,$B$4:$B472,B472,$J$4:$J472,"&gt;"&amp;0),""))</f>
        <v/>
      </c>
      <c r="L472" s="4" t="n"/>
    </row>
    <row r="473" ht="14" customHeight="1" s="72">
      <c r="A473" s="75" t="n">
        <v>46063</v>
      </c>
      <c r="B473" s="76" t="n">
        <v>20088</v>
      </c>
      <c r="C473" s="69">
        <f>IF(B473="","",IFERROR(INDEX(Client_List!$B:$B,MATCH(B473,Client_List!$A:$A,0)),"⚠ NOT FOUND"))</f>
        <v/>
      </c>
      <c r="D473" s="43" t="n">
        <v>1050</v>
      </c>
      <c r="E473" s="32">
        <f>IF(B473="","",IFERROR(INDEX(Client_List!$C:$C,MATCH(VALUE(B473),Client_List!$A:$A,0)),""))</f>
        <v/>
      </c>
      <c r="F473" s="53">
        <f>IF(B473="","",IFERROR(INDEX(Client_List!$D:$D,MATCH(VALUE(B473),Client_List!$A:$A,0)),""))</f>
        <v/>
      </c>
      <c r="G473" s="53">
        <f>IF(B473="","",IFERROR(INDEX(Client_List!$K:$K,MATCH(VALUE(B473),Client_List!$A:$A,0)),""))</f>
        <v/>
      </c>
      <c r="H473" s="32">
        <f>IF(B473="","",IFERROR(INDEX(Client_List!$J:$J,MATCH(VALUE(B473),Client_List!$A:$A,0)),""))</f>
        <v/>
      </c>
      <c r="I473" s="70">
        <f>IF(B473="","",IFERROR(A473-LOOKUP(2,1/($B$4:$B472=B473),$A$4:$A472),""))</f>
        <v/>
      </c>
      <c r="J473" s="32">
        <f>IF(B473="","",IFERROR(D473/I473,""))</f>
        <v/>
      </c>
      <c r="K473" s="71">
        <f>IF(B473="","",IFERROR(AVERAGEIFS($J$4:$J473,$B$4:$B473,B473,$J$4:$J473,"&gt;"&amp;0),""))</f>
        <v/>
      </c>
      <c r="L473" s="7" t="n"/>
    </row>
    <row r="474" ht="14" customHeight="1" s="72">
      <c r="A474" s="75" t="n">
        <v>46064</v>
      </c>
      <c r="B474" s="76" t="n">
        <v>1081</v>
      </c>
      <c r="C474" s="69">
        <f>IF(B474="","",IFERROR(INDEX(Client_List!$B:$B,MATCH(B474,Client_List!$A:$A,0)),"⚠ NOT FOUND"))</f>
        <v/>
      </c>
      <c r="D474" s="43" t="n">
        <v>354</v>
      </c>
      <c r="E474" s="32">
        <f>IF(B474="","",IFERROR(INDEX(Client_List!$C:$C,MATCH(VALUE(B474),Client_List!$A:$A,0)),""))</f>
        <v/>
      </c>
      <c r="F474" s="53">
        <f>IF(B474="","",IFERROR(INDEX(Client_List!$D:$D,MATCH(VALUE(B474),Client_List!$A:$A,0)),""))</f>
        <v/>
      </c>
      <c r="G474" s="53">
        <f>IF(B474="","",IFERROR(INDEX(Client_List!$K:$K,MATCH(VALUE(B474),Client_List!$A:$A,0)),""))</f>
        <v/>
      </c>
      <c r="H474" s="32">
        <f>IF(B474="","",IFERROR(INDEX(Client_List!$J:$J,MATCH(VALUE(B474),Client_List!$A:$A,0)),""))</f>
        <v/>
      </c>
      <c r="I474" s="70">
        <f>IF(B474="","",IFERROR(A474-LOOKUP(2,1/($B$4:$B473=B474),$A$4:$A473),""))</f>
        <v/>
      </c>
      <c r="J474" s="32">
        <f>IF(B474="","",IFERROR(D474/I474,""))</f>
        <v/>
      </c>
      <c r="K474" s="71">
        <f>IF(B474="","",IFERROR(AVERAGEIFS($J$4:$J474,$B$4:$B474,B474,$J$4:$J474,"&gt;"&amp;0),""))</f>
        <v/>
      </c>
      <c r="L474" s="4" t="n"/>
    </row>
    <row r="475" ht="14" customHeight="1" s="72">
      <c r="A475" s="75" t="n">
        <v>46064</v>
      </c>
      <c r="B475" s="76" t="n">
        <v>3063</v>
      </c>
      <c r="C475" s="69">
        <f>IF(B475="","",IFERROR(INDEX(Client_List!$B:$B,MATCH(B475,Client_List!$A:$A,0)),"⚠ NOT FOUND"))</f>
        <v/>
      </c>
      <c r="D475" s="43" t="n">
        <v>1809</v>
      </c>
      <c r="E475" s="32">
        <f>IF(B475="","",IFERROR(INDEX(Client_List!$C:$C,MATCH(VALUE(B475),Client_List!$A:$A,0)),""))</f>
        <v/>
      </c>
      <c r="F475" s="53">
        <f>IF(B475="","",IFERROR(INDEX(Client_List!$D:$D,MATCH(VALUE(B475),Client_List!$A:$A,0)),""))</f>
        <v/>
      </c>
      <c r="G475" s="53">
        <f>IF(B475="","",IFERROR(INDEX(Client_List!$K:$K,MATCH(VALUE(B475),Client_List!$A:$A,0)),""))</f>
        <v/>
      </c>
      <c r="H475" s="32">
        <f>IF(B475="","",IFERROR(INDEX(Client_List!$J:$J,MATCH(VALUE(B475),Client_List!$A:$A,0)),""))</f>
        <v/>
      </c>
      <c r="I475" s="70">
        <f>IF(B475="","",IFERROR(A475-LOOKUP(2,1/($B$4:$B474=B475),$A$4:$A474),""))</f>
        <v/>
      </c>
      <c r="J475" s="32">
        <f>IF(B475="","",IFERROR(D475/I475,""))</f>
        <v/>
      </c>
      <c r="K475" s="71">
        <f>IF(B475="","",IFERROR(AVERAGEIFS($J$4:$J475,$B$4:$B475,B475,$J$4:$J475,"&gt;"&amp;0),""))</f>
        <v/>
      </c>
      <c r="L475" s="7" t="n"/>
    </row>
    <row r="476" ht="14" customHeight="1" s="72">
      <c r="A476" s="75" t="n">
        <v>46064</v>
      </c>
      <c r="B476" s="76" t="n">
        <v>6077</v>
      </c>
      <c r="C476" s="69">
        <f>IF(B476="","",IFERROR(INDEX(Client_List!$B:$B,MATCH(B476,Client_List!$A:$A,0)),"⚠ NOT FOUND"))</f>
        <v/>
      </c>
      <c r="D476" s="43" t="n">
        <v>2049</v>
      </c>
      <c r="E476" s="32">
        <f>IF(B476="","",IFERROR(INDEX(Client_List!$C:$C,MATCH(VALUE(B476),Client_List!$A:$A,0)),""))</f>
        <v/>
      </c>
      <c r="F476" s="53">
        <f>IF(B476="","",IFERROR(INDEX(Client_List!$D:$D,MATCH(VALUE(B476),Client_List!$A:$A,0)),""))</f>
        <v/>
      </c>
      <c r="G476" s="53">
        <f>IF(B476="","",IFERROR(INDEX(Client_List!$K:$K,MATCH(VALUE(B476),Client_List!$A:$A,0)),""))</f>
        <v/>
      </c>
      <c r="H476" s="32">
        <f>IF(B476="","",IFERROR(INDEX(Client_List!$J:$J,MATCH(VALUE(B476),Client_List!$A:$A,0)),""))</f>
        <v/>
      </c>
      <c r="I476" s="70">
        <f>IF(B476="","",IFERROR(A476-LOOKUP(2,1/($B$4:$B475=B476),$A$4:$A475),""))</f>
        <v/>
      </c>
      <c r="J476" s="32">
        <f>IF(B476="","",IFERROR(D476/I476,""))</f>
        <v/>
      </c>
      <c r="K476" s="71">
        <f>IF(B476="","",IFERROR(AVERAGEIFS($J$4:$J476,$B$4:$B476,B476,$J$4:$J476,"&gt;"&amp;0),""))</f>
        <v/>
      </c>
      <c r="L476" s="4" t="n"/>
    </row>
    <row r="477" ht="14" customHeight="1" s="72">
      <c r="A477" s="75" t="n">
        <v>46064</v>
      </c>
      <c r="B477" s="76" t="n">
        <v>6109</v>
      </c>
      <c r="C477" s="69">
        <f>IF(B477="","",IFERROR(INDEX(Client_List!$B:$B,MATCH(B477,Client_List!$A:$A,0)),"⚠ NOT FOUND"))</f>
        <v/>
      </c>
      <c r="D477" s="43" t="n">
        <v>556</v>
      </c>
      <c r="E477" s="32">
        <f>IF(B477="","",IFERROR(INDEX(Client_List!$C:$C,MATCH(VALUE(B477),Client_List!$A:$A,0)),""))</f>
        <v/>
      </c>
      <c r="F477" s="53">
        <f>IF(B477="","",IFERROR(INDEX(Client_List!$D:$D,MATCH(VALUE(B477),Client_List!$A:$A,0)),""))</f>
        <v/>
      </c>
      <c r="G477" s="53">
        <f>IF(B477="","",IFERROR(INDEX(Client_List!$K:$K,MATCH(VALUE(B477),Client_List!$A:$A,0)),""))</f>
        <v/>
      </c>
      <c r="H477" s="32">
        <f>IF(B477="","",IFERROR(INDEX(Client_List!$J:$J,MATCH(VALUE(B477),Client_List!$A:$A,0)),""))</f>
        <v/>
      </c>
      <c r="I477" s="70">
        <f>IF(B477="","",IFERROR(A477-LOOKUP(2,1/($B$4:$B476=B477),$A$4:$A476),""))</f>
        <v/>
      </c>
      <c r="J477" s="32">
        <f>IF(B477="","",IFERROR(D477/I477,""))</f>
        <v/>
      </c>
      <c r="K477" s="71">
        <f>IF(B477="","",IFERROR(AVERAGEIFS($J$4:$J477,$B$4:$B477,B477,$J$4:$J477,"&gt;"&amp;0),""))</f>
        <v/>
      </c>
      <c r="L477" s="7" t="n"/>
    </row>
    <row r="478" ht="14" customHeight="1" s="72">
      <c r="A478" s="75" t="n">
        <v>46064</v>
      </c>
      <c r="B478" s="76" t="n">
        <v>10001</v>
      </c>
      <c r="C478" s="69">
        <f>IF(B478="","",IFERROR(INDEX(Client_List!$B:$B,MATCH(B478,Client_List!$A:$A,0)),"⚠ NOT FOUND"))</f>
        <v/>
      </c>
      <c r="D478" s="43" t="n">
        <v>828</v>
      </c>
      <c r="E478" s="32">
        <f>IF(B478="","",IFERROR(INDEX(Client_List!$C:$C,MATCH(VALUE(B478),Client_List!$A:$A,0)),""))</f>
        <v/>
      </c>
      <c r="F478" s="53">
        <f>IF(B478="","",IFERROR(INDEX(Client_List!$D:$D,MATCH(VALUE(B478),Client_List!$A:$A,0)),""))</f>
        <v/>
      </c>
      <c r="G478" s="53">
        <f>IF(B478="","",IFERROR(INDEX(Client_List!$K:$K,MATCH(VALUE(B478),Client_List!$A:$A,0)),""))</f>
        <v/>
      </c>
      <c r="H478" s="32">
        <f>IF(B478="","",IFERROR(INDEX(Client_List!$J:$J,MATCH(VALUE(B478),Client_List!$A:$A,0)),""))</f>
        <v/>
      </c>
      <c r="I478" s="70">
        <f>IF(B478="","",IFERROR(A478-LOOKUP(2,1/($B$4:$B477=B478),$A$4:$A477),""))</f>
        <v/>
      </c>
      <c r="J478" s="32">
        <f>IF(B478="","",IFERROR(D478/I478,""))</f>
        <v/>
      </c>
      <c r="K478" s="71">
        <f>IF(B478="","",IFERROR(AVERAGEIFS($J$4:$J478,$B$4:$B478,B478,$J$4:$J478,"&gt;"&amp;0),""))</f>
        <v/>
      </c>
      <c r="L478" s="4" t="n"/>
    </row>
    <row r="479" ht="14" customHeight="1" s="72">
      <c r="A479" s="75" t="n">
        <v>46064</v>
      </c>
      <c r="B479" s="76" t="n">
        <v>12051</v>
      </c>
      <c r="C479" s="69">
        <f>IF(B479="","",IFERROR(INDEX(Client_List!$B:$B,MATCH(B479,Client_List!$A:$A,0)),"⚠ NOT FOUND"))</f>
        <v/>
      </c>
      <c r="D479" s="43" t="n">
        <v>962</v>
      </c>
      <c r="E479" s="32">
        <f>IF(B479="","",IFERROR(INDEX(Client_List!$C:$C,MATCH(VALUE(B479),Client_List!$A:$A,0)),""))</f>
        <v/>
      </c>
      <c r="F479" s="53">
        <f>IF(B479="","",IFERROR(INDEX(Client_List!$D:$D,MATCH(VALUE(B479),Client_List!$A:$A,0)),""))</f>
        <v/>
      </c>
      <c r="G479" s="53">
        <f>IF(B479="","",IFERROR(INDEX(Client_List!$K:$K,MATCH(VALUE(B479),Client_List!$A:$A,0)),""))</f>
        <v/>
      </c>
      <c r="H479" s="32">
        <f>IF(B479="","",IFERROR(INDEX(Client_List!$J:$J,MATCH(VALUE(B479),Client_List!$A:$A,0)),""))</f>
        <v/>
      </c>
      <c r="I479" s="70">
        <f>IF(B479="","",IFERROR(A479-LOOKUP(2,1/($B$4:$B478=B479),$A$4:$A478),""))</f>
        <v/>
      </c>
      <c r="J479" s="32">
        <f>IF(B479="","",IFERROR(D479/I479,""))</f>
        <v/>
      </c>
      <c r="K479" s="71">
        <f>IF(B479="","",IFERROR(AVERAGEIFS($J$4:$J479,$B$4:$B479,B479,$J$4:$J479,"&gt;"&amp;0),""))</f>
        <v/>
      </c>
      <c r="L479" s="7" t="n"/>
    </row>
    <row r="480" ht="14" customHeight="1" s="72">
      <c r="A480" s="75" t="n">
        <v>46064</v>
      </c>
      <c r="B480" s="76" t="n">
        <v>16006</v>
      </c>
      <c r="C480" s="69">
        <f>IF(B480="","",IFERROR(INDEX(Client_List!$B:$B,MATCH(B480,Client_List!$A:$A,0)),"⚠ NOT FOUND"))</f>
        <v/>
      </c>
      <c r="D480" s="43" t="n">
        <v>934</v>
      </c>
      <c r="E480" s="32">
        <f>IF(B480="","",IFERROR(INDEX(Client_List!$C:$C,MATCH(VALUE(B480),Client_List!$A:$A,0)),""))</f>
        <v/>
      </c>
      <c r="F480" s="53">
        <f>IF(B480="","",IFERROR(INDEX(Client_List!$D:$D,MATCH(VALUE(B480),Client_List!$A:$A,0)),""))</f>
        <v/>
      </c>
      <c r="G480" s="53">
        <f>IF(B480="","",IFERROR(INDEX(Client_List!$K:$K,MATCH(VALUE(B480),Client_List!$A:$A,0)),""))</f>
        <v/>
      </c>
      <c r="H480" s="32">
        <f>IF(B480="","",IFERROR(INDEX(Client_List!$J:$J,MATCH(VALUE(B480),Client_List!$A:$A,0)),""))</f>
        <v/>
      </c>
      <c r="I480" s="70">
        <f>IF(B480="","",IFERROR(A480-LOOKUP(2,1/($B$4:$B479=B480),$A$4:$A479),""))</f>
        <v/>
      </c>
      <c r="J480" s="32">
        <f>IF(B480="","",IFERROR(D480/I480,""))</f>
        <v/>
      </c>
      <c r="K480" s="71">
        <f>IF(B480="","",IFERROR(AVERAGEIFS($J$4:$J480,$B$4:$B480,B480,$J$4:$J480,"&gt;"&amp;0),""))</f>
        <v/>
      </c>
      <c r="L480" s="4" t="n"/>
    </row>
    <row r="481" ht="14" customHeight="1" s="72">
      <c r="A481" s="75" t="n">
        <v>46064</v>
      </c>
      <c r="B481" s="76" t="n">
        <v>18031</v>
      </c>
      <c r="C481" s="69">
        <f>IF(B481="","",IFERROR(INDEX(Client_List!$B:$B,MATCH(B481,Client_List!$A:$A,0)),"⚠ NOT FOUND"))</f>
        <v/>
      </c>
      <c r="D481" s="43" t="n">
        <v>413</v>
      </c>
      <c r="E481" s="32">
        <f>IF(B481="","",IFERROR(INDEX(Client_List!$C:$C,MATCH(VALUE(B481),Client_List!$A:$A,0)),""))</f>
        <v/>
      </c>
      <c r="F481" s="53">
        <f>IF(B481="","",IFERROR(INDEX(Client_List!$D:$D,MATCH(VALUE(B481),Client_List!$A:$A,0)),""))</f>
        <v/>
      </c>
      <c r="G481" s="53">
        <f>IF(B481="","",IFERROR(INDEX(Client_List!$K:$K,MATCH(VALUE(B481),Client_List!$A:$A,0)),""))</f>
        <v/>
      </c>
      <c r="H481" s="32">
        <f>IF(B481="","",IFERROR(INDEX(Client_List!$J:$J,MATCH(VALUE(B481),Client_List!$A:$A,0)),""))</f>
        <v/>
      </c>
      <c r="I481" s="70">
        <f>IF(B481="","",IFERROR(A481-LOOKUP(2,1/($B$4:$B480=B481),$A$4:$A480),""))</f>
        <v/>
      </c>
      <c r="J481" s="32">
        <f>IF(B481="","",IFERROR(D481/I481,""))</f>
        <v/>
      </c>
      <c r="K481" s="71">
        <f>IF(B481="","",IFERROR(AVERAGEIFS($J$4:$J481,$B$4:$B481,B481,$J$4:$J481,"&gt;"&amp;0),""))</f>
        <v/>
      </c>
      <c r="L481" s="7" t="n"/>
    </row>
    <row r="482" ht="14" customHeight="1" s="72">
      <c r="A482" s="75" t="n">
        <v>46065</v>
      </c>
      <c r="B482" s="76" t="n">
        <v>1083</v>
      </c>
      <c r="C482" s="69">
        <f>IF(B482="","",IFERROR(INDEX(Client_List!$B:$B,MATCH(B482,Client_List!$A:$A,0)),"⚠ NOT FOUND"))</f>
        <v/>
      </c>
      <c r="D482" s="43" t="n">
        <v>165</v>
      </c>
      <c r="E482" s="32">
        <f>IF(B482="","",IFERROR(INDEX(Client_List!$C:$C,MATCH(VALUE(B482),Client_List!$A:$A,0)),""))</f>
        <v/>
      </c>
      <c r="F482" s="53">
        <f>IF(B482="","",IFERROR(INDEX(Client_List!$D:$D,MATCH(VALUE(B482),Client_List!$A:$A,0)),""))</f>
        <v/>
      </c>
      <c r="G482" s="53">
        <f>IF(B482="","",IFERROR(INDEX(Client_List!$K:$K,MATCH(VALUE(B482),Client_List!$A:$A,0)),""))</f>
        <v/>
      </c>
      <c r="H482" s="32">
        <f>IF(B482="","",IFERROR(INDEX(Client_List!$J:$J,MATCH(VALUE(B482),Client_List!$A:$A,0)),""))</f>
        <v/>
      </c>
      <c r="I482" s="70">
        <f>IF(B482="","",IFERROR(A482-LOOKUP(2,1/($B$4:$B481=B482),$A$4:$A481),""))</f>
        <v/>
      </c>
      <c r="J482" s="32">
        <f>IF(B482="","",IFERROR(D482/I482,""))</f>
        <v/>
      </c>
      <c r="K482" s="71">
        <f>IF(B482="","",IFERROR(AVERAGEIFS($J$4:$J482,$B$4:$B482,B482,$J$4:$J482,"&gt;"&amp;0),""))</f>
        <v/>
      </c>
      <c r="L482" s="4" t="n"/>
    </row>
    <row r="483" ht="14" customHeight="1" s="72">
      <c r="A483" s="75" t="n">
        <v>46065</v>
      </c>
      <c r="B483" s="76" t="n">
        <v>3069</v>
      </c>
      <c r="C483" s="69">
        <f>IF(B483="","",IFERROR(INDEX(Client_List!$B:$B,MATCH(B483,Client_List!$A:$A,0)),"⚠ NOT FOUND"))</f>
        <v/>
      </c>
      <c r="D483" s="43" t="n">
        <v>882</v>
      </c>
      <c r="E483" s="32">
        <f>IF(B483="","",IFERROR(INDEX(Client_List!$C:$C,MATCH(VALUE(B483),Client_List!$A:$A,0)),""))</f>
        <v/>
      </c>
      <c r="F483" s="53">
        <f>IF(B483="","",IFERROR(INDEX(Client_List!$D:$D,MATCH(VALUE(B483),Client_List!$A:$A,0)),""))</f>
        <v/>
      </c>
      <c r="G483" s="53">
        <f>IF(B483="","",IFERROR(INDEX(Client_List!$K:$K,MATCH(VALUE(B483),Client_List!$A:$A,0)),""))</f>
        <v/>
      </c>
      <c r="H483" s="32">
        <f>IF(B483="","",IFERROR(INDEX(Client_List!$J:$J,MATCH(VALUE(B483),Client_List!$A:$A,0)),""))</f>
        <v/>
      </c>
      <c r="I483" s="70">
        <f>IF(B483="","",IFERROR(A483-LOOKUP(2,1/($B$4:$B482=B483),$A$4:$A482),""))</f>
        <v/>
      </c>
      <c r="J483" s="32">
        <f>IF(B483="","",IFERROR(D483/I483,""))</f>
        <v/>
      </c>
      <c r="K483" s="71">
        <f>IF(B483="","",IFERROR(AVERAGEIFS($J$4:$J483,$B$4:$B483,B483,$J$4:$J483,"&gt;"&amp;0),""))</f>
        <v/>
      </c>
      <c r="L483" s="7" t="n"/>
    </row>
    <row r="484" ht="14" customHeight="1" s="72">
      <c r="A484" s="75" t="n">
        <v>46065</v>
      </c>
      <c r="B484" s="76" t="n">
        <v>4010</v>
      </c>
      <c r="C484" s="69">
        <f>IF(B484="","",IFERROR(INDEX(Client_List!$B:$B,MATCH(B484,Client_List!$A:$A,0)),"⚠ NOT FOUND"))</f>
        <v/>
      </c>
      <c r="D484" s="43" t="n">
        <v>485</v>
      </c>
      <c r="E484" s="32">
        <f>IF(B484="","",IFERROR(INDEX(Client_List!$C:$C,MATCH(VALUE(B484),Client_List!$A:$A,0)),""))</f>
        <v/>
      </c>
      <c r="F484" s="53">
        <f>IF(B484="","",IFERROR(INDEX(Client_List!$D:$D,MATCH(VALUE(B484),Client_List!$A:$A,0)),""))</f>
        <v/>
      </c>
      <c r="G484" s="53">
        <f>IF(B484="","",IFERROR(INDEX(Client_List!$K:$K,MATCH(VALUE(B484),Client_List!$A:$A,0)),""))</f>
        <v/>
      </c>
      <c r="H484" s="32">
        <f>IF(B484="","",IFERROR(INDEX(Client_List!$J:$J,MATCH(VALUE(B484),Client_List!$A:$A,0)),""))</f>
        <v/>
      </c>
      <c r="I484" s="70">
        <f>IF(B484="","",IFERROR(A484-LOOKUP(2,1/($B$4:$B483=B484),$A$4:$A483),""))</f>
        <v/>
      </c>
      <c r="J484" s="32">
        <f>IF(B484="","",IFERROR(D484/I484,""))</f>
        <v/>
      </c>
      <c r="K484" s="71">
        <f>IF(B484="","",IFERROR(AVERAGEIFS($J$4:$J484,$B$4:$B484,B484,$J$4:$J484,"&gt;"&amp;0),""))</f>
        <v/>
      </c>
      <c r="L484" s="4" t="n"/>
    </row>
    <row r="485" ht="14" customHeight="1" s="72">
      <c r="A485" s="75" t="n">
        <v>46065</v>
      </c>
      <c r="B485" s="76" t="n">
        <v>4014</v>
      </c>
      <c r="C485" s="69">
        <f>IF(B485="","",IFERROR(INDEX(Client_List!$B:$B,MATCH(B485,Client_List!$A:$A,0)),"⚠ NOT FOUND"))</f>
        <v/>
      </c>
      <c r="D485" s="43" t="n">
        <v>408</v>
      </c>
      <c r="E485" s="32">
        <f>IF(B485="","",IFERROR(INDEX(Client_List!$C:$C,MATCH(VALUE(B485),Client_List!$A:$A,0)),""))</f>
        <v/>
      </c>
      <c r="F485" s="53">
        <f>IF(B485="","",IFERROR(INDEX(Client_List!$D:$D,MATCH(VALUE(B485),Client_List!$A:$A,0)),""))</f>
        <v/>
      </c>
      <c r="G485" s="53">
        <f>IF(B485="","",IFERROR(INDEX(Client_List!$K:$K,MATCH(VALUE(B485),Client_List!$A:$A,0)),""))</f>
        <v/>
      </c>
      <c r="H485" s="32">
        <f>IF(B485="","",IFERROR(INDEX(Client_List!$J:$J,MATCH(VALUE(B485),Client_List!$A:$A,0)),""))</f>
        <v/>
      </c>
      <c r="I485" s="70">
        <f>IF(B485="","",IFERROR(A485-LOOKUP(2,1/($B$4:$B484=B485),$A$4:$A484),""))</f>
        <v/>
      </c>
      <c r="J485" s="32">
        <f>IF(B485="","",IFERROR(D485/I485,""))</f>
        <v/>
      </c>
      <c r="K485" s="71">
        <f>IF(B485="","",IFERROR(AVERAGEIFS($J$4:$J485,$B$4:$B485,B485,$J$4:$J485,"&gt;"&amp;0),""))</f>
        <v/>
      </c>
      <c r="L485" s="7" t="n"/>
    </row>
    <row r="486" ht="14" customHeight="1" s="72">
      <c r="A486" s="75" t="n">
        <v>46065</v>
      </c>
      <c r="B486" s="76" t="n">
        <v>7052</v>
      </c>
      <c r="C486" s="69">
        <f>IF(B486="","",IFERROR(INDEX(Client_List!$B:$B,MATCH(B486,Client_List!$A:$A,0)),"⚠ NOT FOUND"))</f>
        <v/>
      </c>
      <c r="D486" s="43" t="n">
        <v>78</v>
      </c>
      <c r="E486" s="32">
        <f>IF(B486="","",IFERROR(INDEX(Client_List!$C:$C,MATCH(VALUE(B486),Client_List!$A:$A,0)),""))</f>
        <v/>
      </c>
      <c r="F486" s="53">
        <f>IF(B486="","",IFERROR(INDEX(Client_List!$D:$D,MATCH(VALUE(B486),Client_List!$A:$A,0)),""))</f>
        <v/>
      </c>
      <c r="G486" s="53">
        <f>IF(B486="","",IFERROR(INDEX(Client_List!$K:$K,MATCH(VALUE(B486),Client_List!$A:$A,0)),""))</f>
        <v/>
      </c>
      <c r="H486" s="32">
        <f>IF(B486="","",IFERROR(INDEX(Client_List!$J:$J,MATCH(VALUE(B486),Client_List!$A:$A,0)),""))</f>
        <v/>
      </c>
      <c r="I486" s="70">
        <f>IF(B486="","",IFERROR(A486-LOOKUP(2,1/($B$4:$B485=B486),$A$4:$A485),""))</f>
        <v/>
      </c>
      <c r="J486" s="32">
        <f>IF(B486="","",IFERROR(D486/I486,""))</f>
        <v/>
      </c>
      <c r="K486" s="71">
        <f>IF(B486="","",IFERROR(AVERAGEIFS($J$4:$J486,$B$4:$B486,B486,$J$4:$J486,"&gt;"&amp;0),""))</f>
        <v/>
      </c>
      <c r="L486" s="4" t="n"/>
    </row>
    <row r="487" ht="14" customHeight="1" s="72">
      <c r="A487" s="75" t="n">
        <v>46065</v>
      </c>
      <c r="B487" s="76" t="n">
        <v>7053</v>
      </c>
      <c r="C487" s="69">
        <f>IF(B487="","",IFERROR(INDEX(Client_List!$B:$B,MATCH(B487,Client_List!$A:$A,0)),"⚠ NOT FOUND"))</f>
        <v/>
      </c>
      <c r="D487" s="43" t="n">
        <v>300</v>
      </c>
      <c r="E487" s="32">
        <f>IF(B487="","",IFERROR(INDEX(Client_List!$C:$C,MATCH(VALUE(B487),Client_List!$A:$A,0)),""))</f>
        <v/>
      </c>
      <c r="F487" s="53">
        <f>IF(B487="","",IFERROR(INDEX(Client_List!$D:$D,MATCH(VALUE(B487),Client_List!$A:$A,0)),""))</f>
        <v/>
      </c>
      <c r="G487" s="53">
        <f>IF(B487="","",IFERROR(INDEX(Client_List!$K:$K,MATCH(VALUE(B487),Client_List!$A:$A,0)),""))</f>
        <v/>
      </c>
      <c r="H487" s="32">
        <f>IF(B487="","",IFERROR(INDEX(Client_List!$J:$J,MATCH(VALUE(B487),Client_List!$A:$A,0)),""))</f>
        <v/>
      </c>
      <c r="I487" s="70">
        <f>IF(B487="","",IFERROR(A487-LOOKUP(2,1/($B$4:$B486=B487),$A$4:$A486),""))</f>
        <v/>
      </c>
      <c r="J487" s="32">
        <f>IF(B487="","",IFERROR(D487/I487,""))</f>
        <v/>
      </c>
      <c r="K487" s="71">
        <f>IF(B487="","",IFERROR(AVERAGEIFS($J$4:$J487,$B$4:$B487,B487,$J$4:$J487,"&gt;"&amp;0),""))</f>
        <v/>
      </c>
      <c r="L487" s="7" t="n"/>
    </row>
    <row r="488" ht="14" customHeight="1" s="72">
      <c r="A488" s="75" t="n">
        <v>46065</v>
      </c>
      <c r="B488" s="76" t="n">
        <v>14008</v>
      </c>
      <c r="C488" s="69">
        <f>IF(B488="","",IFERROR(INDEX(Client_List!$B:$B,MATCH(B488,Client_List!$A:$A,0)),"⚠ NOT FOUND"))</f>
        <v/>
      </c>
      <c r="D488" s="43" t="n">
        <v>1705</v>
      </c>
      <c r="E488" s="32">
        <f>IF(B488="","",IFERROR(INDEX(Client_List!$C:$C,MATCH(VALUE(B488),Client_List!$A:$A,0)),""))</f>
        <v/>
      </c>
      <c r="F488" s="53">
        <f>IF(B488="","",IFERROR(INDEX(Client_List!$D:$D,MATCH(VALUE(B488),Client_List!$A:$A,0)),""))</f>
        <v/>
      </c>
      <c r="G488" s="53">
        <f>IF(B488="","",IFERROR(INDEX(Client_List!$K:$K,MATCH(VALUE(B488),Client_List!$A:$A,0)),""))</f>
        <v/>
      </c>
      <c r="H488" s="32">
        <f>IF(B488="","",IFERROR(INDEX(Client_List!$J:$J,MATCH(VALUE(B488),Client_List!$A:$A,0)),""))</f>
        <v/>
      </c>
      <c r="I488" s="70">
        <f>IF(B488="","",IFERROR(A488-LOOKUP(2,1/($B$4:$B487=B488),$A$4:$A487),""))</f>
        <v/>
      </c>
      <c r="J488" s="32">
        <f>IF(B488="","",IFERROR(D488/I488,""))</f>
        <v/>
      </c>
      <c r="K488" s="71">
        <f>IF(B488="","",IFERROR(AVERAGEIFS($J$4:$J488,$B$4:$B488,B488,$J$4:$J488,"&gt;"&amp;0),""))</f>
        <v/>
      </c>
      <c r="L488" s="4" t="n"/>
    </row>
    <row r="489" ht="14" customHeight="1" s="72">
      <c r="A489" s="75" t="n">
        <v>46065</v>
      </c>
      <c r="B489" s="76" t="n">
        <v>15015</v>
      </c>
      <c r="C489" s="69">
        <f>IF(B489="","",IFERROR(INDEX(Client_List!$B:$B,MATCH(B489,Client_List!$A:$A,0)),"⚠ NOT FOUND"))</f>
        <v/>
      </c>
      <c r="D489" s="43" t="n">
        <v>456</v>
      </c>
      <c r="E489" s="32">
        <f>IF(B489="","",IFERROR(INDEX(Client_List!$C:$C,MATCH(VALUE(B489),Client_List!$A:$A,0)),""))</f>
        <v/>
      </c>
      <c r="F489" s="53">
        <f>IF(B489="","",IFERROR(INDEX(Client_List!$D:$D,MATCH(VALUE(B489),Client_List!$A:$A,0)),""))</f>
        <v/>
      </c>
      <c r="G489" s="53">
        <f>IF(B489="","",IFERROR(INDEX(Client_List!$K:$K,MATCH(VALUE(B489),Client_List!$A:$A,0)),""))</f>
        <v/>
      </c>
      <c r="H489" s="32">
        <f>IF(B489="","",IFERROR(INDEX(Client_List!$J:$J,MATCH(VALUE(B489),Client_List!$A:$A,0)),""))</f>
        <v/>
      </c>
      <c r="I489" s="70">
        <f>IF(B489="","",IFERROR(A489-LOOKUP(2,1/($B$4:$B488=B489),$A$4:$A488),""))</f>
        <v/>
      </c>
      <c r="J489" s="32">
        <f>IF(B489="","",IFERROR(D489/I489,""))</f>
        <v/>
      </c>
      <c r="K489" s="71">
        <f>IF(B489="","",IFERROR(AVERAGEIFS($J$4:$J489,$B$4:$B489,B489,$J$4:$J489,"&gt;"&amp;0),""))</f>
        <v/>
      </c>
      <c r="L489" s="7" t="n"/>
    </row>
    <row r="490" ht="14" customHeight="1" s="72">
      <c r="A490" s="75" t="n">
        <v>46065</v>
      </c>
      <c r="B490" s="76" t="n">
        <v>15026</v>
      </c>
      <c r="C490" s="69">
        <f>IF(B490="","",IFERROR(INDEX(Client_List!$B:$B,MATCH(B490,Client_List!$A:$A,0)),"⚠ NOT FOUND"))</f>
        <v/>
      </c>
      <c r="D490" s="43" t="n">
        <v>383</v>
      </c>
      <c r="E490" s="32">
        <f>IF(B490="","",IFERROR(INDEX(Client_List!$C:$C,MATCH(VALUE(B490),Client_List!$A:$A,0)),""))</f>
        <v/>
      </c>
      <c r="F490" s="53">
        <f>IF(B490="","",IFERROR(INDEX(Client_List!$D:$D,MATCH(VALUE(B490),Client_List!$A:$A,0)),""))</f>
        <v/>
      </c>
      <c r="G490" s="53">
        <f>IF(B490="","",IFERROR(INDEX(Client_List!$K:$K,MATCH(VALUE(B490),Client_List!$A:$A,0)),""))</f>
        <v/>
      </c>
      <c r="H490" s="32">
        <f>IF(B490="","",IFERROR(INDEX(Client_List!$J:$J,MATCH(VALUE(B490),Client_List!$A:$A,0)),""))</f>
        <v/>
      </c>
      <c r="I490" s="70">
        <f>IF(B490="","",IFERROR(A490-LOOKUP(2,1/($B$4:$B489=B490),$A$4:$A489),""))</f>
        <v/>
      </c>
      <c r="J490" s="32">
        <f>IF(B490="","",IFERROR(D490/I490,""))</f>
        <v/>
      </c>
      <c r="K490" s="71">
        <f>IF(B490="","",IFERROR(AVERAGEIFS($J$4:$J490,$B$4:$B490,B490,$J$4:$J490,"&gt;"&amp;0),""))</f>
        <v/>
      </c>
      <c r="L490" s="4" t="n"/>
    </row>
    <row r="491" ht="14" customHeight="1" s="72">
      <c r="A491" s="75" t="n">
        <v>46065</v>
      </c>
      <c r="B491" s="76" t="n">
        <v>16052</v>
      </c>
      <c r="C491" s="69">
        <f>IF(B491="","",IFERROR(INDEX(Client_List!$B:$B,MATCH(B491,Client_List!$A:$A,0)),"⚠ NOT FOUND"))</f>
        <v/>
      </c>
      <c r="D491" s="43" t="n">
        <v>1001</v>
      </c>
      <c r="E491" s="32">
        <f>IF(B491="","",IFERROR(INDEX(Client_List!$C:$C,MATCH(VALUE(B491),Client_List!$A:$A,0)),""))</f>
        <v/>
      </c>
      <c r="F491" s="53">
        <f>IF(B491="","",IFERROR(INDEX(Client_List!$D:$D,MATCH(VALUE(B491),Client_List!$A:$A,0)),""))</f>
        <v/>
      </c>
      <c r="G491" s="53">
        <f>IF(B491="","",IFERROR(INDEX(Client_List!$K:$K,MATCH(VALUE(B491),Client_List!$A:$A,0)),""))</f>
        <v/>
      </c>
      <c r="H491" s="32">
        <f>IF(B491="","",IFERROR(INDEX(Client_List!$J:$J,MATCH(VALUE(B491),Client_List!$A:$A,0)),""))</f>
        <v/>
      </c>
      <c r="I491" s="70">
        <f>IF(B491="","",IFERROR(A491-LOOKUP(2,1/($B$4:$B490=B491),$A$4:$A490),""))</f>
        <v/>
      </c>
      <c r="J491" s="32">
        <f>IF(B491="","",IFERROR(D491/I491,""))</f>
        <v/>
      </c>
      <c r="K491" s="71">
        <f>IF(B491="","",IFERROR(AVERAGEIFS($J$4:$J491,$B$4:$B491,B491,$J$4:$J491,"&gt;"&amp;0),""))</f>
        <v/>
      </c>
      <c r="L491" s="7" t="n"/>
    </row>
    <row r="492" ht="14" customHeight="1" s="72">
      <c r="A492" s="75" t="n">
        <v>46065</v>
      </c>
      <c r="B492" s="76" t="n">
        <v>18004</v>
      </c>
      <c r="C492" s="69">
        <f>IF(B492="","",IFERROR(INDEX(Client_List!$B:$B,MATCH(B492,Client_List!$A:$A,0)),"⚠ NOT FOUND"))</f>
        <v/>
      </c>
      <c r="D492" s="43" t="n">
        <v>524</v>
      </c>
      <c r="E492" s="32">
        <f>IF(B492="","",IFERROR(INDEX(Client_List!$C:$C,MATCH(VALUE(B492),Client_List!$A:$A,0)),""))</f>
        <v/>
      </c>
      <c r="F492" s="53">
        <f>IF(B492="","",IFERROR(INDEX(Client_List!$D:$D,MATCH(VALUE(B492),Client_List!$A:$A,0)),""))</f>
        <v/>
      </c>
      <c r="G492" s="53">
        <f>IF(B492="","",IFERROR(INDEX(Client_List!$K:$K,MATCH(VALUE(B492),Client_List!$A:$A,0)),""))</f>
        <v/>
      </c>
      <c r="H492" s="32">
        <f>IF(B492="","",IFERROR(INDEX(Client_List!$J:$J,MATCH(VALUE(B492),Client_List!$A:$A,0)),""))</f>
        <v/>
      </c>
      <c r="I492" s="70">
        <f>IF(B492="","",IFERROR(A492-LOOKUP(2,1/($B$4:$B491=B492),$A$4:$A491),""))</f>
        <v/>
      </c>
      <c r="J492" s="32">
        <f>IF(B492="","",IFERROR(D492/I492,""))</f>
        <v/>
      </c>
      <c r="K492" s="71">
        <f>IF(B492="","",IFERROR(AVERAGEIFS($J$4:$J492,$B$4:$B492,B492,$J$4:$J492,"&gt;"&amp;0),""))</f>
        <v/>
      </c>
      <c r="L492" s="4" t="n"/>
    </row>
    <row r="493" ht="14" customHeight="1" s="72">
      <c r="A493" s="75" t="n">
        <v>46065</v>
      </c>
      <c r="B493" s="76" t="n">
        <v>19039</v>
      </c>
      <c r="C493" s="69">
        <f>IF(B493="","",IFERROR(INDEX(Client_List!$B:$B,MATCH(B493,Client_List!$A:$A,0)),"⚠ NOT FOUND"))</f>
        <v/>
      </c>
      <c r="D493" s="43" t="n">
        <v>653</v>
      </c>
      <c r="E493" s="32">
        <f>IF(B493="","",IFERROR(INDEX(Client_List!$C:$C,MATCH(VALUE(B493),Client_List!$A:$A,0)),""))</f>
        <v/>
      </c>
      <c r="F493" s="53">
        <f>IF(B493="","",IFERROR(INDEX(Client_List!$D:$D,MATCH(VALUE(B493),Client_List!$A:$A,0)),""))</f>
        <v/>
      </c>
      <c r="G493" s="53">
        <f>IF(B493="","",IFERROR(INDEX(Client_List!$K:$K,MATCH(VALUE(B493),Client_List!$A:$A,0)),""))</f>
        <v/>
      </c>
      <c r="H493" s="32">
        <f>IF(B493="","",IFERROR(INDEX(Client_List!$J:$J,MATCH(VALUE(B493),Client_List!$A:$A,0)),""))</f>
        <v/>
      </c>
      <c r="I493" s="70">
        <f>IF(B493="","",IFERROR(A493-LOOKUP(2,1/($B$4:$B492=B493),$A$4:$A492),""))</f>
        <v/>
      </c>
      <c r="J493" s="32">
        <f>IF(B493="","",IFERROR(D493/I493,""))</f>
        <v/>
      </c>
      <c r="K493" s="71">
        <f>IF(B493="","",IFERROR(AVERAGEIFS($J$4:$J493,$B$4:$B493,B493,$J$4:$J493,"&gt;"&amp;0),""))</f>
        <v/>
      </c>
      <c r="L493" s="7" t="n"/>
    </row>
    <row r="494" ht="14" customHeight="1" s="72">
      <c r="A494" s="75" t="n">
        <v>46065</v>
      </c>
      <c r="B494" s="76" t="n">
        <v>20089</v>
      </c>
      <c r="C494" s="69">
        <f>IF(B494="","",IFERROR(INDEX(Client_List!$B:$B,MATCH(B494,Client_List!$A:$A,0)),"⚠ NOT FOUND"))</f>
        <v/>
      </c>
      <c r="D494" s="43" t="n">
        <v>1066</v>
      </c>
      <c r="E494" s="32">
        <f>IF(B494="","",IFERROR(INDEX(Client_List!$C:$C,MATCH(VALUE(B494),Client_List!$A:$A,0)),""))</f>
        <v/>
      </c>
      <c r="F494" s="53">
        <f>IF(B494="","",IFERROR(INDEX(Client_List!$D:$D,MATCH(VALUE(B494),Client_List!$A:$A,0)),""))</f>
        <v/>
      </c>
      <c r="G494" s="53">
        <f>IF(B494="","",IFERROR(INDEX(Client_List!$K:$K,MATCH(VALUE(B494),Client_List!$A:$A,0)),""))</f>
        <v/>
      </c>
      <c r="H494" s="32">
        <f>IF(B494="","",IFERROR(INDEX(Client_List!$J:$J,MATCH(VALUE(B494),Client_List!$A:$A,0)),""))</f>
        <v/>
      </c>
      <c r="I494" s="70">
        <f>IF(B494="","",IFERROR(A494-LOOKUP(2,1/($B$4:$B493=B494),$A$4:$A493),""))</f>
        <v/>
      </c>
      <c r="J494" s="32">
        <f>IF(B494="","",IFERROR(D494/I494,""))</f>
        <v/>
      </c>
      <c r="K494" s="71">
        <f>IF(B494="","",IFERROR(AVERAGEIFS($J$4:$J494,$B$4:$B494,B494,$J$4:$J494,"&gt;"&amp;0),""))</f>
        <v/>
      </c>
      <c r="L494" s="4" t="n"/>
    </row>
    <row r="495" ht="14" customHeight="1" s="72">
      <c r="A495" s="75" t="n">
        <v>46065</v>
      </c>
      <c r="B495" s="76" t="n">
        <v>21001</v>
      </c>
      <c r="C495" s="69">
        <f>IF(B495="","",IFERROR(INDEX(Client_List!$B:$B,MATCH(B495,Client_List!$A:$A,0)),"⚠ NOT FOUND"))</f>
        <v/>
      </c>
      <c r="D495" s="43" t="n">
        <v>874</v>
      </c>
      <c r="E495" s="32">
        <f>IF(B495="","",IFERROR(INDEX(Client_List!$C:$C,MATCH(VALUE(B495),Client_List!$A:$A,0)),""))</f>
        <v/>
      </c>
      <c r="F495" s="53">
        <f>IF(B495="","",IFERROR(INDEX(Client_List!$D:$D,MATCH(VALUE(B495),Client_List!$A:$A,0)),""))</f>
        <v/>
      </c>
      <c r="G495" s="53">
        <f>IF(B495="","",IFERROR(INDEX(Client_List!$K:$K,MATCH(VALUE(B495),Client_List!$A:$A,0)),""))</f>
        <v/>
      </c>
      <c r="H495" s="32">
        <f>IF(B495="","",IFERROR(INDEX(Client_List!$J:$J,MATCH(VALUE(B495),Client_List!$A:$A,0)),""))</f>
        <v/>
      </c>
      <c r="I495" s="70">
        <f>IF(B495="","",IFERROR(A495-LOOKUP(2,1/($B$4:$B494=B495),$A$4:$A494),""))</f>
        <v/>
      </c>
      <c r="J495" s="32">
        <f>IF(B495="","",IFERROR(D495/I495,""))</f>
        <v/>
      </c>
      <c r="K495" s="71">
        <f>IF(B495="","",IFERROR(AVERAGEIFS($J$4:$J495,$B$4:$B495,B495,$J$4:$J495,"&gt;"&amp;0),""))</f>
        <v/>
      </c>
      <c r="L495" s="7" t="n"/>
    </row>
    <row r="496" ht="14" customHeight="1" s="72">
      <c r="A496" s="75" t="n">
        <v>46065</v>
      </c>
      <c r="B496" s="76" t="n">
        <v>21002</v>
      </c>
      <c r="C496" s="69">
        <f>IF(B496="","",IFERROR(INDEX(Client_List!$B:$B,MATCH(B496,Client_List!$A:$A,0)),"⚠ NOT FOUND"))</f>
        <v/>
      </c>
      <c r="D496" s="43" t="n">
        <v>1883</v>
      </c>
      <c r="E496" s="32">
        <f>IF(B496="","",IFERROR(INDEX(Client_List!$C:$C,MATCH(VALUE(B496),Client_List!$A:$A,0)),""))</f>
        <v/>
      </c>
      <c r="F496" s="53">
        <f>IF(B496="","",IFERROR(INDEX(Client_List!$D:$D,MATCH(VALUE(B496),Client_List!$A:$A,0)),""))</f>
        <v/>
      </c>
      <c r="G496" s="53">
        <f>IF(B496="","",IFERROR(INDEX(Client_List!$K:$K,MATCH(VALUE(B496),Client_List!$A:$A,0)),""))</f>
        <v/>
      </c>
      <c r="H496" s="32">
        <f>IF(B496="","",IFERROR(INDEX(Client_List!$J:$J,MATCH(VALUE(B496),Client_List!$A:$A,0)),""))</f>
        <v/>
      </c>
      <c r="I496" s="70">
        <f>IF(B496="","",IFERROR(A496-LOOKUP(2,1/($B$4:$B495=B496),$A$4:$A495),""))</f>
        <v/>
      </c>
      <c r="J496" s="32">
        <f>IF(B496="","",IFERROR(D496/I496,""))</f>
        <v/>
      </c>
      <c r="K496" s="71">
        <f>IF(B496="","",IFERROR(AVERAGEIFS($J$4:$J496,$B$4:$B496,B496,$J$4:$J496,"&gt;"&amp;0),""))</f>
        <v/>
      </c>
      <c r="L496" s="4" t="n"/>
    </row>
    <row r="497" ht="14" customHeight="1" s="72">
      <c r="A497" s="75" t="n">
        <v>46066</v>
      </c>
      <c r="B497" s="76" t="n">
        <v>1013</v>
      </c>
      <c r="C497" s="69">
        <f>IF(B497="","",IFERROR(INDEX(Client_List!$B:$B,MATCH(B497,Client_List!$A:$A,0)),"⚠ NOT FOUND"))</f>
        <v/>
      </c>
      <c r="D497" s="43" t="n">
        <v>595</v>
      </c>
      <c r="E497" s="32">
        <f>IF(B497="","",IFERROR(INDEX(Client_List!$C:$C,MATCH(VALUE(B497),Client_List!$A:$A,0)),""))</f>
        <v/>
      </c>
      <c r="F497" s="53">
        <f>IF(B497="","",IFERROR(INDEX(Client_List!$D:$D,MATCH(VALUE(B497),Client_List!$A:$A,0)),""))</f>
        <v/>
      </c>
      <c r="G497" s="53">
        <f>IF(B497="","",IFERROR(INDEX(Client_List!$K:$K,MATCH(VALUE(B497),Client_List!$A:$A,0)),""))</f>
        <v/>
      </c>
      <c r="H497" s="32">
        <f>IF(B497="","",IFERROR(INDEX(Client_List!$J:$J,MATCH(VALUE(B497),Client_List!$A:$A,0)),""))</f>
        <v/>
      </c>
      <c r="I497" s="70">
        <f>IF(B497="","",IFERROR(A497-LOOKUP(2,1/($B$4:$B496=B497),$A$4:$A496),""))</f>
        <v/>
      </c>
      <c r="J497" s="32">
        <f>IF(B497="","",IFERROR(D497/I497,""))</f>
        <v/>
      </c>
      <c r="K497" s="71">
        <f>IF(B497="","",IFERROR(AVERAGEIFS($J$4:$J497,$B$4:$B497,B497,$J$4:$J497,"&gt;"&amp;0),""))</f>
        <v/>
      </c>
      <c r="L497" s="7" t="n"/>
    </row>
    <row r="498" ht="14" customHeight="1" s="72">
      <c r="A498" s="75" t="n">
        <v>46066</v>
      </c>
      <c r="B498" s="76" t="n">
        <v>2016</v>
      </c>
      <c r="C498" s="69">
        <f>IF(B498="","",IFERROR(INDEX(Client_List!$B:$B,MATCH(B498,Client_List!$A:$A,0)),"⚠ NOT FOUND"))</f>
        <v/>
      </c>
      <c r="D498" s="43" t="n">
        <v>492</v>
      </c>
      <c r="E498" s="32">
        <f>IF(B498="","",IFERROR(INDEX(Client_List!$C:$C,MATCH(VALUE(B498),Client_List!$A:$A,0)),""))</f>
        <v/>
      </c>
      <c r="F498" s="53">
        <f>IF(B498="","",IFERROR(INDEX(Client_List!$D:$D,MATCH(VALUE(B498),Client_List!$A:$A,0)),""))</f>
        <v/>
      </c>
      <c r="G498" s="53">
        <f>IF(B498="","",IFERROR(INDEX(Client_List!$K:$K,MATCH(VALUE(B498),Client_List!$A:$A,0)),""))</f>
        <v/>
      </c>
      <c r="H498" s="32">
        <f>IF(B498="","",IFERROR(INDEX(Client_List!$J:$J,MATCH(VALUE(B498),Client_List!$A:$A,0)),""))</f>
        <v/>
      </c>
      <c r="I498" s="70">
        <f>IF(B498="","",IFERROR(A498-LOOKUP(2,1/($B$4:$B497=B498),$A$4:$A497),""))</f>
        <v/>
      </c>
      <c r="J498" s="32">
        <f>IF(B498="","",IFERROR(D498/I498,""))</f>
        <v/>
      </c>
      <c r="K498" s="71">
        <f>IF(B498="","",IFERROR(AVERAGEIFS($J$4:$J498,$B$4:$B498,B498,$J$4:$J498,"&gt;"&amp;0),""))</f>
        <v/>
      </c>
      <c r="L498" s="4" t="n"/>
    </row>
    <row r="499" ht="14" customHeight="1" s="72">
      <c r="A499" s="75" t="n">
        <v>46066</v>
      </c>
      <c r="B499" s="76" t="n">
        <v>2017</v>
      </c>
      <c r="C499" s="69">
        <f>IF(B499="","",IFERROR(INDEX(Client_List!$B:$B,MATCH(B499,Client_List!$A:$A,0)),"⚠ NOT FOUND"))</f>
        <v/>
      </c>
      <c r="D499" s="43" t="n">
        <v>673</v>
      </c>
      <c r="E499" s="32">
        <f>IF(B499="","",IFERROR(INDEX(Client_List!$C:$C,MATCH(VALUE(B499),Client_List!$A:$A,0)),""))</f>
        <v/>
      </c>
      <c r="F499" s="53">
        <f>IF(B499="","",IFERROR(INDEX(Client_List!$D:$D,MATCH(VALUE(B499),Client_List!$A:$A,0)),""))</f>
        <v/>
      </c>
      <c r="G499" s="53">
        <f>IF(B499="","",IFERROR(INDEX(Client_List!$K:$K,MATCH(VALUE(B499),Client_List!$A:$A,0)),""))</f>
        <v/>
      </c>
      <c r="H499" s="32">
        <f>IF(B499="","",IFERROR(INDEX(Client_List!$J:$J,MATCH(VALUE(B499),Client_List!$A:$A,0)),""))</f>
        <v/>
      </c>
      <c r="I499" s="70">
        <f>IF(B499="","",IFERROR(A499-LOOKUP(2,1/($B$4:$B498=B499),$A$4:$A498),""))</f>
        <v/>
      </c>
      <c r="J499" s="32">
        <f>IF(B499="","",IFERROR(D499/I499,""))</f>
        <v/>
      </c>
      <c r="K499" s="71">
        <f>IF(B499="","",IFERROR(AVERAGEIFS($J$4:$J499,$B$4:$B499,B499,$J$4:$J499,"&gt;"&amp;0),""))</f>
        <v/>
      </c>
      <c r="L499" s="7" t="n"/>
    </row>
    <row r="500" ht="14" customHeight="1" s="72">
      <c r="A500" s="75" t="n">
        <v>46066</v>
      </c>
      <c r="B500" s="76" t="n">
        <v>2073</v>
      </c>
      <c r="C500" s="69">
        <f>IF(B500="","",IFERROR(INDEX(Client_List!$B:$B,MATCH(B500,Client_List!$A:$A,0)),"⚠ NOT FOUND"))</f>
        <v/>
      </c>
      <c r="D500" s="43" t="n">
        <v>297</v>
      </c>
      <c r="E500" s="32">
        <f>IF(B500="","",IFERROR(INDEX(Client_List!$C:$C,MATCH(VALUE(B500),Client_List!$A:$A,0)),""))</f>
        <v/>
      </c>
      <c r="F500" s="53">
        <f>IF(B500="","",IFERROR(INDEX(Client_List!$D:$D,MATCH(VALUE(B500),Client_List!$A:$A,0)),""))</f>
        <v/>
      </c>
      <c r="G500" s="53">
        <f>IF(B500="","",IFERROR(INDEX(Client_List!$K:$K,MATCH(VALUE(B500),Client_List!$A:$A,0)),""))</f>
        <v/>
      </c>
      <c r="H500" s="32">
        <f>IF(B500="","",IFERROR(INDEX(Client_List!$J:$J,MATCH(VALUE(B500),Client_List!$A:$A,0)),""))</f>
        <v/>
      </c>
      <c r="I500" s="70">
        <f>IF(B500="","",IFERROR(A500-LOOKUP(2,1/($B$4:$B499=B500),$A$4:$A499),""))</f>
        <v/>
      </c>
      <c r="J500" s="32">
        <f>IF(B500="","",IFERROR(D500/I500,""))</f>
        <v/>
      </c>
      <c r="K500" s="71">
        <f>IF(B500="","",IFERROR(AVERAGEIFS($J$4:$J500,$B$4:$B500,B500,$J$4:$J500,"&gt;"&amp;0),""))</f>
        <v/>
      </c>
      <c r="L500" s="4" t="n"/>
    </row>
    <row r="501" ht="14" customHeight="1" s="72">
      <c r="A501" s="75" t="n">
        <v>46066</v>
      </c>
      <c r="B501" s="76" t="n">
        <v>3065</v>
      </c>
      <c r="C501" s="69">
        <f>IF(B501="","",IFERROR(INDEX(Client_List!$B:$B,MATCH(B501,Client_List!$A:$A,0)),"⚠ NOT FOUND"))</f>
        <v/>
      </c>
      <c r="D501" s="43" t="n">
        <v>265</v>
      </c>
      <c r="E501" s="32">
        <f>IF(B501="","",IFERROR(INDEX(Client_List!$C:$C,MATCH(VALUE(B501),Client_List!$A:$A,0)),""))</f>
        <v/>
      </c>
      <c r="F501" s="53">
        <f>IF(B501="","",IFERROR(INDEX(Client_List!$D:$D,MATCH(VALUE(B501),Client_List!$A:$A,0)),""))</f>
        <v/>
      </c>
      <c r="G501" s="53">
        <f>IF(B501="","",IFERROR(INDEX(Client_List!$K:$K,MATCH(VALUE(B501),Client_List!$A:$A,0)),""))</f>
        <v/>
      </c>
      <c r="H501" s="32">
        <f>IF(B501="","",IFERROR(INDEX(Client_List!$J:$J,MATCH(VALUE(B501),Client_List!$A:$A,0)),""))</f>
        <v/>
      </c>
      <c r="I501" s="70">
        <f>IF(B501="","",IFERROR(A501-LOOKUP(2,1/($B$4:$B500=B501),$A$4:$A500),""))</f>
        <v/>
      </c>
      <c r="J501" s="32">
        <f>IF(B501="","",IFERROR(D501/I501,""))</f>
        <v/>
      </c>
      <c r="K501" s="71">
        <f>IF(B501="","",IFERROR(AVERAGEIFS($J$4:$J501,$B$4:$B501,B501,$J$4:$J501,"&gt;"&amp;0),""))</f>
        <v/>
      </c>
      <c r="L501" s="7" t="n"/>
    </row>
    <row r="502" ht="14" customHeight="1" s="72">
      <c r="A502" s="75" t="n">
        <v>46066</v>
      </c>
      <c r="B502" s="76" t="n">
        <v>6101</v>
      </c>
      <c r="C502" s="69">
        <f>IF(B502="","",IFERROR(INDEX(Client_List!$B:$B,MATCH(B502,Client_List!$A:$A,0)),"⚠ NOT FOUND"))</f>
        <v/>
      </c>
      <c r="D502" s="43" t="n">
        <v>490</v>
      </c>
      <c r="E502" s="32">
        <f>IF(B502="","",IFERROR(INDEX(Client_List!$C:$C,MATCH(VALUE(B502),Client_List!$A:$A,0)),""))</f>
        <v/>
      </c>
      <c r="F502" s="53">
        <f>IF(B502="","",IFERROR(INDEX(Client_List!$D:$D,MATCH(VALUE(B502),Client_List!$A:$A,0)),""))</f>
        <v/>
      </c>
      <c r="G502" s="53">
        <f>IF(B502="","",IFERROR(INDEX(Client_List!$K:$K,MATCH(VALUE(B502),Client_List!$A:$A,0)),""))</f>
        <v/>
      </c>
      <c r="H502" s="32">
        <f>IF(B502="","",IFERROR(INDEX(Client_List!$J:$J,MATCH(VALUE(B502),Client_List!$A:$A,0)),""))</f>
        <v/>
      </c>
      <c r="I502" s="70">
        <f>IF(B502="","",IFERROR(A502-LOOKUP(2,1/($B$4:$B501=B502),$A$4:$A501),""))</f>
        <v/>
      </c>
      <c r="J502" s="32">
        <f>IF(B502="","",IFERROR(D502/I502,""))</f>
        <v/>
      </c>
      <c r="K502" s="71">
        <f>IF(B502="","",IFERROR(AVERAGEIFS($J$4:$J502,$B$4:$B502,B502,$J$4:$J502,"&gt;"&amp;0),""))</f>
        <v/>
      </c>
      <c r="L502" s="4" t="n"/>
    </row>
    <row r="503" ht="14" customHeight="1" s="72">
      <c r="A503" s="75" t="n">
        <v>46066</v>
      </c>
      <c r="B503" s="76" t="n">
        <v>8031</v>
      </c>
      <c r="C503" s="69">
        <f>IF(B503="","",IFERROR(INDEX(Client_List!$B:$B,MATCH(B503,Client_List!$A:$A,0)),"⚠ NOT FOUND"))</f>
        <v/>
      </c>
      <c r="D503" s="43" t="n">
        <v>975</v>
      </c>
      <c r="E503" s="32">
        <f>IF(B503="","",IFERROR(INDEX(Client_List!$C:$C,MATCH(VALUE(B503),Client_List!$A:$A,0)),""))</f>
        <v/>
      </c>
      <c r="F503" s="53">
        <f>IF(B503="","",IFERROR(INDEX(Client_List!$D:$D,MATCH(VALUE(B503),Client_List!$A:$A,0)),""))</f>
        <v/>
      </c>
      <c r="G503" s="53">
        <f>IF(B503="","",IFERROR(INDEX(Client_List!$K:$K,MATCH(VALUE(B503),Client_List!$A:$A,0)),""))</f>
        <v/>
      </c>
      <c r="H503" s="32">
        <f>IF(B503="","",IFERROR(INDEX(Client_List!$J:$J,MATCH(VALUE(B503),Client_List!$A:$A,0)),""))</f>
        <v/>
      </c>
      <c r="I503" s="70">
        <f>IF(B503="","",IFERROR(A503-LOOKUP(2,1/($B$4:$B502=B503),$A$4:$A502),""))</f>
        <v/>
      </c>
      <c r="J503" s="32">
        <f>IF(B503="","",IFERROR(D503/I503,""))</f>
        <v/>
      </c>
      <c r="K503" s="71">
        <f>IF(B503="","",IFERROR(AVERAGEIFS($J$4:$J503,$B$4:$B503,B503,$J$4:$J503,"&gt;"&amp;0),""))</f>
        <v/>
      </c>
      <c r="L503" s="7" t="n"/>
    </row>
    <row r="504" ht="14" customHeight="1" s="72">
      <c r="A504" s="75" t="n">
        <v>46066</v>
      </c>
      <c r="B504" s="76" t="n">
        <v>13061</v>
      </c>
      <c r="C504" s="69">
        <f>IF(B504="","",IFERROR(INDEX(Client_List!$B:$B,MATCH(B504,Client_List!$A:$A,0)),"⚠ NOT FOUND"))</f>
        <v/>
      </c>
      <c r="D504" s="43" t="n">
        <v>388</v>
      </c>
      <c r="E504" s="32">
        <f>IF(B504="","",IFERROR(INDEX(Client_List!$C:$C,MATCH(VALUE(B504),Client_List!$A:$A,0)),""))</f>
        <v/>
      </c>
      <c r="F504" s="53">
        <f>IF(B504="","",IFERROR(INDEX(Client_List!$D:$D,MATCH(VALUE(B504),Client_List!$A:$A,0)),""))</f>
        <v/>
      </c>
      <c r="G504" s="53">
        <f>IF(B504="","",IFERROR(INDEX(Client_List!$K:$K,MATCH(VALUE(B504),Client_List!$A:$A,0)),""))</f>
        <v/>
      </c>
      <c r="H504" s="32">
        <f>IF(B504="","",IFERROR(INDEX(Client_List!$J:$J,MATCH(VALUE(B504),Client_List!$A:$A,0)),""))</f>
        <v/>
      </c>
      <c r="I504" s="70">
        <f>IF(B504="","",IFERROR(A504-LOOKUP(2,1/($B$4:$B503=B504),$A$4:$A503),""))</f>
        <v/>
      </c>
      <c r="J504" s="32">
        <f>IF(B504="","",IFERROR(D504/I504,""))</f>
        <v/>
      </c>
      <c r="K504" s="71">
        <f>IF(B504="","",IFERROR(AVERAGEIFS($J$4:$J504,$B$4:$B504,B504,$J$4:$J504,"&gt;"&amp;0),""))</f>
        <v/>
      </c>
      <c r="L504" s="4" t="n"/>
    </row>
    <row r="505" ht="14" customHeight="1" s="72">
      <c r="A505" s="75" t="n">
        <v>46066</v>
      </c>
      <c r="B505" s="76" t="n">
        <v>15041</v>
      </c>
      <c r="C505" s="69">
        <f>IF(B505="","",IFERROR(INDEX(Client_List!$B:$B,MATCH(B505,Client_List!$A:$A,0)),"⚠ NOT FOUND"))</f>
        <v/>
      </c>
      <c r="D505" s="43" t="n">
        <v>505</v>
      </c>
      <c r="E505" s="32">
        <f>IF(B505="","",IFERROR(INDEX(Client_List!$C:$C,MATCH(VALUE(B505),Client_List!$A:$A,0)),""))</f>
        <v/>
      </c>
      <c r="F505" s="53">
        <f>IF(B505="","",IFERROR(INDEX(Client_List!$D:$D,MATCH(VALUE(B505),Client_List!$A:$A,0)),""))</f>
        <v/>
      </c>
      <c r="G505" s="53">
        <f>IF(B505="","",IFERROR(INDEX(Client_List!$K:$K,MATCH(VALUE(B505),Client_List!$A:$A,0)),""))</f>
        <v/>
      </c>
      <c r="H505" s="32">
        <f>IF(B505="","",IFERROR(INDEX(Client_List!$J:$J,MATCH(VALUE(B505),Client_List!$A:$A,0)),""))</f>
        <v/>
      </c>
      <c r="I505" s="70">
        <f>IF(B505="","",IFERROR(A505-LOOKUP(2,1/($B$4:$B504=B505),$A$4:$A504),""))</f>
        <v/>
      </c>
      <c r="J505" s="32">
        <f>IF(B505="","",IFERROR(D505/I505,""))</f>
        <v/>
      </c>
      <c r="K505" s="71">
        <f>IF(B505="","",IFERROR(AVERAGEIFS($J$4:$J505,$B$4:$B505,B505,$J$4:$J505,"&gt;"&amp;0),""))</f>
        <v/>
      </c>
      <c r="L505" s="7" t="n"/>
    </row>
    <row r="506" ht="14" customHeight="1" s="72">
      <c r="A506" s="75" t="n">
        <v>46066</v>
      </c>
      <c r="B506" s="76" t="n">
        <v>16009</v>
      </c>
      <c r="C506" s="69">
        <f>IF(B506="","",IFERROR(INDEX(Client_List!$B:$B,MATCH(B506,Client_List!$A:$A,0)),"⚠ NOT FOUND"))</f>
        <v/>
      </c>
      <c r="D506" s="43" t="n">
        <v>1451</v>
      </c>
      <c r="E506" s="32">
        <f>IF(B506="","",IFERROR(INDEX(Client_List!$C:$C,MATCH(VALUE(B506),Client_List!$A:$A,0)),""))</f>
        <v/>
      </c>
      <c r="F506" s="53">
        <f>IF(B506="","",IFERROR(INDEX(Client_List!$D:$D,MATCH(VALUE(B506),Client_List!$A:$A,0)),""))</f>
        <v/>
      </c>
      <c r="G506" s="53">
        <f>IF(B506="","",IFERROR(INDEX(Client_List!$K:$K,MATCH(VALUE(B506),Client_List!$A:$A,0)),""))</f>
        <v/>
      </c>
      <c r="H506" s="32">
        <f>IF(B506="","",IFERROR(INDEX(Client_List!$J:$J,MATCH(VALUE(B506),Client_List!$A:$A,0)),""))</f>
        <v/>
      </c>
      <c r="I506" s="70">
        <f>IF(B506="","",IFERROR(A506-LOOKUP(2,1/($B$4:$B505=B506),$A$4:$A505),""))</f>
        <v/>
      </c>
      <c r="J506" s="32">
        <f>IF(B506="","",IFERROR(D506/I506,""))</f>
        <v/>
      </c>
      <c r="K506" s="71">
        <f>IF(B506="","",IFERROR(AVERAGEIFS($J$4:$J506,$B$4:$B506,B506,$J$4:$J506,"&gt;"&amp;0),""))</f>
        <v/>
      </c>
      <c r="L506" s="4" t="n"/>
    </row>
    <row r="507" ht="14" customHeight="1" s="72">
      <c r="A507" s="75" t="n">
        <v>46066</v>
      </c>
      <c r="B507" s="76" t="n">
        <v>18036</v>
      </c>
      <c r="C507" s="69">
        <f>IF(B507="","",IFERROR(INDEX(Client_List!$B:$B,MATCH(B507,Client_List!$A:$A,0)),"⚠ NOT FOUND"))</f>
        <v/>
      </c>
      <c r="D507" s="43" t="n">
        <v>600</v>
      </c>
      <c r="E507" s="32">
        <f>IF(B507="","",IFERROR(INDEX(Client_List!$C:$C,MATCH(VALUE(B507),Client_List!$A:$A,0)),""))</f>
        <v/>
      </c>
      <c r="F507" s="53">
        <f>IF(B507="","",IFERROR(INDEX(Client_List!$D:$D,MATCH(VALUE(B507),Client_List!$A:$A,0)),""))</f>
        <v/>
      </c>
      <c r="G507" s="53">
        <f>IF(B507="","",IFERROR(INDEX(Client_List!$K:$K,MATCH(VALUE(B507),Client_List!$A:$A,0)),""))</f>
        <v/>
      </c>
      <c r="H507" s="32">
        <f>IF(B507="","",IFERROR(INDEX(Client_List!$J:$J,MATCH(VALUE(B507),Client_List!$A:$A,0)),""))</f>
        <v/>
      </c>
      <c r="I507" s="70">
        <f>IF(B507="","",IFERROR(A507-LOOKUP(2,1/($B$4:$B506=B507),$A$4:$A506),""))</f>
        <v/>
      </c>
      <c r="J507" s="32">
        <f>IF(B507="","",IFERROR(D507/I507,""))</f>
        <v/>
      </c>
      <c r="K507" s="71">
        <f>IF(B507="","",IFERROR(AVERAGEIFS($J$4:$J507,$B$4:$B507,B507,$J$4:$J507,"&gt;"&amp;0),""))</f>
        <v/>
      </c>
      <c r="L507" s="7" t="n"/>
    </row>
    <row r="508" ht="14" customHeight="1" s="72">
      <c r="A508" s="75" t="n">
        <v>46066</v>
      </c>
      <c r="B508" s="76" t="n">
        <v>19022</v>
      </c>
      <c r="C508" s="69">
        <f>IF(B508="","",IFERROR(INDEX(Client_List!$B:$B,MATCH(B508,Client_List!$A:$A,0)),"⚠ NOT FOUND"))</f>
        <v/>
      </c>
      <c r="D508" s="43" t="n">
        <v>867</v>
      </c>
      <c r="E508" s="32">
        <f>IF(B508="","",IFERROR(INDEX(Client_List!$C:$C,MATCH(VALUE(B508),Client_List!$A:$A,0)),""))</f>
        <v/>
      </c>
      <c r="F508" s="53">
        <f>IF(B508="","",IFERROR(INDEX(Client_List!$D:$D,MATCH(VALUE(B508),Client_List!$A:$A,0)),""))</f>
        <v/>
      </c>
      <c r="G508" s="53">
        <f>IF(B508="","",IFERROR(INDEX(Client_List!$K:$K,MATCH(VALUE(B508),Client_List!$A:$A,0)),""))</f>
        <v/>
      </c>
      <c r="H508" s="32">
        <f>IF(B508="","",IFERROR(INDEX(Client_List!$J:$J,MATCH(VALUE(B508),Client_List!$A:$A,0)),""))</f>
        <v/>
      </c>
      <c r="I508" s="70">
        <f>IF(B508="","",IFERROR(A508-LOOKUP(2,1/($B$4:$B507=B508),$A$4:$A507),""))</f>
        <v/>
      </c>
      <c r="J508" s="32">
        <f>IF(B508="","",IFERROR(D508/I508,""))</f>
        <v/>
      </c>
      <c r="K508" s="71">
        <f>IF(B508="","",IFERROR(AVERAGEIFS($J$4:$J508,$B$4:$B508,B508,$J$4:$J508,"&gt;"&amp;0),""))</f>
        <v/>
      </c>
      <c r="L508" s="4" t="n"/>
    </row>
    <row r="509" ht="14" customHeight="1" s="72">
      <c r="A509" s="75" t="n">
        <v>46066</v>
      </c>
      <c r="B509" s="76" t="n">
        <v>19031</v>
      </c>
      <c r="C509" s="69">
        <f>IF(B509="","",IFERROR(INDEX(Client_List!$B:$B,MATCH(B509,Client_List!$A:$A,0)),"⚠ NOT FOUND"))</f>
        <v/>
      </c>
      <c r="D509" s="43" t="n">
        <v>634</v>
      </c>
      <c r="E509" s="32">
        <f>IF(B509="","",IFERROR(INDEX(Client_List!$C:$C,MATCH(VALUE(B509),Client_List!$A:$A,0)),""))</f>
        <v/>
      </c>
      <c r="F509" s="53">
        <f>IF(B509="","",IFERROR(INDEX(Client_List!$D:$D,MATCH(VALUE(B509),Client_List!$A:$A,0)),""))</f>
        <v/>
      </c>
      <c r="G509" s="53">
        <f>IF(B509="","",IFERROR(INDEX(Client_List!$K:$K,MATCH(VALUE(B509),Client_List!$A:$A,0)),""))</f>
        <v/>
      </c>
      <c r="H509" s="32">
        <f>IF(B509="","",IFERROR(INDEX(Client_List!$J:$J,MATCH(VALUE(B509),Client_List!$A:$A,0)),""))</f>
        <v/>
      </c>
      <c r="I509" s="70">
        <f>IF(B509="","",IFERROR(A509-LOOKUP(2,1/($B$4:$B508=B509),$A$4:$A508),""))</f>
        <v/>
      </c>
      <c r="J509" s="32">
        <f>IF(B509="","",IFERROR(D509/I509,""))</f>
        <v/>
      </c>
      <c r="K509" s="71">
        <f>IF(B509="","",IFERROR(AVERAGEIFS($J$4:$J509,$B$4:$B509,B509,$J$4:$J509,"&gt;"&amp;0),""))</f>
        <v/>
      </c>
      <c r="L509" s="7" t="n"/>
    </row>
    <row r="510" ht="14" customHeight="1" s="72">
      <c r="A510" s="75" t="n">
        <v>46066</v>
      </c>
      <c r="B510" s="76" t="n">
        <v>19033</v>
      </c>
      <c r="C510" s="69">
        <f>IF(B510="","",IFERROR(INDEX(Client_List!$B:$B,MATCH(B510,Client_List!$A:$A,0)),"⚠ NOT FOUND"))</f>
        <v/>
      </c>
      <c r="D510" s="43" t="n">
        <v>194</v>
      </c>
      <c r="E510" s="32">
        <f>IF(B510="","",IFERROR(INDEX(Client_List!$C:$C,MATCH(VALUE(B510),Client_List!$A:$A,0)),""))</f>
        <v/>
      </c>
      <c r="F510" s="53">
        <f>IF(B510="","",IFERROR(INDEX(Client_List!$D:$D,MATCH(VALUE(B510),Client_List!$A:$A,0)),""))</f>
        <v/>
      </c>
      <c r="G510" s="53">
        <f>IF(B510="","",IFERROR(INDEX(Client_List!$K:$K,MATCH(VALUE(B510),Client_List!$A:$A,0)),""))</f>
        <v/>
      </c>
      <c r="H510" s="32">
        <f>IF(B510="","",IFERROR(INDEX(Client_List!$J:$J,MATCH(VALUE(B510),Client_List!$A:$A,0)),""))</f>
        <v/>
      </c>
      <c r="I510" s="70">
        <f>IF(B510="","",IFERROR(A510-LOOKUP(2,1/($B$4:$B509=B510),$A$4:$A509),""))</f>
        <v/>
      </c>
      <c r="J510" s="32">
        <f>IF(B510="","",IFERROR(D510/I510,""))</f>
        <v/>
      </c>
      <c r="K510" s="71">
        <f>IF(B510="","",IFERROR(AVERAGEIFS($J$4:$J510,$B$4:$B510,B510,$J$4:$J510,"&gt;"&amp;0),""))</f>
        <v/>
      </c>
      <c r="L510" s="4" t="n"/>
    </row>
    <row r="511" ht="14" customHeight="1" s="72">
      <c r="A511" s="75" t="n">
        <v>46066</v>
      </c>
      <c r="B511" s="76" t="n">
        <v>19110</v>
      </c>
      <c r="C511" s="69">
        <f>IF(B511="","",IFERROR(INDEX(Client_List!$B:$B,MATCH(B511,Client_List!$A:$A,0)),"⚠ NOT FOUND"))</f>
        <v/>
      </c>
      <c r="D511" s="43" t="n">
        <v>245</v>
      </c>
      <c r="E511" s="32">
        <f>IF(B511="","",IFERROR(INDEX(Client_List!$C:$C,MATCH(VALUE(B511),Client_List!$A:$A,0)),""))</f>
        <v/>
      </c>
      <c r="F511" s="53">
        <f>IF(B511="","",IFERROR(INDEX(Client_List!$D:$D,MATCH(VALUE(B511),Client_List!$A:$A,0)),""))</f>
        <v/>
      </c>
      <c r="G511" s="53">
        <f>IF(B511="","",IFERROR(INDEX(Client_List!$K:$K,MATCH(VALUE(B511),Client_List!$A:$A,0)),""))</f>
        <v/>
      </c>
      <c r="H511" s="32">
        <f>IF(B511="","",IFERROR(INDEX(Client_List!$J:$J,MATCH(VALUE(B511),Client_List!$A:$A,0)),""))</f>
        <v/>
      </c>
      <c r="I511" s="70">
        <f>IF(B511="","",IFERROR(A511-LOOKUP(2,1/($B$4:$B510=B511),$A$4:$A510),""))</f>
        <v/>
      </c>
      <c r="J511" s="32">
        <f>IF(B511="","",IFERROR(D511/I511,""))</f>
        <v/>
      </c>
      <c r="K511" s="71">
        <f>IF(B511="","",IFERROR(AVERAGEIFS($J$4:$J511,$B$4:$B511,B511,$J$4:$J511,"&gt;"&amp;0),""))</f>
        <v/>
      </c>
      <c r="L511" s="7" t="n"/>
    </row>
    <row r="512" ht="14" customHeight="1" s="72">
      <c r="A512" s="75" t="n">
        <v>46066</v>
      </c>
      <c r="B512" s="76" t="n">
        <v>19123</v>
      </c>
      <c r="C512" s="69">
        <f>IF(B512="","",IFERROR(INDEX(Client_List!$B:$B,MATCH(B512,Client_List!$A:$A,0)),"⚠ NOT FOUND"))</f>
        <v/>
      </c>
      <c r="D512" s="43" t="n">
        <v>245</v>
      </c>
      <c r="E512" s="32">
        <f>IF(B512="","",IFERROR(INDEX(Client_List!$C:$C,MATCH(VALUE(B512),Client_List!$A:$A,0)),""))</f>
        <v/>
      </c>
      <c r="F512" s="53">
        <f>IF(B512="","",IFERROR(INDEX(Client_List!$D:$D,MATCH(VALUE(B512),Client_List!$A:$A,0)),""))</f>
        <v/>
      </c>
      <c r="G512" s="53">
        <f>IF(B512="","",IFERROR(INDEX(Client_List!$K:$K,MATCH(VALUE(B512),Client_List!$A:$A,0)),""))</f>
        <v/>
      </c>
      <c r="H512" s="32">
        <f>IF(B512="","",IFERROR(INDEX(Client_List!$J:$J,MATCH(VALUE(B512),Client_List!$A:$A,0)),""))</f>
        <v/>
      </c>
      <c r="I512" s="70">
        <f>IF(B512="","",IFERROR(A512-LOOKUP(2,1/($B$4:$B511=B512),$A$4:$A511),""))</f>
        <v/>
      </c>
      <c r="J512" s="32">
        <f>IF(B512="","",IFERROR(D512/I512,""))</f>
        <v/>
      </c>
      <c r="K512" s="71">
        <f>IF(B512="","",IFERROR(AVERAGEIFS($J$4:$J512,$B$4:$B512,B512,$J$4:$J512,"&gt;"&amp;0),""))</f>
        <v/>
      </c>
      <c r="L512" s="4" t="n"/>
    </row>
    <row r="513" ht="14" customHeight="1" s="72">
      <c r="A513" s="75" t="n">
        <v>46066</v>
      </c>
      <c r="B513" s="76" t="n">
        <v>20051</v>
      </c>
      <c r="C513" s="69">
        <f>IF(B513="","",IFERROR(INDEX(Client_List!$B:$B,MATCH(B513,Client_List!$A:$A,0)),"⚠ NOT FOUND"))</f>
        <v/>
      </c>
      <c r="D513" s="43" t="n">
        <v>230</v>
      </c>
      <c r="E513" s="32">
        <f>IF(B513="","",IFERROR(INDEX(Client_List!$C:$C,MATCH(VALUE(B513),Client_List!$A:$A,0)),""))</f>
        <v/>
      </c>
      <c r="F513" s="53">
        <f>IF(B513="","",IFERROR(INDEX(Client_List!$D:$D,MATCH(VALUE(B513),Client_List!$A:$A,0)),""))</f>
        <v/>
      </c>
      <c r="G513" s="53">
        <f>IF(B513="","",IFERROR(INDEX(Client_List!$K:$K,MATCH(VALUE(B513),Client_List!$A:$A,0)),""))</f>
        <v/>
      </c>
      <c r="H513" s="32">
        <f>IF(B513="","",IFERROR(INDEX(Client_List!$J:$J,MATCH(VALUE(B513),Client_List!$A:$A,0)),""))</f>
        <v/>
      </c>
      <c r="I513" s="70">
        <f>IF(B513="","",IFERROR(A513-LOOKUP(2,1/($B$4:$B512=B513),$A$4:$A512),""))</f>
        <v/>
      </c>
      <c r="J513" s="32">
        <f>IF(B513="","",IFERROR(D513/I513,""))</f>
        <v/>
      </c>
      <c r="K513" s="71">
        <f>IF(B513="","",IFERROR(AVERAGEIFS($J$4:$J513,$B$4:$B513,B513,$J$4:$J513,"&gt;"&amp;0),""))</f>
        <v/>
      </c>
      <c r="L513" s="7" t="n"/>
    </row>
    <row r="514" ht="14" customHeight="1" s="72">
      <c r="A514" s="75" t="n">
        <v>46066</v>
      </c>
      <c r="B514" s="76" t="n">
        <v>20094</v>
      </c>
      <c r="C514" s="69">
        <f>IF(B514="","",IFERROR(INDEX(Client_List!$B:$B,MATCH(B514,Client_List!$A:$A,0)),"⚠ NOT FOUND"))</f>
        <v/>
      </c>
      <c r="D514" s="43" t="n">
        <v>913</v>
      </c>
      <c r="E514" s="32">
        <f>IF(B514="","",IFERROR(INDEX(Client_List!$C:$C,MATCH(VALUE(B514),Client_List!$A:$A,0)),""))</f>
        <v/>
      </c>
      <c r="F514" s="53">
        <f>IF(B514="","",IFERROR(INDEX(Client_List!$D:$D,MATCH(VALUE(B514),Client_List!$A:$A,0)),""))</f>
        <v/>
      </c>
      <c r="G514" s="53">
        <f>IF(B514="","",IFERROR(INDEX(Client_List!$K:$K,MATCH(VALUE(B514),Client_List!$A:$A,0)),""))</f>
        <v/>
      </c>
      <c r="H514" s="32">
        <f>IF(B514="","",IFERROR(INDEX(Client_List!$J:$J,MATCH(VALUE(B514),Client_List!$A:$A,0)),""))</f>
        <v/>
      </c>
      <c r="I514" s="70">
        <f>IF(B514="","",IFERROR(A514-LOOKUP(2,1/($B$4:$B513=B514),$A$4:$A513),""))</f>
        <v/>
      </c>
      <c r="J514" s="32">
        <f>IF(B514="","",IFERROR(D514/I514,""))</f>
        <v/>
      </c>
      <c r="K514" s="71">
        <f>IF(B514="","",IFERROR(AVERAGEIFS($J$4:$J514,$B$4:$B514,B514,$J$4:$J514,"&gt;"&amp;0),""))</f>
        <v/>
      </c>
      <c r="L514" s="4" t="n"/>
    </row>
    <row r="515" ht="14" customHeight="1" s="72">
      <c r="A515" s="75" t="n">
        <v>46067</v>
      </c>
      <c r="B515" s="76" t="n">
        <v>1057</v>
      </c>
      <c r="C515" s="69">
        <f>IF(B515="","",IFERROR(INDEX(Client_List!$B:$B,MATCH(B515,Client_List!$A:$A,0)),"⚠ NOT FOUND"))</f>
        <v/>
      </c>
      <c r="D515" s="43" t="n">
        <v>708</v>
      </c>
      <c r="E515" s="32">
        <f>IF(B515="","",IFERROR(INDEX(Client_List!$C:$C,MATCH(VALUE(B515),Client_List!$A:$A,0)),""))</f>
        <v/>
      </c>
      <c r="F515" s="53">
        <f>IF(B515="","",IFERROR(INDEX(Client_List!$D:$D,MATCH(VALUE(B515),Client_List!$A:$A,0)),""))</f>
        <v/>
      </c>
      <c r="G515" s="53">
        <f>IF(B515="","",IFERROR(INDEX(Client_List!$K:$K,MATCH(VALUE(B515),Client_List!$A:$A,0)),""))</f>
        <v/>
      </c>
      <c r="H515" s="32">
        <f>IF(B515="","",IFERROR(INDEX(Client_List!$J:$J,MATCH(VALUE(B515),Client_List!$A:$A,0)),""))</f>
        <v/>
      </c>
      <c r="I515" s="70">
        <f>IF(B515="","",IFERROR(A515-LOOKUP(2,1/($B$4:$B514=B515),$A$4:$A514),""))</f>
        <v/>
      </c>
      <c r="J515" s="32">
        <f>IF(B515="","",IFERROR(D515/I515,""))</f>
        <v/>
      </c>
      <c r="K515" s="71">
        <f>IF(B515="","",IFERROR(AVERAGEIFS($J$4:$J515,$B$4:$B515,B515,$J$4:$J515,"&gt;"&amp;0),""))</f>
        <v/>
      </c>
      <c r="L515" s="7" t="n"/>
    </row>
    <row r="516" ht="14" customHeight="1" s="72">
      <c r="A516" s="75" t="n">
        <v>46067</v>
      </c>
      <c r="B516" s="76" t="n">
        <v>2053</v>
      </c>
      <c r="C516" s="69">
        <f>IF(B516="","",IFERROR(INDEX(Client_List!$B:$B,MATCH(B516,Client_List!$A:$A,0)),"⚠ NOT FOUND"))</f>
        <v/>
      </c>
      <c r="D516" s="43" t="n">
        <v>977</v>
      </c>
      <c r="E516" s="32">
        <f>IF(B516="","",IFERROR(INDEX(Client_List!$C:$C,MATCH(VALUE(B516),Client_List!$A:$A,0)),""))</f>
        <v/>
      </c>
      <c r="F516" s="53">
        <f>IF(B516="","",IFERROR(INDEX(Client_List!$D:$D,MATCH(VALUE(B516),Client_List!$A:$A,0)),""))</f>
        <v/>
      </c>
      <c r="G516" s="53">
        <f>IF(B516="","",IFERROR(INDEX(Client_List!$K:$K,MATCH(VALUE(B516),Client_List!$A:$A,0)),""))</f>
        <v/>
      </c>
      <c r="H516" s="32">
        <f>IF(B516="","",IFERROR(INDEX(Client_List!$J:$J,MATCH(VALUE(B516),Client_List!$A:$A,0)),""))</f>
        <v/>
      </c>
      <c r="I516" s="70">
        <f>IF(B516="","",IFERROR(A516-LOOKUP(2,1/($B$4:$B515=B516),$A$4:$A515),""))</f>
        <v/>
      </c>
      <c r="J516" s="32">
        <f>IF(B516="","",IFERROR(D516/I516,""))</f>
        <v/>
      </c>
      <c r="K516" s="71">
        <f>IF(B516="","",IFERROR(AVERAGEIFS($J$4:$J516,$B$4:$B516,B516,$J$4:$J516,"&gt;"&amp;0),""))</f>
        <v/>
      </c>
      <c r="L516" s="4" t="n"/>
    </row>
    <row r="517" ht="14" customHeight="1" s="72">
      <c r="A517" s="75" t="n">
        <v>46067</v>
      </c>
      <c r="B517" s="76" t="n">
        <v>10012</v>
      </c>
      <c r="C517" s="69">
        <f>IF(B517="","",IFERROR(INDEX(Client_List!$B:$B,MATCH(B517,Client_List!$A:$A,0)),"⚠ NOT FOUND"))</f>
        <v/>
      </c>
      <c r="D517" s="43" t="n">
        <v>1636</v>
      </c>
      <c r="E517" s="32">
        <f>IF(B517="","",IFERROR(INDEX(Client_List!$C:$C,MATCH(VALUE(B517),Client_List!$A:$A,0)),""))</f>
        <v/>
      </c>
      <c r="F517" s="53">
        <f>IF(B517="","",IFERROR(INDEX(Client_List!$D:$D,MATCH(VALUE(B517),Client_List!$A:$A,0)),""))</f>
        <v/>
      </c>
      <c r="G517" s="53">
        <f>IF(B517="","",IFERROR(INDEX(Client_List!$K:$K,MATCH(VALUE(B517),Client_List!$A:$A,0)),""))</f>
        <v/>
      </c>
      <c r="H517" s="32">
        <f>IF(B517="","",IFERROR(INDEX(Client_List!$J:$J,MATCH(VALUE(B517),Client_List!$A:$A,0)),""))</f>
        <v/>
      </c>
      <c r="I517" s="70">
        <f>IF(B517="","",IFERROR(A517-LOOKUP(2,1/($B$4:$B516=B517),$A$4:$A516),""))</f>
        <v/>
      </c>
      <c r="J517" s="32">
        <f>IF(B517="","",IFERROR(D517/I517,""))</f>
        <v/>
      </c>
      <c r="K517" s="71">
        <f>IF(B517="","",IFERROR(AVERAGEIFS($J$4:$J517,$B$4:$B517,B517,$J$4:$J517,"&gt;"&amp;0),""))</f>
        <v/>
      </c>
      <c r="L517" s="7" t="n"/>
    </row>
    <row r="518" ht="14" customHeight="1" s="72">
      <c r="A518" s="75" t="n">
        <v>46067</v>
      </c>
      <c r="B518" s="76" t="n">
        <v>15021</v>
      </c>
      <c r="C518" s="69">
        <f>IF(B518="","",IFERROR(INDEX(Client_List!$B:$B,MATCH(B518,Client_List!$A:$A,0)),"⚠ NOT FOUND"))</f>
        <v/>
      </c>
      <c r="D518" s="43" t="n">
        <v>372</v>
      </c>
      <c r="E518" s="32">
        <f>IF(B518="","",IFERROR(INDEX(Client_List!$C:$C,MATCH(VALUE(B518),Client_List!$A:$A,0)),""))</f>
        <v/>
      </c>
      <c r="F518" s="53">
        <f>IF(B518="","",IFERROR(INDEX(Client_List!$D:$D,MATCH(VALUE(B518),Client_List!$A:$A,0)),""))</f>
        <v/>
      </c>
      <c r="G518" s="53">
        <f>IF(B518="","",IFERROR(INDEX(Client_List!$K:$K,MATCH(VALUE(B518),Client_List!$A:$A,0)),""))</f>
        <v/>
      </c>
      <c r="H518" s="32">
        <f>IF(B518="","",IFERROR(INDEX(Client_List!$J:$J,MATCH(VALUE(B518),Client_List!$A:$A,0)),""))</f>
        <v/>
      </c>
      <c r="I518" s="70">
        <f>IF(B518="","",IFERROR(A518-LOOKUP(2,1/($B$4:$B517=B518),$A$4:$A517),""))</f>
        <v/>
      </c>
      <c r="J518" s="32">
        <f>IF(B518="","",IFERROR(D518/I518,""))</f>
        <v/>
      </c>
      <c r="K518" s="71">
        <f>IF(B518="","",IFERROR(AVERAGEIFS($J$4:$J518,$B$4:$B518,B518,$J$4:$J518,"&gt;"&amp;0),""))</f>
        <v/>
      </c>
      <c r="L518" s="4" t="n"/>
    </row>
    <row r="519" ht="14" customHeight="1" s="72">
      <c r="A519" s="75" t="n">
        <v>46067</v>
      </c>
      <c r="B519" s="76" t="n">
        <v>15028</v>
      </c>
      <c r="C519" s="69">
        <f>IF(B519="","",IFERROR(INDEX(Client_List!$B:$B,MATCH(B519,Client_List!$A:$A,0)),"⚠ NOT FOUND"))</f>
        <v/>
      </c>
      <c r="D519" s="43" t="n">
        <v>633</v>
      </c>
      <c r="E519" s="32">
        <f>IF(B519="","",IFERROR(INDEX(Client_List!$C:$C,MATCH(VALUE(B519),Client_List!$A:$A,0)),""))</f>
        <v/>
      </c>
      <c r="F519" s="53">
        <f>IF(B519="","",IFERROR(INDEX(Client_List!$D:$D,MATCH(VALUE(B519),Client_List!$A:$A,0)),""))</f>
        <v/>
      </c>
      <c r="G519" s="53">
        <f>IF(B519="","",IFERROR(INDEX(Client_List!$K:$K,MATCH(VALUE(B519),Client_List!$A:$A,0)),""))</f>
        <v/>
      </c>
      <c r="H519" s="32">
        <f>IF(B519="","",IFERROR(INDEX(Client_List!$J:$J,MATCH(VALUE(B519),Client_List!$A:$A,0)),""))</f>
        <v/>
      </c>
      <c r="I519" s="70">
        <f>IF(B519="","",IFERROR(A519-LOOKUP(2,1/($B$4:$B518=B519),$A$4:$A518),""))</f>
        <v/>
      </c>
      <c r="J519" s="32">
        <f>IF(B519="","",IFERROR(D519/I519,""))</f>
        <v/>
      </c>
      <c r="K519" s="71">
        <f>IF(B519="","",IFERROR(AVERAGEIFS($J$4:$J519,$B$4:$B519,B519,$J$4:$J519,"&gt;"&amp;0),""))</f>
        <v/>
      </c>
      <c r="L519" s="7" t="n"/>
    </row>
    <row r="520" ht="14" customHeight="1" s="72">
      <c r="A520" s="75" t="n">
        <v>46067</v>
      </c>
      <c r="B520" s="76" t="n">
        <v>15033</v>
      </c>
      <c r="C520" s="69">
        <f>IF(B520="","",IFERROR(INDEX(Client_List!$B:$B,MATCH(B520,Client_List!$A:$A,0)),"⚠ NOT FOUND"))</f>
        <v/>
      </c>
      <c r="D520" s="43" t="n">
        <v>345</v>
      </c>
      <c r="E520" s="32">
        <f>IF(B520="","",IFERROR(INDEX(Client_List!$C:$C,MATCH(VALUE(B520),Client_List!$A:$A,0)),""))</f>
        <v/>
      </c>
      <c r="F520" s="53">
        <f>IF(B520="","",IFERROR(INDEX(Client_List!$D:$D,MATCH(VALUE(B520),Client_List!$A:$A,0)),""))</f>
        <v/>
      </c>
      <c r="G520" s="53">
        <f>IF(B520="","",IFERROR(INDEX(Client_List!$K:$K,MATCH(VALUE(B520),Client_List!$A:$A,0)),""))</f>
        <v/>
      </c>
      <c r="H520" s="32">
        <f>IF(B520="","",IFERROR(INDEX(Client_List!$J:$J,MATCH(VALUE(B520),Client_List!$A:$A,0)),""))</f>
        <v/>
      </c>
      <c r="I520" s="70">
        <f>IF(B520="","",IFERROR(A520-LOOKUP(2,1/($B$4:$B519=B520),$A$4:$A519),""))</f>
        <v/>
      </c>
      <c r="J520" s="32">
        <f>IF(B520="","",IFERROR(D520/I520,""))</f>
        <v/>
      </c>
      <c r="K520" s="71">
        <f>IF(B520="","",IFERROR(AVERAGEIFS($J$4:$J520,$B$4:$B520,B520,$J$4:$J520,"&gt;"&amp;0),""))</f>
        <v/>
      </c>
      <c r="L520" s="4" t="n"/>
    </row>
    <row r="521" ht="14" customHeight="1" s="72">
      <c r="A521" s="75" t="n">
        <v>46067</v>
      </c>
      <c r="B521" s="76" t="n">
        <v>16027</v>
      </c>
      <c r="C521" s="69">
        <f>IF(B521="","",IFERROR(INDEX(Client_List!$B:$B,MATCH(B521,Client_List!$A:$A,0)),"⚠ NOT FOUND"))</f>
        <v/>
      </c>
      <c r="D521" s="43" t="n">
        <v>515</v>
      </c>
      <c r="E521" s="32">
        <f>IF(B521="","",IFERROR(INDEX(Client_List!$C:$C,MATCH(VALUE(B521),Client_List!$A:$A,0)),""))</f>
        <v/>
      </c>
      <c r="F521" s="53">
        <f>IF(B521="","",IFERROR(INDEX(Client_List!$D:$D,MATCH(VALUE(B521),Client_List!$A:$A,0)),""))</f>
        <v/>
      </c>
      <c r="G521" s="53">
        <f>IF(B521="","",IFERROR(INDEX(Client_List!$K:$K,MATCH(VALUE(B521),Client_List!$A:$A,0)),""))</f>
        <v/>
      </c>
      <c r="H521" s="32">
        <f>IF(B521="","",IFERROR(INDEX(Client_List!$J:$J,MATCH(VALUE(B521),Client_List!$A:$A,0)),""))</f>
        <v/>
      </c>
      <c r="I521" s="70">
        <f>IF(B521="","",IFERROR(A521-LOOKUP(2,1/($B$4:$B520=B521),$A$4:$A520),""))</f>
        <v/>
      </c>
      <c r="J521" s="32">
        <f>IF(B521="","",IFERROR(D521/I521,""))</f>
        <v/>
      </c>
      <c r="K521" s="71">
        <f>IF(B521="","",IFERROR(AVERAGEIFS($J$4:$J521,$B$4:$B521,B521,$J$4:$J521,"&gt;"&amp;0),""))</f>
        <v/>
      </c>
      <c r="L521" s="7" t="n"/>
    </row>
    <row r="522" ht="14" customHeight="1" s="72">
      <c r="A522" s="75" t="n">
        <v>46067</v>
      </c>
      <c r="B522" s="76" t="n">
        <v>20014</v>
      </c>
      <c r="C522" s="69">
        <f>IF(B522="","",IFERROR(INDEX(Client_List!$B:$B,MATCH(B522,Client_List!$A:$A,0)),"⚠ NOT FOUND"))</f>
        <v/>
      </c>
      <c r="D522" s="43" t="n">
        <v>877</v>
      </c>
      <c r="E522" s="32">
        <f>IF(B522="","",IFERROR(INDEX(Client_List!$C:$C,MATCH(VALUE(B522),Client_List!$A:$A,0)),""))</f>
        <v/>
      </c>
      <c r="F522" s="53">
        <f>IF(B522="","",IFERROR(INDEX(Client_List!$D:$D,MATCH(VALUE(B522),Client_List!$A:$A,0)),""))</f>
        <v/>
      </c>
      <c r="G522" s="53">
        <f>IF(B522="","",IFERROR(INDEX(Client_List!$K:$K,MATCH(VALUE(B522),Client_List!$A:$A,0)),""))</f>
        <v/>
      </c>
      <c r="H522" s="32">
        <f>IF(B522="","",IFERROR(INDEX(Client_List!$J:$J,MATCH(VALUE(B522),Client_List!$A:$A,0)),""))</f>
        <v/>
      </c>
      <c r="I522" s="70">
        <f>IF(B522="","",IFERROR(A522-LOOKUP(2,1/($B$4:$B521=B522),$A$4:$A521),""))</f>
        <v/>
      </c>
      <c r="J522" s="32">
        <f>IF(B522="","",IFERROR(D522/I522,""))</f>
        <v/>
      </c>
      <c r="K522" s="71">
        <f>IF(B522="","",IFERROR(AVERAGEIFS($J$4:$J522,$B$4:$B522,B522,$J$4:$J522,"&gt;"&amp;0),""))</f>
        <v/>
      </c>
      <c r="L522" s="4" t="n"/>
    </row>
    <row r="523" ht="14" customHeight="1" s="72">
      <c r="A523" s="75" t="n">
        <v>46067</v>
      </c>
      <c r="B523" s="76" t="n">
        <v>20021</v>
      </c>
      <c r="C523" s="69">
        <f>IF(B523="","",IFERROR(INDEX(Client_List!$B:$B,MATCH(B523,Client_List!$A:$A,0)),"⚠ NOT FOUND"))</f>
        <v/>
      </c>
      <c r="D523" s="43" t="n">
        <v>902</v>
      </c>
      <c r="E523" s="32">
        <f>IF(B523="","",IFERROR(INDEX(Client_List!$C:$C,MATCH(VALUE(B523),Client_List!$A:$A,0)),""))</f>
        <v/>
      </c>
      <c r="F523" s="53">
        <f>IF(B523="","",IFERROR(INDEX(Client_List!$D:$D,MATCH(VALUE(B523),Client_List!$A:$A,0)),""))</f>
        <v/>
      </c>
      <c r="G523" s="53">
        <f>IF(B523="","",IFERROR(INDEX(Client_List!$K:$K,MATCH(VALUE(B523),Client_List!$A:$A,0)),""))</f>
        <v/>
      </c>
      <c r="H523" s="32">
        <f>IF(B523="","",IFERROR(INDEX(Client_List!$J:$J,MATCH(VALUE(B523),Client_List!$A:$A,0)),""))</f>
        <v/>
      </c>
      <c r="I523" s="70">
        <f>IF(B523="","",IFERROR(A523-LOOKUP(2,1/($B$4:$B522=B523),$A$4:$A522),""))</f>
        <v/>
      </c>
      <c r="J523" s="32">
        <f>IF(B523="","",IFERROR(D523/I523,""))</f>
        <v/>
      </c>
      <c r="K523" s="71">
        <f>IF(B523="","",IFERROR(AVERAGEIFS($J$4:$J523,$B$4:$B523,B523,$J$4:$J523,"&gt;"&amp;0),""))</f>
        <v/>
      </c>
      <c r="L523" s="7" t="n"/>
    </row>
    <row r="524" ht="14" customHeight="1" s="72">
      <c r="A524" s="75" t="n">
        <v>46067</v>
      </c>
      <c r="B524" s="76" t="n">
        <v>20097</v>
      </c>
      <c r="C524" s="69">
        <f>IF(B524="","",IFERROR(INDEX(Client_List!$B:$B,MATCH(B524,Client_List!$A:$A,0)),"⚠ NOT FOUND"))</f>
        <v/>
      </c>
      <c r="D524" s="43" t="n">
        <v>988</v>
      </c>
      <c r="E524" s="32">
        <f>IF(B524="","",IFERROR(INDEX(Client_List!$C:$C,MATCH(VALUE(B524),Client_List!$A:$A,0)),""))</f>
        <v/>
      </c>
      <c r="F524" s="53">
        <f>IF(B524="","",IFERROR(INDEX(Client_List!$D:$D,MATCH(VALUE(B524),Client_List!$A:$A,0)),""))</f>
        <v/>
      </c>
      <c r="G524" s="53">
        <f>IF(B524="","",IFERROR(INDEX(Client_List!$K:$K,MATCH(VALUE(B524),Client_List!$A:$A,0)),""))</f>
        <v/>
      </c>
      <c r="H524" s="32">
        <f>IF(B524="","",IFERROR(INDEX(Client_List!$J:$J,MATCH(VALUE(B524),Client_List!$A:$A,0)),""))</f>
        <v/>
      </c>
      <c r="I524" s="70">
        <f>IF(B524="","",IFERROR(A524-LOOKUP(2,1/($B$4:$B523=B524),$A$4:$A523),""))</f>
        <v/>
      </c>
      <c r="J524" s="32">
        <f>IF(B524="","",IFERROR(D524/I524,""))</f>
        <v/>
      </c>
      <c r="K524" s="71">
        <f>IF(B524="","",IFERROR(AVERAGEIFS($J$4:$J524,$B$4:$B524,B524,$J$4:$J524,"&gt;"&amp;0),""))</f>
        <v/>
      </c>
      <c r="L524" s="4" t="n"/>
    </row>
    <row r="525" ht="14" customHeight="1" s="72">
      <c r="A525" s="75" t="n">
        <v>46068</v>
      </c>
      <c r="B525" s="76" t="n">
        <v>1014</v>
      </c>
      <c r="C525" s="69">
        <f>IF(B525="","",IFERROR(INDEX(Client_List!$B:$B,MATCH(B525,Client_List!$A:$A,0)),"⚠ NOT FOUND"))</f>
        <v/>
      </c>
      <c r="D525" s="43" t="n">
        <v>482</v>
      </c>
      <c r="E525" s="32">
        <f>IF(B525="","",IFERROR(INDEX(Client_List!$C:$C,MATCH(VALUE(B525),Client_List!$A:$A,0)),""))</f>
        <v/>
      </c>
      <c r="F525" s="53">
        <f>IF(B525="","",IFERROR(INDEX(Client_List!$D:$D,MATCH(VALUE(B525),Client_List!$A:$A,0)),""))</f>
        <v/>
      </c>
      <c r="G525" s="53">
        <f>IF(B525="","",IFERROR(INDEX(Client_List!$K:$K,MATCH(VALUE(B525),Client_List!$A:$A,0)),""))</f>
        <v/>
      </c>
      <c r="H525" s="32">
        <f>IF(B525="","",IFERROR(INDEX(Client_List!$J:$J,MATCH(VALUE(B525),Client_List!$A:$A,0)),""))</f>
        <v/>
      </c>
      <c r="I525" s="70">
        <f>IF(B525="","",IFERROR(A525-LOOKUP(2,1/($B$4:$B524=B525),$A$4:$A524),""))</f>
        <v/>
      </c>
      <c r="J525" s="32">
        <f>IF(B525="","",IFERROR(D525/I525,""))</f>
        <v/>
      </c>
      <c r="K525" s="71">
        <f>IF(B525="","",IFERROR(AVERAGEIFS($J$4:$J525,$B$4:$B525,B525,$J$4:$J525,"&gt;"&amp;0),""))</f>
        <v/>
      </c>
      <c r="L525" s="7" t="n"/>
    </row>
    <row r="526" ht="14" customHeight="1" s="72">
      <c r="A526" s="75" t="n">
        <v>46068</v>
      </c>
      <c r="B526" s="76" t="n">
        <v>1063</v>
      </c>
      <c r="C526" s="69">
        <f>IF(B526="","",IFERROR(INDEX(Client_List!$B:$B,MATCH(B526,Client_List!$A:$A,0)),"⚠ NOT FOUND"))</f>
        <v/>
      </c>
      <c r="D526" s="43" t="n">
        <v>479</v>
      </c>
      <c r="E526" s="32">
        <f>IF(B526="","",IFERROR(INDEX(Client_List!$C:$C,MATCH(VALUE(B526),Client_List!$A:$A,0)),""))</f>
        <v/>
      </c>
      <c r="F526" s="53">
        <f>IF(B526="","",IFERROR(INDEX(Client_List!$D:$D,MATCH(VALUE(B526),Client_List!$A:$A,0)),""))</f>
        <v/>
      </c>
      <c r="G526" s="53">
        <f>IF(B526="","",IFERROR(INDEX(Client_List!$K:$K,MATCH(VALUE(B526),Client_List!$A:$A,0)),""))</f>
        <v/>
      </c>
      <c r="H526" s="32">
        <f>IF(B526="","",IFERROR(INDEX(Client_List!$J:$J,MATCH(VALUE(B526),Client_List!$A:$A,0)),""))</f>
        <v/>
      </c>
      <c r="I526" s="70">
        <f>IF(B526="","",IFERROR(A526-LOOKUP(2,1/($B$4:$B525=B526),$A$4:$A525),""))</f>
        <v/>
      </c>
      <c r="J526" s="32">
        <f>IF(B526="","",IFERROR(D526/I526,""))</f>
        <v/>
      </c>
      <c r="K526" s="71">
        <f>IF(B526="","",IFERROR(AVERAGEIFS($J$4:$J526,$B$4:$B526,B526,$J$4:$J526,"&gt;"&amp;0),""))</f>
        <v/>
      </c>
      <c r="L526" s="4" t="n"/>
    </row>
    <row r="527" ht="14" customHeight="1" s="72">
      <c r="A527" s="75" t="n">
        <v>46068</v>
      </c>
      <c r="B527" s="76" t="n">
        <v>2045</v>
      </c>
      <c r="C527" s="69">
        <f>IF(B527="","",IFERROR(INDEX(Client_List!$B:$B,MATCH(B527,Client_List!$A:$A,0)),"⚠ NOT FOUND"))</f>
        <v/>
      </c>
      <c r="D527" s="43" t="n">
        <v>197</v>
      </c>
      <c r="E527" s="32">
        <f>IF(B527="","",IFERROR(INDEX(Client_List!$C:$C,MATCH(VALUE(B527),Client_List!$A:$A,0)),""))</f>
        <v/>
      </c>
      <c r="F527" s="53">
        <f>IF(B527="","",IFERROR(INDEX(Client_List!$D:$D,MATCH(VALUE(B527),Client_List!$A:$A,0)),""))</f>
        <v/>
      </c>
      <c r="G527" s="53">
        <f>IF(B527="","",IFERROR(INDEX(Client_List!$K:$K,MATCH(VALUE(B527),Client_List!$A:$A,0)),""))</f>
        <v/>
      </c>
      <c r="H527" s="32">
        <f>IF(B527="","",IFERROR(INDEX(Client_List!$J:$J,MATCH(VALUE(B527),Client_List!$A:$A,0)),""))</f>
        <v/>
      </c>
      <c r="I527" s="70">
        <f>IF(B527="","",IFERROR(A527-LOOKUP(2,1/($B$4:$B526=B527),$A$4:$A526),""))</f>
        <v/>
      </c>
      <c r="J527" s="32">
        <f>IF(B527="","",IFERROR(D527/I527,""))</f>
        <v/>
      </c>
      <c r="K527" s="71">
        <f>IF(B527="","",IFERROR(AVERAGEIFS($J$4:$J527,$B$4:$B527,B527,$J$4:$J527,"&gt;"&amp;0),""))</f>
        <v/>
      </c>
      <c r="L527" s="7" t="n"/>
    </row>
    <row r="528" ht="14" customHeight="1" s="72">
      <c r="A528" s="75" t="n">
        <v>46068</v>
      </c>
      <c r="B528" s="76" t="n">
        <v>7002</v>
      </c>
      <c r="C528" s="69">
        <f>IF(B528="","",IFERROR(INDEX(Client_List!$B:$B,MATCH(B528,Client_List!$A:$A,0)),"⚠ NOT FOUND"))</f>
        <v/>
      </c>
      <c r="D528" s="43" t="n">
        <v>482</v>
      </c>
      <c r="E528" s="32">
        <f>IF(B528="","",IFERROR(INDEX(Client_List!$C:$C,MATCH(VALUE(B528),Client_List!$A:$A,0)),""))</f>
        <v/>
      </c>
      <c r="F528" s="53">
        <f>IF(B528="","",IFERROR(INDEX(Client_List!$D:$D,MATCH(VALUE(B528),Client_List!$A:$A,0)),""))</f>
        <v/>
      </c>
      <c r="G528" s="53">
        <f>IF(B528="","",IFERROR(INDEX(Client_List!$K:$K,MATCH(VALUE(B528),Client_List!$A:$A,0)),""))</f>
        <v/>
      </c>
      <c r="H528" s="32">
        <f>IF(B528="","",IFERROR(INDEX(Client_List!$J:$J,MATCH(VALUE(B528),Client_List!$A:$A,0)),""))</f>
        <v/>
      </c>
      <c r="I528" s="70">
        <f>IF(B528="","",IFERROR(A528-LOOKUP(2,1/($B$4:$B527=B528),$A$4:$A527),""))</f>
        <v/>
      </c>
      <c r="J528" s="32">
        <f>IF(B528="","",IFERROR(D528/I528,""))</f>
        <v/>
      </c>
      <c r="K528" s="71">
        <f>IF(B528="","",IFERROR(AVERAGEIFS($J$4:$J528,$B$4:$B528,B528,$J$4:$J528,"&gt;"&amp;0),""))</f>
        <v/>
      </c>
      <c r="L528" s="4" t="n"/>
    </row>
    <row r="529" ht="14" customHeight="1" s="72">
      <c r="A529" s="75" t="n">
        <v>46068</v>
      </c>
      <c r="B529" s="76" t="n">
        <v>12048</v>
      </c>
      <c r="C529" s="69">
        <f>IF(B529="","",IFERROR(INDEX(Client_List!$B:$B,MATCH(B529,Client_List!$A:$A,0)),"⚠ NOT FOUND"))</f>
        <v/>
      </c>
      <c r="D529" s="43" t="n">
        <v>998</v>
      </c>
      <c r="E529" s="32">
        <f>IF(B529="","",IFERROR(INDEX(Client_List!$C:$C,MATCH(VALUE(B529),Client_List!$A:$A,0)),""))</f>
        <v/>
      </c>
      <c r="F529" s="53">
        <f>IF(B529="","",IFERROR(INDEX(Client_List!$D:$D,MATCH(VALUE(B529),Client_List!$A:$A,0)),""))</f>
        <v/>
      </c>
      <c r="G529" s="53">
        <f>IF(B529="","",IFERROR(INDEX(Client_List!$K:$K,MATCH(VALUE(B529),Client_List!$A:$A,0)),""))</f>
        <v/>
      </c>
      <c r="H529" s="32">
        <f>IF(B529="","",IFERROR(INDEX(Client_List!$J:$J,MATCH(VALUE(B529),Client_List!$A:$A,0)),""))</f>
        <v/>
      </c>
      <c r="I529" s="70">
        <f>IF(B529="","",IFERROR(A529-LOOKUP(2,1/($B$4:$B528=B529),$A$4:$A528),""))</f>
        <v/>
      </c>
      <c r="J529" s="32">
        <f>IF(B529="","",IFERROR(D529/I529,""))</f>
        <v/>
      </c>
      <c r="K529" s="71">
        <f>IF(B529="","",IFERROR(AVERAGEIFS($J$4:$J529,$B$4:$B529,B529,$J$4:$J529,"&gt;"&amp;0),""))</f>
        <v/>
      </c>
      <c r="L529" s="7" t="n"/>
    </row>
    <row r="530" ht="14" customHeight="1" s="72">
      <c r="A530" s="75" t="n">
        <v>46068</v>
      </c>
      <c r="B530" s="76" t="n">
        <v>15009</v>
      </c>
      <c r="C530" s="69">
        <f>IF(B530="","",IFERROR(INDEX(Client_List!$B:$B,MATCH(B530,Client_List!$A:$A,0)),"⚠ NOT FOUND"))</f>
        <v/>
      </c>
      <c r="D530" s="43" t="n">
        <v>429</v>
      </c>
      <c r="E530" s="32">
        <f>IF(B530="","",IFERROR(INDEX(Client_List!$C:$C,MATCH(VALUE(B530),Client_List!$A:$A,0)),""))</f>
        <v/>
      </c>
      <c r="F530" s="53">
        <f>IF(B530="","",IFERROR(INDEX(Client_List!$D:$D,MATCH(VALUE(B530),Client_List!$A:$A,0)),""))</f>
        <v/>
      </c>
      <c r="G530" s="53">
        <f>IF(B530="","",IFERROR(INDEX(Client_List!$K:$K,MATCH(VALUE(B530),Client_List!$A:$A,0)),""))</f>
        <v/>
      </c>
      <c r="H530" s="32">
        <f>IF(B530="","",IFERROR(INDEX(Client_List!$J:$J,MATCH(VALUE(B530),Client_List!$A:$A,0)),""))</f>
        <v/>
      </c>
      <c r="I530" s="70">
        <f>IF(B530="","",IFERROR(A530-LOOKUP(2,1/($B$4:$B529=B530),$A$4:$A529),""))</f>
        <v/>
      </c>
      <c r="J530" s="32">
        <f>IF(B530="","",IFERROR(D530/I530,""))</f>
        <v/>
      </c>
      <c r="K530" s="71">
        <f>IF(B530="","",IFERROR(AVERAGEIFS($J$4:$J530,$B$4:$B530,B530,$J$4:$J530,"&gt;"&amp;0),""))</f>
        <v/>
      </c>
      <c r="L530" s="4" t="n"/>
    </row>
    <row r="531" ht="14" customHeight="1" s="72">
      <c r="A531" s="75" t="n">
        <v>46068</v>
      </c>
      <c r="B531" s="76" t="n">
        <v>15018</v>
      </c>
      <c r="C531" s="69">
        <f>IF(B531="","",IFERROR(INDEX(Client_List!$B:$B,MATCH(B531,Client_List!$A:$A,0)),"⚠ NOT FOUND"))</f>
        <v/>
      </c>
      <c r="D531" s="43" t="n">
        <v>362</v>
      </c>
      <c r="E531" s="32">
        <f>IF(B531="","",IFERROR(INDEX(Client_List!$C:$C,MATCH(VALUE(B531),Client_List!$A:$A,0)),""))</f>
        <v/>
      </c>
      <c r="F531" s="53">
        <f>IF(B531="","",IFERROR(INDEX(Client_List!$D:$D,MATCH(VALUE(B531),Client_List!$A:$A,0)),""))</f>
        <v/>
      </c>
      <c r="G531" s="53">
        <f>IF(B531="","",IFERROR(INDEX(Client_List!$K:$K,MATCH(VALUE(B531),Client_List!$A:$A,0)),""))</f>
        <v/>
      </c>
      <c r="H531" s="32">
        <f>IF(B531="","",IFERROR(INDEX(Client_List!$J:$J,MATCH(VALUE(B531),Client_List!$A:$A,0)),""))</f>
        <v/>
      </c>
      <c r="I531" s="70">
        <f>IF(B531="","",IFERROR(A531-LOOKUP(2,1/($B$4:$B530=B531),$A$4:$A530),""))</f>
        <v/>
      </c>
      <c r="J531" s="32">
        <f>IF(B531="","",IFERROR(D531/I531,""))</f>
        <v/>
      </c>
      <c r="K531" s="71">
        <f>IF(B531="","",IFERROR(AVERAGEIFS($J$4:$J531,$B$4:$B531,B531,$J$4:$J531,"&gt;"&amp;0),""))</f>
        <v/>
      </c>
      <c r="L531" s="7" t="n"/>
    </row>
    <row r="532" ht="14" customHeight="1" s="72">
      <c r="A532" s="75" t="n">
        <v>46068</v>
      </c>
      <c r="B532" s="76" t="n">
        <v>19077</v>
      </c>
      <c r="C532" s="69">
        <f>IF(B532="","",IFERROR(INDEX(Client_List!$B:$B,MATCH(B532,Client_List!$A:$A,0)),"⚠ NOT FOUND"))</f>
        <v/>
      </c>
      <c r="D532" s="43" t="n">
        <v>1078</v>
      </c>
      <c r="E532" s="32">
        <f>IF(B532="","",IFERROR(INDEX(Client_List!$C:$C,MATCH(VALUE(B532),Client_List!$A:$A,0)),""))</f>
        <v/>
      </c>
      <c r="F532" s="53">
        <f>IF(B532="","",IFERROR(INDEX(Client_List!$D:$D,MATCH(VALUE(B532),Client_List!$A:$A,0)),""))</f>
        <v/>
      </c>
      <c r="G532" s="53">
        <f>IF(B532="","",IFERROR(INDEX(Client_List!$K:$K,MATCH(VALUE(B532),Client_List!$A:$A,0)),""))</f>
        <v/>
      </c>
      <c r="H532" s="32">
        <f>IF(B532="","",IFERROR(INDEX(Client_List!$J:$J,MATCH(VALUE(B532),Client_List!$A:$A,0)),""))</f>
        <v/>
      </c>
      <c r="I532" s="70">
        <f>IF(B532="","",IFERROR(A532-LOOKUP(2,1/($B$4:$B531=B532),$A$4:$A531),""))</f>
        <v/>
      </c>
      <c r="J532" s="32">
        <f>IF(B532="","",IFERROR(D532/I532,""))</f>
        <v/>
      </c>
      <c r="K532" s="71">
        <f>IF(B532="","",IFERROR(AVERAGEIFS($J$4:$J532,$B$4:$B532,B532,$J$4:$J532,"&gt;"&amp;0),""))</f>
        <v/>
      </c>
      <c r="L532" s="4" t="n"/>
    </row>
    <row r="533" ht="14" customHeight="1" s="72">
      <c r="A533" s="75" t="n">
        <v>46069</v>
      </c>
      <c r="B533" s="76" t="n">
        <v>2023</v>
      </c>
      <c r="C533" s="69">
        <f>IF(B533="","",IFERROR(INDEX(Client_List!$B:$B,MATCH(B533,Client_List!$A:$A,0)),"⚠ NOT FOUND"))</f>
        <v/>
      </c>
      <c r="D533" s="43" t="n">
        <v>577</v>
      </c>
      <c r="E533" s="32">
        <f>IF(B533="","",IFERROR(INDEX(Client_List!$C:$C,MATCH(VALUE(B533),Client_List!$A:$A,0)),""))</f>
        <v/>
      </c>
      <c r="F533" s="53">
        <f>IF(B533="","",IFERROR(INDEX(Client_List!$D:$D,MATCH(VALUE(B533),Client_List!$A:$A,0)),""))</f>
        <v/>
      </c>
      <c r="G533" s="53">
        <f>IF(B533="","",IFERROR(INDEX(Client_List!$K:$K,MATCH(VALUE(B533),Client_List!$A:$A,0)),""))</f>
        <v/>
      </c>
      <c r="H533" s="32">
        <f>IF(B533="","",IFERROR(INDEX(Client_List!$J:$J,MATCH(VALUE(B533),Client_List!$A:$A,0)),""))</f>
        <v/>
      </c>
      <c r="I533" s="70">
        <f>IF(B533="","",IFERROR(A533-LOOKUP(2,1/($B$4:$B532=B533),$A$4:$A532),""))</f>
        <v/>
      </c>
      <c r="J533" s="32">
        <f>IF(B533="","",IFERROR(D533/I533,""))</f>
        <v/>
      </c>
      <c r="K533" s="71">
        <f>IF(B533="","",IFERROR(AVERAGEIFS($J$4:$J533,$B$4:$B533,B533,$J$4:$J533,"&gt;"&amp;0),""))</f>
        <v/>
      </c>
      <c r="L533" s="7" t="n"/>
    </row>
    <row r="534" ht="14" customHeight="1" s="72">
      <c r="A534" s="75" t="n">
        <v>46069</v>
      </c>
      <c r="B534" s="76" t="n">
        <v>3021</v>
      </c>
      <c r="C534" s="69">
        <f>IF(B534="","",IFERROR(INDEX(Client_List!$B:$B,MATCH(B534,Client_List!$A:$A,0)),"⚠ NOT FOUND"))</f>
        <v/>
      </c>
      <c r="D534" s="43" t="n">
        <v>343</v>
      </c>
      <c r="E534" s="32">
        <f>IF(B534="","",IFERROR(INDEX(Client_List!$C:$C,MATCH(VALUE(B534),Client_List!$A:$A,0)),""))</f>
        <v/>
      </c>
      <c r="F534" s="53">
        <f>IF(B534="","",IFERROR(INDEX(Client_List!$D:$D,MATCH(VALUE(B534),Client_List!$A:$A,0)),""))</f>
        <v/>
      </c>
      <c r="G534" s="53">
        <f>IF(B534="","",IFERROR(INDEX(Client_List!$K:$K,MATCH(VALUE(B534),Client_List!$A:$A,0)),""))</f>
        <v/>
      </c>
      <c r="H534" s="32">
        <f>IF(B534="","",IFERROR(INDEX(Client_List!$J:$J,MATCH(VALUE(B534),Client_List!$A:$A,0)),""))</f>
        <v/>
      </c>
      <c r="I534" s="70">
        <f>IF(B534="","",IFERROR(A534-LOOKUP(2,1/($B$4:$B533=B534),$A$4:$A533),""))</f>
        <v/>
      </c>
      <c r="J534" s="32">
        <f>IF(B534="","",IFERROR(D534/I534,""))</f>
        <v/>
      </c>
      <c r="K534" s="71">
        <f>IF(B534="","",IFERROR(AVERAGEIFS($J$4:$J534,$B$4:$B534,B534,$J$4:$J534,"&gt;"&amp;0),""))</f>
        <v/>
      </c>
      <c r="L534" s="4" t="n"/>
    </row>
    <row r="535" ht="14" customHeight="1" s="72">
      <c r="A535" s="75" t="n">
        <v>46069</v>
      </c>
      <c r="B535" s="76" t="n">
        <v>12047</v>
      </c>
      <c r="C535" s="69">
        <f>IF(B535="","",IFERROR(INDEX(Client_List!$B:$B,MATCH(B535,Client_List!$A:$A,0)),"⚠ NOT FOUND"))</f>
        <v/>
      </c>
      <c r="D535" s="43" t="n">
        <v>629</v>
      </c>
      <c r="E535" s="32">
        <f>IF(B535="","",IFERROR(INDEX(Client_List!$C:$C,MATCH(VALUE(B535),Client_List!$A:$A,0)),""))</f>
        <v/>
      </c>
      <c r="F535" s="53">
        <f>IF(B535="","",IFERROR(INDEX(Client_List!$D:$D,MATCH(VALUE(B535),Client_List!$A:$A,0)),""))</f>
        <v/>
      </c>
      <c r="G535" s="53">
        <f>IF(B535="","",IFERROR(INDEX(Client_List!$K:$K,MATCH(VALUE(B535),Client_List!$A:$A,0)),""))</f>
        <v/>
      </c>
      <c r="H535" s="32">
        <f>IF(B535="","",IFERROR(INDEX(Client_List!$J:$J,MATCH(VALUE(B535),Client_List!$A:$A,0)),""))</f>
        <v/>
      </c>
      <c r="I535" s="70">
        <f>IF(B535="","",IFERROR(A535-LOOKUP(2,1/($B$4:$B534=B535),$A$4:$A534),""))</f>
        <v/>
      </c>
      <c r="J535" s="32">
        <f>IF(B535="","",IFERROR(D535/I535,""))</f>
        <v/>
      </c>
      <c r="K535" s="71">
        <f>IF(B535="","",IFERROR(AVERAGEIFS($J$4:$J535,$B$4:$B535,B535,$J$4:$J535,"&gt;"&amp;0),""))</f>
        <v/>
      </c>
      <c r="L535" s="7" t="n"/>
    </row>
    <row r="536" ht="14" customHeight="1" s="72">
      <c r="A536" s="75" t="n">
        <v>46069</v>
      </c>
      <c r="B536" s="76" t="n">
        <v>12055</v>
      </c>
      <c r="C536" s="69">
        <f>IF(B536="","",IFERROR(INDEX(Client_List!$B:$B,MATCH(B536,Client_List!$A:$A,0)),"⚠ NOT FOUND"))</f>
        <v/>
      </c>
      <c r="D536" s="43" t="n">
        <v>949</v>
      </c>
      <c r="E536" s="32">
        <f>IF(B536="","",IFERROR(INDEX(Client_List!$C:$C,MATCH(VALUE(B536),Client_List!$A:$A,0)),""))</f>
        <v/>
      </c>
      <c r="F536" s="53">
        <f>IF(B536="","",IFERROR(INDEX(Client_List!$D:$D,MATCH(VALUE(B536),Client_List!$A:$A,0)),""))</f>
        <v/>
      </c>
      <c r="G536" s="53">
        <f>IF(B536="","",IFERROR(INDEX(Client_List!$K:$K,MATCH(VALUE(B536),Client_List!$A:$A,0)),""))</f>
        <v/>
      </c>
      <c r="H536" s="32">
        <f>IF(B536="","",IFERROR(INDEX(Client_List!$J:$J,MATCH(VALUE(B536),Client_List!$A:$A,0)),""))</f>
        <v/>
      </c>
      <c r="I536" s="70">
        <f>IF(B536="","",IFERROR(A536-LOOKUP(2,1/($B$4:$B535=B536),$A$4:$A535),""))</f>
        <v/>
      </c>
      <c r="J536" s="32">
        <f>IF(B536="","",IFERROR(D536/I536,""))</f>
        <v/>
      </c>
      <c r="K536" s="71">
        <f>IF(B536="","",IFERROR(AVERAGEIFS($J$4:$J536,$B$4:$B536,B536,$J$4:$J536,"&gt;"&amp;0),""))</f>
        <v/>
      </c>
      <c r="L536" s="4" t="n"/>
    </row>
    <row r="537" ht="14" customHeight="1" s="72">
      <c r="A537" s="75" t="n">
        <v>46069</v>
      </c>
      <c r="B537" s="76" t="n">
        <v>13009</v>
      </c>
      <c r="C537" s="69">
        <f>IF(B537="","",IFERROR(INDEX(Client_List!$B:$B,MATCH(B537,Client_List!$A:$A,0)),"⚠ NOT FOUND"))</f>
        <v/>
      </c>
      <c r="D537" s="43" t="n">
        <v>1056</v>
      </c>
      <c r="E537" s="32">
        <f>IF(B537="","",IFERROR(INDEX(Client_List!$C:$C,MATCH(VALUE(B537),Client_List!$A:$A,0)),""))</f>
        <v/>
      </c>
      <c r="F537" s="53">
        <f>IF(B537="","",IFERROR(INDEX(Client_List!$D:$D,MATCH(VALUE(B537),Client_List!$A:$A,0)),""))</f>
        <v/>
      </c>
      <c r="G537" s="53">
        <f>IF(B537="","",IFERROR(INDEX(Client_List!$K:$K,MATCH(VALUE(B537),Client_List!$A:$A,0)),""))</f>
        <v/>
      </c>
      <c r="H537" s="32">
        <f>IF(B537="","",IFERROR(INDEX(Client_List!$J:$J,MATCH(VALUE(B537),Client_List!$A:$A,0)),""))</f>
        <v/>
      </c>
      <c r="I537" s="70">
        <f>IF(B537="","",IFERROR(A537-LOOKUP(2,1/($B$4:$B536=B537),$A$4:$A536),""))</f>
        <v/>
      </c>
      <c r="J537" s="32">
        <f>IF(B537="","",IFERROR(D537/I537,""))</f>
        <v/>
      </c>
      <c r="K537" s="71">
        <f>IF(B537="","",IFERROR(AVERAGEIFS($J$4:$J537,$B$4:$B537,B537,$J$4:$J537,"&gt;"&amp;0),""))</f>
        <v/>
      </c>
      <c r="L537" s="7" t="n"/>
    </row>
    <row r="538" ht="14" customHeight="1" s="72">
      <c r="A538" s="75" t="n">
        <v>46069</v>
      </c>
      <c r="B538" s="76" t="n">
        <v>13012</v>
      </c>
      <c r="C538" s="69">
        <f>IF(B538="","",IFERROR(INDEX(Client_List!$B:$B,MATCH(B538,Client_List!$A:$A,0)),"⚠ NOT FOUND"))</f>
        <v/>
      </c>
      <c r="D538" s="43" t="n">
        <v>699</v>
      </c>
      <c r="E538" s="32">
        <f>IF(B538="","",IFERROR(INDEX(Client_List!$C:$C,MATCH(VALUE(B538),Client_List!$A:$A,0)),""))</f>
        <v/>
      </c>
      <c r="F538" s="53">
        <f>IF(B538="","",IFERROR(INDEX(Client_List!$D:$D,MATCH(VALUE(B538),Client_List!$A:$A,0)),""))</f>
        <v/>
      </c>
      <c r="G538" s="53">
        <f>IF(B538="","",IFERROR(INDEX(Client_List!$K:$K,MATCH(VALUE(B538),Client_List!$A:$A,0)),""))</f>
        <v/>
      </c>
      <c r="H538" s="32">
        <f>IF(B538="","",IFERROR(INDEX(Client_List!$J:$J,MATCH(VALUE(B538),Client_List!$A:$A,0)),""))</f>
        <v/>
      </c>
      <c r="I538" s="70">
        <f>IF(B538="","",IFERROR(A538-LOOKUP(2,1/($B$4:$B537=B538),$A$4:$A537),""))</f>
        <v/>
      </c>
      <c r="J538" s="32">
        <f>IF(B538="","",IFERROR(D538/I538,""))</f>
        <v/>
      </c>
      <c r="K538" s="71">
        <f>IF(B538="","",IFERROR(AVERAGEIFS($J$4:$J538,$B$4:$B538,B538,$J$4:$J538,"&gt;"&amp;0),""))</f>
        <v/>
      </c>
      <c r="L538" s="4" t="n"/>
    </row>
    <row r="539" ht="14" customHeight="1" s="72">
      <c r="A539" s="75" t="n">
        <v>46069</v>
      </c>
      <c r="B539" s="76" t="n">
        <v>13013</v>
      </c>
      <c r="C539" s="69">
        <f>IF(B539="","",IFERROR(INDEX(Client_List!$B:$B,MATCH(B539,Client_List!$A:$A,0)),"⚠ NOT FOUND"))</f>
        <v/>
      </c>
      <c r="D539" s="43" t="n">
        <v>1047</v>
      </c>
      <c r="E539" s="32">
        <f>IF(B539="","",IFERROR(INDEX(Client_List!$C:$C,MATCH(VALUE(B539),Client_List!$A:$A,0)),""))</f>
        <v/>
      </c>
      <c r="F539" s="53">
        <f>IF(B539="","",IFERROR(INDEX(Client_List!$D:$D,MATCH(VALUE(B539),Client_List!$A:$A,0)),""))</f>
        <v/>
      </c>
      <c r="G539" s="53">
        <f>IF(B539="","",IFERROR(INDEX(Client_List!$K:$K,MATCH(VALUE(B539),Client_List!$A:$A,0)),""))</f>
        <v/>
      </c>
      <c r="H539" s="32">
        <f>IF(B539="","",IFERROR(INDEX(Client_List!$J:$J,MATCH(VALUE(B539),Client_List!$A:$A,0)),""))</f>
        <v/>
      </c>
      <c r="I539" s="70">
        <f>IF(B539="","",IFERROR(A539-LOOKUP(2,1/($B$4:$B538=B539),$A$4:$A538),""))</f>
        <v/>
      </c>
      <c r="J539" s="32">
        <f>IF(B539="","",IFERROR(D539/I539,""))</f>
        <v/>
      </c>
      <c r="K539" s="71">
        <f>IF(B539="","",IFERROR(AVERAGEIFS($J$4:$J539,$B$4:$B539,B539,$J$4:$J539,"&gt;"&amp;0),""))</f>
        <v/>
      </c>
      <c r="L539" s="7" t="n"/>
    </row>
    <row r="540" ht="14" customHeight="1" s="72">
      <c r="A540" s="75" t="n">
        <v>46069</v>
      </c>
      <c r="B540" s="76" t="n">
        <v>13015</v>
      </c>
      <c r="C540" s="69">
        <f>IF(B540="","",IFERROR(INDEX(Client_List!$B:$B,MATCH(B540,Client_List!$A:$A,0)),"⚠ NOT FOUND"))</f>
        <v/>
      </c>
      <c r="D540" s="43" t="n">
        <v>710</v>
      </c>
      <c r="E540" s="32">
        <f>IF(B540="","",IFERROR(INDEX(Client_List!$C:$C,MATCH(VALUE(B540),Client_List!$A:$A,0)),""))</f>
        <v/>
      </c>
      <c r="F540" s="53">
        <f>IF(B540="","",IFERROR(INDEX(Client_List!$D:$D,MATCH(VALUE(B540),Client_List!$A:$A,0)),""))</f>
        <v/>
      </c>
      <c r="G540" s="53">
        <f>IF(B540="","",IFERROR(INDEX(Client_List!$K:$K,MATCH(VALUE(B540),Client_List!$A:$A,0)),""))</f>
        <v/>
      </c>
      <c r="H540" s="32">
        <f>IF(B540="","",IFERROR(INDEX(Client_List!$J:$J,MATCH(VALUE(B540),Client_List!$A:$A,0)),""))</f>
        <v/>
      </c>
      <c r="I540" s="70">
        <f>IF(B540="","",IFERROR(A540-LOOKUP(2,1/($B$4:$B539=B540),$A$4:$A539),""))</f>
        <v/>
      </c>
      <c r="J540" s="32">
        <f>IF(B540="","",IFERROR(D540/I540,""))</f>
        <v/>
      </c>
      <c r="K540" s="71">
        <f>IF(B540="","",IFERROR(AVERAGEIFS($J$4:$J540,$B$4:$B540,B540,$J$4:$J540,"&gt;"&amp;0),""))</f>
        <v/>
      </c>
      <c r="L540" s="4" t="n"/>
    </row>
    <row r="541" ht="14" customHeight="1" s="72">
      <c r="A541" s="75" t="n">
        <v>46069</v>
      </c>
      <c r="B541" s="76" t="n">
        <v>15000</v>
      </c>
      <c r="C541" s="69">
        <f>IF(B541="","",IFERROR(INDEX(Client_List!$B:$B,MATCH(B541,Client_List!$A:$A,0)),"⚠ NOT FOUND"))</f>
        <v/>
      </c>
      <c r="D541" s="43" t="n">
        <v>1048</v>
      </c>
      <c r="E541" s="32">
        <f>IF(B541="","",IFERROR(INDEX(Client_List!$C:$C,MATCH(VALUE(B541),Client_List!$A:$A,0)),""))</f>
        <v/>
      </c>
      <c r="F541" s="53">
        <f>IF(B541="","",IFERROR(INDEX(Client_List!$D:$D,MATCH(VALUE(B541),Client_List!$A:$A,0)),""))</f>
        <v/>
      </c>
      <c r="G541" s="53">
        <f>IF(B541="","",IFERROR(INDEX(Client_List!$K:$K,MATCH(VALUE(B541),Client_List!$A:$A,0)),""))</f>
        <v/>
      </c>
      <c r="H541" s="32">
        <f>IF(B541="","",IFERROR(INDEX(Client_List!$J:$J,MATCH(VALUE(B541),Client_List!$A:$A,0)),""))</f>
        <v/>
      </c>
      <c r="I541" s="70">
        <f>IF(B541="","",IFERROR(A541-LOOKUP(2,1/($B$4:$B540=B541),$A$4:$A540),""))</f>
        <v/>
      </c>
      <c r="J541" s="32">
        <f>IF(B541="","",IFERROR(D541/I541,""))</f>
        <v/>
      </c>
      <c r="K541" s="71">
        <f>IF(B541="","",IFERROR(AVERAGEIFS($J$4:$J541,$B$4:$B541,B541,$J$4:$J541,"&gt;"&amp;0),""))</f>
        <v/>
      </c>
      <c r="L541" s="7" t="n"/>
    </row>
    <row r="542" ht="14" customHeight="1" s="72">
      <c r="A542" s="75" t="n">
        <v>46069</v>
      </c>
      <c r="B542" s="76" t="n">
        <v>15005</v>
      </c>
      <c r="C542" s="69">
        <f>IF(B542="","",IFERROR(INDEX(Client_List!$B:$B,MATCH(B542,Client_List!$A:$A,0)),"⚠ NOT FOUND"))</f>
        <v/>
      </c>
      <c r="D542" s="43" t="n">
        <v>499</v>
      </c>
      <c r="E542" s="32">
        <f>IF(B542="","",IFERROR(INDEX(Client_List!$C:$C,MATCH(VALUE(B542),Client_List!$A:$A,0)),""))</f>
        <v/>
      </c>
      <c r="F542" s="53">
        <f>IF(B542="","",IFERROR(INDEX(Client_List!$D:$D,MATCH(VALUE(B542),Client_List!$A:$A,0)),""))</f>
        <v/>
      </c>
      <c r="G542" s="53">
        <f>IF(B542="","",IFERROR(INDEX(Client_List!$K:$K,MATCH(VALUE(B542),Client_List!$A:$A,0)),""))</f>
        <v/>
      </c>
      <c r="H542" s="32">
        <f>IF(B542="","",IFERROR(INDEX(Client_List!$J:$J,MATCH(VALUE(B542),Client_List!$A:$A,0)),""))</f>
        <v/>
      </c>
      <c r="I542" s="70">
        <f>IF(B542="","",IFERROR(A542-LOOKUP(2,1/($B$4:$B541=B542),$A$4:$A541),""))</f>
        <v/>
      </c>
      <c r="J542" s="32">
        <f>IF(B542="","",IFERROR(D542/I542,""))</f>
        <v/>
      </c>
      <c r="K542" s="71">
        <f>IF(B542="","",IFERROR(AVERAGEIFS($J$4:$J542,$B$4:$B542,B542,$J$4:$J542,"&gt;"&amp;0),""))</f>
        <v/>
      </c>
      <c r="L542" s="4" t="n"/>
    </row>
    <row r="543" ht="14" customHeight="1" s="72">
      <c r="A543" s="75" t="n">
        <v>46069</v>
      </c>
      <c r="B543" s="76" t="n">
        <v>16004</v>
      </c>
      <c r="C543" s="69">
        <f>IF(B543="","",IFERROR(INDEX(Client_List!$B:$B,MATCH(B543,Client_List!$A:$A,0)),"⚠ NOT FOUND"))</f>
        <v/>
      </c>
      <c r="D543" s="43" t="n">
        <v>857</v>
      </c>
      <c r="E543" s="32">
        <f>IF(B543="","",IFERROR(INDEX(Client_List!$C:$C,MATCH(VALUE(B543),Client_List!$A:$A,0)),""))</f>
        <v/>
      </c>
      <c r="F543" s="53">
        <f>IF(B543="","",IFERROR(INDEX(Client_List!$D:$D,MATCH(VALUE(B543),Client_List!$A:$A,0)),""))</f>
        <v/>
      </c>
      <c r="G543" s="53">
        <f>IF(B543="","",IFERROR(INDEX(Client_List!$K:$K,MATCH(VALUE(B543),Client_List!$A:$A,0)),""))</f>
        <v/>
      </c>
      <c r="H543" s="32">
        <f>IF(B543="","",IFERROR(INDEX(Client_List!$J:$J,MATCH(VALUE(B543),Client_List!$A:$A,0)),""))</f>
        <v/>
      </c>
      <c r="I543" s="70">
        <f>IF(B543="","",IFERROR(A543-LOOKUP(2,1/($B$4:$B542=B543),$A$4:$A542),""))</f>
        <v/>
      </c>
      <c r="J543" s="32">
        <f>IF(B543="","",IFERROR(D543/I543,""))</f>
        <v/>
      </c>
      <c r="K543" s="71">
        <f>IF(B543="","",IFERROR(AVERAGEIFS($J$4:$J543,$B$4:$B543,B543,$J$4:$J543,"&gt;"&amp;0),""))</f>
        <v/>
      </c>
      <c r="L543" s="7" t="n"/>
    </row>
    <row r="544" ht="14" customHeight="1" s="72">
      <c r="A544" s="75" t="n">
        <v>46069</v>
      </c>
      <c r="B544" s="76" t="n">
        <v>16005</v>
      </c>
      <c r="C544" s="69">
        <f>IF(B544="","",IFERROR(INDEX(Client_List!$B:$B,MATCH(B544,Client_List!$A:$A,0)),"⚠ NOT FOUND"))</f>
        <v/>
      </c>
      <c r="D544" s="43" t="n">
        <v>675</v>
      </c>
      <c r="E544" s="32">
        <f>IF(B544="","",IFERROR(INDEX(Client_List!$C:$C,MATCH(VALUE(B544),Client_List!$A:$A,0)),""))</f>
        <v/>
      </c>
      <c r="F544" s="53">
        <f>IF(B544="","",IFERROR(INDEX(Client_List!$D:$D,MATCH(VALUE(B544),Client_List!$A:$A,0)),""))</f>
        <v/>
      </c>
      <c r="G544" s="53">
        <f>IF(B544="","",IFERROR(INDEX(Client_List!$K:$K,MATCH(VALUE(B544),Client_List!$A:$A,0)),""))</f>
        <v/>
      </c>
      <c r="H544" s="32">
        <f>IF(B544="","",IFERROR(INDEX(Client_List!$J:$J,MATCH(VALUE(B544),Client_List!$A:$A,0)),""))</f>
        <v/>
      </c>
      <c r="I544" s="70">
        <f>IF(B544="","",IFERROR(A544-LOOKUP(2,1/($B$4:$B543=B544),$A$4:$A543),""))</f>
        <v/>
      </c>
      <c r="J544" s="32">
        <f>IF(B544="","",IFERROR(D544/I544,""))</f>
        <v/>
      </c>
      <c r="K544" s="71">
        <f>IF(B544="","",IFERROR(AVERAGEIFS($J$4:$J544,$B$4:$B544,B544,$J$4:$J544,"&gt;"&amp;0),""))</f>
        <v/>
      </c>
      <c r="L544" s="4" t="n"/>
    </row>
    <row r="545" ht="14" customHeight="1" s="72">
      <c r="A545" s="75" t="n">
        <v>46069</v>
      </c>
      <c r="B545" s="76" t="n">
        <v>16008</v>
      </c>
      <c r="C545" s="69">
        <f>IF(B545="","",IFERROR(INDEX(Client_List!$B:$B,MATCH(B545,Client_List!$A:$A,0)),"⚠ NOT FOUND"))</f>
        <v/>
      </c>
      <c r="D545" s="43" t="n">
        <v>859</v>
      </c>
      <c r="E545" s="32">
        <f>IF(B545="","",IFERROR(INDEX(Client_List!$C:$C,MATCH(VALUE(B545),Client_List!$A:$A,0)),""))</f>
        <v/>
      </c>
      <c r="F545" s="53">
        <f>IF(B545="","",IFERROR(INDEX(Client_List!$D:$D,MATCH(VALUE(B545),Client_List!$A:$A,0)),""))</f>
        <v/>
      </c>
      <c r="G545" s="53">
        <f>IF(B545="","",IFERROR(INDEX(Client_List!$K:$K,MATCH(VALUE(B545),Client_List!$A:$A,0)),""))</f>
        <v/>
      </c>
      <c r="H545" s="32">
        <f>IF(B545="","",IFERROR(INDEX(Client_List!$J:$J,MATCH(VALUE(B545),Client_List!$A:$A,0)),""))</f>
        <v/>
      </c>
      <c r="I545" s="70">
        <f>IF(B545="","",IFERROR(A545-LOOKUP(2,1/($B$4:$B544=B545),$A$4:$A544),""))</f>
        <v/>
      </c>
      <c r="J545" s="32">
        <f>IF(B545="","",IFERROR(D545/I545,""))</f>
        <v/>
      </c>
      <c r="K545" s="71">
        <f>IF(B545="","",IFERROR(AVERAGEIFS($J$4:$J545,$B$4:$B545,B545,$J$4:$J545,"&gt;"&amp;0),""))</f>
        <v/>
      </c>
      <c r="L545" s="7" t="n"/>
    </row>
    <row r="546" ht="14" customHeight="1" s="72">
      <c r="A546" s="75" t="n">
        <v>46069</v>
      </c>
      <c r="B546" s="76" t="n">
        <v>16010</v>
      </c>
      <c r="C546" s="69">
        <f>IF(B546="","",IFERROR(INDEX(Client_List!$B:$B,MATCH(B546,Client_List!$A:$A,0)),"⚠ NOT FOUND"))</f>
        <v/>
      </c>
      <c r="D546" s="43" t="n">
        <v>2004</v>
      </c>
      <c r="E546" s="32">
        <f>IF(B546="","",IFERROR(INDEX(Client_List!$C:$C,MATCH(VALUE(B546),Client_List!$A:$A,0)),""))</f>
        <v/>
      </c>
      <c r="F546" s="53">
        <f>IF(B546="","",IFERROR(INDEX(Client_List!$D:$D,MATCH(VALUE(B546),Client_List!$A:$A,0)),""))</f>
        <v/>
      </c>
      <c r="G546" s="53">
        <f>IF(B546="","",IFERROR(INDEX(Client_List!$K:$K,MATCH(VALUE(B546),Client_List!$A:$A,0)),""))</f>
        <v/>
      </c>
      <c r="H546" s="32">
        <f>IF(B546="","",IFERROR(INDEX(Client_List!$J:$J,MATCH(VALUE(B546),Client_List!$A:$A,0)),""))</f>
        <v/>
      </c>
      <c r="I546" s="70">
        <f>IF(B546="","",IFERROR(A546-LOOKUP(2,1/($B$4:$B545=B546),$A$4:$A545),""))</f>
        <v/>
      </c>
      <c r="J546" s="32">
        <f>IF(B546="","",IFERROR(D546/I546,""))</f>
        <v/>
      </c>
      <c r="K546" s="71">
        <f>IF(B546="","",IFERROR(AVERAGEIFS($J$4:$J546,$B$4:$B546,B546,$J$4:$J546,"&gt;"&amp;0),""))</f>
        <v/>
      </c>
      <c r="L546" s="4" t="n"/>
    </row>
    <row r="547" ht="14" customHeight="1" s="72">
      <c r="A547" s="75" t="n">
        <v>46069</v>
      </c>
      <c r="B547" s="76" t="n">
        <v>18001</v>
      </c>
      <c r="C547" s="69">
        <f>IF(B547="","",IFERROR(INDEX(Client_List!$B:$B,MATCH(B547,Client_List!$A:$A,0)),"⚠ NOT FOUND"))</f>
        <v/>
      </c>
      <c r="D547" s="43" t="n">
        <v>774</v>
      </c>
      <c r="E547" s="32">
        <f>IF(B547="","",IFERROR(INDEX(Client_List!$C:$C,MATCH(VALUE(B547),Client_List!$A:$A,0)),""))</f>
        <v/>
      </c>
      <c r="F547" s="53">
        <f>IF(B547="","",IFERROR(INDEX(Client_List!$D:$D,MATCH(VALUE(B547),Client_List!$A:$A,0)),""))</f>
        <v/>
      </c>
      <c r="G547" s="53">
        <f>IF(B547="","",IFERROR(INDEX(Client_List!$K:$K,MATCH(VALUE(B547),Client_List!$A:$A,0)),""))</f>
        <v/>
      </c>
      <c r="H547" s="32">
        <f>IF(B547="","",IFERROR(INDEX(Client_List!$J:$J,MATCH(VALUE(B547),Client_List!$A:$A,0)),""))</f>
        <v/>
      </c>
      <c r="I547" s="70">
        <f>IF(B547="","",IFERROR(A547-LOOKUP(2,1/($B$4:$B546=B547),$A$4:$A546),""))</f>
        <v/>
      </c>
      <c r="J547" s="32">
        <f>IF(B547="","",IFERROR(D547/I547,""))</f>
        <v/>
      </c>
      <c r="K547" s="71">
        <f>IF(B547="","",IFERROR(AVERAGEIFS($J$4:$J547,$B$4:$B547,B547,$J$4:$J547,"&gt;"&amp;0),""))</f>
        <v/>
      </c>
      <c r="L547" s="7" t="n"/>
    </row>
    <row r="548" ht="14" customHeight="1" s="72">
      <c r="A548" s="75" t="n">
        <v>46069</v>
      </c>
      <c r="B548" s="76" t="n">
        <v>18003</v>
      </c>
      <c r="C548" s="69">
        <f>IF(B548="","",IFERROR(INDEX(Client_List!$B:$B,MATCH(B548,Client_List!$A:$A,0)),"⚠ NOT FOUND"))</f>
        <v/>
      </c>
      <c r="D548" s="43" t="n">
        <v>344</v>
      </c>
      <c r="E548" s="32">
        <f>IF(B548="","",IFERROR(INDEX(Client_List!$C:$C,MATCH(VALUE(B548),Client_List!$A:$A,0)),""))</f>
        <v/>
      </c>
      <c r="F548" s="53">
        <f>IF(B548="","",IFERROR(INDEX(Client_List!$D:$D,MATCH(VALUE(B548),Client_List!$A:$A,0)),""))</f>
        <v/>
      </c>
      <c r="G548" s="53">
        <f>IF(B548="","",IFERROR(INDEX(Client_List!$K:$K,MATCH(VALUE(B548),Client_List!$A:$A,0)),""))</f>
        <v/>
      </c>
      <c r="H548" s="32">
        <f>IF(B548="","",IFERROR(INDEX(Client_List!$J:$J,MATCH(VALUE(B548),Client_List!$A:$A,0)),""))</f>
        <v/>
      </c>
      <c r="I548" s="70">
        <f>IF(B548="","",IFERROR(A548-LOOKUP(2,1/($B$4:$B547=B548),$A$4:$A547),""))</f>
        <v/>
      </c>
      <c r="J548" s="32">
        <f>IF(B548="","",IFERROR(D548/I548,""))</f>
        <v/>
      </c>
      <c r="K548" s="71">
        <f>IF(B548="","",IFERROR(AVERAGEIFS($J$4:$J548,$B$4:$B548,B548,$J$4:$J548,"&gt;"&amp;0),""))</f>
        <v/>
      </c>
      <c r="L548" s="4" t="n"/>
    </row>
    <row r="549" ht="14" customHeight="1" s="72">
      <c r="A549" s="75" t="n">
        <v>46069</v>
      </c>
      <c r="B549" s="76" t="n">
        <v>19035</v>
      </c>
      <c r="C549" s="69">
        <f>IF(B549="","",IFERROR(INDEX(Client_List!$B:$B,MATCH(B549,Client_List!$A:$A,0)),"⚠ NOT FOUND"))</f>
        <v/>
      </c>
      <c r="D549" s="43" t="n">
        <v>271</v>
      </c>
      <c r="E549" s="32">
        <f>IF(B549="","",IFERROR(INDEX(Client_List!$C:$C,MATCH(VALUE(B549),Client_List!$A:$A,0)),""))</f>
        <v/>
      </c>
      <c r="F549" s="53">
        <f>IF(B549="","",IFERROR(INDEX(Client_List!$D:$D,MATCH(VALUE(B549),Client_List!$A:$A,0)),""))</f>
        <v/>
      </c>
      <c r="G549" s="53">
        <f>IF(B549="","",IFERROR(INDEX(Client_List!$K:$K,MATCH(VALUE(B549),Client_List!$A:$A,0)),""))</f>
        <v/>
      </c>
      <c r="H549" s="32">
        <f>IF(B549="","",IFERROR(INDEX(Client_List!$J:$J,MATCH(VALUE(B549),Client_List!$A:$A,0)),""))</f>
        <v/>
      </c>
      <c r="I549" s="70">
        <f>IF(B549="","",IFERROR(A549-LOOKUP(2,1/($B$4:$B548=B549),$A$4:$A548),""))</f>
        <v/>
      </c>
      <c r="J549" s="32">
        <f>IF(B549="","",IFERROR(D549/I549,""))</f>
        <v/>
      </c>
      <c r="K549" s="71">
        <f>IF(B549="","",IFERROR(AVERAGEIFS($J$4:$J549,$B$4:$B549,B549,$J$4:$J549,"&gt;"&amp;0),""))</f>
        <v/>
      </c>
      <c r="L549" s="7" t="n"/>
    </row>
    <row r="550" ht="14" customHeight="1" s="72">
      <c r="A550" s="75" t="n">
        <v>46069</v>
      </c>
      <c r="B550" s="76" t="n">
        <v>20092</v>
      </c>
      <c r="C550" s="69">
        <f>IF(B550="","",IFERROR(INDEX(Client_List!$B:$B,MATCH(B550,Client_List!$A:$A,0)),"⚠ NOT FOUND"))</f>
        <v/>
      </c>
      <c r="D550" s="43" t="n">
        <v>979</v>
      </c>
      <c r="E550" s="32">
        <f>IF(B550="","",IFERROR(INDEX(Client_List!$C:$C,MATCH(VALUE(B550),Client_List!$A:$A,0)),""))</f>
        <v/>
      </c>
      <c r="F550" s="53">
        <f>IF(B550="","",IFERROR(INDEX(Client_List!$D:$D,MATCH(VALUE(B550),Client_List!$A:$A,0)),""))</f>
        <v/>
      </c>
      <c r="G550" s="53">
        <f>IF(B550="","",IFERROR(INDEX(Client_List!$K:$K,MATCH(VALUE(B550),Client_List!$A:$A,0)),""))</f>
        <v/>
      </c>
      <c r="H550" s="32">
        <f>IF(B550="","",IFERROR(INDEX(Client_List!$J:$J,MATCH(VALUE(B550),Client_List!$A:$A,0)),""))</f>
        <v/>
      </c>
      <c r="I550" s="70">
        <f>IF(B550="","",IFERROR(A550-LOOKUP(2,1/($B$4:$B549=B550),$A$4:$A549),""))</f>
        <v/>
      </c>
      <c r="J550" s="32">
        <f>IF(B550="","",IFERROR(D550/I550,""))</f>
        <v/>
      </c>
      <c r="K550" s="71">
        <f>IF(B550="","",IFERROR(AVERAGEIFS($J$4:$J550,$B$4:$B550,B550,$J$4:$J550,"&gt;"&amp;0),""))</f>
        <v/>
      </c>
      <c r="L550" s="4" t="n"/>
    </row>
    <row r="551" ht="14" customHeight="1" s="72">
      <c r="A551" s="75" t="n">
        <v>46070</v>
      </c>
      <c r="B551" s="76" t="n">
        <v>1001</v>
      </c>
      <c r="C551" s="69">
        <f>IF(B551="","",IFERROR(INDEX(Client_List!$B:$B,MATCH(B551,Client_List!$A:$A,0)),"⚠ NOT FOUND"))</f>
        <v/>
      </c>
      <c r="D551" s="43" t="n">
        <v>641</v>
      </c>
      <c r="E551" s="32">
        <f>IF(B551="","",IFERROR(INDEX(Client_List!$C:$C,MATCH(VALUE(B551),Client_List!$A:$A,0)),""))</f>
        <v/>
      </c>
      <c r="F551" s="53">
        <f>IF(B551="","",IFERROR(INDEX(Client_List!$D:$D,MATCH(VALUE(B551),Client_List!$A:$A,0)),""))</f>
        <v/>
      </c>
      <c r="G551" s="53">
        <f>IF(B551="","",IFERROR(INDEX(Client_List!$K:$K,MATCH(VALUE(B551),Client_List!$A:$A,0)),""))</f>
        <v/>
      </c>
      <c r="H551" s="32">
        <f>IF(B551="","",IFERROR(INDEX(Client_List!$J:$J,MATCH(VALUE(B551),Client_List!$A:$A,0)),""))</f>
        <v/>
      </c>
      <c r="I551" s="70">
        <f>IF(B551="","",IFERROR(A551-LOOKUP(2,1/($B$4:$B550=B551),$A$4:$A550),""))</f>
        <v/>
      </c>
      <c r="J551" s="32">
        <f>IF(B551="","",IFERROR(D551/I551,""))</f>
        <v/>
      </c>
      <c r="K551" s="71">
        <f>IF(B551="","",IFERROR(AVERAGEIFS($J$4:$J551,$B$4:$B551,B551,$J$4:$J551,"&gt;"&amp;0),""))</f>
        <v/>
      </c>
      <c r="L551" s="7" t="n"/>
    </row>
    <row r="552" ht="14" customHeight="1" s="72">
      <c r="A552" s="75" t="n">
        <v>46070</v>
      </c>
      <c r="B552" s="76" t="n">
        <v>1011</v>
      </c>
      <c r="C552" s="69">
        <f>IF(B552="","",IFERROR(INDEX(Client_List!$B:$B,MATCH(B552,Client_List!$A:$A,0)),"⚠ NOT FOUND"))</f>
        <v/>
      </c>
      <c r="D552" s="43" t="n">
        <v>933</v>
      </c>
      <c r="E552" s="32">
        <f>IF(B552="","",IFERROR(INDEX(Client_List!$C:$C,MATCH(VALUE(B552),Client_List!$A:$A,0)),""))</f>
        <v/>
      </c>
      <c r="F552" s="53">
        <f>IF(B552="","",IFERROR(INDEX(Client_List!$D:$D,MATCH(VALUE(B552),Client_List!$A:$A,0)),""))</f>
        <v/>
      </c>
      <c r="G552" s="53">
        <f>IF(B552="","",IFERROR(INDEX(Client_List!$K:$K,MATCH(VALUE(B552),Client_List!$A:$A,0)),""))</f>
        <v/>
      </c>
      <c r="H552" s="32">
        <f>IF(B552="","",IFERROR(INDEX(Client_List!$J:$J,MATCH(VALUE(B552),Client_List!$A:$A,0)),""))</f>
        <v/>
      </c>
      <c r="I552" s="70">
        <f>IF(B552="","",IFERROR(A552-LOOKUP(2,1/($B$4:$B551=B552),$A$4:$A551),""))</f>
        <v/>
      </c>
      <c r="J552" s="32">
        <f>IF(B552="","",IFERROR(D552/I552,""))</f>
        <v/>
      </c>
      <c r="K552" s="71">
        <f>IF(B552="","",IFERROR(AVERAGEIFS($J$4:$J552,$B$4:$B552,B552,$J$4:$J552,"&gt;"&amp;0),""))</f>
        <v/>
      </c>
      <c r="L552" s="4" t="n"/>
    </row>
    <row r="553" ht="14" customHeight="1" s="72">
      <c r="A553" s="75" t="n">
        <v>46070</v>
      </c>
      <c r="B553" s="76" t="n">
        <v>6109</v>
      </c>
      <c r="C553" s="69">
        <f>IF(B553="","",IFERROR(INDEX(Client_List!$B:$B,MATCH(B553,Client_List!$A:$A,0)),"⚠ NOT FOUND"))</f>
        <v/>
      </c>
      <c r="D553" s="43" t="n">
        <v>357</v>
      </c>
      <c r="E553" s="32">
        <f>IF(B553="","",IFERROR(INDEX(Client_List!$C:$C,MATCH(VALUE(B553),Client_List!$A:$A,0)),""))</f>
        <v/>
      </c>
      <c r="F553" s="53">
        <f>IF(B553="","",IFERROR(INDEX(Client_List!$D:$D,MATCH(VALUE(B553),Client_List!$A:$A,0)),""))</f>
        <v/>
      </c>
      <c r="G553" s="53">
        <f>IF(B553="","",IFERROR(INDEX(Client_List!$K:$K,MATCH(VALUE(B553),Client_List!$A:$A,0)),""))</f>
        <v/>
      </c>
      <c r="H553" s="32">
        <f>IF(B553="","",IFERROR(INDEX(Client_List!$J:$J,MATCH(VALUE(B553),Client_List!$A:$A,0)),""))</f>
        <v/>
      </c>
      <c r="I553" s="70">
        <f>IF(B553="","",IFERROR(A553-LOOKUP(2,1/($B$4:$B552=B553),$A$4:$A552),""))</f>
        <v/>
      </c>
      <c r="J553" s="32">
        <f>IF(B553="","",IFERROR(D553/I553,""))</f>
        <v/>
      </c>
      <c r="K553" s="71">
        <f>IF(B553="","",IFERROR(AVERAGEIFS($J$4:$J553,$B$4:$B553,B553,$J$4:$J553,"&gt;"&amp;0),""))</f>
        <v/>
      </c>
      <c r="L553" s="7" t="n"/>
    </row>
    <row r="554" ht="14" customHeight="1" s="72">
      <c r="A554" s="75" t="n">
        <v>46070</v>
      </c>
      <c r="B554" s="76" t="n">
        <v>11016</v>
      </c>
      <c r="C554" s="69">
        <f>IF(B554="","",IFERROR(INDEX(Client_List!$B:$B,MATCH(B554,Client_List!$A:$A,0)),"⚠ NOT FOUND"))</f>
        <v/>
      </c>
      <c r="D554" s="43" t="n">
        <v>255</v>
      </c>
      <c r="E554" s="32">
        <f>IF(B554="","",IFERROR(INDEX(Client_List!$C:$C,MATCH(VALUE(B554),Client_List!$A:$A,0)),""))</f>
        <v/>
      </c>
      <c r="F554" s="53">
        <f>IF(B554="","",IFERROR(INDEX(Client_List!$D:$D,MATCH(VALUE(B554),Client_List!$A:$A,0)),""))</f>
        <v/>
      </c>
      <c r="G554" s="53">
        <f>IF(B554="","",IFERROR(INDEX(Client_List!$K:$K,MATCH(VALUE(B554),Client_List!$A:$A,0)),""))</f>
        <v/>
      </c>
      <c r="H554" s="32">
        <f>IF(B554="","",IFERROR(INDEX(Client_List!$J:$J,MATCH(VALUE(B554),Client_List!$A:$A,0)),""))</f>
        <v/>
      </c>
      <c r="I554" s="70">
        <f>IF(B554="","",IFERROR(A554-LOOKUP(2,1/($B$4:$B553=B554),$A$4:$A553),""))</f>
        <v/>
      </c>
      <c r="J554" s="32">
        <f>IF(B554="","",IFERROR(D554/I554,""))</f>
        <v/>
      </c>
      <c r="K554" s="71">
        <f>IF(B554="","",IFERROR(AVERAGEIFS($J$4:$J554,$B$4:$B554,B554,$J$4:$J554,"&gt;"&amp;0),""))</f>
        <v/>
      </c>
      <c r="L554" s="4" t="n"/>
    </row>
    <row r="555" ht="14" customHeight="1" s="72">
      <c r="A555" s="75" t="n">
        <v>46070</v>
      </c>
      <c r="B555" s="76" t="n">
        <v>15007</v>
      </c>
      <c r="C555" s="69">
        <f>IF(B555="","",IFERROR(INDEX(Client_List!$B:$B,MATCH(B555,Client_List!$A:$A,0)),"⚠ NOT FOUND"))</f>
        <v/>
      </c>
      <c r="D555" s="43" t="n">
        <v>1061</v>
      </c>
      <c r="E555" s="32">
        <f>IF(B555="","",IFERROR(INDEX(Client_List!$C:$C,MATCH(VALUE(B555),Client_List!$A:$A,0)),""))</f>
        <v/>
      </c>
      <c r="F555" s="53">
        <f>IF(B555="","",IFERROR(INDEX(Client_List!$D:$D,MATCH(VALUE(B555),Client_List!$A:$A,0)),""))</f>
        <v/>
      </c>
      <c r="G555" s="53">
        <f>IF(B555="","",IFERROR(INDEX(Client_List!$K:$K,MATCH(VALUE(B555),Client_List!$A:$A,0)),""))</f>
        <v/>
      </c>
      <c r="H555" s="32">
        <f>IF(B555="","",IFERROR(INDEX(Client_List!$J:$J,MATCH(VALUE(B555),Client_List!$A:$A,0)),""))</f>
        <v/>
      </c>
      <c r="I555" s="70">
        <f>IF(B555="","",IFERROR(A555-LOOKUP(2,1/($B$4:$B554=B555),$A$4:$A554),""))</f>
        <v/>
      </c>
      <c r="J555" s="32">
        <f>IF(B555="","",IFERROR(D555/I555,""))</f>
        <v/>
      </c>
      <c r="K555" s="71">
        <f>IF(B555="","",IFERROR(AVERAGEIFS($J$4:$J555,$B$4:$B555,B555,$J$4:$J555,"&gt;"&amp;0),""))</f>
        <v/>
      </c>
      <c r="L555" s="7" t="n"/>
    </row>
    <row r="556" ht="14" customHeight="1" s="72">
      <c r="A556" s="75" t="n">
        <v>46070</v>
      </c>
      <c r="B556" s="76" t="n">
        <v>15024</v>
      </c>
      <c r="C556" s="69">
        <f>IF(B556="","",IFERROR(INDEX(Client_List!$B:$B,MATCH(B556,Client_List!$A:$A,0)),"⚠ NOT FOUND"))</f>
        <v/>
      </c>
      <c r="D556" s="43" t="n">
        <v>384</v>
      </c>
      <c r="E556" s="32">
        <f>IF(B556="","",IFERROR(INDEX(Client_List!$C:$C,MATCH(VALUE(B556),Client_List!$A:$A,0)),""))</f>
        <v/>
      </c>
      <c r="F556" s="53">
        <f>IF(B556="","",IFERROR(INDEX(Client_List!$D:$D,MATCH(VALUE(B556),Client_List!$A:$A,0)),""))</f>
        <v/>
      </c>
      <c r="G556" s="53">
        <f>IF(B556="","",IFERROR(INDEX(Client_List!$K:$K,MATCH(VALUE(B556),Client_List!$A:$A,0)),""))</f>
        <v/>
      </c>
      <c r="H556" s="32">
        <f>IF(B556="","",IFERROR(INDEX(Client_List!$J:$J,MATCH(VALUE(B556),Client_List!$A:$A,0)),""))</f>
        <v/>
      </c>
      <c r="I556" s="70">
        <f>IF(B556="","",IFERROR(A556-LOOKUP(2,1/($B$4:$B555=B556),$A$4:$A555),""))</f>
        <v/>
      </c>
      <c r="J556" s="32">
        <f>IF(B556="","",IFERROR(D556/I556,""))</f>
        <v/>
      </c>
      <c r="K556" s="71">
        <f>IF(B556="","",IFERROR(AVERAGEIFS($J$4:$J556,$B$4:$B556,B556,$J$4:$J556,"&gt;"&amp;0),""))</f>
        <v/>
      </c>
      <c r="L556" s="4" t="n"/>
    </row>
    <row r="557" ht="14" customHeight="1" s="72">
      <c r="A557" s="75" t="n">
        <v>46070</v>
      </c>
      <c r="B557" s="76" t="n">
        <v>15035</v>
      </c>
      <c r="C557" s="69">
        <f>IF(B557="","",IFERROR(INDEX(Client_List!$B:$B,MATCH(B557,Client_List!$A:$A,0)),"⚠ NOT FOUND"))</f>
        <v/>
      </c>
      <c r="D557" s="43" t="n">
        <v>1531</v>
      </c>
      <c r="E557" s="32">
        <f>IF(B557="","",IFERROR(INDEX(Client_List!$C:$C,MATCH(VALUE(B557),Client_List!$A:$A,0)),""))</f>
        <v/>
      </c>
      <c r="F557" s="53">
        <f>IF(B557="","",IFERROR(INDEX(Client_List!$D:$D,MATCH(VALUE(B557),Client_List!$A:$A,0)),""))</f>
        <v/>
      </c>
      <c r="G557" s="53">
        <f>IF(B557="","",IFERROR(INDEX(Client_List!$K:$K,MATCH(VALUE(B557),Client_List!$A:$A,0)),""))</f>
        <v/>
      </c>
      <c r="H557" s="32">
        <f>IF(B557="","",IFERROR(INDEX(Client_List!$J:$J,MATCH(VALUE(B557),Client_List!$A:$A,0)),""))</f>
        <v/>
      </c>
      <c r="I557" s="70">
        <f>IF(B557="","",IFERROR(A557-LOOKUP(2,1/($B$4:$B556=B557),$A$4:$A556),""))</f>
        <v/>
      </c>
      <c r="J557" s="32">
        <f>IF(B557="","",IFERROR(D557/I557,""))</f>
        <v/>
      </c>
      <c r="K557" s="71">
        <f>IF(B557="","",IFERROR(AVERAGEIFS($J$4:$J557,$B$4:$B557,B557,$J$4:$J557,"&gt;"&amp;0),""))</f>
        <v/>
      </c>
      <c r="L557" s="7" t="n"/>
    </row>
    <row r="558" ht="14" customHeight="1" s="72">
      <c r="A558" s="75" t="n">
        <v>46070</v>
      </c>
      <c r="B558" s="76" t="n">
        <v>16015</v>
      </c>
      <c r="C558" s="69">
        <f>IF(B558="","",IFERROR(INDEX(Client_List!$B:$B,MATCH(B558,Client_List!$A:$A,0)),"⚠ NOT FOUND"))</f>
        <v/>
      </c>
      <c r="D558" s="43" t="n">
        <v>1547</v>
      </c>
      <c r="E558" s="32">
        <f>IF(B558="","",IFERROR(INDEX(Client_List!$C:$C,MATCH(VALUE(B558),Client_List!$A:$A,0)),""))</f>
        <v/>
      </c>
      <c r="F558" s="53">
        <f>IF(B558="","",IFERROR(INDEX(Client_List!$D:$D,MATCH(VALUE(B558),Client_List!$A:$A,0)),""))</f>
        <v/>
      </c>
      <c r="G558" s="53">
        <f>IF(B558="","",IFERROR(INDEX(Client_List!$K:$K,MATCH(VALUE(B558),Client_List!$A:$A,0)),""))</f>
        <v/>
      </c>
      <c r="H558" s="32">
        <f>IF(B558="","",IFERROR(INDEX(Client_List!$J:$J,MATCH(VALUE(B558),Client_List!$A:$A,0)),""))</f>
        <v/>
      </c>
      <c r="I558" s="70">
        <f>IF(B558="","",IFERROR(A558-LOOKUP(2,1/($B$4:$B557=B558),$A$4:$A557),""))</f>
        <v/>
      </c>
      <c r="J558" s="32">
        <f>IF(B558="","",IFERROR(D558/I558,""))</f>
        <v/>
      </c>
      <c r="K558" s="71">
        <f>IF(B558="","",IFERROR(AVERAGEIFS($J$4:$J558,$B$4:$B558,B558,$J$4:$J558,"&gt;"&amp;0),""))</f>
        <v/>
      </c>
      <c r="L558" s="4" t="n"/>
    </row>
    <row r="559" ht="14" customHeight="1" s="72">
      <c r="A559" s="75" t="n">
        <v>46070</v>
      </c>
      <c r="B559" s="76" t="n">
        <v>16018</v>
      </c>
      <c r="C559" s="69">
        <f>IF(B559="","",IFERROR(INDEX(Client_List!$B:$B,MATCH(B559,Client_List!$A:$A,0)),"⚠ NOT FOUND"))</f>
        <v/>
      </c>
      <c r="D559" s="43" t="n">
        <v>601</v>
      </c>
      <c r="E559" s="32">
        <f>IF(B559="","",IFERROR(INDEX(Client_List!$C:$C,MATCH(VALUE(B559),Client_List!$A:$A,0)),""))</f>
        <v/>
      </c>
      <c r="F559" s="53">
        <f>IF(B559="","",IFERROR(INDEX(Client_List!$D:$D,MATCH(VALUE(B559),Client_List!$A:$A,0)),""))</f>
        <v/>
      </c>
      <c r="G559" s="53">
        <f>IF(B559="","",IFERROR(INDEX(Client_List!$K:$K,MATCH(VALUE(B559),Client_List!$A:$A,0)),""))</f>
        <v/>
      </c>
      <c r="H559" s="32">
        <f>IF(B559="","",IFERROR(INDEX(Client_List!$J:$J,MATCH(VALUE(B559),Client_List!$A:$A,0)),""))</f>
        <v/>
      </c>
      <c r="I559" s="70">
        <f>IF(B559="","",IFERROR(A559-LOOKUP(2,1/($B$4:$B558=B559),$A$4:$A558),""))</f>
        <v/>
      </c>
      <c r="J559" s="32">
        <f>IF(B559="","",IFERROR(D559/I559,""))</f>
        <v/>
      </c>
      <c r="K559" s="71">
        <f>IF(B559="","",IFERROR(AVERAGEIFS($J$4:$J559,$B$4:$B559,B559,$J$4:$J559,"&gt;"&amp;0),""))</f>
        <v/>
      </c>
      <c r="L559" s="7" t="n"/>
    </row>
    <row r="560" ht="14" customHeight="1" s="72">
      <c r="A560" s="75" t="n">
        <v>46070</v>
      </c>
      <c r="B560" s="76" t="n">
        <v>20033</v>
      </c>
      <c r="C560" s="69">
        <f>IF(B560="","",IFERROR(INDEX(Client_List!$B:$B,MATCH(B560,Client_List!$A:$A,0)),"⚠ NOT FOUND"))</f>
        <v/>
      </c>
      <c r="D560" s="43" t="n">
        <v>1066</v>
      </c>
      <c r="E560" s="32">
        <f>IF(B560="","",IFERROR(INDEX(Client_List!$C:$C,MATCH(VALUE(B560),Client_List!$A:$A,0)),""))</f>
        <v/>
      </c>
      <c r="F560" s="53">
        <f>IF(B560="","",IFERROR(INDEX(Client_List!$D:$D,MATCH(VALUE(B560),Client_List!$A:$A,0)),""))</f>
        <v/>
      </c>
      <c r="G560" s="53">
        <f>IF(B560="","",IFERROR(INDEX(Client_List!$K:$K,MATCH(VALUE(B560),Client_List!$A:$A,0)),""))</f>
        <v/>
      </c>
      <c r="H560" s="32">
        <f>IF(B560="","",IFERROR(INDEX(Client_List!$J:$J,MATCH(VALUE(B560),Client_List!$A:$A,0)),""))</f>
        <v/>
      </c>
      <c r="I560" s="70">
        <f>IF(B560="","",IFERROR(A560-LOOKUP(2,1/($B$4:$B559=B560),$A$4:$A559),""))</f>
        <v/>
      </c>
      <c r="J560" s="32">
        <f>IF(B560="","",IFERROR(D560/I560,""))</f>
        <v/>
      </c>
      <c r="K560" s="71">
        <f>IF(B560="","",IFERROR(AVERAGEIFS($J$4:$J560,$B$4:$B560,B560,$J$4:$J560,"&gt;"&amp;0),""))</f>
        <v/>
      </c>
      <c r="L560" s="4" t="n"/>
    </row>
    <row r="561" ht="14" customHeight="1" s="72">
      <c r="A561" s="75" t="n">
        <v>46071</v>
      </c>
      <c r="B561" s="76" t="n">
        <v>1081</v>
      </c>
      <c r="C561" s="69">
        <f>IF(B561="","",IFERROR(INDEX(Client_List!$B:$B,MATCH(B561,Client_List!$A:$A,0)),"⚠ NOT FOUND"))</f>
        <v/>
      </c>
      <c r="D561" s="43" t="n">
        <v>320</v>
      </c>
      <c r="E561" s="32">
        <f>IF(B561="","",IFERROR(INDEX(Client_List!$C:$C,MATCH(VALUE(B561),Client_List!$A:$A,0)),""))</f>
        <v/>
      </c>
      <c r="F561" s="53">
        <f>IF(B561="","",IFERROR(INDEX(Client_List!$D:$D,MATCH(VALUE(B561),Client_List!$A:$A,0)),""))</f>
        <v/>
      </c>
      <c r="G561" s="53">
        <f>IF(B561="","",IFERROR(INDEX(Client_List!$K:$K,MATCH(VALUE(B561),Client_List!$A:$A,0)),""))</f>
        <v/>
      </c>
      <c r="H561" s="32">
        <f>IF(B561="","",IFERROR(INDEX(Client_List!$J:$J,MATCH(VALUE(B561),Client_List!$A:$A,0)),""))</f>
        <v/>
      </c>
      <c r="I561" s="70">
        <f>IF(B561="","",IFERROR(A561-LOOKUP(2,1/($B$4:$B560=B561),$A$4:$A560),""))</f>
        <v/>
      </c>
      <c r="J561" s="32">
        <f>IF(B561="","",IFERROR(D561/I561,""))</f>
        <v/>
      </c>
      <c r="K561" s="71">
        <f>IF(B561="","",IFERROR(AVERAGEIFS($J$4:$J561,$B$4:$B561,B561,$J$4:$J561,"&gt;"&amp;0),""))</f>
        <v/>
      </c>
      <c r="L561" s="7" t="n"/>
    </row>
    <row r="562" ht="14" customHeight="1" s="72">
      <c r="A562" s="75" t="n">
        <v>46071</v>
      </c>
      <c r="B562" s="76" t="n">
        <v>2067</v>
      </c>
      <c r="C562" s="69">
        <f>IF(B562="","",IFERROR(INDEX(Client_List!$B:$B,MATCH(B562,Client_List!$A:$A,0)),"⚠ NOT FOUND"))</f>
        <v/>
      </c>
      <c r="D562" s="43" t="n">
        <v>835</v>
      </c>
      <c r="E562" s="32">
        <f>IF(B562="","",IFERROR(INDEX(Client_List!$C:$C,MATCH(VALUE(B562),Client_List!$A:$A,0)),""))</f>
        <v/>
      </c>
      <c r="F562" s="53">
        <f>IF(B562="","",IFERROR(INDEX(Client_List!$D:$D,MATCH(VALUE(B562),Client_List!$A:$A,0)),""))</f>
        <v/>
      </c>
      <c r="G562" s="53">
        <f>IF(B562="","",IFERROR(INDEX(Client_List!$K:$K,MATCH(VALUE(B562),Client_List!$A:$A,0)),""))</f>
        <v/>
      </c>
      <c r="H562" s="32">
        <f>IF(B562="","",IFERROR(INDEX(Client_List!$J:$J,MATCH(VALUE(B562),Client_List!$A:$A,0)),""))</f>
        <v/>
      </c>
      <c r="I562" s="70">
        <f>IF(B562="","",IFERROR(A562-LOOKUP(2,1/($B$4:$B561=B562),$A$4:$A561),""))</f>
        <v/>
      </c>
      <c r="J562" s="32">
        <f>IF(B562="","",IFERROR(D562/I562,""))</f>
        <v/>
      </c>
      <c r="K562" s="71">
        <f>IF(B562="","",IFERROR(AVERAGEIFS($J$4:$J562,$B$4:$B562,B562,$J$4:$J562,"&gt;"&amp;0),""))</f>
        <v/>
      </c>
      <c r="L562" s="4" t="n"/>
    </row>
    <row r="563" ht="14" customHeight="1" s="72">
      <c r="A563" s="75" t="n">
        <v>46071</v>
      </c>
      <c r="B563" s="76" t="n">
        <v>7001</v>
      </c>
      <c r="C563" s="69">
        <f>IF(B563="","",IFERROR(INDEX(Client_List!$B:$B,MATCH(B563,Client_List!$A:$A,0)),"⚠ NOT FOUND"))</f>
        <v/>
      </c>
      <c r="D563" s="43" t="n">
        <v>1471</v>
      </c>
      <c r="E563" s="32">
        <f>IF(B563="","",IFERROR(INDEX(Client_List!$C:$C,MATCH(VALUE(B563),Client_List!$A:$A,0)),""))</f>
        <v/>
      </c>
      <c r="F563" s="53">
        <f>IF(B563="","",IFERROR(INDEX(Client_List!$D:$D,MATCH(VALUE(B563),Client_List!$A:$A,0)),""))</f>
        <v/>
      </c>
      <c r="G563" s="53">
        <f>IF(B563="","",IFERROR(INDEX(Client_List!$K:$K,MATCH(VALUE(B563),Client_List!$A:$A,0)),""))</f>
        <v/>
      </c>
      <c r="H563" s="32">
        <f>IF(B563="","",IFERROR(INDEX(Client_List!$J:$J,MATCH(VALUE(B563),Client_List!$A:$A,0)),""))</f>
        <v/>
      </c>
      <c r="I563" s="70">
        <f>IF(B563="","",IFERROR(A563-LOOKUP(2,1/($B$4:$B562=B563),$A$4:$A562),""))</f>
        <v/>
      </c>
      <c r="J563" s="32">
        <f>IF(B563="","",IFERROR(D563/I563,""))</f>
        <v/>
      </c>
      <c r="K563" s="71">
        <f>IF(B563="","",IFERROR(AVERAGEIFS($J$4:$J563,$B$4:$B563,B563,$J$4:$J563,"&gt;"&amp;0),""))</f>
        <v/>
      </c>
      <c r="L563" s="7" t="n"/>
    </row>
    <row r="564" ht="14" customHeight="1" s="72">
      <c r="A564" s="75" t="n">
        <v>46071</v>
      </c>
      <c r="B564" s="76" t="n">
        <v>8031</v>
      </c>
      <c r="C564" s="69">
        <f>IF(B564="","",IFERROR(INDEX(Client_List!$B:$B,MATCH(B564,Client_List!$A:$A,0)),"⚠ NOT FOUND"))</f>
        <v/>
      </c>
      <c r="D564" s="43" t="n">
        <v>927</v>
      </c>
      <c r="E564" s="32">
        <f>IF(B564="","",IFERROR(INDEX(Client_List!$C:$C,MATCH(VALUE(B564),Client_List!$A:$A,0)),""))</f>
        <v/>
      </c>
      <c r="F564" s="53">
        <f>IF(B564="","",IFERROR(INDEX(Client_List!$D:$D,MATCH(VALUE(B564),Client_List!$A:$A,0)),""))</f>
        <v/>
      </c>
      <c r="G564" s="53">
        <f>IF(B564="","",IFERROR(INDEX(Client_List!$K:$K,MATCH(VALUE(B564),Client_List!$A:$A,0)),""))</f>
        <v/>
      </c>
      <c r="H564" s="32">
        <f>IF(B564="","",IFERROR(INDEX(Client_List!$J:$J,MATCH(VALUE(B564),Client_List!$A:$A,0)),""))</f>
        <v/>
      </c>
      <c r="I564" s="70">
        <f>IF(B564="","",IFERROR(A564-LOOKUP(2,1/($B$4:$B563=B564),$A$4:$A563),""))</f>
        <v/>
      </c>
      <c r="J564" s="32">
        <f>IF(B564="","",IFERROR(D564/I564,""))</f>
        <v/>
      </c>
      <c r="K564" s="71">
        <f>IF(B564="","",IFERROR(AVERAGEIFS($J$4:$J564,$B$4:$B564,B564,$J$4:$J564,"&gt;"&amp;0),""))</f>
        <v/>
      </c>
      <c r="L564" s="4" t="n"/>
    </row>
    <row r="565" ht="14" customHeight="1" s="72">
      <c r="A565" s="75" t="n">
        <v>46071</v>
      </c>
      <c r="B565" s="76" t="n">
        <v>8034</v>
      </c>
      <c r="C565" s="69">
        <f>IF(B565="","",IFERROR(INDEX(Client_List!$B:$B,MATCH(B565,Client_List!$A:$A,0)),"⚠ NOT FOUND"))</f>
        <v/>
      </c>
      <c r="D565" s="43" t="n">
        <v>695</v>
      </c>
      <c r="E565" s="32">
        <f>IF(B565="","",IFERROR(INDEX(Client_List!$C:$C,MATCH(VALUE(B565),Client_List!$A:$A,0)),""))</f>
        <v/>
      </c>
      <c r="F565" s="53">
        <f>IF(B565="","",IFERROR(INDEX(Client_List!$D:$D,MATCH(VALUE(B565),Client_List!$A:$A,0)),""))</f>
        <v/>
      </c>
      <c r="G565" s="53">
        <f>IF(B565="","",IFERROR(INDEX(Client_List!$K:$K,MATCH(VALUE(B565),Client_List!$A:$A,0)),""))</f>
        <v/>
      </c>
      <c r="H565" s="32">
        <f>IF(B565="","",IFERROR(INDEX(Client_List!$J:$J,MATCH(VALUE(B565),Client_List!$A:$A,0)),""))</f>
        <v/>
      </c>
      <c r="I565" s="70">
        <f>IF(B565="","",IFERROR(A565-LOOKUP(2,1/($B$4:$B564=B565),$A$4:$A564),""))</f>
        <v/>
      </c>
      <c r="J565" s="32">
        <f>IF(B565="","",IFERROR(D565/I565,""))</f>
        <v/>
      </c>
      <c r="K565" s="71">
        <f>IF(B565="","",IFERROR(AVERAGEIFS($J$4:$J565,$B$4:$B565,B565,$J$4:$J565,"&gt;"&amp;0),""))</f>
        <v/>
      </c>
      <c r="L565" s="7" t="n"/>
    </row>
    <row r="566" ht="14" customHeight="1" s="72">
      <c r="A566" s="75" t="n">
        <v>46071</v>
      </c>
      <c r="B566" s="76" t="n">
        <v>13069</v>
      </c>
      <c r="C566" s="69">
        <f>IF(B566="","",IFERROR(INDEX(Client_List!$B:$B,MATCH(B566,Client_List!$A:$A,0)),"⚠ NOT FOUND"))</f>
        <v/>
      </c>
      <c r="D566" s="43" t="n">
        <v>970</v>
      </c>
      <c r="E566" s="32">
        <f>IF(B566="","",IFERROR(INDEX(Client_List!$C:$C,MATCH(VALUE(B566),Client_List!$A:$A,0)),""))</f>
        <v/>
      </c>
      <c r="F566" s="53">
        <f>IF(B566="","",IFERROR(INDEX(Client_List!$D:$D,MATCH(VALUE(B566),Client_List!$A:$A,0)),""))</f>
        <v/>
      </c>
      <c r="G566" s="53">
        <f>IF(B566="","",IFERROR(INDEX(Client_List!$K:$K,MATCH(VALUE(B566),Client_List!$A:$A,0)),""))</f>
        <v/>
      </c>
      <c r="H566" s="32">
        <f>IF(B566="","",IFERROR(INDEX(Client_List!$J:$J,MATCH(VALUE(B566),Client_List!$A:$A,0)),""))</f>
        <v/>
      </c>
      <c r="I566" s="70">
        <f>IF(B566="","",IFERROR(A566-LOOKUP(2,1/($B$4:$B565=B566),$A$4:$A565),""))</f>
        <v/>
      </c>
      <c r="J566" s="32">
        <f>IF(B566="","",IFERROR(D566/I566,""))</f>
        <v/>
      </c>
      <c r="K566" s="71">
        <f>IF(B566="","",IFERROR(AVERAGEIFS($J$4:$J566,$B$4:$B566,B566,$J$4:$J566,"&gt;"&amp;0),""))</f>
        <v/>
      </c>
      <c r="L566" s="4" t="n"/>
    </row>
    <row r="567" ht="14" customHeight="1" s="72">
      <c r="A567" s="75" t="n">
        <v>46071</v>
      </c>
      <c r="B567" s="76" t="n">
        <v>15020</v>
      </c>
      <c r="C567" s="69">
        <f>IF(B567="","",IFERROR(INDEX(Client_List!$B:$B,MATCH(B567,Client_List!$A:$A,0)),"⚠ NOT FOUND"))</f>
        <v/>
      </c>
      <c r="D567" s="43" t="n">
        <v>550</v>
      </c>
      <c r="E567" s="32">
        <f>IF(B567="","",IFERROR(INDEX(Client_List!$C:$C,MATCH(VALUE(B567),Client_List!$A:$A,0)),""))</f>
        <v/>
      </c>
      <c r="F567" s="53">
        <f>IF(B567="","",IFERROR(INDEX(Client_List!$D:$D,MATCH(VALUE(B567),Client_List!$A:$A,0)),""))</f>
        <v/>
      </c>
      <c r="G567" s="53">
        <f>IF(B567="","",IFERROR(INDEX(Client_List!$K:$K,MATCH(VALUE(B567),Client_List!$A:$A,0)),""))</f>
        <v/>
      </c>
      <c r="H567" s="32">
        <f>IF(B567="","",IFERROR(INDEX(Client_List!$J:$J,MATCH(VALUE(B567),Client_List!$A:$A,0)),""))</f>
        <v/>
      </c>
      <c r="I567" s="70">
        <f>IF(B567="","",IFERROR(A567-LOOKUP(2,1/($B$4:$B566=B567),$A$4:$A566),""))</f>
        <v/>
      </c>
      <c r="J567" s="32">
        <f>IF(B567="","",IFERROR(D567/I567,""))</f>
        <v/>
      </c>
      <c r="K567" s="71">
        <f>IF(B567="","",IFERROR(AVERAGEIFS($J$4:$J567,$B$4:$B567,B567,$J$4:$J567,"&gt;"&amp;0),""))</f>
        <v/>
      </c>
      <c r="L567" s="7" t="n"/>
    </row>
    <row r="568" ht="14" customHeight="1" s="72">
      <c r="A568" s="75" t="n">
        <v>46071</v>
      </c>
      <c r="B568" s="76" t="n">
        <v>16006</v>
      </c>
      <c r="C568" s="69">
        <f>IF(B568="","",IFERROR(INDEX(Client_List!$B:$B,MATCH(B568,Client_List!$A:$A,0)),"⚠ NOT FOUND"))</f>
        <v/>
      </c>
      <c r="D568" s="43" t="n">
        <v>523</v>
      </c>
      <c r="E568" s="32">
        <f>IF(B568="","",IFERROR(INDEX(Client_List!$C:$C,MATCH(VALUE(B568),Client_List!$A:$A,0)),""))</f>
        <v/>
      </c>
      <c r="F568" s="53">
        <f>IF(B568="","",IFERROR(INDEX(Client_List!$D:$D,MATCH(VALUE(B568),Client_List!$A:$A,0)),""))</f>
        <v/>
      </c>
      <c r="G568" s="53">
        <f>IF(B568="","",IFERROR(INDEX(Client_List!$K:$K,MATCH(VALUE(B568),Client_List!$A:$A,0)),""))</f>
        <v/>
      </c>
      <c r="H568" s="32">
        <f>IF(B568="","",IFERROR(INDEX(Client_List!$J:$J,MATCH(VALUE(B568),Client_List!$A:$A,0)),""))</f>
        <v/>
      </c>
      <c r="I568" s="70">
        <f>IF(B568="","",IFERROR(A568-LOOKUP(2,1/($B$4:$B567=B568),$A$4:$A567),""))</f>
        <v/>
      </c>
      <c r="J568" s="32">
        <f>IF(B568="","",IFERROR(D568/I568,""))</f>
        <v/>
      </c>
      <c r="K568" s="71">
        <f>IF(B568="","",IFERROR(AVERAGEIFS($J$4:$J568,$B$4:$B568,B568,$J$4:$J568,"&gt;"&amp;0),""))</f>
        <v/>
      </c>
      <c r="L568" s="4" t="n"/>
    </row>
    <row r="569" ht="14" customHeight="1" s="72">
      <c r="A569" s="75" t="n">
        <v>46071</v>
      </c>
      <c r="B569" s="76" t="n">
        <v>16007</v>
      </c>
      <c r="C569" s="69">
        <f>IF(B569="","",IFERROR(INDEX(Client_List!$B:$B,MATCH(B569,Client_List!$A:$A,0)),"⚠ NOT FOUND"))</f>
        <v/>
      </c>
      <c r="D569" s="43" t="n">
        <v>695</v>
      </c>
      <c r="E569" s="32">
        <f>IF(B569="","",IFERROR(INDEX(Client_List!$C:$C,MATCH(VALUE(B569),Client_List!$A:$A,0)),""))</f>
        <v/>
      </c>
      <c r="F569" s="53">
        <f>IF(B569="","",IFERROR(INDEX(Client_List!$D:$D,MATCH(VALUE(B569),Client_List!$A:$A,0)),""))</f>
        <v/>
      </c>
      <c r="G569" s="53">
        <f>IF(B569="","",IFERROR(INDEX(Client_List!$K:$K,MATCH(VALUE(B569),Client_List!$A:$A,0)),""))</f>
        <v/>
      </c>
      <c r="H569" s="32">
        <f>IF(B569="","",IFERROR(INDEX(Client_List!$J:$J,MATCH(VALUE(B569),Client_List!$A:$A,0)),""))</f>
        <v/>
      </c>
      <c r="I569" s="70">
        <f>IF(B569="","",IFERROR(A569-LOOKUP(2,1/($B$4:$B568=B569),$A$4:$A568),""))</f>
        <v/>
      </c>
      <c r="J569" s="32">
        <f>IF(B569="","",IFERROR(D569/I569,""))</f>
        <v/>
      </c>
      <c r="K569" s="71">
        <f>IF(B569="","",IFERROR(AVERAGEIFS($J$4:$J569,$B$4:$B569,B569,$J$4:$J569,"&gt;"&amp;0),""))</f>
        <v/>
      </c>
      <c r="L569" s="7" t="n"/>
    </row>
    <row r="570" ht="14" customHeight="1" s="72">
      <c r="A570" s="75" t="n">
        <v>46071</v>
      </c>
      <c r="B570" s="76" t="n">
        <v>20095</v>
      </c>
      <c r="C570" s="69">
        <f>IF(B570="","",IFERROR(INDEX(Client_List!$B:$B,MATCH(B570,Client_List!$A:$A,0)),"⚠ NOT FOUND"))</f>
        <v/>
      </c>
      <c r="D570" s="43" t="n">
        <v>964</v>
      </c>
      <c r="E570" s="32">
        <f>IF(B570="","",IFERROR(INDEX(Client_List!$C:$C,MATCH(VALUE(B570),Client_List!$A:$A,0)),""))</f>
        <v/>
      </c>
      <c r="F570" s="53">
        <f>IF(B570="","",IFERROR(INDEX(Client_List!$D:$D,MATCH(VALUE(B570),Client_List!$A:$A,0)),""))</f>
        <v/>
      </c>
      <c r="G570" s="53">
        <f>IF(B570="","",IFERROR(INDEX(Client_List!$K:$K,MATCH(VALUE(B570),Client_List!$A:$A,0)),""))</f>
        <v/>
      </c>
      <c r="H570" s="32">
        <f>IF(B570="","",IFERROR(INDEX(Client_List!$J:$J,MATCH(VALUE(B570),Client_List!$A:$A,0)),""))</f>
        <v/>
      </c>
      <c r="I570" s="70">
        <f>IF(B570="","",IFERROR(A570-LOOKUP(2,1/($B$4:$B569=B570),$A$4:$A569),""))</f>
        <v/>
      </c>
      <c r="J570" s="32">
        <f>IF(B570="","",IFERROR(D570/I570,""))</f>
        <v/>
      </c>
      <c r="K570" s="71">
        <f>IF(B570="","",IFERROR(AVERAGEIFS($J$4:$J570,$B$4:$B570,B570,$J$4:$J570,"&gt;"&amp;0),""))</f>
        <v/>
      </c>
      <c r="L570" s="4" t="n"/>
    </row>
    <row r="571" ht="14" customHeight="1" s="72">
      <c r="A571" s="75" t="n">
        <v>46072</v>
      </c>
      <c r="B571" s="76" t="n">
        <v>1000</v>
      </c>
      <c r="C571" s="69">
        <f>IF(B571="","",IFERROR(INDEX(Client_List!$B:$B,MATCH(B571,Client_List!$A:$A,0)),"⚠ NOT FOUND"))</f>
        <v/>
      </c>
      <c r="D571" s="43" t="n">
        <v>701</v>
      </c>
      <c r="E571" s="32">
        <f>IF(B571="","",IFERROR(INDEX(Client_List!$C:$C,MATCH(VALUE(B571),Client_List!$A:$A,0)),""))</f>
        <v/>
      </c>
      <c r="F571" s="53">
        <f>IF(B571="","",IFERROR(INDEX(Client_List!$D:$D,MATCH(VALUE(B571),Client_List!$A:$A,0)),""))</f>
        <v/>
      </c>
      <c r="G571" s="53">
        <f>IF(B571="","",IFERROR(INDEX(Client_List!$K:$K,MATCH(VALUE(B571),Client_List!$A:$A,0)),""))</f>
        <v/>
      </c>
      <c r="H571" s="32">
        <f>IF(B571="","",IFERROR(INDEX(Client_List!$J:$J,MATCH(VALUE(B571),Client_List!$A:$A,0)),""))</f>
        <v/>
      </c>
      <c r="I571" s="70">
        <f>IF(B571="","",IFERROR(A571-LOOKUP(2,1/($B$4:$B570=B571),$A$4:$A570),""))</f>
        <v/>
      </c>
      <c r="J571" s="32">
        <f>IF(B571="","",IFERROR(D571/I571,""))</f>
        <v/>
      </c>
      <c r="K571" s="71">
        <f>IF(B571="","",IFERROR(AVERAGEIFS($J$4:$J571,$B$4:$B571,B571,$J$4:$J571,"&gt;"&amp;0),""))</f>
        <v/>
      </c>
      <c r="L571" s="7" t="n"/>
    </row>
    <row r="572" ht="14" customHeight="1" s="72">
      <c r="A572" s="75" t="n">
        <v>46072</v>
      </c>
      <c r="B572" s="76" t="n">
        <v>1018</v>
      </c>
      <c r="C572" s="69">
        <f>IF(B572="","",IFERROR(INDEX(Client_List!$B:$B,MATCH(B572,Client_List!$A:$A,0)),"⚠ NOT FOUND"))</f>
        <v/>
      </c>
      <c r="D572" s="43" t="n">
        <v>908</v>
      </c>
      <c r="E572" s="32">
        <f>IF(B572="","",IFERROR(INDEX(Client_List!$C:$C,MATCH(VALUE(B572),Client_List!$A:$A,0)),""))</f>
        <v/>
      </c>
      <c r="F572" s="53">
        <f>IF(B572="","",IFERROR(INDEX(Client_List!$D:$D,MATCH(VALUE(B572),Client_List!$A:$A,0)),""))</f>
        <v/>
      </c>
      <c r="G572" s="53">
        <f>IF(B572="","",IFERROR(INDEX(Client_List!$K:$K,MATCH(VALUE(B572),Client_List!$A:$A,0)),""))</f>
        <v/>
      </c>
      <c r="H572" s="32">
        <f>IF(B572="","",IFERROR(INDEX(Client_List!$J:$J,MATCH(VALUE(B572),Client_List!$A:$A,0)),""))</f>
        <v/>
      </c>
      <c r="I572" s="70">
        <f>IF(B572="","",IFERROR(A572-LOOKUP(2,1/($B$4:$B571=B572),$A$4:$A571),""))</f>
        <v/>
      </c>
      <c r="J572" s="32">
        <f>IF(B572="","",IFERROR(D572/I572,""))</f>
        <v/>
      </c>
      <c r="K572" s="71">
        <f>IF(B572="","",IFERROR(AVERAGEIFS($J$4:$J572,$B$4:$B572,B572,$J$4:$J572,"&gt;"&amp;0),""))</f>
        <v/>
      </c>
      <c r="L572" s="4" t="n"/>
    </row>
    <row r="573" ht="14" customHeight="1" s="72">
      <c r="A573" s="75" t="n">
        <v>46072</v>
      </c>
      <c r="B573" s="76" t="n">
        <v>1054</v>
      </c>
      <c r="C573" s="69">
        <f>IF(B573="","",IFERROR(INDEX(Client_List!$B:$B,MATCH(B573,Client_List!$A:$A,0)),"⚠ NOT FOUND"))</f>
        <v/>
      </c>
      <c r="D573" s="43" t="n">
        <v>505</v>
      </c>
      <c r="E573" s="32">
        <f>IF(B573="","",IFERROR(INDEX(Client_List!$C:$C,MATCH(VALUE(B573),Client_List!$A:$A,0)),""))</f>
        <v/>
      </c>
      <c r="F573" s="53">
        <f>IF(B573="","",IFERROR(INDEX(Client_List!$D:$D,MATCH(VALUE(B573),Client_List!$A:$A,0)),""))</f>
        <v/>
      </c>
      <c r="G573" s="53">
        <f>IF(B573="","",IFERROR(INDEX(Client_List!$K:$K,MATCH(VALUE(B573),Client_List!$A:$A,0)),""))</f>
        <v/>
      </c>
      <c r="H573" s="32">
        <f>IF(B573="","",IFERROR(INDEX(Client_List!$J:$J,MATCH(VALUE(B573),Client_List!$A:$A,0)),""))</f>
        <v/>
      </c>
      <c r="I573" s="70">
        <f>IF(B573="","",IFERROR(A573-LOOKUP(2,1/($B$4:$B572=B573),$A$4:$A572),""))</f>
        <v/>
      </c>
      <c r="J573" s="32">
        <f>IF(B573="","",IFERROR(D573/I573,""))</f>
        <v/>
      </c>
      <c r="K573" s="71">
        <f>IF(B573="","",IFERROR(AVERAGEIFS($J$4:$J573,$B$4:$B573,B573,$J$4:$J573,"&gt;"&amp;0),""))</f>
        <v/>
      </c>
      <c r="L573" s="7" t="n"/>
    </row>
    <row r="574" ht="14" customHeight="1" s="72">
      <c r="A574" s="75" t="n">
        <v>46072</v>
      </c>
      <c r="B574" s="76" t="n">
        <v>1083</v>
      </c>
      <c r="C574" s="69">
        <f>IF(B574="","",IFERROR(INDEX(Client_List!$B:$B,MATCH(B574,Client_List!$A:$A,0)),"⚠ NOT FOUND"))</f>
        <v/>
      </c>
      <c r="D574" s="43" t="n">
        <v>252</v>
      </c>
      <c r="E574" s="32">
        <f>IF(B574="","",IFERROR(INDEX(Client_List!$C:$C,MATCH(VALUE(B574),Client_List!$A:$A,0)),""))</f>
        <v/>
      </c>
      <c r="F574" s="53">
        <f>IF(B574="","",IFERROR(INDEX(Client_List!$D:$D,MATCH(VALUE(B574),Client_List!$A:$A,0)),""))</f>
        <v/>
      </c>
      <c r="G574" s="53">
        <f>IF(B574="","",IFERROR(INDEX(Client_List!$K:$K,MATCH(VALUE(B574),Client_List!$A:$A,0)),""))</f>
        <v/>
      </c>
      <c r="H574" s="32">
        <f>IF(B574="","",IFERROR(INDEX(Client_List!$J:$J,MATCH(VALUE(B574),Client_List!$A:$A,0)),""))</f>
        <v/>
      </c>
      <c r="I574" s="70">
        <f>IF(B574="","",IFERROR(A574-LOOKUP(2,1/($B$4:$B573=B574),$A$4:$A573),""))</f>
        <v/>
      </c>
      <c r="J574" s="32">
        <f>IF(B574="","",IFERROR(D574/I574,""))</f>
        <v/>
      </c>
      <c r="K574" s="71">
        <f>IF(B574="","",IFERROR(AVERAGEIFS($J$4:$J574,$B$4:$B574,B574,$J$4:$J574,"&gt;"&amp;0),""))</f>
        <v/>
      </c>
      <c r="L574" s="4" t="n"/>
    </row>
    <row r="575" ht="14" customHeight="1" s="72">
      <c r="A575" s="75" t="n">
        <v>46072</v>
      </c>
      <c r="B575" s="76" t="n">
        <v>2016</v>
      </c>
      <c r="C575" s="69">
        <f>IF(B575="","",IFERROR(INDEX(Client_List!$B:$B,MATCH(B575,Client_List!$A:$A,0)),"⚠ NOT FOUND"))</f>
        <v/>
      </c>
      <c r="D575" s="43" t="n">
        <v>278</v>
      </c>
      <c r="E575" s="32">
        <f>IF(B575="","",IFERROR(INDEX(Client_List!$C:$C,MATCH(VALUE(B575),Client_List!$A:$A,0)),""))</f>
        <v/>
      </c>
      <c r="F575" s="53">
        <f>IF(B575="","",IFERROR(INDEX(Client_List!$D:$D,MATCH(VALUE(B575),Client_List!$A:$A,0)),""))</f>
        <v/>
      </c>
      <c r="G575" s="53">
        <f>IF(B575="","",IFERROR(INDEX(Client_List!$K:$K,MATCH(VALUE(B575),Client_List!$A:$A,0)),""))</f>
        <v/>
      </c>
      <c r="H575" s="32">
        <f>IF(B575="","",IFERROR(INDEX(Client_List!$J:$J,MATCH(VALUE(B575),Client_List!$A:$A,0)),""))</f>
        <v/>
      </c>
      <c r="I575" s="70">
        <f>IF(B575="","",IFERROR(A575-LOOKUP(2,1/($B$4:$B574=B575),$A$4:$A574),""))</f>
        <v/>
      </c>
      <c r="J575" s="32">
        <f>IF(B575="","",IFERROR(D575/I575,""))</f>
        <v/>
      </c>
      <c r="K575" s="71">
        <f>IF(B575="","",IFERROR(AVERAGEIFS($J$4:$J575,$B$4:$B575,B575,$J$4:$J575,"&gt;"&amp;0),""))</f>
        <v/>
      </c>
      <c r="L575" s="7" t="n"/>
    </row>
    <row r="576" ht="14" customHeight="1" s="72">
      <c r="A576" s="75" t="n">
        <v>46072</v>
      </c>
      <c r="B576" s="76" t="n">
        <v>2021</v>
      </c>
      <c r="C576" s="69">
        <f>IF(B576="","",IFERROR(INDEX(Client_List!$B:$B,MATCH(B576,Client_List!$A:$A,0)),"⚠ NOT FOUND"))</f>
        <v/>
      </c>
      <c r="D576" s="43" t="n">
        <v>348</v>
      </c>
      <c r="E576" s="32">
        <f>IF(B576="","",IFERROR(INDEX(Client_List!$C:$C,MATCH(VALUE(B576),Client_List!$A:$A,0)),""))</f>
        <v/>
      </c>
      <c r="F576" s="53">
        <f>IF(B576="","",IFERROR(INDEX(Client_List!$D:$D,MATCH(VALUE(B576),Client_List!$A:$A,0)),""))</f>
        <v/>
      </c>
      <c r="G576" s="53">
        <f>IF(B576="","",IFERROR(INDEX(Client_List!$K:$K,MATCH(VALUE(B576),Client_List!$A:$A,0)),""))</f>
        <v/>
      </c>
      <c r="H576" s="32">
        <f>IF(B576="","",IFERROR(INDEX(Client_List!$J:$J,MATCH(VALUE(B576),Client_List!$A:$A,0)),""))</f>
        <v/>
      </c>
      <c r="I576" s="70">
        <f>IF(B576="","",IFERROR(A576-LOOKUP(2,1/($B$4:$B575=B576),$A$4:$A575),""))</f>
        <v/>
      </c>
      <c r="J576" s="32">
        <f>IF(B576="","",IFERROR(D576/I576,""))</f>
        <v/>
      </c>
      <c r="K576" s="71">
        <f>IF(B576="","",IFERROR(AVERAGEIFS($J$4:$J576,$B$4:$B576,B576,$J$4:$J576,"&gt;"&amp;0),""))</f>
        <v/>
      </c>
      <c r="L576" s="4" t="n"/>
    </row>
    <row r="577" ht="14" customHeight="1" s="72">
      <c r="A577" s="75" t="n">
        <v>46072</v>
      </c>
      <c r="B577" s="76" t="n">
        <v>2073</v>
      </c>
      <c r="C577" s="69">
        <f>IF(B577="","",IFERROR(INDEX(Client_List!$B:$B,MATCH(B577,Client_List!$A:$A,0)),"⚠ NOT FOUND"))</f>
        <v/>
      </c>
      <c r="D577" s="43" t="n">
        <v>157</v>
      </c>
      <c r="E577" s="32">
        <f>IF(B577="","",IFERROR(INDEX(Client_List!$C:$C,MATCH(VALUE(B577),Client_List!$A:$A,0)),""))</f>
        <v/>
      </c>
      <c r="F577" s="53">
        <f>IF(B577="","",IFERROR(INDEX(Client_List!$D:$D,MATCH(VALUE(B577),Client_List!$A:$A,0)),""))</f>
        <v/>
      </c>
      <c r="G577" s="53">
        <f>IF(B577="","",IFERROR(INDEX(Client_List!$K:$K,MATCH(VALUE(B577),Client_List!$A:$A,0)),""))</f>
        <v/>
      </c>
      <c r="H577" s="32">
        <f>IF(B577="","",IFERROR(INDEX(Client_List!$J:$J,MATCH(VALUE(B577),Client_List!$A:$A,0)),""))</f>
        <v/>
      </c>
      <c r="I577" s="70">
        <f>IF(B577="","",IFERROR(A577-LOOKUP(2,1/($B$4:$B576=B577),$A$4:$A576),""))</f>
        <v/>
      </c>
      <c r="J577" s="32">
        <f>IF(B577="","",IFERROR(D577/I577,""))</f>
        <v/>
      </c>
      <c r="K577" s="71">
        <f>IF(B577="","",IFERROR(AVERAGEIFS($J$4:$J577,$B$4:$B577,B577,$J$4:$J577,"&gt;"&amp;0),""))</f>
        <v/>
      </c>
      <c r="L577" s="7" t="n"/>
    </row>
    <row r="578" ht="14" customHeight="1" s="72">
      <c r="A578" s="75" t="n">
        <v>46072</v>
      </c>
      <c r="B578" s="76" t="n">
        <v>2078</v>
      </c>
      <c r="C578" s="69">
        <f>IF(B578="","",IFERROR(INDEX(Client_List!$B:$B,MATCH(B578,Client_List!$A:$A,0)),"⚠ NOT FOUND"))</f>
        <v/>
      </c>
      <c r="D578" s="43" t="n">
        <v>276</v>
      </c>
      <c r="E578" s="32">
        <f>IF(B578="","",IFERROR(INDEX(Client_List!$C:$C,MATCH(VALUE(B578),Client_List!$A:$A,0)),""))</f>
        <v/>
      </c>
      <c r="F578" s="53">
        <f>IF(B578="","",IFERROR(INDEX(Client_List!$D:$D,MATCH(VALUE(B578),Client_List!$A:$A,0)),""))</f>
        <v/>
      </c>
      <c r="G578" s="53">
        <f>IF(B578="","",IFERROR(INDEX(Client_List!$K:$K,MATCH(VALUE(B578),Client_List!$A:$A,0)),""))</f>
        <v/>
      </c>
      <c r="H578" s="32">
        <f>IF(B578="","",IFERROR(INDEX(Client_List!$J:$J,MATCH(VALUE(B578),Client_List!$A:$A,0)),""))</f>
        <v/>
      </c>
      <c r="I578" s="70">
        <f>IF(B578="","",IFERROR(A578-LOOKUP(2,1/($B$4:$B577=B578),$A$4:$A577),""))</f>
        <v/>
      </c>
      <c r="J578" s="32">
        <f>IF(B578="","",IFERROR(D578/I578,""))</f>
        <v/>
      </c>
      <c r="K578" s="71">
        <f>IF(B578="","",IFERROR(AVERAGEIFS($J$4:$J578,$B$4:$B578,B578,$J$4:$J578,"&gt;"&amp;0),""))</f>
        <v/>
      </c>
      <c r="L578" s="4" t="n"/>
    </row>
    <row r="579" ht="14" customHeight="1" s="72">
      <c r="A579" s="75" t="n">
        <v>46072</v>
      </c>
      <c r="B579" s="76" t="n">
        <v>4009</v>
      </c>
      <c r="C579" s="69">
        <f>IF(B579="","",IFERROR(INDEX(Client_List!$B:$B,MATCH(B579,Client_List!$A:$A,0)),"⚠ NOT FOUND"))</f>
        <v/>
      </c>
      <c r="D579" s="43" t="n">
        <v>768</v>
      </c>
      <c r="E579" s="32">
        <f>IF(B579="","",IFERROR(INDEX(Client_List!$C:$C,MATCH(VALUE(B579),Client_List!$A:$A,0)),""))</f>
        <v/>
      </c>
      <c r="F579" s="53">
        <f>IF(B579="","",IFERROR(INDEX(Client_List!$D:$D,MATCH(VALUE(B579),Client_List!$A:$A,0)),""))</f>
        <v/>
      </c>
      <c r="G579" s="53">
        <f>IF(B579="","",IFERROR(INDEX(Client_List!$K:$K,MATCH(VALUE(B579),Client_List!$A:$A,0)),""))</f>
        <v/>
      </c>
      <c r="H579" s="32">
        <f>IF(B579="","",IFERROR(INDEX(Client_List!$J:$J,MATCH(VALUE(B579),Client_List!$A:$A,0)),""))</f>
        <v/>
      </c>
      <c r="I579" s="70">
        <f>IF(B579="","",IFERROR(A579-LOOKUP(2,1/($B$4:$B578=B579),$A$4:$A578),""))</f>
        <v/>
      </c>
      <c r="J579" s="32">
        <f>IF(B579="","",IFERROR(D579/I579,""))</f>
        <v/>
      </c>
      <c r="K579" s="71">
        <f>IF(B579="","",IFERROR(AVERAGEIFS($J$4:$J579,$B$4:$B579,B579,$J$4:$J579,"&gt;"&amp;0),""))</f>
        <v/>
      </c>
      <c r="L579" s="7" t="n"/>
    </row>
    <row r="580" ht="14" customHeight="1" s="72">
      <c r="A580" s="75" t="n">
        <v>46072</v>
      </c>
      <c r="B580" s="76" t="n">
        <v>4025</v>
      </c>
      <c r="C580" s="69">
        <f>IF(B580="","",IFERROR(INDEX(Client_List!$B:$B,MATCH(B580,Client_List!$A:$A,0)),"⚠ NOT FOUND"))</f>
        <v/>
      </c>
      <c r="D580" s="43" t="n">
        <v>901</v>
      </c>
      <c r="E580" s="32">
        <f>IF(B580="","",IFERROR(INDEX(Client_List!$C:$C,MATCH(VALUE(B580),Client_List!$A:$A,0)),""))</f>
        <v/>
      </c>
      <c r="F580" s="53">
        <f>IF(B580="","",IFERROR(INDEX(Client_List!$D:$D,MATCH(VALUE(B580),Client_List!$A:$A,0)),""))</f>
        <v/>
      </c>
      <c r="G580" s="53">
        <f>IF(B580="","",IFERROR(INDEX(Client_List!$K:$K,MATCH(VALUE(B580),Client_List!$A:$A,0)),""))</f>
        <v/>
      </c>
      <c r="H580" s="32">
        <f>IF(B580="","",IFERROR(INDEX(Client_List!$J:$J,MATCH(VALUE(B580),Client_List!$A:$A,0)),""))</f>
        <v/>
      </c>
      <c r="I580" s="70">
        <f>IF(B580="","",IFERROR(A580-LOOKUP(2,1/($B$4:$B579=B580),$A$4:$A579),""))</f>
        <v/>
      </c>
      <c r="J580" s="32">
        <f>IF(B580="","",IFERROR(D580/I580,""))</f>
        <v/>
      </c>
      <c r="K580" s="71">
        <f>IF(B580="","",IFERROR(AVERAGEIFS($J$4:$J580,$B$4:$B580,B580,$J$4:$J580,"&gt;"&amp;0),""))</f>
        <v/>
      </c>
      <c r="L580" s="4" t="n"/>
    </row>
    <row r="581" ht="14" customHeight="1" s="72">
      <c r="A581" s="75" t="n">
        <v>46072</v>
      </c>
      <c r="B581" s="76" t="n">
        <v>4029</v>
      </c>
      <c r="C581" s="69">
        <f>IF(B581="","",IFERROR(INDEX(Client_List!$B:$B,MATCH(B581,Client_List!$A:$A,0)),"⚠ NOT FOUND"))</f>
        <v/>
      </c>
      <c r="D581" s="43" t="n">
        <v>2388</v>
      </c>
      <c r="E581" s="32">
        <f>IF(B581="","",IFERROR(INDEX(Client_List!$C:$C,MATCH(VALUE(B581),Client_List!$A:$A,0)),""))</f>
        <v/>
      </c>
      <c r="F581" s="53">
        <f>IF(B581="","",IFERROR(INDEX(Client_List!$D:$D,MATCH(VALUE(B581),Client_List!$A:$A,0)),""))</f>
        <v/>
      </c>
      <c r="G581" s="53">
        <f>IF(B581="","",IFERROR(INDEX(Client_List!$K:$K,MATCH(VALUE(B581),Client_List!$A:$A,0)),""))</f>
        <v/>
      </c>
      <c r="H581" s="32">
        <f>IF(B581="","",IFERROR(INDEX(Client_List!$J:$J,MATCH(VALUE(B581),Client_List!$A:$A,0)),""))</f>
        <v/>
      </c>
      <c r="I581" s="70">
        <f>IF(B581="","",IFERROR(A581-LOOKUP(2,1/($B$4:$B580=B581),$A$4:$A580),""))</f>
        <v/>
      </c>
      <c r="J581" s="32">
        <f>IF(B581="","",IFERROR(D581/I581,""))</f>
        <v/>
      </c>
      <c r="K581" s="71">
        <f>IF(B581="","",IFERROR(AVERAGEIFS($J$4:$J581,$B$4:$B581,B581,$J$4:$J581,"&gt;"&amp;0),""))</f>
        <v/>
      </c>
      <c r="L581" s="7" t="n"/>
    </row>
    <row r="582" ht="14" customHeight="1" s="72">
      <c r="A582" s="75" t="n">
        <v>46072</v>
      </c>
      <c r="B582" s="76" t="n">
        <v>10011</v>
      </c>
      <c r="C582" s="69">
        <f>IF(B582="","",IFERROR(INDEX(Client_List!$B:$B,MATCH(B582,Client_List!$A:$A,0)),"⚠ NOT FOUND"))</f>
        <v/>
      </c>
      <c r="D582" s="43" t="n">
        <v>367</v>
      </c>
      <c r="E582" s="32">
        <f>IF(B582="","",IFERROR(INDEX(Client_List!$C:$C,MATCH(VALUE(B582),Client_List!$A:$A,0)),""))</f>
        <v/>
      </c>
      <c r="F582" s="53">
        <f>IF(B582="","",IFERROR(INDEX(Client_List!$D:$D,MATCH(VALUE(B582),Client_List!$A:$A,0)),""))</f>
        <v/>
      </c>
      <c r="G582" s="53">
        <f>IF(B582="","",IFERROR(INDEX(Client_List!$K:$K,MATCH(VALUE(B582),Client_List!$A:$A,0)),""))</f>
        <v/>
      </c>
      <c r="H582" s="32">
        <f>IF(B582="","",IFERROR(INDEX(Client_List!$J:$J,MATCH(VALUE(B582),Client_List!$A:$A,0)),""))</f>
        <v/>
      </c>
      <c r="I582" s="70">
        <f>IF(B582="","",IFERROR(A582-LOOKUP(2,1/($B$4:$B581=B582),$A$4:$A581),""))</f>
        <v/>
      </c>
      <c r="J582" s="32">
        <f>IF(B582="","",IFERROR(D582/I582,""))</f>
        <v/>
      </c>
      <c r="K582" s="71">
        <f>IF(B582="","",IFERROR(AVERAGEIFS($J$4:$J582,$B$4:$B582,B582,$J$4:$J582,"&gt;"&amp;0),""))</f>
        <v/>
      </c>
      <c r="L582" s="4" t="n"/>
    </row>
    <row r="583" ht="14" customHeight="1" s="72">
      <c r="A583" s="75" t="n">
        <v>46072</v>
      </c>
      <c r="B583" s="76" t="n">
        <v>13011</v>
      </c>
      <c r="C583" s="69">
        <f>IF(B583="","",IFERROR(INDEX(Client_List!$B:$B,MATCH(B583,Client_List!$A:$A,0)),"⚠ NOT FOUND"))</f>
        <v/>
      </c>
      <c r="D583" s="43" t="n">
        <v>680</v>
      </c>
      <c r="E583" s="32">
        <f>IF(B583="","",IFERROR(INDEX(Client_List!$C:$C,MATCH(VALUE(B583),Client_List!$A:$A,0)),""))</f>
        <v/>
      </c>
      <c r="F583" s="53">
        <f>IF(B583="","",IFERROR(INDEX(Client_List!$D:$D,MATCH(VALUE(B583),Client_List!$A:$A,0)),""))</f>
        <v/>
      </c>
      <c r="G583" s="53">
        <f>IF(B583="","",IFERROR(INDEX(Client_List!$K:$K,MATCH(VALUE(B583),Client_List!$A:$A,0)),""))</f>
        <v/>
      </c>
      <c r="H583" s="32">
        <f>IF(B583="","",IFERROR(INDEX(Client_List!$J:$J,MATCH(VALUE(B583),Client_List!$A:$A,0)),""))</f>
        <v/>
      </c>
      <c r="I583" s="70">
        <f>IF(B583="","",IFERROR(A583-LOOKUP(2,1/($B$4:$B582=B583),$A$4:$A582),""))</f>
        <v/>
      </c>
      <c r="J583" s="32">
        <f>IF(B583="","",IFERROR(D583/I583,""))</f>
        <v/>
      </c>
      <c r="K583" s="71">
        <f>IF(B583="","",IFERROR(AVERAGEIFS($J$4:$J583,$B$4:$B583,B583,$J$4:$J583,"&gt;"&amp;0),""))</f>
        <v/>
      </c>
      <c r="L583" s="7" t="n"/>
    </row>
    <row r="584" ht="14" customHeight="1" s="72">
      <c r="A584" s="75" t="n">
        <v>46072</v>
      </c>
      <c r="B584" s="76" t="n">
        <v>13014</v>
      </c>
      <c r="C584" s="69">
        <f>IF(B584="","",IFERROR(INDEX(Client_List!$B:$B,MATCH(B584,Client_List!$A:$A,0)),"⚠ NOT FOUND"))</f>
        <v/>
      </c>
      <c r="D584" s="43" t="n">
        <v>522</v>
      </c>
      <c r="E584" s="32">
        <f>IF(B584="","",IFERROR(INDEX(Client_List!$C:$C,MATCH(VALUE(B584),Client_List!$A:$A,0)),""))</f>
        <v/>
      </c>
      <c r="F584" s="53">
        <f>IF(B584="","",IFERROR(INDEX(Client_List!$D:$D,MATCH(VALUE(B584),Client_List!$A:$A,0)),""))</f>
        <v/>
      </c>
      <c r="G584" s="53">
        <f>IF(B584="","",IFERROR(INDEX(Client_List!$K:$K,MATCH(VALUE(B584),Client_List!$A:$A,0)),""))</f>
        <v/>
      </c>
      <c r="H584" s="32">
        <f>IF(B584="","",IFERROR(INDEX(Client_List!$J:$J,MATCH(VALUE(B584),Client_List!$A:$A,0)),""))</f>
        <v/>
      </c>
      <c r="I584" s="70">
        <f>IF(B584="","",IFERROR(A584-LOOKUP(2,1/($B$4:$B583=B584),$A$4:$A583),""))</f>
        <v/>
      </c>
      <c r="J584" s="32">
        <f>IF(B584="","",IFERROR(D584/I584,""))</f>
        <v/>
      </c>
      <c r="K584" s="71">
        <f>IF(B584="","",IFERROR(AVERAGEIFS($J$4:$J584,$B$4:$B584,B584,$J$4:$J584,"&gt;"&amp;0),""))</f>
        <v/>
      </c>
      <c r="L584" s="4" t="n"/>
    </row>
    <row r="585" ht="14" customHeight="1" s="72">
      <c r="A585" s="75" t="n">
        <v>46072</v>
      </c>
      <c r="B585" s="76" t="n">
        <v>15025</v>
      </c>
      <c r="C585" s="69">
        <f>IF(B585="","",IFERROR(INDEX(Client_List!$B:$B,MATCH(B585,Client_List!$A:$A,0)),"⚠ NOT FOUND"))</f>
        <v/>
      </c>
      <c r="D585" s="43" t="n">
        <v>600</v>
      </c>
      <c r="E585" s="32">
        <f>IF(B585="","",IFERROR(INDEX(Client_List!$C:$C,MATCH(VALUE(B585),Client_List!$A:$A,0)),""))</f>
        <v/>
      </c>
      <c r="F585" s="53">
        <f>IF(B585="","",IFERROR(INDEX(Client_List!$D:$D,MATCH(VALUE(B585),Client_List!$A:$A,0)),""))</f>
        <v/>
      </c>
      <c r="G585" s="53">
        <f>IF(B585="","",IFERROR(INDEX(Client_List!$K:$K,MATCH(VALUE(B585),Client_List!$A:$A,0)),""))</f>
        <v/>
      </c>
      <c r="H585" s="32">
        <f>IF(B585="","",IFERROR(INDEX(Client_List!$J:$J,MATCH(VALUE(B585),Client_List!$A:$A,0)),""))</f>
        <v/>
      </c>
      <c r="I585" s="70">
        <f>IF(B585="","",IFERROR(A585-LOOKUP(2,1/($B$4:$B584=B585),$A$4:$A584),""))</f>
        <v/>
      </c>
      <c r="J585" s="32">
        <f>IF(B585="","",IFERROR(D585/I585,""))</f>
        <v/>
      </c>
      <c r="K585" s="71">
        <f>IF(B585="","",IFERROR(AVERAGEIFS($J$4:$J585,$B$4:$B585,B585,$J$4:$J585,"&gt;"&amp;0),""))</f>
        <v/>
      </c>
      <c r="L585" s="7" t="n"/>
    </row>
    <row r="586" ht="14" customHeight="1" s="72">
      <c r="A586" s="75" t="n">
        <v>46072</v>
      </c>
      <c r="B586" s="76" t="n">
        <v>15051</v>
      </c>
      <c r="C586" s="69">
        <f>IF(B586="","",IFERROR(INDEX(Client_List!$B:$B,MATCH(B586,Client_List!$A:$A,0)),"⚠ NOT FOUND"))</f>
        <v/>
      </c>
      <c r="D586" s="43" t="n">
        <v>244</v>
      </c>
      <c r="E586" s="32">
        <f>IF(B586="","",IFERROR(INDEX(Client_List!$C:$C,MATCH(VALUE(B586),Client_List!$A:$A,0)),""))</f>
        <v/>
      </c>
      <c r="F586" s="53">
        <f>IF(B586="","",IFERROR(INDEX(Client_List!$D:$D,MATCH(VALUE(B586),Client_List!$A:$A,0)),""))</f>
        <v/>
      </c>
      <c r="G586" s="53">
        <f>IF(B586="","",IFERROR(INDEX(Client_List!$K:$K,MATCH(VALUE(B586),Client_List!$A:$A,0)),""))</f>
        <v/>
      </c>
      <c r="H586" s="32">
        <f>IF(B586="","",IFERROR(INDEX(Client_List!$J:$J,MATCH(VALUE(B586),Client_List!$A:$A,0)),""))</f>
        <v/>
      </c>
      <c r="I586" s="70">
        <f>IF(B586="","",IFERROR(A586-LOOKUP(2,1/($B$4:$B585=B586),$A$4:$A585),""))</f>
        <v/>
      </c>
      <c r="J586" s="32">
        <f>IF(B586="","",IFERROR(D586/I586,""))</f>
        <v/>
      </c>
      <c r="K586" s="71">
        <f>IF(B586="","",IFERROR(AVERAGEIFS($J$4:$J586,$B$4:$B586,B586,$J$4:$J586,"&gt;"&amp;0),""))</f>
        <v/>
      </c>
      <c r="L586" s="4" t="n"/>
    </row>
    <row r="587" ht="14" customHeight="1" s="72">
      <c r="A587" s="75" t="n">
        <v>46072</v>
      </c>
      <c r="B587" s="76" t="n">
        <v>16003</v>
      </c>
      <c r="C587" s="69">
        <f>IF(B587="","",IFERROR(INDEX(Client_List!$B:$B,MATCH(B587,Client_List!$A:$A,0)),"⚠ NOT FOUND"))</f>
        <v/>
      </c>
      <c r="D587" s="43" t="n">
        <v>889</v>
      </c>
      <c r="E587" s="32">
        <f>IF(B587="","",IFERROR(INDEX(Client_List!$C:$C,MATCH(VALUE(B587),Client_List!$A:$A,0)),""))</f>
        <v/>
      </c>
      <c r="F587" s="53">
        <f>IF(B587="","",IFERROR(INDEX(Client_List!$D:$D,MATCH(VALUE(B587),Client_List!$A:$A,0)),""))</f>
        <v/>
      </c>
      <c r="G587" s="53">
        <f>IF(B587="","",IFERROR(INDEX(Client_List!$K:$K,MATCH(VALUE(B587),Client_List!$A:$A,0)),""))</f>
        <v/>
      </c>
      <c r="H587" s="32">
        <f>IF(B587="","",IFERROR(INDEX(Client_List!$J:$J,MATCH(VALUE(B587),Client_List!$A:$A,0)),""))</f>
        <v/>
      </c>
      <c r="I587" s="70">
        <f>IF(B587="","",IFERROR(A587-LOOKUP(2,1/($B$4:$B586=B587),$A$4:$A586),""))</f>
        <v/>
      </c>
      <c r="J587" s="32">
        <f>IF(B587="","",IFERROR(D587/I587,""))</f>
        <v/>
      </c>
      <c r="K587" s="71">
        <f>IF(B587="","",IFERROR(AVERAGEIFS($J$4:$J587,$B$4:$B587,B587,$J$4:$J587,"&gt;"&amp;0),""))</f>
        <v/>
      </c>
      <c r="L587" s="7" t="n"/>
    </row>
    <row r="588" ht="14" customHeight="1" s="72">
      <c r="A588" s="75" t="n">
        <v>46072</v>
      </c>
      <c r="B588" s="76" t="n">
        <v>20051</v>
      </c>
      <c r="C588" s="69">
        <f>IF(B588="","",IFERROR(INDEX(Client_List!$B:$B,MATCH(B588,Client_List!$A:$A,0)),"⚠ NOT FOUND"))</f>
        <v/>
      </c>
      <c r="D588" s="43" t="n">
        <v>281</v>
      </c>
      <c r="E588" s="32">
        <f>IF(B588="","",IFERROR(INDEX(Client_List!$C:$C,MATCH(VALUE(B588),Client_List!$A:$A,0)),""))</f>
        <v/>
      </c>
      <c r="F588" s="53">
        <f>IF(B588="","",IFERROR(INDEX(Client_List!$D:$D,MATCH(VALUE(B588),Client_List!$A:$A,0)),""))</f>
        <v/>
      </c>
      <c r="G588" s="53">
        <f>IF(B588="","",IFERROR(INDEX(Client_List!$K:$K,MATCH(VALUE(B588),Client_List!$A:$A,0)),""))</f>
        <v/>
      </c>
      <c r="H588" s="32">
        <f>IF(B588="","",IFERROR(INDEX(Client_List!$J:$J,MATCH(VALUE(B588),Client_List!$A:$A,0)),""))</f>
        <v/>
      </c>
      <c r="I588" s="70">
        <f>IF(B588="","",IFERROR(A588-LOOKUP(2,1/($B$4:$B587=B588),$A$4:$A587),""))</f>
        <v/>
      </c>
      <c r="J588" s="32">
        <f>IF(B588="","",IFERROR(D588/I588,""))</f>
        <v/>
      </c>
      <c r="K588" s="71">
        <f>IF(B588="","",IFERROR(AVERAGEIFS($J$4:$J588,$B$4:$B588,B588,$J$4:$J588,"&gt;"&amp;0),""))</f>
        <v/>
      </c>
      <c r="L588" s="4" t="n"/>
    </row>
    <row r="589" ht="14" customHeight="1" s="72">
      <c r="A589" s="75" t="n">
        <v>46072</v>
      </c>
      <c r="B589" s="76" t="n">
        <v>20081</v>
      </c>
      <c r="C589" s="69">
        <f>IF(B589="","",IFERROR(INDEX(Client_List!$B:$B,MATCH(B589,Client_List!$A:$A,0)),"⚠ NOT FOUND"))</f>
        <v/>
      </c>
      <c r="D589" s="43" t="n">
        <v>1008</v>
      </c>
      <c r="E589" s="32">
        <f>IF(B589="","",IFERROR(INDEX(Client_List!$C:$C,MATCH(VALUE(B589),Client_List!$A:$A,0)),""))</f>
        <v/>
      </c>
      <c r="F589" s="53">
        <f>IF(B589="","",IFERROR(INDEX(Client_List!$D:$D,MATCH(VALUE(B589),Client_List!$A:$A,0)),""))</f>
        <v/>
      </c>
      <c r="G589" s="53">
        <f>IF(B589="","",IFERROR(INDEX(Client_List!$K:$K,MATCH(VALUE(B589),Client_List!$A:$A,0)),""))</f>
        <v/>
      </c>
      <c r="H589" s="32">
        <f>IF(B589="","",IFERROR(INDEX(Client_List!$J:$J,MATCH(VALUE(B589),Client_List!$A:$A,0)),""))</f>
        <v/>
      </c>
      <c r="I589" s="70">
        <f>IF(B589="","",IFERROR(A589-LOOKUP(2,1/($B$4:$B588=B589),$A$4:$A588),""))</f>
        <v/>
      </c>
      <c r="J589" s="32">
        <f>IF(B589="","",IFERROR(D589/I589,""))</f>
        <v/>
      </c>
      <c r="K589" s="71">
        <f>IF(B589="","",IFERROR(AVERAGEIFS($J$4:$J589,$B$4:$B589,B589,$J$4:$J589,"&gt;"&amp;0),""))</f>
        <v/>
      </c>
      <c r="L589" s="7" t="n"/>
    </row>
    <row r="590" ht="14" customHeight="1" s="72">
      <c r="A590" s="75" t="n">
        <v>46072</v>
      </c>
      <c r="B590" s="76" t="n">
        <v>20088</v>
      </c>
      <c r="C590" s="69">
        <f>IF(B590="","",IFERROR(INDEX(Client_List!$B:$B,MATCH(B590,Client_List!$A:$A,0)),"⚠ NOT FOUND"))</f>
        <v/>
      </c>
      <c r="D590" s="43" t="n">
        <v>960</v>
      </c>
      <c r="E590" s="32">
        <f>IF(B590="","",IFERROR(INDEX(Client_List!$C:$C,MATCH(VALUE(B590),Client_List!$A:$A,0)),""))</f>
        <v/>
      </c>
      <c r="F590" s="53">
        <f>IF(B590="","",IFERROR(INDEX(Client_List!$D:$D,MATCH(VALUE(B590),Client_List!$A:$A,0)),""))</f>
        <v/>
      </c>
      <c r="G590" s="53">
        <f>IF(B590="","",IFERROR(INDEX(Client_List!$K:$K,MATCH(VALUE(B590),Client_List!$A:$A,0)),""))</f>
        <v/>
      </c>
      <c r="H590" s="32">
        <f>IF(B590="","",IFERROR(INDEX(Client_List!$J:$J,MATCH(VALUE(B590),Client_List!$A:$A,0)),""))</f>
        <v/>
      </c>
      <c r="I590" s="70">
        <f>IF(B590="","",IFERROR(A590-LOOKUP(2,1/($B$4:$B589=B590),$A$4:$A589),""))</f>
        <v/>
      </c>
      <c r="J590" s="32">
        <f>IF(B590="","",IFERROR(D590/I590,""))</f>
        <v/>
      </c>
      <c r="K590" s="71">
        <f>IF(B590="","",IFERROR(AVERAGEIFS($J$4:$J590,$B$4:$B590,B590,$J$4:$J590,"&gt;"&amp;0),""))</f>
        <v/>
      </c>
      <c r="L590" s="4" t="n"/>
    </row>
    <row r="591" ht="14" customHeight="1" s="72">
      <c r="A591" s="75" t="n">
        <v>46072</v>
      </c>
      <c r="B591" s="76" t="n">
        <v>20091</v>
      </c>
      <c r="C591" s="69">
        <f>IF(B591="","",IFERROR(INDEX(Client_List!$B:$B,MATCH(B591,Client_List!$A:$A,0)),"⚠ NOT FOUND"))</f>
        <v/>
      </c>
      <c r="D591" s="43" t="n">
        <v>937</v>
      </c>
      <c r="E591" s="32">
        <f>IF(B591="","",IFERROR(INDEX(Client_List!$C:$C,MATCH(VALUE(B591),Client_List!$A:$A,0)),""))</f>
        <v/>
      </c>
      <c r="F591" s="53">
        <f>IF(B591="","",IFERROR(INDEX(Client_List!$D:$D,MATCH(VALUE(B591),Client_List!$A:$A,0)),""))</f>
        <v/>
      </c>
      <c r="G591" s="53">
        <f>IF(B591="","",IFERROR(INDEX(Client_List!$K:$K,MATCH(VALUE(B591),Client_List!$A:$A,0)),""))</f>
        <v/>
      </c>
      <c r="H591" s="32">
        <f>IF(B591="","",IFERROR(INDEX(Client_List!$J:$J,MATCH(VALUE(B591),Client_List!$A:$A,0)),""))</f>
        <v/>
      </c>
      <c r="I591" s="70">
        <f>IF(B591="","",IFERROR(A591-LOOKUP(2,1/($B$4:$B590=B591),$A$4:$A590),""))</f>
        <v/>
      </c>
      <c r="J591" s="32">
        <f>IF(B591="","",IFERROR(D591/I591,""))</f>
        <v/>
      </c>
      <c r="K591" s="71">
        <f>IF(B591="","",IFERROR(AVERAGEIFS($J$4:$J591,$B$4:$B591,B591,$J$4:$J591,"&gt;"&amp;0),""))</f>
        <v/>
      </c>
      <c r="L591" s="7" t="n"/>
    </row>
    <row r="592" ht="14" customHeight="1" s="72">
      <c r="A592" s="75" t="n">
        <v>46072</v>
      </c>
      <c r="B592" s="76" t="n">
        <v>22006</v>
      </c>
      <c r="C592" s="69">
        <f>IF(B592="","",IFERROR(INDEX(Client_List!$B:$B,MATCH(B592,Client_List!$A:$A,0)),"⚠ NOT FOUND"))</f>
        <v/>
      </c>
      <c r="D592" s="43" t="n">
        <v>639</v>
      </c>
      <c r="E592" s="32">
        <f>IF(B592="","",IFERROR(INDEX(Client_List!$C:$C,MATCH(VALUE(B592),Client_List!$A:$A,0)),""))</f>
        <v/>
      </c>
      <c r="F592" s="53">
        <f>IF(B592="","",IFERROR(INDEX(Client_List!$D:$D,MATCH(VALUE(B592),Client_List!$A:$A,0)),""))</f>
        <v/>
      </c>
      <c r="G592" s="53">
        <f>IF(B592="","",IFERROR(INDEX(Client_List!$K:$K,MATCH(VALUE(B592),Client_List!$A:$A,0)),""))</f>
        <v/>
      </c>
      <c r="H592" s="32">
        <f>IF(B592="","",IFERROR(INDEX(Client_List!$J:$J,MATCH(VALUE(B592),Client_List!$A:$A,0)),""))</f>
        <v/>
      </c>
      <c r="I592" s="70">
        <f>IF(B592="","",IFERROR(A592-LOOKUP(2,1/($B$4:$B591=B592),$A$4:$A591),""))</f>
        <v/>
      </c>
      <c r="J592" s="32">
        <f>IF(B592="","",IFERROR(D592/I592,""))</f>
        <v/>
      </c>
      <c r="K592" s="71">
        <f>IF(B592="","",IFERROR(AVERAGEIFS($J$4:$J592,$B$4:$B592,B592,$J$4:$J592,"&gt;"&amp;0),""))</f>
        <v/>
      </c>
      <c r="L592" s="4" t="n"/>
    </row>
    <row r="593" ht="14" customHeight="1" s="72">
      <c r="A593" s="75" t="n">
        <v>46073</v>
      </c>
      <c r="B593" s="76" t="n">
        <v>2038</v>
      </c>
      <c r="C593" s="69">
        <f>IF(B593="","",IFERROR(INDEX(Client_List!$B:$B,MATCH(B593,Client_List!$A:$A,0)),"⚠ NOT FOUND"))</f>
        <v/>
      </c>
      <c r="D593" s="43" t="n">
        <v>621</v>
      </c>
      <c r="E593" s="32">
        <f>IF(B593="","",IFERROR(INDEX(Client_List!$C:$C,MATCH(VALUE(B593),Client_List!$A:$A,0)),""))</f>
        <v/>
      </c>
      <c r="F593" s="53">
        <f>IF(B593="","",IFERROR(INDEX(Client_List!$D:$D,MATCH(VALUE(B593),Client_List!$A:$A,0)),""))</f>
        <v/>
      </c>
      <c r="G593" s="53">
        <f>IF(B593="","",IFERROR(INDEX(Client_List!$K:$K,MATCH(VALUE(B593),Client_List!$A:$A,0)),""))</f>
        <v/>
      </c>
      <c r="H593" s="32">
        <f>IF(B593="","",IFERROR(INDEX(Client_List!$J:$J,MATCH(VALUE(B593),Client_List!$A:$A,0)),""))</f>
        <v/>
      </c>
      <c r="I593" s="70">
        <f>IF(B593="","",IFERROR(A593-LOOKUP(2,1/($B$4:$B592=B593),$A$4:$A592),""))</f>
        <v/>
      </c>
      <c r="J593" s="32">
        <f>IF(B593="","",IFERROR(D593/I593,""))</f>
        <v/>
      </c>
      <c r="K593" s="71">
        <f>IF(B593="","",IFERROR(AVERAGEIFS($J$4:$J593,$B$4:$B593,B593,$J$4:$J593,"&gt;"&amp;0),""))</f>
        <v/>
      </c>
      <c r="L593" s="7" t="n"/>
    </row>
    <row r="594" ht="14" customHeight="1" s="72">
      <c r="A594" s="75" t="n">
        <v>46073</v>
      </c>
      <c r="B594" s="76" t="n">
        <v>3056</v>
      </c>
      <c r="C594" s="69">
        <f>IF(B594="","",IFERROR(INDEX(Client_List!$B:$B,MATCH(B594,Client_List!$A:$A,0)),"⚠ NOT FOUND"))</f>
        <v/>
      </c>
      <c r="D594" s="43" t="n">
        <v>215</v>
      </c>
      <c r="E594" s="32">
        <f>IF(B594="","",IFERROR(INDEX(Client_List!$C:$C,MATCH(VALUE(B594),Client_List!$A:$A,0)),""))</f>
        <v/>
      </c>
      <c r="F594" s="53">
        <f>IF(B594="","",IFERROR(INDEX(Client_List!$D:$D,MATCH(VALUE(B594),Client_List!$A:$A,0)),""))</f>
        <v/>
      </c>
      <c r="G594" s="53">
        <f>IF(B594="","",IFERROR(INDEX(Client_List!$K:$K,MATCH(VALUE(B594),Client_List!$A:$A,0)),""))</f>
        <v/>
      </c>
      <c r="H594" s="32">
        <f>IF(B594="","",IFERROR(INDEX(Client_List!$J:$J,MATCH(VALUE(B594),Client_List!$A:$A,0)),""))</f>
        <v/>
      </c>
      <c r="I594" s="70">
        <f>IF(B594="","",IFERROR(A594-LOOKUP(2,1/($B$4:$B593=B594),$A$4:$A593),""))</f>
        <v/>
      </c>
      <c r="J594" s="32">
        <f>IF(B594="","",IFERROR(D594/I594,""))</f>
        <v/>
      </c>
      <c r="K594" s="71">
        <f>IF(B594="","",IFERROR(AVERAGEIFS($J$4:$J594,$B$4:$B594,B594,$J$4:$J594,"&gt;"&amp;0),""))</f>
        <v/>
      </c>
      <c r="L594" s="4" t="n"/>
    </row>
    <row r="595" ht="14" customHeight="1" s="72">
      <c r="A595" s="75" t="n">
        <v>46073</v>
      </c>
      <c r="B595" s="76" t="n">
        <v>4014</v>
      </c>
      <c r="C595" s="69">
        <f>IF(B595="","",IFERROR(INDEX(Client_List!$B:$B,MATCH(B595,Client_List!$A:$A,0)),"⚠ NOT FOUND"))</f>
        <v/>
      </c>
      <c r="D595" s="43" t="n">
        <v>188</v>
      </c>
      <c r="E595" s="32">
        <f>IF(B595="","",IFERROR(INDEX(Client_List!$C:$C,MATCH(VALUE(B595),Client_List!$A:$A,0)),""))</f>
        <v/>
      </c>
      <c r="F595" s="53">
        <f>IF(B595="","",IFERROR(INDEX(Client_List!$D:$D,MATCH(VALUE(B595),Client_List!$A:$A,0)),""))</f>
        <v/>
      </c>
      <c r="G595" s="53">
        <f>IF(B595="","",IFERROR(INDEX(Client_List!$K:$K,MATCH(VALUE(B595),Client_List!$A:$A,0)),""))</f>
        <v/>
      </c>
      <c r="H595" s="32">
        <f>IF(B595="","",IFERROR(INDEX(Client_List!$J:$J,MATCH(VALUE(B595),Client_List!$A:$A,0)),""))</f>
        <v/>
      </c>
      <c r="I595" s="70">
        <f>IF(B595="","",IFERROR(A595-LOOKUP(2,1/($B$4:$B594=B595),$A$4:$A594),""))</f>
        <v/>
      </c>
      <c r="J595" s="32">
        <f>IF(B595="","",IFERROR(D595/I595,""))</f>
        <v/>
      </c>
      <c r="K595" s="71">
        <f>IF(B595="","",IFERROR(AVERAGEIFS($J$4:$J595,$B$4:$B595,B595,$J$4:$J595,"&gt;"&amp;0),""))</f>
        <v/>
      </c>
      <c r="L595" s="7" t="n"/>
    </row>
    <row r="596" ht="14" customHeight="1" s="72">
      <c r="A596" s="75" t="n">
        <v>46073</v>
      </c>
      <c r="B596" s="76" t="inlineStr">
        <is>
          <t>4015A</t>
        </is>
      </c>
      <c r="C596" s="69">
        <f>IF(B596="","",IFERROR(INDEX(Client_List!$B:$B,MATCH(B596,Client_List!$A:$A,0)),"⚠ NOT FOUND"))</f>
        <v/>
      </c>
      <c r="D596" s="43" t="n">
        <v>498</v>
      </c>
      <c r="E596" s="32">
        <f>IF(B596="","",IFERROR(INDEX(Client_List!$C:$C,MATCH(VALUE(B596),Client_List!$A:$A,0)),""))</f>
        <v/>
      </c>
      <c r="F596" s="53">
        <f>IF(B596="","",IFERROR(INDEX(Client_List!$D:$D,MATCH(VALUE(B596),Client_List!$A:$A,0)),""))</f>
        <v/>
      </c>
      <c r="G596" s="53">
        <f>IF(B596="","",IFERROR(INDEX(Client_List!$K:$K,MATCH(VALUE(B596),Client_List!$A:$A,0)),""))</f>
        <v/>
      </c>
      <c r="H596" s="32">
        <f>IF(B596="","",IFERROR(INDEX(Client_List!$J:$J,MATCH(VALUE(B596),Client_List!$A:$A,0)),""))</f>
        <v/>
      </c>
      <c r="I596" s="70">
        <f>IF(B596="","",IFERROR(A596-LOOKUP(2,1/($B$4:$B595=B596),$A$4:$A595),""))</f>
        <v/>
      </c>
      <c r="J596" s="32">
        <f>IF(B596="","",IFERROR(D596/I596,""))</f>
        <v/>
      </c>
      <c r="K596" s="71">
        <f>IF(B596="","",IFERROR(AVERAGEIFS($J$4:$J596,$B$4:$B596,B596,$J$4:$J596,"&gt;"&amp;0),""))</f>
        <v/>
      </c>
      <c r="L596" s="4" t="n"/>
    </row>
    <row r="597" ht="14" customHeight="1" s="72">
      <c r="A597" s="75" t="n">
        <v>46073</v>
      </c>
      <c r="B597" s="76" t="n">
        <v>5004</v>
      </c>
      <c r="C597" s="69">
        <f>IF(B597="","",IFERROR(INDEX(Client_List!$B:$B,MATCH(B597,Client_List!$A:$A,0)),"⚠ NOT FOUND"))</f>
        <v/>
      </c>
      <c r="D597" s="43" t="n">
        <v>302</v>
      </c>
      <c r="E597" s="32">
        <f>IF(B597="","",IFERROR(INDEX(Client_List!$C:$C,MATCH(VALUE(B597),Client_List!$A:$A,0)),""))</f>
        <v/>
      </c>
      <c r="F597" s="53">
        <f>IF(B597="","",IFERROR(INDEX(Client_List!$D:$D,MATCH(VALUE(B597),Client_List!$A:$A,0)),""))</f>
        <v/>
      </c>
      <c r="G597" s="53">
        <f>IF(B597="","",IFERROR(INDEX(Client_List!$K:$K,MATCH(VALUE(B597),Client_List!$A:$A,0)),""))</f>
        <v/>
      </c>
      <c r="H597" s="32">
        <f>IF(B597="","",IFERROR(INDEX(Client_List!$J:$J,MATCH(VALUE(B597),Client_List!$A:$A,0)),""))</f>
        <v/>
      </c>
      <c r="I597" s="70">
        <f>IF(B597="","",IFERROR(A597-LOOKUP(2,1/($B$4:$B596=B597),$A$4:$A596),""))</f>
        <v/>
      </c>
      <c r="J597" s="32">
        <f>IF(B597="","",IFERROR(D597/I597,""))</f>
        <v/>
      </c>
      <c r="K597" s="71">
        <f>IF(B597="","",IFERROR(AVERAGEIFS($J$4:$J597,$B$4:$B597,B597,$J$4:$J597,"&gt;"&amp;0),""))</f>
        <v/>
      </c>
      <c r="L597" s="7" t="n"/>
    </row>
    <row r="598" ht="14" customHeight="1" s="72">
      <c r="A598" s="75" t="n">
        <v>46073</v>
      </c>
      <c r="B598" s="76" t="n">
        <v>6101</v>
      </c>
      <c r="C598" s="69">
        <f>IF(B598="","",IFERROR(INDEX(Client_List!$B:$B,MATCH(B598,Client_List!$A:$A,0)),"⚠ NOT FOUND"))</f>
        <v/>
      </c>
      <c r="D598" s="43" t="n">
        <v>504</v>
      </c>
      <c r="E598" s="32">
        <f>IF(B598="","",IFERROR(INDEX(Client_List!$C:$C,MATCH(VALUE(B598),Client_List!$A:$A,0)),""))</f>
        <v/>
      </c>
      <c r="F598" s="53">
        <f>IF(B598="","",IFERROR(INDEX(Client_List!$D:$D,MATCH(VALUE(B598),Client_List!$A:$A,0)),""))</f>
        <v/>
      </c>
      <c r="G598" s="53">
        <f>IF(B598="","",IFERROR(INDEX(Client_List!$K:$K,MATCH(VALUE(B598),Client_List!$A:$A,0)),""))</f>
        <v/>
      </c>
      <c r="H598" s="32">
        <f>IF(B598="","",IFERROR(INDEX(Client_List!$J:$J,MATCH(VALUE(B598),Client_List!$A:$A,0)),""))</f>
        <v/>
      </c>
      <c r="I598" s="70">
        <f>IF(B598="","",IFERROR(A598-LOOKUP(2,1/($B$4:$B597=B598),$A$4:$A597),""))</f>
        <v/>
      </c>
      <c r="J598" s="32">
        <f>IF(B598="","",IFERROR(D598/I598,""))</f>
        <v/>
      </c>
      <c r="K598" s="71">
        <f>IF(B598="","",IFERROR(AVERAGEIFS($J$4:$J598,$B$4:$B598,B598,$J$4:$J598,"&gt;"&amp;0),""))</f>
        <v/>
      </c>
      <c r="L598" s="4" t="n"/>
    </row>
    <row r="599" ht="14" customHeight="1" s="72">
      <c r="A599" s="75" t="n">
        <v>46073</v>
      </c>
      <c r="B599" s="76" t="n">
        <v>7053</v>
      </c>
      <c r="C599" s="69">
        <f>IF(B599="","",IFERROR(INDEX(Client_List!$B:$B,MATCH(B599,Client_List!$A:$A,0)),"⚠ NOT FOUND"))</f>
        <v/>
      </c>
      <c r="D599" s="43" t="n">
        <v>237</v>
      </c>
      <c r="E599" s="32">
        <f>IF(B599="","",IFERROR(INDEX(Client_List!$C:$C,MATCH(VALUE(B599),Client_List!$A:$A,0)),""))</f>
        <v/>
      </c>
      <c r="F599" s="53">
        <f>IF(B599="","",IFERROR(INDEX(Client_List!$D:$D,MATCH(VALUE(B599),Client_List!$A:$A,0)),""))</f>
        <v/>
      </c>
      <c r="G599" s="53">
        <f>IF(B599="","",IFERROR(INDEX(Client_List!$K:$K,MATCH(VALUE(B599),Client_List!$A:$A,0)),""))</f>
        <v/>
      </c>
      <c r="H599" s="32">
        <f>IF(B599="","",IFERROR(INDEX(Client_List!$J:$J,MATCH(VALUE(B599),Client_List!$A:$A,0)),""))</f>
        <v/>
      </c>
      <c r="I599" s="70">
        <f>IF(B599="","",IFERROR(A599-LOOKUP(2,1/($B$4:$B598=B599),$A$4:$A598),""))</f>
        <v/>
      </c>
      <c r="J599" s="32">
        <f>IF(B599="","",IFERROR(D599/I599,""))</f>
        <v/>
      </c>
      <c r="K599" s="71">
        <f>IF(B599="","",IFERROR(AVERAGEIFS($J$4:$J599,$B$4:$B599,B599,$J$4:$J599,"&gt;"&amp;0),""))</f>
        <v/>
      </c>
      <c r="L599" s="7" t="n"/>
    </row>
    <row r="600" ht="14" customHeight="1" s="72">
      <c r="A600" s="75" t="n">
        <v>46073</v>
      </c>
      <c r="B600" s="76" t="n">
        <v>12009</v>
      </c>
      <c r="C600" s="69">
        <f>IF(B600="","",IFERROR(INDEX(Client_List!$B:$B,MATCH(B600,Client_List!$A:$A,0)),"⚠ NOT FOUND"))</f>
        <v/>
      </c>
      <c r="D600" s="43" t="n">
        <v>491</v>
      </c>
      <c r="E600" s="32">
        <f>IF(B600="","",IFERROR(INDEX(Client_List!$C:$C,MATCH(VALUE(B600),Client_List!$A:$A,0)),""))</f>
        <v/>
      </c>
      <c r="F600" s="53">
        <f>IF(B600="","",IFERROR(INDEX(Client_List!$D:$D,MATCH(VALUE(B600),Client_List!$A:$A,0)),""))</f>
        <v/>
      </c>
      <c r="G600" s="53">
        <f>IF(B600="","",IFERROR(INDEX(Client_List!$K:$K,MATCH(VALUE(B600),Client_List!$A:$A,0)),""))</f>
        <v/>
      </c>
      <c r="H600" s="32">
        <f>IF(B600="","",IFERROR(INDEX(Client_List!$J:$J,MATCH(VALUE(B600),Client_List!$A:$A,0)),""))</f>
        <v/>
      </c>
      <c r="I600" s="70">
        <f>IF(B600="","",IFERROR(A600-LOOKUP(2,1/($B$4:$B599=B600),$A$4:$A599),""))</f>
        <v/>
      </c>
      <c r="J600" s="32">
        <f>IF(B600="","",IFERROR(D600/I600,""))</f>
        <v/>
      </c>
      <c r="K600" s="71">
        <f>IF(B600="","",IFERROR(AVERAGEIFS($J$4:$J600,$B$4:$B600,B600,$J$4:$J600,"&gt;"&amp;0),""))</f>
        <v/>
      </c>
      <c r="L600" s="4" t="n"/>
    </row>
    <row r="601" ht="14" customHeight="1" s="72">
      <c r="A601" s="75" t="n">
        <v>46073</v>
      </c>
      <c r="B601" s="76" t="n">
        <v>12025</v>
      </c>
      <c r="C601" s="69">
        <f>IF(B601="","",IFERROR(INDEX(Client_List!$B:$B,MATCH(B601,Client_List!$A:$A,0)),"⚠ NOT FOUND"))</f>
        <v/>
      </c>
      <c r="D601" s="43" t="n">
        <v>533</v>
      </c>
      <c r="E601" s="32">
        <f>IF(B601="","",IFERROR(INDEX(Client_List!$C:$C,MATCH(VALUE(B601),Client_List!$A:$A,0)),""))</f>
        <v/>
      </c>
      <c r="F601" s="53">
        <f>IF(B601="","",IFERROR(INDEX(Client_List!$D:$D,MATCH(VALUE(B601),Client_List!$A:$A,0)),""))</f>
        <v/>
      </c>
      <c r="G601" s="53">
        <f>IF(B601="","",IFERROR(INDEX(Client_List!$K:$K,MATCH(VALUE(B601),Client_List!$A:$A,0)),""))</f>
        <v/>
      </c>
      <c r="H601" s="32">
        <f>IF(B601="","",IFERROR(INDEX(Client_List!$J:$J,MATCH(VALUE(B601),Client_List!$A:$A,0)),""))</f>
        <v/>
      </c>
      <c r="I601" s="70">
        <f>IF(B601="","",IFERROR(A601-LOOKUP(2,1/($B$4:$B600=B601),$A$4:$A600),""))</f>
        <v/>
      </c>
      <c r="J601" s="32">
        <f>IF(B601="","",IFERROR(D601/I601,""))</f>
        <v/>
      </c>
      <c r="K601" s="71">
        <f>IF(B601="","",IFERROR(AVERAGEIFS($J$4:$J601,$B$4:$B601,B601,$J$4:$J601,"&gt;"&amp;0),""))</f>
        <v/>
      </c>
      <c r="L601" s="7" t="n"/>
    </row>
    <row r="602" ht="14" customHeight="1" s="72">
      <c r="A602" s="75" t="n">
        <v>46073</v>
      </c>
      <c r="B602" s="76" t="n">
        <v>12050</v>
      </c>
      <c r="C602" s="69">
        <f>IF(B602="","",IFERROR(INDEX(Client_List!$B:$B,MATCH(B602,Client_List!$A:$A,0)),"⚠ NOT FOUND"))</f>
        <v/>
      </c>
      <c r="D602" s="43" t="n">
        <v>835</v>
      </c>
      <c r="E602" s="32">
        <f>IF(B602="","",IFERROR(INDEX(Client_List!$C:$C,MATCH(VALUE(B602),Client_List!$A:$A,0)),""))</f>
        <v/>
      </c>
      <c r="F602" s="53">
        <f>IF(B602="","",IFERROR(INDEX(Client_List!$D:$D,MATCH(VALUE(B602),Client_List!$A:$A,0)),""))</f>
        <v/>
      </c>
      <c r="G602" s="53">
        <f>IF(B602="","",IFERROR(INDEX(Client_List!$K:$K,MATCH(VALUE(B602),Client_List!$A:$A,0)),""))</f>
        <v/>
      </c>
      <c r="H602" s="32">
        <f>IF(B602="","",IFERROR(INDEX(Client_List!$J:$J,MATCH(VALUE(B602),Client_List!$A:$A,0)),""))</f>
        <v/>
      </c>
      <c r="I602" s="70">
        <f>IF(B602="","",IFERROR(A602-LOOKUP(2,1/($B$4:$B601=B602),$A$4:$A601),""))</f>
        <v/>
      </c>
      <c r="J602" s="32">
        <f>IF(B602="","",IFERROR(D602/I602,""))</f>
        <v/>
      </c>
      <c r="K602" s="71">
        <f>IF(B602="","",IFERROR(AVERAGEIFS($J$4:$J602,$B$4:$B602,B602,$J$4:$J602,"&gt;"&amp;0),""))</f>
        <v/>
      </c>
      <c r="L602" s="4" t="n"/>
    </row>
    <row r="603" ht="14" customHeight="1" s="72">
      <c r="A603" s="75" t="n">
        <v>46073</v>
      </c>
      <c r="B603" s="76" t="n">
        <v>15001</v>
      </c>
      <c r="C603" s="69">
        <f>IF(B603="","",IFERROR(INDEX(Client_List!$B:$B,MATCH(B603,Client_List!$A:$A,0)),"⚠ NOT FOUND"))</f>
        <v/>
      </c>
      <c r="D603" s="43" t="n">
        <v>788</v>
      </c>
      <c r="E603" s="32">
        <f>IF(B603="","",IFERROR(INDEX(Client_List!$C:$C,MATCH(VALUE(B603),Client_List!$A:$A,0)),""))</f>
        <v/>
      </c>
      <c r="F603" s="53">
        <f>IF(B603="","",IFERROR(INDEX(Client_List!$D:$D,MATCH(VALUE(B603),Client_List!$A:$A,0)),""))</f>
        <v/>
      </c>
      <c r="G603" s="53">
        <f>IF(B603="","",IFERROR(INDEX(Client_List!$K:$K,MATCH(VALUE(B603),Client_List!$A:$A,0)),""))</f>
        <v/>
      </c>
      <c r="H603" s="32">
        <f>IF(B603="","",IFERROR(INDEX(Client_List!$J:$J,MATCH(VALUE(B603),Client_List!$A:$A,0)),""))</f>
        <v/>
      </c>
      <c r="I603" s="70">
        <f>IF(B603="","",IFERROR(A603-LOOKUP(2,1/($B$4:$B602=B603),$A$4:$A602),""))</f>
        <v/>
      </c>
      <c r="J603" s="32">
        <f>IF(B603="","",IFERROR(D603/I603,""))</f>
        <v/>
      </c>
      <c r="K603" s="71">
        <f>IF(B603="","",IFERROR(AVERAGEIFS($J$4:$J603,$B$4:$B603,B603,$J$4:$J603,"&gt;"&amp;0),""))</f>
        <v/>
      </c>
      <c r="L603" s="7" t="n"/>
    </row>
    <row r="604" ht="14" customHeight="1" s="72">
      <c r="A604" s="75" t="n">
        <v>46073</v>
      </c>
      <c r="B604" s="76" t="n">
        <v>16014</v>
      </c>
      <c r="C604" s="69">
        <f>IF(B604="","",IFERROR(INDEX(Client_List!$B:$B,MATCH(B604,Client_List!$A:$A,0)),"⚠ NOT FOUND"))</f>
        <v/>
      </c>
      <c r="D604" s="43" t="n">
        <v>1108</v>
      </c>
      <c r="E604" s="32">
        <f>IF(B604="","",IFERROR(INDEX(Client_List!$C:$C,MATCH(VALUE(B604),Client_List!$A:$A,0)),""))</f>
        <v/>
      </c>
      <c r="F604" s="53">
        <f>IF(B604="","",IFERROR(INDEX(Client_List!$D:$D,MATCH(VALUE(B604),Client_List!$A:$A,0)),""))</f>
        <v/>
      </c>
      <c r="G604" s="53">
        <f>IF(B604="","",IFERROR(INDEX(Client_List!$K:$K,MATCH(VALUE(B604),Client_List!$A:$A,0)),""))</f>
        <v/>
      </c>
      <c r="H604" s="32">
        <f>IF(B604="","",IFERROR(INDEX(Client_List!$J:$J,MATCH(VALUE(B604),Client_List!$A:$A,0)),""))</f>
        <v/>
      </c>
      <c r="I604" s="70">
        <f>IF(B604="","",IFERROR(A604-LOOKUP(2,1/($B$4:$B603=B604),$A$4:$A603),""))</f>
        <v/>
      </c>
      <c r="J604" s="32">
        <f>IF(B604="","",IFERROR(D604/I604,""))</f>
        <v/>
      </c>
      <c r="K604" s="71">
        <f>IF(B604="","",IFERROR(AVERAGEIFS($J$4:$J604,$B$4:$B604,B604,$J$4:$J604,"&gt;"&amp;0),""))</f>
        <v/>
      </c>
      <c r="L604" s="4" t="n"/>
    </row>
    <row r="605" ht="14" customHeight="1" s="72">
      <c r="A605" s="75" t="n">
        <v>46073</v>
      </c>
      <c r="B605" s="76" t="n">
        <v>19033</v>
      </c>
      <c r="C605" s="69">
        <f>IF(B605="","",IFERROR(INDEX(Client_List!$B:$B,MATCH(B605,Client_List!$A:$A,0)),"⚠ NOT FOUND"))</f>
        <v/>
      </c>
      <c r="D605" s="43" t="n">
        <v>178</v>
      </c>
      <c r="E605" s="32">
        <f>IF(B605="","",IFERROR(INDEX(Client_List!$C:$C,MATCH(VALUE(B605),Client_List!$A:$A,0)),""))</f>
        <v/>
      </c>
      <c r="F605" s="53">
        <f>IF(B605="","",IFERROR(INDEX(Client_List!$D:$D,MATCH(VALUE(B605),Client_List!$A:$A,0)),""))</f>
        <v/>
      </c>
      <c r="G605" s="53">
        <f>IF(B605="","",IFERROR(INDEX(Client_List!$K:$K,MATCH(VALUE(B605),Client_List!$A:$A,0)),""))</f>
        <v/>
      </c>
      <c r="H605" s="32">
        <f>IF(B605="","",IFERROR(INDEX(Client_List!$J:$J,MATCH(VALUE(B605),Client_List!$A:$A,0)),""))</f>
        <v/>
      </c>
      <c r="I605" s="70">
        <f>IF(B605="","",IFERROR(A605-LOOKUP(2,1/($B$4:$B604=B605),$A$4:$A604),""))</f>
        <v/>
      </c>
      <c r="J605" s="32">
        <f>IF(B605="","",IFERROR(D605/I605,""))</f>
        <v/>
      </c>
      <c r="K605" s="71">
        <f>IF(B605="","",IFERROR(AVERAGEIFS($J$4:$J605,$B$4:$B605,B605,$J$4:$J605,"&gt;"&amp;0),""))</f>
        <v/>
      </c>
      <c r="L605" s="7" t="n"/>
    </row>
    <row r="606" ht="14" customHeight="1" s="72">
      <c r="A606" s="75" t="n">
        <v>46073</v>
      </c>
      <c r="B606" s="76" t="n">
        <v>19035</v>
      </c>
      <c r="C606" s="69">
        <f>IF(B606="","",IFERROR(INDEX(Client_List!$B:$B,MATCH(B606,Client_List!$A:$A,0)),"⚠ NOT FOUND"))</f>
        <v/>
      </c>
      <c r="D606" s="43" t="n">
        <v>262</v>
      </c>
      <c r="E606" s="32">
        <f>IF(B606="","",IFERROR(INDEX(Client_List!$C:$C,MATCH(VALUE(B606),Client_List!$A:$A,0)),""))</f>
        <v/>
      </c>
      <c r="F606" s="53">
        <f>IF(B606="","",IFERROR(INDEX(Client_List!$D:$D,MATCH(VALUE(B606),Client_List!$A:$A,0)),""))</f>
        <v/>
      </c>
      <c r="G606" s="53">
        <f>IF(B606="","",IFERROR(INDEX(Client_List!$K:$K,MATCH(VALUE(B606),Client_List!$A:$A,0)),""))</f>
        <v/>
      </c>
      <c r="H606" s="32">
        <f>IF(B606="","",IFERROR(INDEX(Client_List!$J:$J,MATCH(VALUE(B606),Client_List!$A:$A,0)),""))</f>
        <v/>
      </c>
      <c r="I606" s="70">
        <f>IF(B606="","",IFERROR(A606-LOOKUP(2,1/($B$4:$B605=B606),$A$4:$A605),""))</f>
        <v/>
      </c>
      <c r="J606" s="32">
        <f>IF(B606="","",IFERROR(D606/I606,""))</f>
        <v/>
      </c>
      <c r="K606" s="71">
        <f>IF(B606="","",IFERROR(AVERAGEIFS($J$4:$J606,$B$4:$B606,B606,$J$4:$J606,"&gt;"&amp;0),""))</f>
        <v/>
      </c>
      <c r="L606" s="4" t="n"/>
    </row>
    <row r="607" ht="14" customHeight="1" s="72">
      <c r="A607" s="75" t="n">
        <v>46073</v>
      </c>
      <c r="B607" s="76" t="n">
        <v>19080</v>
      </c>
      <c r="C607" s="69">
        <f>IF(B607="","",IFERROR(INDEX(Client_List!$B:$B,MATCH(B607,Client_List!$A:$A,0)),"⚠ NOT FOUND"))</f>
        <v/>
      </c>
      <c r="D607" s="43" t="n">
        <v>413</v>
      </c>
      <c r="E607" s="32">
        <f>IF(B607="","",IFERROR(INDEX(Client_List!$C:$C,MATCH(VALUE(B607),Client_List!$A:$A,0)),""))</f>
        <v/>
      </c>
      <c r="F607" s="53">
        <f>IF(B607="","",IFERROR(INDEX(Client_List!$D:$D,MATCH(VALUE(B607),Client_List!$A:$A,0)),""))</f>
        <v/>
      </c>
      <c r="G607" s="53">
        <f>IF(B607="","",IFERROR(INDEX(Client_List!$K:$K,MATCH(VALUE(B607),Client_List!$A:$A,0)),""))</f>
        <v/>
      </c>
      <c r="H607" s="32">
        <f>IF(B607="","",IFERROR(INDEX(Client_List!$J:$J,MATCH(VALUE(B607),Client_List!$A:$A,0)),""))</f>
        <v/>
      </c>
      <c r="I607" s="70">
        <f>IF(B607="","",IFERROR(A607-LOOKUP(2,1/($B$4:$B606=B607),$A$4:$A606),""))</f>
        <v/>
      </c>
      <c r="J607" s="32">
        <f>IF(B607="","",IFERROR(D607/I607,""))</f>
        <v/>
      </c>
      <c r="K607" s="71">
        <f>IF(B607="","",IFERROR(AVERAGEIFS($J$4:$J607,$B$4:$B607,B607,$J$4:$J607,"&gt;"&amp;0),""))</f>
        <v/>
      </c>
      <c r="L607" s="7" t="n"/>
    </row>
    <row r="608" ht="14" customHeight="1" s="72">
      <c r="A608" s="75" t="n">
        <v>46073</v>
      </c>
      <c r="B608" s="76" t="n">
        <v>19081</v>
      </c>
      <c r="C608" s="69">
        <f>IF(B608="","",IFERROR(INDEX(Client_List!$B:$B,MATCH(B608,Client_List!$A:$A,0)),"⚠ NOT FOUND"))</f>
        <v/>
      </c>
      <c r="D608" s="43" t="n">
        <v>489</v>
      </c>
      <c r="E608" s="32">
        <f>IF(B608="","",IFERROR(INDEX(Client_List!$C:$C,MATCH(VALUE(B608),Client_List!$A:$A,0)),""))</f>
        <v/>
      </c>
      <c r="F608" s="53">
        <f>IF(B608="","",IFERROR(INDEX(Client_List!$D:$D,MATCH(VALUE(B608),Client_List!$A:$A,0)),""))</f>
        <v/>
      </c>
      <c r="G608" s="53">
        <f>IF(B608="","",IFERROR(INDEX(Client_List!$K:$K,MATCH(VALUE(B608),Client_List!$A:$A,0)),""))</f>
        <v/>
      </c>
      <c r="H608" s="32">
        <f>IF(B608="","",IFERROR(INDEX(Client_List!$J:$J,MATCH(VALUE(B608),Client_List!$A:$A,0)),""))</f>
        <v/>
      </c>
      <c r="I608" s="70">
        <f>IF(B608="","",IFERROR(A608-LOOKUP(2,1/($B$4:$B607=B608),$A$4:$A607),""))</f>
        <v/>
      </c>
      <c r="J608" s="32">
        <f>IF(B608="","",IFERROR(D608/I608,""))</f>
        <v/>
      </c>
      <c r="K608" s="71">
        <f>IF(B608="","",IFERROR(AVERAGEIFS($J$4:$J608,$B$4:$B608,B608,$J$4:$J608,"&gt;"&amp;0),""))</f>
        <v/>
      </c>
      <c r="L608" s="4" t="n"/>
    </row>
    <row r="609" ht="14" customHeight="1" s="72">
      <c r="A609" s="75" t="n">
        <v>46073</v>
      </c>
      <c r="B609" s="76" t="n">
        <v>19082</v>
      </c>
      <c r="C609" s="69">
        <f>IF(B609="","",IFERROR(INDEX(Client_List!$B:$B,MATCH(B609,Client_List!$A:$A,0)),"⚠ NOT FOUND"))</f>
        <v/>
      </c>
      <c r="D609" s="43" t="n">
        <v>485</v>
      </c>
      <c r="E609" s="32">
        <f>IF(B609="","",IFERROR(INDEX(Client_List!$C:$C,MATCH(VALUE(B609),Client_List!$A:$A,0)),""))</f>
        <v/>
      </c>
      <c r="F609" s="53">
        <f>IF(B609="","",IFERROR(INDEX(Client_List!$D:$D,MATCH(VALUE(B609),Client_List!$A:$A,0)),""))</f>
        <v/>
      </c>
      <c r="G609" s="53">
        <f>IF(B609="","",IFERROR(INDEX(Client_List!$K:$K,MATCH(VALUE(B609),Client_List!$A:$A,0)),""))</f>
        <v/>
      </c>
      <c r="H609" s="32">
        <f>IF(B609="","",IFERROR(INDEX(Client_List!$J:$J,MATCH(VALUE(B609),Client_List!$A:$A,0)),""))</f>
        <v/>
      </c>
      <c r="I609" s="70">
        <f>IF(B609="","",IFERROR(A609-LOOKUP(2,1/($B$4:$B608=B609),$A$4:$A608),""))</f>
        <v/>
      </c>
      <c r="J609" s="32">
        <f>IF(B609="","",IFERROR(D609/I609,""))</f>
        <v/>
      </c>
      <c r="K609" s="71">
        <f>IF(B609="","",IFERROR(AVERAGEIFS($J$4:$J609,$B$4:$B609,B609,$J$4:$J609,"&gt;"&amp;0),""))</f>
        <v/>
      </c>
      <c r="L609" s="7" t="n"/>
    </row>
    <row r="610" ht="14" customHeight="1" s="72">
      <c r="A610" s="75" t="n">
        <v>46073</v>
      </c>
      <c r="B610" s="76" t="n">
        <v>19089</v>
      </c>
      <c r="C610" s="69">
        <f>IF(B610="","",IFERROR(INDEX(Client_List!$B:$B,MATCH(B610,Client_List!$A:$A,0)),"⚠ NOT FOUND"))</f>
        <v/>
      </c>
      <c r="D610" s="43" t="n">
        <v>207</v>
      </c>
      <c r="E610" s="32">
        <f>IF(B610="","",IFERROR(INDEX(Client_List!$C:$C,MATCH(VALUE(B610),Client_List!$A:$A,0)),""))</f>
        <v/>
      </c>
      <c r="F610" s="53">
        <f>IF(B610="","",IFERROR(INDEX(Client_List!$D:$D,MATCH(VALUE(B610),Client_List!$A:$A,0)),""))</f>
        <v/>
      </c>
      <c r="G610" s="53">
        <f>IF(B610="","",IFERROR(INDEX(Client_List!$K:$K,MATCH(VALUE(B610),Client_List!$A:$A,0)),""))</f>
        <v/>
      </c>
      <c r="H610" s="32">
        <f>IF(B610="","",IFERROR(INDEX(Client_List!$J:$J,MATCH(VALUE(B610),Client_List!$A:$A,0)),""))</f>
        <v/>
      </c>
      <c r="I610" s="70">
        <f>IF(B610="","",IFERROR(A610-LOOKUP(2,1/($B$4:$B609=B610),$A$4:$A609),""))</f>
        <v/>
      </c>
      <c r="J610" s="32">
        <f>IF(B610="","",IFERROR(D610/I610,""))</f>
        <v/>
      </c>
      <c r="K610" s="71">
        <f>IF(B610="","",IFERROR(AVERAGEIFS($J$4:$J610,$B$4:$B610,B610,$J$4:$J610,"&gt;"&amp;0),""))</f>
        <v/>
      </c>
      <c r="L610" s="4" t="n"/>
    </row>
    <row r="611" ht="14" customHeight="1" s="72">
      <c r="A611" s="75" t="n">
        <v>46073</v>
      </c>
      <c r="B611" s="76" t="n">
        <v>19110</v>
      </c>
      <c r="C611" s="69">
        <f>IF(B611="","",IFERROR(INDEX(Client_List!$B:$B,MATCH(B611,Client_List!$A:$A,0)),"⚠ NOT FOUND"))</f>
        <v/>
      </c>
      <c r="D611" s="43" t="n">
        <v>463</v>
      </c>
      <c r="E611" s="32">
        <f>IF(B611="","",IFERROR(INDEX(Client_List!$C:$C,MATCH(VALUE(B611),Client_List!$A:$A,0)),""))</f>
        <v/>
      </c>
      <c r="F611" s="53">
        <f>IF(B611="","",IFERROR(INDEX(Client_List!$D:$D,MATCH(VALUE(B611),Client_List!$A:$A,0)),""))</f>
        <v/>
      </c>
      <c r="G611" s="53">
        <f>IF(B611="","",IFERROR(INDEX(Client_List!$K:$K,MATCH(VALUE(B611),Client_List!$A:$A,0)),""))</f>
        <v/>
      </c>
      <c r="H611" s="32">
        <f>IF(B611="","",IFERROR(INDEX(Client_List!$J:$J,MATCH(VALUE(B611),Client_List!$A:$A,0)),""))</f>
        <v/>
      </c>
      <c r="I611" s="70">
        <f>IF(B611="","",IFERROR(A611-LOOKUP(2,1/($B$4:$B610=B611),$A$4:$A610),""))</f>
        <v/>
      </c>
      <c r="J611" s="32">
        <f>IF(B611="","",IFERROR(D611/I611,""))</f>
        <v/>
      </c>
      <c r="K611" s="71">
        <f>IF(B611="","",IFERROR(AVERAGEIFS($J$4:$J611,$B$4:$B611,B611,$J$4:$J611,"&gt;"&amp;0),""))</f>
        <v/>
      </c>
      <c r="L611" s="7" t="n"/>
    </row>
    <row r="612" ht="14" customHeight="1" s="72">
      <c r="A612" s="75" t="n">
        <v>46073</v>
      </c>
      <c r="B612" s="76" t="n">
        <v>19117</v>
      </c>
      <c r="C612" s="69">
        <f>IF(B612="","",IFERROR(INDEX(Client_List!$B:$B,MATCH(B612,Client_List!$A:$A,0)),"⚠ NOT FOUND"))</f>
        <v/>
      </c>
      <c r="D612" s="43" t="n">
        <v>377</v>
      </c>
      <c r="E612" s="32">
        <f>IF(B612="","",IFERROR(INDEX(Client_List!$C:$C,MATCH(VALUE(B612),Client_List!$A:$A,0)),""))</f>
        <v/>
      </c>
      <c r="F612" s="53">
        <f>IF(B612="","",IFERROR(INDEX(Client_List!$D:$D,MATCH(VALUE(B612),Client_List!$A:$A,0)),""))</f>
        <v/>
      </c>
      <c r="G612" s="53">
        <f>IF(B612="","",IFERROR(INDEX(Client_List!$K:$K,MATCH(VALUE(B612),Client_List!$A:$A,0)),""))</f>
        <v/>
      </c>
      <c r="H612" s="32">
        <f>IF(B612="","",IFERROR(INDEX(Client_List!$J:$J,MATCH(VALUE(B612),Client_List!$A:$A,0)),""))</f>
        <v/>
      </c>
      <c r="I612" s="70">
        <f>IF(B612="","",IFERROR(A612-LOOKUP(2,1/($B$4:$B611=B612),$A$4:$A611),""))</f>
        <v/>
      </c>
      <c r="J612" s="32">
        <f>IF(B612="","",IFERROR(D612/I612,""))</f>
        <v/>
      </c>
      <c r="K612" s="71">
        <f>IF(B612="","",IFERROR(AVERAGEIFS($J$4:$J612,$B$4:$B612,B612,$J$4:$J612,"&gt;"&amp;0),""))</f>
        <v/>
      </c>
      <c r="L612" s="4" t="n"/>
    </row>
    <row r="613" ht="14" customHeight="1" s="72">
      <c r="A613" s="75" t="n">
        <v>46073</v>
      </c>
      <c r="B613" s="76" t="n">
        <v>19123</v>
      </c>
      <c r="C613" s="69">
        <f>IF(B613="","",IFERROR(INDEX(Client_List!$B:$B,MATCH(B613,Client_List!$A:$A,0)),"⚠ NOT FOUND"))</f>
        <v/>
      </c>
      <c r="D613" s="43" t="n">
        <v>463</v>
      </c>
      <c r="E613" s="32">
        <f>IF(B613="","",IFERROR(INDEX(Client_List!$C:$C,MATCH(VALUE(B613),Client_List!$A:$A,0)),""))</f>
        <v/>
      </c>
      <c r="F613" s="53">
        <f>IF(B613="","",IFERROR(INDEX(Client_List!$D:$D,MATCH(VALUE(B613),Client_List!$A:$A,0)),""))</f>
        <v/>
      </c>
      <c r="G613" s="53">
        <f>IF(B613="","",IFERROR(INDEX(Client_List!$K:$K,MATCH(VALUE(B613),Client_List!$A:$A,0)),""))</f>
        <v/>
      </c>
      <c r="H613" s="32">
        <f>IF(B613="","",IFERROR(INDEX(Client_List!$J:$J,MATCH(VALUE(B613),Client_List!$A:$A,0)),""))</f>
        <v/>
      </c>
      <c r="I613" s="70">
        <f>IF(B613="","",IFERROR(A613-LOOKUP(2,1/($B$4:$B612=B613),$A$4:$A612),""))</f>
        <v/>
      </c>
      <c r="J613" s="32">
        <f>IF(B613="","",IFERROR(D613/I613,""))</f>
        <v/>
      </c>
      <c r="K613" s="71">
        <f>IF(B613="","",IFERROR(AVERAGEIFS($J$4:$J613,$B$4:$B613,B613,$J$4:$J613,"&gt;"&amp;0),""))</f>
        <v/>
      </c>
      <c r="L613" s="7" t="n"/>
    </row>
    <row r="614" ht="14" customHeight="1" s="72">
      <c r="A614" s="75" t="n">
        <v>46074</v>
      </c>
      <c r="B614" s="76" t="n">
        <v>4037</v>
      </c>
      <c r="C614" s="69">
        <f>IF(B614="","",IFERROR(INDEX(Client_List!$B:$B,MATCH(B614,Client_List!$A:$A,0)),"⚠ NOT FOUND"))</f>
        <v/>
      </c>
      <c r="D614" s="43" t="n">
        <v>361</v>
      </c>
      <c r="E614" s="32">
        <f>IF(B614="","",IFERROR(INDEX(Client_List!$C:$C,MATCH(VALUE(B614),Client_List!$A:$A,0)),""))</f>
        <v/>
      </c>
      <c r="F614" s="53">
        <f>IF(B614="","",IFERROR(INDEX(Client_List!$D:$D,MATCH(VALUE(B614),Client_List!$A:$A,0)),""))</f>
        <v/>
      </c>
      <c r="G614" s="53">
        <f>IF(B614="","",IFERROR(INDEX(Client_List!$K:$K,MATCH(VALUE(B614),Client_List!$A:$A,0)),""))</f>
        <v/>
      </c>
      <c r="H614" s="32">
        <f>IF(B614="","",IFERROR(INDEX(Client_List!$J:$J,MATCH(VALUE(B614),Client_List!$A:$A,0)),""))</f>
        <v/>
      </c>
      <c r="I614" s="70">
        <f>IF(B614="","",IFERROR(A614-LOOKUP(2,1/($B$4:$B613=B614),$A$4:$A613),""))</f>
        <v/>
      </c>
      <c r="J614" s="32">
        <f>IF(B614="","",IFERROR(D614/I614,""))</f>
        <v/>
      </c>
      <c r="K614" s="71">
        <f>IF(B614="","",IFERROR(AVERAGEIFS($J$4:$J614,$B$4:$B614,B614,$J$4:$J614,"&gt;"&amp;0),""))</f>
        <v/>
      </c>
      <c r="L614" s="4" t="n"/>
    </row>
    <row r="615" ht="14" customHeight="1" s="72">
      <c r="A615" s="75" t="n">
        <v>46074</v>
      </c>
      <c r="B615" s="76" t="n">
        <v>5006</v>
      </c>
      <c r="C615" s="69">
        <f>IF(B615="","",IFERROR(INDEX(Client_List!$B:$B,MATCH(B615,Client_List!$A:$A,0)),"⚠ NOT FOUND"))</f>
        <v/>
      </c>
      <c r="D615" s="43" t="n">
        <v>421</v>
      </c>
      <c r="E615" s="32">
        <f>IF(B615="","",IFERROR(INDEX(Client_List!$C:$C,MATCH(VALUE(B615),Client_List!$A:$A,0)),""))</f>
        <v/>
      </c>
      <c r="F615" s="53">
        <f>IF(B615="","",IFERROR(INDEX(Client_List!$D:$D,MATCH(VALUE(B615),Client_List!$A:$A,0)),""))</f>
        <v/>
      </c>
      <c r="G615" s="53">
        <f>IF(B615="","",IFERROR(INDEX(Client_List!$K:$K,MATCH(VALUE(B615),Client_List!$A:$A,0)),""))</f>
        <v/>
      </c>
      <c r="H615" s="32">
        <f>IF(B615="","",IFERROR(INDEX(Client_List!$J:$J,MATCH(VALUE(B615),Client_List!$A:$A,0)),""))</f>
        <v/>
      </c>
      <c r="I615" s="70">
        <f>IF(B615="","",IFERROR(A615-LOOKUP(2,1/($B$4:$B614=B615),$A$4:$A614),""))</f>
        <v/>
      </c>
      <c r="J615" s="32">
        <f>IF(B615="","",IFERROR(D615/I615,""))</f>
        <v/>
      </c>
      <c r="K615" s="71">
        <f>IF(B615="","",IFERROR(AVERAGEIFS($J$4:$J615,$B$4:$B615,B615,$J$4:$J615,"&gt;"&amp;0),""))</f>
        <v/>
      </c>
      <c r="L615" s="7" t="n"/>
    </row>
    <row r="616" ht="14" customHeight="1" s="72">
      <c r="A616" s="75" t="n">
        <v>46074</v>
      </c>
      <c r="B616" s="76" t="n">
        <v>10001</v>
      </c>
      <c r="C616" s="69">
        <f>IF(B616="","",IFERROR(INDEX(Client_List!$B:$B,MATCH(B616,Client_List!$A:$A,0)),"⚠ NOT FOUND"))</f>
        <v/>
      </c>
      <c r="D616" s="43" t="n">
        <v>815</v>
      </c>
      <c r="E616" s="32">
        <f>IF(B616="","",IFERROR(INDEX(Client_List!$C:$C,MATCH(VALUE(B616),Client_List!$A:$A,0)),""))</f>
        <v/>
      </c>
      <c r="F616" s="53">
        <f>IF(B616="","",IFERROR(INDEX(Client_List!$D:$D,MATCH(VALUE(B616),Client_List!$A:$A,0)),""))</f>
        <v/>
      </c>
      <c r="G616" s="53">
        <f>IF(B616="","",IFERROR(INDEX(Client_List!$K:$K,MATCH(VALUE(B616),Client_List!$A:$A,0)),""))</f>
        <v/>
      </c>
      <c r="H616" s="32">
        <f>IF(B616="","",IFERROR(INDEX(Client_List!$J:$J,MATCH(VALUE(B616),Client_List!$A:$A,0)),""))</f>
        <v/>
      </c>
      <c r="I616" s="70">
        <f>IF(B616="","",IFERROR(A616-LOOKUP(2,1/($B$4:$B615=B616),$A$4:$A615),""))</f>
        <v/>
      </c>
      <c r="J616" s="32">
        <f>IF(B616="","",IFERROR(D616/I616,""))</f>
        <v/>
      </c>
      <c r="K616" s="71">
        <f>IF(B616="","",IFERROR(AVERAGEIFS($J$4:$J616,$B$4:$B616,B616,$J$4:$J616,"&gt;"&amp;0),""))</f>
        <v/>
      </c>
      <c r="L616" s="4" t="n"/>
    </row>
    <row r="617" ht="14" customHeight="1" s="72">
      <c r="A617" s="75" t="n">
        <v>46074</v>
      </c>
      <c r="B617" s="76" t="n">
        <v>11005</v>
      </c>
      <c r="C617" s="69">
        <f>IF(B617="","",IFERROR(INDEX(Client_List!$B:$B,MATCH(B617,Client_List!$A:$A,0)),"⚠ NOT FOUND"))</f>
        <v/>
      </c>
      <c r="D617" s="43" t="n">
        <v>767</v>
      </c>
      <c r="E617" s="32">
        <f>IF(B617="","",IFERROR(INDEX(Client_List!$C:$C,MATCH(VALUE(B617),Client_List!$A:$A,0)),""))</f>
        <v/>
      </c>
      <c r="F617" s="53">
        <f>IF(B617="","",IFERROR(INDEX(Client_List!$D:$D,MATCH(VALUE(B617),Client_List!$A:$A,0)),""))</f>
        <v/>
      </c>
      <c r="G617" s="53">
        <f>IF(B617="","",IFERROR(INDEX(Client_List!$K:$K,MATCH(VALUE(B617),Client_List!$A:$A,0)),""))</f>
        <v/>
      </c>
      <c r="H617" s="32">
        <f>IF(B617="","",IFERROR(INDEX(Client_List!$J:$J,MATCH(VALUE(B617),Client_List!$A:$A,0)),""))</f>
        <v/>
      </c>
      <c r="I617" s="70">
        <f>IF(B617="","",IFERROR(A617-LOOKUP(2,1/($B$4:$B616=B617),$A$4:$A616),""))</f>
        <v/>
      </c>
      <c r="J617" s="32">
        <f>IF(B617="","",IFERROR(D617/I617,""))</f>
        <v/>
      </c>
      <c r="K617" s="71">
        <f>IF(B617="","",IFERROR(AVERAGEIFS($J$4:$J617,$B$4:$B617,B617,$J$4:$J617,"&gt;"&amp;0),""))</f>
        <v/>
      </c>
      <c r="L617" s="7" t="n"/>
    </row>
    <row r="618" ht="14" customHeight="1" s="72">
      <c r="A618" s="75" t="n">
        <v>46074</v>
      </c>
      <c r="B618" s="76" t="n">
        <v>12021</v>
      </c>
      <c r="C618" s="69">
        <f>IF(B618="","",IFERROR(INDEX(Client_List!$B:$B,MATCH(B618,Client_List!$A:$A,0)),"⚠ NOT FOUND"))</f>
        <v/>
      </c>
      <c r="D618" s="43" t="n">
        <v>360</v>
      </c>
      <c r="E618" s="32">
        <f>IF(B618="","",IFERROR(INDEX(Client_List!$C:$C,MATCH(VALUE(B618),Client_List!$A:$A,0)),""))</f>
        <v/>
      </c>
      <c r="F618" s="53">
        <f>IF(B618="","",IFERROR(INDEX(Client_List!$D:$D,MATCH(VALUE(B618),Client_List!$A:$A,0)),""))</f>
        <v/>
      </c>
      <c r="G618" s="53">
        <f>IF(B618="","",IFERROR(INDEX(Client_List!$K:$K,MATCH(VALUE(B618),Client_List!$A:$A,0)),""))</f>
        <v/>
      </c>
      <c r="H618" s="32">
        <f>IF(B618="","",IFERROR(INDEX(Client_List!$J:$J,MATCH(VALUE(B618),Client_List!$A:$A,0)),""))</f>
        <v/>
      </c>
      <c r="I618" s="70">
        <f>IF(B618="","",IFERROR(A618-LOOKUP(2,1/($B$4:$B617=B618),$A$4:$A617),""))</f>
        <v/>
      </c>
      <c r="J618" s="32">
        <f>IF(B618="","",IFERROR(D618/I618,""))</f>
        <v/>
      </c>
      <c r="K618" s="71">
        <f>IF(B618="","",IFERROR(AVERAGEIFS($J$4:$J618,$B$4:$B618,B618,$J$4:$J618,"&gt;"&amp;0),""))</f>
        <v/>
      </c>
      <c r="L618" s="4" t="n"/>
    </row>
    <row r="619" ht="14" customHeight="1" s="72">
      <c r="A619" s="75" t="n">
        <v>46074</v>
      </c>
      <c r="B619" s="76" t="n">
        <v>13057</v>
      </c>
      <c r="C619" s="69">
        <f>IF(B619="","",IFERROR(INDEX(Client_List!$B:$B,MATCH(B619,Client_List!$A:$A,0)),"⚠ NOT FOUND"))</f>
        <v/>
      </c>
      <c r="D619" s="43" t="n">
        <v>701</v>
      </c>
      <c r="E619" s="32">
        <f>IF(B619="","",IFERROR(INDEX(Client_List!$C:$C,MATCH(VALUE(B619),Client_List!$A:$A,0)),""))</f>
        <v/>
      </c>
      <c r="F619" s="53">
        <f>IF(B619="","",IFERROR(INDEX(Client_List!$D:$D,MATCH(VALUE(B619),Client_List!$A:$A,0)),""))</f>
        <v/>
      </c>
      <c r="G619" s="53">
        <f>IF(B619="","",IFERROR(INDEX(Client_List!$K:$K,MATCH(VALUE(B619),Client_List!$A:$A,0)),""))</f>
        <v/>
      </c>
      <c r="H619" s="32">
        <f>IF(B619="","",IFERROR(INDEX(Client_List!$J:$J,MATCH(VALUE(B619),Client_List!$A:$A,0)),""))</f>
        <v/>
      </c>
      <c r="I619" s="70">
        <f>IF(B619="","",IFERROR(A619-LOOKUP(2,1/($B$4:$B618=B619),$A$4:$A618),""))</f>
        <v/>
      </c>
      <c r="J619" s="32">
        <f>IF(B619="","",IFERROR(D619/I619,""))</f>
        <v/>
      </c>
      <c r="K619" s="71">
        <f>IF(B619="","",IFERROR(AVERAGEIFS($J$4:$J619,$B$4:$B619,B619,$J$4:$J619,"&gt;"&amp;0),""))</f>
        <v/>
      </c>
      <c r="L619" s="7" t="n"/>
    </row>
    <row r="620" ht="14" customHeight="1" s="72">
      <c r="A620" s="75" t="n">
        <v>46074</v>
      </c>
      <c r="B620" s="76" t="n">
        <v>15032</v>
      </c>
      <c r="C620" s="69">
        <f>IF(B620="","",IFERROR(INDEX(Client_List!$B:$B,MATCH(B620,Client_List!$A:$A,0)),"⚠ NOT FOUND"))</f>
        <v/>
      </c>
      <c r="D620" s="43" t="n">
        <v>483</v>
      </c>
      <c r="E620" s="32">
        <f>IF(B620="","",IFERROR(INDEX(Client_List!$C:$C,MATCH(VALUE(B620),Client_List!$A:$A,0)),""))</f>
        <v/>
      </c>
      <c r="F620" s="53">
        <f>IF(B620="","",IFERROR(INDEX(Client_List!$D:$D,MATCH(VALUE(B620),Client_List!$A:$A,0)),""))</f>
        <v/>
      </c>
      <c r="G620" s="53">
        <f>IF(B620="","",IFERROR(INDEX(Client_List!$K:$K,MATCH(VALUE(B620),Client_List!$A:$A,0)),""))</f>
        <v/>
      </c>
      <c r="H620" s="32">
        <f>IF(B620="","",IFERROR(INDEX(Client_List!$J:$J,MATCH(VALUE(B620),Client_List!$A:$A,0)),""))</f>
        <v/>
      </c>
      <c r="I620" s="70">
        <f>IF(B620="","",IFERROR(A620-LOOKUP(2,1/($B$4:$B619=B620),$A$4:$A619),""))</f>
        <v/>
      </c>
      <c r="J620" s="32">
        <f>IF(B620="","",IFERROR(D620/I620,""))</f>
        <v/>
      </c>
      <c r="K620" s="71">
        <f>IF(B620="","",IFERROR(AVERAGEIFS($J$4:$J620,$B$4:$B620,B620,$J$4:$J620,"&gt;"&amp;0),""))</f>
        <v/>
      </c>
      <c r="L620" s="4" t="n"/>
    </row>
    <row r="621" ht="14" customHeight="1" s="72">
      <c r="A621" s="75" t="n">
        <v>46074</v>
      </c>
      <c r="B621" s="76" t="n">
        <v>16009</v>
      </c>
      <c r="C621" s="69">
        <f>IF(B621="","",IFERROR(INDEX(Client_List!$B:$B,MATCH(B621,Client_List!$A:$A,0)),"⚠ NOT FOUND"))</f>
        <v/>
      </c>
      <c r="D621" s="43" t="n">
        <v>1158</v>
      </c>
      <c r="E621" s="32">
        <f>IF(B621="","",IFERROR(INDEX(Client_List!$C:$C,MATCH(VALUE(B621),Client_List!$A:$A,0)),""))</f>
        <v/>
      </c>
      <c r="F621" s="53">
        <f>IF(B621="","",IFERROR(INDEX(Client_List!$D:$D,MATCH(VALUE(B621),Client_List!$A:$A,0)),""))</f>
        <v/>
      </c>
      <c r="G621" s="53">
        <f>IF(B621="","",IFERROR(INDEX(Client_List!$K:$K,MATCH(VALUE(B621),Client_List!$A:$A,0)),""))</f>
        <v/>
      </c>
      <c r="H621" s="32">
        <f>IF(B621="","",IFERROR(INDEX(Client_List!$J:$J,MATCH(VALUE(B621),Client_List!$A:$A,0)),""))</f>
        <v/>
      </c>
      <c r="I621" s="70">
        <f>IF(B621="","",IFERROR(A621-LOOKUP(2,1/($B$4:$B620=B621),$A$4:$A620),""))</f>
        <v/>
      </c>
      <c r="J621" s="32">
        <f>IF(B621="","",IFERROR(D621/I621,""))</f>
        <v/>
      </c>
      <c r="K621" s="71">
        <f>IF(B621="","",IFERROR(AVERAGEIFS($J$4:$J621,$B$4:$B621,B621,$J$4:$J621,"&gt;"&amp;0),""))</f>
        <v/>
      </c>
      <c r="L621" s="7" t="n"/>
    </row>
    <row r="622" ht="14" customHeight="1" s="72">
      <c r="A622" s="75" t="n">
        <v>46074</v>
      </c>
      <c r="B622" s="76" t="n">
        <v>16019</v>
      </c>
      <c r="C622" s="69">
        <f>IF(B622="","",IFERROR(INDEX(Client_List!$B:$B,MATCH(B622,Client_List!$A:$A,0)),"⚠ NOT FOUND"))</f>
        <v/>
      </c>
      <c r="D622" s="43" t="n">
        <v>785</v>
      </c>
      <c r="E622" s="32">
        <f>IF(B622="","",IFERROR(INDEX(Client_List!$C:$C,MATCH(VALUE(B622),Client_List!$A:$A,0)),""))</f>
        <v/>
      </c>
      <c r="F622" s="53">
        <f>IF(B622="","",IFERROR(INDEX(Client_List!$D:$D,MATCH(VALUE(B622),Client_List!$A:$A,0)),""))</f>
        <v/>
      </c>
      <c r="G622" s="53">
        <f>IF(B622="","",IFERROR(INDEX(Client_List!$K:$K,MATCH(VALUE(B622),Client_List!$A:$A,0)),""))</f>
        <v/>
      </c>
      <c r="H622" s="32">
        <f>IF(B622="","",IFERROR(INDEX(Client_List!$J:$J,MATCH(VALUE(B622),Client_List!$A:$A,0)),""))</f>
        <v/>
      </c>
      <c r="I622" s="70">
        <f>IF(B622="","",IFERROR(A622-LOOKUP(2,1/($B$4:$B621=B622),$A$4:$A621),""))</f>
        <v/>
      </c>
      <c r="J622" s="32">
        <f>IF(B622="","",IFERROR(D622/I622,""))</f>
        <v/>
      </c>
      <c r="K622" s="71">
        <f>IF(B622="","",IFERROR(AVERAGEIFS($J$4:$J622,$B$4:$B622,B622,$J$4:$J622,"&gt;"&amp;0),""))</f>
        <v/>
      </c>
      <c r="L622" s="4" t="n"/>
    </row>
    <row r="623" ht="14" customHeight="1" s="72">
      <c r="A623" s="75" t="n">
        <v>46076</v>
      </c>
      <c r="B623" s="76" t="n">
        <v>1013</v>
      </c>
      <c r="C623" s="69">
        <f>IF(B623="","",IFERROR(INDEX(Client_List!$B:$B,MATCH(B623,Client_List!$A:$A,0)),"⚠ NOT FOUND"))</f>
        <v/>
      </c>
      <c r="D623" s="43" t="n">
        <v>750</v>
      </c>
      <c r="E623" s="32">
        <f>IF(B623="","",IFERROR(INDEX(Client_List!$C:$C,MATCH(VALUE(B623),Client_List!$A:$A,0)),""))</f>
        <v/>
      </c>
      <c r="F623" s="53">
        <f>IF(B623="","",IFERROR(INDEX(Client_List!$D:$D,MATCH(VALUE(B623),Client_List!$A:$A,0)),""))</f>
        <v/>
      </c>
      <c r="G623" s="53">
        <f>IF(B623="","",IFERROR(INDEX(Client_List!$K:$K,MATCH(VALUE(B623),Client_List!$A:$A,0)),""))</f>
        <v/>
      </c>
      <c r="H623" s="32">
        <f>IF(B623="","",IFERROR(INDEX(Client_List!$J:$J,MATCH(VALUE(B623),Client_List!$A:$A,0)),""))</f>
        <v/>
      </c>
      <c r="I623" s="70">
        <f>IF(B623="","",IFERROR(A623-LOOKUP(2,1/($B$4:$B622=B623),$A$4:$A622),""))</f>
        <v/>
      </c>
      <c r="J623" s="32">
        <f>IF(B623="","",IFERROR(D623/I623,""))</f>
        <v/>
      </c>
      <c r="K623" s="71">
        <f>IF(B623="","",IFERROR(AVERAGEIFS($J$4:$J623,$B$4:$B623,B623,$J$4:$J623,"&gt;"&amp;0),""))</f>
        <v/>
      </c>
      <c r="L623" s="7" t="n"/>
    </row>
    <row r="624" ht="14" customHeight="1" s="72">
      <c r="A624" s="75" t="n">
        <v>46076</v>
      </c>
      <c r="B624" s="76" t="n">
        <v>2017</v>
      </c>
      <c r="C624" s="69">
        <f>IF(B624="","",IFERROR(INDEX(Client_List!$B:$B,MATCH(B624,Client_List!$A:$A,0)),"⚠ NOT FOUND"))</f>
        <v/>
      </c>
      <c r="D624" s="43" t="n">
        <v>716</v>
      </c>
      <c r="E624" s="32">
        <f>IF(B624="","",IFERROR(INDEX(Client_List!$C:$C,MATCH(VALUE(B624),Client_List!$A:$A,0)),""))</f>
        <v/>
      </c>
      <c r="F624" s="53">
        <f>IF(B624="","",IFERROR(INDEX(Client_List!$D:$D,MATCH(VALUE(B624),Client_List!$A:$A,0)),""))</f>
        <v/>
      </c>
      <c r="G624" s="53">
        <f>IF(B624="","",IFERROR(INDEX(Client_List!$K:$K,MATCH(VALUE(B624),Client_List!$A:$A,0)),""))</f>
        <v/>
      </c>
      <c r="H624" s="32">
        <f>IF(B624="","",IFERROR(INDEX(Client_List!$J:$J,MATCH(VALUE(B624),Client_List!$A:$A,0)),""))</f>
        <v/>
      </c>
      <c r="I624" s="70">
        <f>IF(B624="","",IFERROR(A624-LOOKUP(2,1/($B$4:$B623=B624),$A$4:$A623),""))</f>
        <v/>
      </c>
      <c r="J624" s="32">
        <f>IF(B624="","",IFERROR(D624/I624,""))</f>
        <v/>
      </c>
      <c r="K624" s="71">
        <f>IF(B624="","",IFERROR(AVERAGEIFS($J$4:$J624,$B$4:$B624,B624,$J$4:$J624,"&gt;"&amp;0),""))</f>
        <v/>
      </c>
      <c r="L624" s="4" t="n"/>
    </row>
    <row r="625" ht="14" customHeight="1" s="72">
      <c r="A625" s="75" t="n">
        <v>46076</v>
      </c>
      <c r="B625" s="76" t="n">
        <v>2023</v>
      </c>
      <c r="C625" s="69">
        <f>IF(B625="","",IFERROR(INDEX(Client_List!$B:$B,MATCH(B625,Client_List!$A:$A,0)),"⚠ NOT FOUND"))</f>
        <v/>
      </c>
      <c r="D625" s="43" t="n">
        <v>487</v>
      </c>
      <c r="E625" s="32">
        <f>IF(B625="","",IFERROR(INDEX(Client_List!$C:$C,MATCH(VALUE(B625),Client_List!$A:$A,0)),""))</f>
        <v/>
      </c>
      <c r="F625" s="53">
        <f>IF(B625="","",IFERROR(INDEX(Client_List!$D:$D,MATCH(VALUE(B625),Client_List!$A:$A,0)),""))</f>
        <v/>
      </c>
      <c r="G625" s="53">
        <f>IF(B625="","",IFERROR(INDEX(Client_List!$K:$K,MATCH(VALUE(B625),Client_List!$A:$A,0)),""))</f>
        <v/>
      </c>
      <c r="H625" s="32">
        <f>IF(B625="","",IFERROR(INDEX(Client_List!$J:$J,MATCH(VALUE(B625),Client_List!$A:$A,0)),""))</f>
        <v/>
      </c>
      <c r="I625" s="70">
        <f>IF(B625="","",IFERROR(A625-LOOKUP(2,1/($B$4:$B624=B625),$A$4:$A624),""))</f>
        <v/>
      </c>
      <c r="J625" s="32">
        <f>IF(B625="","",IFERROR(D625/I625,""))</f>
        <v/>
      </c>
      <c r="K625" s="71">
        <f>IF(B625="","",IFERROR(AVERAGEIFS($J$4:$J625,$B$4:$B625,B625,$J$4:$J625,"&gt;"&amp;0),""))</f>
        <v/>
      </c>
      <c r="L625" s="7" t="n"/>
    </row>
    <row r="626" ht="14" customHeight="1" s="72">
      <c r="A626" s="75" t="n">
        <v>46076</v>
      </c>
      <c r="B626" s="76" t="n">
        <v>13013</v>
      </c>
      <c r="C626" s="69">
        <f>IF(B626="","",IFERROR(INDEX(Client_List!$B:$B,MATCH(B626,Client_List!$A:$A,0)),"⚠ NOT FOUND"))</f>
        <v/>
      </c>
      <c r="D626" s="43" t="n">
        <v>905</v>
      </c>
      <c r="E626" s="32">
        <f>IF(B626="","",IFERROR(INDEX(Client_List!$C:$C,MATCH(VALUE(B626),Client_List!$A:$A,0)),""))</f>
        <v/>
      </c>
      <c r="F626" s="53">
        <f>IF(B626="","",IFERROR(INDEX(Client_List!$D:$D,MATCH(VALUE(B626),Client_List!$A:$A,0)),""))</f>
        <v/>
      </c>
      <c r="G626" s="53">
        <f>IF(B626="","",IFERROR(INDEX(Client_List!$K:$K,MATCH(VALUE(B626),Client_List!$A:$A,0)),""))</f>
        <v/>
      </c>
      <c r="H626" s="32">
        <f>IF(B626="","",IFERROR(INDEX(Client_List!$J:$J,MATCH(VALUE(B626),Client_List!$A:$A,0)),""))</f>
        <v/>
      </c>
      <c r="I626" s="70">
        <f>IF(B626="","",IFERROR(A626-LOOKUP(2,1/($B$4:$B625=B626),$A$4:$A625),""))</f>
        <v/>
      </c>
      <c r="J626" s="32">
        <f>IF(B626="","",IFERROR(D626/I626,""))</f>
        <v/>
      </c>
      <c r="K626" s="71">
        <f>IF(B626="","",IFERROR(AVERAGEIFS($J$4:$J626,$B$4:$B626,B626,$J$4:$J626,"&gt;"&amp;0),""))</f>
        <v/>
      </c>
      <c r="L626" s="4" t="n"/>
    </row>
    <row r="627" ht="14" customHeight="1" s="72">
      <c r="A627" s="75" t="n">
        <v>46076</v>
      </c>
      <c r="B627" s="76" t="n">
        <v>16005</v>
      </c>
      <c r="C627" s="69">
        <f>IF(B627="","",IFERROR(INDEX(Client_List!$B:$B,MATCH(B627,Client_List!$A:$A,0)),"⚠ NOT FOUND"))</f>
        <v/>
      </c>
      <c r="D627" s="43" t="n">
        <v>751</v>
      </c>
      <c r="E627" s="32">
        <f>IF(B627="","",IFERROR(INDEX(Client_List!$C:$C,MATCH(VALUE(B627),Client_List!$A:$A,0)),""))</f>
        <v/>
      </c>
      <c r="F627" s="53">
        <f>IF(B627="","",IFERROR(INDEX(Client_List!$D:$D,MATCH(VALUE(B627),Client_List!$A:$A,0)),""))</f>
        <v/>
      </c>
      <c r="G627" s="53">
        <f>IF(B627="","",IFERROR(INDEX(Client_List!$K:$K,MATCH(VALUE(B627),Client_List!$A:$A,0)),""))</f>
        <v/>
      </c>
      <c r="H627" s="32">
        <f>IF(B627="","",IFERROR(INDEX(Client_List!$J:$J,MATCH(VALUE(B627),Client_List!$A:$A,0)),""))</f>
        <v/>
      </c>
      <c r="I627" s="70">
        <f>IF(B627="","",IFERROR(A627-LOOKUP(2,1/($B$4:$B626=B627),$A$4:$A626),""))</f>
        <v/>
      </c>
      <c r="J627" s="32">
        <f>IF(B627="","",IFERROR(D627/I627,""))</f>
        <v/>
      </c>
      <c r="K627" s="71">
        <f>IF(B627="","",IFERROR(AVERAGEIFS($J$4:$J627,$B$4:$B627,B627,$J$4:$J627,"&gt;"&amp;0),""))</f>
        <v/>
      </c>
      <c r="L627" s="7" t="n"/>
    </row>
    <row r="628" ht="14" customHeight="1" s="72">
      <c r="A628" s="75" t="n">
        <v>46076</v>
      </c>
      <c r="B628" s="76" t="n">
        <v>16008</v>
      </c>
      <c r="C628" s="69">
        <f>IF(B628="","",IFERROR(INDEX(Client_List!$B:$B,MATCH(B628,Client_List!$A:$A,0)),"⚠ NOT FOUND"))</f>
        <v/>
      </c>
      <c r="D628" s="43" t="n">
        <v>855</v>
      </c>
      <c r="E628" s="32">
        <f>IF(B628="","",IFERROR(INDEX(Client_List!$C:$C,MATCH(VALUE(B628),Client_List!$A:$A,0)),""))</f>
        <v/>
      </c>
      <c r="F628" s="53">
        <f>IF(B628="","",IFERROR(INDEX(Client_List!$D:$D,MATCH(VALUE(B628),Client_List!$A:$A,0)),""))</f>
        <v/>
      </c>
      <c r="G628" s="53">
        <f>IF(B628="","",IFERROR(INDEX(Client_List!$K:$K,MATCH(VALUE(B628),Client_List!$A:$A,0)),""))</f>
        <v/>
      </c>
      <c r="H628" s="32">
        <f>IF(B628="","",IFERROR(INDEX(Client_List!$J:$J,MATCH(VALUE(B628),Client_List!$A:$A,0)),""))</f>
        <v/>
      </c>
      <c r="I628" s="70">
        <f>IF(B628="","",IFERROR(A628-LOOKUP(2,1/($B$4:$B627=B628),$A$4:$A627),""))</f>
        <v/>
      </c>
      <c r="J628" s="32">
        <f>IF(B628="","",IFERROR(D628/I628,""))</f>
        <v/>
      </c>
      <c r="K628" s="71">
        <f>IF(B628="","",IFERROR(AVERAGEIFS($J$4:$J628,$B$4:$B628,B628,$J$4:$J628,"&gt;"&amp;0),""))</f>
        <v/>
      </c>
      <c r="L628" s="4" t="n"/>
    </row>
    <row r="629" ht="14" customHeight="1" s="72">
      <c r="A629" s="75" t="n">
        <v>46076</v>
      </c>
      <c r="B629" s="76" t="n">
        <v>16015</v>
      </c>
      <c r="C629" s="69">
        <f>IF(B629="","",IFERROR(INDEX(Client_List!$B:$B,MATCH(B629,Client_List!$A:$A,0)),"⚠ NOT FOUND"))</f>
        <v/>
      </c>
      <c r="D629" s="43" t="n">
        <v>359</v>
      </c>
      <c r="E629" s="32">
        <f>IF(B629="","",IFERROR(INDEX(Client_List!$C:$C,MATCH(VALUE(B629),Client_List!$A:$A,0)),""))</f>
        <v/>
      </c>
      <c r="F629" s="53">
        <f>IF(B629="","",IFERROR(INDEX(Client_List!$D:$D,MATCH(VALUE(B629),Client_List!$A:$A,0)),""))</f>
        <v/>
      </c>
      <c r="G629" s="53">
        <f>IF(B629="","",IFERROR(INDEX(Client_List!$K:$K,MATCH(VALUE(B629),Client_List!$A:$A,0)),""))</f>
        <v/>
      </c>
      <c r="H629" s="32">
        <f>IF(B629="","",IFERROR(INDEX(Client_List!$J:$J,MATCH(VALUE(B629),Client_List!$A:$A,0)),""))</f>
        <v/>
      </c>
      <c r="I629" s="70">
        <f>IF(B629="","",IFERROR(A629-LOOKUP(2,1/($B$4:$B628=B629),$A$4:$A628),""))</f>
        <v/>
      </c>
      <c r="J629" s="32">
        <f>IF(B629="","",IFERROR(D629/I629,""))</f>
        <v/>
      </c>
      <c r="K629" s="71">
        <f>IF(B629="","",IFERROR(AVERAGEIFS($J$4:$J629,$B$4:$B629,B629,$J$4:$J629,"&gt;"&amp;0),""))</f>
        <v/>
      </c>
      <c r="L629" s="7" t="n"/>
    </row>
    <row r="630" ht="14" customHeight="1" s="72">
      <c r="A630" s="75" t="n">
        <v>46077</v>
      </c>
      <c r="B630" s="76" t="n">
        <v>1081</v>
      </c>
      <c r="C630" s="69">
        <f>IF(B630="","",IFERROR(INDEX(Client_List!$B:$B,MATCH(B630,Client_List!$A:$A,0)),"⚠ NOT FOUND"))</f>
        <v/>
      </c>
      <c r="D630" s="43" t="n">
        <v>261</v>
      </c>
      <c r="E630" s="32">
        <f>IF(B630="","",IFERROR(INDEX(Client_List!$C:$C,MATCH(VALUE(B630),Client_List!$A:$A,0)),""))</f>
        <v/>
      </c>
      <c r="F630" s="53">
        <f>IF(B630="","",IFERROR(INDEX(Client_List!$D:$D,MATCH(VALUE(B630),Client_List!$A:$A,0)),""))</f>
        <v/>
      </c>
      <c r="G630" s="53">
        <f>IF(B630="","",IFERROR(INDEX(Client_List!$K:$K,MATCH(VALUE(B630),Client_List!$A:$A,0)),""))</f>
        <v/>
      </c>
      <c r="H630" s="32">
        <f>IF(B630="","",IFERROR(INDEX(Client_List!$J:$J,MATCH(VALUE(B630),Client_List!$A:$A,0)),""))</f>
        <v/>
      </c>
      <c r="I630" s="70">
        <f>IF(B630="","",IFERROR(A630-LOOKUP(2,1/($B$4:$B629=B630),$A$4:$A629),""))</f>
        <v/>
      </c>
      <c r="J630" s="32">
        <f>IF(B630="","",IFERROR(D630/I630,""))</f>
        <v/>
      </c>
      <c r="K630" s="71">
        <f>IF(B630="","",IFERROR(AVERAGEIFS($J$4:$J630,$B$4:$B630,B630,$J$4:$J630,"&gt;"&amp;0),""))</f>
        <v/>
      </c>
      <c r="L630" s="4" t="n"/>
    </row>
    <row r="631" ht="14" customHeight="1" s="72">
      <c r="A631" s="75" t="n">
        <v>46077</v>
      </c>
      <c r="B631" s="76" t="n">
        <v>3021</v>
      </c>
      <c r="C631" s="69">
        <f>IF(B631="","",IFERROR(INDEX(Client_List!$B:$B,MATCH(B631,Client_List!$A:$A,0)),"⚠ NOT FOUND"))</f>
        <v/>
      </c>
      <c r="D631" s="43" t="n">
        <v>218</v>
      </c>
      <c r="E631" s="32">
        <f>IF(B631="","",IFERROR(INDEX(Client_List!$C:$C,MATCH(VALUE(B631),Client_List!$A:$A,0)),""))</f>
        <v/>
      </c>
      <c r="F631" s="53">
        <f>IF(B631="","",IFERROR(INDEX(Client_List!$D:$D,MATCH(VALUE(B631),Client_List!$A:$A,0)),""))</f>
        <v/>
      </c>
      <c r="G631" s="53">
        <f>IF(B631="","",IFERROR(INDEX(Client_List!$K:$K,MATCH(VALUE(B631),Client_List!$A:$A,0)),""))</f>
        <v/>
      </c>
      <c r="H631" s="32">
        <f>IF(B631="","",IFERROR(INDEX(Client_List!$J:$J,MATCH(VALUE(B631),Client_List!$A:$A,0)),""))</f>
        <v/>
      </c>
      <c r="I631" s="70">
        <f>IF(B631="","",IFERROR(A631-LOOKUP(2,1/($B$4:$B630=B631),$A$4:$A630),""))</f>
        <v/>
      </c>
      <c r="J631" s="32">
        <f>IF(B631="","",IFERROR(D631/I631,""))</f>
        <v/>
      </c>
      <c r="K631" s="71">
        <f>IF(B631="","",IFERROR(AVERAGEIFS($J$4:$J631,$B$4:$B631,B631,$J$4:$J631,"&gt;"&amp;0),""))</f>
        <v/>
      </c>
      <c r="L631" s="7" t="n"/>
    </row>
    <row r="632" ht="14" customHeight="1" s="72">
      <c r="A632" s="75" t="n">
        <v>46077</v>
      </c>
      <c r="B632" s="76" t="n">
        <v>5018</v>
      </c>
      <c r="C632" s="69">
        <f>IF(B632="","",IFERROR(INDEX(Client_List!$B:$B,MATCH(B632,Client_List!$A:$A,0)),"⚠ NOT FOUND"))</f>
        <v/>
      </c>
      <c r="D632" s="43" t="n">
        <v>201</v>
      </c>
      <c r="E632" s="32">
        <f>IF(B632="","",IFERROR(INDEX(Client_List!$C:$C,MATCH(VALUE(B632),Client_List!$A:$A,0)),""))</f>
        <v/>
      </c>
      <c r="F632" s="53">
        <f>IF(B632="","",IFERROR(INDEX(Client_List!$D:$D,MATCH(VALUE(B632),Client_List!$A:$A,0)),""))</f>
        <v/>
      </c>
      <c r="G632" s="53">
        <f>IF(B632="","",IFERROR(INDEX(Client_List!$K:$K,MATCH(VALUE(B632),Client_List!$A:$A,0)),""))</f>
        <v/>
      </c>
      <c r="H632" s="32">
        <f>IF(B632="","",IFERROR(INDEX(Client_List!$J:$J,MATCH(VALUE(B632),Client_List!$A:$A,0)),""))</f>
        <v/>
      </c>
      <c r="I632" s="70">
        <f>IF(B632="","",IFERROR(A632-LOOKUP(2,1/($B$4:$B631=B632),$A$4:$A631),""))</f>
        <v/>
      </c>
      <c r="J632" s="32">
        <f>IF(B632="","",IFERROR(D632/I632,""))</f>
        <v/>
      </c>
      <c r="K632" s="71">
        <f>IF(B632="","",IFERROR(AVERAGEIFS($J$4:$J632,$B$4:$B632,B632,$J$4:$J632,"&gt;"&amp;0),""))</f>
        <v/>
      </c>
      <c r="L632" s="4" t="n"/>
    </row>
    <row r="633" ht="14" customHeight="1" s="72">
      <c r="A633" s="75" t="n">
        <v>46077</v>
      </c>
      <c r="B633" s="76" t="n">
        <v>6109</v>
      </c>
      <c r="C633" s="69">
        <f>IF(B633="","",IFERROR(INDEX(Client_List!$B:$B,MATCH(B633,Client_List!$A:$A,0)),"⚠ NOT FOUND"))</f>
        <v/>
      </c>
      <c r="D633" s="43" t="n">
        <v>479</v>
      </c>
      <c r="E633" s="32">
        <f>IF(B633="","",IFERROR(INDEX(Client_List!$C:$C,MATCH(VALUE(B633),Client_List!$A:$A,0)),""))</f>
        <v/>
      </c>
      <c r="F633" s="53">
        <f>IF(B633="","",IFERROR(INDEX(Client_List!$D:$D,MATCH(VALUE(B633),Client_List!$A:$A,0)),""))</f>
        <v/>
      </c>
      <c r="G633" s="53">
        <f>IF(B633="","",IFERROR(INDEX(Client_List!$K:$K,MATCH(VALUE(B633),Client_List!$A:$A,0)),""))</f>
        <v/>
      </c>
      <c r="H633" s="32">
        <f>IF(B633="","",IFERROR(INDEX(Client_List!$J:$J,MATCH(VALUE(B633),Client_List!$A:$A,0)),""))</f>
        <v/>
      </c>
      <c r="I633" s="70">
        <f>IF(B633="","",IFERROR(A633-LOOKUP(2,1/($B$4:$B632=B633),$A$4:$A632),""))</f>
        <v/>
      </c>
      <c r="J633" s="32">
        <f>IF(B633="","",IFERROR(D633/I633,""))</f>
        <v/>
      </c>
      <c r="K633" s="71">
        <f>IF(B633="","",IFERROR(AVERAGEIFS($J$4:$J633,$B$4:$B633,B633,$J$4:$J633,"&gt;"&amp;0),""))</f>
        <v/>
      </c>
      <c r="L633" s="7" t="n"/>
    </row>
    <row r="634" ht="14" customHeight="1" s="72">
      <c r="A634" s="75" t="n">
        <v>46077</v>
      </c>
      <c r="B634" s="76" t="n">
        <v>7052</v>
      </c>
      <c r="C634" s="69">
        <f>IF(B634="","",IFERROR(INDEX(Client_List!$B:$B,MATCH(B634,Client_List!$A:$A,0)),"⚠ NOT FOUND"))</f>
        <v/>
      </c>
      <c r="D634" s="43" t="n">
        <v>300</v>
      </c>
      <c r="E634" s="32">
        <f>IF(B634="","",IFERROR(INDEX(Client_List!$C:$C,MATCH(VALUE(B634),Client_List!$A:$A,0)),""))</f>
        <v/>
      </c>
      <c r="F634" s="53">
        <f>IF(B634="","",IFERROR(INDEX(Client_List!$D:$D,MATCH(VALUE(B634),Client_List!$A:$A,0)),""))</f>
        <v/>
      </c>
      <c r="G634" s="53">
        <f>IF(B634="","",IFERROR(INDEX(Client_List!$K:$K,MATCH(VALUE(B634),Client_List!$A:$A,0)),""))</f>
        <v/>
      </c>
      <c r="H634" s="32">
        <f>IF(B634="","",IFERROR(INDEX(Client_List!$J:$J,MATCH(VALUE(B634),Client_List!$A:$A,0)),""))</f>
        <v/>
      </c>
      <c r="I634" s="70">
        <f>IF(B634="","",IFERROR(A634-LOOKUP(2,1/($B$4:$B633=B634),$A$4:$A633),""))</f>
        <v/>
      </c>
      <c r="J634" s="32">
        <f>IF(B634="","",IFERROR(D634/I634,""))</f>
        <v/>
      </c>
      <c r="K634" s="71">
        <f>IF(B634="","",IFERROR(AVERAGEIFS($J$4:$J634,$B$4:$B634,B634,$J$4:$J634,"&gt;"&amp;0),""))</f>
        <v/>
      </c>
      <c r="L634" s="4" t="n"/>
    </row>
    <row r="635" ht="14" customHeight="1" s="72">
      <c r="A635" s="75" t="n">
        <v>46077</v>
      </c>
      <c r="B635" s="76" t="n">
        <v>11013</v>
      </c>
      <c r="C635" s="69">
        <f>IF(B635="","",IFERROR(INDEX(Client_List!$B:$B,MATCH(B635,Client_List!$A:$A,0)),"⚠ NOT FOUND"))</f>
        <v/>
      </c>
      <c r="D635" s="43" t="n">
        <v>954</v>
      </c>
      <c r="E635" s="32">
        <f>IF(B635="","",IFERROR(INDEX(Client_List!$C:$C,MATCH(VALUE(B635),Client_List!$A:$A,0)),""))</f>
        <v/>
      </c>
      <c r="F635" s="53">
        <f>IF(B635="","",IFERROR(INDEX(Client_List!$D:$D,MATCH(VALUE(B635),Client_List!$A:$A,0)),""))</f>
        <v/>
      </c>
      <c r="G635" s="53">
        <f>IF(B635="","",IFERROR(INDEX(Client_List!$K:$K,MATCH(VALUE(B635),Client_List!$A:$A,0)),""))</f>
        <v/>
      </c>
      <c r="H635" s="32">
        <f>IF(B635="","",IFERROR(INDEX(Client_List!$J:$J,MATCH(VALUE(B635),Client_List!$A:$A,0)),""))</f>
        <v/>
      </c>
      <c r="I635" s="70">
        <f>IF(B635="","",IFERROR(A635-LOOKUP(2,1/($B$4:$B634=B635),$A$4:$A634),""))</f>
        <v/>
      </c>
      <c r="J635" s="32">
        <f>IF(B635="","",IFERROR(D635/I635,""))</f>
        <v/>
      </c>
      <c r="K635" s="71">
        <f>IF(B635="","",IFERROR(AVERAGEIFS($J$4:$J635,$B$4:$B635,B635,$J$4:$J635,"&gt;"&amp;0),""))</f>
        <v/>
      </c>
      <c r="L635" s="7" t="n"/>
    </row>
    <row r="636" ht="14" customHeight="1" s="72">
      <c r="A636" s="75" t="n">
        <v>46077</v>
      </c>
      <c r="B636" s="76" t="n">
        <v>12053</v>
      </c>
      <c r="C636" s="69">
        <f>IF(B636="","",IFERROR(INDEX(Client_List!$B:$B,MATCH(B636,Client_List!$A:$A,0)),"⚠ NOT FOUND"))</f>
        <v/>
      </c>
      <c r="D636" s="43" t="n">
        <v>1083</v>
      </c>
      <c r="E636" s="32">
        <f>IF(B636="","",IFERROR(INDEX(Client_List!$C:$C,MATCH(VALUE(B636),Client_List!$A:$A,0)),""))</f>
        <v/>
      </c>
      <c r="F636" s="53">
        <f>IF(B636="","",IFERROR(INDEX(Client_List!$D:$D,MATCH(VALUE(B636),Client_List!$A:$A,0)),""))</f>
        <v/>
      </c>
      <c r="G636" s="53">
        <f>IF(B636="","",IFERROR(INDEX(Client_List!$K:$K,MATCH(VALUE(B636),Client_List!$A:$A,0)),""))</f>
        <v/>
      </c>
      <c r="H636" s="32">
        <f>IF(B636="","",IFERROR(INDEX(Client_List!$J:$J,MATCH(VALUE(B636),Client_List!$A:$A,0)),""))</f>
        <v/>
      </c>
      <c r="I636" s="70">
        <f>IF(B636="","",IFERROR(A636-LOOKUP(2,1/($B$4:$B635=B636),$A$4:$A635),""))</f>
        <v/>
      </c>
      <c r="J636" s="32">
        <f>IF(B636="","",IFERROR(D636/I636,""))</f>
        <v/>
      </c>
      <c r="K636" s="71">
        <f>IF(B636="","",IFERROR(AVERAGEIFS($J$4:$J636,$B$4:$B636,B636,$J$4:$J636,"&gt;"&amp;0),""))</f>
        <v/>
      </c>
      <c r="L636" s="4" t="n"/>
    </row>
    <row r="637" ht="14" customHeight="1" s="72">
      <c r="A637" s="75" t="n">
        <v>46077</v>
      </c>
      <c r="B637" s="76" t="n">
        <v>13015</v>
      </c>
      <c r="C637" s="69">
        <f>IF(B637="","",IFERROR(INDEX(Client_List!$B:$B,MATCH(B637,Client_List!$A:$A,0)),"⚠ NOT FOUND"))</f>
        <v/>
      </c>
      <c r="D637" s="43" t="n">
        <v>722</v>
      </c>
      <c r="E637" s="32">
        <f>IF(B637="","",IFERROR(INDEX(Client_List!$C:$C,MATCH(VALUE(B637),Client_List!$A:$A,0)),""))</f>
        <v/>
      </c>
      <c r="F637" s="53">
        <f>IF(B637="","",IFERROR(INDEX(Client_List!$D:$D,MATCH(VALUE(B637),Client_List!$A:$A,0)),""))</f>
        <v/>
      </c>
      <c r="G637" s="53">
        <f>IF(B637="","",IFERROR(INDEX(Client_List!$K:$K,MATCH(VALUE(B637),Client_List!$A:$A,0)),""))</f>
        <v/>
      </c>
      <c r="H637" s="32">
        <f>IF(B637="","",IFERROR(INDEX(Client_List!$J:$J,MATCH(VALUE(B637),Client_List!$A:$A,0)),""))</f>
        <v/>
      </c>
      <c r="I637" s="70">
        <f>IF(B637="","",IFERROR(A637-LOOKUP(2,1/($B$4:$B636=B637),$A$4:$A636),""))</f>
        <v/>
      </c>
      <c r="J637" s="32">
        <f>IF(B637="","",IFERROR(D637/I637,""))</f>
        <v/>
      </c>
      <c r="K637" s="71">
        <f>IF(B637="","",IFERROR(AVERAGEIFS($J$4:$J637,$B$4:$B637,B637,$J$4:$J637,"&gt;"&amp;0),""))</f>
        <v/>
      </c>
      <c r="L637" s="7" t="n"/>
    </row>
    <row r="638" ht="14" customHeight="1" s="72">
      <c r="A638" s="75" t="n">
        <v>46077</v>
      </c>
      <c r="B638" s="76" t="n">
        <v>14009</v>
      </c>
      <c r="C638" s="69">
        <f>IF(B638="","",IFERROR(INDEX(Client_List!$B:$B,MATCH(B638,Client_List!$A:$A,0)),"⚠ NOT FOUND"))</f>
        <v/>
      </c>
      <c r="D638" s="43" t="n">
        <v>912</v>
      </c>
      <c r="E638" s="32">
        <f>IF(B638="","",IFERROR(INDEX(Client_List!$C:$C,MATCH(VALUE(B638),Client_List!$A:$A,0)),""))</f>
        <v/>
      </c>
      <c r="F638" s="53">
        <f>IF(B638="","",IFERROR(INDEX(Client_List!$D:$D,MATCH(VALUE(B638),Client_List!$A:$A,0)),""))</f>
        <v/>
      </c>
      <c r="G638" s="53">
        <f>IF(B638="","",IFERROR(INDEX(Client_List!$K:$K,MATCH(VALUE(B638),Client_List!$A:$A,0)),""))</f>
        <v/>
      </c>
      <c r="H638" s="32">
        <f>IF(B638="","",IFERROR(INDEX(Client_List!$J:$J,MATCH(VALUE(B638),Client_List!$A:$A,0)),""))</f>
        <v/>
      </c>
      <c r="I638" s="70">
        <f>IF(B638="","",IFERROR(A638-LOOKUP(2,1/($B$4:$B637=B638),$A$4:$A637),""))</f>
        <v/>
      </c>
      <c r="J638" s="32">
        <f>IF(B638="","",IFERROR(D638/I638,""))</f>
        <v/>
      </c>
      <c r="K638" s="71">
        <f>IF(B638="","",IFERROR(AVERAGEIFS($J$4:$J638,$B$4:$B638,B638,$J$4:$J638,"&gt;"&amp;0),""))</f>
        <v/>
      </c>
      <c r="L638" s="4" t="n"/>
    </row>
    <row r="639" ht="14" customHeight="1" s="72">
      <c r="A639" s="75" t="n">
        <v>46077</v>
      </c>
      <c r="B639" s="76" t="n">
        <v>18001</v>
      </c>
      <c r="C639" s="69">
        <f>IF(B639="","",IFERROR(INDEX(Client_List!$B:$B,MATCH(B639,Client_List!$A:$A,0)),"⚠ NOT FOUND"))</f>
        <v/>
      </c>
      <c r="D639" s="43" t="n">
        <v>629</v>
      </c>
      <c r="E639" s="32">
        <f>IF(B639="","",IFERROR(INDEX(Client_List!$C:$C,MATCH(VALUE(B639),Client_List!$A:$A,0)),""))</f>
        <v/>
      </c>
      <c r="F639" s="53">
        <f>IF(B639="","",IFERROR(INDEX(Client_List!$D:$D,MATCH(VALUE(B639),Client_List!$A:$A,0)),""))</f>
        <v/>
      </c>
      <c r="G639" s="53">
        <f>IF(B639="","",IFERROR(INDEX(Client_List!$K:$K,MATCH(VALUE(B639),Client_List!$A:$A,0)),""))</f>
        <v/>
      </c>
      <c r="H639" s="32">
        <f>IF(B639="","",IFERROR(INDEX(Client_List!$J:$J,MATCH(VALUE(B639),Client_List!$A:$A,0)),""))</f>
        <v/>
      </c>
      <c r="I639" s="70">
        <f>IF(B639="","",IFERROR(A639-LOOKUP(2,1/($B$4:$B638=B639),$A$4:$A638),""))</f>
        <v/>
      </c>
      <c r="J639" s="32">
        <f>IF(B639="","",IFERROR(D639/I639,""))</f>
        <v/>
      </c>
      <c r="K639" s="71">
        <f>IF(B639="","",IFERROR(AVERAGEIFS($J$4:$J639,$B$4:$B639,B639,$J$4:$J639,"&gt;"&amp;0),""))</f>
        <v/>
      </c>
      <c r="L639" s="7" t="n"/>
    </row>
    <row r="640" ht="14" customHeight="1" s="72">
      <c r="A640" s="75" t="n">
        <v>46077</v>
      </c>
      <c r="B640" s="76" t="n">
        <v>18003</v>
      </c>
      <c r="C640" s="69">
        <f>IF(B640="","",IFERROR(INDEX(Client_List!$B:$B,MATCH(B640,Client_List!$A:$A,0)),"⚠ NOT FOUND"))</f>
        <v/>
      </c>
      <c r="D640" s="43" t="n">
        <v>353</v>
      </c>
      <c r="E640" s="32">
        <f>IF(B640="","",IFERROR(INDEX(Client_List!$C:$C,MATCH(VALUE(B640),Client_List!$A:$A,0)),""))</f>
        <v/>
      </c>
      <c r="F640" s="53">
        <f>IF(B640="","",IFERROR(INDEX(Client_List!$D:$D,MATCH(VALUE(B640),Client_List!$A:$A,0)),""))</f>
        <v/>
      </c>
      <c r="G640" s="53">
        <f>IF(B640="","",IFERROR(INDEX(Client_List!$K:$K,MATCH(VALUE(B640),Client_List!$A:$A,0)),""))</f>
        <v/>
      </c>
      <c r="H640" s="32">
        <f>IF(B640="","",IFERROR(INDEX(Client_List!$J:$J,MATCH(VALUE(B640),Client_List!$A:$A,0)),""))</f>
        <v/>
      </c>
      <c r="I640" s="70">
        <f>IF(B640="","",IFERROR(A640-LOOKUP(2,1/($B$4:$B639=B640),$A$4:$A639),""))</f>
        <v/>
      </c>
      <c r="J640" s="32">
        <f>IF(B640="","",IFERROR(D640/I640,""))</f>
        <v/>
      </c>
      <c r="K640" s="71">
        <f>IF(B640="","",IFERROR(AVERAGEIFS($J$4:$J640,$B$4:$B640,B640,$J$4:$J640,"&gt;"&amp;0),""))</f>
        <v/>
      </c>
      <c r="L640" s="4" t="n"/>
    </row>
    <row r="641" ht="14" customHeight="1" s="72">
      <c r="A641" s="75" t="n">
        <v>46077</v>
      </c>
      <c r="B641" s="76" t="n">
        <v>18004</v>
      </c>
      <c r="C641" s="69">
        <f>IF(B641="","",IFERROR(INDEX(Client_List!$B:$B,MATCH(B641,Client_List!$A:$A,0)),"⚠ NOT FOUND"))</f>
        <v/>
      </c>
      <c r="D641" s="43" t="n">
        <v>801</v>
      </c>
      <c r="E641" s="32">
        <f>IF(B641="","",IFERROR(INDEX(Client_List!$C:$C,MATCH(VALUE(B641),Client_List!$A:$A,0)),""))</f>
        <v/>
      </c>
      <c r="F641" s="53">
        <f>IF(B641="","",IFERROR(INDEX(Client_List!$D:$D,MATCH(VALUE(B641),Client_List!$A:$A,0)),""))</f>
        <v/>
      </c>
      <c r="G641" s="53">
        <f>IF(B641="","",IFERROR(INDEX(Client_List!$K:$K,MATCH(VALUE(B641),Client_List!$A:$A,0)),""))</f>
        <v/>
      </c>
      <c r="H641" s="32">
        <f>IF(B641="","",IFERROR(INDEX(Client_List!$J:$J,MATCH(VALUE(B641),Client_List!$A:$A,0)),""))</f>
        <v/>
      </c>
      <c r="I641" s="70">
        <f>IF(B641="","",IFERROR(A641-LOOKUP(2,1/($B$4:$B640=B641),$A$4:$A640),""))</f>
        <v/>
      </c>
      <c r="J641" s="32">
        <f>IF(B641="","",IFERROR(D641/I641,""))</f>
        <v/>
      </c>
      <c r="K641" s="71">
        <f>IF(B641="","",IFERROR(AVERAGEIFS($J$4:$J641,$B$4:$B641,B641,$J$4:$J641,"&gt;"&amp;0),""))</f>
        <v/>
      </c>
      <c r="L641" s="7" t="n"/>
    </row>
    <row r="642" ht="14" customHeight="1" s="72">
      <c r="A642" s="75" t="n">
        <v>46077</v>
      </c>
      <c r="B642" s="76" t="n">
        <v>18051</v>
      </c>
      <c r="C642" s="69">
        <f>IF(B642="","",IFERROR(INDEX(Client_List!$B:$B,MATCH(B642,Client_List!$A:$A,0)),"⚠ NOT FOUND"))</f>
        <v/>
      </c>
      <c r="D642" s="43" t="n">
        <v>894</v>
      </c>
      <c r="E642" s="32">
        <f>IF(B642="","",IFERROR(INDEX(Client_List!$C:$C,MATCH(VALUE(B642),Client_List!$A:$A,0)),""))</f>
        <v/>
      </c>
      <c r="F642" s="53">
        <f>IF(B642="","",IFERROR(INDEX(Client_List!$D:$D,MATCH(VALUE(B642),Client_List!$A:$A,0)),""))</f>
        <v/>
      </c>
      <c r="G642" s="53">
        <f>IF(B642="","",IFERROR(INDEX(Client_List!$K:$K,MATCH(VALUE(B642),Client_List!$A:$A,0)),""))</f>
        <v/>
      </c>
      <c r="H642" s="32">
        <f>IF(B642="","",IFERROR(INDEX(Client_List!$J:$J,MATCH(VALUE(B642),Client_List!$A:$A,0)),""))</f>
        <v/>
      </c>
      <c r="I642" s="70">
        <f>IF(B642="","",IFERROR(A642-LOOKUP(2,1/($B$4:$B641=B642),$A$4:$A641),""))</f>
        <v/>
      </c>
      <c r="J642" s="32">
        <f>IF(B642="","",IFERROR(D642/I642,""))</f>
        <v/>
      </c>
      <c r="K642" s="71">
        <f>IF(B642="","",IFERROR(AVERAGEIFS($J$4:$J642,$B$4:$B642,B642,$J$4:$J642,"&gt;"&amp;0),""))</f>
        <v/>
      </c>
      <c r="L642" s="4" t="n"/>
    </row>
    <row r="643" ht="14" customHeight="1" s="72">
      <c r="A643" s="75" t="n">
        <v>46077</v>
      </c>
      <c r="B643" s="76" t="n">
        <v>18054</v>
      </c>
      <c r="C643" s="69">
        <f>IF(B643="","",IFERROR(INDEX(Client_List!$B:$B,MATCH(B643,Client_List!$A:$A,0)),"⚠ NOT FOUND"))</f>
        <v/>
      </c>
      <c r="D643" s="43" t="n">
        <v>962</v>
      </c>
      <c r="E643" s="32">
        <f>IF(B643="","",IFERROR(INDEX(Client_List!$C:$C,MATCH(VALUE(B643),Client_List!$A:$A,0)),""))</f>
        <v/>
      </c>
      <c r="F643" s="53">
        <f>IF(B643="","",IFERROR(INDEX(Client_List!$D:$D,MATCH(VALUE(B643),Client_List!$A:$A,0)),""))</f>
        <v/>
      </c>
      <c r="G643" s="53">
        <f>IF(B643="","",IFERROR(INDEX(Client_List!$K:$K,MATCH(VALUE(B643),Client_List!$A:$A,0)),""))</f>
        <v/>
      </c>
      <c r="H643" s="32">
        <f>IF(B643="","",IFERROR(INDEX(Client_List!$J:$J,MATCH(VALUE(B643),Client_List!$A:$A,0)),""))</f>
        <v/>
      </c>
      <c r="I643" s="70">
        <f>IF(B643="","",IFERROR(A643-LOOKUP(2,1/($B$4:$B642=B643),$A$4:$A642),""))</f>
        <v/>
      </c>
      <c r="J643" s="32">
        <f>IF(B643="","",IFERROR(D643/I643,""))</f>
        <v/>
      </c>
      <c r="K643" s="71">
        <f>IF(B643="","",IFERROR(AVERAGEIFS($J$4:$J643,$B$4:$B643,B643,$J$4:$J643,"&gt;"&amp;0),""))</f>
        <v/>
      </c>
      <c r="L643" s="7" t="n"/>
    </row>
    <row r="644" ht="14" customHeight="1" s="72">
      <c r="A644" s="75" t="n">
        <v>46077</v>
      </c>
      <c r="B644" s="76" t="n">
        <v>19077</v>
      </c>
      <c r="C644" s="69">
        <f>IF(B644="","",IFERROR(INDEX(Client_List!$B:$B,MATCH(B644,Client_List!$A:$A,0)),"⚠ NOT FOUND"))</f>
        <v/>
      </c>
      <c r="D644" s="43" t="n">
        <v>957</v>
      </c>
      <c r="E644" s="32">
        <f>IF(B644="","",IFERROR(INDEX(Client_List!$C:$C,MATCH(VALUE(B644),Client_List!$A:$A,0)),""))</f>
        <v/>
      </c>
      <c r="F644" s="53">
        <f>IF(B644="","",IFERROR(INDEX(Client_List!$D:$D,MATCH(VALUE(B644),Client_List!$A:$A,0)),""))</f>
        <v/>
      </c>
      <c r="G644" s="53">
        <f>IF(B644="","",IFERROR(INDEX(Client_List!$K:$K,MATCH(VALUE(B644),Client_List!$A:$A,0)),""))</f>
        <v/>
      </c>
      <c r="H644" s="32">
        <f>IF(B644="","",IFERROR(INDEX(Client_List!$J:$J,MATCH(VALUE(B644),Client_List!$A:$A,0)),""))</f>
        <v/>
      </c>
      <c r="I644" s="70">
        <f>IF(B644="","",IFERROR(A644-LOOKUP(2,1/($B$4:$B643=B644),$A$4:$A643),""))</f>
        <v/>
      </c>
      <c r="J644" s="32">
        <f>IF(B644="","",IFERROR(D644/I644,""))</f>
        <v/>
      </c>
      <c r="K644" s="71">
        <f>IF(B644="","",IFERROR(AVERAGEIFS($J$4:$J644,$B$4:$B644,B644,$J$4:$J644,"&gt;"&amp;0),""))</f>
        <v/>
      </c>
      <c r="L644" s="4" t="n"/>
    </row>
    <row r="645" ht="14" customHeight="1" s="72">
      <c r="A645" s="75" t="n">
        <v>46077</v>
      </c>
      <c r="B645" s="76" t="n">
        <v>19110</v>
      </c>
      <c r="C645" s="69">
        <f>IF(B645="","",IFERROR(INDEX(Client_List!$B:$B,MATCH(B645,Client_List!$A:$A,0)),"⚠ NOT FOUND"))</f>
        <v/>
      </c>
      <c r="D645" s="43" t="n">
        <v>1248</v>
      </c>
      <c r="E645" s="32">
        <f>IF(B645="","",IFERROR(INDEX(Client_List!$C:$C,MATCH(VALUE(B645),Client_List!$A:$A,0)),""))</f>
        <v/>
      </c>
      <c r="F645" s="53">
        <f>IF(B645="","",IFERROR(INDEX(Client_List!$D:$D,MATCH(VALUE(B645),Client_List!$A:$A,0)),""))</f>
        <v/>
      </c>
      <c r="G645" s="53">
        <f>IF(B645="","",IFERROR(INDEX(Client_List!$K:$K,MATCH(VALUE(B645),Client_List!$A:$A,0)),""))</f>
        <v/>
      </c>
      <c r="H645" s="32">
        <f>IF(B645="","",IFERROR(INDEX(Client_List!$J:$J,MATCH(VALUE(B645),Client_List!$A:$A,0)),""))</f>
        <v/>
      </c>
      <c r="I645" s="70">
        <f>IF(B645="","",IFERROR(A645-LOOKUP(2,1/($B$4:$B644=B645),$A$4:$A644),""))</f>
        <v/>
      </c>
      <c r="J645" s="32">
        <f>IF(B645="","",IFERROR(D645/I645,""))</f>
        <v/>
      </c>
      <c r="K645" s="71">
        <f>IF(B645="","",IFERROR(AVERAGEIFS($J$4:$J645,$B$4:$B645,B645,$J$4:$J645,"&gt;"&amp;0),""))</f>
        <v/>
      </c>
      <c r="L645" s="7" t="n"/>
    </row>
    <row r="646" ht="14" customHeight="1" s="72">
      <c r="A646" s="75" t="n">
        <v>46077</v>
      </c>
      <c r="B646" s="76" t="n">
        <v>20090</v>
      </c>
      <c r="C646" s="69">
        <f>IF(B646="","",IFERROR(INDEX(Client_List!$B:$B,MATCH(B646,Client_List!$A:$A,0)),"⚠ NOT FOUND"))</f>
        <v/>
      </c>
      <c r="D646" s="43" t="n">
        <v>871</v>
      </c>
      <c r="E646" s="32">
        <f>IF(B646="","",IFERROR(INDEX(Client_List!$C:$C,MATCH(VALUE(B646),Client_List!$A:$A,0)),""))</f>
        <v/>
      </c>
      <c r="F646" s="53">
        <f>IF(B646="","",IFERROR(INDEX(Client_List!$D:$D,MATCH(VALUE(B646),Client_List!$A:$A,0)),""))</f>
        <v/>
      </c>
      <c r="G646" s="53">
        <f>IF(B646="","",IFERROR(INDEX(Client_List!$K:$K,MATCH(VALUE(B646),Client_List!$A:$A,0)),""))</f>
        <v/>
      </c>
      <c r="H646" s="32">
        <f>IF(B646="","",IFERROR(INDEX(Client_List!$J:$J,MATCH(VALUE(B646),Client_List!$A:$A,0)),""))</f>
        <v/>
      </c>
      <c r="I646" s="70">
        <f>IF(B646="","",IFERROR(A646-LOOKUP(2,1/($B$4:$B645=B646),$A$4:$A645),""))</f>
        <v/>
      </c>
      <c r="J646" s="32">
        <f>IF(B646="","",IFERROR(D646/I646,""))</f>
        <v/>
      </c>
      <c r="K646" s="71">
        <f>IF(B646="","",IFERROR(AVERAGEIFS($J$4:$J646,$B$4:$B646,B646,$J$4:$J646,"&gt;"&amp;0),""))</f>
        <v/>
      </c>
      <c r="L646" s="4" t="n"/>
    </row>
    <row r="647" ht="14" customHeight="1" s="72">
      <c r="A647" s="75" t="n">
        <v>46077</v>
      </c>
      <c r="B647" s="76" t="n">
        <v>20093</v>
      </c>
      <c r="C647" s="69">
        <f>IF(B647="","",IFERROR(INDEX(Client_List!$B:$B,MATCH(B647,Client_List!$A:$A,0)),"⚠ NOT FOUND"))</f>
        <v/>
      </c>
      <c r="D647" s="43" t="n">
        <v>1004</v>
      </c>
      <c r="E647" s="32">
        <f>IF(B647="","",IFERROR(INDEX(Client_List!$C:$C,MATCH(VALUE(B647),Client_List!$A:$A,0)),""))</f>
        <v/>
      </c>
      <c r="F647" s="53">
        <f>IF(B647="","",IFERROR(INDEX(Client_List!$D:$D,MATCH(VALUE(B647),Client_List!$A:$A,0)),""))</f>
        <v/>
      </c>
      <c r="G647" s="53">
        <f>IF(B647="","",IFERROR(INDEX(Client_List!$K:$K,MATCH(VALUE(B647),Client_List!$A:$A,0)),""))</f>
        <v/>
      </c>
      <c r="H647" s="32">
        <f>IF(B647="","",IFERROR(INDEX(Client_List!$J:$J,MATCH(VALUE(B647),Client_List!$A:$A,0)),""))</f>
        <v/>
      </c>
      <c r="I647" s="70">
        <f>IF(B647="","",IFERROR(A647-LOOKUP(2,1/($B$4:$B646=B647),$A$4:$A646),""))</f>
        <v/>
      </c>
      <c r="J647" s="32">
        <f>IF(B647="","",IFERROR(D647/I647,""))</f>
        <v/>
      </c>
      <c r="K647" s="71">
        <f>IF(B647="","",IFERROR(AVERAGEIFS($J$4:$J647,$B$4:$B647,B647,$J$4:$J647,"&gt;"&amp;0),""))</f>
        <v/>
      </c>
      <c r="L647" s="7" t="n"/>
    </row>
    <row r="648" ht="14" customHeight="1" s="72">
      <c r="A648" s="75" t="n">
        <v>46077</v>
      </c>
      <c r="B648" s="76" t="n">
        <v>20094</v>
      </c>
      <c r="C648" s="69">
        <f>IF(B648="","",IFERROR(INDEX(Client_List!$B:$B,MATCH(B648,Client_List!$A:$A,0)),"⚠ NOT FOUND"))</f>
        <v/>
      </c>
      <c r="D648" s="43" t="n">
        <v>735</v>
      </c>
      <c r="E648" s="32">
        <f>IF(B648="","",IFERROR(INDEX(Client_List!$C:$C,MATCH(VALUE(B648),Client_List!$A:$A,0)),""))</f>
        <v/>
      </c>
      <c r="F648" s="53">
        <f>IF(B648="","",IFERROR(INDEX(Client_List!$D:$D,MATCH(VALUE(B648),Client_List!$A:$A,0)),""))</f>
        <v/>
      </c>
      <c r="G648" s="53">
        <f>IF(B648="","",IFERROR(INDEX(Client_List!$K:$K,MATCH(VALUE(B648),Client_List!$A:$A,0)),""))</f>
        <v/>
      </c>
      <c r="H648" s="32">
        <f>IF(B648="","",IFERROR(INDEX(Client_List!$J:$J,MATCH(VALUE(B648),Client_List!$A:$A,0)),""))</f>
        <v/>
      </c>
      <c r="I648" s="70">
        <f>IF(B648="","",IFERROR(A648-LOOKUP(2,1/($B$4:$B647=B648),$A$4:$A647),""))</f>
        <v/>
      </c>
      <c r="J648" s="32">
        <f>IF(B648="","",IFERROR(D648/I648,""))</f>
        <v/>
      </c>
      <c r="K648" s="71">
        <f>IF(B648="","",IFERROR(AVERAGEIFS($J$4:$J648,$B$4:$B648,B648,$J$4:$J648,"&gt;"&amp;0),""))</f>
        <v/>
      </c>
      <c r="L648" s="4" t="n"/>
    </row>
    <row r="649" ht="14" customHeight="1" s="72">
      <c r="A649" s="75" t="n">
        <v>46077</v>
      </c>
      <c r="B649" s="76" t="n">
        <v>20098</v>
      </c>
      <c r="C649" s="69">
        <f>IF(B649="","",IFERROR(INDEX(Client_List!$B:$B,MATCH(B649,Client_List!$A:$A,0)),"⚠ NOT FOUND"))</f>
        <v/>
      </c>
      <c r="D649" s="43" t="n">
        <v>1041</v>
      </c>
      <c r="E649" s="32">
        <f>IF(B649="","",IFERROR(INDEX(Client_List!$C:$C,MATCH(VALUE(B649),Client_List!$A:$A,0)),""))</f>
        <v/>
      </c>
      <c r="F649" s="53">
        <f>IF(B649="","",IFERROR(INDEX(Client_List!$D:$D,MATCH(VALUE(B649),Client_List!$A:$A,0)),""))</f>
        <v/>
      </c>
      <c r="G649" s="53">
        <f>IF(B649="","",IFERROR(INDEX(Client_List!$K:$K,MATCH(VALUE(B649),Client_List!$A:$A,0)),""))</f>
        <v/>
      </c>
      <c r="H649" s="32">
        <f>IF(B649="","",IFERROR(INDEX(Client_List!$J:$J,MATCH(VALUE(B649),Client_List!$A:$A,0)),""))</f>
        <v/>
      </c>
      <c r="I649" s="70">
        <f>IF(B649="","",IFERROR(A649-LOOKUP(2,1/($B$4:$B648=B649),$A$4:$A648),""))</f>
        <v/>
      </c>
      <c r="J649" s="32">
        <f>IF(B649="","",IFERROR(D649/I649,""))</f>
        <v/>
      </c>
      <c r="K649" s="71">
        <f>IF(B649="","",IFERROR(AVERAGEIFS($J$4:$J649,$B$4:$B649,B649,$J$4:$J649,"&gt;"&amp;0),""))</f>
        <v/>
      </c>
      <c r="L649" s="7" t="n"/>
    </row>
    <row r="650" ht="14" customHeight="1" s="72">
      <c r="A650" s="75" t="n">
        <v>46078</v>
      </c>
      <c r="B650" s="76" t="n">
        <v>1014</v>
      </c>
      <c r="C650" s="69">
        <f>IF(B650="","",IFERROR(INDEX(Client_List!$B:$B,MATCH(B650,Client_List!$A:$A,0)),"⚠ NOT FOUND"))</f>
        <v/>
      </c>
      <c r="D650" s="43" t="n">
        <v>641</v>
      </c>
      <c r="E650" s="32">
        <f>IF(B650="","",IFERROR(INDEX(Client_List!$C:$C,MATCH(VALUE(B650),Client_List!$A:$A,0)),""))</f>
        <v/>
      </c>
      <c r="F650" s="53">
        <f>IF(B650="","",IFERROR(INDEX(Client_List!$D:$D,MATCH(VALUE(B650),Client_List!$A:$A,0)),""))</f>
        <v/>
      </c>
      <c r="G650" s="53">
        <f>IF(B650="","",IFERROR(INDEX(Client_List!$K:$K,MATCH(VALUE(B650),Client_List!$A:$A,0)),""))</f>
        <v/>
      </c>
      <c r="H650" s="32">
        <f>IF(B650="","",IFERROR(INDEX(Client_List!$J:$J,MATCH(VALUE(B650),Client_List!$A:$A,0)),""))</f>
        <v/>
      </c>
      <c r="I650" s="70">
        <f>IF(B650="","",IFERROR(A650-LOOKUP(2,1/($B$4:$B649=B650),$A$4:$A649),""))</f>
        <v/>
      </c>
      <c r="J650" s="32">
        <f>IF(B650="","",IFERROR(D650/I650,""))</f>
        <v/>
      </c>
      <c r="K650" s="71">
        <f>IF(B650="","",IFERROR(AVERAGEIFS($J$4:$J650,$B$4:$B650,B650,$J$4:$J650,"&gt;"&amp;0),""))</f>
        <v/>
      </c>
      <c r="L650" s="4" t="n"/>
    </row>
    <row r="651" ht="14" customHeight="1" s="72">
      <c r="A651" s="75" t="n">
        <v>46078</v>
      </c>
      <c r="B651" s="76" t="n">
        <v>1083</v>
      </c>
      <c r="C651" s="69">
        <f>IF(B651="","",IFERROR(INDEX(Client_List!$B:$B,MATCH(B651,Client_List!$A:$A,0)),"⚠ NOT FOUND"))</f>
        <v/>
      </c>
      <c r="D651" s="43" t="n">
        <v>242</v>
      </c>
      <c r="E651" s="32">
        <f>IF(B651="","",IFERROR(INDEX(Client_List!$C:$C,MATCH(VALUE(B651),Client_List!$A:$A,0)),""))</f>
        <v/>
      </c>
      <c r="F651" s="53">
        <f>IF(B651="","",IFERROR(INDEX(Client_List!$D:$D,MATCH(VALUE(B651),Client_List!$A:$A,0)),""))</f>
        <v/>
      </c>
      <c r="G651" s="53">
        <f>IF(B651="","",IFERROR(INDEX(Client_List!$K:$K,MATCH(VALUE(B651),Client_List!$A:$A,0)),""))</f>
        <v/>
      </c>
      <c r="H651" s="32">
        <f>IF(B651="","",IFERROR(INDEX(Client_List!$J:$J,MATCH(VALUE(B651),Client_List!$A:$A,0)),""))</f>
        <v/>
      </c>
      <c r="I651" s="70">
        <f>IF(B651="","",IFERROR(A651-LOOKUP(2,1/($B$4:$B650=B651),$A$4:$A650),""))</f>
        <v/>
      </c>
      <c r="J651" s="32">
        <f>IF(B651="","",IFERROR(D651/I651,""))</f>
        <v/>
      </c>
      <c r="K651" s="71">
        <f>IF(B651="","",IFERROR(AVERAGEIFS($J$4:$J651,$B$4:$B651,B651,$J$4:$J651,"&gt;"&amp;0),""))</f>
        <v/>
      </c>
      <c r="L651" s="7" t="n"/>
    </row>
    <row r="652" ht="14" customHeight="1" s="72">
      <c r="A652" s="75" t="n">
        <v>46078</v>
      </c>
      <c r="B652" s="76" t="n">
        <v>2045</v>
      </c>
      <c r="C652" s="69">
        <f>IF(B652="","",IFERROR(INDEX(Client_List!$B:$B,MATCH(B652,Client_List!$A:$A,0)),"⚠ NOT FOUND"))</f>
        <v/>
      </c>
      <c r="D652" s="43" t="n">
        <v>288</v>
      </c>
      <c r="E652" s="32">
        <f>IF(B652="","",IFERROR(INDEX(Client_List!$C:$C,MATCH(VALUE(B652),Client_List!$A:$A,0)),""))</f>
        <v/>
      </c>
      <c r="F652" s="53">
        <f>IF(B652="","",IFERROR(INDEX(Client_List!$D:$D,MATCH(VALUE(B652),Client_List!$A:$A,0)),""))</f>
        <v/>
      </c>
      <c r="G652" s="53">
        <f>IF(B652="","",IFERROR(INDEX(Client_List!$K:$K,MATCH(VALUE(B652),Client_List!$A:$A,0)),""))</f>
        <v/>
      </c>
      <c r="H652" s="32">
        <f>IF(B652="","",IFERROR(INDEX(Client_List!$J:$J,MATCH(VALUE(B652),Client_List!$A:$A,0)),""))</f>
        <v/>
      </c>
      <c r="I652" s="70">
        <f>IF(B652="","",IFERROR(A652-LOOKUP(2,1/($B$4:$B651=B652),$A$4:$A651),""))</f>
        <v/>
      </c>
      <c r="J652" s="32">
        <f>IF(B652="","",IFERROR(D652/I652,""))</f>
        <v/>
      </c>
      <c r="K652" s="71">
        <f>IF(B652="","",IFERROR(AVERAGEIFS($J$4:$J652,$B$4:$B652,B652,$J$4:$J652,"&gt;"&amp;0),""))</f>
        <v/>
      </c>
      <c r="L652" s="4" t="n"/>
    </row>
    <row r="653" ht="14" customHeight="1" s="72">
      <c r="A653" s="75" t="n">
        <v>46078</v>
      </c>
      <c r="B653" s="76" t="n">
        <v>4026</v>
      </c>
      <c r="C653" s="69">
        <f>IF(B653="","",IFERROR(INDEX(Client_List!$B:$B,MATCH(B653,Client_List!$A:$A,0)),"⚠ NOT FOUND"))</f>
        <v/>
      </c>
      <c r="D653" s="43" t="n">
        <v>219</v>
      </c>
      <c r="E653" s="32">
        <f>IF(B653="","",IFERROR(INDEX(Client_List!$C:$C,MATCH(VALUE(B653),Client_List!$A:$A,0)),""))</f>
        <v/>
      </c>
      <c r="F653" s="53">
        <f>IF(B653="","",IFERROR(INDEX(Client_List!$D:$D,MATCH(VALUE(B653),Client_List!$A:$A,0)),""))</f>
        <v/>
      </c>
      <c r="G653" s="53">
        <f>IF(B653="","",IFERROR(INDEX(Client_List!$K:$K,MATCH(VALUE(B653),Client_List!$A:$A,0)),""))</f>
        <v/>
      </c>
      <c r="H653" s="32">
        <f>IF(B653="","",IFERROR(INDEX(Client_List!$J:$J,MATCH(VALUE(B653),Client_List!$A:$A,0)),""))</f>
        <v/>
      </c>
      <c r="I653" s="70">
        <f>IF(B653="","",IFERROR(A653-LOOKUP(2,1/($B$4:$B652=B653),$A$4:$A652),""))</f>
        <v/>
      </c>
      <c r="J653" s="32">
        <f>IF(B653="","",IFERROR(D653/I653,""))</f>
        <v/>
      </c>
      <c r="K653" s="71">
        <f>IF(B653="","",IFERROR(AVERAGEIFS($J$4:$J653,$B$4:$B653,B653,$J$4:$J653,"&gt;"&amp;0),""))</f>
        <v/>
      </c>
      <c r="L653" s="7" t="n"/>
    </row>
    <row r="654" ht="14" customHeight="1" s="72">
      <c r="A654" s="75" t="n">
        <v>46078</v>
      </c>
      <c r="B654" s="76" t="n">
        <v>7002</v>
      </c>
      <c r="C654" s="69">
        <f>IF(B654="","",IFERROR(INDEX(Client_List!$B:$B,MATCH(B654,Client_List!$A:$A,0)),"⚠ NOT FOUND"))</f>
        <v/>
      </c>
      <c r="D654" s="43" t="n">
        <v>361</v>
      </c>
      <c r="E654" s="32">
        <f>IF(B654="","",IFERROR(INDEX(Client_List!$C:$C,MATCH(VALUE(B654),Client_List!$A:$A,0)),""))</f>
        <v/>
      </c>
      <c r="F654" s="53">
        <f>IF(B654="","",IFERROR(INDEX(Client_List!$D:$D,MATCH(VALUE(B654),Client_List!$A:$A,0)),""))</f>
        <v/>
      </c>
      <c r="G654" s="53">
        <f>IF(B654="","",IFERROR(INDEX(Client_List!$K:$K,MATCH(VALUE(B654),Client_List!$A:$A,0)),""))</f>
        <v/>
      </c>
      <c r="H654" s="32">
        <f>IF(B654="","",IFERROR(INDEX(Client_List!$J:$J,MATCH(VALUE(B654),Client_List!$A:$A,0)),""))</f>
        <v/>
      </c>
      <c r="I654" s="70">
        <f>IF(B654="","",IFERROR(A654-LOOKUP(2,1/($B$4:$B653=B654),$A$4:$A653),""))</f>
        <v/>
      </c>
      <c r="J654" s="32">
        <f>IF(B654="","",IFERROR(D654/I654,""))</f>
        <v/>
      </c>
      <c r="K654" s="71">
        <f>IF(B654="","",IFERROR(AVERAGEIFS($J$4:$J654,$B$4:$B654,B654,$J$4:$J654,"&gt;"&amp;0),""))</f>
        <v/>
      </c>
      <c r="L654" s="4" t="n"/>
    </row>
    <row r="655" ht="14" customHeight="1" s="72">
      <c r="A655" s="75" t="n">
        <v>46078</v>
      </c>
      <c r="B655" s="76" t="n">
        <v>8031</v>
      </c>
      <c r="C655" s="69">
        <f>IF(B655="","",IFERROR(INDEX(Client_List!$B:$B,MATCH(B655,Client_List!$A:$A,0)),"⚠ NOT FOUND"))</f>
        <v/>
      </c>
      <c r="D655" s="43" t="n">
        <v>1055</v>
      </c>
      <c r="E655" s="32">
        <f>IF(B655="","",IFERROR(INDEX(Client_List!$C:$C,MATCH(VALUE(B655),Client_List!$A:$A,0)),""))</f>
        <v/>
      </c>
      <c r="F655" s="53">
        <f>IF(B655="","",IFERROR(INDEX(Client_List!$D:$D,MATCH(VALUE(B655),Client_List!$A:$A,0)),""))</f>
        <v/>
      </c>
      <c r="G655" s="53">
        <f>IF(B655="","",IFERROR(INDEX(Client_List!$K:$K,MATCH(VALUE(B655),Client_List!$A:$A,0)),""))</f>
        <v/>
      </c>
      <c r="H655" s="32">
        <f>IF(B655="","",IFERROR(INDEX(Client_List!$J:$J,MATCH(VALUE(B655),Client_List!$A:$A,0)),""))</f>
        <v/>
      </c>
      <c r="I655" s="70">
        <f>IF(B655="","",IFERROR(A655-LOOKUP(2,1/($B$4:$B654=B655),$A$4:$A654),""))</f>
        <v/>
      </c>
      <c r="J655" s="32">
        <f>IF(B655="","",IFERROR(D655/I655,""))</f>
        <v/>
      </c>
      <c r="K655" s="71">
        <f>IF(B655="","",IFERROR(AVERAGEIFS($J$4:$J655,$B$4:$B655,B655,$J$4:$J655,"&gt;"&amp;0),""))</f>
        <v/>
      </c>
      <c r="L655" s="7" t="n"/>
    </row>
    <row r="656" ht="14" customHeight="1" s="72">
      <c r="A656" s="75" t="n">
        <v>46078</v>
      </c>
      <c r="B656" s="76" t="n">
        <v>8034</v>
      </c>
      <c r="C656" s="69">
        <f>IF(B656="","",IFERROR(INDEX(Client_List!$B:$B,MATCH(B656,Client_List!$A:$A,0)),"⚠ NOT FOUND"))</f>
        <v/>
      </c>
      <c r="D656" s="43" t="n">
        <v>694</v>
      </c>
      <c r="E656" s="32">
        <f>IF(B656="","",IFERROR(INDEX(Client_List!$C:$C,MATCH(VALUE(B656),Client_List!$A:$A,0)),""))</f>
        <v/>
      </c>
      <c r="F656" s="53">
        <f>IF(B656="","",IFERROR(INDEX(Client_List!$D:$D,MATCH(VALUE(B656),Client_List!$A:$A,0)),""))</f>
        <v/>
      </c>
      <c r="G656" s="53">
        <f>IF(B656="","",IFERROR(INDEX(Client_List!$K:$K,MATCH(VALUE(B656),Client_List!$A:$A,0)),""))</f>
        <v/>
      </c>
      <c r="H656" s="32">
        <f>IF(B656="","",IFERROR(INDEX(Client_List!$J:$J,MATCH(VALUE(B656),Client_List!$A:$A,0)),""))</f>
        <v/>
      </c>
      <c r="I656" s="70">
        <f>IF(B656="","",IFERROR(A656-LOOKUP(2,1/($B$4:$B655=B656),$A$4:$A655),""))</f>
        <v/>
      </c>
      <c r="J656" s="32">
        <f>IF(B656="","",IFERROR(D656/I656,""))</f>
        <v/>
      </c>
      <c r="K656" s="71">
        <f>IF(B656="","",IFERROR(AVERAGEIFS($J$4:$J656,$B$4:$B656,B656,$J$4:$J656,"&gt;"&amp;0),""))</f>
        <v/>
      </c>
      <c r="L656" s="4" t="n"/>
    </row>
    <row r="657" ht="14" customHeight="1" s="72">
      <c r="A657" s="75" t="n">
        <v>46078</v>
      </c>
      <c r="B657" s="76" t="n">
        <v>11014</v>
      </c>
      <c r="C657" s="69">
        <f>IF(B657="","",IFERROR(INDEX(Client_List!$B:$B,MATCH(B657,Client_List!$A:$A,0)),"⚠ NOT FOUND"))</f>
        <v/>
      </c>
      <c r="D657" s="43" t="n">
        <v>249</v>
      </c>
      <c r="E657" s="32">
        <f>IF(B657="","",IFERROR(INDEX(Client_List!$C:$C,MATCH(VALUE(B657),Client_List!$A:$A,0)),""))</f>
        <v/>
      </c>
      <c r="F657" s="53">
        <f>IF(B657="","",IFERROR(INDEX(Client_List!$D:$D,MATCH(VALUE(B657),Client_List!$A:$A,0)),""))</f>
        <v/>
      </c>
      <c r="G657" s="53">
        <f>IF(B657="","",IFERROR(INDEX(Client_List!$K:$K,MATCH(VALUE(B657),Client_List!$A:$A,0)),""))</f>
        <v/>
      </c>
      <c r="H657" s="32">
        <f>IF(B657="","",IFERROR(INDEX(Client_List!$J:$J,MATCH(VALUE(B657),Client_List!$A:$A,0)),""))</f>
        <v/>
      </c>
      <c r="I657" s="70">
        <f>IF(B657="","",IFERROR(A657-LOOKUP(2,1/($B$4:$B656=B657),$A$4:$A656),""))</f>
        <v/>
      </c>
      <c r="J657" s="32">
        <f>IF(B657="","",IFERROR(D657/I657,""))</f>
        <v/>
      </c>
      <c r="K657" s="71">
        <f>IF(B657="","",IFERROR(AVERAGEIFS($J$4:$J657,$B$4:$B657,B657,$J$4:$J657,"&gt;"&amp;0),""))</f>
        <v/>
      </c>
      <c r="L657" s="7" t="n"/>
    </row>
    <row r="658" ht="14" customHeight="1" s="72">
      <c r="A658" s="75" t="n">
        <v>46078</v>
      </c>
      <c r="B658" s="76" t="n">
        <v>13012</v>
      </c>
      <c r="C658" s="69">
        <f>IF(B658="","",IFERROR(INDEX(Client_List!$B:$B,MATCH(B658,Client_List!$A:$A,0)),"⚠ NOT FOUND"))</f>
        <v/>
      </c>
      <c r="D658" s="43" t="n">
        <v>664</v>
      </c>
      <c r="E658" s="32">
        <f>IF(B658="","",IFERROR(INDEX(Client_List!$C:$C,MATCH(VALUE(B658),Client_List!$A:$A,0)),""))</f>
        <v/>
      </c>
      <c r="F658" s="53">
        <f>IF(B658="","",IFERROR(INDEX(Client_List!$D:$D,MATCH(VALUE(B658),Client_List!$A:$A,0)),""))</f>
        <v/>
      </c>
      <c r="G658" s="53">
        <f>IF(B658="","",IFERROR(INDEX(Client_List!$K:$K,MATCH(VALUE(B658),Client_List!$A:$A,0)),""))</f>
        <v/>
      </c>
      <c r="H658" s="32">
        <f>IF(B658="","",IFERROR(INDEX(Client_List!$J:$J,MATCH(VALUE(B658),Client_List!$A:$A,0)),""))</f>
        <v/>
      </c>
      <c r="I658" s="70">
        <f>IF(B658="","",IFERROR(A658-LOOKUP(2,1/($B$4:$B657=B658),$A$4:$A657),""))</f>
        <v/>
      </c>
      <c r="J658" s="32">
        <f>IF(B658="","",IFERROR(D658/I658,""))</f>
        <v/>
      </c>
      <c r="K658" s="71">
        <f>IF(B658="","",IFERROR(AVERAGEIFS($J$4:$J658,$B$4:$B658,B658,$J$4:$J658,"&gt;"&amp;0),""))</f>
        <v/>
      </c>
      <c r="L658" s="4" t="n"/>
    </row>
    <row r="659" ht="14" customHeight="1" s="72">
      <c r="A659" s="75" t="n">
        <v>46078</v>
      </c>
      <c r="B659" s="76" t="n">
        <v>15002</v>
      </c>
      <c r="C659" s="69">
        <f>IF(B659="","",IFERROR(INDEX(Client_List!$B:$B,MATCH(B659,Client_List!$A:$A,0)),"⚠ NOT FOUND"))</f>
        <v/>
      </c>
      <c r="D659" s="43" t="n">
        <v>451</v>
      </c>
      <c r="E659" s="32">
        <f>IF(B659="","",IFERROR(INDEX(Client_List!$C:$C,MATCH(VALUE(B659),Client_List!$A:$A,0)),""))</f>
        <v/>
      </c>
      <c r="F659" s="53">
        <f>IF(B659="","",IFERROR(INDEX(Client_List!$D:$D,MATCH(VALUE(B659),Client_List!$A:$A,0)),""))</f>
        <v/>
      </c>
      <c r="G659" s="53">
        <f>IF(B659="","",IFERROR(INDEX(Client_List!$K:$K,MATCH(VALUE(B659),Client_List!$A:$A,0)),""))</f>
        <v/>
      </c>
      <c r="H659" s="32">
        <f>IF(B659="","",IFERROR(INDEX(Client_List!$J:$J,MATCH(VALUE(B659),Client_List!$A:$A,0)),""))</f>
        <v/>
      </c>
      <c r="I659" s="70">
        <f>IF(B659="","",IFERROR(A659-LOOKUP(2,1/($B$4:$B658=B659),$A$4:$A658),""))</f>
        <v/>
      </c>
      <c r="J659" s="32">
        <f>IF(B659="","",IFERROR(D659/I659,""))</f>
        <v/>
      </c>
      <c r="K659" s="71">
        <f>IF(B659="","",IFERROR(AVERAGEIFS($J$4:$J659,$B$4:$B659,B659,$J$4:$J659,"&gt;"&amp;0),""))</f>
        <v/>
      </c>
      <c r="L659" s="7" t="n"/>
    </row>
    <row r="660" ht="14" customHeight="1" s="72">
      <c r="A660" s="75" t="n">
        <v>46078</v>
      </c>
      <c r="B660" s="76" t="n">
        <v>15009</v>
      </c>
      <c r="C660" s="69">
        <f>IF(B660="","",IFERROR(INDEX(Client_List!$B:$B,MATCH(B660,Client_List!$A:$A,0)),"⚠ NOT FOUND"))</f>
        <v/>
      </c>
      <c r="D660" s="43" t="n">
        <v>386</v>
      </c>
      <c r="E660" s="32">
        <f>IF(B660="","",IFERROR(INDEX(Client_List!$C:$C,MATCH(VALUE(B660),Client_List!$A:$A,0)),""))</f>
        <v/>
      </c>
      <c r="F660" s="53">
        <f>IF(B660="","",IFERROR(INDEX(Client_List!$D:$D,MATCH(VALUE(B660),Client_List!$A:$A,0)),""))</f>
        <v/>
      </c>
      <c r="G660" s="53">
        <f>IF(B660="","",IFERROR(INDEX(Client_List!$K:$K,MATCH(VALUE(B660),Client_List!$A:$A,0)),""))</f>
        <v/>
      </c>
      <c r="H660" s="32">
        <f>IF(B660="","",IFERROR(INDEX(Client_List!$J:$J,MATCH(VALUE(B660),Client_List!$A:$A,0)),""))</f>
        <v/>
      </c>
      <c r="I660" s="70">
        <f>IF(B660="","",IFERROR(A660-LOOKUP(2,1/($B$4:$B659=B660),$A$4:$A659),""))</f>
        <v/>
      </c>
      <c r="J660" s="32">
        <f>IF(B660="","",IFERROR(D660/I660,""))</f>
        <v/>
      </c>
      <c r="K660" s="71">
        <f>IF(B660="","",IFERROR(AVERAGEIFS($J$4:$J660,$B$4:$B660,B660,$J$4:$J660,"&gt;"&amp;0),""))</f>
        <v/>
      </c>
      <c r="L660" s="4" t="n"/>
    </row>
    <row r="661" ht="14" customHeight="1" s="72">
      <c r="A661" s="75" t="n">
        <v>46078</v>
      </c>
      <c r="B661" s="76" t="n">
        <v>15015</v>
      </c>
      <c r="C661" s="69">
        <f>IF(B661="","",IFERROR(INDEX(Client_List!$B:$B,MATCH(B661,Client_List!$A:$A,0)),"⚠ NOT FOUND"))</f>
        <v/>
      </c>
      <c r="D661" s="43" t="n">
        <v>310</v>
      </c>
      <c r="E661" s="32">
        <f>IF(B661="","",IFERROR(INDEX(Client_List!$C:$C,MATCH(VALUE(B661),Client_List!$A:$A,0)),""))</f>
        <v/>
      </c>
      <c r="F661" s="53">
        <f>IF(B661="","",IFERROR(INDEX(Client_List!$D:$D,MATCH(VALUE(B661),Client_List!$A:$A,0)),""))</f>
        <v/>
      </c>
      <c r="G661" s="53">
        <f>IF(B661="","",IFERROR(INDEX(Client_List!$K:$K,MATCH(VALUE(B661),Client_List!$A:$A,0)),""))</f>
        <v/>
      </c>
      <c r="H661" s="32">
        <f>IF(B661="","",IFERROR(INDEX(Client_List!$J:$J,MATCH(VALUE(B661),Client_List!$A:$A,0)),""))</f>
        <v/>
      </c>
      <c r="I661" s="70">
        <f>IF(B661="","",IFERROR(A661-LOOKUP(2,1/($B$4:$B660=B661),$A$4:$A660),""))</f>
        <v/>
      </c>
      <c r="J661" s="32">
        <f>IF(B661="","",IFERROR(D661/I661,""))</f>
        <v/>
      </c>
      <c r="K661" s="71">
        <f>IF(B661="","",IFERROR(AVERAGEIFS($J$4:$J661,$B$4:$B661,B661,$J$4:$J661,"&gt;"&amp;0),""))</f>
        <v/>
      </c>
      <c r="L661" s="7" t="n"/>
    </row>
    <row r="662" ht="14" customHeight="1" s="72">
      <c r="A662" s="75" t="n">
        <v>46078</v>
      </c>
      <c r="B662" s="76" t="n">
        <v>15023</v>
      </c>
      <c r="C662" s="69">
        <f>IF(B662="","",IFERROR(INDEX(Client_List!$B:$B,MATCH(B662,Client_List!$A:$A,0)),"⚠ NOT FOUND"))</f>
        <v/>
      </c>
      <c r="D662" s="43" t="n">
        <v>574</v>
      </c>
      <c r="E662" s="32">
        <f>IF(B662="","",IFERROR(INDEX(Client_List!$C:$C,MATCH(VALUE(B662),Client_List!$A:$A,0)),""))</f>
        <v/>
      </c>
      <c r="F662" s="53">
        <f>IF(B662="","",IFERROR(INDEX(Client_List!$D:$D,MATCH(VALUE(B662),Client_List!$A:$A,0)),""))</f>
        <v/>
      </c>
      <c r="G662" s="53">
        <f>IF(B662="","",IFERROR(INDEX(Client_List!$K:$K,MATCH(VALUE(B662),Client_List!$A:$A,0)),""))</f>
        <v/>
      </c>
      <c r="H662" s="32">
        <f>IF(B662="","",IFERROR(INDEX(Client_List!$J:$J,MATCH(VALUE(B662),Client_List!$A:$A,0)),""))</f>
        <v/>
      </c>
      <c r="I662" s="70">
        <f>IF(B662="","",IFERROR(A662-LOOKUP(2,1/($B$4:$B661=B662),$A$4:$A661),""))</f>
        <v/>
      </c>
      <c r="J662" s="32">
        <f>IF(B662="","",IFERROR(D662/I662,""))</f>
        <v/>
      </c>
      <c r="K662" s="71">
        <f>IF(B662="","",IFERROR(AVERAGEIFS($J$4:$J662,$B$4:$B662,B662,$J$4:$J662,"&gt;"&amp;0),""))</f>
        <v/>
      </c>
      <c r="L662" s="4" t="n"/>
    </row>
    <row r="663" ht="14" customHeight="1" s="72">
      <c r="A663" s="75" t="n">
        <v>46078</v>
      </c>
      <c r="B663" s="76" t="n">
        <v>15035</v>
      </c>
      <c r="C663" s="69">
        <f>IF(B663="","",IFERROR(INDEX(Client_List!$B:$B,MATCH(B663,Client_List!$A:$A,0)),"⚠ NOT FOUND"))</f>
        <v/>
      </c>
      <c r="D663" s="43" t="n">
        <v>1165</v>
      </c>
      <c r="E663" s="32">
        <f>IF(B663="","",IFERROR(INDEX(Client_List!$C:$C,MATCH(VALUE(B663),Client_List!$A:$A,0)),""))</f>
        <v/>
      </c>
      <c r="F663" s="53">
        <f>IF(B663="","",IFERROR(INDEX(Client_List!$D:$D,MATCH(VALUE(B663),Client_List!$A:$A,0)),""))</f>
        <v/>
      </c>
      <c r="G663" s="53">
        <f>IF(B663="","",IFERROR(INDEX(Client_List!$K:$K,MATCH(VALUE(B663),Client_List!$A:$A,0)),""))</f>
        <v/>
      </c>
      <c r="H663" s="32">
        <f>IF(B663="","",IFERROR(INDEX(Client_List!$J:$J,MATCH(VALUE(B663),Client_List!$A:$A,0)),""))</f>
        <v/>
      </c>
      <c r="I663" s="70">
        <f>IF(B663="","",IFERROR(A663-LOOKUP(2,1/($B$4:$B662=B663),$A$4:$A662),""))</f>
        <v/>
      </c>
      <c r="J663" s="32">
        <f>IF(B663="","",IFERROR(D663/I663,""))</f>
        <v/>
      </c>
      <c r="K663" s="71">
        <f>IF(B663="","",IFERROR(AVERAGEIFS($J$4:$J663,$B$4:$B663,B663,$J$4:$J663,"&gt;"&amp;0),""))</f>
        <v/>
      </c>
      <c r="L663" s="7" t="n"/>
    </row>
    <row r="664" ht="14" customHeight="1" s="72">
      <c r="A664" s="75" t="n">
        <v>46078</v>
      </c>
      <c r="B664" s="76" t="n">
        <v>15051</v>
      </c>
      <c r="C664" s="69">
        <f>IF(B664="","",IFERROR(INDEX(Client_List!$B:$B,MATCH(B664,Client_List!$A:$A,0)),"⚠ NOT FOUND"))</f>
        <v/>
      </c>
      <c r="D664" s="43" t="n">
        <v>213</v>
      </c>
      <c r="E664" s="32">
        <f>IF(B664="","",IFERROR(INDEX(Client_List!$C:$C,MATCH(VALUE(B664),Client_List!$A:$A,0)),""))</f>
        <v/>
      </c>
      <c r="F664" s="53">
        <f>IF(B664="","",IFERROR(INDEX(Client_List!$D:$D,MATCH(VALUE(B664),Client_List!$A:$A,0)),""))</f>
        <v/>
      </c>
      <c r="G664" s="53">
        <f>IF(B664="","",IFERROR(INDEX(Client_List!$K:$K,MATCH(VALUE(B664),Client_List!$A:$A,0)),""))</f>
        <v/>
      </c>
      <c r="H664" s="32">
        <f>IF(B664="","",IFERROR(INDEX(Client_List!$J:$J,MATCH(VALUE(B664),Client_List!$A:$A,0)),""))</f>
        <v/>
      </c>
      <c r="I664" s="70">
        <f>IF(B664="","",IFERROR(A664-LOOKUP(2,1/($B$4:$B663=B664),$A$4:$A663),""))</f>
        <v/>
      </c>
      <c r="J664" s="32">
        <f>IF(B664="","",IFERROR(D664/I664,""))</f>
        <v/>
      </c>
      <c r="K664" s="71">
        <f>IF(B664="","",IFERROR(AVERAGEIFS($J$4:$J664,$B$4:$B664,B664,$J$4:$J664,"&gt;"&amp;0),""))</f>
        <v/>
      </c>
      <c r="L664" s="4" t="n"/>
    </row>
    <row r="665" ht="14" customHeight="1" s="72">
      <c r="A665" s="75" t="n">
        <v>46078</v>
      </c>
      <c r="B665" s="76" t="n">
        <v>16004</v>
      </c>
      <c r="C665" s="69">
        <f>IF(B665="","",IFERROR(INDEX(Client_List!$B:$B,MATCH(B665,Client_List!$A:$A,0)),"⚠ NOT FOUND"))</f>
        <v/>
      </c>
      <c r="D665" s="43" t="n">
        <v>827</v>
      </c>
      <c r="E665" s="32">
        <f>IF(B665="","",IFERROR(INDEX(Client_List!$C:$C,MATCH(VALUE(B665),Client_List!$A:$A,0)),""))</f>
        <v/>
      </c>
      <c r="F665" s="53">
        <f>IF(B665="","",IFERROR(INDEX(Client_List!$D:$D,MATCH(VALUE(B665),Client_List!$A:$A,0)),""))</f>
        <v/>
      </c>
      <c r="G665" s="53">
        <f>IF(B665="","",IFERROR(INDEX(Client_List!$K:$K,MATCH(VALUE(B665),Client_List!$A:$A,0)),""))</f>
        <v/>
      </c>
      <c r="H665" s="32">
        <f>IF(B665="","",IFERROR(INDEX(Client_List!$J:$J,MATCH(VALUE(B665),Client_List!$A:$A,0)),""))</f>
        <v/>
      </c>
      <c r="I665" s="70">
        <f>IF(B665="","",IFERROR(A665-LOOKUP(2,1/($B$4:$B664=B665),$A$4:$A664),""))</f>
        <v/>
      </c>
      <c r="J665" s="32">
        <f>IF(B665="","",IFERROR(D665/I665,""))</f>
        <v/>
      </c>
      <c r="K665" s="71">
        <f>IF(B665="","",IFERROR(AVERAGEIFS($J$4:$J665,$B$4:$B665,B665,$J$4:$J665,"&gt;"&amp;0),""))</f>
        <v/>
      </c>
      <c r="L665" s="7" t="n"/>
    </row>
    <row r="666" ht="14" customHeight="1" s="72">
      <c r="A666" s="75" t="n">
        <v>46078</v>
      </c>
      <c r="B666" s="76" t="n">
        <v>16010</v>
      </c>
      <c r="C666" s="69">
        <f>IF(B666="","",IFERROR(INDEX(Client_List!$B:$B,MATCH(B666,Client_List!$A:$A,0)),"⚠ NOT FOUND"))</f>
        <v/>
      </c>
      <c r="D666" s="43" t="n">
        <v>1464</v>
      </c>
      <c r="E666" s="32">
        <f>IF(B666="","",IFERROR(INDEX(Client_List!$C:$C,MATCH(VALUE(B666),Client_List!$A:$A,0)),""))</f>
        <v/>
      </c>
      <c r="F666" s="53">
        <f>IF(B666="","",IFERROR(INDEX(Client_List!$D:$D,MATCH(VALUE(B666),Client_List!$A:$A,0)),""))</f>
        <v/>
      </c>
      <c r="G666" s="53">
        <f>IF(B666="","",IFERROR(INDEX(Client_List!$K:$K,MATCH(VALUE(B666),Client_List!$A:$A,0)),""))</f>
        <v/>
      </c>
      <c r="H666" s="32">
        <f>IF(B666="","",IFERROR(INDEX(Client_List!$J:$J,MATCH(VALUE(B666),Client_List!$A:$A,0)),""))</f>
        <v/>
      </c>
      <c r="I666" s="70">
        <f>IF(B666="","",IFERROR(A666-LOOKUP(2,1/($B$4:$B665=B666),$A$4:$A665),""))</f>
        <v/>
      </c>
      <c r="J666" s="32">
        <f>IF(B666="","",IFERROR(D666/I666,""))</f>
        <v/>
      </c>
      <c r="K666" s="71">
        <f>IF(B666="","",IFERROR(AVERAGEIFS($J$4:$J666,$B$4:$B666,B666,$J$4:$J666,"&gt;"&amp;0),""))</f>
        <v/>
      </c>
      <c r="L666" s="4" t="n"/>
    </row>
    <row r="667" ht="14" customHeight="1" s="72">
      <c r="A667" s="75" t="n">
        <v>46078</v>
      </c>
      <c r="B667" s="76" t="n">
        <v>16051</v>
      </c>
      <c r="C667" s="69">
        <f>IF(B667="","",IFERROR(INDEX(Client_List!$B:$B,MATCH(B667,Client_List!$A:$A,0)),"⚠ NOT FOUND"))</f>
        <v/>
      </c>
      <c r="D667" s="43" t="n">
        <v>1909</v>
      </c>
      <c r="E667" s="32">
        <f>IF(B667="","",IFERROR(INDEX(Client_List!$C:$C,MATCH(VALUE(B667),Client_List!$A:$A,0)),""))</f>
        <v/>
      </c>
      <c r="F667" s="53">
        <f>IF(B667="","",IFERROR(INDEX(Client_List!$D:$D,MATCH(VALUE(B667),Client_List!$A:$A,0)),""))</f>
        <v/>
      </c>
      <c r="G667" s="53">
        <f>IF(B667="","",IFERROR(INDEX(Client_List!$K:$K,MATCH(VALUE(B667),Client_List!$A:$A,0)),""))</f>
        <v/>
      </c>
      <c r="H667" s="32">
        <f>IF(B667="","",IFERROR(INDEX(Client_List!$J:$J,MATCH(VALUE(B667),Client_List!$A:$A,0)),""))</f>
        <v/>
      </c>
      <c r="I667" s="70">
        <f>IF(B667="","",IFERROR(A667-LOOKUP(2,1/($B$4:$B666=B667),$A$4:$A666),""))</f>
        <v/>
      </c>
      <c r="J667" s="32">
        <f>IF(B667="","",IFERROR(D667/I667,""))</f>
        <v/>
      </c>
      <c r="K667" s="71">
        <f>IF(B667="","",IFERROR(AVERAGEIFS($J$4:$J667,$B$4:$B667,B667,$J$4:$J667,"&gt;"&amp;0),""))</f>
        <v/>
      </c>
      <c r="L667" s="7" t="n"/>
    </row>
    <row r="668" ht="14" customHeight="1" s="72">
      <c r="A668" s="75" t="n">
        <v>46078</v>
      </c>
      <c r="B668" s="76" t="n">
        <v>19022</v>
      </c>
      <c r="C668" s="69">
        <f>IF(B668="","",IFERROR(INDEX(Client_List!$B:$B,MATCH(B668,Client_List!$A:$A,0)),"⚠ NOT FOUND"))</f>
        <v/>
      </c>
      <c r="D668" s="43" t="n">
        <v>830</v>
      </c>
      <c r="E668" s="32">
        <f>IF(B668="","",IFERROR(INDEX(Client_List!$C:$C,MATCH(VALUE(B668),Client_List!$A:$A,0)),""))</f>
        <v/>
      </c>
      <c r="F668" s="53">
        <f>IF(B668="","",IFERROR(INDEX(Client_List!$D:$D,MATCH(VALUE(B668),Client_List!$A:$A,0)),""))</f>
        <v/>
      </c>
      <c r="G668" s="53">
        <f>IF(B668="","",IFERROR(INDEX(Client_List!$K:$K,MATCH(VALUE(B668),Client_List!$A:$A,0)),""))</f>
        <v/>
      </c>
      <c r="H668" s="32">
        <f>IF(B668="","",IFERROR(INDEX(Client_List!$J:$J,MATCH(VALUE(B668),Client_List!$A:$A,0)),""))</f>
        <v/>
      </c>
      <c r="I668" s="70">
        <f>IF(B668="","",IFERROR(A668-LOOKUP(2,1/($B$4:$B667=B668),$A$4:$A667),""))</f>
        <v/>
      </c>
      <c r="J668" s="32">
        <f>IF(B668="","",IFERROR(D668/I668,""))</f>
        <v/>
      </c>
      <c r="K668" s="71">
        <f>IF(B668="","",IFERROR(AVERAGEIFS($J$4:$J668,$B$4:$B668,B668,$J$4:$J668,"&gt;"&amp;0),""))</f>
        <v/>
      </c>
      <c r="L668" s="4" t="n"/>
    </row>
    <row r="669" ht="14" customHeight="1" s="72">
      <c r="A669" s="75" t="n">
        <v>46078</v>
      </c>
      <c r="B669" s="76" t="n">
        <v>19035</v>
      </c>
      <c r="C669" s="69">
        <f>IF(B669="","",IFERROR(INDEX(Client_List!$B:$B,MATCH(B669,Client_List!$A:$A,0)),"⚠ NOT FOUND"))</f>
        <v/>
      </c>
      <c r="D669" s="43" t="n">
        <v>262</v>
      </c>
      <c r="E669" s="32">
        <f>IF(B669="","",IFERROR(INDEX(Client_List!$C:$C,MATCH(VALUE(B669),Client_List!$A:$A,0)),""))</f>
        <v/>
      </c>
      <c r="F669" s="53">
        <f>IF(B669="","",IFERROR(INDEX(Client_List!$D:$D,MATCH(VALUE(B669),Client_List!$A:$A,0)),""))</f>
        <v/>
      </c>
      <c r="G669" s="53">
        <f>IF(B669="","",IFERROR(INDEX(Client_List!$K:$K,MATCH(VALUE(B669),Client_List!$A:$A,0)),""))</f>
        <v/>
      </c>
      <c r="H669" s="32">
        <f>IF(B669="","",IFERROR(INDEX(Client_List!$J:$J,MATCH(VALUE(B669),Client_List!$A:$A,0)),""))</f>
        <v/>
      </c>
      <c r="I669" s="70">
        <f>IF(B669="","",IFERROR(A669-LOOKUP(2,1/($B$4:$B668=B669),$A$4:$A668),""))</f>
        <v/>
      </c>
      <c r="J669" s="32">
        <f>IF(B669="","",IFERROR(D669/I669,""))</f>
        <v/>
      </c>
      <c r="K669" s="71">
        <f>IF(B669="","",IFERROR(AVERAGEIFS($J$4:$J669,$B$4:$B669,B669,$J$4:$J669,"&gt;"&amp;0),""))</f>
        <v/>
      </c>
      <c r="L669" s="7" t="n"/>
    </row>
    <row r="670" ht="14" customHeight="1" s="72">
      <c r="A670" s="75" t="n">
        <v>46078</v>
      </c>
      <c r="B670" s="76" t="n">
        <v>19039</v>
      </c>
      <c r="C670" s="69">
        <f>IF(B670="","",IFERROR(INDEX(Client_List!$B:$B,MATCH(B670,Client_List!$A:$A,0)),"⚠ NOT FOUND"))</f>
        <v/>
      </c>
      <c r="D670" s="43" t="n">
        <v>512</v>
      </c>
      <c r="E670" s="32">
        <f>IF(B670="","",IFERROR(INDEX(Client_List!$C:$C,MATCH(VALUE(B670),Client_List!$A:$A,0)),""))</f>
        <v/>
      </c>
      <c r="F670" s="53">
        <f>IF(B670="","",IFERROR(INDEX(Client_List!$D:$D,MATCH(VALUE(B670),Client_List!$A:$A,0)),""))</f>
        <v/>
      </c>
      <c r="G670" s="53">
        <f>IF(B670="","",IFERROR(INDEX(Client_List!$K:$K,MATCH(VALUE(B670),Client_List!$A:$A,0)),""))</f>
        <v/>
      </c>
      <c r="H670" s="32">
        <f>IF(B670="","",IFERROR(INDEX(Client_List!$J:$J,MATCH(VALUE(B670),Client_List!$A:$A,0)),""))</f>
        <v/>
      </c>
      <c r="I670" s="70">
        <f>IF(B670="","",IFERROR(A670-LOOKUP(2,1/($B$4:$B669=B670),$A$4:$A669),""))</f>
        <v/>
      </c>
      <c r="J670" s="32">
        <f>IF(B670="","",IFERROR(D670/I670,""))</f>
        <v/>
      </c>
      <c r="K670" s="71">
        <f>IF(B670="","",IFERROR(AVERAGEIFS($J$4:$J670,$B$4:$B670,B670,$J$4:$J670,"&gt;"&amp;0),""))</f>
        <v/>
      </c>
      <c r="L670" s="4" t="n"/>
    </row>
    <row r="671" ht="14" customHeight="1" s="72">
      <c r="A671" s="75" t="n">
        <v>46078</v>
      </c>
      <c r="B671" s="76" t="n">
        <v>20077</v>
      </c>
      <c r="C671" s="69">
        <f>IF(B671="","",IFERROR(INDEX(Client_List!$B:$B,MATCH(B671,Client_List!$A:$A,0)),"⚠ NOT FOUND"))</f>
        <v/>
      </c>
      <c r="D671" s="43" t="n">
        <v>294</v>
      </c>
      <c r="E671" s="32">
        <f>IF(B671="","",IFERROR(INDEX(Client_List!$C:$C,MATCH(VALUE(B671),Client_List!$A:$A,0)),""))</f>
        <v/>
      </c>
      <c r="F671" s="53">
        <f>IF(B671="","",IFERROR(INDEX(Client_List!$D:$D,MATCH(VALUE(B671),Client_List!$A:$A,0)),""))</f>
        <v/>
      </c>
      <c r="G671" s="53">
        <f>IF(B671="","",IFERROR(INDEX(Client_List!$K:$K,MATCH(VALUE(B671),Client_List!$A:$A,0)),""))</f>
        <v/>
      </c>
      <c r="H671" s="32">
        <f>IF(B671="","",IFERROR(INDEX(Client_List!$J:$J,MATCH(VALUE(B671),Client_List!$A:$A,0)),""))</f>
        <v/>
      </c>
      <c r="I671" s="70">
        <f>IF(B671="","",IFERROR(A671-LOOKUP(2,1/($B$4:$B670=B671),$A$4:$A670),""))</f>
        <v/>
      </c>
      <c r="J671" s="32">
        <f>IF(B671="","",IFERROR(D671/I671,""))</f>
        <v/>
      </c>
      <c r="K671" s="71">
        <f>IF(B671="","",IFERROR(AVERAGEIFS($J$4:$J671,$B$4:$B671,B671,$J$4:$J671,"&gt;"&amp;0),""))</f>
        <v/>
      </c>
      <c r="L671" s="7" t="n"/>
    </row>
    <row r="672" ht="14" customHeight="1" s="72">
      <c r="A672" s="75" t="n">
        <v>46079</v>
      </c>
      <c r="B672" s="76" t="n">
        <v>2016</v>
      </c>
      <c r="C672" s="69">
        <f>IF(B672="","",IFERROR(INDEX(Client_List!$B:$B,MATCH(B672,Client_List!$A:$A,0)),"⚠ NOT FOUND"))</f>
        <v/>
      </c>
      <c r="D672" s="43" t="n">
        <v>309</v>
      </c>
      <c r="E672" s="32">
        <f>IF(B672="","",IFERROR(INDEX(Client_List!$C:$C,MATCH(VALUE(B672),Client_List!$A:$A,0)),""))</f>
        <v/>
      </c>
      <c r="F672" s="53">
        <f>IF(B672="","",IFERROR(INDEX(Client_List!$D:$D,MATCH(VALUE(B672),Client_List!$A:$A,0)),""))</f>
        <v/>
      </c>
      <c r="G672" s="53">
        <f>IF(B672="","",IFERROR(INDEX(Client_List!$K:$K,MATCH(VALUE(B672),Client_List!$A:$A,0)),""))</f>
        <v/>
      </c>
      <c r="H672" s="32">
        <f>IF(B672="","",IFERROR(INDEX(Client_List!$J:$J,MATCH(VALUE(B672),Client_List!$A:$A,0)),""))</f>
        <v/>
      </c>
      <c r="I672" s="70">
        <f>IF(B672="","",IFERROR(A672-LOOKUP(2,1/($B$4:$B671=B672),$A$4:$A671),""))</f>
        <v/>
      </c>
      <c r="J672" s="32">
        <f>IF(B672="","",IFERROR(D672/I672,""))</f>
        <v/>
      </c>
      <c r="K672" s="71">
        <f>IF(B672="","",IFERROR(AVERAGEIFS($J$4:$J672,$B$4:$B672,B672,$J$4:$J672,"&gt;"&amp;0),""))</f>
        <v/>
      </c>
      <c r="L672" s="4" t="n"/>
    </row>
    <row r="673" ht="14" customHeight="1" s="72">
      <c r="A673" s="75" t="n">
        <v>46079</v>
      </c>
      <c r="B673" s="76" t="n">
        <v>2021</v>
      </c>
      <c r="C673" s="69">
        <f>IF(B673="","",IFERROR(INDEX(Client_List!$B:$B,MATCH(B673,Client_List!$A:$A,0)),"⚠ NOT FOUND"))</f>
        <v/>
      </c>
      <c r="D673" s="43" t="n">
        <v>285</v>
      </c>
      <c r="E673" s="32">
        <f>IF(B673="","",IFERROR(INDEX(Client_List!$C:$C,MATCH(VALUE(B673),Client_List!$A:$A,0)),""))</f>
        <v/>
      </c>
      <c r="F673" s="53">
        <f>IF(B673="","",IFERROR(INDEX(Client_List!$D:$D,MATCH(VALUE(B673),Client_List!$A:$A,0)),""))</f>
        <v/>
      </c>
      <c r="G673" s="53">
        <f>IF(B673="","",IFERROR(INDEX(Client_List!$K:$K,MATCH(VALUE(B673),Client_List!$A:$A,0)),""))</f>
        <v/>
      </c>
      <c r="H673" s="32">
        <f>IF(B673="","",IFERROR(INDEX(Client_List!$J:$J,MATCH(VALUE(B673),Client_List!$A:$A,0)),""))</f>
        <v/>
      </c>
      <c r="I673" s="70">
        <f>IF(B673="","",IFERROR(A673-LOOKUP(2,1/($B$4:$B672=B673),$A$4:$A672),""))</f>
        <v/>
      </c>
      <c r="J673" s="32">
        <f>IF(B673="","",IFERROR(D673/I673,""))</f>
        <v/>
      </c>
      <c r="K673" s="71">
        <f>IF(B673="","",IFERROR(AVERAGEIFS($J$4:$J673,$B$4:$B673,B673,$J$4:$J673,"&gt;"&amp;0),""))</f>
        <v/>
      </c>
      <c r="L673" s="7" t="n"/>
    </row>
    <row r="674" ht="14" customHeight="1" s="72">
      <c r="A674" s="75" t="n">
        <v>46079</v>
      </c>
      <c r="B674" s="76" t="n">
        <v>3063</v>
      </c>
      <c r="C674" s="69">
        <f>IF(B674="","",IFERROR(INDEX(Client_List!$B:$B,MATCH(B674,Client_List!$A:$A,0)),"⚠ NOT FOUND"))</f>
        <v/>
      </c>
      <c r="D674" s="43" t="n">
        <v>1430</v>
      </c>
      <c r="E674" s="32">
        <f>IF(B674="","",IFERROR(INDEX(Client_List!$C:$C,MATCH(VALUE(B674),Client_List!$A:$A,0)),""))</f>
        <v/>
      </c>
      <c r="F674" s="53">
        <f>IF(B674="","",IFERROR(INDEX(Client_List!$D:$D,MATCH(VALUE(B674),Client_List!$A:$A,0)),""))</f>
        <v/>
      </c>
      <c r="G674" s="53">
        <f>IF(B674="","",IFERROR(INDEX(Client_List!$K:$K,MATCH(VALUE(B674),Client_List!$A:$A,0)),""))</f>
        <v/>
      </c>
      <c r="H674" s="32">
        <f>IF(B674="","",IFERROR(INDEX(Client_List!$J:$J,MATCH(VALUE(B674),Client_List!$A:$A,0)),""))</f>
        <v/>
      </c>
      <c r="I674" s="70">
        <f>IF(B674="","",IFERROR(A674-LOOKUP(2,1/($B$4:$B673=B674),$A$4:$A673),""))</f>
        <v/>
      </c>
      <c r="J674" s="32">
        <f>IF(B674="","",IFERROR(D674/I674,""))</f>
        <v/>
      </c>
      <c r="K674" s="71">
        <f>IF(B674="","",IFERROR(AVERAGEIFS($J$4:$J674,$B$4:$B674,B674,$J$4:$J674,"&gt;"&amp;0),""))</f>
        <v/>
      </c>
      <c r="L674" s="4" t="n"/>
    </row>
    <row r="675" ht="14" customHeight="1" s="72">
      <c r="A675" s="75" t="n">
        <v>46079</v>
      </c>
      <c r="B675" s="76" t="n">
        <v>3064</v>
      </c>
      <c r="C675" s="69">
        <f>IF(B675="","",IFERROR(INDEX(Client_List!$B:$B,MATCH(B675,Client_List!$A:$A,0)),"⚠ NOT FOUND"))</f>
        <v/>
      </c>
      <c r="D675" s="43" t="n">
        <v>562</v>
      </c>
      <c r="E675" s="32">
        <f>IF(B675="","",IFERROR(INDEX(Client_List!$C:$C,MATCH(VALUE(B675),Client_List!$A:$A,0)),""))</f>
        <v/>
      </c>
      <c r="F675" s="53">
        <f>IF(B675="","",IFERROR(INDEX(Client_List!$D:$D,MATCH(VALUE(B675),Client_List!$A:$A,0)),""))</f>
        <v/>
      </c>
      <c r="G675" s="53">
        <f>IF(B675="","",IFERROR(INDEX(Client_List!$K:$K,MATCH(VALUE(B675),Client_List!$A:$A,0)),""))</f>
        <v/>
      </c>
      <c r="H675" s="32">
        <f>IF(B675="","",IFERROR(INDEX(Client_List!$J:$J,MATCH(VALUE(B675),Client_List!$A:$A,0)),""))</f>
        <v/>
      </c>
      <c r="I675" s="70">
        <f>IF(B675="","",IFERROR(A675-LOOKUP(2,1/($B$4:$B674=B675),$A$4:$A674),""))</f>
        <v/>
      </c>
      <c r="J675" s="32">
        <f>IF(B675="","",IFERROR(D675/I675,""))</f>
        <v/>
      </c>
      <c r="K675" s="71">
        <f>IF(B675="","",IFERROR(AVERAGEIFS($J$4:$J675,$B$4:$B675,B675,$J$4:$J675,"&gt;"&amp;0),""))</f>
        <v/>
      </c>
      <c r="L675" s="7" t="n"/>
    </row>
    <row r="676" ht="14" customHeight="1" s="72">
      <c r="A676" s="75" t="n">
        <v>46079</v>
      </c>
      <c r="B676" s="76" t="n">
        <v>4010</v>
      </c>
      <c r="C676" s="69">
        <f>IF(B676="","",IFERROR(INDEX(Client_List!$B:$B,MATCH(B676,Client_List!$A:$A,0)),"⚠ NOT FOUND"))</f>
        <v/>
      </c>
      <c r="D676" s="43" t="n">
        <v>492</v>
      </c>
      <c r="E676" s="32">
        <f>IF(B676="","",IFERROR(INDEX(Client_List!$C:$C,MATCH(VALUE(B676),Client_List!$A:$A,0)),""))</f>
        <v/>
      </c>
      <c r="F676" s="53">
        <f>IF(B676="","",IFERROR(INDEX(Client_List!$D:$D,MATCH(VALUE(B676),Client_List!$A:$A,0)),""))</f>
        <v/>
      </c>
      <c r="G676" s="53">
        <f>IF(B676="","",IFERROR(INDEX(Client_List!$K:$K,MATCH(VALUE(B676),Client_List!$A:$A,0)),""))</f>
        <v/>
      </c>
      <c r="H676" s="32">
        <f>IF(B676="","",IFERROR(INDEX(Client_List!$J:$J,MATCH(VALUE(B676),Client_List!$A:$A,0)),""))</f>
        <v/>
      </c>
      <c r="I676" s="70">
        <f>IF(B676="","",IFERROR(A676-LOOKUP(2,1/($B$4:$B675=B676),$A$4:$A675),""))</f>
        <v/>
      </c>
      <c r="J676" s="32">
        <f>IF(B676="","",IFERROR(D676/I676,""))</f>
        <v/>
      </c>
      <c r="K676" s="71">
        <f>IF(B676="","",IFERROR(AVERAGEIFS($J$4:$J676,$B$4:$B676,B676,$J$4:$J676,"&gt;"&amp;0),""))</f>
        <v/>
      </c>
      <c r="L676" s="4" t="n"/>
    </row>
    <row r="677" ht="14" customHeight="1" s="72">
      <c r="A677" s="75" t="n">
        <v>46079</v>
      </c>
      <c r="B677" s="76" t="n">
        <v>4029</v>
      </c>
      <c r="C677" s="69">
        <f>IF(B677="","",IFERROR(INDEX(Client_List!$B:$B,MATCH(B677,Client_List!$A:$A,0)),"⚠ NOT FOUND"))</f>
        <v/>
      </c>
      <c r="D677" s="43" t="n">
        <v>1715</v>
      </c>
      <c r="E677" s="32">
        <f>IF(B677="","",IFERROR(INDEX(Client_List!$C:$C,MATCH(VALUE(B677),Client_List!$A:$A,0)),""))</f>
        <v/>
      </c>
      <c r="F677" s="53">
        <f>IF(B677="","",IFERROR(INDEX(Client_List!$D:$D,MATCH(VALUE(B677),Client_List!$A:$A,0)),""))</f>
        <v/>
      </c>
      <c r="G677" s="53">
        <f>IF(B677="","",IFERROR(INDEX(Client_List!$K:$K,MATCH(VALUE(B677),Client_List!$A:$A,0)),""))</f>
        <v/>
      </c>
      <c r="H677" s="32">
        <f>IF(B677="","",IFERROR(INDEX(Client_List!$J:$J,MATCH(VALUE(B677),Client_List!$A:$A,0)),""))</f>
        <v/>
      </c>
      <c r="I677" s="70">
        <f>IF(B677="","",IFERROR(A677-LOOKUP(2,1/($B$4:$B676=B677),$A$4:$A676),""))</f>
        <v/>
      </c>
      <c r="J677" s="32">
        <f>IF(B677="","",IFERROR(D677/I677,""))</f>
        <v/>
      </c>
      <c r="K677" s="71">
        <f>IF(B677="","",IFERROR(AVERAGEIFS($J$4:$J677,$B$4:$B677,B677,$J$4:$J677,"&gt;"&amp;0),""))</f>
        <v/>
      </c>
      <c r="L677" s="7" t="n"/>
    </row>
    <row r="678" ht="14" customHeight="1" s="72">
      <c r="A678" s="75" t="n">
        <v>46079</v>
      </c>
      <c r="B678" s="76" t="n">
        <v>7053</v>
      </c>
      <c r="C678" s="69">
        <f>IF(B678="","",IFERROR(INDEX(Client_List!$B:$B,MATCH(B678,Client_List!$A:$A,0)),"⚠ NOT FOUND"))</f>
        <v/>
      </c>
      <c r="D678" s="43" t="n">
        <v>206</v>
      </c>
      <c r="E678" s="32">
        <f>IF(B678="","",IFERROR(INDEX(Client_List!$C:$C,MATCH(VALUE(B678),Client_List!$A:$A,0)),""))</f>
        <v/>
      </c>
      <c r="F678" s="53">
        <f>IF(B678="","",IFERROR(INDEX(Client_List!$D:$D,MATCH(VALUE(B678),Client_List!$A:$A,0)),""))</f>
        <v/>
      </c>
      <c r="G678" s="53">
        <f>IF(B678="","",IFERROR(INDEX(Client_List!$K:$K,MATCH(VALUE(B678),Client_List!$A:$A,0)),""))</f>
        <v/>
      </c>
      <c r="H678" s="32">
        <f>IF(B678="","",IFERROR(INDEX(Client_List!$J:$J,MATCH(VALUE(B678),Client_List!$A:$A,0)),""))</f>
        <v/>
      </c>
      <c r="I678" s="70">
        <f>IF(B678="","",IFERROR(A678-LOOKUP(2,1/($B$4:$B677=B678),$A$4:$A677),""))</f>
        <v/>
      </c>
      <c r="J678" s="32">
        <f>IF(B678="","",IFERROR(D678/I678,""))</f>
        <v/>
      </c>
      <c r="K678" s="71">
        <f>IF(B678="","",IFERROR(AVERAGEIFS($J$4:$J678,$B$4:$B678,B678,$J$4:$J678,"&gt;"&amp;0),""))</f>
        <v/>
      </c>
      <c r="L678" s="4" t="n"/>
    </row>
    <row r="679" ht="14" customHeight="1" s="72">
      <c r="A679" s="75" t="n">
        <v>46079</v>
      </c>
      <c r="B679" s="76" t="n">
        <v>15016</v>
      </c>
      <c r="C679" s="69">
        <f>IF(B679="","",IFERROR(INDEX(Client_List!$B:$B,MATCH(B679,Client_List!$A:$A,0)),"⚠ NOT FOUND"))</f>
        <v/>
      </c>
      <c r="D679" s="43" t="n">
        <v>500</v>
      </c>
      <c r="E679" s="32">
        <f>IF(B679="","",IFERROR(INDEX(Client_List!$C:$C,MATCH(VALUE(B679),Client_List!$A:$A,0)),""))</f>
        <v/>
      </c>
      <c r="F679" s="53">
        <f>IF(B679="","",IFERROR(INDEX(Client_List!$D:$D,MATCH(VALUE(B679),Client_List!$A:$A,0)),""))</f>
        <v/>
      </c>
      <c r="G679" s="53">
        <f>IF(B679="","",IFERROR(INDEX(Client_List!$K:$K,MATCH(VALUE(B679),Client_List!$A:$A,0)),""))</f>
        <v/>
      </c>
      <c r="H679" s="32">
        <f>IF(B679="","",IFERROR(INDEX(Client_List!$J:$J,MATCH(VALUE(B679),Client_List!$A:$A,0)),""))</f>
        <v/>
      </c>
      <c r="I679" s="70">
        <f>IF(B679="","",IFERROR(A679-LOOKUP(2,1/($B$4:$B678=B679),$A$4:$A678),""))</f>
        <v/>
      </c>
      <c r="J679" s="32">
        <f>IF(B679="","",IFERROR(D679/I679,""))</f>
        <v/>
      </c>
      <c r="K679" s="71">
        <f>IF(B679="","",IFERROR(AVERAGEIFS($J$4:$J679,$B$4:$B679,B679,$J$4:$J679,"&gt;"&amp;0),""))</f>
        <v/>
      </c>
      <c r="L679" s="7" t="n"/>
    </row>
    <row r="680" ht="14" customHeight="1" s="72">
      <c r="A680" s="75" t="n">
        <v>46079</v>
      </c>
      <c r="B680" s="76" t="n">
        <v>15018</v>
      </c>
      <c r="C680" s="69">
        <f>IF(B680="","",IFERROR(INDEX(Client_List!$B:$B,MATCH(B680,Client_List!$A:$A,0)),"⚠ NOT FOUND"))</f>
        <v/>
      </c>
      <c r="D680" s="43" t="n">
        <v>479</v>
      </c>
      <c r="E680" s="32">
        <f>IF(B680="","",IFERROR(INDEX(Client_List!$C:$C,MATCH(VALUE(B680),Client_List!$A:$A,0)),""))</f>
        <v/>
      </c>
      <c r="F680" s="53">
        <f>IF(B680="","",IFERROR(INDEX(Client_List!$D:$D,MATCH(VALUE(B680),Client_List!$A:$A,0)),""))</f>
        <v/>
      </c>
      <c r="G680" s="53">
        <f>IF(B680="","",IFERROR(INDEX(Client_List!$K:$K,MATCH(VALUE(B680),Client_List!$A:$A,0)),""))</f>
        <v/>
      </c>
      <c r="H680" s="32">
        <f>IF(B680="","",IFERROR(INDEX(Client_List!$J:$J,MATCH(VALUE(B680),Client_List!$A:$A,0)),""))</f>
        <v/>
      </c>
      <c r="I680" s="70">
        <f>IF(B680="","",IFERROR(A680-LOOKUP(2,1/($B$4:$B679=B680),$A$4:$A679),""))</f>
        <v/>
      </c>
      <c r="J680" s="32">
        <f>IF(B680="","",IFERROR(D680/I680,""))</f>
        <v/>
      </c>
      <c r="K680" s="71">
        <f>IF(B680="","",IFERROR(AVERAGEIFS($J$4:$J680,$B$4:$B680,B680,$J$4:$J680,"&gt;"&amp;0),""))</f>
        <v/>
      </c>
      <c r="L680" s="4" t="n"/>
    </row>
    <row r="681" ht="14" customHeight="1" s="72">
      <c r="A681" s="75" t="n">
        <v>46079</v>
      </c>
      <c r="B681" s="76" t="n">
        <v>16007</v>
      </c>
      <c r="C681" s="69">
        <f>IF(B681="","",IFERROR(INDEX(Client_List!$B:$B,MATCH(B681,Client_List!$A:$A,0)),"⚠ NOT FOUND"))</f>
        <v/>
      </c>
      <c r="D681" s="43" t="n">
        <v>404</v>
      </c>
      <c r="E681" s="32">
        <f>IF(B681="","",IFERROR(INDEX(Client_List!$C:$C,MATCH(VALUE(B681),Client_List!$A:$A,0)),""))</f>
        <v/>
      </c>
      <c r="F681" s="53">
        <f>IF(B681="","",IFERROR(INDEX(Client_List!$D:$D,MATCH(VALUE(B681),Client_List!$A:$A,0)),""))</f>
        <v/>
      </c>
      <c r="G681" s="53">
        <f>IF(B681="","",IFERROR(INDEX(Client_List!$K:$K,MATCH(VALUE(B681),Client_List!$A:$A,0)),""))</f>
        <v/>
      </c>
      <c r="H681" s="32">
        <f>IF(B681="","",IFERROR(INDEX(Client_List!$J:$J,MATCH(VALUE(B681),Client_List!$A:$A,0)),""))</f>
        <v/>
      </c>
      <c r="I681" s="70">
        <f>IF(B681="","",IFERROR(A681-LOOKUP(2,1/($B$4:$B680=B681),$A$4:$A680),""))</f>
        <v/>
      </c>
      <c r="J681" s="32">
        <f>IF(B681="","",IFERROR(D681/I681,""))</f>
        <v/>
      </c>
      <c r="K681" s="71">
        <f>IF(B681="","",IFERROR(AVERAGEIFS($J$4:$J681,$B$4:$B681,B681,$J$4:$J681,"&gt;"&amp;0),""))</f>
        <v/>
      </c>
      <c r="L681" s="7" t="n"/>
    </row>
    <row r="682" ht="14" customHeight="1" s="72">
      <c r="A682" s="75" t="n">
        <v>46079</v>
      </c>
      <c r="B682" s="76" t="n">
        <v>19031</v>
      </c>
      <c r="C682" s="69">
        <f>IF(B682="","",IFERROR(INDEX(Client_List!$B:$B,MATCH(B682,Client_List!$A:$A,0)),"⚠ NOT FOUND"))</f>
        <v/>
      </c>
      <c r="D682" s="43" t="n">
        <v>697</v>
      </c>
      <c r="E682" s="32">
        <f>IF(B682="","",IFERROR(INDEX(Client_List!$C:$C,MATCH(VALUE(B682),Client_List!$A:$A,0)),""))</f>
        <v/>
      </c>
      <c r="F682" s="53">
        <f>IF(B682="","",IFERROR(INDEX(Client_List!$D:$D,MATCH(VALUE(B682),Client_List!$A:$A,0)),""))</f>
        <v/>
      </c>
      <c r="G682" s="53">
        <f>IF(B682="","",IFERROR(INDEX(Client_List!$K:$K,MATCH(VALUE(B682),Client_List!$A:$A,0)),""))</f>
        <v/>
      </c>
      <c r="H682" s="32">
        <f>IF(B682="","",IFERROR(INDEX(Client_List!$J:$J,MATCH(VALUE(B682),Client_List!$A:$A,0)),""))</f>
        <v/>
      </c>
      <c r="I682" s="70">
        <f>IF(B682="","",IFERROR(A682-LOOKUP(2,1/($B$4:$B681=B682),$A$4:$A681),""))</f>
        <v/>
      </c>
      <c r="J682" s="32">
        <f>IF(B682="","",IFERROR(D682/I682,""))</f>
        <v/>
      </c>
      <c r="K682" s="71">
        <f>IF(B682="","",IFERROR(AVERAGEIFS($J$4:$J682,$B$4:$B682,B682,$J$4:$J682,"&gt;"&amp;0),""))</f>
        <v/>
      </c>
      <c r="L682" s="4" t="n"/>
    </row>
    <row r="683" ht="14" customHeight="1" s="72">
      <c r="A683" s="75" t="n">
        <v>46079</v>
      </c>
      <c r="B683" s="76" t="n">
        <v>20051</v>
      </c>
      <c r="C683" s="69">
        <f>IF(B683="","",IFERROR(INDEX(Client_List!$B:$B,MATCH(B683,Client_List!$A:$A,0)),"⚠ NOT FOUND"))</f>
        <v/>
      </c>
      <c r="D683" s="43" t="n">
        <v>191</v>
      </c>
      <c r="E683" s="32">
        <f>IF(B683="","",IFERROR(INDEX(Client_List!$C:$C,MATCH(VALUE(B683),Client_List!$A:$A,0)),""))</f>
        <v/>
      </c>
      <c r="F683" s="53">
        <f>IF(B683="","",IFERROR(INDEX(Client_List!$D:$D,MATCH(VALUE(B683),Client_List!$A:$A,0)),""))</f>
        <v/>
      </c>
      <c r="G683" s="53">
        <f>IF(B683="","",IFERROR(INDEX(Client_List!$K:$K,MATCH(VALUE(B683),Client_List!$A:$A,0)),""))</f>
        <v/>
      </c>
      <c r="H683" s="32">
        <f>IF(B683="","",IFERROR(INDEX(Client_List!$J:$J,MATCH(VALUE(B683),Client_List!$A:$A,0)),""))</f>
        <v/>
      </c>
      <c r="I683" s="70">
        <f>IF(B683="","",IFERROR(A683-LOOKUP(2,1/($B$4:$B682=B683),$A$4:$A682),""))</f>
        <v/>
      </c>
      <c r="J683" s="32">
        <f>IF(B683="","",IFERROR(D683/I683,""))</f>
        <v/>
      </c>
      <c r="K683" s="71">
        <f>IF(B683="","",IFERROR(AVERAGEIFS($J$4:$J683,$B$4:$B683,B683,$J$4:$J683,"&gt;"&amp;0),""))</f>
        <v/>
      </c>
      <c r="L683" s="7" t="n"/>
    </row>
    <row r="684" ht="14" customHeight="1" s="72">
      <c r="A684" s="75" t="n">
        <v>46079</v>
      </c>
      <c r="B684" s="76" t="n">
        <v>21001</v>
      </c>
      <c r="C684" s="69">
        <f>IF(B684="","",IFERROR(INDEX(Client_List!$B:$B,MATCH(B684,Client_List!$A:$A,0)),"⚠ NOT FOUND"))</f>
        <v/>
      </c>
      <c r="D684" s="43" t="n">
        <v>781</v>
      </c>
      <c r="E684" s="32">
        <f>IF(B684="","",IFERROR(INDEX(Client_List!$C:$C,MATCH(VALUE(B684),Client_List!$A:$A,0)),""))</f>
        <v/>
      </c>
      <c r="F684" s="53">
        <f>IF(B684="","",IFERROR(INDEX(Client_List!$D:$D,MATCH(VALUE(B684),Client_List!$A:$A,0)),""))</f>
        <v/>
      </c>
      <c r="G684" s="53">
        <f>IF(B684="","",IFERROR(INDEX(Client_List!$K:$K,MATCH(VALUE(B684),Client_List!$A:$A,0)),""))</f>
        <v/>
      </c>
      <c r="H684" s="32">
        <f>IF(B684="","",IFERROR(INDEX(Client_List!$J:$J,MATCH(VALUE(B684),Client_List!$A:$A,0)),""))</f>
        <v/>
      </c>
      <c r="I684" s="70">
        <f>IF(B684="","",IFERROR(A684-LOOKUP(2,1/($B$4:$B683=B684),$A$4:$A683),""))</f>
        <v/>
      </c>
      <c r="J684" s="32">
        <f>IF(B684="","",IFERROR(D684/I684,""))</f>
        <v/>
      </c>
      <c r="K684" s="71">
        <f>IF(B684="","",IFERROR(AVERAGEIFS($J$4:$J684,$B$4:$B684,B684,$J$4:$J684,"&gt;"&amp;0),""))</f>
        <v/>
      </c>
      <c r="L684" s="4" t="n"/>
    </row>
    <row r="685" ht="14" customHeight="1" s="72">
      <c r="A685" s="75" t="n">
        <v>46080</v>
      </c>
      <c r="B685" s="76" t="n">
        <v>1001</v>
      </c>
      <c r="C685" s="69">
        <f>IF(B685="","",IFERROR(INDEX(Client_List!$B:$B,MATCH(B685,Client_List!$A:$A,0)),"⚠ NOT FOUND"))</f>
        <v/>
      </c>
      <c r="D685" s="43" t="n">
        <v>695</v>
      </c>
      <c r="E685" s="32">
        <f>IF(B685="","",IFERROR(INDEX(Client_List!$C:$C,MATCH(VALUE(B685),Client_List!$A:$A,0)),""))</f>
        <v/>
      </c>
      <c r="F685" s="53">
        <f>IF(B685="","",IFERROR(INDEX(Client_List!$D:$D,MATCH(VALUE(B685),Client_List!$A:$A,0)),""))</f>
        <v/>
      </c>
      <c r="G685" s="53">
        <f>IF(B685="","",IFERROR(INDEX(Client_List!$K:$K,MATCH(VALUE(B685),Client_List!$A:$A,0)),""))</f>
        <v/>
      </c>
      <c r="H685" s="32">
        <f>IF(B685="","",IFERROR(INDEX(Client_List!$J:$J,MATCH(VALUE(B685),Client_List!$A:$A,0)),""))</f>
        <v/>
      </c>
      <c r="I685" s="70">
        <f>IF(B685="","",IFERROR(A685-LOOKUP(2,1/($B$4:$B684=B685),$A$4:$A684),""))</f>
        <v/>
      </c>
      <c r="J685" s="32">
        <f>IF(B685="","",IFERROR(D685/I685,""))</f>
        <v/>
      </c>
      <c r="K685" s="71">
        <f>IF(B685="","",IFERROR(AVERAGEIFS($J$4:$J685,$B$4:$B685,B685,$J$4:$J685,"&gt;"&amp;0),""))</f>
        <v/>
      </c>
      <c r="L685" s="7" t="n"/>
    </row>
    <row r="686" ht="14" customHeight="1" s="72">
      <c r="A686" s="75" t="n">
        <v>46080</v>
      </c>
      <c r="B686" s="76" t="n">
        <v>2038</v>
      </c>
      <c r="C686" s="69">
        <f>IF(B686="","",IFERROR(INDEX(Client_List!$B:$B,MATCH(B686,Client_List!$A:$A,0)),"⚠ NOT FOUND"))</f>
        <v/>
      </c>
      <c r="D686" s="43" t="n">
        <v>455</v>
      </c>
      <c r="E686" s="32">
        <f>IF(B686="","",IFERROR(INDEX(Client_List!$C:$C,MATCH(VALUE(B686),Client_List!$A:$A,0)),""))</f>
        <v/>
      </c>
      <c r="F686" s="53">
        <f>IF(B686="","",IFERROR(INDEX(Client_List!$D:$D,MATCH(VALUE(B686),Client_List!$A:$A,0)),""))</f>
        <v/>
      </c>
      <c r="G686" s="53">
        <f>IF(B686="","",IFERROR(INDEX(Client_List!$K:$K,MATCH(VALUE(B686),Client_List!$A:$A,0)),""))</f>
        <v/>
      </c>
      <c r="H686" s="32">
        <f>IF(B686="","",IFERROR(INDEX(Client_List!$J:$J,MATCH(VALUE(B686),Client_List!$A:$A,0)),""))</f>
        <v/>
      </c>
      <c r="I686" s="70">
        <f>IF(B686="","",IFERROR(A686-LOOKUP(2,1/($B$4:$B685=B686),$A$4:$A685),""))</f>
        <v/>
      </c>
      <c r="J686" s="32">
        <f>IF(B686="","",IFERROR(D686/I686,""))</f>
        <v/>
      </c>
      <c r="K686" s="71">
        <f>IF(B686="","",IFERROR(AVERAGEIFS($J$4:$J686,$B$4:$B686,B686,$J$4:$J686,"&gt;"&amp;0),""))</f>
        <v/>
      </c>
      <c r="L686" s="4" t="n"/>
    </row>
    <row r="687" ht="14" customHeight="1" s="72">
      <c r="A687" s="75" t="n">
        <v>46080</v>
      </c>
      <c r="B687" s="76" t="n">
        <v>2053</v>
      </c>
      <c r="C687" s="69">
        <f>IF(B687="","",IFERROR(INDEX(Client_List!$B:$B,MATCH(B687,Client_List!$A:$A,0)),"⚠ NOT FOUND"))</f>
        <v/>
      </c>
      <c r="D687" s="43" t="n">
        <v>764</v>
      </c>
      <c r="E687" s="32">
        <f>IF(B687="","",IFERROR(INDEX(Client_List!$C:$C,MATCH(VALUE(B687),Client_List!$A:$A,0)),""))</f>
        <v/>
      </c>
      <c r="F687" s="53">
        <f>IF(B687="","",IFERROR(INDEX(Client_List!$D:$D,MATCH(VALUE(B687),Client_List!$A:$A,0)),""))</f>
        <v/>
      </c>
      <c r="G687" s="53">
        <f>IF(B687="","",IFERROR(INDEX(Client_List!$K:$K,MATCH(VALUE(B687),Client_List!$A:$A,0)),""))</f>
        <v/>
      </c>
      <c r="H687" s="32">
        <f>IF(B687="","",IFERROR(INDEX(Client_List!$J:$J,MATCH(VALUE(B687),Client_List!$A:$A,0)),""))</f>
        <v/>
      </c>
      <c r="I687" s="70">
        <f>IF(B687="","",IFERROR(A687-LOOKUP(2,1/($B$4:$B686=B687),$A$4:$A686),""))</f>
        <v/>
      </c>
      <c r="J687" s="32">
        <f>IF(B687="","",IFERROR(D687/I687,""))</f>
        <v/>
      </c>
      <c r="K687" s="71">
        <f>IF(B687="","",IFERROR(AVERAGEIFS($J$4:$J687,$B$4:$B687,B687,$J$4:$J687,"&gt;"&amp;0),""))</f>
        <v/>
      </c>
      <c r="L687" s="7" t="n"/>
    </row>
    <row r="688" ht="14" customHeight="1" s="72">
      <c r="A688" s="75" t="n">
        <v>46080</v>
      </c>
      <c r="B688" s="76" t="n">
        <v>2067</v>
      </c>
      <c r="C688" s="69">
        <f>IF(B688="","",IFERROR(INDEX(Client_List!$B:$B,MATCH(B688,Client_List!$A:$A,0)),"⚠ NOT FOUND"))</f>
        <v/>
      </c>
      <c r="D688" s="43" t="n">
        <v>786</v>
      </c>
      <c r="E688" s="32">
        <f>IF(B688="","",IFERROR(INDEX(Client_List!$C:$C,MATCH(VALUE(B688),Client_List!$A:$A,0)),""))</f>
        <v/>
      </c>
      <c r="F688" s="53">
        <f>IF(B688="","",IFERROR(INDEX(Client_List!$D:$D,MATCH(VALUE(B688),Client_List!$A:$A,0)),""))</f>
        <v/>
      </c>
      <c r="G688" s="53">
        <f>IF(B688="","",IFERROR(INDEX(Client_List!$K:$K,MATCH(VALUE(B688),Client_List!$A:$A,0)),""))</f>
        <v/>
      </c>
      <c r="H688" s="32">
        <f>IF(B688="","",IFERROR(INDEX(Client_List!$J:$J,MATCH(VALUE(B688),Client_List!$A:$A,0)),""))</f>
        <v/>
      </c>
      <c r="I688" s="70">
        <f>IF(B688="","",IFERROR(A688-LOOKUP(2,1/($B$4:$B687=B688),$A$4:$A687),""))</f>
        <v/>
      </c>
      <c r="J688" s="32">
        <f>IF(B688="","",IFERROR(D688/I688,""))</f>
        <v/>
      </c>
      <c r="K688" s="71">
        <f>IF(B688="","",IFERROR(AVERAGEIFS($J$4:$J688,$B$4:$B688,B688,$J$4:$J688,"&gt;"&amp;0),""))</f>
        <v/>
      </c>
      <c r="L688" s="4" t="n"/>
    </row>
    <row r="689" ht="14" customHeight="1" s="72">
      <c r="A689" s="75" t="n">
        <v>46080</v>
      </c>
      <c r="B689" s="76" t="n">
        <v>2073</v>
      </c>
      <c r="C689" s="69">
        <f>IF(B689="","",IFERROR(INDEX(Client_List!$B:$B,MATCH(B689,Client_List!$A:$A,0)),"⚠ NOT FOUND"))</f>
        <v/>
      </c>
      <c r="D689" s="43" t="n">
        <v>274</v>
      </c>
      <c r="E689" s="32">
        <f>IF(B689="","",IFERROR(INDEX(Client_List!$C:$C,MATCH(VALUE(B689),Client_List!$A:$A,0)),""))</f>
        <v/>
      </c>
      <c r="F689" s="53">
        <f>IF(B689="","",IFERROR(INDEX(Client_List!$D:$D,MATCH(VALUE(B689),Client_List!$A:$A,0)),""))</f>
        <v/>
      </c>
      <c r="G689" s="53">
        <f>IF(B689="","",IFERROR(INDEX(Client_List!$K:$K,MATCH(VALUE(B689),Client_List!$A:$A,0)),""))</f>
        <v/>
      </c>
      <c r="H689" s="32">
        <f>IF(B689="","",IFERROR(INDEX(Client_List!$J:$J,MATCH(VALUE(B689),Client_List!$A:$A,0)),""))</f>
        <v/>
      </c>
      <c r="I689" s="70">
        <f>IF(B689="","",IFERROR(A689-LOOKUP(2,1/($B$4:$B688=B689),$A$4:$A688),""))</f>
        <v/>
      </c>
      <c r="J689" s="32">
        <f>IF(B689="","",IFERROR(D689/I689,""))</f>
        <v/>
      </c>
      <c r="K689" s="71">
        <f>IF(B689="","",IFERROR(AVERAGEIFS($J$4:$J689,$B$4:$B689,B689,$J$4:$J689,"&gt;"&amp;0),""))</f>
        <v/>
      </c>
      <c r="L689" s="7" t="n"/>
    </row>
    <row r="690" ht="14" customHeight="1" s="72">
      <c r="A690" s="75" t="n">
        <v>46080</v>
      </c>
      <c r="B690" s="76" t="n">
        <v>5006</v>
      </c>
      <c r="C690" s="69">
        <f>IF(B690="","",IFERROR(INDEX(Client_List!$B:$B,MATCH(B690,Client_List!$A:$A,0)),"⚠ NOT FOUND"))</f>
        <v/>
      </c>
      <c r="D690" s="43" t="n">
        <v>326</v>
      </c>
      <c r="E690" s="32">
        <f>IF(B690="","",IFERROR(INDEX(Client_List!$C:$C,MATCH(VALUE(B690),Client_List!$A:$A,0)),""))</f>
        <v/>
      </c>
      <c r="F690" s="53">
        <f>IF(B690="","",IFERROR(INDEX(Client_List!$D:$D,MATCH(VALUE(B690),Client_List!$A:$A,0)),""))</f>
        <v/>
      </c>
      <c r="G690" s="53">
        <f>IF(B690="","",IFERROR(INDEX(Client_List!$K:$K,MATCH(VALUE(B690),Client_List!$A:$A,0)),""))</f>
        <v/>
      </c>
      <c r="H690" s="32">
        <f>IF(B690="","",IFERROR(INDEX(Client_List!$J:$J,MATCH(VALUE(B690),Client_List!$A:$A,0)),""))</f>
        <v/>
      </c>
      <c r="I690" s="70">
        <f>IF(B690="","",IFERROR(A690-LOOKUP(2,1/($B$4:$B689=B690),$A$4:$A689),""))</f>
        <v/>
      </c>
      <c r="J690" s="32">
        <f>IF(B690="","",IFERROR(D690/I690,""))</f>
        <v/>
      </c>
      <c r="K690" s="71">
        <f>IF(B690="","",IFERROR(AVERAGEIFS($J$4:$J690,$B$4:$B690,B690,$J$4:$J690,"&gt;"&amp;0),""))</f>
        <v/>
      </c>
      <c r="L690" s="4" t="n"/>
    </row>
    <row r="691" ht="14" customHeight="1" s="72">
      <c r="A691" s="75" t="n">
        <v>46080</v>
      </c>
      <c r="B691" s="76" t="n">
        <v>6077</v>
      </c>
      <c r="C691" s="69">
        <f>IF(B691="","",IFERROR(INDEX(Client_List!$B:$B,MATCH(B691,Client_List!$A:$A,0)),"⚠ NOT FOUND"))</f>
        <v/>
      </c>
      <c r="D691" s="43" t="n">
        <v>1655</v>
      </c>
      <c r="E691" s="32">
        <f>IF(B691="","",IFERROR(INDEX(Client_List!$C:$C,MATCH(VALUE(B691),Client_List!$A:$A,0)),""))</f>
        <v/>
      </c>
      <c r="F691" s="53">
        <f>IF(B691="","",IFERROR(INDEX(Client_List!$D:$D,MATCH(VALUE(B691),Client_List!$A:$A,0)),""))</f>
        <v/>
      </c>
      <c r="G691" s="53">
        <f>IF(B691="","",IFERROR(INDEX(Client_List!$K:$K,MATCH(VALUE(B691),Client_List!$A:$A,0)),""))</f>
        <v/>
      </c>
      <c r="H691" s="32">
        <f>IF(B691="","",IFERROR(INDEX(Client_List!$J:$J,MATCH(VALUE(B691),Client_List!$A:$A,0)),""))</f>
        <v/>
      </c>
      <c r="I691" s="70">
        <f>IF(B691="","",IFERROR(A691-LOOKUP(2,1/($B$4:$B690=B691),$A$4:$A690),""))</f>
        <v/>
      </c>
      <c r="J691" s="32">
        <f>IF(B691="","",IFERROR(D691/I691,""))</f>
        <v/>
      </c>
      <c r="K691" s="71">
        <f>IF(B691="","",IFERROR(AVERAGEIFS($J$4:$J691,$B$4:$B691,B691,$J$4:$J691,"&gt;"&amp;0),""))</f>
        <v/>
      </c>
      <c r="L691" s="7" t="n"/>
    </row>
    <row r="692" ht="14" customHeight="1" s="72">
      <c r="A692" s="75" t="n">
        <v>46080</v>
      </c>
      <c r="B692" s="76" t="n">
        <v>6101</v>
      </c>
      <c r="C692" s="69">
        <f>IF(B692="","",IFERROR(INDEX(Client_List!$B:$B,MATCH(B692,Client_List!$A:$A,0)),"⚠ NOT FOUND"))</f>
        <v/>
      </c>
      <c r="D692" s="43" t="n">
        <v>548</v>
      </c>
      <c r="E692" s="32">
        <f>IF(B692="","",IFERROR(INDEX(Client_List!$C:$C,MATCH(VALUE(B692),Client_List!$A:$A,0)),""))</f>
        <v/>
      </c>
      <c r="F692" s="53">
        <f>IF(B692="","",IFERROR(INDEX(Client_List!$D:$D,MATCH(VALUE(B692),Client_List!$A:$A,0)),""))</f>
        <v/>
      </c>
      <c r="G692" s="53">
        <f>IF(B692="","",IFERROR(INDEX(Client_List!$K:$K,MATCH(VALUE(B692),Client_List!$A:$A,0)),""))</f>
        <v/>
      </c>
      <c r="H692" s="32">
        <f>IF(B692="","",IFERROR(INDEX(Client_List!$J:$J,MATCH(VALUE(B692),Client_List!$A:$A,0)),""))</f>
        <v/>
      </c>
      <c r="I692" s="70">
        <f>IF(B692="","",IFERROR(A692-LOOKUP(2,1/($B$4:$B691=B692),$A$4:$A691),""))</f>
        <v/>
      </c>
      <c r="J692" s="32">
        <f>IF(B692="","",IFERROR(D692/I692,""))</f>
        <v/>
      </c>
      <c r="K692" s="71">
        <f>IF(B692="","",IFERROR(AVERAGEIFS($J$4:$J692,$B$4:$B692,B692,$J$4:$J692,"&gt;"&amp;0),""))</f>
        <v/>
      </c>
      <c r="L692" s="4" t="n"/>
    </row>
    <row r="693" ht="14" customHeight="1" s="72">
      <c r="A693" s="75" t="n">
        <v>46080</v>
      </c>
      <c r="B693" s="76" t="n">
        <v>8005</v>
      </c>
      <c r="C693" s="69">
        <f>IF(B693="","",IFERROR(INDEX(Client_List!$B:$B,MATCH(B693,Client_List!$A:$A,0)),"⚠ NOT FOUND"))</f>
        <v/>
      </c>
      <c r="D693" s="43" t="n">
        <v>946</v>
      </c>
      <c r="E693" s="32">
        <f>IF(B693="","",IFERROR(INDEX(Client_List!$C:$C,MATCH(VALUE(B693),Client_List!$A:$A,0)),""))</f>
        <v/>
      </c>
      <c r="F693" s="53">
        <f>IF(B693="","",IFERROR(INDEX(Client_List!$D:$D,MATCH(VALUE(B693),Client_List!$A:$A,0)),""))</f>
        <v/>
      </c>
      <c r="G693" s="53">
        <f>IF(B693="","",IFERROR(INDEX(Client_List!$K:$K,MATCH(VALUE(B693),Client_List!$A:$A,0)),""))</f>
        <v/>
      </c>
      <c r="H693" s="32">
        <f>IF(B693="","",IFERROR(INDEX(Client_List!$J:$J,MATCH(VALUE(B693),Client_List!$A:$A,0)),""))</f>
        <v/>
      </c>
      <c r="I693" s="70">
        <f>IF(B693="","",IFERROR(A693-LOOKUP(2,1/($B$4:$B692=B693),$A$4:$A692),""))</f>
        <v/>
      </c>
      <c r="J693" s="32">
        <f>IF(B693="","",IFERROR(D693/I693,""))</f>
        <v/>
      </c>
      <c r="K693" s="71">
        <f>IF(B693="","",IFERROR(AVERAGEIFS($J$4:$J693,$B$4:$B693,B693,$J$4:$J693,"&gt;"&amp;0),""))</f>
        <v/>
      </c>
      <c r="L693" s="7" t="n"/>
    </row>
    <row r="694" ht="14" customHeight="1" s="72">
      <c r="A694" s="75" t="n">
        <v>46080</v>
      </c>
      <c r="B694" s="76" t="n">
        <v>12047</v>
      </c>
      <c r="C694" s="69">
        <f>IF(B694="","",IFERROR(INDEX(Client_List!$B:$B,MATCH(B694,Client_List!$A:$A,0)),"⚠ NOT FOUND"))</f>
        <v/>
      </c>
      <c r="D694" s="43" t="n">
        <v>578</v>
      </c>
      <c r="E694" s="32">
        <f>IF(B694="","",IFERROR(INDEX(Client_List!$C:$C,MATCH(VALUE(B694),Client_List!$A:$A,0)),""))</f>
        <v/>
      </c>
      <c r="F694" s="53">
        <f>IF(B694="","",IFERROR(INDEX(Client_List!$D:$D,MATCH(VALUE(B694),Client_List!$A:$A,0)),""))</f>
        <v/>
      </c>
      <c r="G694" s="53">
        <f>IF(B694="","",IFERROR(INDEX(Client_List!$K:$K,MATCH(VALUE(B694),Client_List!$A:$A,0)),""))</f>
        <v/>
      </c>
      <c r="H694" s="32">
        <f>IF(B694="","",IFERROR(INDEX(Client_List!$J:$J,MATCH(VALUE(B694),Client_List!$A:$A,0)),""))</f>
        <v/>
      </c>
      <c r="I694" s="70">
        <f>IF(B694="","",IFERROR(A694-LOOKUP(2,1/($B$4:$B693=B694),$A$4:$A693),""))</f>
        <v/>
      </c>
      <c r="J694" s="32">
        <f>IF(B694="","",IFERROR(D694/I694,""))</f>
        <v/>
      </c>
      <c r="K694" s="71">
        <f>IF(B694="","",IFERROR(AVERAGEIFS($J$4:$J694,$B$4:$B694,B694,$J$4:$J694,"&gt;"&amp;0),""))</f>
        <v/>
      </c>
      <c r="L694" s="4" t="n"/>
    </row>
    <row r="695" ht="14" customHeight="1" s="72">
      <c r="A695" s="75" t="n">
        <v>46080</v>
      </c>
      <c r="B695" s="76" t="n">
        <v>12048</v>
      </c>
      <c r="C695" s="69">
        <f>IF(B695="","",IFERROR(INDEX(Client_List!$B:$B,MATCH(B695,Client_List!$A:$A,0)),"⚠ NOT FOUND"))</f>
        <v/>
      </c>
      <c r="D695" s="43" t="n">
        <v>850</v>
      </c>
      <c r="E695" s="32">
        <f>IF(B695="","",IFERROR(INDEX(Client_List!$C:$C,MATCH(VALUE(B695),Client_List!$A:$A,0)),""))</f>
        <v/>
      </c>
      <c r="F695" s="53">
        <f>IF(B695="","",IFERROR(INDEX(Client_List!$D:$D,MATCH(VALUE(B695),Client_List!$A:$A,0)),""))</f>
        <v/>
      </c>
      <c r="G695" s="53">
        <f>IF(B695="","",IFERROR(INDEX(Client_List!$K:$K,MATCH(VALUE(B695),Client_List!$A:$A,0)),""))</f>
        <v/>
      </c>
      <c r="H695" s="32">
        <f>IF(B695="","",IFERROR(INDEX(Client_List!$J:$J,MATCH(VALUE(B695),Client_List!$A:$A,0)),""))</f>
        <v/>
      </c>
      <c r="I695" s="70">
        <f>IF(B695="","",IFERROR(A695-LOOKUP(2,1/($B$4:$B694=B695),$A$4:$A694),""))</f>
        <v/>
      </c>
      <c r="J695" s="32">
        <f>IF(B695="","",IFERROR(D695/I695,""))</f>
        <v/>
      </c>
      <c r="K695" s="71">
        <f>IF(B695="","",IFERROR(AVERAGEIFS($J$4:$J695,$B$4:$B695,B695,$J$4:$J695,"&gt;"&amp;0),""))</f>
        <v/>
      </c>
      <c r="L695" s="7" t="n"/>
    </row>
    <row r="696" ht="14" customHeight="1" s="72">
      <c r="A696" s="75" t="n">
        <v>46080</v>
      </c>
      <c r="B696" s="76" t="n">
        <v>12055</v>
      </c>
      <c r="C696" s="69">
        <f>IF(B696="","",IFERROR(INDEX(Client_List!$B:$B,MATCH(B696,Client_List!$A:$A,0)),"⚠ NOT FOUND"))</f>
        <v/>
      </c>
      <c r="D696" s="43" t="n">
        <v>914</v>
      </c>
      <c r="E696" s="32">
        <f>IF(B696="","",IFERROR(INDEX(Client_List!$C:$C,MATCH(VALUE(B696),Client_List!$A:$A,0)),""))</f>
        <v/>
      </c>
      <c r="F696" s="53">
        <f>IF(B696="","",IFERROR(INDEX(Client_List!$D:$D,MATCH(VALUE(B696),Client_List!$A:$A,0)),""))</f>
        <v/>
      </c>
      <c r="G696" s="53">
        <f>IF(B696="","",IFERROR(INDEX(Client_List!$K:$K,MATCH(VALUE(B696),Client_List!$A:$A,0)),""))</f>
        <v/>
      </c>
      <c r="H696" s="32">
        <f>IF(B696="","",IFERROR(INDEX(Client_List!$J:$J,MATCH(VALUE(B696),Client_List!$A:$A,0)),""))</f>
        <v/>
      </c>
      <c r="I696" s="70">
        <f>IF(B696="","",IFERROR(A696-LOOKUP(2,1/($B$4:$B695=B696),$A$4:$A695),""))</f>
        <v/>
      </c>
      <c r="J696" s="32">
        <f>IF(B696="","",IFERROR(D696/I696,""))</f>
        <v/>
      </c>
      <c r="K696" s="71">
        <f>IF(B696="","",IFERROR(AVERAGEIFS($J$4:$J696,$B$4:$B696,B696,$J$4:$J696,"&gt;"&amp;0),""))</f>
        <v/>
      </c>
      <c r="L696" s="4" t="n"/>
    </row>
    <row r="697" ht="14" customHeight="1" s="72">
      <c r="A697" s="75" t="n">
        <v>46080</v>
      </c>
      <c r="B697" s="76" t="n">
        <v>13009</v>
      </c>
      <c r="C697" s="69">
        <f>IF(B697="","",IFERROR(INDEX(Client_List!$B:$B,MATCH(B697,Client_List!$A:$A,0)),"⚠ NOT FOUND"))</f>
        <v/>
      </c>
      <c r="D697" s="43" t="n">
        <v>1068</v>
      </c>
      <c r="E697" s="32">
        <f>IF(B697="","",IFERROR(INDEX(Client_List!$C:$C,MATCH(VALUE(B697),Client_List!$A:$A,0)),""))</f>
        <v/>
      </c>
      <c r="F697" s="53">
        <f>IF(B697="","",IFERROR(INDEX(Client_List!$D:$D,MATCH(VALUE(B697),Client_List!$A:$A,0)),""))</f>
        <v/>
      </c>
      <c r="G697" s="53">
        <f>IF(B697="","",IFERROR(INDEX(Client_List!$K:$K,MATCH(VALUE(B697),Client_List!$A:$A,0)),""))</f>
        <v/>
      </c>
      <c r="H697" s="32">
        <f>IF(B697="","",IFERROR(INDEX(Client_List!$J:$J,MATCH(VALUE(B697),Client_List!$A:$A,0)),""))</f>
        <v/>
      </c>
      <c r="I697" s="70">
        <f>IF(B697="","",IFERROR(A697-LOOKUP(2,1/($B$4:$B696=B697),$A$4:$A696),""))</f>
        <v/>
      </c>
      <c r="J697" s="32">
        <f>IF(B697="","",IFERROR(D697/I697,""))</f>
        <v/>
      </c>
      <c r="K697" s="71">
        <f>IF(B697="","",IFERROR(AVERAGEIFS($J$4:$J697,$B$4:$B697,B697,$J$4:$J697,"&gt;"&amp;0),""))</f>
        <v/>
      </c>
      <c r="L697" s="7" t="n"/>
    </row>
    <row r="698" ht="14" customHeight="1" s="72">
      <c r="A698" s="75" t="n">
        <v>46080</v>
      </c>
      <c r="B698" s="76" t="n">
        <v>13086</v>
      </c>
      <c r="C698" s="69">
        <f>IF(B698="","",IFERROR(INDEX(Client_List!$B:$B,MATCH(B698,Client_List!$A:$A,0)),"⚠ NOT FOUND"))</f>
        <v/>
      </c>
      <c r="D698" s="43" t="n">
        <v>342</v>
      </c>
      <c r="E698" s="32">
        <f>IF(B698="","",IFERROR(INDEX(Client_List!$C:$C,MATCH(VALUE(B698),Client_List!$A:$A,0)),""))</f>
        <v/>
      </c>
      <c r="F698" s="53">
        <f>IF(B698="","",IFERROR(INDEX(Client_List!$D:$D,MATCH(VALUE(B698),Client_List!$A:$A,0)),""))</f>
        <v/>
      </c>
      <c r="G698" s="53">
        <f>IF(B698="","",IFERROR(INDEX(Client_List!$K:$K,MATCH(VALUE(B698),Client_List!$A:$A,0)),""))</f>
        <v/>
      </c>
      <c r="H698" s="32">
        <f>IF(B698="","",IFERROR(INDEX(Client_List!$J:$J,MATCH(VALUE(B698),Client_List!$A:$A,0)),""))</f>
        <v/>
      </c>
      <c r="I698" s="70">
        <f>IF(B698="","",IFERROR(A698-LOOKUP(2,1/($B$4:$B697=B698),$A$4:$A697),""))</f>
        <v/>
      </c>
      <c r="J698" s="32">
        <f>IF(B698="","",IFERROR(D698/I698,""))</f>
        <v/>
      </c>
      <c r="K698" s="71">
        <f>IF(B698="","",IFERROR(AVERAGEIFS($J$4:$J698,$B$4:$B698,B698,$J$4:$J698,"&gt;"&amp;0),""))</f>
        <v/>
      </c>
      <c r="L698" s="4" t="n"/>
    </row>
    <row r="699" ht="14" customHeight="1" s="72">
      <c r="A699" s="75" t="n">
        <v>46080</v>
      </c>
      <c r="B699" s="76" t="n">
        <v>15000</v>
      </c>
      <c r="C699" s="69">
        <f>IF(B699="","",IFERROR(INDEX(Client_List!$B:$B,MATCH(B699,Client_List!$A:$A,0)),"⚠ NOT FOUND"))</f>
        <v/>
      </c>
      <c r="D699" s="43" t="n">
        <v>851</v>
      </c>
      <c r="E699" s="32">
        <f>IF(B699="","",IFERROR(INDEX(Client_List!$C:$C,MATCH(VALUE(B699),Client_List!$A:$A,0)),""))</f>
        <v/>
      </c>
      <c r="F699" s="53">
        <f>IF(B699="","",IFERROR(INDEX(Client_List!$D:$D,MATCH(VALUE(B699),Client_List!$A:$A,0)),""))</f>
        <v/>
      </c>
      <c r="G699" s="53">
        <f>IF(B699="","",IFERROR(INDEX(Client_List!$K:$K,MATCH(VALUE(B699),Client_List!$A:$A,0)),""))</f>
        <v/>
      </c>
      <c r="H699" s="32">
        <f>IF(B699="","",IFERROR(INDEX(Client_List!$J:$J,MATCH(VALUE(B699),Client_List!$A:$A,0)),""))</f>
        <v/>
      </c>
      <c r="I699" s="70">
        <f>IF(B699="","",IFERROR(A699-LOOKUP(2,1/($B$4:$B698=B699),$A$4:$A698),""))</f>
        <v/>
      </c>
      <c r="J699" s="32">
        <f>IF(B699="","",IFERROR(D699/I699,""))</f>
        <v/>
      </c>
      <c r="K699" s="71">
        <f>IF(B699="","",IFERROR(AVERAGEIFS($J$4:$J699,$B$4:$B699,B699,$J$4:$J699,"&gt;"&amp;0),""))</f>
        <v/>
      </c>
      <c r="L699" s="7" t="n"/>
    </row>
    <row r="700" ht="14" customHeight="1" s="72">
      <c r="A700" s="75" t="n">
        <v>46080</v>
      </c>
      <c r="B700" s="76" t="n">
        <v>15027</v>
      </c>
      <c r="C700" s="69">
        <f>IF(B700="","",IFERROR(INDEX(Client_List!$B:$B,MATCH(B700,Client_List!$A:$A,0)),"⚠ NOT FOUND"))</f>
        <v/>
      </c>
      <c r="D700" s="43" t="n">
        <v>615</v>
      </c>
      <c r="E700" s="32">
        <f>IF(B700="","",IFERROR(INDEX(Client_List!$C:$C,MATCH(VALUE(B700),Client_List!$A:$A,0)),""))</f>
        <v/>
      </c>
      <c r="F700" s="53">
        <f>IF(B700="","",IFERROR(INDEX(Client_List!$D:$D,MATCH(VALUE(B700),Client_List!$A:$A,0)),""))</f>
        <v/>
      </c>
      <c r="G700" s="53">
        <f>IF(B700="","",IFERROR(INDEX(Client_List!$K:$K,MATCH(VALUE(B700),Client_List!$A:$A,0)),""))</f>
        <v/>
      </c>
      <c r="H700" s="32">
        <f>IF(B700="","",IFERROR(INDEX(Client_List!$J:$J,MATCH(VALUE(B700),Client_List!$A:$A,0)),""))</f>
        <v/>
      </c>
      <c r="I700" s="70">
        <f>IF(B700="","",IFERROR(A700-LOOKUP(2,1/($B$4:$B699=B700),$A$4:$A699),""))</f>
        <v/>
      </c>
      <c r="J700" s="32">
        <f>IF(B700="","",IFERROR(D700/I700,""))</f>
        <v/>
      </c>
      <c r="K700" s="71">
        <f>IF(B700="","",IFERROR(AVERAGEIFS($J$4:$J700,$B$4:$B700,B700,$J$4:$J700,"&gt;"&amp;0),""))</f>
        <v/>
      </c>
      <c r="L700" s="4" t="n"/>
    </row>
    <row r="701" ht="14" customHeight="1" s="72">
      <c r="A701" s="75" t="n">
        <v>46080</v>
      </c>
      <c r="B701" s="76" t="n">
        <v>16003</v>
      </c>
      <c r="C701" s="69">
        <f>IF(B701="","",IFERROR(INDEX(Client_List!$B:$B,MATCH(B701,Client_List!$A:$A,0)),"⚠ NOT FOUND"))</f>
        <v/>
      </c>
      <c r="D701" s="43" t="n">
        <v>676</v>
      </c>
      <c r="E701" s="32">
        <f>IF(B701="","",IFERROR(INDEX(Client_List!$C:$C,MATCH(VALUE(B701),Client_List!$A:$A,0)),""))</f>
        <v/>
      </c>
      <c r="F701" s="53">
        <f>IF(B701="","",IFERROR(INDEX(Client_List!$D:$D,MATCH(VALUE(B701),Client_List!$A:$A,0)),""))</f>
        <v/>
      </c>
      <c r="G701" s="53">
        <f>IF(B701="","",IFERROR(INDEX(Client_List!$K:$K,MATCH(VALUE(B701),Client_List!$A:$A,0)),""))</f>
        <v/>
      </c>
      <c r="H701" s="32">
        <f>IF(B701="","",IFERROR(INDEX(Client_List!$J:$J,MATCH(VALUE(B701),Client_List!$A:$A,0)),""))</f>
        <v/>
      </c>
      <c r="I701" s="70">
        <f>IF(B701="","",IFERROR(A701-LOOKUP(2,1/($B$4:$B700=B701),$A$4:$A700),""))</f>
        <v/>
      </c>
      <c r="J701" s="32">
        <f>IF(B701="","",IFERROR(D701/I701,""))</f>
        <v/>
      </c>
      <c r="K701" s="71">
        <f>IF(B701="","",IFERROR(AVERAGEIFS($J$4:$J701,$B$4:$B701,B701,$J$4:$J701,"&gt;"&amp;0),""))</f>
        <v/>
      </c>
      <c r="L701" s="7" t="n"/>
    </row>
    <row r="702" ht="14" customHeight="1" s="72">
      <c r="A702" s="75" t="n">
        <v>46080</v>
      </c>
      <c r="B702" s="76" t="n">
        <v>16006</v>
      </c>
      <c r="C702" s="69">
        <f>IF(B702="","",IFERROR(INDEX(Client_List!$B:$B,MATCH(B702,Client_List!$A:$A,0)),"⚠ NOT FOUND"))</f>
        <v/>
      </c>
      <c r="D702" s="43" t="n">
        <v>793</v>
      </c>
      <c r="E702" s="32">
        <f>IF(B702="","",IFERROR(INDEX(Client_List!$C:$C,MATCH(VALUE(B702),Client_List!$A:$A,0)),""))</f>
        <v/>
      </c>
      <c r="F702" s="53">
        <f>IF(B702="","",IFERROR(INDEX(Client_List!$D:$D,MATCH(VALUE(B702),Client_List!$A:$A,0)),""))</f>
        <v/>
      </c>
      <c r="G702" s="53">
        <f>IF(B702="","",IFERROR(INDEX(Client_List!$K:$K,MATCH(VALUE(B702),Client_List!$A:$A,0)),""))</f>
        <v/>
      </c>
      <c r="H702" s="32">
        <f>IF(B702="","",IFERROR(INDEX(Client_List!$J:$J,MATCH(VALUE(B702),Client_List!$A:$A,0)),""))</f>
        <v/>
      </c>
      <c r="I702" s="70">
        <f>IF(B702="","",IFERROR(A702-LOOKUP(2,1/($B$4:$B701=B702),$A$4:$A701),""))</f>
        <v/>
      </c>
      <c r="J702" s="32">
        <f>IF(B702="","",IFERROR(D702/I702,""))</f>
        <v/>
      </c>
      <c r="K702" s="71">
        <f>IF(B702="","",IFERROR(AVERAGEIFS($J$4:$J702,$B$4:$B702,B702,$J$4:$J702,"&gt;"&amp;0),""))</f>
        <v/>
      </c>
      <c r="L702" s="4" t="n"/>
    </row>
    <row r="703" ht="14" customHeight="1" s="72">
      <c r="A703" s="75" t="n">
        <v>46080</v>
      </c>
      <c r="B703" s="76" t="n">
        <v>19033</v>
      </c>
      <c r="C703" s="69">
        <f>IF(B703="","",IFERROR(INDEX(Client_List!$B:$B,MATCH(B703,Client_List!$A:$A,0)),"⚠ NOT FOUND"))</f>
        <v/>
      </c>
      <c r="D703" s="43" t="n">
        <v>193</v>
      </c>
      <c r="E703" s="32">
        <f>IF(B703="","",IFERROR(INDEX(Client_List!$C:$C,MATCH(VALUE(B703),Client_List!$A:$A,0)),""))</f>
        <v/>
      </c>
      <c r="F703" s="53">
        <f>IF(B703="","",IFERROR(INDEX(Client_List!$D:$D,MATCH(VALUE(B703),Client_List!$A:$A,0)),""))</f>
        <v/>
      </c>
      <c r="G703" s="53">
        <f>IF(B703="","",IFERROR(INDEX(Client_List!$K:$K,MATCH(VALUE(B703),Client_List!$A:$A,0)),""))</f>
        <v/>
      </c>
      <c r="H703" s="32">
        <f>IF(B703="","",IFERROR(INDEX(Client_List!$J:$J,MATCH(VALUE(B703),Client_List!$A:$A,0)),""))</f>
        <v/>
      </c>
      <c r="I703" s="70">
        <f>IF(B703="","",IFERROR(A703-LOOKUP(2,1/($B$4:$B702=B703),$A$4:$A702),""))</f>
        <v/>
      </c>
      <c r="J703" s="32">
        <f>IF(B703="","",IFERROR(D703/I703,""))</f>
        <v/>
      </c>
      <c r="K703" s="71">
        <f>IF(B703="","",IFERROR(AVERAGEIFS($J$4:$J703,$B$4:$B703,B703,$J$4:$J703,"&gt;"&amp;0),""))</f>
        <v/>
      </c>
      <c r="L703" s="7" t="n"/>
    </row>
    <row r="704" ht="14" customHeight="1" s="72">
      <c r="A704" s="75" t="n">
        <v>46080</v>
      </c>
      <c r="B704" s="76" t="n">
        <v>19110</v>
      </c>
      <c r="C704" s="69">
        <f>IF(B704="","",IFERROR(INDEX(Client_List!$B:$B,MATCH(B704,Client_List!$A:$A,0)),"⚠ NOT FOUND"))</f>
        <v/>
      </c>
      <c r="D704" s="43" t="n">
        <v>102</v>
      </c>
      <c r="E704" s="32">
        <f>IF(B704="","",IFERROR(INDEX(Client_List!$C:$C,MATCH(VALUE(B704),Client_List!$A:$A,0)),""))</f>
        <v/>
      </c>
      <c r="F704" s="53">
        <f>IF(B704="","",IFERROR(INDEX(Client_List!$D:$D,MATCH(VALUE(B704),Client_List!$A:$A,0)),""))</f>
        <v/>
      </c>
      <c r="G704" s="53">
        <f>IF(B704="","",IFERROR(INDEX(Client_List!$K:$K,MATCH(VALUE(B704),Client_List!$A:$A,0)),""))</f>
        <v/>
      </c>
      <c r="H704" s="32">
        <f>IF(B704="","",IFERROR(INDEX(Client_List!$J:$J,MATCH(VALUE(B704),Client_List!$A:$A,0)),""))</f>
        <v/>
      </c>
      <c r="I704" s="70">
        <f>IF(B704="","",IFERROR(A704-LOOKUP(2,1/($B$4:$B703=B704),$A$4:$A703),""))</f>
        <v/>
      </c>
      <c r="J704" s="32">
        <f>IF(B704="","",IFERROR(D704/I704,""))</f>
        <v/>
      </c>
      <c r="K704" s="71">
        <f>IF(B704="","",IFERROR(AVERAGEIFS($J$4:$J704,$B$4:$B704,B704,$J$4:$J704,"&gt;"&amp;0),""))</f>
        <v/>
      </c>
      <c r="L704" s="4" t="n"/>
    </row>
    <row r="705" ht="14" customHeight="1" s="72">
      <c r="A705" s="75" t="n">
        <v>46080</v>
      </c>
      <c r="B705" s="76" t="n">
        <v>19119</v>
      </c>
      <c r="C705" s="69">
        <f>IF(B705="","",IFERROR(INDEX(Client_List!$B:$B,MATCH(B705,Client_List!$A:$A,0)),"⚠ NOT FOUND"))</f>
        <v/>
      </c>
      <c r="D705" s="43" t="n">
        <v>437</v>
      </c>
      <c r="E705" s="32">
        <f>IF(B705="","",IFERROR(INDEX(Client_List!$C:$C,MATCH(VALUE(B705),Client_List!$A:$A,0)),""))</f>
        <v/>
      </c>
      <c r="F705" s="53">
        <f>IF(B705="","",IFERROR(INDEX(Client_List!$D:$D,MATCH(VALUE(B705),Client_List!$A:$A,0)),""))</f>
        <v/>
      </c>
      <c r="G705" s="53">
        <f>IF(B705="","",IFERROR(INDEX(Client_List!$K:$K,MATCH(VALUE(B705),Client_List!$A:$A,0)),""))</f>
        <v/>
      </c>
      <c r="H705" s="32">
        <f>IF(B705="","",IFERROR(INDEX(Client_List!$J:$J,MATCH(VALUE(B705),Client_List!$A:$A,0)),""))</f>
        <v/>
      </c>
      <c r="I705" s="70">
        <f>IF(B705="","",IFERROR(A705-LOOKUP(2,1/($B$4:$B704=B705),$A$4:$A704),""))</f>
        <v/>
      </c>
      <c r="J705" s="32">
        <f>IF(B705="","",IFERROR(D705/I705,""))</f>
        <v/>
      </c>
      <c r="K705" s="71">
        <f>IF(B705="","",IFERROR(AVERAGEIFS($J$4:$J705,$B$4:$B705,B705,$J$4:$J705,"&gt;"&amp;0),""))</f>
        <v/>
      </c>
      <c r="L705" s="7" t="n"/>
    </row>
    <row r="706" ht="14" customHeight="1" s="72">
      <c r="A706" s="75" t="n">
        <v>46080</v>
      </c>
      <c r="B706" s="76" t="n">
        <v>19123</v>
      </c>
      <c r="C706" s="69">
        <f>IF(B706="","",IFERROR(INDEX(Client_List!$B:$B,MATCH(B706,Client_List!$A:$A,0)),"⚠ NOT FOUND"))</f>
        <v/>
      </c>
      <c r="D706" s="43" t="n">
        <v>102</v>
      </c>
      <c r="E706" s="32">
        <f>IF(B706="","",IFERROR(INDEX(Client_List!$C:$C,MATCH(VALUE(B706),Client_List!$A:$A,0)),""))</f>
        <v/>
      </c>
      <c r="F706" s="53">
        <f>IF(B706="","",IFERROR(INDEX(Client_List!$D:$D,MATCH(VALUE(B706),Client_List!$A:$A,0)),""))</f>
        <v/>
      </c>
      <c r="G706" s="53">
        <f>IF(B706="","",IFERROR(INDEX(Client_List!$K:$K,MATCH(VALUE(B706),Client_List!$A:$A,0)),""))</f>
        <v/>
      </c>
      <c r="H706" s="32">
        <f>IF(B706="","",IFERROR(INDEX(Client_List!$J:$J,MATCH(VALUE(B706),Client_List!$A:$A,0)),""))</f>
        <v/>
      </c>
      <c r="I706" s="70">
        <f>IF(B706="","",IFERROR(A706-LOOKUP(2,1/($B$4:$B705=B706),$A$4:$A705),""))</f>
        <v/>
      </c>
      <c r="J706" s="32">
        <f>IF(B706="","",IFERROR(D706/I706,""))</f>
        <v/>
      </c>
      <c r="K706" s="71">
        <f>IF(B706="","",IFERROR(AVERAGEIFS($J$4:$J706,$B$4:$B706,B706,$J$4:$J706,"&gt;"&amp;0),""))</f>
        <v/>
      </c>
      <c r="L706" s="4" t="n"/>
    </row>
    <row r="707" ht="14" customHeight="1" s="72">
      <c r="A707" s="75" t="n">
        <v>46081</v>
      </c>
      <c r="B707" s="76" t="n">
        <v>1000</v>
      </c>
      <c r="C707" s="69">
        <f>IF(B707="","",IFERROR(INDEX(Client_List!$B:$B,MATCH(B707,Client_List!$A:$A,0)),"⚠ NOT FOUND"))</f>
        <v/>
      </c>
      <c r="D707" s="43" t="n">
        <v>586</v>
      </c>
      <c r="E707" s="32">
        <f>IF(B707="","",IFERROR(INDEX(Client_List!$C:$C,MATCH(VALUE(B707),Client_List!$A:$A,0)),""))</f>
        <v/>
      </c>
      <c r="F707" s="53">
        <f>IF(B707="","",IFERROR(INDEX(Client_List!$D:$D,MATCH(VALUE(B707),Client_List!$A:$A,0)),""))</f>
        <v/>
      </c>
      <c r="G707" s="53">
        <f>IF(B707="","",IFERROR(INDEX(Client_List!$K:$K,MATCH(VALUE(B707),Client_List!$A:$A,0)),""))</f>
        <v/>
      </c>
      <c r="H707" s="32">
        <f>IF(B707="","",IFERROR(INDEX(Client_List!$J:$J,MATCH(VALUE(B707),Client_List!$A:$A,0)),""))</f>
        <v/>
      </c>
      <c r="I707" s="70">
        <f>IF(B707="","",IFERROR(A707-LOOKUP(2,1/($B$4:$B706=B707),$A$4:$A706),""))</f>
        <v/>
      </c>
      <c r="J707" s="32">
        <f>IF(B707="","",IFERROR(D707/I707,""))</f>
        <v/>
      </c>
      <c r="K707" s="71">
        <f>IF(B707="","",IFERROR(AVERAGEIFS($J$4:$J707,$B$4:$B707,B707,$J$4:$J707,"&gt;"&amp;0),""))</f>
        <v/>
      </c>
      <c r="L707" s="7" t="n"/>
    </row>
    <row r="708" ht="14" customHeight="1" s="72">
      <c r="A708" s="75" t="n">
        <v>46081</v>
      </c>
      <c r="B708" s="76" t="n">
        <v>1018</v>
      </c>
      <c r="C708" s="69">
        <f>IF(B708="","",IFERROR(INDEX(Client_List!$B:$B,MATCH(B708,Client_List!$A:$A,0)),"⚠ NOT FOUND"))</f>
        <v/>
      </c>
      <c r="D708" s="43" t="n">
        <v>766</v>
      </c>
      <c r="E708" s="32">
        <f>IF(B708="","",IFERROR(INDEX(Client_List!$C:$C,MATCH(VALUE(B708),Client_List!$A:$A,0)),""))</f>
        <v/>
      </c>
      <c r="F708" s="53">
        <f>IF(B708="","",IFERROR(INDEX(Client_List!$D:$D,MATCH(VALUE(B708),Client_List!$A:$A,0)),""))</f>
        <v/>
      </c>
      <c r="G708" s="53">
        <f>IF(B708="","",IFERROR(INDEX(Client_List!$K:$K,MATCH(VALUE(B708),Client_List!$A:$A,0)),""))</f>
        <v/>
      </c>
      <c r="H708" s="32">
        <f>IF(B708="","",IFERROR(INDEX(Client_List!$J:$J,MATCH(VALUE(B708),Client_List!$A:$A,0)),""))</f>
        <v/>
      </c>
      <c r="I708" s="70">
        <f>IF(B708="","",IFERROR(A708-LOOKUP(2,1/($B$4:$B707=B708),$A$4:$A707),""))</f>
        <v/>
      </c>
      <c r="J708" s="32">
        <f>IF(B708="","",IFERROR(D708/I708,""))</f>
        <v/>
      </c>
      <c r="K708" s="71">
        <f>IF(B708="","",IFERROR(AVERAGEIFS($J$4:$J708,$B$4:$B708,B708,$J$4:$J708,"&gt;"&amp;0),""))</f>
        <v/>
      </c>
      <c r="L708" s="4" t="n"/>
    </row>
    <row r="709" ht="14" customHeight="1" s="72">
      <c r="A709" s="75" t="n">
        <v>46081</v>
      </c>
      <c r="B709" s="76" t="n">
        <v>1057</v>
      </c>
      <c r="C709" s="69">
        <f>IF(B709="","",IFERROR(INDEX(Client_List!$B:$B,MATCH(B709,Client_List!$A:$A,0)),"⚠ NOT FOUND"))</f>
        <v/>
      </c>
      <c r="D709" s="43" t="n">
        <v>738</v>
      </c>
      <c r="E709" s="32">
        <f>IF(B709="","",IFERROR(INDEX(Client_List!$C:$C,MATCH(VALUE(B709),Client_List!$A:$A,0)),""))</f>
        <v/>
      </c>
      <c r="F709" s="53">
        <f>IF(B709="","",IFERROR(INDEX(Client_List!$D:$D,MATCH(VALUE(B709),Client_List!$A:$A,0)),""))</f>
        <v/>
      </c>
      <c r="G709" s="53">
        <f>IF(B709="","",IFERROR(INDEX(Client_List!$K:$K,MATCH(VALUE(B709),Client_List!$A:$A,0)),""))</f>
        <v/>
      </c>
      <c r="H709" s="32">
        <f>IF(B709="","",IFERROR(INDEX(Client_List!$J:$J,MATCH(VALUE(B709),Client_List!$A:$A,0)),""))</f>
        <v/>
      </c>
      <c r="I709" s="70">
        <f>IF(B709="","",IFERROR(A709-LOOKUP(2,1/($B$4:$B708=B709),$A$4:$A708),""))</f>
        <v/>
      </c>
      <c r="J709" s="32">
        <f>IF(B709="","",IFERROR(D709/I709,""))</f>
        <v/>
      </c>
      <c r="K709" s="71">
        <f>IF(B709="","",IFERROR(AVERAGEIFS($J$4:$J709,$B$4:$B709,B709,$J$4:$J709,"&gt;"&amp;0),""))</f>
        <v/>
      </c>
      <c r="L709" s="7" t="n"/>
    </row>
    <row r="710" ht="14" customHeight="1" s="72">
      <c r="A710" s="75" t="n">
        <v>46081</v>
      </c>
      <c r="B710" s="76" t="n">
        <v>2023</v>
      </c>
      <c r="C710" s="69">
        <f>IF(B710="","",IFERROR(INDEX(Client_List!$B:$B,MATCH(B710,Client_List!$A:$A,0)),"⚠ NOT FOUND"))</f>
        <v/>
      </c>
      <c r="D710" s="43" t="n">
        <v>829</v>
      </c>
      <c r="E710" s="32">
        <f>IF(B710="","",IFERROR(INDEX(Client_List!$C:$C,MATCH(VALUE(B710),Client_List!$A:$A,0)),""))</f>
        <v/>
      </c>
      <c r="F710" s="53">
        <f>IF(B710="","",IFERROR(INDEX(Client_List!$D:$D,MATCH(VALUE(B710),Client_List!$A:$A,0)),""))</f>
        <v/>
      </c>
      <c r="G710" s="53">
        <f>IF(B710="","",IFERROR(INDEX(Client_List!$K:$K,MATCH(VALUE(B710),Client_List!$A:$A,0)),""))</f>
        <v/>
      </c>
      <c r="H710" s="32">
        <f>IF(B710="","",IFERROR(INDEX(Client_List!$J:$J,MATCH(VALUE(B710),Client_List!$A:$A,0)),""))</f>
        <v/>
      </c>
      <c r="I710" s="70">
        <f>IF(B710="","",IFERROR(A710-LOOKUP(2,1/($B$4:$B709=B710),$A$4:$A709),""))</f>
        <v/>
      </c>
      <c r="J710" s="32">
        <f>IF(B710="","",IFERROR(D710/I710,""))</f>
        <v/>
      </c>
      <c r="K710" s="71">
        <f>IF(B710="","",IFERROR(AVERAGEIFS($J$4:$J710,$B$4:$B710,B710,$J$4:$J710,"&gt;"&amp;0),""))</f>
        <v/>
      </c>
      <c r="L710" s="4" t="n"/>
    </row>
    <row r="711" ht="14" customHeight="1" s="72">
      <c r="A711" s="75" t="n">
        <v>46081</v>
      </c>
      <c r="B711" s="76" t="n">
        <v>15021</v>
      </c>
      <c r="C711" s="69">
        <f>IF(B711="","",IFERROR(INDEX(Client_List!$B:$B,MATCH(B711,Client_List!$A:$A,0)),"⚠ NOT FOUND"))</f>
        <v/>
      </c>
      <c r="D711" s="43" t="n">
        <v>328</v>
      </c>
      <c r="E711" s="32">
        <f>IF(B711="","",IFERROR(INDEX(Client_List!$C:$C,MATCH(VALUE(B711),Client_List!$A:$A,0)),""))</f>
        <v/>
      </c>
      <c r="F711" s="53">
        <f>IF(B711="","",IFERROR(INDEX(Client_List!$D:$D,MATCH(VALUE(B711),Client_List!$A:$A,0)),""))</f>
        <v/>
      </c>
      <c r="G711" s="53">
        <f>IF(B711="","",IFERROR(INDEX(Client_List!$K:$K,MATCH(VALUE(B711),Client_List!$A:$A,0)),""))</f>
        <v/>
      </c>
      <c r="H711" s="32">
        <f>IF(B711="","",IFERROR(INDEX(Client_List!$J:$J,MATCH(VALUE(B711),Client_List!$A:$A,0)),""))</f>
        <v/>
      </c>
      <c r="I711" s="70">
        <f>IF(B711="","",IFERROR(A711-LOOKUP(2,1/($B$4:$B710=B711),$A$4:$A710),""))</f>
        <v/>
      </c>
      <c r="J711" s="32">
        <f>IF(B711="","",IFERROR(D711/I711,""))</f>
        <v/>
      </c>
      <c r="K711" s="71">
        <f>IF(B711="","",IFERROR(AVERAGEIFS($J$4:$J711,$B$4:$B711,B711,$J$4:$J711,"&gt;"&amp;0),""))</f>
        <v/>
      </c>
      <c r="L711" s="7" t="n"/>
    </row>
    <row r="712" ht="14" customHeight="1" s="72">
      <c r="A712" s="75" t="n">
        <v>46081</v>
      </c>
      <c r="B712" s="76" t="n">
        <v>15028</v>
      </c>
      <c r="C712" s="69">
        <f>IF(B712="","",IFERROR(INDEX(Client_List!$B:$B,MATCH(B712,Client_List!$A:$A,0)),"⚠ NOT FOUND"))</f>
        <v/>
      </c>
      <c r="D712" s="43" t="n">
        <v>598</v>
      </c>
      <c r="E712" s="32">
        <f>IF(B712="","",IFERROR(INDEX(Client_List!$C:$C,MATCH(VALUE(B712),Client_List!$A:$A,0)),""))</f>
        <v/>
      </c>
      <c r="F712" s="53">
        <f>IF(B712="","",IFERROR(INDEX(Client_List!$D:$D,MATCH(VALUE(B712),Client_List!$A:$A,0)),""))</f>
        <v/>
      </c>
      <c r="G712" s="53">
        <f>IF(B712="","",IFERROR(INDEX(Client_List!$K:$K,MATCH(VALUE(B712),Client_List!$A:$A,0)),""))</f>
        <v/>
      </c>
      <c r="H712" s="32">
        <f>IF(B712="","",IFERROR(INDEX(Client_List!$J:$J,MATCH(VALUE(B712),Client_List!$A:$A,0)),""))</f>
        <v/>
      </c>
      <c r="I712" s="70">
        <f>IF(B712="","",IFERROR(A712-LOOKUP(2,1/($B$4:$B711=B712),$A$4:$A711),""))</f>
        <v/>
      </c>
      <c r="J712" s="32">
        <f>IF(B712="","",IFERROR(D712/I712,""))</f>
        <v/>
      </c>
      <c r="K712" s="71">
        <f>IF(B712="","",IFERROR(AVERAGEIFS($J$4:$J712,$B$4:$B712,B712,$J$4:$J712,"&gt;"&amp;0),""))</f>
        <v/>
      </c>
      <c r="L712" s="4" t="n"/>
    </row>
    <row r="713" ht="14" customHeight="1" s="72">
      <c r="A713" s="75" t="n">
        <v>46081</v>
      </c>
      <c r="B713" s="76" t="n">
        <v>15033</v>
      </c>
      <c r="C713" s="69">
        <f>IF(B713="","",IFERROR(INDEX(Client_List!$B:$B,MATCH(B713,Client_List!$A:$A,0)),"⚠ NOT FOUND"))</f>
        <v/>
      </c>
      <c r="D713" s="43" t="n">
        <v>346</v>
      </c>
      <c r="E713" s="32">
        <f>IF(B713="","",IFERROR(INDEX(Client_List!$C:$C,MATCH(VALUE(B713),Client_List!$A:$A,0)),""))</f>
        <v/>
      </c>
      <c r="F713" s="53">
        <f>IF(B713="","",IFERROR(INDEX(Client_List!$D:$D,MATCH(VALUE(B713),Client_List!$A:$A,0)),""))</f>
        <v/>
      </c>
      <c r="G713" s="53">
        <f>IF(B713="","",IFERROR(INDEX(Client_List!$K:$K,MATCH(VALUE(B713),Client_List!$A:$A,0)),""))</f>
        <v/>
      </c>
      <c r="H713" s="32">
        <f>IF(B713="","",IFERROR(INDEX(Client_List!$J:$J,MATCH(VALUE(B713),Client_List!$A:$A,0)),""))</f>
        <v/>
      </c>
      <c r="I713" s="70">
        <f>IF(B713="","",IFERROR(A713-LOOKUP(2,1/($B$4:$B712=B713),$A$4:$A712),""))</f>
        <v/>
      </c>
      <c r="J713" s="32">
        <f>IF(B713="","",IFERROR(D713/I713,""))</f>
        <v/>
      </c>
      <c r="K713" s="71">
        <f>IF(B713="","",IFERROR(AVERAGEIFS($J$4:$J713,$B$4:$B713,B713,$J$4:$J713,"&gt;"&amp;0),""))</f>
        <v/>
      </c>
      <c r="L713" s="7" t="n"/>
    </row>
    <row r="714" ht="14" customHeight="1" s="72">
      <c r="A714" s="75" t="n">
        <v>46081</v>
      </c>
      <c r="B714" s="76" t="n">
        <v>16015</v>
      </c>
      <c r="C714" s="69">
        <f>IF(B714="","",IFERROR(INDEX(Client_List!$B:$B,MATCH(B714,Client_List!$A:$A,0)),"⚠ NOT FOUND"))</f>
        <v/>
      </c>
      <c r="D714" s="43" t="n">
        <v>1377</v>
      </c>
      <c r="E714" s="32">
        <f>IF(B714="","",IFERROR(INDEX(Client_List!$C:$C,MATCH(VALUE(B714),Client_List!$A:$A,0)),""))</f>
        <v/>
      </c>
      <c r="F714" s="53">
        <f>IF(B714="","",IFERROR(INDEX(Client_List!$D:$D,MATCH(VALUE(B714),Client_List!$A:$A,0)),""))</f>
        <v/>
      </c>
      <c r="G714" s="53">
        <f>IF(B714="","",IFERROR(INDEX(Client_List!$K:$K,MATCH(VALUE(B714),Client_List!$A:$A,0)),""))</f>
        <v/>
      </c>
      <c r="H714" s="32">
        <f>IF(B714="","",IFERROR(INDEX(Client_List!$J:$J,MATCH(VALUE(B714),Client_List!$A:$A,0)),""))</f>
        <v/>
      </c>
      <c r="I714" s="70">
        <f>IF(B714="","",IFERROR(A714-LOOKUP(2,1/($B$4:$B713=B714),$A$4:$A713),""))</f>
        <v/>
      </c>
      <c r="J714" s="32">
        <f>IF(B714="","",IFERROR(D714/I714,""))</f>
        <v/>
      </c>
      <c r="K714" s="71">
        <f>IF(B714="","",IFERROR(AVERAGEIFS($J$4:$J714,$B$4:$B714,B714,$J$4:$J714,"&gt;"&amp;0),""))</f>
        <v/>
      </c>
      <c r="L714" s="4" t="n"/>
    </row>
    <row r="715" ht="14" customHeight="1" s="72">
      <c r="A715" s="75" t="n">
        <v>46081</v>
      </c>
      <c r="B715" s="76" t="n">
        <v>16027</v>
      </c>
      <c r="C715" s="69">
        <f>IF(B715="","",IFERROR(INDEX(Client_List!$B:$B,MATCH(B715,Client_List!$A:$A,0)),"⚠ NOT FOUND"))</f>
        <v/>
      </c>
      <c r="D715" s="43" t="n">
        <v>649</v>
      </c>
      <c r="E715" s="32">
        <f>IF(B715="","",IFERROR(INDEX(Client_List!$C:$C,MATCH(VALUE(B715),Client_List!$A:$A,0)),""))</f>
        <v/>
      </c>
      <c r="F715" s="53">
        <f>IF(B715="","",IFERROR(INDEX(Client_List!$D:$D,MATCH(VALUE(B715),Client_List!$A:$A,0)),""))</f>
        <v/>
      </c>
      <c r="G715" s="53">
        <f>IF(B715="","",IFERROR(INDEX(Client_List!$K:$K,MATCH(VALUE(B715),Client_List!$A:$A,0)),""))</f>
        <v/>
      </c>
      <c r="H715" s="32">
        <f>IF(B715="","",IFERROR(INDEX(Client_List!$J:$J,MATCH(VALUE(B715),Client_List!$A:$A,0)),""))</f>
        <v/>
      </c>
      <c r="I715" s="70">
        <f>IF(B715="","",IFERROR(A715-LOOKUP(2,1/($B$4:$B714=B715),$A$4:$A714),""))</f>
        <v/>
      </c>
      <c r="J715" s="32">
        <f>IF(B715="","",IFERROR(D715/I715,""))</f>
        <v/>
      </c>
      <c r="K715" s="71">
        <f>IF(B715="","",IFERROR(AVERAGEIFS($J$4:$J715,$B$4:$B715,B715,$J$4:$J715,"&gt;"&amp;0),""))</f>
        <v/>
      </c>
      <c r="L715" s="7" t="n"/>
    </row>
    <row r="716" ht="14" customHeight="1" s="72">
      <c r="A716" s="75" t="n">
        <v>46081</v>
      </c>
      <c r="B716" s="76" t="n">
        <v>20019</v>
      </c>
      <c r="C716" s="69">
        <f>IF(B716="","",IFERROR(INDEX(Client_List!$B:$B,MATCH(B716,Client_List!$A:$A,0)),"⚠ NOT FOUND"))</f>
        <v/>
      </c>
      <c r="D716" s="43" t="n">
        <v>819</v>
      </c>
      <c r="E716" s="32">
        <f>IF(B716="","",IFERROR(INDEX(Client_List!$C:$C,MATCH(VALUE(B716),Client_List!$A:$A,0)),""))</f>
        <v/>
      </c>
      <c r="F716" s="53">
        <f>IF(B716="","",IFERROR(INDEX(Client_List!$D:$D,MATCH(VALUE(B716),Client_List!$A:$A,0)),""))</f>
        <v/>
      </c>
      <c r="G716" s="53">
        <f>IF(B716="","",IFERROR(INDEX(Client_List!$K:$K,MATCH(VALUE(B716),Client_List!$A:$A,0)),""))</f>
        <v/>
      </c>
      <c r="H716" s="32">
        <f>IF(B716="","",IFERROR(INDEX(Client_List!$J:$J,MATCH(VALUE(B716),Client_List!$A:$A,0)),""))</f>
        <v/>
      </c>
      <c r="I716" s="70">
        <f>IF(B716="","",IFERROR(A716-LOOKUP(2,1/($B$4:$B715=B716),$A$4:$A715),""))</f>
        <v/>
      </c>
      <c r="J716" s="32">
        <f>IF(B716="","",IFERROR(D716/I716,""))</f>
        <v/>
      </c>
      <c r="K716" s="71">
        <f>IF(B716="","",IFERROR(AVERAGEIFS($J$4:$J716,$B$4:$B716,B716,$J$4:$J716,"&gt;"&amp;0),""))</f>
        <v/>
      </c>
      <c r="L716" s="4" t="n"/>
    </row>
    <row r="717" ht="14" customHeight="1" s="72">
      <c r="A717" s="75" t="n">
        <v>46081</v>
      </c>
      <c r="B717" s="76" t="n">
        <v>20097</v>
      </c>
      <c r="C717" s="69">
        <f>IF(B717="","",IFERROR(INDEX(Client_List!$B:$B,MATCH(B717,Client_List!$A:$A,0)),"⚠ NOT FOUND"))</f>
        <v/>
      </c>
      <c r="D717" s="43" t="n">
        <v>928</v>
      </c>
      <c r="E717" s="32">
        <f>IF(B717="","",IFERROR(INDEX(Client_List!$C:$C,MATCH(VALUE(B717),Client_List!$A:$A,0)),""))</f>
        <v/>
      </c>
      <c r="F717" s="53">
        <f>IF(B717="","",IFERROR(INDEX(Client_List!$D:$D,MATCH(VALUE(B717),Client_List!$A:$A,0)),""))</f>
        <v/>
      </c>
      <c r="G717" s="53">
        <f>IF(B717="","",IFERROR(INDEX(Client_List!$K:$K,MATCH(VALUE(B717),Client_List!$A:$A,0)),""))</f>
        <v/>
      </c>
      <c r="H717" s="32">
        <f>IF(B717="","",IFERROR(INDEX(Client_List!$J:$J,MATCH(VALUE(B717),Client_List!$A:$A,0)),""))</f>
        <v/>
      </c>
      <c r="I717" s="70">
        <f>IF(B717="","",IFERROR(A717-LOOKUP(2,1/($B$4:$B716=B717),$A$4:$A716),""))</f>
        <v/>
      </c>
      <c r="J717" s="32">
        <f>IF(B717="","",IFERROR(D717/I717,""))</f>
        <v/>
      </c>
      <c r="K717" s="71">
        <f>IF(B717="","",IFERROR(AVERAGEIFS($J$4:$J717,$B$4:$B717,B717,$J$4:$J717,"&gt;"&amp;0),""))</f>
        <v/>
      </c>
      <c r="L717" s="7" t="n"/>
    </row>
    <row r="718" ht="14" customHeight="1" s="72">
      <c r="A718" s="75" t="n">
        <v>46083</v>
      </c>
      <c r="B718" s="76" t="n">
        <v>8031</v>
      </c>
      <c r="C718" s="69">
        <f>IF(B718="","",IFERROR(INDEX(Client_List!$B:$B,MATCH(B718,Client_List!$A:$A,0)),"⚠ NOT FOUND"))</f>
        <v/>
      </c>
      <c r="D718" s="43" t="n">
        <v>1012</v>
      </c>
      <c r="E718" s="32">
        <f>IF(B718="","",IFERROR(INDEX(Client_List!$C:$C,MATCH(VALUE(B718),Client_List!$A:$A,0)),""))</f>
        <v/>
      </c>
      <c r="F718" s="53">
        <f>IF(B718="","",IFERROR(INDEX(Client_List!$D:$D,MATCH(VALUE(B718),Client_List!$A:$A,0)),""))</f>
        <v/>
      </c>
      <c r="G718" s="53">
        <f>IF(B718="","",IFERROR(INDEX(Client_List!$K:$K,MATCH(VALUE(B718),Client_List!$A:$A,0)),""))</f>
        <v/>
      </c>
      <c r="H718" s="32">
        <f>IF(B718="","",IFERROR(INDEX(Client_List!$J:$J,MATCH(VALUE(B718),Client_List!$A:$A,0)),""))</f>
        <v/>
      </c>
      <c r="I718" s="70">
        <f>IF(B718="","",IFERROR(A718-LOOKUP(2,1/($B$4:$B717=B718),$A$4:$A717),""))</f>
        <v/>
      </c>
      <c r="J718" s="32">
        <f>IF(B718="","",IFERROR(D718/I718,""))</f>
        <v/>
      </c>
      <c r="K718" s="71">
        <f>IF(B718="","",IFERROR(AVERAGEIFS($J$4:$J718,$B$4:$B718,B718,$J$4:$J718,"&gt;"&amp;0),""))</f>
        <v/>
      </c>
      <c r="L718" s="4" t="n"/>
    </row>
    <row r="719" ht="14" customHeight="1" s="72">
      <c r="A719" s="75" t="n">
        <v>46083</v>
      </c>
      <c r="B719" s="76" t="n">
        <v>8034</v>
      </c>
      <c r="C719" s="69">
        <f>IF(B719="","",IFERROR(INDEX(Client_List!$B:$B,MATCH(B719,Client_List!$A:$A,0)),"⚠ NOT FOUND"))</f>
        <v/>
      </c>
      <c r="D719" s="43" t="n">
        <v>553</v>
      </c>
      <c r="E719" s="32">
        <f>IF(B719="","",IFERROR(INDEX(Client_List!$C:$C,MATCH(VALUE(B719),Client_List!$A:$A,0)),""))</f>
        <v/>
      </c>
      <c r="F719" s="53">
        <f>IF(B719="","",IFERROR(INDEX(Client_List!$D:$D,MATCH(VALUE(B719),Client_List!$A:$A,0)),""))</f>
        <v/>
      </c>
      <c r="G719" s="53">
        <f>IF(B719="","",IFERROR(INDEX(Client_List!$K:$K,MATCH(VALUE(B719),Client_List!$A:$A,0)),""))</f>
        <v/>
      </c>
      <c r="H719" s="32">
        <f>IF(B719="","",IFERROR(INDEX(Client_List!$J:$J,MATCH(VALUE(B719),Client_List!$A:$A,0)),""))</f>
        <v/>
      </c>
      <c r="I719" s="70">
        <f>IF(B719="","",IFERROR(A719-LOOKUP(2,1/($B$4:$B718=B719),$A$4:$A718),""))</f>
        <v/>
      </c>
      <c r="J719" s="32">
        <f>IF(B719="","",IFERROR(D719/I719,""))</f>
        <v/>
      </c>
      <c r="K719" s="71">
        <f>IF(B719="","",IFERROR(AVERAGEIFS($J$4:$J719,$B$4:$B719,B719,$J$4:$J719,"&gt;"&amp;0),""))</f>
        <v/>
      </c>
      <c r="L719" s="7" t="n"/>
    </row>
    <row r="720" ht="14" customHeight="1" s="72">
      <c r="A720" s="75" t="n">
        <v>46083</v>
      </c>
      <c r="B720" s="76" t="n">
        <v>13061</v>
      </c>
      <c r="C720" s="69">
        <f>IF(B720="","",IFERROR(INDEX(Client_List!$B:$B,MATCH(B720,Client_List!$A:$A,0)),"⚠ NOT FOUND"))</f>
        <v/>
      </c>
      <c r="D720" s="43" t="n">
        <v>295</v>
      </c>
      <c r="E720" s="32">
        <f>IF(B720="","",IFERROR(INDEX(Client_List!$C:$C,MATCH(VALUE(B720),Client_List!$A:$A,0)),""))</f>
        <v/>
      </c>
      <c r="F720" s="53">
        <f>IF(B720="","",IFERROR(INDEX(Client_List!$D:$D,MATCH(VALUE(B720),Client_List!$A:$A,0)),""))</f>
        <v/>
      </c>
      <c r="G720" s="53">
        <f>IF(B720="","",IFERROR(INDEX(Client_List!$K:$K,MATCH(VALUE(B720),Client_List!$A:$A,0)),""))</f>
        <v/>
      </c>
      <c r="H720" s="32">
        <f>IF(B720="","",IFERROR(INDEX(Client_List!$J:$J,MATCH(VALUE(B720),Client_List!$A:$A,0)),""))</f>
        <v/>
      </c>
      <c r="I720" s="70">
        <f>IF(B720="","",IFERROR(A720-LOOKUP(2,1/($B$4:$B719=B720),$A$4:$A719),""))</f>
        <v/>
      </c>
      <c r="J720" s="32">
        <f>IF(B720="","",IFERROR(D720/I720,""))</f>
        <v/>
      </c>
      <c r="K720" s="71">
        <f>IF(B720="","",IFERROR(AVERAGEIFS($J$4:$J720,$B$4:$B720,B720,$J$4:$J720,"&gt;"&amp;0),""))</f>
        <v/>
      </c>
      <c r="L720" s="4" t="n"/>
    </row>
    <row r="721" ht="14" customHeight="1" s="72">
      <c r="A721" s="75" t="n">
        <v>46083</v>
      </c>
      <c r="B721" s="76" t="n">
        <v>20077</v>
      </c>
      <c r="C721" s="69">
        <f>IF(B721="","",IFERROR(INDEX(Client_List!$B:$B,MATCH(B721,Client_List!$A:$A,0)),"⚠ NOT FOUND"))</f>
        <v/>
      </c>
      <c r="D721" s="43" t="n">
        <v>260</v>
      </c>
      <c r="E721" s="32">
        <f>IF(B721="","",IFERROR(INDEX(Client_List!$C:$C,MATCH(VALUE(B721),Client_List!$A:$A,0)),""))</f>
        <v/>
      </c>
      <c r="F721" s="53">
        <f>IF(B721="","",IFERROR(INDEX(Client_List!$D:$D,MATCH(VALUE(B721),Client_List!$A:$A,0)),""))</f>
        <v/>
      </c>
      <c r="G721" s="53">
        <f>IF(B721="","",IFERROR(INDEX(Client_List!$K:$K,MATCH(VALUE(B721),Client_List!$A:$A,0)),""))</f>
        <v/>
      </c>
      <c r="H721" s="32">
        <f>IF(B721="","",IFERROR(INDEX(Client_List!$J:$J,MATCH(VALUE(B721),Client_List!$A:$A,0)),""))</f>
        <v/>
      </c>
      <c r="I721" s="70">
        <f>IF(B721="","",IFERROR(A721-LOOKUP(2,1/($B$4:$B720=B721),$A$4:$A720),""))</f>
        <v/>
      </c>
      <c r="J721" s="32">
        <f>IF(B721="","",IFERROR(D721/I721,""))</f>
        <v/>
      </c>
      <c r="K721" s="71">
        <f>IF(B721="","",IFERROR(AVERAGEIFS($J$4:$J721,$B$4:$B721,B721,$J$4:$J721,"&gt;"&amp;0),""))</f>
        <v/>
      </c>
      <c r="L721" s="7" t="n"/>
    </row>
    <row r="722" ht="14" customHeight="1" s="72">
      <c r="A722" s="75" t="n">
        <v>46084</v>
      </c>
      <c r="B722" s="76" t="n">
        <v>1</v>
      </c>
      <c r="C722" s="69">
        <f>IF(B722="","",IFERROR(INDEX(Client_List!$B:$B,MATCH(B722,Client_List!$A:$A,0)),"⚠ NOT FOUND"))</f>
        <v/>
      </c>
      <c r="D722" s="43" t="n">
        <v>200</v>
      </c>
      <c r="E722" s="32">
        <f>IF(B722="","",IFERROR(INDEX(Client_List!$C:$C,MATCH(VALUE(B722),Client_List!$A:$A,0)),""))</f>
        <v/>
      </c>
      <c r="F722" s="53">
        <f>IF(B722="","",IFERROR(INDEX(Client_List!$D:$D,MATCH(VALUE(B722),Client_List!$A:$A,0)),""))</f>
        <v/>
      </c>
      <c r="G722" s="53">
        <f>IF(B722="","",IFERROR(INDEX(Client_List!$K:$K,MATCH(VALUE(B722),Client_List!$A:$A,0)),""))</f>
        <v/>
      </c>
      <c r="H722" s="32">
        <f>IF(B722="","",IFERROR(INDEX(Client_List!$J:$J,MATCH(VALUE(B722),Client_List!$A:$A,0)),""))</f>
        <v/>
      </c>
      <c r="I722" s="70">
        <f>IF(B722="","",IFERROR(A722-LOOKUP(2,1/($B$4:$B721=B722),$A$4:$A721),""))</f>
        <v/>
      </c>
      <c r="J722" s="32">
        <f>IF(B722="","",IFERROR(D722/I722,""))</f>
        <v/>
      </c>
      <c r="K722" s="71">
        <f>IF(B722="","",IFERROR(AVERAGEIFS($J$4:$J722,$B$4:$B722,B722,$J$4:$J722,"&gt;"&amp;0),""))</f>
        <v/>
      </c>
      <c r="L722" s="4" t="n"/>
    </row>
    <row r="723" ht="14" customHeight="1" s="72">
      <c r="A723" s="75" t="n">
        <v>46084</v>
      </c>
      <c r="B723" s="76" t="n">
        <v>1011</v>
      </c>
      <c r="C723" s="69">
        <f>IF(B723="","",IFERROR(INDEX(Client_List!$B:$B,MATCH(B723,Client_List!$A:$A,0)),"⚠ NOT FOUND"))</f>
        <v/>
      </c>
      <c r="D723" s="43" t="n">
        <v>963</v>
      </c>
      <c r="E723" s="32">
        <f>IF(B723="","",IFERROR(INDEX(Client_List!$C:$C,MATCH(VALUE(B723),Client_List!$A:$A,0)),""))</f>
        <v/>
      </c>
      <c r="F723" s="53">
        <f>IF(B723="","",IFERROR(INDEX(Client_List!$D:$D,MATCH(VALUE(B723),Client_List!$A:$A,0)),""))</f>
        <v/>
      </c>
      <c r="G723" s="53">
        <f>IF(B723="","",IFERROR(INDEX(Client_List!$K:$K,MATCH(VALUE(B723),Client_List!$A:$A,0)),""))</f>
        <v/>
      </c>
      <c r="H723" s="32">
        <f>IF(B723="","",IFERROR(INDEX(Client_List!$J:$J,MATCH(VALUE(B723),Client_List!$A:$A,0)),""))</f>
        <v/>
      </c>
      <c r="I723" s="70">
        <f>IF(B723="","",IFERROR(A723-LOOKUP(2,1/($B$4:$B722=B723),$A$4:$A722),""))</f>
        <v/>
      </c>
      <c r="J723" s="32">
        <f>IF(B723="","",IFERROR(D723/I723,""))</f>
        <v/>
      </c>
      <c r="K723" s="71">
        <f>IF(B723="","",IFERROR(AVERAGEIFS($J$4:$J723,$B$4:$B723,B723,$J$4:$J723,"&gt;"&amp;0),""))</f>
        <v/>
      </c>
      <c r="L723" s="7" t="n"/>
    </row>
    <row r="724" ht="14" customHeight="1" s="72">
      <c r="A724" s="75" t="n">
        <v>46084</v>
      </c>
      <c r="B724" s="76" t="n">
        <v>1063</v>
      </c>
      <c r="C724" s="69">
        <f>IF(B724="","",IFERROR(INDEX(Client_List!$B:$B,MATCH(B724,Client_List!$A:$A,0)),"⚠ NOT FOUND"))</f>
        <v/>
      </c>
      <c r="D724" s="43" t="n">
        <v>629</v>
      </c>
      <c r="E724" s="32">
        <f>IF(B724="","",IFERROR(INDEX(Client_List!$C:$C,MATCH(VALUE(B724),Client_List!$A:$A,0)),""))</f>
        <v/>
      </c>
      <c r="F724" s="53">
        <f>IF(B724="","",IFERROR(INDEX(Client_List!$D:$D,MATCH(VALUE(B724),Client_List!$A:$A,0)),""))</f>
        <v/>
      </c>
      <c r="G724" s="53">
        <f>IF(B724="","",IFERROR(INDEX(Client_List!$K:$K,MATCH(VALUE(B724),Client_List!$A:$A,0)),""))</f>
        <v/>
      </c>
      <c r="H724" s="32">
        <f>IF(B724="","",IFERROR(INDEX(Client_List!$J:$J,MATCH(VALUE(B724),Client_List!$A:$A,0)),""))</f>
        <v/>
      </c>
      <c r="I724" s="70">
        <f>IF(B724="","",IFERROR(A724-LOOKUP(2,1/($B$4:$B723=B724),$A$4:$A723),""))</f>
        <v/>
      </c>
      <c r="J724" s="32">
        <f>IF(B724="","",IFERROR(D724/I724,""))</f>
        <v/>
      </c>
      <c r="K724" s="71">
        <f>IF(B724="","",IFERROR(AVERAGEIFS($J$4:$J724,$B$4:$B724,B724,$J$4:$J724,"&gt;"&amp;0),""))</f>
        <v/>
      </c>
      <c r="L724" s="4" t="n"/>
    </row>
    <row r="725" ht="14" customHeight="1" s="72">
      <c r="A725" s="75" t="n">
        <v>46084</v>
      </c>
      <c r="B725" s="76" t="n">
        <v>1081</v>
      </c>
      <c r="C725" s="69">
        <f>IF(B725="","",IFERROR(INDEX(Client_List!$B:$B,MATCH(B725,Client_List!$A:$A,0)),"⚠ NOT FOUND"))</f>
        <v/>
      </c>
      <c r="D725" s="43" t="n">
        <v>359</v>
      </c>
      <c r="E725" s="32">
        <f>IF(B725="","",IFERROR(INDEX(Client_List!$C:$C,MATCH(VALUE(B725),Client_List!$A:$A,0)),""))</f>
        <v/>
      </c>
      <c r="F725" s="53">
        <f>IF(B725="","",IFERROR(INDEX(Client_List!$D:$D,MATCH(VALUE(B725),Client_List!$A:$A,0)),""))</f>
        <v/>
      </c>
      <c r="G725" s="53">
        <f>IF(B725="","",IFERROR(INDEX(Client_List!$K:$K,MATCH(VALUE(B725),Client_List!$A:$A,0)),""))</f>
        <v/>
      </c>
      <c r="H725" s="32">
        <f>IF(B725="","",IFERROR(INDEX(Client_List!$J:$J,MATCH(VALUE(B725),Client_List!$A:$A,0)),""))</f>
        <v/>
      </c>
      <c r="I725" s="70">
        <f>IF(B725="","",IFERROR(A725-LOOKUP(2,1/($B$4:$B724=B725),$A$4:$A724),""))</f>
        <v/>
      </c>
      <c r="J725" s="32">
        <f>IF(B725="","",IFERROR(D725/I725,""))</f>
        <v/>
      </c>
      <c r="K725" s="71">
        <f>IF(B725="","",IFERROR(AVERAGEIFS($J$4:$J725,$B$4:$B725,B725,$J$4:$J725,"&gt;"&amp;0),""))</f>
        <v/>
      </c>
      <c r="L725" s="7" t="n"/>
    </row>
    <row r="726" ht="14" customHeight="1" s="72">
      <c r="A726" s="75" t="n">
        <v>46084</v>
      </c>
      <c r="B726" s="76" t="n">
        <v>2017</v>
      </c>
      <c r="C726" s="69">
        <f>IF(B726="","",IFERROR(INDEX(Client_List!$B:$B,MATCH(B726,Client_List!$A:$A,0)),"⚠ NOT FOUND"))</f>
        <v/>
      </c>
      <c r="D726" s="43" t="n">
        <v>608</v>
      </c>
      <c r="E726" s="32">
        <f>IF(B726="","",IFERROR(INDEX(Client_List!$C:$C,MATCH(VALUE(B726),Client_List!$A:$A,0)),""))</f>
        <v/>
      </c>
      <c r="F726" s="53">
        <f>IF(B726="","",IFERROR(INDEX(Client_List!$D:$D,MATCH(VALUE(B726),Client_List!$A:$A,0)),""))</f>
        <v/>
      </c>
      <c r="G726" s="53">
        <f>IF(B726="","",IFERROR(INDEX(Client_List!$K:$K,MATCH(VALUE(B726),Client_List!$A:$A,0)),""))</f>
        <v/>
      </c>
      <c r="H726" s="32">
        <f>IF(B726="","",IFERROR(INDEX(Client_List!$J:$J,MATCH(VALUE(B726),Client_List!$A:$A,0)),""))</f>
        <v/>
      </c>
      <c r="I726" s="70">
        <f>IF(B726="","",IFERROR(A726-LOOKUP(2,1/($B$4:$B725=B726),$A$4:$A725),""))</f>
        <v/>
      </c>
      <c r="J726" s="32">
        <f>IF(B726="","",IFERROR(D726/I726,""))</f>
        <v/>
      </c>
      <c r="K726" s="71">
        <f>IF(B726="","",IFERROR(AVERAGEIFS($J$4:$J726,$B$4:$B726,B726,$J$4:$J726,"&gt;"&amp;0),""))</f>
        <v/>
      </c>
      <c r="L726" s="4" t="n"/>
    </row>
    <row r="727" ht="14" customHeight="1" s="72">
      <c r="A727" s="75" t="n">
        <v>46084</v>
      </c>
      <c r="B727" s="76" t="n">
        <v>3046</v>
      </c>
      <c r="C727" s="69">
        <f>IF(B727="","",IFERROR(INDEX(Client_List!$B:$B,MATCH(B727,Client_List!$A:$A,0)),"⚠ NOT FOUND"))</f>
        <v/>
      </c>
      <c r="D727" s="43" t="n">
        <v>748</v>
      </c>
      <c r="E727" s="32">
        <f>IF(B727="","",IFERROR(INDEX(Client_List!$C:$C,MATCH(VALUE(B727),Client_List!$A:$A,0)),""))</f>
        <v/>
      </c>
      <c r="F727" s="53">
        <f>IF(B727="","",IFERROR(INDEX(Client_List!$D:$D,MATCH(VALUE(B727),Client_List!$A:$A,0)),""))</f>
        <v/>
      </c>
      <c r="G727" s="53">
        <f>IF(B727="","",IFERROR(INDEX(Client_List!$K:$K,MATCH(VALUE(B727),Client_List!$A:$A,0)),""))</f>
        <v/>
      </c>
      <c r="H727" s="32">
        <f>IF(B727="","",IFERROR(INDEX(Client_List!$J:$J,MATCH(VALUE(B727),Client_List!$A:$A,0)),""))</f>
        <v/>
      </c>
      <c r="I727" s="70">
        <f>IF(B727="","",IFERROR(A727-LOOKUP(2,1/($B$4:$B726=B727),$A$4:$A726),""))</f>
        <v/>
      </c>
      <c r="J727" s="32">
        <f>IF(B727="","",IFERROR(D727/I727,""))</f>
        <v/>
      </c>
      <c r="K727" s="71">
        <f>IF(B727="","",IFERROR(AVERAGEIFS($J$4:$J727,$B$4:$B727,B727,$J$4:$J727,"&gt;"&amp;0),""))</f>
        <v/>
      </c>
      <c r="L727" s="7" t="n"/>
    </row>
    <row r="728" ht="14" customHeight="1" s="72">
      <c r="A728" s="75" t="n">
        <v>46084</v>
      </c>
      <c r="B728" s="76" t="n">
        <v>6109</v>
      </c>
      <c r="C728" s="69">
        <f>IF(B728="","",IFERROR(INDEX(Client_List!$B:$B,MATCH(B728,Client_List!$A:$A,0)),"⚠ NOT FOUND"))</f>
        <v/>
      </c>
      <c r="D728" s="43" t="n">
        <v>490</v>
      </c>
      <c r="E728" s="32">
        <f>IF(B728="","",IFERROR(INDEX(Client_List!$C:$C,MATCH(VALUE(B728),Client_List!$A:$A,0)),""))</f>
        <v/>
      </c>
      <c r="F728" s="53">
        <f>IF(B728="","",IFERROR(INDEX(Client_List!$D:$D,MATCH(VALUE(B728),Client_List!$A:$A,0)),""))</f>
        <v/>
      </c>
      <c r="G728" s="53">
        <f>IF(B728="","",IFERROR(INDEX(Client_List!$K:$K,MATCH(VALUE(B728),Client_List!$A:$A,0)),""))</f>
        <v/>
      </c>
      <c r="H728" s="32">
        <f>IF(B728="","",IFERROR(INDEX(Client_List!$J:$J,MATCH(VALUE(B728),Client_List!$A:$A,0)),""))</f>
        <v/>
      </c>
      <c r="I728" s="70">
        <f>IF(B728="","",IFERROR(A728-LOOKUP(2,1/($B$4:$B727=B728),$A$4:$A727),""))</f>
        <v/>
      </c>
      <c r="J728" s="32">
        <f>IF(B728="","",IFERROR(D728/I728,""))</f>
        <v/>
      </c>
      <c r="K728" s="71">
        <f>IF(B728="","",IFERROR(AVERAGEIFS($J$4:$J728,$B$4:$B728,B728,$J$4:$J728,"&gt;"&amp;0),""))</f>
        <v/>
      </c>
      <c r="L728" s="4" t="n"/>
    </row>
    <row r="729" ht="14" customHeight="1" s="72">
      <c r="A729" s="75" t="n">
        <v>46084</v>
      </c>
      <c r="B729" s="76" t="n">
        <v>12051</v>
      </c>
      <c r="C729" s="69">
        <f>IF(B729="","",IFERROR(INDEX(Client_List!$B:$B,MATCH(B729,Client_List!$A:$A,0)),"⚠ NOT FOUND"))</f>
        <v/>
      </c>
      <c r="D729" s="43" t="n">
        <v>982</v>
      </c>
      <c r="E729" s="32">
        <f>IF(B729="","",IFERROR(INDEX(Client_List!$C:$C,MATCH(VALUE(B729),Client_List!$A:$A,0)),""))</f>
        <v/>
      </c>
      <c r="F729" s="53">
        <f>IF(B729="","",IFERROR(INDEX(Client_List!$D:$D,MATCH(VALUE(B729),Client_List!$A:$A,0)),""))</f>
        <v/>
      </c>
      <c r="G729" s="53">
        <f>IF(B729="","",IFERROR(INDEX(Client_List!$K:$K,MATCH(VALUE(B729),Client_List!$A:$A,0)),""))</f>
        <v/>
      </c>
      <c r="H729" s="32">
        <f>IF(B729="","",IFERROR(INDEX(Client_List!$J:$J,MATCH(VALUE(B729),Client_List!$A:$A,0)),""))</f>
        <v/>
      </c>
      <c r="I729" s="70">
        <f>IF(B729="","",IFERROR(A729-LOOKUP(2,1/($B$4:$B728=B729),$A$4:$A728),""))</f>
        <v/>
      </c>
      <c r="J729" s="32">
        <f>IF(B729="","",IFERROR(D729/I729,""))</f>
        <v/>
      </c>
      <c r="K729" s="71">
        <f>IF(B729="","",IFERROR(AVERAGEIFS($J$4:$J729,$B$4:$B729,B729,$J$4:$J729,"&gt;"&amp;0),""))</f>
        <v/>
      </c>
      <c r="L729" s="7" t="n"/>
    </row>
    <row r="730" ht="14" customHeight="1" s="72">
      <c r="A730" s="75" t="n">
        <v>46084</v>
      </c>
      <c r="B730" s="76" t="n">
        <v>13013</v>
      </c>
      <c r="C730" s="69">
        <f>IF(B730="","",IFERROR(INDEX(Client_List!$B:$B,MATCH(B730,Client_List!$A:$A,0)),"⚠ NOT FOUND"))</f>
        <v/>
      </c>
      <c r="D730" s="43" t="n">
        <v>1116</v>
      </c>
      <c r="E730" s="32">
        <f>IF(B730="","",IFERROR(INDEX(Client_List!$C:$C,MATCH(VALUE(B730),Client_List!$A:$A,0)),""))</f>
        <v/>
      </c>
      <c r="F730" s="53">
        <f>IF(B730="","",IFERROR(INDEX(Client_List!$D:$D,MATCH(VALUE(B730),Client_List!$A:$A,0)),""))</f>
        <v/>
      </c>
      <c r="G730" s="53">
        <f>IF(B730="","",IFERROR(INDEX(Client_List!$K:$K,MATCH(VALUE(B730),Client_List!$A:$A,0)),""))</f>
        <v/>
      </c>
      <c r="H730" s="32">
        <f>IF(B730="","",IFERROR(INDEX(Client_List!$J:$J,MATCH(VALUE(B730),Client_List!$A:$A,0)),""))</f>
        <v/>
      </c>
      <c r="I730" s="70">
        <f>IF(B730="","",IFERROR(A730-LOOKUP(2,1/($B$4:$B729=B730),$A$4:$A729),""))</f>
        <v/>
      </c>
      <c r="J730" s="32">
        <f>IF(B730="","",IFERROR(D730/I730,""))</f>
        <v/>
      </c>
      <c r="K730" s="71">
        <f>IF(B730="","",IFERROR(AVERAGEIFS($J$4:$J730,$B$4:$B730,B730,$J$4:$J730,"&gt;"&amp;0),""))</f>
        <v/>
      </c>
      <c r="L730" s="4" t="n"/>
    </row>
    <row r="731" ht="14" customHeight="1" s="72">
      <c r="A731" s="75" t="n">
        <v>46084</v>
      </c>
      <c r="B731" s="76" t="n">
        <v>15001</v>
      </c>
      <c r="C731" s="69">
        <f>IF(B731="","",IFERROR(INDEX(Client_List!$B:$B,MATCH(B731,Client_List!$A:$A,0)),"⚠ NOT FOUND"))</f>
        <v/>
      </c>
      <c r="D731" s="43" t="n">
        <v>990</v>
      </c>
      <c r="E731" s="32">
        <f>IF(B731="","",IFERROR(INDEX(Client_List!$C:$C,MATCH(VALUE(B731),Client_List!$A:$A,0)),""))</f>
        <v/>
      </c>
      <c r="F731" s="53">
        <f>IF(B731="","",IFERROR(INDEX(Client_List!$D:$D,MATCH(VALUE(B731),Client_List!$A:$A,0)),""))</f>
        <v/>
      </c>
      <c r="G731" s="53">
        <f>IF(B731="","",IFERROR(INDEX(Client_List!$K:$K,MATCH(VALUE(B731),Client_List!$A:$A,0)),""))</f>
        <v/>
      </c>
      <c r="H731" s="32">
        <f>IF(B731="","",IFERROR(INDEX(Client_List!$J:$J,MATCH(VALUE(B731),Client_List!$A:$A,0)),""))</f>
        <v/>
      </c>
      <c r="I731" s="70">
        <f>IF(B731="","",IFERROR(A731-LOOKUP(2,1/($B$4:$B730=B731),$A$4:$A730),""))</f>
        <v/>
      </c>
      <c r="J731" s="32">
        <f>IF(B731="","",IFERROR(D731/I731,""))</f>
        <v/>
      </c>
      <c r="K731" s="71">
        <f>IF(B731="","",IFERROR(AVERAGEIFS($J$4:$J731,$B$4:$B731,B731,$J$4:$J731,"&gt;"&amp;0),""))</f>
        <v/>
      </c>
      <c r="L731" s="7" t="n"/>
    </row>
    <row r="732" ht="14" customHeight="1" s="72">
      <c r="A732" s="75" t="n">
        <v>46084</v>
      </c>
      <c r="B732" s="76" t="n">
        <v>15005</v>
      </c>
      <c r="C732" s="69">
        <f>IF(B732="","",IFERROR(INDEX(Client_List!$B:$B,MATCH(B732,Client_List!$A:$A,0)),"⚠ NOT FOUND"))</f>
        <v/>
      </c>
      <c r="D732" s="43" t="n">
        <v>655</v>
      </c>
      <c r="E732" s="32">
        <f>IF(B732="","",IFERROR(INDEX(Client_List!$C:$C,MATCH(VALUE(B732),Client_List!$A:$A,0)),""))</f>
        <v/>
      </c>
      <c r="F732" s="53">
        <f>IF(B732="","",IFERROR(INDEX(Client_List!$D:$D,MATCH(VALUE(B732),Client_List!$A:$A,0)),""))</f>
        <v/>
      </c>
      <c r="G732" s="53">
        <f>IF(B732="","",IFERROR(INDEX(Client_List!$K:$K,MATCH(VALUE(B732),Client_List!$A:$A,0)),""))</f>
        <v/>
      </c>
      <c r="H732" s="32">
        <f>IF(B732="","",IFERROR(INDEX(Client_List!$J:$J,MATCH(VALUE(B732),Client_List!$A:$A,0)),""))</f>
        <v/>
      </c>
      <c r="I732" s="70">
        <f>IF(B732="","",IFERROR(A732-LOOKUP(2,1/($B$4:$B731=B732),$A$4:$A731),""))</f>
        <v/>
      </c>
      <c r="J732" s="32">
        <f>IF(B732="","",IFERROR(D732/I732,""))</f>
        <v/>
      </c>
      <c r="K732" s="71">
        <f>IF(B732="","",IFERROR(AVERAGEIFS($J$4:$J732,$B$4:$B732,B732,$J$4:$J732,"&gt;"&amp;0),""))</f>
        <v/>
      </c>
      <c r="L732" s="4" t="n"/>
    </row>
    <row r="733" ht="14" customHeight="1" s="72">
      <c r="A733" s="75" t="n">
        <v>46084</v>
      </c>
      <c r="B733" s="76" t="n">
        <v>15007</v>
      </c>
      <c r="C733" s="69">
        <f>IF(B733="","",IFERROR(INDEX(Client_List!$B:$B,MATCH(B733,Client_List!$A:$A,0)),"⚠ NOT FOUND"))</f>
        <v/>
      </c>
      <c r="D733" s="43" t="n">
        <v>1037</v>
      </c>
      <c r="E733" s="32">
        <f>IF(B733="","",IFERROR(INDEX(Client_List!$C:$C,MATCH(VALUE(B733),Client_List!$A:$A,0)),""))</f>
        <v/>
      </c>
      <c r="F733" s="53">
        <f>IF(B733="","",IFERROR(INDEX(Client_List!$D:$D,MATCH(VALUE(B733),Client_List!$A:$A,0)),""))</f>
        <v/>
      </c>
      <c r="G733" s="53">
        <f>IF(B733="","",IFERROR(INDEX(Client_List!$K:$K,MATCH(VALUE(B733),Client_List!$A:$A,0)),""))</f>
        <v/>
      </c>
      <c r="H733" s="32">
        <f>IF(B733="","",IFERROR(INDEX(Client_List!$J:$J,MATCH(VALUE(B733),Client_List!$A:$A,0)),""))</f>
        <v/>
      </c>
      <c r="I733" s="70">
        <f>IF(B733="","",IFERROR(A733-LOOKUP(2,1/($B$4:$B732=B733),$A$4:$A732),""))</f>
        <v/>
      </c>
      <c r="J733" s="32">
        <f>IF(B733="","",IFERROR(D733/I733,""))</f>
        <v/>
      </c>
      <c r="K733" s="71">
        <f>IF(B733="","",IFERROR(AVERAGEIFS($J$4:$J733,$B$4:$B733,B733,$J$4:$J733,"&gt;"&amp;0),""))</f>
        <v/>
      </c>
      <c r="L733" s="7" t="n"/>
    </row>
    <row r="734" ht="14" customHeight="1" s="72">
      <c r="A734" s="75" t="n">
        <v>46084</v>
      </c>
      <c r="B734" s="76" t="n">
        <v>15025</v>
      </c>
      <c r="C734" s="69">
        <f>IF(B734="","",IFERROR(INDEX(Client_List!$B:$B,MATCH(B734,Client_List!$A:$A,0)),"⚠ NOT FOUND"))</f>
        <v/>
      </c>
      <c r="D734" s="43" t="n">
        <v>460</v>
      </c>
      <c r="E734" s="32">
        <f>IF(B734="","",IFERROR(INDEX(Client_List!$C:$C,MATCH(VALUE(B734),Client_List!$A:$A,0)),""))</f>
        <v/>
      </c>
      <c r="F734" s="53">
        <f>IF(B734="","",IFERROR(INDEX(Client_List!$D:$D,MATCH(VALUE(B734),Client_List!$A:$A,0)),""))</f>
        <v/>
      </c>
      <c r="G734" s="53">
        <f>IF(B734="","",IFERROR(INDEX(Client_List!$K:$K,MATCH(VALUE(B734),Client_List!$A:$A,0)),""))</f>
        <v/>
      </c>
      <c r="H734" s="32">
        <f>IF(B734="","",IFERROR(INDEX(Client_List!$J:$J,MATCH(VALUE(B734),Client_List!$A:$A,0)),""))</f>
        <v/>
      </c>
      <c r="I734" s="70">
        <f>IF(B734="","",IFERROR(A734-LOOKUP(2,1/($B$4:$B733=B734),$A$4:$A733),""))</f>
        <v/>
      </c>
      <c r="J734" s="32">
        <f>IF(B734="","",IFERROR(D734/I734,""))</f>
        <v/>
      </c>
      <c r="K734" s="71">
        <f>IF(B734="","",IFERROR(AVERAGEIFS($J$4:$J734,$B$4:$B734,B734,$J$4:$J734,"&gt;"&amp;0),""))</f>
        <v/>
      </c>
      <c r="L734" s="4" t="n"/>
    </row>
    <row r="735" ht="14" customHeight="1" s="72">
      <c r="A735" s="75" t="n">
        <v>46084</v>
      </c>
      <c r="B735" s="76" t="n">
        <v>16005</v>
      </c>
      <c r="C735" s="69">
        <f>IF(B735="","",IFERROR(INDEX(Client_List!$B:$B,MATCH(B735,Client_List!$A:$A,0)),"⚠ NOT FOUND"))</f>
        <v/>
      </c>
      <c r="D735" s="43" t="n">
        <v>875</v>
      </c>
      <c r="E735" s="32">
        <f>IF(B735="","",IFERROR(INDEX(Client_List!$C:$C,MATCH(VALUE(B735),Client_List!$A:$A,0)),""))</f>
        <v/>
      </c>
      <c r="F735" s="53">
        <f>IF(B735="","",IFERROR(INDEX(Client_List!$D:$D,MATCH(VALUE(B735),Client_List!$A:$A,0)),""))</f>
        <v/>
      </c>
      <c r="G735" s="53">
        <f>IF(B735="","",IFERROR(INDEX(Client_List!$K:$K,MATCH(VALUE(B735),Client_List!$A:$A,0)),""))</f>
        <v/>
      </c>
      <c r="H735" s="32">
        <f>IF(B735="","",IFERROR(INDEX(Client_List!$J:$J,MATCH(VALUE(B735),Client_List!$A:$A,0)),""))</f>
        <v/>
      </c>
      <c r="I735" s="70">
        <f>IF(B735="","",IFERROR(A735-LOOKUP(2,1/($B$4:$B734=B735),$A$4:$A734),""))</f>
        <v/>
      </c>
      <c r="J735" s="32">
        <f>IF(B735="","",IFERROR(D735/I735,""))</f>
        <v/>
      </c>
      <c r="K735" s="71">
        <f>IF(B735="","",IFERROR(AVERAGEIFS($J$4:$J735,$B$4:$B735,B735,$J$4:$J735,"&gt;"&amp;0),""))</f>
        <v/>
      </c>
      <c r="L735" s="7" t="n"/>
    </row>
    <row r="736" ht="14" customHeight="1" s="72">
      <c r="A736" s="75" t="n">
        <v>46084</v>
      </c>
      <c r="B736" s="76" t="n">
        <v>16008</v>
      </c>
      <c r="C736" s="69">
        <f>IF(B736="","",IFERROR(INDEX(Client_List!$B:$B,MATCH(B736,Client_List!$A:$A,0)),"⚠ NOT FOUND"))</f>
        <v/>
      </c>
      <c r="D736" s="43" t="n">
        <v>907</v>
      </c>
      <c r="E736" s="32">
        <f>IF(B736="","",IFERROR(INDEX(Client_List!$C:$C,MATCH(VALUE(B736),Client_List!$A:$A,0)),""))</f>
        <v/>
      </c>
      <c r="F736" s="53">
        <f>IF(B736="","",IFERROR(INDEX(Client_List!$D:$D,MATCH(VALUE(B736),Client_List!$A:$A,0)),""))</f>
        <v/>
      </c>
      <c r="G736" s="53">
        <f>IF(B736="","",IFERROR(INDEX(Client_List!$K:$K,MATCH(VALUE(B736),Client_List!$A:$A,0)),""))</f>
        <v/>
      </c>
      <c r="H736" s="32">
        <f>IF(B736="","",IFERROR(INDEX(Client_List!$J:$J,MATCH(VALUE(B736),Client_List!$A:$A,0)),""))</f>
        <v/>
      </c>
      <c r="I736" s="70">
        <f>IF(B736="","",IFERROR(A736-LOOKUP(2,1/($B$4:$B735=B736),$A$4:$A735),""))</f>
        <v/>
      </c>
      <c r="J736" s="32">
        <f>IF(B736="","",IFERROR(D736/I736,""))</f>
        <v/>
      </c>
      <c r="K736" s="71">
        <f>IF(B736="","",IFERROR(AVERAGEIFS($J$4:$J736,$B$4:$B736,B736,$J$4:$J736,"&gt;"&amp;0),""))</f>
        <v/>
      </c>
      <c r="L736" s="4" t="n"/>
    </row>
    <row r="737" ht="14" customHeight="1" s="72">
      <c r="A737" s="75" t="n">
        <v>46084</v>
      </c>
      <c r="B737" s="76" t="n">
        <v>16009</v>
      </c>
      <c r="C737" s="69">
        <f>IF(B737="","",IFERROR(INDEX(Client_List!$B:$B,MATCH(B737,Client_List!$A:$A,0)),"⚠ NOT FOUND"))</f>
        <v/>
      </c>
      <c r="D737" s="43" t="n">
        <v>1282</v>
      </c>
      <c r="E737" s="32">
        <f>IF(B737="","",IFERROR(INDEX(Client_List!$C:$C,MATCH(VALUE(B737),Client_List!$A:$A,0)),""))</f>
        <v/>
      </c>
      <c r="F737" s="53">
        <f>IF(B737="","",IFERROR(INDEX(Client_List!$D:$D,MATCH(VALUE(B737),Client_List!$A:$A,0)),""))</f>
        <v/>
      </c>
      <c r="G737" s="53">
        <f>IF(B737="","",IFERROR(INDEX(Client_List!$K:$K,MATCH(VALUE(B737),Client_List!$A:$A,0)),""))</f>
        <v/>
      </c>
      <c r="H737" s="32">
        <f>IF(B737="","",IFERROR(INDEX(Client_List!$J:$J,MATCH(VALUE(B737),Client_List!$A:$A,0)),""))</f>
        <v/>
      </c>
      <c r="I737" s="70">
        <f>IF(B737="","",IFERROR(A737-LOOKUP(2,1/($B$4:$B736=B737),$A$4:$A736),""))</f>
        <v/>
      </c>
      <c r="J737" s="32">
        <f>IF(B737="","",IFERROR(D737/I737,""))</f>
        <v/>
      </c>
      <c r="K737" s="71">
        <f>IF(B737="","",IFERROR(AVERAGEIFS($J$4:$J737,$B$4:$B737,B737,$J$4:$J737,"&gt;"&amp;0),""))</f>
        <v/>
      </c>
      <c r="L737" s="7" t="n"/>
    </row>
    <row r="738" ht="14" customHeight="1" s="72">
      <c r="A738" s="75" t="n">
        <v>46084</v>
      </c>
      <c r="B738" s="76" t="n">
        <v>20013</v>
      </c>
      <c r="C738" s="69">
        <f>IF(B738="","",IFERROR(INDEX(Client_List!$B:$B,MATCH(B738,Client_List!$A:$A,0)),"⚠ NOT FOUND"))</f>
        <v/>
      </c>
      <c r="D738" s="43" t="n">
        <v>874</v>
      </c>
      <c r="E738" s="32">
        <f>IF(B738="","",IFERROR(INDEX(Client_List!$C:$C,MATCH(VALUE(B738),Client_List!$A:$A,0)),""))</f>
        <v/>
      </c>
      <c r="F738" s="53">
        <f>IF(B738="","",IFERROR(INDEX(Client_List!$D:$D,MATCH(VALUE(B738),Client_List!$A:$A,0)),""))</f>
        <v/>
      </c>
      <c r="G738" s="53">
        <f>IF(B738="","",IFERROR(INDEX(Client_List!$K:$K,MATCH(VALUE(B738),Client_List!$A:$A,0)),""))</f>
        <v/>
      </c>
      <c r="H738" s="32">
        <f>IF(B738="","",IFERROR(INDEX(Client_List!$J:$J,MATCH(VALUE(B738),Client_List!$A:$A,0)),""))</f>
        <v/>
      </c>
      <c r="I738" s="70">
        <f>IF(B738="","",IFERROR(A738-LOOKUP(2,1/($B$4:$B737=B738),$A$4:$A737),""))</f>
        <v/>
      </c>
      <c r="J738" s="32">
        <f>IF(B738="","",IFERROR(D738/I738,""))</f>
        <v/>
      </c>
      <c r="K738" s="71">
        <f>IF(B738="","",IFERROR(AVERAGEIFS($J$4:$J738,$B$4:$B738,B738,$J$4:$J738,"&gt;"&amp;0),""))</f>
        <v/>
      </c>
      <c r="L738" s="4" t="n"/>
    </row>
    <row r="739" ht="14" customHeight="1" s="72">
      <c r="A739" s="75" t="n">
        <v>46084</v>
      </c>
      <c r="B739" s="76" t="n">
        <v>20088</v>
      </c>
      <c r="C739" s="69">
        <f>IF(B739="","",IFERROR(INDEX(Client_List!$B:$B,MATCH(B739,Client_List!$A:$A,0)),"⚠ NOT FOUND"))</f>
        <v/>
      </c>
      <c r="D739" s="43" t="n">
        <v>1047</v>
      </c>
      <c r="E739" s="32">
        <f>IF(B739="","",IFERROR(INDEX(Client_List!$C:$C,MATCH(VALUE(B739),Client_List!$A:$A,0)),""))</f>
        <v/>
      </c>
      <c r="F739" s="53">
        <f>IF(B739="","",IFERROR(INDEX(Client_List!$D:$D,MATCH(VALUE(B739),Client_List!$A:$A,0)),""))</f>
        <v/>
      </c>
      <c r="G739" s="53">
        <f>IF(B739="","",IFERROR(INDEX(Client_List!$K:$K,MATCH(VALUE(B739),Client_List!$A:$A,0)),""))</f>
        <v/>
      </c>
      <c r="H739" s="32">
        <f>IF(B739="","",IFERROR(INDEX(Client_List!$J:$J,MATCH(VALUE(B739),Client_List!$A:$A,0)),""))</f>
        <v/>
      </c>
      <c r="I739" s="70">
        <f>IF(B739="","",IFERROR(A739-LOOKUP(2,1/($B$4:$B738=B739),$A$4:$A738),""))</f>
        <v/>
      </c>
      <c r="J739" s="32">
        <f>IF(B739="","",IFERROR(D739/I739,""))</f>
        <v/>
      </c>
      <c r="K739" s="71">
        <f>IF(B739="","",IFERROR(AVERAGEIFS($J$4:$J739,$B$4:$B739,B739,$J$4:$J739,"&gt;"&amp;0),""))</f>
        <v/>
      </c>
      <c r="L739" s="7" t="n"/>
    </row>
    <row r="740" ht="14" customHeight="1" s="72">
      <c r="A740" s="75" t="n">
        <v>46084</v>
      </c>
      <c r="B740" s="76" t="n">
        <v>20092</v>
      </c>
      <c r="C740" s="69">
        <f>IF(B740="","",IFERROR(INDEX(Client_List!$B:$B,MATCH(B740,Client_List!$A:$A,0)),"⚠ NOT FOUND"))</f>
        <v/>
      </c>
      <c r="D740" s="43" t="n">
        <v>920</v>
      </c>
      <c r="E740" s="32">
        <f>IF(B740="","",IFERROR(INDEX(Client_List!$C:$C,MATCH(VALUE(B740),Client_List!$A:$A,0)),""))</f>
        <v/>
      </c>
      <c r="F740" s="53">
        <f>IF(B740="","",IFERROR(INDEX(Client_List!$D:$D,MATCH(VALUE(B740),Client_List!$A:$A,0)),""))</f>
        <v/>
      </c>
      <c r="G740" s="53">
        <f>IF(B740="","",IFERROR(INDEX(Client_List!$K:$K,MATCH(VALUE(B740),Client_List!$A:$A,0)),""))</f>
        <v/>
      </c>
      <c r="H740" s="32">
        <f>IF(B740="","",IFERROR(INDEX(Client_List!$J:$J,MATCH(VALUE(B740),Client_List!$A:$A,0)),""))</f>
        <v/>
      </c>
      <c r="I740" s="70">
        <f>IF(B740="","",IFERROR(A740-LOOKUP(2,1/($B$4:$B739=B740),$A$4:$A739),""))</f>
        <v/>
      </c>
      <c r="J740" s="32">
        <f>IF(B740="","",IFERROR(D740/I740,""))</f>
        <v/>
      </c>
      <c r="K740" s="71">
        <f>IF(B740="","",IFERROR(AVERAGEIFS($J$4:$J740,$B$4:$B740,B740,$J$4:$J740,"&gt;"&amp;0),""))</f>
        <v/>
      </c>
      <c r="L740" s="4" t="n"/>
    </row>
    <row r="741" ht="14" customHeight="1" s="72">
      <c r="A741" s="75" t="n">
        <v>46085</v>
      </c>
      <c r="B741" s="76" t="inlineStr">
        <is>
          <t>4015A</t>
        </is>
      </c>
      <c r="C741" s="69">
        <f>IF(B741="","",IFERROR(INDEX(Client_List!$B:$B,MATCH(B741,Client_List!$A:$A,0)),"⚠ NOT FOUND"))</f>
        <v/>
      </c>
      <c r="D741" s="43" t="n">
        <v>400</v>
      </c>
      <c r="E741" s="32">
        <f>IF(B741="","",IFERROR(INDEX(Client_List!$C:$C,MATCH(VALUE(B741),Client_List!$A:$A,0)),""))</f>
        <v/>
      </c>
      <c r="F741" s="53">
        <f>IF(B741="","",IFERROR(INDEX(Client_List!$D:$D,MATCH(VALUE(B741),Client_List!$A:$A,0)),""))</f>
        <v/>
      </c>
      <c r="G741" s="53">
        <f>IF(B741="","",IFERROR(INDEX(Client_List!$K:$K,MATCH(VALUE(B741),Client_List!$A:$A,0)),""))</f>
        <v/>
      </c>
      <c r="H741" s="32">
        <f>IF(B741="","",IFERROR(INDEX(Client_List!$J:$J,MATCH(VALUE(B741),Client_List!$A:$A,0)),""))</f>
        <v/>
      </c>
      <c r="I741" s="70">
        <f>IF(B741="","",IFERROR(A741-LOOKUP(2,1/($B$4:$B740=B741),$A$4:$A740),""))</f>
        <v/>
      </c>
      <c r="J741" s="32">
        <f>IF(B741="","",IFERROR(D741/I741,""))</f>
        <v/>
      </c>
      <c r="K741" s="71">
        <f>IF(B741="","",IFERROR(AVERAGEIFS($J$4:$J741,$B$4:$B741,B741,$J$4:$J741,"&gt;"&amp;0),""))</f>
        <v/>
      </c>
      <c r="L741" s="7" t="n"/>
    </row>
    <row r="742" ht="14" customHeight="1" s="72">
      <c r="A742" s="75" t="n">
        <v>46085</v>
      </c>
      <c r="B742" s="76" t="n">
        <v>4027</v>
      </c>
      <c r="C742" s="69">
        <f>IF(B742="","",IFERROR(INDEX(Client_List!$B:$B,MATCH(B742,Client_List!$A:$A,0)),"⚠ NOT FOUND"))</f>
        <v/>
      </c>
      <c r="D742" s="43" t="n">
        <v>803</v>
      </c>
      <c r="E742" s="32">
        <f>IF(B742="","",IFERROR(INDEX(Client_List!$C:$C,MATCH(VALUE(B742),Client_List!$A:$A,0)),""))</f>
        <v/>
      </c>
      <c r="F742" s="53">
        <f>IF(B742="","",IFERROR(INDEX(Client_List!$D:$D,MATCH(VALUE(B742),Client_List!$A:$A,0)),""))</f>
        <v/>
      </c>
      <c r="G742" s="53">
        <f>IF(B742="","",IFERROR(INDEX(Client_List!$K:$K,MATCH(VALUE(B742),Client_List!$A:$A,0)),""))</f>
        <v/>
      </c>
      <c r="H742" s="32">
        <f>IF(B742="","",IFERROR(INDEX(Client_List!$J:$J,MATCH(VALUE(B742),Client_List!$A:$A,0)),""))</f>
        <v/>
      </c>
      <c r="I742" s="70">
        <f>IF(B742="","",IFERROR(A742-LOOKUP(2,1/($B$4:$B741=B742),$A$4:$A741),""))</f>
        <v/>
      </c>
      <c r="J742" s="32">
        <f>IF(B742="","",IFERROR(D742/I742,""))</f>
        <v/>
      </c>
      <c r="K742" s="71">
        <f>IF(B742="","",IFERROR(AVERAGEIFS($J$4:$J742,$B$4:$B742,B742,$J$4:$J742,"&gt;"&amp;0),""))</f>
        <v/>
      </c>
      <c r="L742" s="4" t="n"/>
    </row>
    <row r="743" ht="14" customHeight="1" s="72">
      <c r="A743" s="75" t="n">
        <v>46085</v>
      </c>
      <c r="B743" s="76" t="n">
        <v>10001</v>
      </c>
      <c r="C743" s="69">
        <f>IF(B743="","",IFERROR(INDEX(Client_List!$B:$B,MATCH(B743,Client_List!$A:$A,0)),"⚠ NOT FOUND"))</f>
        <v/>
      </c>
      <c r="D743" s="43" t="n">
        <v>939</v>
      </c>
      <c r="E743" s="32">
        <f>IF(B743="","",IFERROR(INDEX(Client_List!$C:$C,MATCH(VALUE(B743),Client_List!$A:$A,0)),""))</f>
        <v/>
      </c>
      <c r="F743" s="53">
        <f>IF(B743="","",IFERROR(INDEX(Client_List!$D:$D,MATCH(VALUE(B743),Client_List!$A:$A,0)),""))</f>
        <v/>
      </c>
      <c r="G743" s="53">
        <f>IF(B743="","",IFERROR(INDEX(Client_List!$K:$K,MATCH(VALUE(B743),Client_List!$A:$A,0)),""))</f>
        <v/>
      </c>
      <c r="H743" s="32">
        <f>IF(B743="","",IFERROR(INDEX(Client_List!$J:$J,MATCH(VALUE(B743),Client_List!$A:$A,0)),""))</f>
        <v/>
      </c>
      <c r="I743" s="70">
        <f>IF(B743="","",IFERROR(A743-LOOKUP(2,1/($B$4:$B742=B743),$A$4:$A742),""))</f>
        <v/>
      </c>
      <c r="J743" s="32">
        <f>IF(B743="","",IFERROR(D743/I743,""))</f>
        <v/>
      </c>
      <c r="K743" s="71">
        <f>IF(B743="","",IFERROR(AVERAGEIFS($J$4:$J743,$B$4:$B743,B743,$J$4:$J743,"&gt;"&amp;0),""))</f>
        <v/>
      </c>
      <c r="L743" s="7" t="n"/>
    </row>
    <row r="744" ht="14" customHeight="1" s="72">
      <c r="A744" s="75" t="n">
        <v>46085</v>
      </c>
      <c r="B744" s="76" t="n">
        <v>13011</v>
      </c>
      <c r="C744" s="69">
        <f>IF(B744="","",IFERROR(INDEX(Client_List!$B:$B,MATCH(B744,Client_List!$A:$A,0)),"⚠ NOT FOUND"))</f>
        <v/>
      </c>
      <c r="D744" s="43" t="n">
        <v>624</v>
      </c>
      <c r="E744" s="32">
        <f>IF(B744="","",IFERROR(INDEX(Client_List!$C:$C,MATCH(VALUE(B744),Client_List!$A:$A,0)),""))</f>
        <v/>
      </c>
      <c r="F744" s="53">
        <f>IF(B744="","",IFERROR(INDEX(Client_List!$D:$D,MATCH(VALUE(B744),Client_List!$A:$A,0)),""))</f>
        <v/>
      </c>
      <c r="G744" s="53">
        <f>IF(B744="","",IFERROR(INDEX(Client_List!$K:$K,MATCH(VALUE(B744),Client_List!$A:$A,0)),""))</f>
        <v/>
      </c>
      <c r="H744" s="32">
        <f>IF(B744="","",IFERROR(INDEX(Client_List!$J:$J,MATCH(VALUE(B744),Client_List!$A:$A,0)),""))</f>
        <v/>
      </c>
      <c r="I744" s="70">
        <f>IF(B744="","",IFERROR(A744-LOOKUP(2,1/($B$4:$B743=B744),$A$4:$A743),""))</f>
        <v/>
      </c>
      <c r="J744" s="32">
        <f>IF(B744="","",IFERROR(D744/I744,""))</f>
        <v/>
      </c>
      <c r="K744" s="71">
        <f>IF(B744="","",IFERROR(AVERAGEIFS($J$4:$J744,$B$4:$B744,B744,$J$4:$J744,"&gt;"&amp;0),""))</f>
        <v/>
      </c>
      <c r="L744" s="4" t="n"/>
    </row>
    <row r="745" ht="14" customHeight="1" s="72">
      <c r="A745" s="75" t="n">
        <v>46085</v>
      </c>
      <c r="B745" s="76" t="n">
        <v>13015</v>
      </c>
      <c r="C745" s="69">
        <f>IF(B745="","",IFERROR(INDEX(Client_List!$B:$B,MATCH(B745,Client_List!$A:$A,0)),"⚠ NOT FOUND"))</f>
        <v/>
      </c>
      <c r="D745" s="43" t="n">
        <v>745</v>
      </c>
      <c r="E745" s="32">
        <f>IF(B745="","",IFERROR(INDEX(Client_List!$C:$C,MATCH(VALUE(B745),Client_List!$A:$A,0)),""))</f>
        <v/>
      </c>
      <c r="F745" s="53">
        <f>IF(B745="","",IFERROR(INDEX(Client_List!$D:$D,MATCH(VALUE(B745),Client_List!$A:$A,0)),""))</f>
        <v/>
      </c>
      <c r="G745" s="53">
        <f>IF(B745="","",IFERROR(INDEX(Client_List!$K:$K,MATCH(VALUE(B745),Client_List!$A:$A,0)),""))</f>
        <v/>
      </c>
      <c r="H745" s="32">
        <f>IF(B745="","",IFERROR(INDEX(Client_List!$J:$J,MATCH(VALUE(B745),Client_List!$A:$A,0)),""))</f>
        <v/>
      </c>
      <c r="I745" s="70">
        <f>IF(B745="","",IFERROR(A745-LOOKUP(2,1/($B$4:$B744=B745),$A$4:$A744),""))</f>
        <v/>
      </c>
      <c r="J745" s="32">
        <f>IF(B745="","",IFERROR(D745/I745,""))</f>
        <v/>
      </c>
      <c r="K745" s="71">
        <f>IF(B745="","",IFERROR(AVERAGEIFS($J$4:$J745,$B$4:$B745,B745,$J$4:$J745,"&gt;"&amp;0),""))</f>
        <v/>
      </c>
      <c r="L745" s="7" t="n"/>
    </row>
    <row r="746" ht="14" customHeight="1" s="72">
      <c r="A746" s="75" t="n">
        <v>46085</v>
      </c>
      <c r="B746" s="76" t="n">
        <v>14008</v>
      </c>
      <c r="C746" s="69">
        <f>IF(B746="","",IFERROR(INDEX(Client_List!$B:$B,MATCH(B746,Client_List!$A:$A,0)),"⚠ NOT FOUND"))</f>
        <v/>
      </c>
      <c r="D746" s="43" t="n">
        <v>1425</v>
      </c>
      <c r="E746" s="32">
        <f>IF(B746="","",IFERROR(INDEX(Client_List!$C:$C,MATCH(VALUE(B746),Client_List!$A:$A,0)),""))</f>
        <v/>
      </c>
      <c r="F746" s="53">
        <f>IF(B746="","",IFERROR(INDEX(Client_List!$D:$D,MATCH(VALUE(B746),Client_List!$A:$A,0)),""))</f>
        <v/>
      </c>
      <c r="G746" s="53">
        <f>IF(B746="","",IFERROR(INDEX(Client_List!$K:$K,MATCH(VALUE(B746),Client_List!$A:$A,0)),""))</f>
        <v/>
      </c>
      <c r="H746" s="32">
        <f>IF(B746="","",IFERROR(INDEX(Client_List!$J:$J,MATCH(VALUE(B746),Client_List!$A:$A,0)),""))</f>
        <v/>
      </c>
      <c r="I746" s="70">
        <f>IF(B746="","",IFERROR(A746-LOOKUP(2,1/($B$4:$B745=B746),$A$4:$A745),""))</f>
        <v/>
      </c>
      <c r="J746" s="32">
        <f>IF(B746="","",IFERROR(D746/I746,""))</f>
        <v/>
      </c>
      <c r="K746" s="71">
        <f>IF(B746="","",IFERROR(AVERAGEIFS($J$4:$J746,$B$4:$B746,B746,$J$4:$J746,"&gt;"&amp;0),""))</f>
        <v/>
      </c>
      <c r="L746" s="4" t="n"/>
    </row>
    <row r="747" ht="14" customHeight="1" s="72">
      <c r="A747" s="75" t="n">
        <v>46085</v>
      </c>
      <c r="B747" s="76" t="n">
        <v>15009</v>
      </c>
      <c r="C747" s="69">
        <f>IF(B747="","",IFERROR(INDEX(Client_List!$B:$B,MATCH(B747,Client_List!$A:$A,0)),"⚠ NOT FOUND"))</f>
        <v/>
      </c>
      <c r="D747" s="43" t="n">
        <v>305</v>
      </c>
      <c r="E747" s="32">
        <f>IF(B747="","",IFERROR(INDEX(Client_List!$C:$C,MATCH(VALUE(B747),Client_List!$A:$A,0)),""))</f>
        <v/>
      </c>
      <c r="F747" s="53">
        <f>IF(B747="","",IFERROR(INDEX(Client_List!$D:$D,MATCH(VALUE(B747),Client_List!$A:$A,0)),""))</f>
        <v/>
      </c>
      <c r="G747" s="53">
        <f>IF(B747="","",IFERROR(INDEX(Client_List!$K:$K,MATCH(VALUE(B747),Client_List!$A:$A,0)),""))</f>
        <v/>
      </c>
      <c r="H747" s="32">
        <f>IF(B747="","",IFERROR(INDEX(Client_List!$J:$J,MATCH(VALUE(B747),Client_List!$A:$A,0)),""))</f>
        <v/>
      </c>
      <c r="I747" s="70">
        <f>IF(B747="","",IFERROR(A747-LOOKUP(2,1/($B$4:$B746=B747),$A$4:$A746),""))</f>
        <v/>
      </c>
      <c r="J747" s="32">
        <f>IF(B747="","",IFERROR(D747/I747,""))</f>
        <v/>
      </c>
      <c r="K747" s="71">
        <f>IF(B747="","",IFERROR(AVERAGEIFS($J$4:$J747,$B$4:$B747,B747,$J$4:$J747,"&gt;"&amp;0),""))</f>
        <v/>
      </c>
      <c r="L747" s="7" t="n"/>
    </row>
    <row r="748" ht="14" customHeight="1" s="72">
      <c r="A748" s="75" t="n">
        <v>46085</v>
      </c>
      <c r="B748" s="76" t="n">
        <v>15026</v>
      </c>
      <c r="C748" s="69">
        <f>IF(B748="","",IFERROR(INDEX(Client_List!$B:$B,MATCH(B748,Client_List!$A:$A,0)),"⚠ NOT FOUND"))</f>
        <v/>
      </c>
      <c r="D748" s="43" t="n">
        <v>386</v>
      </c>
      <c r="E748" s="32">
        <f>IF(B748="","",IFERROR(INDEX(Client_List!$C:$C,MATCH(VALUE(B748),Client_List!$A:$A,0)),""))</f>
        <v/>
      </c>
      <c r="F748" s="53">
        <f>IF(B748="","",IFERROR(INDEX(Client_List!$D:$D,MATCH(VALUE(B748),Client_List!$A:$A,0)),""))</f>
        <v/>
      </c>
      <c r="G748" s="53">
        <f>IF(B748="","",IFERROR(INDEX(Client_List!$K:$K,MATCH(VALUE(B748),Client_List!$A:$A,0)),""))</f>
        <v/>
      </c>
      <c r="H748" s="32">
        <f>IF(B748="","",IFERROR(INDEX(Client_List!$J:$J,MATCH(VALUE(B748),Client_List!$A:$A,0)),""))</f>
        <v/>
      </c>
      <c r="I748" s="70">
        <f>IF(B748="","",IFERROR(A748-LOOKUP(2,1/($B$4:$B747=B748),$A$4:$A747),""))</f>
        <v/>
      </c>
      <c r="J748" s="32">
        <f>IF(B748="","",IFERROR(D748/I748,""))</f>
        <v/>
      </c>
      <c r="K748" s="71">
        <f>IF(B748="","",IFERROR(AVERAGEIFS($J$4:$J748,$B$4:$B748,B748,$J$4:$J748,"&gt;"&amp;0),""))</f>
        <v/>
      </c>
      <c r="L748" s="4" t="n"/>
    </row>
    <row r="749" ht="14" customHeight="1" s="72">
      <c r="A749" s="75" t="n">
        <v>46085</v>
      </c>
      <c r="B749" s="76" t="n">
        <v>15035</v>
      </c>
      <c r="C749" s="69">
        <f>IF(B749="","",IFERROR(INDEX(Client_List!$B:$B,MATCH(B749,Client_List!$A:$A,0)),"⚠ NOT FOUND"))</f>
        <v/>
      </c>
      <c r="D749" s="43" t="n">
        <v>1389</v>
      </c>
      <c r="E749" s="32">
        <f>IF(B749="","",IFERROR(INDEX(Client_List!$C:$C,MATCH(VALUE(B749),Client_List!$A:$A,0)),""))</f>
        <v/>
      </c>
      <c r="F749" s="53">
        <f>IF(B749="","",IFERROR(INDEX(Client_List!$D:$D,MATCH(VALUE(B749),Client_List!$A:$A,0)),""))</f>
        <v/>
      </c>
      <c r="G749" s="53">
        <f>IF(B749="","",IFERROR(INDEX(Client_List!$K:$K,MATCH(VALUE(B749),Client_List!$A:$A,0)),""))</f>
        <v/>
      </c>
      <c r="H749" s="32">
        <f>IF(B749="","",IFERROR(INDEX(Client_List!$J:$J,MATCH(VALUE(B749),Client_List!$A:$A,0)),""))</f>
        <v/>
      </c>
      <c r="I749" s="70">
        <f>IF(B749="","",IFERROR(A749-LOOKUP(2,1/($B$4:$B748=B749),$A$4:$A748),""))</f>
        <v/>
      </c>
      <c r="J749" s="32">
        <f>IF(B749="","",IFERROR(D749/I749,""))</f>
        <v/>
      </c>
      <c r="K749" s="71">
        <f>IF(B749="","",IFERROR(AVERAGEIFS($J$4:$J749,$B$4:$B749,B749,$J$4:$J749,"&gt;"&amp;0),""))</f>
        <v/>
      </c>
      <c r="L749" s="7" t="n"/>
    </row>
    <row r="750" ht="14" customHeight="1" s="72">
      <c r="A750" s="75" t="n">
        <v>46085</v>
      </c>
      <c r="B750" s="76" t="n">
        <v>15041</v>
      </c>
      <c r="C750" s="69">
        <f>IF(B750="","",IFERROR(INDEX(Client_List!$B:$B,MATCH(B750,Client_List!$A:$A,0)),"⚠ NOT FOUND"))</f>
        <v/>
      </c>
      <c r="D750" s="43" t="n">
        <v>425</v>
      </c>
      <c r="E750" s="32">
        <f>IF(B750="","",IFERROR(INDEX(Client_List!$C:$C,MATCH(VALUE(B750),Client_List!$A:$A,0)),""))</f>
        <v/>
      </c>
      <c r="F750" s="53">
        <f>IF(B750="","",IFERROR(INDEX(Client_List!$D:$D,MATCH(VALUE(B750),Client_List!$A:$A,0)),""))</f>
        <v/>
      </c>
      <c r="G750" s="53">
        <f>IF(B750="","",IFERROR(INDEX(Client_List!$K:$K,MATCH(VALUE(B750),Client_List!$A:$A,0)),""))</f>
        <v/>
      </c>
      <c r="H750" s="32">
        <f>IF(B750="","",IFERROR(INDEX(Client_List!$J:$J,MATCH(VALUE(B750),Client_List!$A:$A,0)),""))</f>
        <v/>
      </c>
      <c r="I750" s="70">
        <f>IF(B750="","",IFERROR(A750-LOOKUP(2,1/($B$4:$B749=B750),$A$4:$A749),""))</f>
        <v/>
      </c>
      <c r="J750" s="32">
        <f>IF(B750="","",IFERROR(D750/I750,""))</f>
        <v/>
      </c>
      <c r="K750" s="71">
        <f>IF(B750="","",IFERROR(AVERAGEIFS($J$4:$J750,$B$4:$B750,B750,$J$4:$J750,"&gt;"&amp;0),""))</f>
        <v/>
      </c>
      <c r="L750" s="4" t="n"/>
    </row>
    <row r="751" ht="14" customHeight="1" s="72">
      <c r="A751" s="75" t="n">
        <v>46085</v>
      </c>
      <c r="B751" s="76" t="n">
        <v>16007</v>
      </c>
      <c r="C751" s="69">
        <f>IF(B751="","",IFERROR(INDEX(Client_List!$B:$B,MATCH(B751,Client_List!$A:$A,0)),"⚠ NOT FOUND"))</f>
        <v/>
      </c>
      <c r="D751" s="43" t="n">
        <v>254</v>
      </c>
      <c r="E751" s="32">
        <f>IF(B751="","",IFERROR(INDEX(Client_List!$C:$C,MATCH(VALUE(B751),Client_List!$A:$A,0)),""))</f>
        <v/>
      </c>
      <c r="F751" s="53">
        <f>IF(B751="","",IFERROR(INDEX(Client_List!$D:$D,MATCH(VALUE(B751),Client_List!$A:$A,0)),""))</f>
        <v/>
      </c>
      <c r="G751" s="53">
        <f>IF(B751="","",IFERROR(INDEX(Client_List!$K:$K,MATCH(VALUE(B751),Client_List!$A:$A,0)),""))</f>
        <v/>
      </c>
      <c r="H751" s="32">
        <f>IF(B751="","",IFERROR(INDEX(Client_List!$J:$J,MATCH(VALUE(B751),Client_List!$A:$A,0)),""))</f>
        <v/>
      </c>
      <c r="I751" s="70">
        <f>IF(B751="","",IFERROR(A751-LOOKUP(2,1/($B$4:$B750=B751),$A$4:$A750),""))</f>
        <v/>
      </c>
      <c r="J751" s="32">
        <f>IF(B751="","",IFERROR(D751/I751,""))</f>
        <v/>
      </c>
      <c r="K751" s="71">
        <f>IF(B751="","",IFERROR(AVERAGEIFS($J$4:$J751,$B$4:$B751,B751,$J$4:$J751,"&gt;"&amp;0),""))</f>
        <v/>
      </c>
      <c r="L751" s="7" t="n"/>
    </row>
    <row r="752" ht="14" customHeight="1" s="72">
      <c r="A752" s="75" t="n">
        <v>46085</v>
      </c>
      <c r="B752" s="76" t="n">
        <v>18001</v>
      </c>
      <c r="C752" s="69">
        <f>IF(B752="","",IFERROR(INDEX(Client_List!$B:$B,MATCH(B752,Client_List!$A:$A,0)),"⚠ NOT FOUND"))</f>
        <v/>
      </c>
      <c r="D752" s="43" t="n">
        <v>574</v>
      </c>
      <c r="E752" s="32">
        <f>IF(B752="","",IFERROR(INDEX(Client_List!$C:$C,MATCH(VALUE(B752),Client_List!$A:$A,0)),""))</f>
        <v/>
      </c>
      <c r="F752" s="53">
        <f>IF(B752="","",IFERROR(INDEX(Client_List!$D:$D,MATCH(VALUE(B752),Client_List!$A:$A,0)),""))</f>
        <v/>
      </c>
      <c r="G752" s="53">
        <f>IF(B752="","",IFERROR(INDEX(Client_List!$K:$K,MATCH(VALUE(B752),Client_List!$A:$A,0)),""))</f>
        <v/>
      </c>
      <c r="H752" s="32">
        <f>IF(B752="","",IFERROR(INDEX(Client_List!$J:$J,MATCH(VALUE(B752),Client_List!$A:$A,0)),""))</f>
        <v/>
      </c>
      <c r="I752" s="70">
        <f>IF(B752="","",IFERROR(A752-LOOKUP(2,1/($B$4:$B751=B752),$A$4:$A751),""))</f>
        <v/>
      </c>
      <c r="J752" s="32">
        <f>IF(B752="","",IFERROR(D752/I752,""))</f>
        <v/>
      </c>
      <c r="K752" s="71">
        <f>IF(B752="","",IFERROR(AVERAGEIFS($J$4:$J752,$B$4:$B752,B752,$J$4:$J752,"&gt;"&amp;0),""))</f>
        <v/>
      </c>
      <c r="L752" s="4" t="n"/>
    </row>
    <row r="753" ht="14" customHeight="1" s="72">
      <c r="A753" s="75" t="n">
        <v>46085</v>
      </c>
      <c r="B753" s="76" t="n">
        <v>18003</v>
      </c>
      <c r="C753" s="69">
        <f>IF(B753="","",IFERROR(INDEX(Client_List!$B:$B,MATCH(B753,Client_List!$A:$A,0)),"⚠ NOT FOUND"))</f>
        <v/>
      </c>
      <c r="D753" s="43" t="n">
        <v>335</v>
      </c>
      <c r="E753" s="32">
        <f>IF(B753="","",IFERROR(INDEX(Client_List!$C:$C,MATCH(VALUE(B753),Client_List!$A:$A,0)),""))</f>
        <v/>
      </c>
      <c r="F753" s="53">
        <f>IF(B753="","",IFERROR(INDEX(Client_List!$D:$D,MATCH(VALUE(B753),Client_List!$A:$A,0)),""))</f>
        <v/>
      </c>
      <c r="G753" s="53">
        <f>IF(B753="","",IFERROR(INDEX(Client_List!$K:$K,MATCH(VALUE(B753),Client_List!$A:$A,0)),""))</f>
        <v/>
      </c>
      <c r="H753" s="32">
        <f>IF(B753="","",IFERROR(INDEX(Client_List!$J:$J,MATCH(VALUE(B753),Client_List!$A:$A,0)),""))</f>
        <v/>
      </c>
      <c r="I753" s="70">
        <f>IF(B753="","",IFERROR(A753-LOOKUP(2,1/($B$4:$B752=B753),$A$4:$A752),""))</f>
        <v/>
      </c>
      <c r="J753" s="32">
        <f>IF(B753="","",IFERROR(D753/I753,""))</f>
        <v/>
      </c>
      <c r="K753" s="71">
        <f>IF(B753="","",IFERROR(AVERAGEIFS($J$4:$J753,$B$4:$B753,B753,$J$4:$J753,"&gt;"&amp;0),""))</f>
        <v/>
      </c>
      <c r="L753" s="7" t="n"/>
    </row>
    <row r="754" ht="14" customHeight="1" s="72">
      <c r="A754" s="75" t="n">
        <v>46085</v>
      </c>
      <c r="B754" s="76" t="n">
        <v>18004</v>
      </c>
      <c r="C754" s="69">
        <f>IF(B754="","",IFERROR(INDEX(Client_List!$B:$B,MATCH(B754,Client_List!$A:$A,0)),"⚠ NOT FOUND"))</f>
        <v/>
      </c>
      <c r="D754" s="43" t="n">
        <v>529</v>
      </c>
      <c r="E754" s="32">
        <f>IF(B754="","",IFERROR(INDEX(Client_List!$C:$C,MATCH(VALUE(B754),Client_List!$A:$A,0)),""))</f>
        <v/>
      </c>
      <c r="F754" s="53">
        <f>IF(B754="","",IFERROR(INDEX(Client_List!$D:$D,MATCH(VALUE(B754),Client_List!$A:$A,0)),""))</f>
        <v/>
      </c>
      <c r="G754" s="53">
        <f>IF(B754="","",IFERROR(INDEX(Client_List!$K:$K,MATCH(VALUE(B754),Client_List!$A:$A,0)),""))</f>
        <v/>
      </c>
      <c r="H754" s="32">
        <f>IF(B754="","",IFERROR(INDEX(Client_List!$J:$J,MATCH(VALUE(B754),Client_List!$A:$A,0)),""))</f>
        <v/>
      </c>
      <c r="I754" s="70">
        <f>IF(B754="","",IFERROR(A754-LOOKUP(2,1/($B$4:$B753=B754),$A$4:$A753),""))</f>
        <v/>
      </c>
      <c r="J754" s="32">
        <f>IF(B754="","",IFERROR(D754/I754,""))</f>
        <v/>
      </c>
      <c r="K754" s="71">
        <f>IF(B754="","",IFERROR(AVERAGEIFS($J$4:$J754,$B$4:$B754,B754,$J$4:$J754,"&gt;"&amp;0),""))</f>
        <v/>
      </c>
      <c r="L754" s="4" t="n"/>
    </row>
    <row r="755" ht="14" customHeight="1" s="72">
      <c r="A755" s="75" t="n">
        <v>46085</v>
      </c>
      <c r="B755" s="76" t="n">
        <v>19082</v>
      </c>
      <c r="C755" s="69">
        <f>IF(B755="","",IFERROR(INDEX(Client_List!$B:$B,MATCH(B755,Client_List!$A:$A,0)),"⚠ NOT FOUND"))</f>
        <v/>
      </c>
      <c r="D755" s="43" t="n">
        <v>561</v>
      </c>
      <c r="E755" s="32">
        <f>IF(B755="","",IFERROR(INDEX(Client_List!$C:$C,MATCH(VALUE(B755),Client_List!$A:$A,0)),""))</f>
        <v/>
      </c>
      <c r="F755" s="53">
        <f>IF(B755="","",IFERROR(INDEX(Client_List!$D:$D,MATCH(VALUE(B755),Client_List!$A:$A,0)),""))</f>
        <v/>
      </c>
      <c r="G755" s="53">
        <f>IF(B755="","",IFERROR(INDEX(Client_List!$K:$K,MATCH(VALUE(B755),Client_List!$A:$A,0)),""))</f>
        <v/>
      </c>
      <c r="H755" s="32">
        <f>IF(B755="","",IFERROR(INDEX(Client_List!$J:$J,MATCH(VALUE(B755),Client_List!$A:$A,0)),""))</f>
        <v/>
      </c>
      <c r="I755" s="70">
        <f>IF(B755="","",IFERROR(A755-LOOKUP(2,1/($B$4:$B754=B755),$A$4:$A754),""))</f>
        <v/>
      </c>
      <c r="J755" s="32">
        <f>IF(B755="","",IFERROR(D755/I755,""))</f>
        <v/>
      </c>
      <c r="K755" s="71">
        <f>IF(B755="","",IFERROR(AVERAGEIFS($J$4:$J755,$B$4:$B755,B755,$J$4:$J755,"&gt;"&amp;0),""))</f>
        <v/>
      </c>
      <c r="L755" s="7" t="n"/>
    </row>
    <row r="756" ht="14" customHeight="1" s="72">
      <c r="A756" s="75" t="n">
        <v>46085</v>
      </c>
      <c r="B756" s="76" t="n">
        <v>20081</v>
      </c>
      <c r="C756" s="69">
        <f>IF(B756="","",IFERROR(INDEX(Client_List!$B:$B,MATCH(B756,Client_List!$A:$A,0)),"⚠ NOT FOUND"))</f>
        <v/>
      </c>
      <c r="D756" s="43" t="n">
        <v>934</v>
      </c>
      <c r="E756" s="32">
        <f>IF(B756="","",IFERROR(INDEX(Client_List!$C:$C,MATCH(VALUE(B756),Client_List!$A:$A,0)),""))</f>
        <v/>
      </c>
      <c r="F756" s="53">
        <f>IF(B756="","",IFERROR(INDEX(Client_List!$D:$D,MATCH(VALUE(B756),Client_List!$A:$A,0)),""))</f>
        <v/>
      </c>
      <c r="G756" s="53">
        <f>IF(B756="","",IFERROR(INDEX(Client_List!$K:$K,MATCH(VALUE(B756),Client_List!$A:$A,0)),""))</f>
        <v/>
      </c>
      <c r="H756" s="32">
        <f>IF(B756="","",IFERROR(INDEX(Client_List!$J:$J,MATCH(VALUE(B756),Client_List!$A:$A,0)),""))</f>
        <v/>
      </c>
      <c r="I756" s="70">
        <f>IF(B756="","",IFERROR(A756-LOOKUP(2,1/($B$4:$B755=B756),$A$4:$A755),""))</f>
        <v/>
      </c>
      <c r="J756" s="32">
        <f>IF(B756="","",IFERROR(D756/I756,""))</f>
        <v/>
      </c>
      <c r="K756" s="71">
        <f>IF(B756="","",IFERROR(AVERAGEIFS($J$4:$J756,$B$4:$B756,B756,$J$4:$J756,"&gt;"&amp;0),""))</f>
        <v/>
      </c>
      <c r="L756" s="4" t="n"/>
    </row>
    <row r="757" ht="14" customHeight="1" s="72">
      <c r="A757" s="75" t="n">
        <v>46085</v>
      </c>
      <c r="B757" s="76" t="n">
        <v>21002</v>
      </c>
      <c r="C757" s="69">
        <f>IF(B757="","",IFERROR(INDEX(Client_List!$B:$B,MATCH(B757,Client_List!$A:$A,0)),"⚠ NOT FOUND"))</f>
        <v/>
      </c>
      <c r="D757" s="43" t="n">
        <v>635</v>
      </c>
      <c r="E757" s="32">
        <f>IF(B757="","",IFERROR(INDEX(Client_List!$C:$C,MATCH(VALUE(B757),Client_List!$A:$A,0)),""))</f>
        <v/>
      </c>
      <c r="F757" s="53">
        <f>IF(B757="","",IFERROR(INDEX(Client_List!$D:$D,MATCH(VALUE(B757),Client_List!$A:$A,0)),""))</f>
        <v/>
      </c>
      <c r="G757" s="53">
        <f>IF(B757="","",IFERROR(INDEX(Client_List!$K:$K,MATCH(VALUE(B757),Client_List!$A:$A,0)),""))</f>
        <v/>
      </c>
      <c r="H757" s="32">
        <f>IF(B757="","",IFERROR(INDEX(Client_List!$J:$J,MATCH(VALUE(B757),Client_List!$A:$A,0)),""))</f>
        <v/>
      </c>
      <c r="I757" s="70">
        <f>IF(B757="","",IFERROR(A757-LOOKUP(2,1/($B$4:$B756=B757),$A$4:$A756),""))</f>
        <v/>
      </c>
      <c r="J757" s="32">
        <f>IF(B757="","",IFERROR(D757/I757,""))</f>
        <v/>
      </c>
      <c r="K757" s="71">
        <f>IF(B757="","",IFERROR(AVERAGEIFS($J$4:$J757,$B$4:$B757,B757,$J$4:$J757,"&gt;"&amp;0),""))</f>
        <v/>
      </c>
      <c r="L757" s="7" t="n"/>
    </row>
    <row r="758" ht="14" customHeight="1" s="72">
      <c r="A758" s="75" t="n">
        <v>46086</v>
      </c>
      <c r="B758" s="76" t="n">
        <v>1013</v>
      </c>
      <c r="C758" s="69">
        <f>IF(B758="","",IFERROR(INDEX(Client_List!$B:$B,MATCH(B758,Client_List!$A:$A,0)),"⚠ NOT FOUND"))</f>
        <v/>
      </c>
      <c r="D758" s="43" t="n">
        <v>765</v>
      </c>
      <c r="E758" s="32">
        <f>IF(B758="","",IFERROR(INDEX(Client_List!$C:$C,MATCH(VALUE(B758),Client_List!$A:$A,0)),""))</f>
        <v/>
      </c>
      <c r="F758" s="53">
        <f>IF(B758="","",IFERROR(INDEX(Client_List!$D:$D,MATCH(VALUE(B758),Client_List!$A:$A,0)),""))</f>
        <v/>
      </c>
      <c r="G758" s="53">
        <f>IF(B758="","",IFERROR(INDEX(Client_List!$K:$K,MATCH(VALUE(B758),Client_List!$A:$A,0)),""))</f>
        <v/>
      </c>
      <c r="H758" s="32">
        <f>IF(B758="","",IFERROR(INDEX(Client_List!$J:$J,MATCH(VALUE(B758),Client_List!$A:$A,0)),""))</f>
        <v/>
      </c>
      <c r="I758" s="70">
        <f>IF(B758="","",IFERROR(A758-LOOKUP(2,1/($B$4:$B757=B758),$A$4:$A757),""))</f>
        <v/>
      </c>
      <c r="J758" s="32">
        <f>IF(B758="","",IFERROR(D758/I758,""))</f>
        <v/>
      </c>
      <c r="K758" s="71">
        <f>IF(B758="","",IFERROR(AVERAGEIFS($J$4:$J758,$B$4:$B758,B758,$J$4:$J758,"&gt;"&amp;0),""))</f>
        <v/>
      </c>
      <c r="L758" s="4" t="n"/>
    </row>
    <row r="759" ht="14" customHeight="1" s="72">
      <c r="A759" s="75" t="n">
        <v>46086</v>
      </c>
      <c r="B759" s="76" t="n">
        <v>1054</v>
      </c>
      <c r="C759" s="69">
        <f>IF(B759="","",IFERROR(INDEX(Client_List!$B:$B,MATCH(B759,Client_List!$A:$A,0)),"⚠ NOT FOUND"))</f>
        <v/>
      </c>
      <c r="D759" s="43" t="n">
        <v>581</v>
      </c>
      <c r="E759" s="32">
        <f>IF(B759="","",IFERROR(INDEX(Client_List!$C:$C,MATCH(VALUE(B759),Client_List!$A:$A,0)),""))</f>
        <v/>
      </c>
      <c r="F759" s="53">
        <f>IF(B759="","",IFERROR(INDEX(Client_List!$D:$D,MATCH(VALUE(B759),Client_List!$A:$A,0)),""))</f>
        <v/>
      </c>
      <c r="G759" s="53">
        <f>IF(B759="","",IFERROR(INDEX(Client_List!$K:$K,MATCH(VALUE(B759),Client_List!$A:$A,0)),""))</f>
        <v/>
      </c>
      <c r="H759" s="32">
        <f>IF(B759="","",IFERROR(INDEX(Client_List!$J:$J,MATCH(VALUE(B759),Client_List!$A:$A,0)),""))</f>
        <v/>
      </c>
      <c r="I759" s="70">
        <f>IF(B759="","",IFERROR(A759-LOOKUP(2,1/($B$4:$B758=B759),$A$4:$A758),""))</f>
        <v/>
      </c>
      <c r="J759" s="32">
        <f>IF(B759="","",IFERROR(D759/I759,""))</f>
        <v/>
      </c>
      <c r="K759" s="71">
        <f>IF(B759="","",IFERROR(AVERAGEIFS($J$4:$J759,$B$4:$B759,B759,$J$4:$J759,"&gt;"&amp;0),""))</f>
        <v/>
      </c>
      <c r="L759" s="7" t="n"/>
    </row>
    <row r="760" ht="14" customHeight="1" s="72">
      <c r="A760" s="75" t="n">
        <v>46086</v>
      </c>
      <c r="B760" s="76" t="n">
        <v>1083</v>
      </c>
      <c r="C760" s="69">
        <f>IF(B760="","",IFERROR(INDEX(Client_List!$B:$B,MATCH(B760,Client_List!$A:$A,0)),"⚠ NOT FOUND"))</f>
        <v/>
      </c>
      <c r="D760" s="43" t="n">
        <v>310</v>
      </c>
      <c r="E760" s="32">
        <f>IF(B760="","",IFERROR(INDEX(Client_List!$C:$C,MATCH(VALUE(B760),Client_List!$A:$A,0)),""))</f>
        <v/>
      </c>
      <c r="F760" s="53">
        <f>IF(B760="","",IFERROR(INDEX(Client_List!$D:$D,MATCH(VALUE(B760),Client_List!$A:$A,0)),""))</f>
        <v/>
      </c>
      <c r="G760" s="53">
        <f>IF(B760="","",IFERROR(INDEX(Client_List!$K:$K,MATCH(VALUE(B760),Client_List!$A:$A,0)),""))</f>
        <v/>
      </c>
      <c r="H760" s="32">
        <f>IF(B760="","",IFERROR(INDEX(Client_List!$J:$J,MATCH(VALUE(B760),Client_List!$A:$A,0)),""))</f>
        <v/>
      </c>
      <c r="I760" s="70">
        <f>IF(B760="","",IFERROR(A760-LOOKUP(2,1/($B$4:$B759=B760),$A$4:$A759),""))</f>
        <v/>
      </c>
      <c r="J760" s="32">
        <f>IF(B760="","",IFERROR(D760/I760,""))</f>
        <v/>
      </c>
      <c r="K760" s="71">
        <f>IF(B760="","",IFERROR(AVERAGEIFS($J$4:$J760,$B$4:$B760,B760,$J$4:$J760,"&gt;"&amp;0),""))</f>
        <v/>
      </c>
      <c r="L760" s="4" t="n"/>
    </row>
    <row r="761" ht="14" customHeight="1" s="72">
      <c r="A761" s="75" t="n">
        <v>46086</v>
      </c>
      <c r="B761" s="76" t="n">
        <v>2016</v>
      </c>
      <c r="C761" s="69">
        <f>IF(B761="","",IFERROR(INDEX(Client_List!$B:$B,MATCH(B761,Client_List!$A:$A,0)),"⚠ NOT FOUND"))</f>
        <v/>
      </c>
      <c r="D761" s="43" t="n">
        <v>292</v>
      </c>
      <c r="E761" s="32">
        <f>IF(B761="","",IFERROR(INDEX(Client_List!$C:$C,MATCH(VALUE(B761),Client_List!$A:$A,0)),""))</f>
        <v/>
      </c>
      <c r="F761" s="53">
        <f>IF(B761="","",IFERROR(INDEX(Client_List!$D:$D,MATCH(VALUE(B761),Client_List!$A:$A,0)),""))</f>
        <v/>
      </c>
      <c r="G761" s="53">
        <f>IF(B761="","",IFERROR(INDEX(Client_List!$K:$K,MATCH(VALUE(B761),Client_List!$A:$A,0)),""))</f>
        <v/>
      </c>
      <c r="H761" s="32">
        <f>IF(B761="","",IFERROR(INDEX(Client_List!$J:$J,MATCH(VALUE(B761),Client_List!$A:$A,0)),""))</f>
        <v/>
      </c>
      <c r="I761" s="70">
        <f>IF(B761="","",IFERROR(A761-LOOKUP(2,1/($B$4:$B760=B761),$A$4:$A760),""))</f>
        <v/>
      </c>
      <c r="J761" s="32">
        <f>IF(B761="","",IFERROR(D761/I761,""))</f>
        <v/>
      </c>
      <c r="K761" s="71">
        <f>IF(B761="","",IFERROR(AVERAGEIFS($J$4:$J761,$B$4:$B761,B761,$J$4:$J761,"&gt;"&amp;0),""))</f>
        <v/>
      </c>
      <c r="L761" s="7" t="n"/>
    </row>
    <row r="762" ht="14" customHeight="1" s="72">
      <c r="A762" s="75" t="n">
        <v>46086</v>
      </c>
      <c r="B762" s="76" t="n">
        <v>2078</v>
      </c>
      <c r="C762" s="69">
        <f>IF(B762="","",IFERROR(INDEX(Client_List!$B:$B,MATCH(B762,Client_List!$A:$A,0)),"⚠ NOT FOUND"))</f>
        <v/>
      </c>
      <c r="D762" s="43" t="n">
        <v>162</v>
      </c>
      <c r="E762" s="32">
        <f>IF(B762="","",IFERROR(INDEX(Client_List!$C:$C,MATCH(VALUE(B762),Client_List!$A:$A,0)),""))</f>
        <v/>
      </c>
      <c r="F762" s="53">
        <f>IF(B762="","",IFERROR(INDEX(Client_List!$D:$D,MATCH(VALUE(B762),Client_List!$A:$A,0)),""))</f>
        <v/>
      </c>
      <c r="G762" s="53">
        <f>IF(B762="","",IFERROR(INDEX(Client_List!$K:$K,MATCH(VALUE(B762),Client_List!$A:$A,0)),""))</f>
        <v/>
      </c>
      <c r="H762" s="32">
        <f>IF(B762="","",IFERROR(INDEX(Client_List!$J:$J,MATCH(VALUE(B762),Client_List!$A:$A,0)),""))</f>
        <v/>
      </c>
      <c r="I762" s="70">
        <f>IF(B762="","",IFERROR(A762-LOOKUP(2,1/($B$4:$B761=B762),$A$4:$A761),""))</f>
        <v/>
      </c>
      <c r="J762" s="32">
        <f>IF(B762="","",IFERROR(D762/I762,""))</f>
        <v/>
      </c>
      <c r="K762" s="71">
        <f>IF(B762="","",IFERROR(AVERAGEIFS($J$4:$J762,$B$4:$B762,B762,$J$4:$J762,"&gt;"&amp;0),""))</f>
        <v/>
      </c>
      <c r="L762" s="4" t="n"/>
    </row>
    <row r="763" ht="14" customHeight="1" s="72">
      <c r="A763" s="75" t="n">
        <v>46086</v>
      </c>
      <c r="B763" s="76" t="n">
        <v>3028</v>
      </c>
      <c r="C763" s="69">
        <f>IF(B763="","",IFERROR(INDEX(Client_List!$B:$B,MATCH(B763,Client_List!$A:$A,0)),"⚠ NOT FOUND"))</f>
        <v/>
      </c>
      <c r="D763" s="43" t="n">
        <v>759</v>
      </c>
      <c r="E763" s="32">
        <f>IF(B763="","",IFERROR(INDEX(Client_List!$C:$C,MATCH(VALUE(B763),Client_List!$A:$A,0)),""))</f>
        <v/>
      </c>
      <c r="F763" s="53">
        <f>IF(B763="","",IFERROR(INDEX(Client_List!$D:$D,MATCH(VALUE(B763),Client_List!$A:$A,0)),""))</f>
        <v/>
      </c>
      <c r="G763" s="53">
        <f>IF(B763="","",IFERROR(INDEX(Client_List!$K:$K,MATCH(VALUE(B763),Client_List!$A:$A,0)),""))</f>
        <v/>
      </c>
      <c r="H763" s="32">
        <f>IF(B763="","",IFERROR(INDEX(Client_List!$J:$J,MATCH(VALUE(B763),Client_List!$A:$A,0)),""))</f>
        <v/>
      </c>
      <c r="I763" s="70">
        <f>IF(B763="","",IFERROR(A763-LOOKUP(2,1/($B$4:$B762=B763),$A$4:$A762),""))</f>
        <v/>
      </c>
      <c r="J763" s="32">
        <f>IF(B763="","",IFERROR(D763/I763,""))</f>
        <v/>
      </c>
      <c r="K763" s="71">
        <f>IF(B763="","",IFERROR(AVERAGEIFS($J$4:$J763,$B$4:$B763,B763,$J$4:$J763,"&gt;"&amp;0),""))</f>
        <v/>
      </c>
      <c r="L763" s="7" t="n"/>
    </row>
    <row r="764" ht="14" customHeight="1" s="72">
      <c r="A764" s="75" t="n">
        <v>46086</v>
      </c>
      <c r="B764" s="76" t="n">
        <v>3056</v>
      </c>
      <c r="C764" s="69">
        <f>IF(B764="","",IFERROR(INDEX(Client_List!$B:$B,MATCH(B764,Client_List!$A:$A,0)),"⚠ NOT FOUND"))</f>
        <v/>
      </c>
      <c r="D764" s="43" t="n">
        <v>235</v>
      </c>
      <c r="E764" s="32">
        <f>IF(B764="","",IFERROR(INDEX(Client_List!$C:$C,MATCH(VALUE(B764),Client_List!$A:$A,0)),""))</f>
        <v/>
      </c>
      <c r="F764" s="53">
        <f>IF(B764="","",IFERROR(INDEX(Client_List!$D:$D,MATCH(VALUE(B764),Client_List!$A:$A,0)),""))</f>
        <v/>
      </c>
      <c r="G764" s="53">
        <f>IF(B764="","",IFERROR(INDEX(Client_List!$K:$K,MATCH(VALUE(B764),Client_List!$A:$A,0)),""))</f>
        <v/>
      </c>
      <c r="H764" s="32">
        <f>IF(B764="","",IFERROR(INDEX(Client_List!$J:$J,MATCH(VALUE(B764),Client_List!$A:$A,0)),""))</f>
        <v/>
      </c>
      <c r="I764" s="70">
        <f>IF(B764="","",IFERROR(A764-LOOKUP(2,1/($B$4:$B763=B764),$A$4:$A763),""))</f>
        <v/>
      </c>
      <c r="J764" s="32">
        <f>IF(B764="","",IFERROR(D764/I764,""))</f>
        <v/>
      </c>
      <c r="K764" s="71">
        <f>IF(B764="","",IFERROR(AVERAGEIFS($J$4:$J764,$B$4:$B764,B764,$J$4:$J764,"&gt;"&amp;0),""))</f>
        <v/>
      </c>
      <c r="L764" s="4" t="n"/>
    </row>
    <row r="765" ht="14" customHeight="1" s="72">
      <c r="A765" s="75" t="n">
        <v>46086</v>
      </c>
      <c r="B765" s="76" t="n">
        <v>4009</v>
      </c>
      <c r="C765" s="69">
        <f>IF(B765="","",IFERROR(INDEX(Client_List!$B:$B,MATCH(B765,Client_List!$A:$A,0)),"⚠ NOT FOUND"))</f>
        <v/>
      </c>
      <c r="D765" s="43" t="n">
        <v>647</v>
      </c>
      <c r="E765" s="32">
        <f>IF(B765="","",IFERROR(INDEX(Client_List!$C:$C,MATCH(VALUE(B765),Client_List!$A:$A,0)),""))</f>
        <v/>
      </c>
      <c r="F765" s="53">
        <f>IF(B765="","",IFERROR(INDEX(Client_List!$D:$D,MATCH(VALUE(B765),Client_List!$A:$A,0)),""))</f>
        <v/>
      </c>
      <c r="G765" s="53">
        <f>IF(B765="","",IFERROR(INDEX(Client_List!$K:$K,MATCH(VALUE(B765),Client_List!$A:$A,0)),""))</f>
        <v/>
      </c>
      <c r="H765" s="32">
        <f>IF(B765="","",IFERROR(INDEX(Client_List!$J:$J,MATCH(VALUE(B765),Client_List!$A:$A,0)),""))</f>
        <v/>
      </c>
      <c r="I765" s="70">
        <f>IF(B765="","",IFERROR(A765-LOOKUP(2,1/($B$4:$B764=B765),$A$4:$A764),""))</f>
        <v/>
      </c>
      <c r="J765" s="32">
        <f>IF(B765="","",IFERROR(D765/I765,""))</f>
        <v/>
      </c>
      <c r="K765" s="71">
        <f>IF(B765="","",IFERROR(AVERAGEIFS($J$4:$J765,$B$4:$B765,B765,$J$4:$J765,"&gt;"&amp;0),""))</f>
        <v/>
      </c>
      <c r="L765" s="7" t="n"/>
    </row>
    <row r="766" ht="14" customHeight="1" s="72">
      <c r="A766" s="75" t="n">
        <v>46086</v>
      </c>
      <c r="B766" s="76" t="n">
        <v>4014</v>
      </c>
      <c r="C766" s="69">
        <f>IF(B766="","",IFERROR(INDEX(Client_List!$B:$B,MATCH(B766,Client_List!$A:$A,0)),"⚠ NOT FOUND"))</f>
        <v/>
      </c>
      <c r="D766" s="43" t="n">
        <v>426</v>
      </c>
      <c r="E766" s="32">
        <f>IF(B766="","",IFERROR(INDEX(Client_List!$C:$C,MATCH(VALUE(B766),Client_List!$A:$A,0)),""))</f>
        <v/>
      </c>
      <c r="F766" s="53">
        <f>IF(B766="","",IFERROR(INDEX(Client_List!$D:$D,MATCH(VALUE(B766),Client_List!$A:$A,0)),""))</f>
        <v/>
      </c>
      <c r="G766" s="53">
        <f>IF(B766="","",IFERROR(INDEX(Client_List!$K:$K,MATCH(VALUE(B766),Client_List!$A:$A,0)),""))</f>
        <v/>
      </c>
      <c r="H766" s="32">
        <f>IF(B766="","",IFERROR(INDEX(Client_List!$J:$J,MATCH(VALUE(B766),Client_List!$A:$A,0)),""))</f>
        <v/>
      </c>
      <c r="I766" s="70">
        <f>IF(B766="","",IFERROR(A766-LOOKUP(2,1/($B$4:$B765=B766),$A$4:$A765),""))</f>
        <v/>
      </c>
      <c r="J766" s="32">
        <f>IF(B766="","",IFERROR(D766/I766,""))</f>
        <v/>
      </c>
      <c r="K766" s="71">
        <f>IF(B766="","",IFERROR(AVERAGEIFS($J$4:$J766,$B$4:$B766,B766,$J$4:$J766,"&gt;"&amp;0),""))</f>
        <v/>
      </c>
      <c r="L766" s="4" t="n"/>
    </row>
    <row r="767" ht="14" customHeight="1" s="72">
      <c r="A767" s="75" t="n">
        <v>46086</v>
      </c>
      <c r="B767" s="76" t="n">
        <v>4025</v>
      </c>
      <c r="C767" s="69">
        <f>IF(B767="","",IFERROR(INDEX(Client_List!$B:$B,MATCH(B767,Client_List!$A:$A,0)),"⚠ NOT FOUND"))</f>
        <v/>
      </c>
      <c r="D767" s="43" t="n">
        <v>566</v>
      </c>
      <c r="E767" s="32">
        <f>IF(B767="","",IFERROR(INDEX(Client_List!$C:$C,MATCH(VALUE(B767),Client_List!$A:$A,0)),""))</f>
        <v/>
      </c>
      <c r="F767" s="53">
        <f>IF(B767="","",IFERROR(INDEX(Client_List!$D:$D,MATCH(VALUE(B767),Client_List!$A:$A,0)),""))</f>
        <v/>
      </c>
      <c r="G767" s="53">
        <f>IF(B767="","",IFERROR(INDEX(Client_List!$K:$K,MATCH(VALUE(B767),Client_List!$A:$A,0)),""))</f>
        <v/>
      </c>
      <c r="H767" s="32">
        <f>IF(B767="","",IFERROR(INDEX(Client_List!$J:$J,MATCH(VALUE(B767),Client_List!$A:$A,0)),""))</f>
        <v/>
      </c>
      <c r="I767" s="70">
        <f>IF(B767="","",IFERROR(A767-LOOKUP(2,1/($B$4:$B766=B767),$A$4:$A766),""))</f>
        <v/>
      </c>
      <c r="J767" s="32">
        <f>IF(B767="","",IFERROR(D767/I767,""))</f>
        <v/>
      </c>
      <c r="K767" s="71">
        <f>IF(B767="","",IFERROR(AVERAGEIFS($J$4:$J767,$B$4:$B767,B767,$J$4:$J767,"&gt;"&amp;0),""))</f>
        <v/>
      </c>
      <c r="L767" s="7" t="n"/>
    </row>
    <row r="768" ht="14" customHeight="1" s="72">
      <c r="A768" s="75" t="n">
        <v>46086</v>
      </c>
      <c r="B768" s="76" t="n">
        <v>4029</v>
      </c>
      <c r="C768" s="69">
        <f>IF(B768="","",IFERROR(INDEX(Client_List!$B:$B,MATCH(B768,Client_List!$A:$A,0)),"⚠ NOT FOUND"))</f>
        <v/>
      </c>
      <c r="D768" s="43" t="n">
        <v>1652</v>
      </c>
      <c r="E768" s="32">
        <f>IF(B768="","",IFERROR(INDEX(Client_List!$C:$C,MATCH(VALUE(B768),Client_List!$A:$A,0)),""))</f>
        <v/>
      </c>
      <c r="F768" s="53">
        <f>IF(B768="","",IFERROR(INDEX(Client_List!$D:$D,MATCH(VALUE(B768),Client_List!$A:$A,0)),""))</f>
        <v/>
      </c>
      <c r="G768" s="53">
        <f>IF(B768="","",IFERROR(INDEX(Client_List!$K:$K,MATCH(VALUE(B768),Client_List!$A:$A,0)),""))</f>
        <v/>
      </c>
      <c r="H768" s="32">
        <f>IF(B768="","",IFERROR(INDEX(Client_List!$J:$J,MATCH(VALUE(B768),Client_List!$A:$A,0)),""))</f>
        <v/>
      </c>
      <c r="I768" s="70">
        <f>IF(B768="","",IFERROR(A768-LOOKUP(2,1/($B$4:$B767=B768),$A$4:$A767),""))</f>
        <v/>
      </c>
      <c r="J768" s="32">
        <f>IF(B768="","",IFERROR(D768/I768,""))</f>
        <v/>
      </c>
      <c r="K768" s="71">
        <f>IF(B768="","",IFERROR(AVERAGEIFS($J$4:$J768,$B$4:$B768,B768,$J$4:$J768,"&gt;"&amp;0),""))</f>
        <v/>
      </c>
      <c r="L768" s="4" t="n"/>
    </row>
    <row r="769" ht="14" customHeight="1" s="72">
      <c r="A769" s="75" t="n">
        <v>46086</v>
      </c>
      <c r="B769" s="76" t="n">
        <v>7001</v>
      </c>
      <c r="C769" s="69">
        <f>IF(B769="","",IFERROR(INDEX(Client_List!$B:$B,MATCH(B769,Client_List!$A:$A,0)),"⚠ NOT FOUND"))</f>
        <v/>
      </c>
      <c r="D769" s="43" t="n">
        <v>1035</v>
      </c>
      <c r="E769" s="32">
        <f>IF(B769="","",IFERROR(INDEX(Client_List!$C:$C,MATCH(VALUE(B769),Client_List!$A:$A,0)),""))</f>
        <v/>
      </c>
      <c r="F769" s="53">
        <f>IF(B769="","",IFERROR(INDEX(Client_List!$D:$D,MATCH(VALUE(B769),Client_List!$A:$A,0)),""))</f>
        <v/>
      </c>
      <c r="G769" s="53">
        <f>IF(B769="","",IFERROR(INDEX(Client_List!$K:$K,MATCH(VALUE(B769),Client_List!$A:$A,0)),""))</f>
        <v/>
      </c>
      <c r="H769" s="32">
        <f>IF(B769="","",IFERROR(INDEX(Client_List!$J:$J,MATCH(VALUE(B769),Client_List!$A:$A,0)),""))</f>
        <v/>
      </c>
      <c r="I769" s="70">
        <f>IF(B769="","",IFERROR(A769-LOOKUP(2,1/($B$4:$B768=B769),$A$4:$A768),""))</f>
        <v/>
      </c>
      <c r="J769" s="32">
        <f>IF(B769="","",IFERROR(D769/I769,""))</f>
        <v/>
      </c>
      <c r="K769" s="71">
        <f>IF(B769="","",IFERROR(AVERAGEIFS($J$4:$J769,$B$4:$B769,B769,$J$4:$J769,"&gt;"&amp;0),""))</f>
        <v/>
      </c>
      <c r="L769" s="7" t="n"/>
      <c r="N769" s="31" t="n"/>
    </row>
    <row r="770" ht="14" customHeight="1" s="72">
      <c r="A770" s="75" t="n">
        <v>46086</v>
      </c>
      <c r="B770" s="76" t="n">
        <v>16004</v>
      </c>
      <c r="C770" s="69">
        <f>IF(B770="","",IFERROR(INDEX(Client_List!$B:$B,MATCH(B770,Client_List!$A:$A,0)),"⚠ NOT FOUND"))</f>
        <v/>
      </c>
      <c r="D770" s="43" t="n">
        <v>630</v>
      </c>
      <c r="E770" s="32">
        <f>IF(B770="","",IFERROR(INDEX(Client_List!$C:$C,MATCH(VALUE(B770),Client_List!$A:$A,0)),""))</f>
        <v/>
      </c>
      <c r="F770" s="53">
        <f>IF(B770="","",IFERROR(INDEX(Client_List!$D:$D,MATCH(VALUE(B770),Client_List!$A:$A,0)),""))</f>
        <v/>
      </c>
      <c r="G770" s="53">
        <f>IF(B770="","",IFERROR(INDEX(Client_List!$K:$K,MATCH(VALUE(B770),Client_List!$A:$A,0)),""))</f>
        <v/>
      </c>
      <c r="H770" s="32">
        <f>IF(B770="","",IFERROR(INDEX(Client_List!$J:$J,MATCH(VALUE(B770),Client_List!$A:$A,0)),""))</f>
        <v/>
      </c>
      <c r="I770" s="70">
        <f>IF(B770="","",IFERROR(A770-LOOKUP(2,1/($B$4:$B769=B770),$A$4:$A769),""))</f>
        <v/>
      </c>
      <c r="J770" s="32">
        <f>IF(B770="","",IFERROR(D770/I770,""))</f>
        <v/>
      </c>
      <c r="K770" s="71">
        <f>IF(B770="","",IFERROR(AVERAGEIFS($J$4:$J770,$B$4:$B770,B770,$J$4:$J770,"&gt;"&amp;0),""))</f>
        <v/>
      </c>
      <c r="L770" s="4" t="n"/>
    </row>
    <row r="771" ht="14" customHeight="1" s="72">
      <c r="A771" s="75" t="n">
        <v>46086</v>
      </c>
      <c r="B771" s="76" t="n">
        <v>16010</v>
      </c>
      <c r="C771" s="69">
        <f>IF(B771="","",IFERROR(INDEX(Client_List!$B:$B,MATCH(B771,Client_List!$A:$A,0)),"⚠ NOT FOUND"))</f>
        <v/>
      </c>
      <c r="D771" s="43" t="n">
        <v>1312</v>
      </c>
      <c r="E771" s="32">
        <f>IF(B771="","",IFERROR(INDEX(Client_List!$C:$C,MATCH(VALUE(B771),Client_List!$A:$A,0)),""))</f>
        <v/>
      </c>
      <c r="F771" s="53">
        <f>IF(B771="","",IFERROR(INDEX(Client_List!$D:$D,MATCH(VALUE(B771),Client_List!$A:$A,0)),""))</f>
        <v/>
      </c>
      <c r="G771" s="53">
        <f>IF(B771="","",IFERROR(INDEX(Client_List!$K:$K,MATCH(VALUE(B771),Client_List!$A:$A,0)),""))</f>
        <v/>
      </c>
      <c r="H771" s="32">
        <f>IF(B771="","",IFERROR(INDEX(Client_List!$J:$J,MATCH(VALUE(B771),Client_List!$A:$A,0)),""))</f>
        <v/>
      </c>
      <c r="I771" s="70">
        <f>IF(B771="","",IFERROR(A771-LOOKUP(2,1/($B$4:$B770=B771),$A$4:$A770),""))</f>
        <v/>
      </c>
      <c r="J771" s="32">
        <f>IF(B771="","",IFERROR(D771/I771,""))</f>
        <v/>
      </c>
      <c r="K771" s="71">
        <f>IF(B771="","",IFERROR(AVERAGEIFS($J$4:$J771,$B$4:$B771,B771,$J$4:$J771,"&gt;"&amp;0),""))</f>
        <v/>
      </c>
      <c r="L771" s="7" t="n"/>
    </row>
    <row r="772" ht="14" customHeight="1" s="72">
      <c r="A772" s="75" t="n">
        <v>46086</v>
      </c>
      <c r="B772" s="76" t="n">
        <v>16014</v>
      </c>
      <c r="C772" s="69">
        <f>IF(B772="","",IFERROR(INDEX(Client_List!$B:$B,MATCH(B772,Client_List!$A:$A,0)),"⚠ NOT FOUND"))</f>
        <v/>
      </c>
      <c r="D772" s="43" t="n">
        <v>1379</v>
      </c>
      <c r="E772" s="32">
        <f>IF(B772="","",IFERROR(INDEX(Client_List!$C:$C,MATCH(VALUE(B772),Client_List!$A:$A,0)),""))</f>
        <v/>
      </c>
      <c r="F772" s="53">
        <f>IF(B772="","",IFERROR(INDEX(Client_List!$D:$D,MATCH(VALUE(B772),Client_List!$A:$A,0)),""))</f>
        <v/>
      </c>
      <c r="G772" s="53">
        <f>IF(B772="","",IFERROR(INDEX(Client_List!$K:$K,MATCH(VALUE(B772),Client_List!$A:$A,0)),""))</f>
        <v/>
      </c>
      <c r="H772" s="32">
        <f>IF(B772="","",IFERROR(INDEX(Client_List!$J:$J,MATCH(VALUE(B772),Client_List!$A:$A,0)),""))</f>
        <v/>
      </c>
      <c r="I772" s="70">
        <f>IF(B772="","",IFERROR(A772-LOOKUP(2,1/($B$4:$B771=B772),$A$4:$A771),""))</f>
        <v/>
      </c>
      <c r="J772" s="32">
        <f>IF(B772="","",IFERROR(D772/I772,""))</f>
        <v/>
      </c>
      <c r="K772" s="71">
        <f>IF(B772="","",IFERROR(AVERAGEIFS($J$4:$J772,$B$4:$B772,B772,$J$4:$J772,"&gt;"&amp;0),""))</f>
        <v/>
      </c>
      <c r="L772" s="4" t="n"/>
    </row>
    <row r="773" ht="14" customHeight="1" s="72">
      <c r="A773" s="75" t="n">
        <v>46086</v>
      </c>
      <c r="B773" s="76" t="n">
        <v>18042</v>
      </c>
      <c r="C773" s="69">
        <f>IF(B773="","",IFERROR(INDEX(Client_List!$B:$B,MATCH(B773,Client_List!$A:$A,0)),"⚠ NOT FOUND"))</f>
        <v/>
      </c>
      <c r="D773" s="43" t="n">
        <v>1744</v>
      </c>
      <c r="E773" s="32">
        <f>IF(B773="","",IFERROR(INDEX(Client_List!$C:$C,MATCH(VALUE(B773),Client_List!$A:$A,0)),""))</f>
        <v/>
      </c>
      <c r="F773" s="53">
        <f>IF(B773="","",IFERROR(INDEX(Client_List!$D:$D,MATCH(VALUE(B773),Client_List!$A:$A,0)),""))</f>
        <v/>
      </c>
      <c r="G773" s="53">
        <f>IF(B773="","",IFERROR(INDEX(Client_List!$K:$K,MATCH(VALUE(B773),Client_List!$A:$A,0)),""))</f>
        <v/>
      </c>
      <c r="H773" s="32">
        <f>IF(B773="","",IFERROR(INDEX(Client_List!$J:$J,MATCH(VALUE(B773),Client_List!$A:$A,0)),""))</f>
        <v/>
      </c>
      <c r="I773" s="70">
        <f>IF(B773="","",IFERROR(A773-LOOKUP(2,1/($B$4:$B772=B773),$A$4:$A772),""))</f>
        <v/>
      </c>
      <c r="J773" s="32">
        <f>IF(B773="","",IFERROR(D773/I773,""))</f>
        <v/>
      </c>
      <c r="K773" s="71">
        <f>IF(B773="","",IFERROR(AVERAGEIFS($J$4:$J773,$B$4:$B773,B773,$J$4:$J773,"&gt;"&amp;0),""))</f>
        <v/>
      </c>
      <c r="L773" s="7" t="n"/>
    </row>
    <row r="774" ht="14" customHeight="1" s="72">
      <c r="A774" s="75" t="n">
        <v>46086</v>
      </c>
      <c r="B774" s="76" t="n">
        <v>19035</v>
      </c>
      <c r="C774" s="69">
        <f>IF(B774="","",IFERROR(INDEX(Client_List!$B:$B,MATCH(B774,Client_List!$A:$A,0)),"⚠ NOT FOUND"))</f>
        <v/>
      </c>
      <c r="D774" s="43" t="n">
        <v>146</v>
      </c>
      <c r="E774" s="32">
        <f>IF(B774="","",IFERROR(INDEX(Client_List!$C:$C,MATCH(VALUE(B774),Client_List!$A:$A,0)),""))</f>
        <v/>
      </c>
      <c r="F774" s="53">
        <f>IF(B774="","",IFERROR(INDEX(Client_List!$D:$D,MATCH(VALUE(B774),Client_List!$A:$A,0)),""))</f>
        <v/>
      </c>
      <c r="G774" s="53">
        <f>IF(B774="","",IFERROR(INDEX(Client_List!$K:$K,MATCH(VALUE(B774),Client_List!$A:$A,0)),""))</f>
        <v/>
      </c>
      <c r="H774" s="32">
        <f>IF(B774="","",IFERROR(INDEX(Client_List!$J:$J,MATCH(VALUE(B774),Client_List!$A:$A,0)),""))</f>
        <v/>
      </c>
      <c r="I774" s="70">
        <f>IF(B774="","",IFERROR(A774-LOOKUP(2,1/($B$4:$B773=B774),$A$4:$A773),""))</f>
        <v/>
      </c>
      <c r="J774" s="32">
        <f>IF(B774="","",IFERROR(D774/I774,""))</f>
        <v/>
      </c>
      <c r="K774" s="71">
        <f>IF(B774="","",IFERROR(AVERAGEIFS($J$4:$J774,$B$4:$B774,B774,$J$4:$J774,"&gt;"&amp;0),""))</f>
        <v/>
      </c>
      <c r="L774" s="4" t="n"/>
    </row>
    <row r="775" ht="14" customHeight="1" s="72">
      <c r="A775" s="75" t="n">
        <v>46086</v>
      </c>
      <c r="B775" s="76" t="n">
        <v>19080</v>
      </c>
      <c r="C775" s="69">
        <f>IF(B775="","",IFERROR(INDEX(Client_List!$B:$B,MATCH(B775,Client_List!$A:$A,0)),"⚠ NOT FOUND"))</f>
        <v/>
      </c>
      <c r="D775" s="43" t="n">
        <v>334</v>
      </c>
      <c r="E775" s="32">
        <f>IF(B775="","",IFERROR(INDEX(Client_List!$C:$C,MATCH(VALUE(B775),Client_List!$A:$A,0)),""))</f>
        <v/>
      </c>
      <c r="F775" s="53">
        <f>IF(B775="","",IFERROR(INDEX(Client_List!$D:$D,MATCH(VALUE(B775),Client_List!$A:$A,0)),""))</f>
        <v/>
      </c>
      <c r="G775" s="53">
        <f>IF(B775="","",IFERROR(INDEX(Client_List!$K:$K,MATCH(VALUE(B775),Client_List!$A:$A,0)),""))</f>
        <v/>
      </c>
      <c r="H775" s="32">
        <f>IF(B775="","",IFERROR(INDEX(Client_List!$J:$J,MATCH(VALUE(B775),Client_List!$A:$A,0)),""))</f>
        <v/>
      </c>
      <c r="I775" s="70">
        <f>IF(B775="","",IFERROR(A775-LOOKUP(2,1/($B$4:$B774=B775),$A$4:$A774),""))</f>
        <v/>
      </c>
      <c r="J775" s="32">
        <f>IF(B775="","",IFERROR(D775/I775,""))</f>
        <v/>
      </c>
      <c r="K775" s="71">
        <f>IF(B775="","",IFERROR(AVERAGEIFS($J$4:$J775,$B$4:$B775,B775,$J$4:$J775,"&gt;"&amp;0),""))</f>
        <v/>
      </c>
      <c r="L775" s="7" t="n"/>
    </row>
    <row r="776" ht="14" customHeight="1" s="72">
      <c r="A776" s="75" t="n">
        <v>46086</v>
      </c>
      <c r="B776" s="76" t="n">
        <v>20091</v>
      </c>
      <c r="C776" s="69">
        <f>IF(B776="","",IFERROR(INDEX(Client_List!$B:$B,MATCH(B776,Client_List!$A:$A,0)),"⚠ NOT FOUND"))</f>
        <v/>
      </c>
      <c r="D776" s="43" t="n">
        <v>1083</v>
      </c>
      <c r="E776" s="32">
        <f>IF(B776="","",IFERROR(INDEX(Client_List!$C:$C,MATCH(VALUE(B776),Client_List!$A:$A,0)),""))</f>
        <v/>
      </c>
      <c r="F776" s="53">
        <f>IF(B776="","",IFERROR(INDEX(Client_List!$D:$D,MATCH(VALUE(B776),Client_List!$A:$A,0)),""))</f>
        <v/>
      </c>
      <c r="G776" s="53">
        <f>IF(B776="","",IFERROR(INDEX(Client_List!$K:$K,MATCH(VALUE(B776),Client_List!$A:$A,0)),""))</f>
        <v/>
      </c>
      <c r="H776" s="32">
        <f>IF(B776="","",IFERROR(INDEX(Client_List!$J:$J,MATCH(VALUE(B776),Client_List!$A:$A,0)),""))</f>
        <v/>
      </c>
      <c r="I776" s="70">
        <f>IF(B776="","",IFERROR(A776-LOOKUP(2,1/($B$4:$B775=B776),$A$4:$A775),""))</f>
        <v/>
      </c>
      <c r="J776" s="32">
        <f>IF(B776="","",IFERROR(D776/I776,""))</f>
        <v/>
      </c>
      <c r="K776" s="71">
        <f>IF(B776="","",IFERROR(AVERAGEIFS($J$4:$J776,$B$4:$B776,B776,$J$4:$J776,"&gt;"&amp;0),""))</f>
        <v/>
      </c>
      <c r="L776" s="4" t="n"/>
    </row>
    <row r="777" ht="14" customHeight="1" s="72">
      <c r="A777" s="75" t="n">
        <v>46087</v>
      </c>
      <c r="B777" s="76" t="n">
        <v>1014</v>
      </c>
      <c r="C777" s="69">
        <f>IF(B777="","",IFERROR(INDEX(Client_List!$B:$B,MATCH(B777,Client_List!$A:$A,0)),"⚠ NOT FOUND"))</f>
        <v/>
      </c>
      <c r="D777" s="43" t="n">
        <v>543</v>
      </c>
      <c r="E777" s="32">
        <f>IF(B777="","",IFERROR(INDEX(Client_List!$C:$C,MATCH(VALUE(B777),Client_List!$A:$A,0)),""))</f>
        <v/>
      </c>
      <c r="F777" s="53">
        <f>IF(B777="","",IFERROR(INDEX(Client_List!$D:$D,MATCH(VALUE(B777),Client_List!$A:$A,0)),""))</f>
        <v/>
      </c>
      <c r="G777" s="53">
        <f>IF(B777="","",IFERROR(INDEX(Client_List!$K:$K,MATCH(VALUE(B777),Client_List!$A:$A,0)),""))</f>
        <v/>
      </c>
      <c r="H777" s="32">
        <f>IF(B777="","",IFERROR(INDEX(Client_List!$J:$J,MATCH(VALUE(B777),Client_List!$A:$A,0)),""))</f>
        <v/>
      </c>
      <c r="I777" s="70">
        <f>IF(B777="","",IFERROR(A777-LOOKUP(2,1/($B$4:$B776=B777),$A$4:$A776),""))</f>
        <v/>
      </c>
      <c r="J777" s="32">
        <f>IF(B777="","",IFERROR(D777/I777,""))</f>
        <v/>
      </c>
      <c r="K777" s="71">
        <f>IF(B777="","",IFERROR(AVERAGEIFS($J$4:$J777,$B$4:$B777,B777,$J$4:$J777,"&gt;"&amp;0),""))</f>
        <v/>
      </c>
      <c r="L777" s="7" t="n"/>
    </row>
    <row r="778" ht="14" customHeight="1" s="72">
      <c r="A778" s="75" t="n">
        <v>46087</v>
      </c>
      <c r="B778" s="76" t="n">
        <v>2038</v>
      </c>
      <c r="C778" s="69">
        <f>IF(B778="","",IFERROR(INDEX(Client_List!$B:$B,MATCH(B778,Client_List!$A:$A,0)),"⚠ NOT FOUND"))</f>
        <v/>
      </c>
      <c r="D778" s="43" t="n">
        <v>367</v>
      </c>
      <c r="E778" s="32">
        <f>IF(B778="","",IFERROR(INDEX(Client_List!$C:$C,MATCH(VALUE(B778),Client_List!$A:$A,0)),""))</f>
        <v/>
      </c>
      <c r="F778" s="53">
        <f>IF(B778="","",IFERROR(INDEX(Client_List!$D:$D,MATCH(VALUE(B778),Client_List!$A:$A,0)),""))</f>
        <v/>
      </c>
      <c r="G778" s="53">
        <f>IF(B778="","",IFERROR(INDEX(Client_List!$K:$K,MATCH(VALUE(B778),Client_List!$A:$A,0)),""))</f>
        <v/>
      </c>
      <c r="H778" s="32">
        <f>IF(B778="","",IFERROR(INDEX(Client_List!$J:$J,MATCH(VALUE(B778),Client_List!$A:$A,0)),""))</f>
        <v/>
      </c>
      <c r="I778" s="70">
        <f>IF(B778="","",IFERROR(A778-LOOKUP(2,1/($B$4:$B777=B778),$A$4:$A777),""))</f>
        <v/>
      </c>
      <c r="J778" s="32">
        <f>IF(B778="","",IFERROR(D778/I778,""))</f>
        <v/>
      </c>
      <c r="K778" s="71">
        <f>IF(B778="","",IFERROR(AVERAGEIFS($J$4:$J778,$B$4:$B778,B778,$J$4:$J778,"&gt;"&amp;0),""))</f>
        <v/>
      </c>
      <c r="L778" s="4" t="n"/>
    </row>
    <row r="779" ht="14" customHeight="1" s="72">
      <c r="A779" s="75" t="n">
        <v>46087</v>
      </c>
      <c r="B779" s="76" t="n">
        <v>2045</v>
      </c>
      <c r="C779" s="69">
        <f>IF(B779="","",IFERROR(INDEX(Client_List!$B:$B,MATCH(B779,Client_List!$A:$A,0)),"⚠ NOT FOUND"))</f>
        <v/>
      </c>
      <c r="D779" s="43" t="n">
        <v>360</v>
      </c>
      <c r="E779" s="32">
        <f>IF(B779="","",IFERROR(INDEX(Client_List!$C:$C,MATCH(VALUE(B779),Client_List!$A:$A,0)),""))</f>
        <v/>
      </c>
      <c r="F779" s="53">
        <f>IF(B779="","",IFERROR(INDEX(Client_List!$D:$D,MATCH(VALUE(B779),Client_List!$A:$A,0)),""))</f>
        <v/>
      </c>
      <c r="G779" s="53">
        <f>IF(B779="","",IFERROR(INDEX(Client_List!$K:$K,MATCH(VALUE(B779),Client_List!$A:$A,0)),""))</f>
        <v/>
      </c>
      <c r="H779" s="32">
        <f>IF(B779="","",IFERROR(INDEX(Client_List!$J:$J,MATCH(VALUE(B779),Client_List!$A:$A,0)),""))</f>
        <v/>
      </c>
      <c r="I779" s="70">
        <f>IF(B779="","",IFERROR(A779-LOOKUP(2,1/($B$4:$B778=B779),$A$4:$A778),""))</f>
        <v/>
      </c>
      <c r="J779" s="32">
        <f>IF(B779="","",IFERROR(D779/I779,""))</f>
        <v/>
      </c>
      <c r="K779" s="71">
        <f>IF(B779="","",IFERROR(AVERAGEIFS($J$4:$J779,$B$4:$B779,B779,$J$4:$J779,"&gt;"&amp;0),""))</f>
        <v/>
      </c>
      <c r="L779" s="7" t="n"/>
    </row>
    <row r="780" ht="14" customHeight="1" s="72">
      <c r="A780" s="75" t="n">
        <v>46087</v>
      </c>
      <c r="B780" s="76" t="n">
        <v>2073</v>
      </c>
      <c r="C780" s="69">
        <f>IF(B780="","",IFERROR(INDEX(Client_List!$B:$B,MATCH(B780,Client_List!$A:$A,0)),"⚠ NOT FOUND"))</f>
        <v/>
      </c>
      <c r="D780" s="43" t="n">
        <v>270</v>
      </c>
      <c r="E780" s="32">
        <f>IF(B780="","",IFERROR(INDEX(Client_List!$C:$C,MATCH(VALUE(B780),Client_List!$A:$A,0)),""))</f>
        <v/>
      </c>
      <c r="F780" s="53">
        <f>IF(B780="","",IFERROR(INDEX(Client_List!$D:$D,MATCH(VALUE(B780),Client_List!$A:$A,0)),""))</f>
        <v/>
      </c>
      <c r="G780" s="53">
        <f>IF(B780="","",IFERROR(INDEX(Client_List!$K:$K,MATCH(VALUE(B780),Client_List!$A:$A,0)),""))</f>
        <v/>
      </c>
      <c r="H780" s="32">
        <f>IF(B780="","",IFERROR(INDEX(Client_List!$J:$J,MATCH(VALUE(B780),Client_List!$A:$A,0)),""))</f>
        <v/>
      </c>
      <c r="I780" s="70">
        <f>IF(B780="","",IFERROR(A780-LOOKUP(2,1/($B$4:$B779=B780),$A$4:$A779),""))</f>
        <v/>
      </c>
      <c r="J780" s="32">
        <f>IF(B780="","",IFERROR(D780/I780,""))</f>
        <v/>
      </c>
      <c r="K780" s="71">
        <f>IF(B780="","",IFERROR(AVERAGEIFS($J$4:$J780,$B$4:$B780,B780,$J$4:$J780,"&gt;"&amp;0),""))</f>
        <v/>
      </c>
      <c r="L780" s="4" t="n"/>
    </row>
    <row r="781" ht="14" customHeight="1" s="72">
      <c r="A781" s="75" t="n">
        <v>46087</v>
      </c>
      <c r="B781" s="76" t="n">
        <v>5004</v>
      </c>
      <c r="C781" s="69">
        <f>IF(B781="","",IFERROR(INDEX(Client_List!$B:$B,MATCH(B781,Client_List!$A:$A,0)),"⚠ NOT FOUND"))</f>
        <v/>
      </c>
      <c r="D781" s="43" t="n">
        <v>394</v>
      </c>
      <c r="E781" s="32">
        <f>IF(B781="","",IFERROR(INDEX(Client_List!$C:$C,MATCH(VALUE(B781),Client_List!$A:$A,0)),""))</f>
        <v/>
      </c>
      <c r="F781" s="53">
        <f>IF(B781="","",IFERROR(INDEX(Client_List!$D:$D,MATCH(VALUE(B781),Client_List!$A:$A,0)),""))</f>
        <v/>
      </c>
      <c r="G781" s="53">
        <f>IF(B781="","",IFERROR(INDEX(Client_List!$K:$K,MATCH(VALUE(B781),Client_List!$A:$A,0)),""))</f>
        <v/>
      </c>
      <c r="H781" s="32">
        <f>IF(B781="","",IFERROR(INDEX(Client_List!$J:$J,MATCH(VALUE(B781),Client_List!$A:$A,0)),""))</f>
        <v/>
      </c>
      <c r="I781" s="70">
        <f>IF(B781="","",IFERROR(A781-LOOKUP(2,1/($B$4:$B780=B781),$A$4:$A780),""))</f>
        <v/>
      </c>
      <c r="J781" s="32">
        <f>IF(B781="","",IFERROR(D781/I781,""))</f>
        <v/>
      </c>
      <c r="K781" s="71">
        <f>IF(B781="","",IFERROR(AVERAGEIFS($J$4:$J781,$B$4:$B781,B781,$J$4:$J781,"&gt;"&amp;0),""))</f>
        <v/>
      </c>
      <c r="L781" s="7" t="n"/>
    </row>
    <row r="782" ht="14" customHeight="1" s="72">
      <c r="A782" s="75" t="n">
        <v>46087</v>
      </c>
      <c r="B782" s="76" t="n">
        <v>6101</v>
      </c>
      <c r="C782" s="69">
        <f>IF(B782="","",IFERROR(INDEX(Client_List!$B:$B,MATCH(B782,Client_List!$A:$A,0)),"⚠ NOT FOUND"))</f>
        <v/>
      </c>
      <c r="D782" s="43" t="n">
        <v>534</v>
      </c>
      <c r="E782" s="32">
        <f>IF(B782="","",IFERROR(INDEX(Client_List!$C:$C,MATCH(VALUE(B782),Client_List!$A:$A,0)),""))</f>
        <v/>
      </c>
      <c r="F782" s="53">
        <f>IF(B782="","",IFERROR(INDEX(Client_List!$D:$D,MATCH(VALUE(B782),Client_List!$A:$A,0)),""))</f>
        <v/>
      </c>
      <c r="G782" s="53">
        <f>IF(B782="","",IFERROR(INDEX(Client_List!$K:$K,MATCH(VALUE(B782),Client_List!$A:$A,0)),""))</f>
        <v/>
      </c>
      <c r="H782" s="32">
        <f>IF(B782="","",IFERROR(INDEX(Client_List!$J:$J,MATCH(VALUE(B782),Client_List!$A:$A,0)),""))</f>
        <v/>
      </c>
      <c r="I782" s="70">
        <f>IF(B782="","",IFERROR(A782-LOOKUP(2,1/($B$4:$B781=B782),$A$4:$A781),""))</f>
        <v/>
      </c>
      <c r="J782" s="32">
        <f>IF(B782="","",IFERROR(D782/I782,""))</f>
        <v/>
      </c>
      <c r="K782" s="71">
        <f>IF(B782="","",IFERROR(AVERAGEIFS($J$4:$J782,$B$4:$B782,B782,$J$4:$J782,"&gt;"&amp;0),""))</f>
        <v/>
      </c>
      <c r="L782" s="4" t="n"/>
    </row>
    <row r="783" ht="14" customHeight="1" s="72">
      <c r="A783" s="75" t="n">
        <v>46087</v>
      </c>
      <c r="B783" s="76" t="n">
        <v>7053</v>
      </c>
      <c r="C783" s="69">
        <f>IF(B783="","",IFERROR(INDEX(Client_List!$B:$B,MATCH(B783,Client_List!$A:$A,0)),"⚠ NOT FOUND"))</f>
        <v/>
      </c>
      <c r="D783" s="43" t="n">
        <v>347</v>
      </c>
      <c r="E783" s="32">
        <f>IF(B783="","",IFERROR(INDEX(Client_List!$C:$C,MATCH(VALUE(B783),Client_List!$A:$A,0)),""))</f>
        <v/>
      </c>
      <c r="F783" s="53">
        <f>IF(B783="","",IFERROR(INDEX(Client_List!$D:$D,MATCH(VALUE(B783),Client_List!$A:$A,0)),""))</f>
        <v/>
      </c>
      <c r="G783" s="53">
        <f>IF(B783="","",IFERROR(INDEX(Client_List!$K:$K,MATCH(VALUE(B783),Client_List!$A:$A,0)),""))</f>
        <v/>
      </c>
      <c r="H783" s="32">
        <f>IF(B783="","",IFERROR(INDEX(Client_List!$J:$J,MATCH(VALUE(B783),Client_List!$A:$A,0)),""))</f>
        <v/>
      </c>
      <c r="I783" s="70">
        <f>IF(B783="","",IFERROR(A783-LOOKUP(2,1/($B$4:$B782=B783),$A$4:$A782),""))</f>
        <v/>
      </c>
      <c r="J783" s="32">
        <f>IF(B783="","",IFERROR(D783/I783,""))</f>
        <v/>
      </c>
      <c r="K783" s="71">
        <f>IF(B783="","",IFERROR(AVERAGEIFS($J$4:$J783,$B$4:$B783,B783,$J$4:$J783,"&gt;"&amp;0),""))</f>
        <v/>
      </c>
      <c r="L783" s="7" t="n"/>
    </row>
    <row r="784" ht="14" customHeight="1" s="72">
      <c r="A784" s="75" t="n">
        <v>46087</v>
      </c>
      <c r="B784" s="76" t="n">
        <v>13014</v>
      </c>
      <c r="C784" s="69">
        <f>IF(B784="","",IFERROR(INDEX(Client_List!$B:$B,MATCH(B784,Client_List!$A:$A,0)),"⚠ NOT FOUND"))</f>
        <v/>
      </c>
      <c r="D784" s="43" t="n">
        <v>754</v>
      </c>
      <c r="E784" s="32">
        <f>IF(B784="","",IFERROR(INDEX(Client_List!$C:$C,MATCH(VALUE(B784),Client_List!$A:$A,0)),""))</f>
        <v/>
      </c>
      <c r="F784" s="53">
        <f>IF(B784="","",IFERROR(INDEX(Client_List!$D:$D,MATCH(VALUE(B784),Client_List!$A:$A,0)),""))</f>
        <v/>
      </c>
      <c r="G784" s="53">
        <f>IF(B784="","",IFERROR(INDEX(Client_List!$K:$K,MATCH(VALUE(B784),Client_List!$A:$A,0)),""))</f>
        <v/>
      </c>
      <c r="H784" s="32">
        <f>IF(B784="","",IFERROR(INDEX(Client_List!$J:$J,MATCH(VALUE(B784),Client_List!$A:$A,0)),""))</f>
        <v/>
      </c>
      <c r="I784" s="70">
        <f>IF(B784="","",IFERROR(A784-LOOKUP(2,1/($B$4:$B783=B784),$A$4:$A783),""))</f>
        <v/>
      </c>
      <c r="J784" s="32">
        <f>IF(B784="","",IFERROR(D784/I784,""))</f>
        <v/>
      </c>
      <c r="K784" s="71">
        <f>IF(B784="","",IFERROR(AVERAGEIFS($J$4:$J784,$B$4:$B784,B784,$J$4:$J784,"&gt;"&amp;0),""))</f>
        <v/>
      </c>
      <c r="L784" s="4" t="n"/>
    </row>
    <row r="785" ht="14" customHeight="1" s="72">
      <c r="A785" s="75" t="n">
        <v>46087</v>
      </c>
      <c r="B785" s="76" t="n">
        <v>13057</v>
      </c>
      <c r="C785" s="69">
        <f>IF(B785="","",IFERROR(INDEX(Client_List!$B:$B,MATCH(B785,Client_List!$A:$A,0)),"⚠ NOT FOUND"))</f>
        <v/>
      </c>
      <c r="D785" s="43" t="n">
        <v>542</v>
      </c>
      <c r="E785" s="32">
        <f>IF(B785="","",IFERROR(INDEX(Client_List!$C:$C,MATCH(VALUE(B785),Client_List!$A:$A,0)),""))</f>
        <v/>
      </c>
      <c r="F785" s="53">
        <f>IF(B785="","",IFERROR(INDEX(Client_List!$D:$D,MATCH(VALUE(B785),Client_List!$A:$A,0)),""))</f>
        <v/>
      </c>
      <c r="G785" s="53">
        <f>IF(B785="","",IFERROR(INDEX(Client_List!$K:$K,MATCH(VALUE(B785),Client_List!$A:$A,0)),""))</f>
        <v/>
      </c>
      <c r="H785" s="32">
        <f>IF(B785="","",IFERROR(INDEX(Client_List!$J:$J,MATCH(VALUE(B785),Client_List!$A:$A,0)),""))</f>
        <v/>
      </c>
      <c r="I785" s="70">
        <f>IF(B785="","",IFERROR(A785-LOOKUP(2,1/($B$4:$B784=B785),$A$4:$A784),""))</f>
        <v/>
      </c>
      <c r="J785" s="32">
        <f>IF(B785="","",IFERROR(D785/I785,""))</f>
        <v/>
      </c>
      <c r="K785" s="71">
        <f>IF(B785="","",IFERROR(AVERAGEIFS($J$4:$J785,$B$4:$B785,B785,$J$4:$J785,"&gt;"&amp;0),""))</f>
        <v/>
      </c>
      <c r="L785" s="7" t="n"/>
    </row>
    <row r="786" ht="14" customHeight="1" s="72">
      <c r="A786" s="75" t="n">
        <v>46087</v>
      </c>
      <c r="B786" s="76" t="n">
        <v>15015</v>
      </c>
      <c r="C786" s="69">
        <f>IF(B786="","",IFERROR(INDEX(Client_List!$B:$B,MATCH(B786,Client_List!$A:$A,0)),"⚠ NOT FOUND"))</f>
        <v/>
      </c>
      <c r="D786" s="43" t="n">
        <v>299</v>
      </c>
      <c r="E786" s="32">
        <f>IF(B786="","",IFERROR(INDEX(Client_List!$C:$C,MATCH(VALUE(B786),Client_List!$A:$A,0)),""))</f>
        <v/>
      </c>
      <c r="F786" s="53">
        <f>IF(B786="","",IFERROR(INDEX(Client_List!$D:$D,MATCH(VALUE(B786),Client_List!$A:$A,0)),""))</f>
        <v/>
      </c>
      <c r="G786" s="53">
        <f>IF(B786="","",IFERROR(INDEX(Client_List!$K:$K,MATCH(VALUE(B786),Client_List!$A:$A,0)),""))</f>
        <v/>
      </c>
      <c r="H786" s="32">
        <f>IF(B786="","",IFERROR(INDEX(Client_List!$J:$J,MATCH(VALUE(B786),Client_List!$A:$A,0)),""))</f>
        <v/>
      </c>
      <c r="I786" s="70">
        <f>IF(B786="","",IFERROR(A786-LOOKUP(2,1/($B$4:$B785=B786),$A$4:$A785),""))</f>
        <v/>
      </c>
      <c r="J786" s="32">
        <f>IF(B786="","",IFERROR(D786/I786,""))</f>
        <v/>
      </c>
      <c r="K786" s="71">
        <f>IF(B786="","",IFERROR(AVERAGEIFS($J$4:$J786,$B$4:$B786,B786,$J$4:$J786,"&gt;"&amp;0),""))</f>
        <v/>
      </c>
      <c r="L786" s="4" t="n"/>
    </row>
    <row r="787" ht="14" customHeight="1" s="72">
      <c r="A787" s="75" t="n">
        <v>46087</v>
      </c>
      <c r="B787" s="76" t="n">
        <v>15020</v>
      </c>
      <c r="C787" s="69">
        <f>IF(B787="","",IFERROR(INDEX(Client_List!$B:$B,MATCH(B787,Client_List!$A:$A,0)),"⚠ NOT FOUND"))</f>
        <v/>
      </c>
      <c r="D787" s="43" t="n">
        <v>324</v>
      </c>
      <c r="E787" s="32">
        <f>IF(B787="","",IFERROR(INDEX(Client_List!$C:$C,MATCH(VALUE(B787),Client_List!$A:$A,0)),""))</f>
        <v/>
      </c>
      <c r="F787" s="53">
        <f>IF(B787="","",IFERROR(INDEX(Client_List!$D:$D,MATCH(VALUE(B787),Client_List!$A:$A,0)),""))</f>
        <v/>
      </c>
      <c r="G787" s="53">
        <f>IF(B787="","",IFERROR(INDEX(Client_List!$K:$K,MATCH(VALUE(B787),Client_List!$A:$A,0)),""))</f>
        <v/>
      </c>
      <c r="H787" s="32">
        <f>IF(B787="","",IFERROR(INDEX(Client_List!$J:$J,MATCH(VALUE(B787),Client_List!$A:$A,0)),""))</f>
        <v/>
      </c>
      <c r="I787" s="70">
        <f>IF(B787="","",IFERROR(A787-LOOKUP(2,1/($B$4:$B786=B787),$A$4:$A786),""))</f>
        <v/>
      </c>
      <c r="J787" s="32">
        <f>IF(B787="","",IFERROR(D787/I787,""))</f>
        <v/>
      </c>
      <c r="K787" s="71">
        <f>IF(B787="","",IFERROR(AVERAGEIFS($J$4:$J787,$B$4:$B787,B787,$J$4:$J787,"&gt;"&amp;0),""))</f>
        <v/>
      </c>
      <c r="L787" s="7" t="n"/>
    </row>
    <row r="788" ht="14" customHeight="1" s="72">
      <c r="A788" s="75" t="n">
        <v>46087</v>
      </c>
      <c r="B788" s="76" t="n">
        <v>15024</v>
      </c>
      <c r="C788" s="69">
        <f>IF(B788="","",IFERROR(INDEX(Client_List!$B:$B,MATCH(B788,Client_List!$A:$A,0)),"⚠ NOT FOUND"))</f>
        <v/>
      </c>
      <c r="D788" s="43" t="n">
        <v>421</v>
      </c>
      <c r="E788" s="32">
        <f>IF(B788="","",IFERROR(INDEX(Client_List!$C:$C,MATCH(VALUE(B788),Client_List!$A:$A,0)),""))</f>
        <v/>
      </c>
      <c r="F788" s="53">
        <f>IF(B788="","",IFERROR(INDEX(Client_List!$D:$D,MATCH(VALUE(B788),Client_List!$A:$A,0)),""))</f>
        <v/>
      </c>
      <c r="G788" s="53">
        <f>IF(B788="","",IFERROR(INDEX(Client_List!$K:$K,MATCH(VALUE(B788),Client_List!$A:$A,0)),""))</f>
        <v/>
      </c>
      <c r="H788" s="32">
        <f>IF(B788="","",IFERROR(INDEX(Client_List!$J:$J,MATCH(VALUE(B788),Client_List!$A:$A,0)),""))</f>
        <v/>
      </c>
      <c r="I788" s="70">
        <f>IF(B788="","",IFERROR(A788-LOOKUP(2,1/($B$4:$B787=B788),$A$4:$A787),""))</f>
        <v/>
      </c>
      <c r="J788" s="32">
        <f>IF(B788="","",IFERROR(D788/I788,""))</f>
        <v/>
      </c>
      <c r="K788" s="71">
        <f>IF(B788="","",IFERROR(AVERAGEIFS($J$4:$J788,$B$4:$B788,B788,$J$4:$J788,"&gt;"&amp;0),""))</f>
        <v/>
      </c>
      <c r="L788" s="4" t="n"/>
    </row>
    <row r="789" ht="14" customHeight="1" s="72">
      <c r="A789" s="75" t="n">
        <v>46087</v>
      </c>
      <c r="B789" s="76" t="n">
        <v>15051</v>
      </c>
      <c r="C789" s="69">
        <f>IF(B789="","",IFERROR(INDEX(Client_List!$B:$B,MATCH(B789,Client_List!$A:$A,0)),"⚠ NOT FOUND"))</f>
        <v/>
      </c>
      <c r="D789" s="43" t="n">
        <v>277</v>
      </c>
      <c r="E789" s="32">
        <f>IF(B789="","",IFERROR(INDEX(Client_List!$C:$C,MATCH(VALUE(B789),Client_List!$A:$A,0)),""))</f>
        <v/>
      </c>
      <c r="F789" s="53">
        <f>IF(B789="","",IFERROR(INDEX(Client_List!$D:$D,MATCH(VALUE(B789),Client_List!$A:$A,0)),""))</f>
        <v/>
      </c>
      <c r="G789" s="53">
        <f>IF(B789="","",IFERROR(INDEX(Client_List!$K:$K,MATCH(VALUE(B789),Client_List!$A:$A,0)),""))</f>
        <v/>
      </c>
      <c r="H789" s="32">
        <f>IF(B789="","",IFERROR(INDEX(Client_List!$J:$J,MATCH(VALUE(B789),Client_List!$A:$A,0)),""))</f>
        <v/>
      </c>
      <c r="I789" s="70">
        <f>IF(B789="","",IFERROR(A789-LOOKUP(2,1/($B$4:$B788=B789),$A$4:$A788),""))</f>
        <v/>
      </c>
      <c r="J789" s="32">
        <f>IF(B789="","",IFERROR(D789/I789,""))</f>
        <v/>
      </c>
      <c r="K789" s="71">
        <f>IF(B789="","",IFERROR(AVERAGEIFS($J$4:$J789,$B$4:$B789,B789,$J$4:$J789,"&gt;"&amp;0),""))</f>
        <v/>
      </c>
      <c r="L789" s="7" t="n"/>
    </row>
    <row r="790" ht="14" customHeight="1" s="72">
      <c r="A790" s="75" t="n">
        <v>46087</v>
      </c>
      <c r="B790" s="76" t="n">
        <v>16006</v>
      </c>
      <c r="C790" s="69">
        <f>IF(B790="","",IFERROR(INDEX(Client_List!$B:$B,MATCH(B790,Client_List!$A:$A,0)),"⚠ NOT FOUND"))</f>
        <v/>
      </c>
      <c r="D790" s="43" t="n">
        <v>573</v>
      </c>
      <c r="E790" s="32">
        <f>IF(B790="","",IFERROR(INDEX(Client_List!$C:$C,MATCH(VALUE(B790),Client_List!$A:$A,0)),""))</f>
        <v/>
      </c>
      <c r="F790" s="53">
        <f>IF(B790="","",IFERROR(INDEX(Client_List!$D:$D,MATCH(VALUE(B790),Client_List!$A:$A,0)),""))</f>
        <v/>
      </c>
      <c r="G790" s="53">
        <f>IF(B790="","",IFERROR(INDEX(Client_List!$K:$K,MATCH(VALUE(B790),Client_List!$A:$A,0)),""))</f>
        <v/>
      </c>
      <c r="H790" s="32">
        <f>IF(B790="","",IFERROR(INDEX(Client_List!$J:$J,MATCH(VALUE(B790),Client_List!$A:$A,0)),""))</f>
        <v/>
      </c>
      <c r="I790" s="70">
        <f>IF(B790="","",IFERROR(A790-LOOKUP(2,1/($B$4:$B789=B790),$A$4:$A789),""))</f>
        <v/>
      </c>
      <c r="J790" s="32">
        <f>IF(B790="","",IFERROR(D790/I790,""))</f>
        <v/>
      </c>
      <c r="K790" s="71">
        <f>IF(B790="","",IFERROR(AVERAGEIFS($J$4:$J790,$B$4:$B790,B790,$J$4:$J790,"&gt;"&amp;0),""))</f>
        <v/>
      </c>
      <c r="L790" s="4" t="n"/>
    </row>
    <row r="791" ht="14" customHeight="1" s="72">
      <c r="A791" s="75" t="n">
        <v>46087</v>
      </c>
      <c r="B791" s="76" t="n">
        <v>18031</v>
      </c>
      <c r="C791" s="69">
        <f>IF(B791="","",IFERROR(INDEX(Client_List!$B:$B,MATCH(B791,Client_List!$A:$A,0)),"⚠ NOT FOUND"))</f>
        <v/>
      </c>
      <c r="D791" s="43" t="n">
        <v>492</v>
      </c>
      <c r="E791" s="32">
        <f>IF(B791="","",IFERROR(INDEX(Client_List!$C:$C,MATCH(VALUE(B791),Client_List!$A:$A,0)),""))</f>
        <v/>
      </c>
      <c r="F791" s="53">
        <f>IF(B791="","",IFERROR(INDEX(Client_List!$D:$D,MATCH(VALUE(B791),Client_List!$A:$A,0)),""))</f>
        <v/>
      </c>
      <c r="G791" s="53">
        <f>IF(B791="","",IFERROR(INDEX(Client_List!$K:$K,MATCH(VALUE(B791),Client_List!$A:$A,0)),""))</f>
        <v/>
      </c>
      <c r="H791" s="32">
        <f>IF(B791="","",IFERROR(INDEX(Client_List!$J:$J,MATCH(VALUE(B791),Client_List!$A:$A,0)),""))</f>
        <v/>
      </c>
      <c r="I791" s="70">
        <f>IF(B791="","",IFERROR(A791-LOOKUP(2,1/($B$4:$B790=B791),$A$4:$A790),""))</f>
        <v/>
      </c>
      <c r="J791" s="32">
        <f>IF(B791="","",IFERROR(D791/I791,""))</f>
        <v/>
      </c>
      <c r="K791" s="71">
        <f>IF(B791="","",IFERROR(AVERAGEIFS($J$4:$J791,$B$4:$B791,B791,$J$4:$J791,"&gt;"&amp;0),""))</f>
        <v/>
      </c>
      <c r="L791" s="7" t="n"/>
    </row>
    <row r="792" ht="14" customHeight="1" s="72">
      <c r="A792" s="75" t="n">
        <v>46087</v>
      </c>
      <c r="B792" s="76" t="n">
        <v>19033</v>
      </c>
      <c r="C792" s="69">
        <f>IF(B792="","",IFERROR(INDEX(Client_List!$B:$B,MATCH(B792,Client_List!$A:$A,0)),"⚠ NOT FOUND"))</f>
        <v/>
      </c>
      <c r="D792" s="43" t="n">
        <v>183</v>
      </c>
      <c r="E792" s="32">
        <f>IF(B792="","",IFERROR(INDEX(Client_List!$C:$C,MATCH(VALUE(B792),Client_List!$A:$A,0)),""))</f>
        <v/>
      </c>
      <c r="F792" s="53">
        <f>IF(B792="","",IFERROR(INDEX(Client_List!$D:$D,MATCH(VALUE(B792),Client_List!$A:$A,0)),""))</f>
        <v/>
      </c>
      <c r="G792" s="53">
        <f>IF(B792="","",IFERROR(INDEX(Client_List!$K:$K,MATCH(VALUE(B792),Client_List!$A:$A,0)),""))</f>
        <v/>
      </c>
      <c r="H792" s="32">
        <f>IF(B792="","",IFERROR(INDEX(Client_List!$J:$J,MATCH(VALUE(B792),Client_List!$A:$A,0)),""))</f>
        <v/>
      </c>
      <c r="I792" s="70">
        <f>IF(B792="","",IFERROR(A792-LOOKUP(2,1/($B$4:$B791=B792),$A$4:$A791),""))</f>
        <v/>
      </c>
      <c r="J792" s="32">
        <f>IF(B792="","",IFERROR(D792/I792,""))</f>
        <v/>
      </c>
      <c r="K792" s="71">
        <f>IF(B792="","",IFERROR(AVERAGEIFS($J$4:$J792,$B$4:$B792,B792,$J$4:$J792,"&gt;"&amp;0),""))</f>
        <v/>
      </c>
      <c r="L792" s="4" t="n"/>
    </row>
    <row r="793" ht="14" customHeight="1" s="72">
      <c r="A793" s="75" t="n">
        <v>46087</v>
      </c>
      <c r="B793" s="76" t="n">
        <v>19039</v>
      </c>
      <c r="C793" s="69">
        <f>IF(B793="","",IFERROR(INDEX(Client_List!$B:$B,MATCH(B793,Client_List!$A:$A,0)),"⚠ NOT FOUND"))</f>
        <v/>
      </c>
      <c r="D793" s="43" t="n">
        <v>389</v>
      </c>
      <c r="E793" s="32">
        <f>IF(B793="","",IFERROR(INDEX(Client_List!$C:$C,MATCH(VALUE(B793),Client_List!$A:$A,0)),""))</f>
        <v/>
      </c>
      <c r="F793" s="53">
        <f>IF(B793="","",IFERROR(INDEX(Client_List!$D:$D,MATCH(VALUE(B793),Client_List!$A:$A,0)),""))</f>
        <v/>
      </c>
      <c r="G793" s="53">
        <f>IF(B793="","",IFERROR(INDEX(Client_List!$K:$K,MATCH(VALUE(B793),Client_List!$A:$A,0)),""))</f>
        <v/>
      </c>
      <c r="H793" s="32">
        <f>IF(B793="","",IFERROR(INDEX(Client_List!$J:$J,MATCH(VALUE(B793),Client_List!$A:$A,0)),""))</f>
        <v/>
      </c>
      <c r="I793" s="70">
        <f>IF(B793="","",IFERROR(A793-LOOKUP(2,1/($B$4:$B792=B793),$A$4:$A792),""))</f>
        <v/>
      </c>
      <c r="J793" s="32">
        <f>IF(B793="","",IFERROR(D793/I793,""))</f>
        <v/>
      </c>
      <c r="K793" s="71">
        <f>IF(B793="","",IFERROR(AVERAGEIFS($J$4:$J793,$B$4:$B793,B793,$J$4:$J793,"&gt;"&amp;0),""))</f>
        <v/>
      </c>
      <c r="L793" s="7" t="n"/>
    </row>
    <row r="794" ht="14" customHeight="1" s="72">
      <c r="A794" s="75" t="n">
        <v>46087</v>
      </c>
      <c r="B794" s="76" t="n">
        <v>19110</v>
      </c>
      <c r="C794" s="69">
        <f>IF(B794="","",IFERROR(INDEX(Client_List!$B:$B,MATCH(B794,Client_List!$A:$A,0)),"⚠ NOT FOUND"))</f>
        <v/>
      </c>
      <c r="D794" s="43" t="n">
        <v>426</v>
      </c>
      <c r="E794" s="32">
        <f>IF(B794="","",IFERROR(INDEX(Client_List!$C:$C,MATCH(VALUE(B794),Client_List!$A:$A,0)),""))</f>
        <v/>
      </c>
      <c r="F794" s="53">
        <f>IF(B794="","",IFERROR(INDEX(Client_List!$D:$D,MATCH(VALUE(B794),Client_List!$A:$A,0)),""))</f>
        <v/>
      </c>
      <c r="G794" s="53">
        <f>IF(B794="","",IFERROR(INDEX(Client_List!$K:$K,MATCH(VALUE(B794),Client_List!$A:$A,0)),""))</f>
        <v/>
      </c>
      <c r="H794" s="32">
        <f>IF(B794="","",IFERROR(INDEX(Client_List!$J:$J,MATCH(VALUE(B794),Client_List!$A:$A,0)),""))</f>
        <v/>
      </c>
      <c r="I794" s="70">
        <f>IF(B794="","",IFERROR(A794-LOOKUP(2,1/($B$4:$B793=B794),$A$4:$A793),""))</f>
        <v/>
      </c>
      <c r="J794" s="32">
        <f>IF(B794="","",IFERROR(D794/I794,""))</f>
        <v/>
      </c>
      <c r="K794" s="71">
        <f>IF(B794="","",IFERROR(AVERAGEIFS($J$4:$J794,$B$4:$B794,B794,$J$4:$J794,"&gt;"&amp;0),""))</f>
        <v/>
      </c>
      <c r="L794" s="4" t="n"/>
    </row>
    <row r="795" ht="14" customHeight="1" s="72">
      <c r="A795" s="75" t="n">
        <v>46087</v>
      </c>
      <c r="B795" s="76" t="n">
        <v>19123</v>
      </c>
      <c r="C795" s="69">
        <f>IF(B795="","",IFERROR(INDEX(Client_List!$B:$B,MATCH(B795,Client_List!$A:$A,0)),"⚠ NOT FOUND"))</f>
        <v/>
      </c>
      <c r="D795" s="43" t="n">
        <v>426</v>
      </c>
      <c r="E795" s="32">
        <f>IF(B795="","",IFERROR(INDEX(Client_List!$C:$C,MATCH(VALUE(B795),Client_List!$A:$A,0)),""))</f>
        <v/>
      </c>
      <c r="F795" s="53">
        <f>IF(B795="","",IFERROR(INDEX(Client_List!$D:$D,MATCH(VALUE(B795),Client_List!$A:$A,0)),""))</f>
        <v/>
      </c>
      <c r="G795" s="53">
        <f>IF(B795="","",IFERROR(INDEX(Client_List!$K:$K,MATCH(VALUE(B795),Client_List!$A:$A,0)),""))</f>
        <v/>
      </c>
      <c r="H795" s="32">
        <f>IF(B795="","",IFERROR(INDEX(Client_List!$J:$J,MATCH(VALUE(B795),Client_List!$A:$A,0)),""))</f>
        <v/>
      </c>
      <c r="I795" s="70">
        <f>IF(B795="","",IFERROR(A795-LOOKUP(2,1/($B$4:$B794=B795),$A$4:$A794),""))</f>
        <v/>
      </c>
      <c r="J795" s="32">
        <f>IF(B795="","",IFERROR(D795/I795,""))</f>
        <v/>
      </c>
      <c r="K795" s="71">
        <f>IF(B795="","",IFERROR(AVERAGEIFS($J$4:$J795,$B$4:$B795,B795,$J$4:$J795,"&gt;"&amp;0),""))</f>
        <v/>
      </c>
      <c r="L795" s="7" t="n"/>
    </row>
    <row r="796" ht="14" customHeight="1" s="72">
      <c r="A796" s="75" t="n">
        <v>46087</v>
      </c>
      <c r="B796" s="76" t="n">
        <v>20021</v>
      </c>
      <c r="C796" s="69">
        <f>IF(B796="","",IFERROR(INDEX(Client_List!$B:$B,MATCH(B796,Client_List!$A:$A,0)),"⚠ NOT FOUND"))</f>
        <v/>
      </c>
      <c r="D796" s="43" t="n">
        <v>999</v>
      </c>
      <c r="E796" s="32">
        <f>IF(B796="","",IFERROR(INDEX(Client_List!$C:$C,MATCH(VALUE(B796),Client_List!$A:$A,0)),""))</f>
        <v/>
      </c>
      <c r="F796" s="53">
        <f>IF(B796="","",IFERROR(INDEX(Client_List!$D:$D,MATCH(VALUE(B796),Client_List!$A:$A,0)),""))</f>
        <v/>
      </c>
      <c r="G796" s="53">
        <f>IF(B796="","",IFERROR(INDEX(Client_List!$K:$K,MATCH(VALUE(B796),Client_List!$A:$A,0)),""))</f>
        <v/>
      </c>
      <c r="H796" s="32">
        <f>IF(B796="","",IFERROR(INDEX(Client_List!$J:$J,MATCH(VALUE(B796),Client_List!$A:$A,0)),""))</f>
        <v/>
      </c>
      <c r="I796" s="70">
        <f>IF(B796="","",IFERROR(A796-LOOKUP(2,1/($B$4:$B795=B796),$A$4:$A795),""))</f>
        <v/>
      </c>
      <c r="J796" s="32">
        <f>IF(B796="","",IFERROR(D796/I796,""))</f>
        <v/>
      </c>
      <c r="K796" s="71">
        <f>IF(B796="","",IFERROR(AVERAGEIFS($J$4:$J796,$B$4:$B796,B796,$J$4:$J796,"&gt;"&amp;0),""))</f>
        <v/>
      </c>
      <c r="L796" s="4" t="n"/>
    </row>
    <row r="797" ht="14" customHeight="1" s="72">
      <c r="A797" s="75" t="n">
        <v>46087</v>
      </c>
      <c r="B797" s="76" t="n">
        <v>20051</v>
      </c>
      <c r="C797" s="69">
        <f>IF(B797="","",IFERROR(INDEX(Client_List!$B:$B,MATCH(B797,Client_List!$A:$A,0)),"⚠ NOT FOUND"))</f>
        <v/>
      </c>
      <c r="D797" s="43" t="n">
        <v>282</v>
      </c>
      <c r="E797" s="32">
        <f>IF(B797="","",IFERROR(INDEX(Client_List!$C:$C,MATCH(VALUE(B797),Client_List!$A:$A,0)),""))</f>
        <v/>
      </c>
      <c r="F797" s="53">
        <f>IF(B797="","",IFERROR(INDEX(Client_List!$D:$D,MATCH(VALUE(B797),Client_List!$A:$A,0)),""))</f>
        <v/>
      </c>
      <c r="G797" s="53">
        <f>IF(B797="","",IFERROR(INDEX(Client_List!$K:$K,MATCH(VALUE(B797),Client_List!$A:$A,0)),""))</f>
        <v/>
      </c>
      <c r="H797" s="32">
        <f>IF(B797="","",IFERROR(INDEX(Client_List!$J:$J,MATCH(VALUE(B797),Client_List!$A:$A,0)),""))</f>
        <v/>
      </c>
      <c r="I797" s="70">
        <f>IF(B797="","",IFERROR(A797-LOOKUP(2,1/($B$4:$B796=B797),$A$4:$A796),""))</f>
        <v/>
      </c>
      <c r="J797" s="32">
        <f>IF(B797="","",IFERROR(D797/I797,""))</f>
        <v/>
      </c>
      <c r="K797" s="71">
        <f>IF(B797="","",IFERROR(AVERAGEIFS($J$4:$J797,$B$4:$B797,B797,$J$4:$J797,"&gt;"&amp;0),""))</f>
        <v/>
      </c>
      <c r="L797" s="7" t="n"/>
    </row>
    <row r="798" ht="14" customHeight="1" s="72">
      <c r="A798" s="75" t="n">
        <v>46088</v>
      </c>
      <c r="B798" s="76" t="n">
        <v>2013</v>
      </c>
      <c r="C798" s="69">
        <f>IF(B798="","",IFERROR(INDEX(Client_List!$B:$B,MATCH(B798,Client_List!$A:$A,0)),"⚠ NOT FOUND"))</f>
        <v/>
      </c>
      <c r="D798" s="43" t="n">
        <v>475</v>
      </c>
      <c r="E798" s="32">
        <f>IF(B798="","",IFERROR(INDEX(Client_List!$C:$C,MATCH(VALUE(B798),Client_List!$A:$A,0)),""))</f>
        <v/>
      </c>
      <c r="F798" s="53">
        <f>IF(B798="","",IFERROR(INDEX(Client_List!$D:$D,MATCH(VALUE(B798),Client_List!$A:$A,0)),""))</f>
        <v/>
      </c>
      <c r="G798" s="53">
        <f>IF(B798="","",IFERROR(INDEX(Client_List!$K:$K,MATCH(VALUE(B798),Client_List!$A:$A,0)),""))</f>
        <v/>
      </c>
      <c r="H798" s="32">
        <f>IF(B798="","",IFERROR(INDEX(Client_List!$J:$J,MATCH(VALUE(B798),Client_List!$A:$A,0)),""))</f>
        <v/>
      </c>
      <c r="I798" s="70">
        <f>IF(B798="","",IFERROR(A798-LOOKUP(2,1/($B$4:$B797=B798),$A$4:$A797),""))</f>
        <v/>
      </c>
      <c r="J798" s="32">
        <f>IF(B798="","",IFERROR(D798/I798,""))</f>
        <v/>
      </c>
      <c r="K798" s="71">
        <f>IF(B798="","",IFERROR(AVERAGEIFS($J$4:$J798,$B$4:$B798,B798,$J$4:$J798,"&gt;"&amp;0),""))</f>
        <v/>
      </c>
      <c r="L798" s="4" t="n"/>
    </row>
    <row r="799" ht="14" customHeight="1" s="72">
      <c r="A799" s="75" t="n">
        <v>46088</v>
      </c>
      <c r="B799" s="76" t="n">
        <v>2023</v>
      </c>
      <c r="C799" s="69">
        <f>IF(B799="","",IFERROR(INDEX(Client_List!$B:$B,MATCH(B799,Client_List!$A:$A,0)),"⚠ NOT FOUND"))</f>
        <v/>
      </c>
      <c r="D799" s="43" t="n">
        <v>536</v>
      </c>
      <c r="E799" s="32">
        <f>IF(B799="","",IFERROR(INDEX(Client_List!$C:$C,MATCH(VALUE(B799),Client_List!$A:$A,0)),""))</f>
        <v/>
      </c>
      <c r="F799" s="53">
        <f>IF(B799="","",IFERROR(INDEX(Client_List!$D:$D,MATCH(VALUE(B799),Client_List!$A:$A,0)),""))</f>
        <v/>
      </c>
      <c r="G799" s="53">
        <f>IF(B799="","",IFERROR(INDEX(Client_List!$K:$K,MATCH(VALUE(B799),Client_List!$A:$A,0)),""))</f>
        <v/>
      </c>
      <c r="H799" s="32">
        <f>IF(B799="","",IFERROR(INDEX(Client_List!$J:$J,MATCH(VALUE(B799),Client_List!$A:$A,0)),""))</f>
        <v/>
      </c>
      <c r="I799" s="70">
        <f>IF(B799="","",IFERROR(A799-LOOKUP(2,1/($B$4:$B798=B799),$A$4:$A798),""))</f>
        <v/>
      </c>
      <c r="J799" s="32">
        <f>IF(B799="","",IFERROR(D799/I799,""))</f>
        <v/>
      </c>
      <c r="K799" s="71">
        <f>IF(B799="","",IFERROR(AVERAGEIFS($J$4:$J799,$B$4:$B799,B799,$J$4:$J799,"&gt;"&amp;0),""))</f>
        <v/>
      </c>
      <c r="L799" s="7" t="n"/>
    </row>
    <row r="800" ht="14" customHeight="1" s="72">
      <c r="A800" s="75" t="n">
        <v>46088</v>
      </c>
      <c r="B800" s="76" t="n">
        <v>2067</v>
      </c>
      <c r="C800" s="69">
        <f>IF(B800="","",IFERROR(INDEX(Client_List!$B:$B,MATCH(B800,Client_List!$A:$A,0)),"⚠ NOT FOUND"))</f>
        <v/>
      </c>
      <c r="D800" s="43" t="n">
        <v>743</v>
      </c>
      <c r="E800" s="32">
        <f>IF(B800="","",IFERROR(INDEX(Client_List!$C:$C,MATCH(VALUE(B800),Client_List!$A:$A,0)),""))</f>
        <v/>
      </c>
      <c r="F800" s="53">
        <f>IF(B800="","",IFERROR(INDEX(Client_List!$D:$D,MATCH(VALUE(B800),Client_List!$A:$A,0)),""))</f>
        <v/>
      </c>
      <c r="G800" s="53">
        <f>IF(B800="","",IFERROR(INDEX(Client_List!$K:$K,MATCH(VALUE(B800),Client_List!$A:$A,0)),""))</f>
        <v/>
      </c>
      <c r="H800" s="32">
        <f>IF(B800="","",IFERROR(INDEX(Client_List!$J:$J,MATCH(VALUE(B800),Client_List!$A:$A,0)),""))</f>
        <v/>
      </c>
      <c r="I800" s="70">
        <f>IF(B800="","",IFERROR(A800-LOOKUP(2,1/($B$4:$B799=B800),$A$4:$A799),""))</f>
        <v/>
      </c>
      <c r="J800" s="32">
        <f>IF(B800="","",IFERROR(D800/I800,""))</f>
        <v/>
      </c>
      <c r="K800" s="71">
        <f>IF(B800="","",IFERROR(AVERAGEIFS($J$4:$J800,$B$4:$B800,B800,$J$4:$J800,"&gt;"&amp;0),""))</f>
        <v/>
      </c>
      <c r="L800" s="4" t="n"/>
    </row>
    <row r="801" ht="14" customHeight="1" s="72">
      <c r="A801" s="75" t="n">
        <v>46088</v>
      </c>
      <c r="B801" s="76" t="n">
        <v>8031</v>
      </c>
      <c r="C801" s="69">
        <f>IF(B801="","",IFERROR(INDEX(Client_List!$B:$B,MATCH(B801,Client_List!$A:$A,0)),"⚠ NOT FOUND"))</f>
        <v/>
      </c>
      <c r="D801" s="43" t="n">
        <v>743</v>
      </c>
      <c r="E801" s="32">
        <f>IF(B801="","",IFERROR(INDEX(Client_List!$C:$C,MATCH(VALUE(B801),Client_List!$A:$A,0)),""))</f>
        <v/>
      </c>
      <c r="F801" s="53">
        <f>IF(B801="","",IFERROR(INDEX(Client_List!$D:$D,MATCH(VALUE(B801),Client_List!$A:$A,0)),""))</f>
        <v/>
      </c>
      <c r="G801" s="53">
        <f>IF(B801="","",IFERROR(INDEX(Client_List!$K:$K,MATCH(VALUE(B801),Client_List!$A:$A,0)),""))</f>
        <v/>
      </c>
      <c r="H801" s="32">
        <f>IF(B801="","",IFERROR(INDEX(Client_List!$J:$J,MATCH(VALUE(B801),Client_List!$A:$A,0)),""))</f>
        <v/>
      </c>
      <c r="I801" s="70">
        <f>IF(B801="","",IFERROR(A801-LOOKUP(2,1/($B$4:$B800=B801),$A$4:$A800),""))</f>
        <v/>
      </c>
      <c r="J801" s="32">
        <f>IF(B801="","",IFERROR(D801/I801,""))</f>
        <v/>
      </c>
      <c r="K801" s="71">
        <f>IF(B801="","",IFERROR(AVERAGEIFS($J$4:$J801,$B$4:$B801,B801,$J$4:$J801,"&gt;"&amp;0),""))</f>
        <v/>
      </c>
      <c r="L801" s="7" t="n"/>
    </row>
    <row r="802" ht="14" customHeight="1" s="72">
      <c r="A802" s="75" t="n">
        <v>46088</v>
      </c>
      <c r="B802" s="76" t="n">
        <v>11005</v>
      </c>
      <c r="C802" s="69">
        <f>IF(B802="","",IFERROR(INDEX(Client_List!$B:$B,MATCH(B802,Client_List!$A:$A,0)),"⚠ NOT FOUND"))</f>
        <v/>
      </c>
      <c r="D802" s="43" t="n">
        <v>849</v>
      </c>
      <c r="E802" s="32">
        <f>IF(B802="","",IFERROR(INDEX(Client_List!$C:$C,MATCH(VALUE(B802),Client_List!$A:$A,0)),""))</f>
        <v/>
      </c>
      <c r="F802" s="53">
        <f>IF(B802="","",IFERROR(INDEX(Client_List!$D:$D,MATCH(VALUE(B802),Client_List!$A:$A,0)),""))</f>
        <v/>
      </c>
      <c r="G802" s="53">
        <f>IF(B802="","",IFERROR(INDEX(Client_List!$K:$K,MATCH(VALUE(B802),Client_List!$A:$A,0)),""))</f>
        <v/>
      </c>
      <c r="H802" s="32">
        <f>IF(B802="","",IFERROR(INDEX(Client_List!$J:$J,MATCH(VALUE(B802),Client_List!$A:$A,0)),""))</f>
        <v/>
      </c>
      <c r="I802" s="70">
        <f>IF(B802="","",IFERROR(A802-LOOKUP(2,1/($B$4:$B801=B802),$A$4:$A801),""))</f>
        <v/>
      </c>
      <c r="J802" s="32">
        <f>IF(B802="","",IFERROR(D802/I802,""))</f>
        <v/>
      </c>
      <c r="K802" s="71">
        <f>IF(B802="","",IFERROR(AVERAGEIFS($J$4:$J802,$B$4:$B802,B802,$J$4:$J802,"&gt;"&amp;0),""))</f>
        <v/>
      </c>
      <c r="L802" s="4" t="n"/>
    </row>
    <row r="803" ht="14" customHeight="1" s="72">
      <c r="A803" s="75" t="n">
        <v>46088</v>
      </c>
      <c r="B803" s="76" t="n">
        <v>11013</v>
      </c>
      <c r="C803" s="69">
        <f>IF(B803="","",IFERROR(INDEX(Client_List!$B:$B,MATCH(B803,Client_List!$A:$A,0)),"⚠ NOT FOUND"))</f>
        <v/>
      </c>
      <c r="D803" s="43" t="n">
        <v>793</v>
      </c>
      <c r="E803" s="32">
        <f>IF(B803="","",IFERROR(INDEX(Client_List!$C:$C,MATCH(VALUE(B803),Client_List!$A:$A,0)),""))</f>
        <v/>
      </c>
      <c r="F803" s="53">
        <f>IF(B803="","",IFERROR(INDEX(Client_List!$D:$D,MATCH(VALUE(B803),Client_List!$A:$A,0)),""))</f>
        <v/>
      </c>
      <c r="G803" s="53">
        <f>IF(B803="","",IFERROR(INDEX(Client_List!$K:$K,MATCH(VALUE(B803),Client_List!$A:$A,0)),""))</f>
        <v/>
      </c>
      <c r="H803" s="32">
        <f>IF(B803="","",IFERROR(INDEX(Client_List!$J:$J,MATCH(VALUE(B803),Client_List!$A:$A,0)),""))</f>
        <v/>
      </c>
      <c r="I803" s="70">
        <f>IF(B803="","",IFERROR(A803-LOOKUP(2,1/($B$4:$B802=B803),$A$4:$A802),""))</f>
        <v/>
      </c>
      <c r="J803" s="32">
        <f>IF(B803="","",IFERROR(D803/I803,""))</f>
        <v/>
      </c>
      <c r="K803" s="71">
        <f>IF(B803="","",IFERROR(AVERAGEIFS($J$4:$J803,$B$4:$B803,B803,$J$4:$J803,"&gt;"&amp;0),""))</f>
        <v/>
      </c>
      <c r="L803" s="7" t="n"/>
    </row>
    <row r="804" ht="14" customHeight="1" s="72">
      <c r="A804" s="75" t="n">
        <v>46088</v>
      </c>
      <c r="B804" s="76" t="n">
        <v>12021</v>
      </c>
      <c r="C804" s="69">
        <f>IF(B804="","",IFERROR(INDEX(Client_List!$B:$B,MATCH(B804,Client_List!$A:$A,0)),"⚠ NOT FOUND"))</f>
        <v/>
      </c>
      <c r="D804" s="43" t="n">
        <v>334</v>
      </c>
      <c r="E804" s="32">
        <f>IF(B804="","",IFERROR(INDEX(Client_List!$C:$C,MATCH(VALUE(B804),Client_List!$A:$A,0)),""))</f>
        <v/>
      </c>
      <c r="F804" s="53">
        <f>IF(B804="","",IFERROR(INDEX(Client_List!$D:$D,MATCH(VALUE(B804),Client_List!$A:$A,0)),""))</f>
        <v/>
      </c>
      <c r="G804" s="53">
        <f>IF(B804="","",IFERROR(INDEX(Client_List!$K:$K,MATCH(VALUE(B804),Client_List!$A:$A,0)),""))</f>
        <v/>
      </c>
      <c r="H804" s="32">
        <f>IF(B804="","",IFERROR(INDEX(Client_List!$J:$J,MATCH(VALUE(B804),Client_List!$A:$A,0)),""))</f>
        <v/>
      </c>
      <c r="I804" s="70">
        <f>IF(B804="","",IFERROR(A804-LOOKUP(2,1/($B$4:$B803=B804),$A$4:$A803),""))</f>
        <v/>
      </c>
      <c r="J804" s="32">
        <f>IF(B804="","",IFERROR(D804/I804,""))</f>
        <v/>
      </c>
      <c r="K804" s="71">
        <f>IF(B804="","",IFERROR(AVERAGEIFS($J$4:$J804,$B$4:$B804,B804,$J$4:$J804,"&gt;"&amp;0),""))</f>
        <v/>
      </c>
      <c r="L804" s="4" t="n"/>
    </row>
    <row r="805" ht="14" customHeight="1" s="72">
      <c r="A805" s="75" t="n">
        <v>46088</v>
      </c>
      <c r="B805" s="76" t="n">
        <v>12025</v>
      </c>
      <c r="C805" s="69">
        <f>IF(B805="","",IFERROR(INDEX(Client_List!$B:$B,MATCH(B805,Client_List!$A:$A,0)),"⚠ NOT FOUND"))</f>
        <v/>
      </c>
      <c r="D805" s="43" t="n">
        <v>626</v>
      </c>
      <c r="E805" s="32">
        <f>IF(B805="","",IFERROR(INDEX(Client_List!$C:$C,MATCH(VALUE(B805),Client_List!$A:$A,0)),""))</f>
        <v/>
      </c>
      <c r="F805" s="53">
        <f>IF(B805="","",IFERROR(INDEX(Client_List!$D:$D,MATCH(VALUE(B805),Client_List!$A:$A,0)),""))</f>
        <v/>
      </c>
      <c r="G805" s="53">
        <f>IF(B805="","",IFERROR(INDEX(Client_List!$K:$K,MATCH(VALUE(B805),Client_List!$A:$A,0)),""))</f>
        <v/>
      </c>
      <c r="H805" s="32">
        <f>IF(B805="","",IFERROR(INDEX(Client_List!$J:$J,MATCH(VALUE(B805),Client_List!$A:$A,0)),""))</f>
        <v/>
      </c>
      <c r="I805" s="70">
        <f>IF(B805="","",IFERROR(A805-LOOKUP(2,1/($B$4:$B804=B805),$A$4:$A804),""))</f>
        <v/>
      </c>
      <c r="J805" s="32">
        <f>IF(B805="","",IFERROR(D805/I805,""))</f>
        <v/>
      </c>
      <c r="K805" s="71">
        <f>IF(B805="","",IFERROR(AVERAGEIFS($J$4:$J805,$B$4:$B805,B805,$J$4:$J805,"&gt;"&amp;0),""))</f>
        <v/>
      </c>
      <c r="L805" s="7" t="n"/>
    </row>
    <row r="806" ht="14" customHeight="1" s="72">
      <c r="A806" s="75" t="n">
        <v>46088</v>
      </c>
      <c r="B806" s="76" t="n">
        <v>13012</v>
      </c>
      <c r="C806" s="69">
        <f>IF(B806="","",IFERROR(INDEX(Client_List!$B:$B,MATCH(B806,Client_List!$A:$A,0)),"⚠ NOT FOUND"))</f>
        <v/>
      </c>
      <c r="D806" s="43" t="n">
        <v>687</v>
      </c>
      <c r="E806" s="32">
        <f>IF(B806="","",IFERROR(INDEX(Client_List!$C:$C,MATCH(VALUE(B806),Client_List!$A:$A,0)),""))</f>
        <v/>
      </c>
      <c r="F806" s="53">
        <f>IF(B806="","",IFERROR(INDEX(Client_List!$D:$D,MATCH(VALUE(B806),Client_List!$A:$A,0)),""))</f>
        <v/>
      </c>
      <c r="G806" s="53">
        <f>IF(B806="","",IFERROR(INDEX(Client_List!$K:$K,MATCH(VALUE(B806),Client_List!$A:$A,0)),""))</f>
        <v/>
      </c>
      <c r="H806" s="32">
        <f>IF(B806="","",IFERROR(INDEX(Client_List!$J:$J,MATCH(VALUE(B806),Client_List!$A:$A,0)),""))</f>
        <v/>
      </c>
      <c r="I806" s="70">
        <f>IF(B806="","",IFERROR(A806-LOOKUP(2,1/($B$4:$B805=B806),$A$4:$A805),""))</f>
        <v/>
      </c>
      <c r="J806" s="32">
        <f>IF(B806="","",IFERROR(D806/I806,""))</f>
        <v/>
      </c>
      <c r="K806" s="71">
        <f>IF(B806="","",IFERROR(AVERAGEIFS($J$4:$J806,$B$4:$B806,B806,$J$4:$J806,"&gt;"&amp;0),""))</f>
        <v/>
      </c>
      <c r="L806" s="4" t="n"/>
    </row>
    <row r="807" ht="14" customHeight="1" s="72">
      <c r="A807" s="75" t="n">
        <v>46088</v>
      </c>
      <c r="B807" s="76" t="n">
        <v>15002</v>
      </c>
      <c r="C807" s="69">
        <f>IF(B807="","",IFERROR(INDEX(Client_List!$B:$B,MATCH(B807,Client_List!$A:$A,0)),"⚠ NOT FOUND"))</f>
        <v/>
      </c>
      <c r="D807" s="43" t="n">
        <v>213</v>
      </c>
      <c r="E807" s="32">
        <f>IF(B807="","",IFERROR(INDEX(Client_List!$C:$C,MATCH(VALUE(B807),Client_List!$A:$A,0)),""))</f>
        <v/>
      </c>
      <c r="F807" s="53">
        <f>IF(B807="","",IFERROR(INDEX(Client_List!$D:$D,MATCH(VALUE(B807),Client_List!$A:$A,0)),""))</f>
        <v/>
      </c>
      <c r="G807" s="53">
        <f>IF(B807="","",IFERROR(INDEX(Client_List!$K:$K,MATCH(VALUE(B807),Client_List!$A:$A,0)),""))</f>
        <v/>
      </c>
      <c r="H807" s="32">
        <f>IF(B807="","",IFERROR(INDEX(Client_List!$J:$J,MATCH(VALUE(B807),Client_List!$A:$A,0)),""))</f>
        <v/>
      </c>
      <c r="I807" s="70">
        <f>IF(B807="","",IFERROR(A807-LOOKUP(2,1/($B$4:$B806=B807),$A$4:$A806),""))</f>
        <v/>
      </c>
      <c r="J807" s="32">
        <f>IF(B807="","",IFERROR(D807/I807,""))</f>
        <v/>
      </c>
      <c r="K807" s="71">
        <f>IF(B807="","",IFERROR(AVERAGEIFS($J$4:$J807,$B$4:$B807,B807,$J$4:$J807,"&gt;"&amp;0),""))</f>
        <v/>
      </c>
      <c r="L807" s="7" t="n"/>
    </row>
    <row r="808" ht="14" customHeight="1" s="72">
      <c r="A808" s="75" t="n">
        <v>46088</v>
      </c>
      <c r="B808" s="76" t="n">
        <v>15004</v>
      </c>
      <c r="C808" s="69">
        <f>IF(B808="","",IFERROR(INDEX(Client_List!$B:$B,MATCH(B808,Client_List!$A:$A,0)),"⚠ NOT FOUND"))</f>
        <v/>
      </c>
      <c r="D808" s="43" t="n">
        <v>450</v>
      </c>
      <c r="E808" s="32">
        <f>IF(B808="","",IFERROR(INDEX(Client_List!$C:$C,MATCH(VALUE(B808),Client_List!$A:$A,0)),""))</f>
        <v/>
      </c>
      <c r="F808" s="53">
        <f>IF(B808="","",IFERROR(INDEX(Client_List!$D:$D,MATCH(VALUE(B808),Client_List!$A:$A,0)),""))</f>
        <v/>
      </c>
      <c r="G808" s="53">
        <f>IF(B808="","",IFERROR(INDEX(Client_List!$K:$K,MATCH(VALUE(B808),Client_List!$A:$A,0)),""))</f>
        <v/>
      </c>
      <c r="H808" s="32">
        <f>IF(B808="","",IFERROR(INDEX(Client_List!$J:$J,MATCH(VALUE(B808),Client_List!$A:$A,0)),""))</f>
        <v/>
      </c>
      <c r="I808" s="70">
        <f>IF(B808="","",IFERROR(A808-LOOKUP(2,1/($B$4:$B807=B808),$A$4:$A807),""))</f>
        <v/>
      </c>
      <c r="J808" s="32">
        <f>IF(B808="","",IFERROR(D808/I808,""))</f>
        <v/>
      </c>
      <c r="K808" s="71">
        <f>IF(B808="","",IFERROR(AVERAGEIFS($J$4:$J808,$B$4:$B808,B808,$J$4:$J808,"&gt;"&amp;0),""))</f>
        <v/>
      </c>
      <c r="L808" s="4" t="n"/>
    </row>
    <row r="809" ht="14" customHeight="1" s="72">
      <c r="A809" s="75" t="n">
        <v>46088</v>
      </c>
      <c r="B809" s="76" t="n">
        <v>15032</v>
      </c>
      <c r="C809" s="69">
        <f>IF(B809="","",IFERROR(INDEX(Client_List!$B:$B,MATCH(B809,Client_List!$A:$A,0)),"⚠ NOT FOUND"))</f>
        <v/>
      </c>
      <c r="D809" s="43" t="n">
        <v>496</v>
      </c>
      <c r="E809" s="32">
        <f>IF(B809="","",IFERROR(INDEX(Client_List!$C:$C,MATCH(VALUE(B809),Client_List!$A:$A,0)),""))</f>
        <v/>
      </c>
      <c r="F809" s="53">
        <f>IF(B809="","",IFERROR(INDEX(Client_List!$D:$D,MATCH(VALUE(B809),Client_List!$A:$A,0)),""))</f>
        <v/>
      </c>
      <c r="G809" s="53">
        <f>IF(B809="","",IFERROR(INDEX(Client_List!$K:$K,MATCH(VALUE(B809),Client_List!$A:$A,0)),""))</f>
        <v/>
      </c>
      <c r="H809" s="32">
        <f>IF(B809="","",IFERROR(INDEX(Client_List!$J:$J,MATCH(VALUE(B809),Client_List!$A:$A,0)),""))</f>
        <v/>
      </c>
      <c r="I809" s="70">
        <f>IF(B809="","",IFERROR(A809-LOOKUP(2,1/($B$4:$B808=B809),$A$4:$A808),""))</f>
        <v/>
      </c>
      <c r="J809" s="32">
        <f>IF(B809="","",IFERROR(D809/I809,""))</f>
        <v/>
      </c>
      <c r="K809" s="71">
        <f>IF(B809="","",IFERROR(AVERAGEIFS($J$4:$J809,$B$4:$B809,B809,$J$4:$J809,"&gt;"&amp;0),""))</f>
        <v/>
      </c>
      <c r="L809" s="7" t="n"/>
    </row>
    <row r="810" ht="14" customHeight="1" s="72">
      <c r="A810" s="75" t="n">
        <v>46088</v>
      </c>
      <c r="B810" s="76" t="n">
        <v>18036</v>
      </c>
      <c r="C810" s="69">
        <f>IF(B810="","",IFERROR(INDEX(Client_List!$B:$B,MATCH(B810,Client_List!$A:$A,0)),"⚠ NOT FOUND"))</f>
        <v/>
      </c>
      <c r="D810" s="43" t="n">
        <v>1635</v>
      </c>
      <c r="E810" s="32">
        <f>IF(B810="","",IFERROR(INDEX(Client_List!$C:$C,MATCH(VALUE(B810),Client_List!$A:$A,0)),""))</f>
        <v/>
      </c>
      <c r="F810" s="53">
        <f>IF(B810="","",IFERROR(INDEX(Client_List!$D:$D,MATCH(VALUE(B810),Client_List!$A:$A,0)),""))</f>
        <v/>
      </c>
      <c r="G810" s="53">
        <f>IF(B810="","",IFERROR(INDEX(Client_List!$K:$K,MATCH(VALUE(B810),Client_List!$A:$A,0)),""))</f>
        <v/>
      </c>
      <c r="H810" s="32">
        <f>IF(B810="","",IFERROR(INDEX(Client_List!$J:$J,MATCH(VALUE(B810),Client_List!$A:$A,0)),""))</f>
        <v/>
      </c>
      <c r="I810" s="70">
        <f>IF(B810="","",IFERROR(A810-LOOKUP(2,1/($B$4:$B809=B810),$A$4:$A809),""))</f>
        <v/>
      </c>
      <c r="J810" s="32">
        <f>IF(B810="","",IFERROR(D810/I810,""))</f>
        <v/>
      </c>
      <c r="K810" s="71">
        <f>IF(B810="","",IFERROR(AVERAGEIFS($J$4:$J810,$B$4:$B810,B810,$J$4:$J810,"&gt;"&amp;0),""))</f>
        <v/>
      </c>
      <c r="L810" s="4" t="n"/>
    </row>
    <row r="811" ht="14" customHeight="1" s="72">
      <c r="A811" s="75" t="n">
        <v>46088</v>
      </c>
      <c r="B811" s="76" t="n">
        <v>19077</v>
      </c>
      <c r="C811" s="69">
        <f>IF(B811="","",IFERROR(INDEX(Client_List!$B:$B,MATCH(B811,Client_List!$A:$A,0)),"⚠ NOT FOUND"))</f>
        <v/>
      </c>
      <c r="D811" s="43" t="n">
        <v>1101</v>
      </c>
      <c r="E811" s="32">
        <f>IF(B811="","",IFERROR(INDEX(Client_List!$C:$C,MATCH(VALUE(B811),Client_List!$A:$A,0)),""))</f>
        <v/>
      </c>
      <c r="F811" s="53">
        <f>IF(B811="","",IFERROR(INDEX(Client_List!$D:$D,MATCH(VALUE(B811),Client_List!$A:$A,0)),""))</f>
        <v/>
      </c>
      <c r="G811" s="53">
        <f>IF(B811="","",IFERROR(INDEX(Client_List!$K:$K,MATCH(VALUE(B811),Client_List!$A:$A,0)),""))</f>
        <v/>
      </c>
      <c r="H811" s="32">
        <f>IF(B811="","",IFERROR(INDEX(Client_List!$J:$J,MATCH(VALUE(B811),Client_List!$A:$A,0)),""))</f>
        <v/>
      </c>
      <c r="I811" s="70">
        <f>IF(B811="","",IFERROR(A811-LOOKUP(2,1/($B$4:$B810=B811),$A$4:$A810),""))</f>
        <v/>
      </c>
      <c r="J811" s="32">
        <f>IF(B811="","",IFERROR(D811/I811,""))</f>
        <v/>
      </c>
      <c r="K811" s="71">
        <f>IF(B811="","",IFERROR(AVERAGEIFS($J$4:$J811,$B$4:$B811,B811,$J$4:$J811,"&gt;"&amp;0),""))</f>
        <v/>
      </c>
      <c r="L811" s="7" t="n"/>
    </row>
    <row r="812" ht="14" customHeight="1" s="72">
      <c r="A812" s="75" t="n">
        <v>46088</v>
      </c>
      <c r="B812" s="76" t="n">
        <v>20019</v>
      </c>
      <c r="C812" s="69">
        <f>IF(B812="","",IFERROR(INDEX(Client_List!$B:$B,MATCH(B812,Client_List!$A:$A,0)),"⚠ NOT FOUND"))</f>
        <v/>
      </c>
      <c r="D812" s="43" t="n">
        <v>819</v>
      </c>
      <c r="E812" s="32">
        <f>IF(B812="","",IFERROR(INDEX(Client_List!$C:$C,MATCH(VALUE(B812),Client_List!$A:$A,0)),""))</f>
        <v/>
      </c>
      <c r="F812" s="53">
        <f>IF(B812="","",IFERROR(INDEX(Client_List!$D:$D,MATCH(VALUE(B812),Client_List!$A:$A,0)),""))</f>
        <v/>
      </c>
      <c r="G812" s="53">
        <f>IF(B812="","",IFERROR(INDEX(Client_List!$K:$K,MATCH(VALUE(B812),Client_List!$A:$A,0)),""))</f>
        <v/>
      </c>
      <c r="H812" s="32">
        <f>IF(B812="","",IFERROR(INDEX(Client_List!$J:$J,MATCH(VALUE(B812),Client_List!$A:$A,0)),""))</f>
        <v/>
      </c>
      <c r="I812" s="70">
        <f>IF(B812="","",IFERROR(A812-LOOKUP(2,1/($B$4:$B811=B812),$A$4:$A811),""))</f>
        <v/>
      </c>
      <c r="J812" s="32">
        <f>IF(B812="","",IFERROR(D812/I812,""))</f>
        <v/>
      </c>
      <c r="K812" s="71">
        <f>IF(B812="","",IFERROR(AVERAGEIFS($J$4:$J812,$B$4:$B812,B812,$J$4:$J812,"&gt;"&amp;0),""))</f>
        <v/>
      </c>
      <c r="L812" s="4" t="n"/>
    </row>
    <row r="813" ht="14" customHeight="1" s="72">
      <c r="A813" s="75" t="n">
        <v>46091</v>
      </c>
      <c r="B813" s="76" t="n">
        <v>1001</v>
      </c>
      <c r="C813" s="69">
        <f>IF(B813="","",IFERROR(INDEX(Client_List!$B:$B,MATCH(B813,Client_List!$A:$A,0)),"⚠ NOT FOUND"))</f>
        <v/>
      </c>
      <c r="D813" s="43" t="n">
        <v>633</v>
      </c>
      <c r="E813" s="32">
        <f>IF(B813="","",IFERROR(INDEX(Client_List!$C:$C,MATCH(VALUE(B813),Client_List!$A:$A,0)),""))</f>
        <v/>
      </c>
      <c r="F813" s="53">
        <f>IF(B813="","",IFERROR(INDEX(Client_List!$D:$D,MATCH(VALUE(B813),Client_List!$A:$A,0)),""))</f>
        <v/>
      </c>
      <c r="G813" s="53">
        <f>IF(B813="","",IFERROR(INDEX(Client_List!$K:$K,MATCH(VALUE(B813),Client_List!$A:$A,0)),""))</f>
        <v/>
      </c>
      <c r="H813" s="32">
        <f>IF(B813="","",IFERROR(INDEX(Client_List!$J:$J,MATCH(VALUE(B813),Client_List!$A:$A,0)),""))</f>
        <v/>
      </c>
      <c r="I813" s="70">
        <f>IF(B813="","",IFERROR(A813-LOOKUP(2,1/($B$4:$B812=B813),$A$4:$A812),""))</f>
        <v/>
      </c>
      <c r="J813" s="32">
        <f>IF(B813="","",IFERROR(D813/I813,""))</f>
        <v/>
      </c>
      <c r="K813" s="71">
        <f>IF(B813="","",IFERROR(AVERAGEIFS($J$4:$J813,$B$4:$B813,B813,$J$4:$J813,"&gt;"&amp;0),""))</f>
        <v/>
      </c>
      <c r="L813" s="7" t="n"/>
    </row>
    <row r="814" ht="14" customHeight="1" s="72">
      <c r="A814" s="75" t="n">
        <v>46091</v>
      </c>
      <c r="B814" s="76" t="n">
        <v>2017</v>
      </c>
      <c r="C814" s="69">
        <f>IF(B814="","",IFERROR(INDEX(Client_List!$B:$B,MATCH(B814,Client_List!$A:$A,0)),"⚠ NOT FOUND"))</f>
        <v/>
      </c>
      <c r="D814" s="43" t="n">
        <v>438</v>
      </c>
      <c r="E814" s="32">
        <f>IF(B814="","",IFERROR(INDEX(Client_List!$C:$C,MATCH(VALUE(B814),Client_List!$A:$A,0)),""))</f>
        <v/>
      </c>
      <c r="F814" s="53">
        <f>IF(B814="","",IFERROR(INDEX(Client_List!$D:$D,MATCH(VALUE(B814),Client_List!$A:$A,0)),""))</f>
        <v/>
      </c>
      <c r="G814" s="53">
        <f>IF(B814="","",IFERROR(INDEX(Client_List!$K:$K,MATCH(VALUE(B814),Client_List!$A:$A,0)),""))</f>
        <v/>
      </c>
      <c r="H814" s="32">
        <f>IF(B814="","",IFERROR(INDEX(Client_List!$J:$J,MATCH(VALUE(B814),Client_List!$A:$A,0)),""))</f>
        <v/>
      </c>
      <c r="I814" s="70">
        <f>IF(B814="","",IFERROR(A814-LOOKUP(2,1/($B$4:$B813=B814),$A$4:$A813),""))</f>
        <v/>
      </c>
      <c r="J814" s="32">
        <f>IF(B814="","",IFERROR(D814/I814,""))</f>
        <v/>
      </c>
      <c r="K814" s="71">
        <f>IF(B814="","",IFERROR(AVERAGEIFS($J$4:$J814,$B$4:$B814,B814,$J$4:$J814,"&gt;"&amp;0),""))</f>
        <v/>
      </c>
      <c r="L814" s="4" t="n"/>
    </row>
    <row r="815" ht="14" customHeight="1" s="72">
      <c r="A815" s="75" t="n">
        <v>46091</v>
      </c>
      <c r="B815" s="76" t="n">
        <v>3021</v>
      </c>
      <c r="C815" s="69">
        <f>IF(B815="","",IFERROR(INDEX(Client_List!$B:$B,MATCH(B815,Client_List!$A:$A,0)),"⚠ NOT FOUND"))</f>
        <v/>
      </c>
      <c r="D815" s="43" t="n">
        <v>466</v>
      </c>
      <c r="E815" s="32">
        <f>IF(B815="","",IFERROR(INDEX(Client_List!$C:$C,MATCH(VALUE(B815),Client_List!$A:$A,0)),""))</f>
        <v/>
      </c>
      <c r="F815" s="53">
        <f>IF(B815="","",IFERROR(INDEX(Client_List!$D:$D,MATCH(VALUE(B815),Client_List!$A:$A,0)),""))</f>
        <v/>
      </c>
      <c r="G815" s="53">
        <f>IF(B815="","",IFERROR(INDEX(Client_List!$K:$K,MATCH(VALUE(B815),Client_List!$A:$A,0)),""))</f>
        <v/>
      </c>
      <c r="H815" s="32">
        <f>IF(B815="","",IFERROR(INDEX(Client_List!$J:$J,MATCH(VALUE(B815),Client_List!$A:$A,0)),""))</f>
        <v/>
      </c>
      <c r="I815" s="70">
        <f>IF(B815="","",IFERROR(A815-LOOKUP(2,1/($B$4:$B814=B815),$A$4:$A814),""))</f>
        <v/>
      </c>
      <c r="J815" s="32">
        <f>IF(B815="","",IFERROR(D815/I815,""))</f>
        <v/>
      </c>
      <c r="K815" s="71">
        <f>IF(B815="","",IFERROR(AVERAGEIFS($J$4:$J815,$B$4:$B815,B815,$J$4:$J815,"&gt;"&amp;0),""))</f>
        <v/>
      </c>
      <c r="L815" s="7" t="n"/>
    </row>
    <row r="816" ht="14" customHeight="1" s="72">
      <c r="A816" s="75" t="n">
        <v>46091</v>
      </c>
      <c r="B816" s="76" t="n">
        <v>7052</v>
      </c>
      <c r="C816" s="69">
        <f>IF(B816="","",IFERROR(INDEX(Client_List!$B:$B,MATCH(B816,Client_List!$A:$A,0)),"⚠ NOT FOUND"))</f>
        <v/>
      </c>
      <c r="D816" s="43" t="n">
        <v>271</v>
      </c>
      <c r="E816" s="32">
        <f>IF(B816="","",IFERROR(INDEX(Client_List!$C:$C,MATCH(VALUE(B816),Client_List!$A:$A,0)),""))</f>
        <v/>
      </c>
      <c r="F816" s="53">
        <f>IF(B816="","",IFERROR(INDEX(Client_List!$D:$D,MATCH(VALUE(B816),Client_List!$A:$A,0)),""))</f>
        <v/>
      </c>
      <c r="G816" s="53">
        <f>IF(B816="","",IFERROR(INDEX(Client_List!$K:$K,MATCH(VALUE(B816),Client_List!$A:$A,0)),""))</f>
        <v/>
      </c>
      <c r="H816" s="32">
        <f>IF(B816="","",IFERROR(INDEX(Client_List!$J:$J,MATCH(VALUE(B816),Client_List!$A:$A,0)),""))</f>
        <v/>
      </c>
      <c r="I816" s="70">
        <f>IF(B816="","",IFERROR(A816-LOOKUP(2,1/($B$4:$B815=B816),$A$4:$A815),""))</f>
        <v/>
      </c>
      <c r="J816" s="32">
        <f>IF(B816="","",IFERROR(D816/I816,""))</f>
        <v/>
      </c>
      <c r="K816" s="71">
        <f>IF(B816="","",IFERROR(AVERAGEIFS($J$4:$J816,$B$4:$B816,B816,$J$4:$J816,"&gt;"&amp;0),""))</f>
        <v/>
      </c>
      <c r="L816" s="4" t="n"/>
    </row>
    <row r="817" ht="14" customHeight="1" s="72">
      <c r="A817" s="75" t="n">
        <v>46091</v>
      </c>
      <c r="B817" s="76" t="n">
        <v>12009</v>
      </c>
      <c r="C817" s="69">
        <f>IF(B817="","",IFERROR(INDEX(Client_List!$B:$B,MATCH(B817,Client_List!$A:$A,0)),"⚠ NOT FOUND"))</f>
        <v/>
      </c>
      <c r="D817" s="43" t="n">
        <v>326</v>
      </c>
      <c r="E817" s="32">
        <f>IF(B817="","",IFERROR(INDEX(Client_List!$C:$C,MATCH(VALUE(B817),Client_List!$A:$A,0)),""))</f>
        <v/>
      </c>
      <c r="F817" s="53">
        <f>IF(B817="","",IFERROR(INDEX(Client_List!$D:$D,MATCH(VALUE(B817),Client_List!$A:$A,0)),""))</f>
        <v/>
      </c>
      <c r="G817" s="53">
        <f>IF(B817="","",IFERROR(INDEX(Client_List!$K:$K,MATCH(VALUE(B817),Client_List!$A:$A,0)),""))</f>
        <v/>
      </c>
      <c r="H817" s="32">
        <f>IF(B817="","",IFERROR(INDEX(Client_List!$J:$J,MATCH(VALUE(B817),Client_List!$A:$A,0)),""))</f>
        <v/>
      </c>
      <c r="I817" s="70">
        <f>IF(B817="","",IFERROR(A817-LOOKUP(2,1/($B$4:$B816=B817),$A$4:$A816),""))</f>
        <v/>
      </c>
      <c r="J817" s="32">
        <f>IF(B817="","",IFERROR(D817/I817,""))</f>
        <v/>
      </c>
      <c r="K817" s="71">
        <f>IF(B817="","",IFERROR(AVERAGEIFS($J$4:$J817,$B$4:$B817,B817,$J$4:$J817,"&gt;"&amp;0),""))</f>
        <v/>
      </c>
      <c r="L817" s="7" t="n"/>
    </row>
    <row r="818" ht="14" customHeight="1" s="72">
      <c r="A818" s="75" t="n">
        <v>46091</v>
      </c>
      <c r="B818" s="76" t="n">
        <v>12047</v>
      </c>
      <c r="C818" s="69">
        <f>IF(B818="","",IFERROR(INDEX(Client_List!$B:$B,MATCH(B818,Client_List!$A:$A,0)),"⚠ NOT FOUND"))</f>
        <v/>
      </c>
      <c r="D818" s="43" t="n">
        <v>514</v>
      </c>
      <c r="E818" s="32">
        <f>IF(B818="","",IFERROR(INDEX(Client_List!$C:$C,MATCH(VALUE(B818),Client_List!$A:$A,0)),""))</f>
        <v/>
      </c>
      <c r="F818" s="53">
        <f>IF(B818="","",IFERROR(INDEX(Client_List!$D:$D,MATCH(VALUE(B818),Client_List!$A:$A,0)),""))</f>
        <v/>
      </c>
      <c r="G818" s="53">
        <f>IF(B818="","",IFERROR(INDEX(Client_List!$K:$K,MATCH(VALUE(B818),Client_List!$A:$A,0)),""))</f>
        <v/>
      </c>
      <c r="H818" s="32">
        <f>IF(B818="","",IFERROR(INDEX(Client_List!$J:$J,MATCH(VALUE(B818),Client_List!$A:$A,0)),""))</f>
        <v/>
      </c>
      <c r="I818" s="70">
        <f>IF(B818="","",IFERROR(A818-LOOKUP(2,1/($B$4:$B817=B818),$A$4:$A817),""))</f>
        <v/>
      </c>
      <c r="J818" s="32">
        <f>IF(B818="","",IFERROR(D818/I818,""))</f>
        <v/>
      </c>
      <c r="K818" s="71">
        <f>IF(B818="","",IFERROR(AVERAGEIFS($J$4:$J818,$B$4:$B818,B818,$J$4:$J818,"&gt;"&amp;0),""))</f>
        <v/>
      </c>
      <c r="L818" s="4" t="n"/>
    </row>
    <row r="819" ht="14" customHeight="1" s="72">
      <c r="A819" s="75" t="n">
        <v>46091</v>
      </c>
      <c r="B819" s="76" t="n">
        <v>12050</v>
      </c>
      <c r="C819" s="69">
        <f>IF(B819="","",IFERROR(INDEX(Client_List!$B:$B,MATCH(B819,Client_List!$A:$A,0)),"⚠ NOT FOUND"))</f>
        <v/>
      </c>
      <c r="D819" s="43" t="n">
        <v>980</v>
      </c>
      <c r="E819" s="32">
        <f>IF(B819="","",IFERROR(INDEX(Client_List!$C:$C,MATCH(VALUE(B819),Client_List!$A:$A,0)),""))</f>
        <v/>
      </c>
      <c r="F819" s="53">
        <f>IF(B819="","",IFERROR(INDEX(Client_List!$D:$D,MATCH(VALUE(B819),Client_List!$A:$A,0)),""))</f>
        <v/>
      </c>
      <c r="G819" s="53">
        <f>IF(B819="","",IFERROR(INDEX(Client_List!$K:$K,MATCH(VALUE(B819),Client_List!$A:$A,0)),""))</f>
        <v/>
      </c>
      <c r="H819" s="32">
        <f>IF(B819="","",IFERROR(INDEX(Client_List!$J:$J,MATCH(VALUE(B819),Client_List!$A:$A,0)),""))</f>
        <v/>
      </c>
      <c r="I819" s="70">
        <f>IF(B819="","",IFERROR(A819-LOOKUP(2,1/($B$4:$B818=B819),$A$4:$A818),""))</f>
        <v/>
      </c>
      <c r="J819" s="32">
        <f>IF(B819="","",IFERROR(D819/I819,""))</f>
        <v/>
      </c>
      <c r="K819" s="71">
        <f>IF(B819="","",IFERROR(AVERAGEIFS($J$4:$J819,$B$4:$B819,B819,$J$4:$J819,"&gt;"&amp;0),""))</f>
        <v/>
      </c>
      <c r="L819" s="7" t="n"/>
    </row>
    <row r="820" ht="14" customHeight="1" s="72">
      <c r="A820" s="75" t="n">
        <v>46091</v>
      </c>
      <c r="B820" s="76" t="n">
        <v>13009</v>
      </c>
      <c r="C820" s="69">
        <f>IF(B820="","",IFERROR(INDEX(Client_List!$B:$B,MATCH(B820,Client_List!$A:$A,0)),"⚠ NOT FOUND"))</f>
        <v/>
      </c>
      <c r="D820" s="43" t="n">
        <v>1082</v>
      </c>
      <c r="E820" s="32">
        <f>IF(B820="","",IFERROR(INDEX(Client_List!$C:$C,MATCH(VALUE(B820),Client_List!$A:$A,0)),""))</f>
        <v/>
      </c>
      <c r="F820" s="53">
        <f>IF(B820="","",IFERROR(INDEX(Client_List!$D:$D,MATCH(VALUE(B820),Client_List!$A:$A,0)),""))</f>
        <v/>
      </c>
      <c r="G820" s="53">
        <f>IF(B820="","",IFERROR(INDEX(Client_List!$K:$K,MATCH(VALUE(B820),Client_List!$A:$A,0)),""))</f>
        <v/>
      </c>
      <c r="H820" s="32">
        <f>IF(B820="","",IFERROR(INDEX(Client_List!$J:$J,MATCH(VALUE(B820),Client_List!$A:$A,0)),""))</f>
        <v/>
      </c>
      <c r="I820" s="70">
        <f>IF(B820="","",IFERROR(A820-LOOKUP(2,1/($B$4:$B819=B820),$A$4:$A819),""))</f>
        <v/>
      </c>
      <c r="J820" s="32">
        <f>IF(B820="","",IFERROR(D820/I820,""))</f>
        <v/>
      </c>
      <c r="K820" s="71">
        <f>IF(B820="","",IFERROR(AVERAGEIFS($J$4:$J820,$B$4:$B820,B820,$J$4:$J820,"&gt;"&amp;0),""))</f>
        <v/>
      </c>
      <c r="L820" s="4" t="n"/>
    </row>
    <row r="821" ht="14" customHeight="1" s="72">
      <c r="A821" s="75" t="n">
        <v>46091</v>
      </c>
      <c r="B821" s="76" t="n">
        <v>13013</v>
      </c>
      <c r="C821" s="69">
        <f>IF(B821="","",IFERROR(INDEX(Client_List!$B:$B,MATCH(B821,Client_List!$A:$A,0)),"⚠ NOT FOUND"))</f>
        <v/>
      </c>
      <c r="D821" s="43" t="n">
        <v>937</v>
      </c>
      <c r="E821" s="32">
        <f>IF(B821="","",IFERROR(INDEX(Client_List!$C:$C,MATCH(VALUE(B821),Client_List!$A:$A,0)),""))</f>
        <v/>
      </c>
      <c r="F821" s="53">
        <f>IF(B821="","",IFERROR(INDEX(Client_List!$D:$D,MATCH(VALUE(B821),Client_List!$A:$A,0)),""))</f>
        <v/>
      </c>
      <c r="G821" s="53">
        <f>IF(B821="","",IFERROR(INDEX(Client_List!$K:$K,MATCH(VALUE(B821),Client_List!$A:$A,0)),""))</f>
        <v/>
      </c>
      <c r="H821" s="32">
        <f>IF(B821="","",IFERROR(INDEX(Client_List!$J:$J,MATCH(VALUE(B821),Client_List!$A:$A,0)),""))</f>
        <v/>
      </c>
      <c r="I821" s="70">
        <f>IF(B821="","",IFERROR(A821-LOOKUP(2,1/($B$4:$B820=B821),$A$4:$A820),""))</f>
        <v/>
      </c>
      <c r="J821" s="32">
        <f>IF(B821="","",IFERROR(D821/I821,""))</f>
        <v/>
      </c>
      <c r="K821" s="71">
        <f>IF(B821="","",IFERROR(AVERAGEIFS($J$4:$J821,$B$4:$B821,B821,$J$4:$J821,"&gt;"&amp;0),""))</f>
        <v/>
      </c>
      <c r="L821" s="7" t="n"/>
    </row>
    <row r="822" ht="14" customHeight="1" s="72">
      <c r="A822" s="75" t="n">
        <v>46091</v>
      </c>
      <c r="B822" s="76" t="n">
        <v>13069</v>
      </c>
      <c r="C822" s="69">
        <f>IF(B822="","",IFERROR(INDEX(Client_List!$B:$B,MATCH(B822,Client_List!$A:$A,0)),"⚠ NOT FOUND"))</f>
        <v/>
      </c>
      <c r="D822" s="43" t="n">
        <v>863</v>
      </c>
      <c r="E822" s="32">
        <f>IF(B822="","",IFERROR(INDEX(Client_List!$C:$C,MATCH(VALUE(B822),Client_List!$A:$A,0)),""))</f>
        <v/>
      </c>
      <c r="F822" s="53">
        <f>IF(B822="","",IFERROR(INDEX(Client_List!$D:$D,MATCH(VALUE(B822),Client_List!$A:$A,0)),""))</f>
        <v/>
      </c>
      <c r="G822" s="53">
        <f>IF(B822="","",IFERROR(INDEX(Client_List!$K:$K,MATCH(VALUE(B822),Client_List!$A:$A,0)),""))</f>
        <v/>
      </c>
      <c r="H822" s="32">
        <f>IF(B822="","",IFERROR(INDEX(Client_List!$J:$J,MATCH(VALUE(B822),Client_List!$A:$A,0)),""))</f>
        <v/>
      </c>
      <c r="I822" s="70">
        <f>IF(B822="","",IFERROR(A822-LOOKUP(2,1/($B$4:$B821=B822),$A$4:$A821),""))</f>
        <v/>
      </c>
      <c r="J822" s="32">
        <f>IF(B822="","",IFERROR(D822/I822,""))</f>
        <v/>
      </c>
      <c r="K822" s="71">
        <f>IF(B822="","",IFERROR(AVERAGEIFS($J$4:$J822,$B$4:$B822,B822,$J$4:$J822,"&gt;"&amp;0),""))</f>
        <v/>
      </c>
      <c r="L822" s="4" t="n"/>
    </row>
    <row r="823" ht="14" customHeight="1" s="72">
      <c r="A823" s="75" t="n">
        <v>46091</v>
      </c>
      <c r="B823" s="76" t="n">
        <v>15000</v>
      </c>
      <c r="C823" s="69">
        <f>IF(B823="","",IFERROR(INDEX(Client_List!$B:$B,MATCH(B823,Client_List!$A:$A,0)),"⚠ NOT FOUND"))</f>
        <v/>
      </c>
      <c r="D823" s="43" t="n">
        <v>1086</v>
      </c>
      <c r="E823" s="32">
        <f>IF(B823="","",IFERROR(INDEX(Client_List!$C:$C,MATCH(VALUE(B823),Client_List!$A:$A,0)),""))</f>
        <v/>
      </c>
      <c r="F823" s="53">
        <f>IF(B823="","",IFERROR(INDEX(Client_List!$D:$D,MATCH(VALUE(B823),Client_List!$A:$A,0)),""))</f>
        <v/>
      </c>
      <c r="G823" s="53">
        <f>IF(B823="","",IFERROR(INDEX(Client_List!$K:$K,MATCH(VALUE(B823),Client_List!$A:$A,0)),""))</f>
        <v/>
      </c>
      <c r="H823" s="32">
        <f>IF(B823="","",IFERROR(INDEX(Client_List!$J:$J,MATCH(VALUE(B823),Client_List!$A:$A,0)),""))</f>
        <v/>
      </c>
      <c r="I823" s="70">
        <f>IF(B823="","",IFERROR(A823-LOOKUP(2,1/($B$4:$B822=B823),$A$4:$A822),""))</f>
        <v/>
      </c>
      <c r="J823" s="32">
        <f>IF(B823="","",IFERROR(D823/I823,""))</f>
        <v/>
      </c>
      <c r="K823" s="71">
        <f>IF(B823="","",IFERROR(AVERAGEIFS($J$4:$J823,$B$4:$B823,B823,$J$4:$J823,"&gt;"&amp;0),""))</f>
        <v/>
      </c>
      <c r="L823" s="7" t="n"/>
    </row>
    <row r="824" ht="14" customHeight="1" s="72">
      <c r="A824" s="75" t="n">
        <v>46091</v>
      </c>
      <c r="B824" s="76" t="n">
        <v>15003</v>
      </c>
      <c r="C824" s="69">
        <f>IF(B824="","",IFERROR(INDEX(Client_List!$B:$B,MATCH(B824,Client_List!$A:$A,0)),"⚠ NOT FOUND"))</f>
        <v/>
      </c>
      <c r="D824" s="43" t="n">
        <v>1083</v>
      </c>
      <c r="E824" s="32">
        <f>IF(B824="","",IFERROR(INDEX(Client_List!$C:$C,MATCH(VALUE(B824),Client_List!$A:$A,0)),""))</f>
        <v/>
      </c>
      <c r="F824" s="53">
        <f>IF(B824="","",IFERROR(INDEX(Client_List!$D:$D,MATCH(VALUE(B824),Client_List!$A:$A,0)),""))</f>
        <v/>
      </c>
      <c r="G824" s="53">
        <f>IF(B824="","",IFERROR(INDEX(Client_List!$K:$K,MATCH(VALUE(B824),Client_List!$A:$A,0)),""))</f>
        <v/>
      </c>
      <c r="H824" s="32">
        <f>IF(B824="","",IFERROR(INDEX(Client_List!$J:$J,MATCH(VALUE(B824),Client_List!$A:$A,0)),""))</f>
        <v/>
      </c>
      <c r="I824" s="70">
        <f>IF(B824="","",IFERROR(A824-LOOKUP(2,1/($B$4:$B823=B824),$A$4:$A823),""))</f>
        <v/>
      </c>
      <c r="J824" s="32">
        <f>IF(B824="","",IFERROR(D824/I824,""))</f>
        <v/>
      </c>
      <c r="K824" s="71">
        <f>IF(B824="","",IFERROR(AVERAGEIFS($J$4:$J824,$B$4:$B824,B824,$J$4:$J824,"&gt;"&amp;0),""))</f>
        <v/>
      </c>
      <c r="L824" s="4" t="n"/>
    </row>
    <row r="825" ht="14" customHeight="1" s="72">
      <c r="A825" s="75" t="n">
        <v>46091</v>
      </c>
      <c r="B825" s="76" t="n">
        <v>16003</v>
      </c>
      <c r="C825" s="69">
        <f>IF(B825="","",IFERROR(INDEX(Client_List!$B:$B,MATCH(B825,Client_List!$A:$A,0)),"⚠ NOT FOUND"))</f>
        <v/>
      </c>
      <c r="D825" s="43" t="n">
        <v>757</v>
      </c>
      <c r="E825" s="32">
        <f>IF(B825="","",IFERROR(INDEX(Client_List!$C:$C,MATCH(VALUE(B825),Client_List!$A:$A,0)),""))</f>
        <v/>
      </c>
      <c r="F825" s="53">
        <f>IF(B825="","",IFERROR(INDEX(Client_List!$D:$D,MATCH(VALUE(B825),Client_List!$A:$A,0)),""))</f>
        <v/>
      </c>
      <c r="G825" s="53">
        <f>IF(B825="","",IFERROR(INDEX(Client_List!$K:$K,MATCH(VALUE(B825),Client_List!$A:$A,0)),""))</f>
        <v/>
      </c>
      <c r="H825" s="32">
        <f>IF(B825="","",IFERROR(INDEX(Client_List!$J:$J,MATCH(VALUE(B825),Client_List!$A:$A,0)),""))</f>
        <v/>
      </c>
      <c r="I825" s="70">
        <f>IF(B825="","",IFERROR(A825-LOOKUP(2,1/($B$4:$B824=B825),$A$4:$A824),""))</f>
        <v/>
      </c>
      <c r="J825" s="32">
        <f>IF(B825="","",IFERROR(D825/I825,""))</f>
        <v/>
      </c>
      <c r="K825" s="71">
        <f>IF(B825="","",IFERROR(AVERAGEIFS($J$4:$J825,$B$4:$B825,B825,$J$4:$J825,"&gt;"&amp;0),""))</f>
        <v/>
      </c>
      <c r="L825" s="7" t="n"/>
    </row>
    <row r="826" ht="14" customHeight="1" s="72">
      <c r="A826" s="75" t="n">
        <v>46091</v>
      </c>
      <c r="B826" s="76" t="n">
        <v>16005</v>
      </c>
      <c r="C826" s="69">
        <f>IF(B826="","",IFERROR(INDEX(Client_List!$B:$B,MATCH(B826,Client_List!$A:$A,0)),"⚠ NOT FOUND"))</f>
        <v/>
      </c>
      <c r="D826" s="43" t="n">
        <v>736</v>
      </c>
      <c r="E826" s="32">
        <f>IF(B826="","",IFERROR(INDEX(Client_List!$C:$C,MATCH(VALUE(B826),Client_List!$A:$A,0)),""))</f>
        <v/>
      </c>
      <c r="F826" s="53">
        <f>IF(B826="","",IFERROR(INDEX(Client_List!$D:$D,MATCH(VALUE(B826),Client_List!$A:$A,0)),""))</f>
        <v/>
      </c>
      <c r="G826" s="53">
        <f>IF(B826="","",IFERROR(INDEX(Client_List!$K:$K,MATCH(VALUE(B826),Client_List!$A:$A,0)),""))</f>
        <v/>
      </c>
      <c r="H826" s="32">
        <f>IF(B826="","",IFERROR(INDEX(Client_List!$J:$J,MATCH(VALUE(B826),Client_List!$A:$A,0)),""))</f>
        <v/>
      </c>
      <c r="I826" s="70">
        <f>IF(B826="","",IFERROR(A826-LOOKUP(2,1/($B$4:$B825=B826),$A$4:$A825),""))</f>
        <v/>
      </c>
      <c r="J826" s="32">
        <f>IF(B826="","",IFERROR(D826/I826,""))</f>
        <v/>
      </c>
      <c r="K826" s="71">
        <f>IF(B826="","",IFERROR(AVERAGEIFS($J$4:$J826,$B$4:$B826,B826,$J$4:$J826,"&gt;"&amp;0),""))</f>
        <v/>
      </c>
      <c r="L826" s="4" t="n"/>
    </row>
    <row r="827" ht="14" customHeight="1" s="72">
      <c r="A827" s="75" t="n">
        <v>46091</v>
      </c>
      <c r="B827" s="76" t="n">
        <v>16008</v>
      </c>
      <c r="C827" s="69">
        <f>IF(B827="","",IFERROR(INDEX(Client_List!$B:$B,MATCH(B827,Client_List!$A:$A,0)),"⚠ NOT FOUND"))</f>
        <v/>
      </c>
      <c r="D827" s="43" t="n">
        <v>944</v>
      </c>
      <c r="E827" s="32">
        <f>IF(B827="","",IFERROR(INDEX(Client_List!$C:$C,MATCH(VALUE(B827),Client_List!$A:$A,0)),""))</f>
        <v/>
      </c>
      <c r="F827" s="53">
        <f>IF(B827="","",IFERROR(INDEX(Client_List!$D:$D,MATCH(VALUE(B827),Client_List!$A:$A,0)),""))</f>
        <v/>
      </c>
      <c r="G827" s="53">
        <f>IF(B827="","",IFERROR(INDEX(Client_List!$K:$K,MATCH(VALUE(B827),Client_List!$A:$A,0)),""))</f>
        <v/>
      </c>
      <c r="H827" s="32">
        <f>IF(B827="","",IFERROR(INDEX(Client_List!$J:$J,MATCH(VALUE(B827),Client_List!$A:$A,0)),""))</f>
        <v/>
      </c>
      <c r="I827" s="70">
        <f>IF(B827="","",IFERROR(A827-LOOKUP(2,1/($B$4:$B826=B827),$A$4:$A826),""))</f>
        <v/>
      </c>
      <c r="J827" s="32">
        <f>IF(B827="","",IFERROR(D827/I827,""))</f>
        <v/>
      </c>
      <c r="K827" s="71">
        <f>IF(B827="","",IFERROR(AVERAGEIFS($J$4:$J827,$B$4:$B827,B827,$J$4:$J827,"&gt;"&amp;0),""))</f>
        <v/>
      </c>
      <c r="L827" s="7" t="n"/>
    </row>
    <row r="828" ht="14" customHeight="1" s="72">
      <c r="A828" s="75" t="n">
        <v>46091</v>
      </c>
      <c r="B828" s="76" t="n">
        <v>16015</v>
      </c>
      <c r="C828" s="69">
        <f>IF(B828="","",IFERROR(INDEX(Client_List!$B:$B,MATCH(B828,Client_List!$A:$A,0)),"⚠ NOT FOUND"))</f>
        <v/>
      </c>
      <c r="D828" s="43" t="n">
        <v>1751</v>
      </c>
      <c r="E828" s="32">
        <f>IF(B828="","",IFERROR(INDEX(Client_List!$C:$C,MATCH(VALUE(B828),Client_List!$A:$A,0)),""))</f>
        <v/>
      </c>
      <c r="F828" s="53">
        <f>IF(B828="","",IFERROR(INDEX(Client_List!$D:$D,MATCH(VALUE(B828),Client_List!$A:$A,0)),""))</f>
        <v/>
      </c>
      <c r="G828" s="53">
        <f>IF(B828="","",IFERROR(INDEX(Client_List!$K:$K,MATCH(VALUE(B828),Client_List!$A:$A,0)),""))</f>
        <v/>
      </c>
      <c r="H828" s="32">
        <f>IF(B828="","",IFERROR(INDEX(Client_List!$J:$J,MATCH(VALUE(B828),Client_List!$A:$A,0)),""))</f>
        <v/>
      </c>
      <c r="I828" s="70">
        <f>IF(B828="","",IFERROR(A828-LOOKUP(2,1/($B$4:$B827=B828),$A$4:$A827),""))</f>
        <v/>
      </c>
      <c r="J828" s="32">
        <f>IF(B828="","",IFERROR(D828/I828,""))</f>
        <v/>
      </c>
      <c r="K828" s="71">
        <f>IF(B828="","",IFERROR(AVERAGEIFS($J$4:$J828,$B$4:$B828,B828,$J$4:$J828,"&gt;"&amp;0),""))</f>
        <v/>
      </c>
      <c r="L828" s="4" t="n"/>
    </row>
    <row r="829" ht="14" customHeight="1" s="72">
      <c r="A829" s="75" t="n">
        <v>46091</v>
      </c>
      <c r="B829" s="76" t="n">
        <v>18054</v>
      </c>
      <c r="C829" s="69">
        <f>IF(B829="","",IFERROR(INDEX(Client_List!$B:$B,MATCH(B829,Client_List!$A:$A,0)),"⚠ NOT FOUND"))</f>
        <v/>
      </c>
      <c r="D829" s="43" t="n">
        <v>905</v>
      </c>
      <c r="E829" s="32">
        <f>IF(B829="","",IFERROR(INDEX(Client_List!$C:$C,MATCH(VALUE(B829),Client_List!$A:$A,0)),""))</f>
        <v/>
      </c>
      <c r="F829" s="53">
        <f>IF(B829="","",IFERROR(INDEX(Client_List!$D:$D,MATCH(VALUE(B829),Client_List!$A:$A,0)),""))</f>
        <v/>
      </c>
      <c r="G829" s="53">
        <f>IF(B829="","",IFERROR(INDEX(Client_List!$K:$K,MATCH(VALUE(B829),Client_List!$A:$A,0)),""))</f>
        <v/>
      </c>
      <c r="H829" s="32">
        <f>IF(B829="","",IFERROR(INDEX(Client_List!$J:$J,MATCH(VALUE(B829),Client_List!$A:$A,0)),""))</f>
        <v/>
      </c>
      <c r="I829" s="70">
        <f>IF(B829="","",IFERROR(A829-LOOKUP(2,1/($B$4:$B828=B829),$A$4:$A828),""))</f>
        <v/>
      </c>
      <c r="J829" s="32">
        <f>IF(B829="","",IFERROR(D829/I829,""))</f>
        <v/>
      </c>
      <c r="K829" s="71">
        <f>IF(B829="","",IFERROR(AVERAGEIFS($J$4:$J829,$B$4:$B829,B829,$J$4:$J829,"&gt;"&amp;0),""))</f>
        <v/>
      </c>
      <c r="L829" s="7" t="n"/>
    </row>
    <row r="830" ht="14" customHeight="1" s="72">
      <c r="A830" s="75" t="n">
        <v>46091</v>
      </c>
      <c r="B830" s="76" t="n">
        <v>19022</v>
      </c>
      <c r="C830" s="69">
        <f>IF(B830="","",IFERROR(INDEX(Client_List!$B:$B,MATCH(B830,Client_List!$A:$A,0)),"⚠ NOT FOUND"))</f>
        <v/>
      </c>
      <c r="D830" s="43" t="n">
        <v>923</v>
      </c>
      <c r="E830" s="32">
        <f>IF(B830="","",IFERROR(INDEX(Client_List!$C:$C,MATCH(VALUE(B830),Client_List!$A:$A,0)),""))</f>
        <v/>
      </c>
      <c r="F830" s="53">
        <f>IF(B830="","",IFERROR(INDEX(Client_List!$D:$D,MATCH(VALUE(B830),Client_List!$A:$A,0)),""))</f>
        <v/>
      </c>
      <c r="G830" s="53">
        <f>IF(B830="","",IFERROR(INDEX(Client_List!$K:$K,MATCH(VALUE(B830),Client_List!$A:$A,0)),""))</f>
        <v/>
      </c>
      <c r="H830" s="32">
        <f>IF(B830="","",IFERROR(INDEX(Client_List!$J:$J,MATCH(VALUE(B830),Client_List!$A:$A,0)),""))</f>
        <v/>
      </c>
      <c r="I830" s="70">
        <f>IF(B830="","",IFERROR(A830-LOOKUP(2,1/($B$4:$B829=B830),$A$4:$A829),""))</f>
        <v/>
      </c>
      <c r="J830" s="32">
        <f>IF(B830="","",IFERROR(D830/I830,""))</f>
        <v/>
      </c>
      <c r="K830" s="71">
        <f>IF(B830="","",IFERROR(AVERAGEIFS($J$4:$J830,$B$4:$B830,B830,$J$4:$J830,"&gt;"&amp;0),""))</f>
        <v/>
      </c>
      <c r="L830" s="4" t="n"/>
    </row>
    <row r="831" ht="14" customHeight="1" s="72">
      <c r="A831" s="75" t="n">
        <v>46091</v>
      </c>
      <c r="B831" s="76" t="n">
        <v>19081</v>
      </c>
      <c r="C831" s="69">
        <f>IF(B831="","",IFERROR(INDEX(Client_List!$B:$B,MATCH(B831,Client_List!$A:$A,0)),"⚠ NOT FOUND"))</f>
        <v/>
      </c>
      <c r="D831" s="43" t="n">
        <v>320</v>
      </c>
      <c r="E831" s="32">
        <f>IF(B831="","",IFERROR(INDEX(Client_List!$C:$C,MATCH(VALUE(B831),Client_List!$A:$A,0)),""))</f>
        <v/>
      </c>
      <c r="F831" s="53">
        <f>IF(B831="","",IFERROR(INDEX(Client_List!$D:$D,MATCH(VALUE(B831),Client_List!$A:$A,0)),""))</f>
        <v/>
      </c>
      <c r="G831" s="53">
        <f>IF(B831="","",IFERROR(INDEX(Client_List!$K:$K,MATCH(VALUE(B831),Client_List!$A:$A,0)),""))</f>
        <v/>
      </c>
      <c r="H831" s="32">
        <f>IF(B831="","",IFERROR(INDEX(Client_List!$J:$J,MATCH(VALUE(B831),Client_List!$A:$A,0)),""))</f>
        <v/>
      </c>
      <c r="I831" s="70">
        <f>IF(B831="","",IFERROR(A831-LOOKUP(2,1/($B$4:$B830=B831),$A$4:$A830),""))</f>
        <v/>
      </c>
      <c r="J831" s="32">
        <f>IF(B831="","",IFERROR(D831/I831,""))</f>
        <v/>
      </c>
      <c r="K831" s="71">
        <f>IF(B831="","",IFERROR(AVERAGEIFS($J$4:$J831,$B$4:$B831,B831,$J$4:$J831,"&gt;"&amp;0),""))</f>
        <v/>
      </c>
      <c r="L831" s="7" t="n"/>
    </row>
    <row r="832" ht="14" customHeight="1" s="72">
      <c r="A832" s="75" t="n">
        <v>46091</v>
      </c>
      <c r="B832" s="76" t="n">
        <v>20093</v>
      </c>
      <c r="C832" s="69">
        <f>IF(B832="","",IFERROR(INDEX(Client_List!$B:$B,MATCH(B832,Client_List!$A:$A,0)),"⚠ NOT FOUND"))</f>
        <v/>
      </c>
      <c r="D832" s="43" t="n">
        <v>852</v>
      </c>
      <c r="E832" s="32">
        <f>IF(B832="","",IFERROR(INDEX(Client_List!$C:$C,MATCH(VALUE(B832),Client_List!$A:$A,0)),""))</f>
        <v/>
      </c>
      <c r="F832" s="53">
        <f>IF(B832="","",IFERROR(INDEX(Client_List!$D:$D,MATCH(VALUE(B832),Client_List!$A:$A,0)),""))</f>
        <v/>
      </c>
      <c r="G832" s="53">
        <f>IF(B832="","",IFERROR(INDEX(Client_List!$K:$K,MATCH(VALUE(B832),Client_List!$A:$A,0)),""))</f>
        <v/>
      </c>
      <c r="H832" s="32">
        <f>IF(B832="","",IFERROR(INDEX(Client_List!$J:$J,MATCH(VALUE(B832),Client_List!$A:$A,0)),""))</f>
        <v/>
      </c>
      <c r="I832" s="70">
        <f>IF(B832="","",IFERROR(A832-LOOKUP(2,1/($B$4:$B831=B832),$A$4:$A831),""))</f>
        <v/>
      </c>
      <c r="J832" s="32">
        <f>IF(B832="","",IFERROR(D832/I832,""))</f>
        <v/>
      </c>
      <c r="K832" s="71">
        <f>IF(B832="","",IFERROR(AVERAGEIFS($J$4:$J832,$B$4:$B832,B832,$J$4:$J832,"&gt;"&amp;0),""))</f>
        <v/>
      </c>
      <c r="L832" s="4" t="n"/>
    </row>
    <row r="833" ht="14" customHeight="1" s="72">
      <c r="A833" s="75" t="n">
        <v>46091</v>
      </c>
      <c r="B833" s="76" t="n">
        <v>20094</v>
      </c>
      <c r="C833" s="69">
        <f>IF(B833="","",IFERROR(INDEX(Client_List!$B:$B,MATCH(B833,Client_List!$A:$A,0)),"⚠ NOT FOUND"))</f>
        <v/>
      </c>
      <c r="D833" s="43" t="n">
        <v>658</v>
      </c>
      <c r="E833" s="32">
        <f>IF(B833="","",IFERROR(INDEX(Client_List!$C:$C,MATCH(VALUE(B833),Client_List!$A:$A,0)),""))</f>
        <v/>
      </c>
      <c r="F833" s="53">
        <f>IF(B833="","",IFERROR(INDEX(Client_List!$D:$D,MATCH(VALUE(B833),Client_List!$A:$A,0)),""))</f>
        <v/>
      </c>
      <c r="G833" s="53">
        <f>IF(B833="","",IFERROR(INDEX(Client_List!$K:$K,MATCH(VALUE(B833),Client_List!$A:$A,0)),""))</f>
        <v/>
      </c>
      <c r="H833" s="32">
        <f>IF(B833="","",IFERROR(INDEX(Client_List!$J:$J,MATCH(VALUE(B833),Client_List!$A:$A,0)),""))</f>
        <v/>
      </c>
      <c r="I833" s="70">
        <f>IF(B833="","",IFERROR(A833-LOOKUP(2,1/($B$4:$B832=B833),$A$4:$A832),""))</f>
        <v/>
      </c>
      <c r="J833" s="32">
        <f>IF(B833="","",IFERROR(D833/I833,""))</f>
        <v/>
      </c>
      <c r="K833" s="71">
        <f>IF(B833="","",IFERROR(AVERAGEIFS($J$4:$J833,$B$4:$B833,B833,$J$4:$J833,"&gt;"&amp;0),""))</f>
        <v/>
      </c>
      <c r="L833" s="7" t="n"/>
    </row>
    <row r="834" ht="14" customHeight="1" s="72">
      <c r="A834" s="75" t="n">
        <v>46092</v>
      </c>
      <c r="B834" s="76" t="n">
        <v>1000</v>
      </c>
      <c r="C834" s="69">
        <f>IF(B834="","",IFERROR(INDEX(Client_List!$B:$B,MATCH(B834,Client_List!$A:$A,0)),"⚠ NOT FOUND"))</f>
        <v/>
      </c>
      <c r="D834" s="43" t="n">
        <v>924</v>
      </c>
      <c r="E834" s="32">
        <f>IF(B834="","",IFERROR(INDEX(Client_List!$C:$C,MATCH(VALUE(B834),Client_List!$A:$A,0)),""))</f>
        <v/>
      </c>
      <c r="F834" s="53">
        <f>IF(B834="","",IFERROR(INDEX(Client_List!$D:$D,MATCH(VALUE(B834),Client_List!$A:$A,0)),""))</f>
        <v/>
      </c>
      <c r="G834" s="53">
        <f>IF(B834="","",IFERROR(INDEX(Client_List!$K:$K,MATCH(VALUE(B834),Client_List!$A:$A,0)),""))</f>
        <v/>
      </c>
      <c r="H834" s="32">
        <f>IF(B834="","",IFERROR(INDEX(Client_List!$J:$J,MATCH(VALUE(B834),Client_List!$A:$A,0)),""))</f>
        <v/>
      </c>
      <c r="I834" s="70">
        <f>IF(B834="","",IFERROR(A834-LOOKUP(2,1/($B$4:$B833=B834),$A$4:$A833),""))</f>
        <v/>
      </c>
      <c r="J834" s="32">
        <f>IF(B834="","",IFERROR(D834/I834,""))</f>
        <v/>
      </c>
      <c r="K834" s="71">
        <f>IF(B834="","",IFERROR(AVERAGEIFS($J$4:$J834,$B$4:$B834,B834,$J$4:$J834,"&gt;"&amp;0),""))</f>
        <v/>
      </c>
      <c r="L834" s="4" t="n"/>
    </row>
    <row r="835" ht="14" customHeight="1" s="72">
      <c r="A835" s="75" t="n">
        <v>46092</v>
      </c>
      <c r="B835" s="76" t="n">
        <v>1018</v>
      </c>
      <c r="C835" s="69">
        <f>IF(B835="","",IFERROR(INDEX(Client_List!$B:$B,MATCH(B835,Client_List!$A:$A,0)),"⚠ NOT FOUND"))</f>
        <v/>
      </c>
      <c r="D835" s="43" t="n">
        <v>771</v>
      </c>
      <c r="E835" s="32">
        <f>IF(B835="","",IFERROR(INDEX(Client_List!$C:$C,MATCH(VALUE(B835),Client_List!$A:$A,0)),""))</f>
        <v/>
      </c>
      <c r="F835" s="53">
        <f>IF(B835="","",IFERROR(INDEX(Client_List!$D:$D,MATCH(VALUE(B835),Client_List!$A:$A,0)),""))</f>
        <v/>
      </c>
      <c r="G835" s="53">
        <f>IF(B835="","",IFERROR(INDEX(Client_List!$K:$K,MATCH(VALUE(B835),Client_List!$A:$A,0)),""))</f>
        <v/>
      </c>
      <c r="H835" s="32">
        <f>IF(B835="","",IFERROR(INDEX(Client_List!$J:$J,MATCH(VALUE(B835),Client_List!$A:$A,0)),""))</f>
        <v/>
      </c>
      <c r="I835" s="70">
        <f>IF(B835="","",IFERROR(A835-LOOKUP(2,1/($B$4:$B834=B835),$A$4:$A834),""))</f>
        <v/>
      </c>
      <c r="J835" s="32">
        <f>IF(B835="","",IFERROR(D835/I835,""))</f>
        <v/>
      </c>
      <c r="K835" s="71">
        <f>IF(B835="","",IFERROR(AVERAGEIFS($J$4:$J835,$B$4:$B835,B835,$J$4:$J835,"&gt;"&amp;0),""))</f>
        <v/>
      </c>
      <c r="L835" s="7" t="n"/>
    </row>
    <row r="836" ht="14" customHeight="1" s="72">
      <c r="A836" s="75" t="n">
        <v>46092</v>
      </c>
      <c r="B836" s="76" t="n">
        <v>1081</v>
      </c>
      <c r="C836" s="69">
        <f>IF(B836="","",IFERROR(INDEX(Client_List!$B:$B,MATCH(B836,Client_List!$A:$A,0)),"⚠ NOT FOUND"))</f>
        <v/>
      </c>
      <c r="D836" s="43" t="n">
        <v>299</v>
      </c>
      <c r="E836" s="32">
        <f>IF(B836="","",IFERROR(INDEX(Client_List!$C:$C,MATCH(VALUE(B836),Client_List!$A:$A,0)),""))</f>
        <v/>
      </c>
      <c r="F836" s="53">
        <f>IF(B836="","",IFERROR(INDEX(Client_List!$D:$D,MATCH(VALUE(B836),Client_List!$A:$A,0)),""))</f>
        <v/>
      </c>
      <c r="G836" s="53">
        <f>IF(B836="","",IFERROR(INDEX(Client_List!$K:$K,MATCH(VALUE(B836),Client_List!$A:$A,0)),""))</f>
        <v/>
      </c>
      <c r="H836" s="32">
        <f>IF(B836="","",IFERROR(INDEX(Client_List!$J:$J,MATCH(VALUE(B836),Client_List!$A:$A,0)),""))</f>
        <v/>
      </c>
      <c r="I836" s="70">
        <f>IF(B836="","",IFERROR(A836-LOOKUP(2,1/($B$4:$B835=B836),$A$4:$A835),""))</f>
        <v/>
      </c>
      <c r="J836" s="32">
        <f>IF(B836="","",IFERROR(D836/I836,""))</f>
        <v/>
      </c>
      <c r="K836" s="71">
        <f>IF(B836="","",IFERROR(AVERAGEIFS($J$4:$J836,$B$4:$B836,B836,$J$4:$J836,"&gt;"&amp;0),""))</f>
        <v/>
      </c>
      <c r="L836" s="4" t="n"/>
    </row>
    <row r="837" ht="14" customHeight="1" s="72">
      <c r="A837" s="75" t="n">
        <v>46092</v>
      </c>
      <c r="B837" s="76" t="n">
        <v>2021</v>
      </c>
      <c r="C837" s="69">
        <f>IF(B837="","",IFERROR(INDEX(Client_List!$B:$B,MATCH(B837,Client_List!$A:$A,0)),"⚠ NOT FOUND"))</f>
        <v/>
      </c>
      <c r="D837" s="43" t="n">
        <v>340</v>
      </c>
      <c r="E837" s="32">
        <f>IF(B837="","",IFERROR(INDEX(Client_List!$C:$C,MATCH(VALUE(B837),Client_List!$A:$A,0)),""))</f>
        <v/>
      </c>
      <c r="F837" s="53">
        <f>IF(B837="","",IFERROR(INDEX(Client_List!$D:$D,MATCH(VALUE(B837),Client_List!$A:$A,0)),""))</f>
        <v/>
      </c>
      <c r="G837" s="53">
        <f>IF(B837="","",IFERROR(INDEX(Client_List!$K:$K,MATCH(VALUE(B837),Client_List!$A:$A,0)),""))</f>
        <v/>
      </c>
      <c r="H837" s="32">
        <f>IF(B837="","",IFERROR(INDEX(Client_List!$J:$J,MATCH(VALUE(B837),Client_List!$A:$A,0)),""))</f>
        <v/>
      </c>
      <c r="I837" s="70">
        <f>IF(B837="","",IFERROR(A837-LOOKUP(2,1/($B$4:$B836=B837),$A$4:$A836),""))</f>
        <v/>
      </c>
      <c r="J837" s="32">
        <f>IF(B837="","",IFERROR(D837/I837,""))</f>
        <v/>
      </c>
      <c r="K837" s="71">
        <f>IF(B837="","",IFERROR(AVERAGEIFS($J$4:$J837,$B$4:$B837,B837,$J$4:$J837,"&gt;"&amp;0),""))</f>
        <v/>
      </c>
      <c r="L837" s="7" t="n"/>
    </row>
    <row r="838" ht="14" customHeight="1" s="72">
      <c r="A838" s="75" t="n">
        <v>46092</v>
      </c>
      <c r="B838" s="76" t="n">
        <v>5006</v>
      </c>
      <c r="C838" s="69">
        <f>IF(B838="","",IFERROR(INDEX(Client_List!$B:$B,MATCH(B838,Client_List!$A:$A,0)),"⚠ NOT FOUND"))</f>
        <v/>
      </c>
      <c r="D838" s="43" t="n">
        <v>411</v>
      </c>
      <c r="E838" s="32">
        <f>IF(B838="","",IFERROR(INDEX(Client_List!$C:$C,MATCH(VALUE(B838),Client_List!$A:$A,0)),""))</f>
        <v/>
      </c>
      <c r="F838" s="53">
        <f>IF(B838="","",IFERROR(INDEX(Client_List!$D:$D,MATCH(VALUE(B838),Client_List!$A:$A,0)),""))</f>
        <v/>
      </c>
      <c r="G838" s="53">
        <f>IF(B838="","",IFERROR(INDEX(Client_List!$K:$K,MATCH(VALUE(B838),Client_List!$A:$A,0)),""))</f>
        <v/>
      </c>
      <c r="H838" s="32">
        <f>IF(B838="","",IFERROR(INDEX(Client_List!$J:$J,MATCH(VALUE(B838),Client_List!$A:$A,0)),""))</f>
        <v/>
      </c>
      <c r="I838" s="70">
        <f>IF(B838="","",IFERROR(A838-LOOKUP(2,1/($B$4:$B837=B838),$A$4:$A837),""))</f>
        <v/>
      </c>
      <c r="J838" s="32">
        <f>IF(B838="","",IFERROR(D838/I838,""))</f>
        <v/>
      </c>
      <c r="K838" s="71">
        <f>IF(B838="","",IFERROR(AVERAGEIFS($J$4:$J838,$B$4:$B838,B838,$J$4:$J838,"&gt;"&amp;0),""))</f>
        <v/>
      </c>
      <c r="L838" s="4" t="n"/>
    </row>
    <row r="839" ht="14" customHeight="1" s="72">
      <c r="A839" s="75" t="n">
        <v>46092</v>
      </c>
      <c r="B839" s="76" t="n">
        <v>6109</v>
      </c>
      <c r="C839" s="69">
        <f>IF(B839="","",IFERROR(INDEX(Client_List!$B:$B,MATCH(B839,Client_List!$A:$A,0)),"⚠ NOT FOUND"))</f>
        <v/>
      </c>
      <c r="D839" s="43" t="n">
        <v>661</v>
      </c>
      <c r="E839" s="32">
        <f>IF(B839="","",IFERROR(INDEX(Client_List!$C:$C,MATCH(VALUE(B839),Client_List!$A:$A,0)),""))</f>
        <v/>
      </c>
      <c r="F839" s="53">
        <f>IF(B839="","",IFERROR(INDEX(Client_List!$D:$D,MATCH(VALUE(B839),Client_List!$A:$A,0)),""))</f>
        <v/>
      </c>
      <c r="G839" s="53">
        <f>IF(B839="","",IFERROR(INDEX(Client_List!$K:$K,MATCH(VALUE(B839),Client_List!$A:$A,0)),""))</f>
        <v/>
      </c>
      <c r="H839" s="32">
        <f>IF(B839="","",IFERROR(INDEX(Client_List!$J:$J,MATCH(VALUE(B839),Client_List!$A:$A,0)),""))</f>
        <v/>
      </c>
      <c r="I839" s="70">
        <f>IF(B839="","",IFERROR(A839-LOOKUP(2,1/($B$4:$B838=B839),$A$4:$A838),""))</f>
        <v/>
      </c>
      <c r="J839" s="32">
        <f>IF(B839="","",IFERROR(D839/I839,""))</f>
        <v/>
      </c>
      <c r="K839" s="71">
        <f>IF(B839="","",IFERROR(AVERAGEIFS($J$4:$J839,$B$4:$B839,B839,$J$4:$J839,"&gt;"&amp;0),""))</f>
        <v/>
      </c>
      <c r="L839" s="7" t="n"/>
    </row>
    <row r="840" ht="14" customHeight="1" s="72">
      <c r="A840" s="75" t="n">
        <v>46092</v>
      </c>
      <c r="B840" s="76" t="n">
        <v>7002</v>
      </c>
      <c r="C840" s="69">
        <f>IF(B840="","",IFERROR(INDEX(Client_List!$B:$B,MATCH(B840,Client_List!$A:$A,0)),"⚠ NOT FOUND"))</f>
        <v/>
      </c>
      <c r="D840" s="43" t="n">
        <v>488</v>
      </c>
      <c r="E840" s="32">
        <f>IF(B840="","",IFERROR(INDEX(Client_List!$C:$C,MATCH(VALUE(B840),Client_List!$A:$A,0)),""))</f>
        <v/>
      </c>
      <c r="F840" s="53">
        <f>IF(B840="","",IFERROR(INDEX(Client_List!$D:$D,MATCH(VALUE(B840),Client_List!$A:$A,0)),""))</f>
        <v/>
      </c>
      <c r="G840" s="53">
        <f>IF(B840="","",IFERROR(INDEX(Client_List!$K:$K,MATCH(VALUE(B840),Client_List!$A:$A,0)),""))</f>
        <v/>
      </c>
      <c r="H840" s="32">
        <f>IF(B840="","",IFERROR(INDEX(Client_List!$J:$J,MATCH(VALUE(B840),Client_List!$A:$A,0)),""))</f>
        <v/>
      </c>
      <c r="I840" s="70">
        <f>IF(B840="","",IFERROR(A840-LOOKUP(2,1/($B$4:$B839=B840),$A$4:$A839),""))</f>
        <v/>
      </c>
      <c r="J840" s="32">
        <f>IF(B840="","",IFERROR(D840/I840,""))</f>
        <v/>
      </c>
      <c r="K840" s="71">
        <f>IF(B840="","",IFERROR(AVERAGEIFS($J$4:$J840,$B$4:$B840,B840,$J$4:$J840,"&gt;"&amp;0),""))</f>
        <v/>
      </c>
      <c r="L840" s="4" t="n"/>
    </row>
    <row r="841" ht="14" customHeight="1" s="72">
      <c r="A841" s="75" t="n">
        <v>46092</v>
      </c>
      <c r="B841" s="76" t="n">
        <v>10001</v>
      </c>
      <c r="C841" s="69">
        <f>IF(B841="","",IFERROR(INDEX(Client_List!$B:$B,MATCH(B841,Client_List!$A:$A,0)),"⚠ NOT FOUND"))</f>
        <v/>
      </c>
      <c r="D841" s="43" t="n">
        <v>649</v>
      </c>
      <c r="E841" s="32">
        <f>IF(B841="","",IFERROR(INDEX(Client_List!$C:$C,MATCH(VALUE(B841),Client_List!$A:$A,0)),""))</f>
        <v/>
      </c>
      <c r="F841" s="53">
        <f>IF(B841="","",IFERROR(INDEX(Client_List!$D:$D,MATCH(VALUE(B841),Client_List!$A:$A,0)),""))</f>
        <v/>
      </c>
      <c r="G841" s="53">
        <f>IF(B841="","",IFERROR(INDEX(Client_List!$K:$K,MATCH(VALUE(B841),Client_List!$A:$A,0)),""))</f>
        <v/>
      </c>
      <c r="H841" s="32">
        <f>IF(B841="","",IFERROR(INDEX(Client_List!$J:$J,MATCH(VALUE(B841),Client_List!$A:$A,0)),""))</f>
        <v/>
      </c>
      <c r="I841" s="70">
        <f>IF(B841="","",IFERROR(A841-LOOKUP(2,1/($B$4:$B840=B841),$A$4:$A840),""))</f>
        <v/>
      </c>
      <c r="J841" s="32">
        <f>IF(B841="","",IFERROR(D841/I841,""))</f>
        <v/>
      </c>
      <c r="K841" s="71">
        <f>IF(B841="","",IFERROR(AVERAGEIFS($J$4:$J841,$B$4:$B841,B841,$J$4:$J841,"&gt;"&amp;0),""))</f>
        <v/>
      </c>
      <c r="L841" s="7" t="n"/>
    </row>
    <row r="842" ht="14" customHeight="1" s="72">
      <c r="A842" s="75" t="n">
        <v>46092</v>
      </c>
      <c r="B842" s="76" t="n">
        <v>12048</v>
      </c>
      <c r="C842" s="69">
        <f>IF(B842="","",IFERROR(INDEX(Client_List!$B:$B,MATCH(B842,Client_List!$A:$A,0)),"⚠ NOT FOUND"))</f>
        <v/>
      </c>
      <c r="D842" s="43" t="n">
        <v>984</v>
      </c>
      <c r="E842" s="32">
        <f>IF(B842="","",IFERROR(INDEX(Client_List!$C:$C,MATCH(VALUE(B842),Client_List!$A:$A,0)),""))</f>
        <v/>
      </c>
      <c r="F842" s="53">
        <f>IF(B842="","",IFERROR(INDEX(Client_List!$D:$D,MATCH(VALUE(B842),Client_List!$A:$A,0)),""))</f>
        <v/>
      </c>
      <c r="G842" s="53">
        <f>IF(B842="","",IFERROR(INDEX(Client_List!$K:$K,MATCH(VALUE(B842),Client_List!$A:$A,0)),""))</f>
        <v/>
      </c>
      <c r="H842" s="32">
        <f>IF(B842="","",IFERROR(INDEX(Client_List!$J:$J,MATCH(VALUE(B842),Client_List!$A:$A,0)),""))</f>
        <v/>
      </c>
      <c r="I842" s="70">
        <f>IF(B842="","",IFERROR(A842-LOOKUP(2,1/($B$4:$B841=B842),$A$4:$A841),""))</f>
        <v/>
      </c>
      <c r="J842" s="32">
        <f>IF(B842="","",IFERROR(D842/I842,""))</f>
        <v/>
      </c>
      <c r="K842" s="71">
        <f>IF(B842="","",IFERROR(AVERAGEIFS($J$4:$J842,$B$4:$B842,B842,$J$4:$J842,"&gt;"&amp;0),""))</f>
        <v/>
      </c>
      <c r="L842" s="4" t="n"/>
    </row>
    <row r="843" ht="14" customHeight="1" s="72">
      <c r="A843" s="75" t="n">
        <v>46092</v>
      </c>
      <c r="B843" s="76" t="n">
        <v>12055</v>
      </c>
      <c r="C843" s="69">
        <f>IF(B843="","",IFERROR(INDEX(Client_List!$B:$B,MATCH(B843,Client_List!$A:$A,0)),"⚠ NOT FOUND"))</f>
        <v/>
      </c>
      <c r="D843" s="43" t="n">
        <v>897</v>
      </c>
      <c r="E843" s="32">
        <f>IF(B843="","",IFERROR(INDEX(Client_List!$C:$C,MATCH(VALUE(B843),Client_List!$A:$A,0)),""))</f>
        <v/>
      </c>
      <c r="F843" s="53">
        <f>IF(B843="","",IFERROR(INDEX(Client_List!$D:$D,MATCH(VALUE(B843),Client_List!$A:$A,0)),""))</f>
        <v/>
      </c>
      <c r="G843" s="53">
        <f>IF(B843="","",IFERROR(INDEX(Client_List!$K:$K,MATCH(VALUE(B843),Client_List!$A:$A,0)),""))</f>
        <v/>
      </c>
      <c r="H843" s="32">
        <f>IF(B843="","",IFERROR(INDEX(Client_List!$J:$J,MATCH(VALUE(B843),Client_List!$A:$A,0)),""))</f>
        <v/>
      </c>
      <c r="I843" s="70">
        <f>IF(B843="","",IFERROR(A843-LOOKUP(2,1/($B$4:$B842=B843),$A$4:$A842),""))</f>
        <v/>
      </c>
      <c r="J843" s="32">
        <f>IF(B843="","",IFERROR(D843/I843,""))</f>
        <v/>
      </c>
      <c r="K843" s="71">
        <f>IF(B843="","",IFERROR(AVERAGEIFS($J$4:$J843,$B$4:$B843,B843,$J$4:$J843,"&gt;"&amp;0),""))</f>
        <v/>
      </c>
      <c r="L843" s="7" t="n"/>
    </row>
    <row r="844" ht="14" customHeight="1" s="72">
      <c r="A844" s="75" t="n">
        <v>46092</v>
      </c>
      <c r="B844" s="76" t="n">
        <v>15018</v>
      </c>
      <c r="C844" s="69">
        <f>IF(B844="","",IFERROR(INDEX(Client_List!$B:$B,MATCH(B844,Client_List!$A:$A,0)),"⚠ NOT FOUND"))</f>
        <v/>
      </c>
      <c r="D844" s="43" t="n">
        <v>509</v>
      </c>
      <c r="E844" s="32">
        <f>IF(B844="","",IFERROR(INDEX(Client_List!$C:$C,MATCH(VALUE(B844),Client_List!$A:$A,0)),""))</f>
        <v/>
      </c>
      <c r="F844" s="53">
        <f>IF(B844="","",IFERROR(INDEX(Client_List!$D:$D,MATCH(VALUE(B844),Client_List!$A:$A,0)),""))</f>
        <v/>
      </c>
      <c r="G844" s="53">
        <f>IF(B844="","",IFERROR(INDEX(Client_List!$K:$K,MATCH(VALUE(B844),Client_List!$A:$A,0)),""))</f>
        <v/>
      </c>
      <c r="H844" s="32">
        <f>IF(B844="","",IFERROR(INDEX(Client_List!$J:$J,MATCH(VALUE(B844),Client_List!$A:$A,0)),""))</f>
        <v/>
      </c>
      <c r="I844" s="70">
        <f>IF(B844="","",IFERROR(A844-LOOKUP(2,1/($B$4:$B843=B844),$A$4:$A843),""))</f>
        <v/>
      </c>
      <c r="J844" s="32">
        <f>IF(B844="","",IFERROR(D844/I844,""))</f>
        <v/>
      </c>
      <c r="K844" s="71">
        <f>IF(B844="","",IFERROR(AVERAGEIFS($J$4:$J844,$B$4:$B844,B844,$J$4:$J844,"&gt;"&amp;0),""))</f>
        <v/>
      </c>
      <c r="L844" s="4" t="n"/>
    </row>
    <row r="845" ht="14" customHeight="1" s="72">
      <c r="A845" s="75" t="n">
        <v>46092</v>
      </c>
      <c r="B845" s="76" t="n">
        <v>16019</v>
      </c>
      <c r="C845" s="69">
        <f>IF(B845="","",IFERROR(INDEX(Client_List!$B:$B,MATCH(B845,Client_List!$A:$A,0)),"⚠ NOT FOUND"))</f>
        <v/>
      </c>
      <c r="D845" s="43" t="n">
        <v>827</v>
      </c>
      <c r="E845" s="32">
        <f>IF(B845="","",IFERROR(INDEX(Client_List!$C:$C,MATCH(VALUE(B845),Client_List!$A:$A,0)),""))</f>
        <v/>
      </c>
      <c r="F845" s="53">
        <f>IF(B845="","",IFERROR(INDEX(Client_List!$D:$D,MATCH(VALUE(B845),Client_List!$A:$A,0)),""))</f>
        <v/>
      </c>
      <c r="G845" s="53">
        <f>IF(B845="","",IFERROR(INDEX(Client_List!$K:$K,MATCH(VALUE(B845),Client_List!$A:$A,0)),""))</f>
        <v/>
      </c>
      <c r="H845" s="32">
        <f>IF(B845="","",IFERROR(INDEX(Client_List!$J:$J,MATCH(VALUE(B845),Client_List!$A:$A,0)),""))</f>
        <v/>
      </c>
      <c r="I845" s="70">
        <f>IF(B845="","",IFERROR(A845-LOOKUP(2,1/($B$4:$B844=B845),$A$4:$A844),""))</f>
        <v/>
      </c>
      <c r="J845" s="32">
        <f>IF(B845="","",IFERROR(D845/I845,""))</f>
        <v/>
      </c>
      <c r="K845" s="71">
        <f>IF(B845="","",IFERROR(AVERAGEIFS($J$4:$J845,$B$4:$B845,B845,$J$4:$J845,"&gt;"&amp;0),""))</f>
        <v/>
      </c>
      <c r="L845" s="7" t="n"/>
    </row>
    <row r="846" ht="14" customHeight="1" s="72">
      <c r="A846" s="75" t="n">
        <v>46092</v>
      </c>
      <c r="B846" s="76" t="n">
        <v>20033</v>
      </c>
      <c r="C846" s="69">
        <f>IF(B846="","",IFERROR(INDEX(Client_List!$B:$B,MATCH(B846,Client_List!$A:$A,0)),"⚠ NOT FOUND"))</f>
        <v/>
      </c>
      <c r="D846" s="43" t="n">
        <v>1031</v>
      </c>
      <c r="E846" s="32">
        <f>IF(B846="","",IFERROR(INDEX(Client_List!$C:$C,MATCH(VALUE(B846),Client_List!$A:$A,0)),""))</f>
        <v/>
      </c>
      <c r="F846" s="53">
        <f>IF(B846="","",IFERROR(INDEX(Client_List!$D:$D,MATCH(VALUE(B846),Client_List!$A:$A,0)),""))</f>
        <v/>
      </c>
      <c r="G846" s="53">
        <f>IF(B846="","",IFERROR(INDEX(Client_List!$K:$K,MATCH(VALUE(B846),Client_List!$A:$A,0)),""))</f>
        <v/>
      </c>
      <c r="H846" s="32">
        <f>IF(B846="","",IFERROR(INDEX(Client_List!$J:$J,MATCH(VALUE(B846),Client_List!$A:$A,0)),""))</f>
        <v/>
      </c>
      <c r="I846" s="70">
        <f>IF(B846="","",IFERROR(A846-LOOKUP(2,1/($B$4:$B845=B846),$A$4:$A845),""))</f>
        <v/>
      </c>
      <c r="J846" s="32">
        <f>IF(B846="","",IFERROR(D846/I846,""))</f>
        <v/>
      </c>
      <c r="K846" s="71">
        <f>IF(B846="","",IFERROR(AVERAGEIFS($J$4:$J846,$B$4:$B846,B846,$J$4:$J846,"&gt;"&amp;0),""))</f>
        <v/>
      </c>
      <c r="L846" s="4" t="n"/>
    </row>
    <row r="847" ht="14" customHeight="1" s="72">
      <c r="A847" s="75" t="n">
        <v>46092</v>
      </c>
      <c r="B847" s="76" t="n">
        <v>20090</v>
      </c>
      <c r="C847" s="69">
        <f>IF(B847="","",IFERROR(INDEX(Client_List!$B:$B,MATCH(B847,Client_List!$A:$A,0)),"⚠ NOT FOUND"))</f>
        <v/>
      </c>
      <c r="D847" s="43" t="n">
        <v>932</v>
      </c>
      <c r="E847" s="32">
        <f>IF(B847="","",IFERROR(INDEX(Client_List!$C:$C,MATCH(VALUE(B847),Client_List!$A:$A,0)),""))</f>
        <v/>
      </c>
      <c r="F847" s="53">
        <f>IF(B847="","",IFERROR(INDEX(Client_List!$D:$D,MATCH(VALUE(B847),Client_List!$A:$A,0)),""))</f>
        <v/>
      </c>
      <c r="G847" s="53">
        <f>IF(B847="","",IFERROR(INDEX(Client_List!$K:$K,MATCH(VALUE(B847),Client_List!$A:$A,0)),""))</f>
        <v/>
      </c>
      <c r="H847" s="32">
        <f>IF(B847="","",IFERROR(INDEX(Client_List!$J:$J,MATCH(VALUE(B847),Client_List!$A:$A,0)),""))</f>
        <v/>
      </c>
      <c r="I847" s="70">
        <f>IF(B847="","",IFERROR(A847-LOOKUP(2,1/($B$4:$B846=B847),$A$4:$A846),""))</f>
        <v/>
      </c>
      <c r="J847" s="32">
        <f>IF(B847="","",IFERROR(D847/I847,""))</f>
        <v/>
      </c>
      <c r="K847" s="71">
        <f>IF(B847="","",IFERROR(AVERAGEIFS($J$4:$J847,$B$4:$B847,B847,$J$4:$J847,"&gt;"&amp;0),""))</f>
        <v/>
      </c>
      <c r="L847" s="7" t="n"/>
    </row>
    <row r="848" ht="14" customHeight="1" s="72">
      <c r="A848" s="75" t="n">
        <v>46092</v>
      </c>
      <c r="B848" s="76" t="n">
        <v>20095</v>
      </c>
      <c r="C848" s="69">
        <f>IF(B848="","",IFERROR(INDEX(Client_List!$B:$B,MATCH(B848,Client_List!$A:$A,0)),"⚠ NOT FOUND"))</f>
        <v/>
      </c>
      <c r="D848" s="43" t="n">
        <v>804</v>
      </c>
      <c r="E848" s="32">
        <f>IF(B848="","",IFERROR(INDEX(Client_List!$C:$C,MATCH(VALUE(B848),Client_List!$A:$A,0)),""))</f>
        <v/>
      </c>
      <c r="F848" s="53">
        <f>IF(B848="","",IFERROR(INDEX(Client_List!$D:$D,MATCH(VALUE(B848),Client_List!$A:$A,0)),""))</f>
        <v/>
      </c>
      <c r="G848" s="53">
        <f>IF(B848="","",IFERROR(INDEX(Client_List!$K:$K,MATCH(VALUE(B848),Client_List!$A:$A,0)),""))</f>
        <v/>
      </c>
      <c r="H848" s="32">
        <f>IF(B848="","",IFERROR(INDEX(Client_List!$J:$J,MATCH(VALUE(B848),Client_List!$A:$A,0)),""))</f>
        <v/>
      </c>
      <c r="I848" s="70">
        <f>IF(B848="","",IFERROR(A848-LOOKUP(2,1/($B$4:$B847=B848),$A$4:$A847),""))</f>
        <v/>
      </c>
      <c r="J848" s="32">
        <f>IF(B848="","",IFERROR(D848/I848,""))</f>
        <v/>
      </c>
      <c r="K848" s="71">
        <f>IF(B848="","",IFERROR(AVERAGEIFS($J$4:$J848,$B$4:$B848,B848,$J$4:$J848,"&gt;"&amp;0),""))</f>
        <v/>
      </c>
      <c r="L848" s="4" t="n"/>
    </row>
    <row r="849" ht="14" customHeight="1" s="72">
      <c r="A849" s="75" t="n">
        <v>46093</v>
      </c>
      <c r="B849" s="76" t="n">
        <v>1083</v>
      </c>
      <c r="C849" s="69">
        <f>IF(B849="","",IFERROR(INDEX(Client_List!$B:$B,MATCH(B849,Client_List!$A:$A,0)),"⚠ NOT FOUND"))</f>
        <v/>
      </c>
      <c r="D849" s="43" t="n">
        <v>263</v>
      </c>
      <c r="E849" s="32">
        <f>IF(B849="","",IFERROR(INDEX(Client_List!$C:$C,MATCH(VALUE(B849),Client_List!$A:$A,0)),""))</f>
        <v/>
      </c>
      <c r="F849" s="53">
        <f>IF(B849="","",IFERROR(INDEX(Client_List!$D:$D,MATCH(VALUE(B849),Client_List!$A:$A,0)),""))</f>
        <v/>
      </c>
      <c r="G849" s="53">
        <f>IF(B849="","",IFERROR(INDEX(Client_List!$K:$K,MATCH(VALUE(B849),Client_List!$A:$A,0)),""))</f>
        <v/>
      </c>
      <c r="H849" s="32">
        <f>IF(B849="","",IFERROR(INDEX(Client_List!$J:$J,MATCH(VALUE(B849),Client_List!$A:$A,0)),""))</f>
        <v/>
      </c>
      <c r="I849" s="70">
        <f>IF(B849="","",IFERROR(A849-LOOKUP(2,1/($B$4:$B848=B849),$A$4:$A848),""))</f>
        <v/>
      </c>
      <c r="J849" s="32">
        <f>IF(B849="","",IFERROR(D849/I849,""))</f>
        <v/>
      </c>
      <c r="K849" s="71">
        <f>IF(B849="","",IFERROR(AVERAGEIFS($J$4:$J849,$B$4:$B849,B849,$J$4:$J849,"&gt;"&amp;0),""))</f>
        <v/>
      </c>
      <c r="L849" s="7" t="n"/>
    </row>
    <row r="850" ht="14" customHeight="1" s="72">
      <c r="A850" s="75" t="n">
        <v>46093</v>
      </c>
      <c r="B850" s="76" t="n">
        <v>3046</v>
      </c>
      <c r="C850" s="69">
        <f>IF(B850="","",IFERROR(INDEX(Client_List!$B:$B,MATCH(B850,Client_List!$A:$A,0)),"⚠ NOT FOUND"))</f>
        <v/>
      </c>
      <c r="D850" s="43" t="n">
        <v>221</v>
      </c>
      <c r="E850" s="32">
        <f>IF(B850="","",IFERROR(INDEX(Client_List!$C:$C,MATCH(VALUE(B850),Client_List!$A:$A,0)),""))</f>
        <v/>
      </c>
      <c r="F850" s="53">
        <f>IF(B850="","",IFERROR(INDEX(Client_List!$D:$D,MATCH(VALUE(B850),Client_List!$A:$A,0)),""))</f>
        <v/>
      </c>
      <c r="G850" s="53">
        <f>IF(B850="","",IFERROR(INDEX(Client_List!$K:$K,MATCH(VALUE(B850),Client_List!$A:$A,0)),""))</f>
        <v/>
      </c>
      <c r="H850" s="32">
        <f>IF(B850="","",IFERROR(INDEX(Client_List!$J:$J,MATCH(VALUE(B850),Client_List!$A:$A,0)),""))</f>
        <v/>
      </c>
      <c r="I850" s="70">
        <f>IF(B850="","",IFERROR(A850-LOOKUP(2,1/($B$4:$B849=B850),$A$4:$A849),""))</f>
        <v/>
      </c>
      <c r="J850" s="32">
        <f>IF(B850="","",IFERROR(D850/I850,""))</f>
        <v/>
      </c>
      <c r="K850" s="71">
        <f>IF(B850="","",IFERROR(AVERAGEIFS($J$4:$J850,$B$4:$B850,B850,$J$4:$J850,"&gt;"&amp;0),""))</f>
        <v/>
      </c>
      <c r="L850" s="4" t="n"/>
    </row>
    <row r="851" ht="14" customHeight="1" s="72">
      <c r="A851" s="75" t="n">
        <v>46093</v>
      </c>
      <c r="B851" s="76" t="n">
        <v>4010</v>
      </c>
      <c r="C851" s="69">
        <f>IF(B851="","",IFERROR(INDEX(Client_List!$B:$B,MATCH(B851,Client_List!$A:$A,0)),"⚠ NOT FOUND"))</f>
        <v/>
      </c>
      <c r="D851" s="43" t="n">
        <v>468</v>
      </c>
      <c r="E851" s="32">
        <f>IF(B851="","",IFERROR(INDEX(Client_List!$C:$C,MATCH(VALUE(B851),Client_List!$A:$A,0)),""))</f>
        <v/>
      </c>
      <c r="F851" s="53">
        <f>IF(B851="","",IFERROR(INDEX(Client_List!$D:$D,MATCH(VALUE(B851),Client_List!$A:$A,0)),""))</f>
        <v/>
      </c>
      <c r="G851" s="53">
        <f>IF(B851="","",IFERROR(INDEX(Client_List!$K:$K,MATCH(VALUE(B851),Client_List!$A:$A,0)),""))</f>
        <v/>
      </c>
      <c r="H851" s="32">
        <f>IF(B851="","",IFERROR(INDEX(Client_List!$J:$J,MATCH(VALUE(B851),Client_List!$A:$A,0)),""))</f>
        <v/>
      </c>
      <c r="I851" s="70">
        <f>IF(B851="","",IFERROR(A851-LOOKUP(2,1/($B$4:$B850=B851),$A$4:$A850),""))</f>
        <v/>
      </c>
      <c r="J851" s="32">
        <f>IF(B851="","",IFERROR(D851/I851,""))</f>
        <v/>
      </c>
      <c r="K851" s="71">
        <f>IF(B851="","",IFERROR(AVERAGEIFS($J$4:$J851,$B$4:$B851,B851,$J$4:$J851,"&gt;"&amp;0),""))</f>
        <v/>
      </c>
      <c r="L851" s="7" t="n"/>
    </row>
    <row r="852" ht="14" customHeight="1" s="72">
      <c r="A852" s="75" t="n">
        <v>46093</v>
      </c>
      <c r="B852" s="76" t="n">
        <v>4026</v>
      </c>
      <c r="C852" s="69">
        <f>IF(B852="","",IFERROR(INDEX(Client_List!$B:$B,MATCH(B852,Client_List!$A:$A,0)),"⚠ NOT FOUND"))</f>
        <v/>
      </c>
      <c r="D852" s="43" t="n">
        <v>325</v>
      </c>
      <c r="E852" s="32">
        <f>IF(B852="","",IFERROR(INDEX(Client_List!$C:$C,MATCH(VALUE(B852),Client_List!$A:$A,0)),""))</f>
        <v/>
      </c>
      <c r="F852" s="53">
        <f>IF(B852="","",IFERROR(INDEX(Client_List!$D:$D,MATCH(VALUE(B852),Client_List!$A:$A,0)),""))</f>
        <v/>
      </c>
      <c r="G852" s="53">
        <f>IF(B852="","",IFERROR(INDEX(Client_List!$K:$K,MATCH(VALUE(B852),Client_List!$A:$A,0)),""))</f>
        <v/>
      </c>
      <c r="H852" s="32">
        <f>IF(B852="","",IFERROR(INDEX(Client_List!$J:$J,MATCH(VALUE(B852),Client_List!$A:$A,0)),""))</f>
        <v/>
      </c>
      <c r="I852" s="70">
        <f>IF(B852="","",IFERROR(A852-LOOKUP(2,1/($B$4:$B851=B852),$A$4:$A851),""))</f>
        <v/>
      </c>
      <c r="J852" s="32">
        <f>IF(B852="","",IFERROR(D852/I852,""))</f>
        <v/>
      </c>
      <c r="K852" s="71">
        <f>IF(B852="","",IFERROR(AVERAGEIFS($J$4:$J852,$B$4:$B852,B852,$J$4:$J852,"&gt;"&amp;0),""))</f>
        <v/>
      </c>
      <c r="L852" s="4" t="n"/>
    </row>
    <row r="853" ht="14" customHeight="1" s="72">
      <c r="A853" s="75" t="n">
        <v>46093</v>
      </c>
      <c r="B853" s="76" t="n">
        <v>4037</v>
      </c>
      <c r="C853" s="69">
        <f>IF(B853="","",IFERROR(INDEX(Client_List!$B:$B,MATCH(B853,Client_List!$A:$A,0)),"⚠ NOT FOUND"))</f>
        <v/>
      </c>
      <c r="D853" s="43" t="n">
        <v>325</v>
      </c>
      <c r="E853" s="32">
        <f>IF(B853="","",IFERROR(INDEX(Client_List!$C:$C,MATCH(VALUE(B853),Client_List!$A:$A,0)),""))</f>
        <v/>
      </c>
      <c r="F853" s="53">
        <f>IF(B853="","",IFERROR(INDEX(Client_List!$D:$D,MATCH(VALUE(B853),Client_List!$A:$A,0)),""))</f>
        <v/>
      </c>
      <c r="G853" s="53">
        <f>IF(B853="","",IFERROR(INDEX(Client_List!$K:$K,MATCH(VALUE(B853),Client_List!$A:$A,0)),""))</f>
        <v/>
      </c>
      <c r="H853" s="32">
        <f>IF(B853="","",IFERROR(INDEX(Client_List!$J:$J,MATCH(VALUE(B853),Client_List!$A:$A,0)),""))</f>
        <v/>
      </c>
      <c r="I853" s="70">
        <f>IF(B853="","",IFERROR(A853-LOOKUP(2,1/($B$4:$B852=B853),$A$4:$A852),""))</f>
        <v/>
      </c>
      <c r="J853" s="32">
        <f>IF(B853="","",IFERROR(D853/I853,""))</f>
        <v/>
      </c>
      <c r="K853" s="71">
        <f>IF(B853="","",IFERROR(AVERAGEIFS($J$4:$J853,$B$4:$B853,B853,$J$4:$J853,"&gt;"&amp;0),""))</f>
        <v/>
      </c>
      <c r="L853" s="7" t="n"/>
    </row>
    <row r="854" ht="14" customHeight="1" s="72">
      <c r="A854" s="75" t="n">
        <v>46093</v>
      </c>
      <c r="B854" s="76" t="n">
        <v>4038</v>
      </c>
      <c r="C854" s="69">
        <f>IF(B854="","",IFERROR(INDEX(Client_List!$B:$B,MATCH(B854,Client_List!$A:$A,0)),"⚠ NOT FOUND"))</f>
        <v/>
      </c>
      <c r="D854" s="43" t="n">
        <v>937</v>
      </c>
      <c r="E854" s="32">
        <f>IF(B854="","",IFERROR(INDEX(Client_List!$C:$C,MATCH(VALUE(B854),Client_List!$A:$A,0)),""))</f>
        <v/>
      </c>
      <c r="F854" s="53">
        <f>IF(B854="","",IFERROR(INDEX(Client_List!$D:$D,MATCH(VALUE(B854),Client_List!$A:$A,0)),""))</f>
        <v/>
      </c>
      <c r="G854" s="53">
        <f>IF(B854="","",IFERROR(INDEX(Client_List!$K:$K,MATCH(VALUE(B854),Client_List!$A:$A,0)),""))</f>
        <v/>
      </c>
      <c r="H854" s="32">
        <f>IF(B854="","",IFERROR(INDEX(Client_List!$J:$J,MATCH(VALUE(B854),Client_List!$A:$A,0)),""))</f>
        <v/>
      </c>
      <c r="I854" s="70">
        <f>IF(B854="","",IFERROR(A854-LOOKUP(2,1/($B$4:$B853=B854),$A$4:$A853),""))</f>
        <v/>
      </c>
      <c r="J854" s="32">
        <f>IF(B854="","",IFERROR(D854/I854,""))</f>
        <v/>
      </c>
      <c r="K854" s="71">
        <f>IF(B854="","",IFERROR(AVERAGEIFS($J$4:$J854,$B$4:$B854,B854,$J$4:$J854,"&gt;"&amp;0),""))</f>
        <v/>
      </c>
      <c r="L854" s="4" t="n"/>
    </row>
    <row r="855" ht="14" customHeight="1" s="72">
      <c r="A855" s="75" t="n">
        <v>46093</v>
      </c>
      <c r="B855" s="76" t="n">
        <v>13015</v>
      </c>
      <c r="C855" s="69">
        <f>IF(B855="","",IFERROR(INDEX(Client_List!$B:$B,MATCH(B855,Client_List!$A:$A,0)),"⚠ NOT FOUND"))</f>
        <v/>
      </c>
      <c r="D855" s="43" t="n">
        <v>639</v>
      </c>
      <c r="E855" s="32">
        <f>IF(B855="","",IFERROR(INDEX(Client_List!$C:$C,MATCH(VALUE(B855),Client_List!$A:$A,0)),""))</f>
        <v/>
      </c>
      <c r="F855" s="53">
        <f>IF(B855="","",IFERROR(INDEX(Client_List!$D:$D,MATCH(VALUE(B855),Client_List!$A:$A,0)),""))</f>
        <v/>
      </c>
      <c r="G855" s="53">
        <f>IF(B855="","",IFERROR(INDEX(Client_List!$K:$K,MATCH(VALUE(B855),Client_List!$A:$A,0)),""))</f>
        <v/>
      </c>
      <c r="H855" s="32">
        <f>IF(B855="","",IFERROR(INDEX(Client_List!$J:$J,MATCH(VALUE(B855),Client_List!$A:$A,0)),""))</f>
        <v/>
      </c>
      <c r="I855" s="70">
        <f>IF(B855="","",IFERROR(A855-LOOKUP(2,1/($B$4:$B854=B855),$A$4:$A854),""))</f>
        <v/>
      </c>
      <c r="J855" s="32">
        <f>IF(B855="","",IFERROR(D855/I855,""))</f>
        <v/>
      </c>
      <c r="K855" s="71">
        <f>IF(B855="","",IFERROR(AVERAGEIFS($J$4:$J855,$B$4:$B855,B855,$J$4:$J855,"&gt;"&amp;0),""))</f>
        <v/>
      </c>
      <c r="L855" s="7" t="n"/>
    </row>
    <row r="856" ht="14" customHeight="1" s="72">
      <c r="A856" s="75" t="n">
        <v>46093</v>
      </c>
      <c r="B856" s="76" t="n">
        <v>15023</v>
      </c>
      <c r="C856" s="69">
        <f>IF(B856="","",IFERROR(INDEX(Client_List!$B:$B,MATCH(B856,Client_List!$A:$A,0)),"⚠ NOT FOUND"))</f>
        <v/>
      </c>
      <c r="D856" s="43" t="n">
        <v>332</v>
      </c>
      <c r="E856" s="32">
        <f>IF(B856="","",IFERROR(INDEX(Client_List!$C:$C,MATCH(VALUE(B856),Client_List!$A:$A,0)),""))</f>
        <v/>
      </c>
      <c r="F856" s="53">
        <f>IF(B856="","",IFERROR(INDEX(Client_List!$D:$D,MATCH(VALUE(B856),Client_List!$A:$A,0)),""))</f>
        <v/>
      </c>
      <c r="G856" s="53">
        <f>IF(B856="","",IFERROR(INDEX(Client_List!$K:$K,MATCH(VALUE(B856),Client_List!$A:$A,0)),""))</f>
        <v/>
      </c>
      <c r="H856" s="32">
        <f>IF(B856="","",IFERROR(INDEX(Client_List!$J:$J,MATCH(VALUE(B856),Client_List!$A:$A,0)),""))</f>
        <v/>
      </c>
      <c r="I856" s="70">
        <f>IF(B856="","",IFERROR(A856-LOOKUP(2,1/($B$4:$B855=B856),$A$4:$A855),""))</f>
        <v/>
      </c>
      <c r="J856" s="32">
        <f>IF(B856="","",IFERROR(D856/I856,""))</f>
        <v/>
      </c>
      <c r="K856" s="71">
        <f>IF(B856="","",IFERROR(AVERAGEIFS($J$4:$J856,$B$4:$B856,B856,$J$4:$J856,"&gt;"&amp;0),""))</f>
        <v/>
      </c>
      <c r="L856" s="4" t="n"/>
    </row>
    <row r="857" ht="14" customHeight="1" s="72">
      <c r="A857" s="75" t="n">
        <v>46093</v>
      </c>
      <c r="B857" s="76" t="n">
        <v>16018</v>
      </c>
      <c r="C857" s="69">
        <f>IF(B857="","",IFERROR(INDEX(Client_List!$B:$B,MATCH(B857,Client_List!$A:$A,0)),"⚠ NOT FOUND"))</f>
        <v/>
      </c>
      <c r="D857" s="43" t="n">
        <v>932</v>
      </c>
      <c r="E857" s="32">
        <f>IF(B857="","",IFERROR(INDEX(Client_List!$C:$C,MATCH(VALUE(B857),Client_List!$A:$A,0)),""))</f>
        <v/>
      </c>
      <c r="F857" s="53">
        <f>IF(B857="","",IFERROR(INDEX(Client_List!$D:$D,MATCH(VALUE(B857),Client_List!$A:$A,0)),""))</f>
        <v/>
      </c>
      <c r="G857" s="53">
        <f>IF(B857="","",IFERROR(INDEX(Client_List!$K:$K,MATCH(VALUE(B857),Client_List!$A:$A,0)),""))</f>
        <v/>
      </c>
      <c r="H857" s="32">
        <f>IF(B857="","",IFERROR(INDEX(Client_List!$J:$J,MATCH(VALUE(B857),Client_List!$A:$A,0)),""))</f>
        <v/>
      </c>
      <c r="I857" s="70">
        <f>IF(B857="","",IFERROR(A857-LOOKUP(2,1/($B$4:$B856=B857),$A$4:$A856),""))</f>
        <v/>
      </c>
      <c r="J857" s="32">
        <f>IF(B857="","",IFERROR(D857/I857,""))</f>
        <v/>
      </c>
      <c r="K857" s="71">
        <f>IF(B857="","",IFERROR(AVERAGEIFS($J$4:$J857,$B$4:$B857,B857,$J$4:$J857,"&gt;"&amp;0),""))</f>
        <v/>
      </c>
      <c r="L857" s="7" t="n"/>
    </row>
    <row r="858" ht="14" customHeight="1" s="72">
      <c r="A858" s="75" t="n">
        <v>46093</v>
      </c>
      <c r="B858" s="76" t="n">
        <v>16052</v>
      </c>
      <c r="C858" s="69">
        <f>IF(B858="","",IFERROR(INDEX(Client_List!$B:$B,MATCH(B858,Client_List!$A:$A,0)),"⚠ NOT FOUND"))</f>
        <v/>
      </c>
      <c r="D858" s="43" t="n">
        <v>1096</v>
      </c>
      <c r="E858" s="32">
        <f>IF(B858="","",IFERROR(INDEX(Client_List!$C:$C,MATCH(VALUE(B858),Client_List!$A:$A,0)),""))</f>
        <v/>
      </c>
      <c r="F858" s="53">
        <f>IF(B858="","",IFERROR(INDEX(Client_List!$D:$D,MATCH(VALUE(B858),Client_List!$A:$A,0)),""))</f>
        <v/>
      </c>
      <c r="G858" s="53">
        <f>IF(B858="","",IFERROR(INDEX(Client_List!$K:$K,MATCH(VALUE(B858),Client_List!$A:$A,0)),""))</f>
        <v/>
      </c>
      <c r="H858" s="32">
        <f>IF(B858="","",IFERROR(INDEX(Client_List!$J:$J,MATCH(VALUE(B858),Client_List!$A:$A,0)),""))</f>
        <v/>
      </c>
      <c r="I858" s="70">
        <f>IF(B858="","",IFERROR(A858-LOOKUP(2,1/($B$4:$B857=B858),$A$4:$A857),""))</f>
        <v/>
      </c>
      <c r="J858" s="32">
        <f>IF(B858="","",IFERROR(D858/I858,""))</f>
        <v/>
      </c>
      <c r="K858" s="71">
        <f>IF(B858="","",IFERROR(AVERAGEIFS($J$4:$J858,$B$4:$B858,B858,$J$4:$J858,"&gt;"&amp;0),""))</f>
        <v/>
      </c>
      <c r="L858" s="4" t="n"/>
    </row>
    <row r="859" ht="14" customHeight="1" s="72">
      <c r="A859" s="75" t="n">
        <v>46093</v>
      </c>
      <c r="B859" s="76" t="n">
        <v>18001</v>
      </c>
      <c r="C859" s="69">
        <f>IF(B859="","",IFERROR(INDEX(Client_List!$B:$B,MATCH(B859,Client_List!$A:$A,0)),"⚠ NOT FOUND"))</f>
        <v/>
      </c>
      <c r="D859" s="43" t="n">
        <v>598</v>
      </c>
      <c r="E859" s="32">
        <f>IF(B859="","",IFERROR(INDEX(Client_List!$C:$C,MATCH(VALUE(B859),Client_List!$A:$A,0)),""))</f>
        <v/>
      </c>
      <c r="F859" s="53">
        <f>IF(B859="","",IFERROR(INDEX(Client_List!$D:$D,MATCH(VALUE(B859),Client_List!$A:$A,0)),""))</f>
        <v/>
      </c>
      <c r="G859" s="53">
        <f>IF(B859="","",IFERROR(INDEX(Client_List!$K:$K,MATCH(VALUE(B859),Client_List!$A:$A,0)),""))</f>
        <v/>
      </c>
      <c r="H859" s="32">
        <f>IF(B859="","",IFERROR(INDEX(Client_List!$J:$J,MATCH(VALUE(B859),Client_List!$A:$A,0)),""))</f>
        <v/>
      </c>
      <c r="I859" s="70">
        <f>IF(B859="","",IFERROR(A859-LOOKUP(2,1/($B$4:$B858=B859),$A$4:$A858),""))</f>
        <v/>
      </c>
      <c r="J859" s="32">
        <f>IF(B859="","",IFERROR(D859/I859,""))</f>
        <v/>
      </c>
      <c r="K859" s="71">
        <f>IF(B859="","",IFERROR(AVERAGEIFS($J$4:$J859,$B$4:$B859,B859,$J$4:$J859,"&gt;"&amp;0),""))</f>
        <v/>
      </c>
      <c r="L859" s="7" t="n"/>
    </row>
    <row r="860" ht="14" customHeight="1" s="72">
      <c r="A860" s="75" t="n">
        <v>46093</v>
      </c>
      <c r="B860" s="76" t="n">
        <v>18003</v>
      </c>
      <c r="C860" s="69">
        <f>IF(B860="","",IFERROR(INDEX(Client_List!$B:$B,MATCH(B860,Client_List!$A:$A,0)),"⚠ NOT FOUND"))</f>
        <v/>
      </c>
      <c r="D860" s="43" t="n">
        <v>308</v>
      </c>
      <c r="E860" s="32">
        <f>IF(B860="","",IFERROR(INDEX(Client_List!$C:$C,MATCH(VALUE(B860),Client_List!$A:$A,0)),""))</f>
        <v/>
      </c>
      <c r="F860" s="53">
        <f>IF(B860="","",IFERROR(INDEX(Client_List!$D:$D,MATCH(VALUE(B860),Client_List!$A:$A,0)),""))</f>
        <v/>
      </c>
      <c r="G860" s="53">
        <f>IF(B860="","",IFERROR(INDEX(Client_List!$K:$K,MATCH(VALUE(B860),Client_List!$A:$A,0)),""))</f>
        <v/>
      </c>
      <c r="H860" s="32">
        <f>IF(B860="","",IFERROR(INDEX(Client_List!$J:$J,MATCH(VALUE(B860),Client_List!$A:$A,0)),""))</f>
        <v/>
      </c>
      <c r="I860" s="70">
        <f>IF(B860="","",IFERROR(A860-LOOKUP(2,1/($B$4:$B859=B860),$A$4:$A859),""))</f>
        <v/>
      </c>
      <c r="J860" s="32">
        <f>IF(B860="","",IFERROR(D860/I860,""))</f>
        <v/>
      </c>
      <c r="K860" s="71">
        <f>IF(B860="","",IFERROR(AVERAGEIFS($J$4:$J860,$B$4:$B860,B860,$J$4:$J860,"&gt;"&amp;0),""))</f>
        <v/>
      </c>
      <c r="L860" s="4" t="n"/>
    </row>
    <row r="861" ht="14" customHeight="1" s="72">
      <c r="A861" s="75" t="n">
        <v>46093</v>
      </c>
      <c r="B861" s="76" t="n">
        <v>20089</v>
      </c>
      <c r="C861" s="69">
        <f>IF(B861="","",IFERROR(INDEX(Client_List!$B:$B,MATCH(B861,Client_List!$A:$A,0)),"⚠ NOT FOUND"))</f>
        <v/>
      </c>
      <c r="D861" s="43" t="n">
        <v>1071</v>
      </c>
      <c r="E861" s="32">
        <f>IF(B861="","",IFERROR(INDEX(Client_List!$C:$C,MATCH(VALUE(B861),Client_List!$A:$A,0)),""))</f>
        <v/>
      </c>
      <c r="F861" s="53">
        <f>IF(B861="","",IFERROR(INDEX(Client_List!$D:$D,MATCH(VALUE(B861),Client_List!$A:$A,0)),""))</f>
        <v/>
      </c>
      <c r="G861" s="53">
        <f>IF(B861="","",IFERROR(INDEX(Client_List!$K:$K,MATCH(VALUE(B861),Client_List!$A:$A,0)),""))</f>
        <v/>
      </c>
      <c r="H861" s="32">
        <f>IF(B861="","",IFERROR(INDEX(Client_List!$J:$J,MATCH(VALUE(B861),Client_List!$A:$A,0)),""))</f>
        <v/>
      </c>
      <c r="I861" s="70">
        <f>IF(B861="","",IFERROR(A861-LOOKUP(2,1/($B$4:$B860=B861),$A$4:$A860),""))</f>
        <v/>
      </c>
      <c r="J861" s="32">
        <f>IF(B861="","",IFERROR(D861/I861,""))</f>
        <v/>
      </c>
      <c r="K861" s="71">
        <f>IF(B861="","",IFERROR(AVERAGEIFS($J$4:$J861,$B$4:$B861,B861,$J$4:$J861,"&gt;"&amp;0),""))</f>
        <v/>
      </c>
      <c r="L861" s="7" t="n"/>
    </row>
    <row r="862" ht="14" customHeight="1" s="72">
      <c r="A862" s="75" t="n">
        <v>46093</v>
      </c>
      <c r="B862" s="76" t="n">
        <v>20098</v>
      </c>
      <c r="C862" s="69">
        <f>IF(B862="","",IFERROR(INDEX(Client_List!$B:$B,MATCH(B862,Client_List!$A:$A,0)),"⚠ NOT FOUND"))</f>
        <v/>
      </c>
      <c r="D862" s="43" t="n">
        <v>842</v>
      </c>
      <c r="E862" s="32">
        <f>IF(B862="","",IFERROR(INDEX(Client_List!$C:$C,MATCH(VALUE(B862),Client_List!$A:$A,0)),""))</f>
        <v/>
      </c>
      <c r="F862" s="53">
        <f>IF(B862="","",IFERROR(INDEX(Client_List!$D:$D,MATCH(VALUE(B862),Client_List!$A:$A,0)),""))</f>
        <v/>
      </c>
      <c r="G862" s="53">
        <f>IF(B862="","",IFERROR(INDEX(Client_List!$K:$K,MATCH(VALUE(B862),Client_List!$A:$A,0)),""))</f>
        <v/>
      </c>
      <c r="H862" s="32">
        <f>IF(B862="","",IFERROR(INDEX(Client_List!$J:$J,MATCH(VALUE(B862),Client_List!$A:$A,0)),""))</f>
        <v/>
      </c>
      <c r="I862" s="70">
        <f>IF(B862="","",IFERROR(A862-LOOKUP(2,1/($B$4:$B861=B862),$A$4:$A861),""))</f>
        <v/>
      </c>
      <c r="J862" s="32">
        <f>IF(B862="","",IFERROR(D862/I862,""))</f>
        <v/>
      </c>
      <c r="K862" s="71">
        <f>IF(B862="","",IFERROR(AVERAGEIFS($J$4:$J862,$B$4:$B862,B862,$J$4:$J862,"&gt;"&amp;0),""))</f>
        <v/>
      </c>
      <c r="L862" s="4" t="n"/>
    </row>
    <row r="863" ht="14" customHeight="1" s="72">
      <c r="A863" s="75" t="n">
        <v>46094</v>
      </c>
      <c r="B863" s="76" t="n">
        <v>2038</v>
      </c>
      <c r="C863" s="69">
        <f>IF(B863="","",IFERROR(INDEX(Client_List!$B:$B,MATCH(B863,Client_List!$A:$A,0)),"⚠ NOT FOUND"))</f>
        <v/>
      </c>
      <c r="D863" s="43" t="n">
        <v>337</v>
      </c>
      <c r="E863" s="32">
        <f>IF(B863="","",IFERROR(INDEX(Client_List!$C:$C,MATCH(VALUE(B863),Client_List!$A:$A,0)),""))</f>
        <v/>
      </c>
      <c r="F863" s="53">
        <f>IF(B863="","",IFERROR(INDEX(Client_List!$D:$D,MATCH(VALUE(B863),Client_List!$A:$A,0)),""))</f>
        <v/>
      </c>
      <c r="G863" s="53">
        <f>IF(B863="","",IFERROR(INDEX(Client_List!$K:$K,MATCH(VALUE(B863),Client_List!$A:$A,0)),""))</f>
        <v/>
      </c>
      <c r="H863" s="32">
        <f>IF(B863="","",IFERROR(INDEX(Client_List!$J:$J,MATCH(VALUE(B863),Client_List!$A:$A,0)),""))</f>
        <v/>
      </c>
      <c r="I863" s="70">
        <f>IF(B863="","",IFERROR(A863-LOOKUP(2,1/($B$4:$B862=B863),$A$4:$A862),""))</f>
        <v/>
      </c>
      <c r="J863" s="32">
        <f>IF(B863="","",IFERROR(D863/I863,""))</f>
        <v/>
      </c>
      <c r="K863" s="71">
        <f>IF(B863="","",IFERROR(AVERAGEIFS($J$4:$J863,$B$4:$B863,B863,$J$4:$J863,"&gt;"&amp;0),""))</f>
        <v/>
      </c>
      <c r="L863" s="7" t="n"/>
    </row>
    <row r="864" ht="14" customHeight="1" s="72">
      <c r="A864" s="75" t="n">
        <v>46094</v>
      </c>
      <c r="B864" s="76" t="n">
        <v>2073</v>
      </c>
      <c r="C864" s="69">
        <f>IF(B864="","",IFERROR(INDEX(Client_List!$B:$B,MATCH(B864,Client_List!$A:$A,0)),"⚠ NOT FOUND"))</f>
        <v/>
      </c>
      <c r="D864" s="43" t="n">
        <v>307</v>
      </c>
      <c r="E864" s="32">
        <f>IF(B864="","",IFERROR(INDEX(Client_List!$C:$C,MATCH(VALUE(B864),Client_List!$A:$A,0)),""))</f>
        <v/>
      </c>
      <c r="F864" s="53">
        <f>IF(B864="","",IFERROR(INDEX(Client_List!$D:$D,MATCH(VALUE(B864),Client_List!$A:$A,0)),""))</f>
        <v/>
      </c>
      <c r="G864" s="53">
        <f>IF(B864="","",IFERROR(INDEX(Client_List!$K:$K,MATCH(VALUE(B864),Client_List!$A:$A,0)),""))</f>
        <v/>
      </c>
      <c r="H864" s="32">
        <f>IF(B864="","",IFERROR(INDEX(Client_List!$J:$J,MATCH(VALUE(B864),Client_List!$A:$A,0)),""))</f>
        <v/>
      </c>
      <c r="I864" s="70">
        <f>IF(B864="","",IFERROR(A864-LOOKUP(2,1/($B$4:$B863=B864),$A$4:$A863),""))</f>
        <v/>
      </c>
      <c r="J864" s="32">
        <f>IF(B864="","",IFERROR(D864/I864,""))</f>
        <v/>
      </c>
      <c r="K864" s="71">
        <f>IF(B864="","",IFERROR(AVERAGEIFS($J$4:$J864,$B$4:$B864,B864,$J$4:$J864,"&gt;"&amp;0),""))</f>
        <v/>
      </c>
      <c r="L864" s="4" t="n"/>
    </row>
    <row r="865" ht="14" customHeight="1" s="72">
      <c r="A865" s="75" t="n">
        <v>46094</v>
      </c>
      <c r="B865" s="76" t="n">
        <v>4014</v>
      </c>
      <c r="C865" s="69">
        <f>IF(B865="","",IFERROR(INDEX(Client_List!$B:$B,MATCH(B865,Client_List!$A:$A,0)),"⚠ NOT FOUND"))</f>
        <v/>
      </c>
      <c r="D865" s="43" t="n">
        <v>264</v>
      </c>
      <c r="E865" s="32">
        <f>IF(B865="","",IFERROR(INDEX(Client_List!$C:$C,MATCH(VALUE(B865),Client_List!$A:$A,0)),""))</f>
        <v/>
      </c>
      <c r="F865" s="53">
        <f>IF(B865="","",IFERROR(INDEX(Client_List!$D:$D,MATCH(VALUE(B865),Client_List!$A:$A,0)),""))</f>
        <v/>
      </c>
      <c r="G865" s="53">
        <f>IF(B865="","",IFERROR(INDEX(Client_List!$K:$K,MATCH(VALUE(B865),Client_List!$A:$A,0)),""))</f>
        <v/>
      </c>
      <c r="H865" s="32">
        <f>IF(B865="","",IFERROR(INDEX(Client_List!$J:$J,MATCH(VALUE(B865),Client_List!$A:$A,0)),""))</f>
        <v/>
      </c>
      <c r="I865" s="70">
        <f>IF(B865="","",IFERROR(A865-LOOKUP(2,1/($B$4:$B864=B865),$A$4:$A864),""))</f>
        <v/>
      </c>
      <c r="J865" s="32">
        <f>IF(B865="","",IFERROR(D865/I865,""))</f>
        <v/>
      </c>
      <c r="K865" s="71">
        <f>IF(B865="","",IFERROR(AVERAGEIFS($J$4:$J865,$B$4:$B865,B865,$J$4:$J865,"&gt;"&amp;0),""))</f>
        <v/>
      </c>
      <c r="L865" s="7" t="n"/>
    </row>
    <row r="866" ht="14" customHeight="1" s="72">
      <c r="A866" s="75" t="n">
        <v>46094</v>
      </c>
      <c r="B866" s="76" t="n">
        <v>6077</v>
      </c>
      <c r="C866" s="69">
        <f>IF(B866="","",IFERROR(INDEX(Client_List!$B:$B,MATCH(B866,Client_List!$A:$A,0)),"⚠ NOT FOUND"))</f>
        <v/>
      </c>
      <c r="D866" s="43" t="n">
        <v>1431</v>
      </c>
      <c r="E866" s="32">
        <f>IF(B866="","",IFERROR(INDEX(Client_List!$C:$C,MATCH(VALUE(B866),Client_List!$A:$A,0)),""))</f>
        <v/>
      </c>
      <c r="F866" s="53">
        <f>IF(B866="","",IFERROR(INDEX(Client_List!$D:$D,MATCH(VALUE(B866),Client_List!$A:$A,0)),""))</f>
        <v/>
      </c>
      <c r="G866" s="53">
        <f>IF(B866="","",IFERROR(INDEX(Client_List!$K:$K,MATCH(VALUE(B866),Client_List!$A:$A,0)),""))</f>
        <v/>
      </c>
      <c r="H866" s="32">
        <f>IF(B866="","",IFERROR(INDEX(Client_List!$J:$J,MATCH(VALUE(B866),Client_List!$A:$A,0)),""))</f>
        <v/>
      </c>
      <c r="I866" s="70">
        <f>IF(B866="","",IFERROR(A866-LOOKUP(2,1/($B$4:$B865=B866),$A$4:$A865),""))</f>
        <v/>
      </c>
      <c r="J866" s="32">
        <f>IF(B866="","",IFERROR(D866/I866,""))</f>
        <v/>
      </c>
      <c r="K866" s="71">
        <f>IF(B866="","",IFERROR(AVERAGEIFS($J$4:$J866,$B$4:$B866,B866,$J$4:$J866,"&gt;"&amp;0),""))</f>
        <v/>
      </c>
      <c r="L866" s="4" t="n"/>
    </row>
    <row r="867" ht="14" customHeight="1" s="72">
      <c r="A867" s="75" t="n">
        <v>46094</v>
      </c>
      <c r="B867" s="76" t="n">
        <v>6101</v>
      </c>
      <c r="C867" s="69">
        <f>IF(B867="","",IFERROR(INDEX(Client_List!$B:$B,MATCH(B867,Client_List!$A:$A,0)),"⚠ NOT FOUND"))</f>
        <v/>
      </c>
      <c r="D867" s="43" t="n">
        <v>534</v>
      </c>
      <c r="E867" s="32">
        <f>IF(B867="","",IFERROR(INDEX(Client_List!$C:$C,MATCH(VALUE(B867),Client_List!$A:$A,0)),""))</f>
        <v/>
      </c>
      <c r="F867" s="53">
        <f>IF(B867="","",IFERROR(INDEX(Client_List!$D:$D,MATCH(VALUE(B867),Client_List!$A:$A,0)),""))</f>
        <v/>
      </c>
      <c r="G867" s="53">
        <f>IF(B867="","",IFERROR(INDEX(Client_List!$K:$K,MATCH(VALUE(B867),Client_List!$A:$A,0)),""))</f>
        <v/>
      </c>
      <c r="H867" s="32">
        <f>IF(B867="","",IFERROR(INDEX(Client_List!$J:$J,MATCH(VALUE(B867),Client_List!$A:$A,0)),""))</f>
        <v/>
      </c>
      <c r="I867" s="70">
        <f>IF(B867="","",IFERROR(A867-LOOKUP(2,1/($B$4:$B866=B867),$A$4:$A866),""))</f>
        <v/>
      </c>
      <c r="J867" s="32">
        <f>IF(B867="","",IFERROR(D867/I867,""))</f>
        <v/>
      </c>
      <c r="K867" s="71">
        <f>IF(B867="","",IFERROR(AVERAGEIFS($J$4:$J867,$B$4:$B867,B867,$J$4:$J867,"&gt;"&amp;0),""))</f>
        <v/>
      </c>
      <c r="L867" s="7" t="n"/>
    </row>
    <row r="868" ht="14" customHeight="1" s="72">
      <c r="A868" s="75" t="n">
        <v>46094</v>
      </c>
      <c r="B868" s="76" t="n">
        <v>8031</v>
      </c>
      <c r="C868" s="69">
        <f>IF(B868="","",IFERROR(INDEX(Client_List!$B:$B,MATCH(B868,Client_List!$A:$A,0)),"⚠ NOT FOUND"))</f>
        <v/>
      </c>
      <c r="D868" s="43" t="n">
        <v>814</v>
      </c>
      <c r="E868" s="32">
        <f>IF(B868="","",IFERROR(INDEX(Client_List!$C:$C,MATCH(VALUE(B868),Client_List!$A:$A,0)),""))</f>
        <v/>
      </c>
      <c r="F868" s="53">
        <f>IF(B868="","",IFERROR(INDEX(Client_List!$D:$D,MATCH(VALUE(B868),Client_List!$A:$A,0)),""))</f>
        <v/>
      </c>
      <c r="G868" s="53">
        <f>IF(B868="","",IFERROR(INDEX(Client_List!$K:$K,MATCH(VALUE(B868),Client_List!$A:$A,0)),""))</f>
        <v/>
      </c>
      <c r="H868" s="32">
        <f>IF(B868="","",IFERROR(INDEX(Client_List!$J:$J,MATCH(VALUE(B868),Client_List!$A:$A,0)),""))</f>
        <v/>
      </c>
      <c r="I868" s="70">
        <f>IF(B868="","",IFERROR(A868-LOOKUP(2,1/($B$4:$B867=B868),$A$4:$A867),""))</f>
        <v/>
      </c>
      <c r="J868" s="32">
        <f>IF(B868="","",IFERROR(D868/I868,""))</f>
        <v/>
      </c>
      <c r="K868" s="71">
        <f>IF(B868="","",IFERROR(AVERAGEIFS($J$4:$J868,$B$4:$B868,B868,$J$4:$J868,"&gt;"&amp;0),""))</f>
        <v/>
      </c>
      <c r="L868" s="4" t="n"/>
    </row>
    <row r="869" ht="14" customHeight="1" s="72">
      <c r="A869" s="75" t="n">
        <v>46094</v>
      </c>
      <c r="B869" s="76" t="n">
        <v>8034</v>
      </c>
      <c r="C869" s="69">
        <f>IF(B869="","",IFERROR(INDEX(Client_List!$B:$B,MATCH(B869,Client_List!$A:$A,0)),"⚠ NOT FOUND"))</f>
        <v/>
      </c>
      <c r="D869" s="43" t="n">
        <v>618</v>
      </c>
      <c r="E869" s="32">
        <f>IF(B869="","",IFERROR(INDEX(Client_List!$C:$C,MATCH(VALUE(B869),Client_List!$A:$A,0)),""))</f>
        <v/>
      </c>
      <c r="F869" s="53">
        <f>IF(B869="","",IFERROR(INDEX(Client_List!$D:$D,MATCH(VALUE(B869),Client_List!$A:$A,0)),""))</f>
        <v/>
      </c>
      <c r="G869" s="53">
        <f>IF(B869="","",IFERROR(INDEX(Client_List!$K:$K,MATCH(VALUE(B869),Client_List!$A:$A,0)),""))</f>
        <v/>
      </c>
      <c r="H869" s="32">
        <f>IF(B869="","",IFERROR(INDEX(Client_List!$J:$J,MATCH(VALUE(B869),Client_List!$A:$A,0)),""))</f>
        <v/>
      </c>
      <c r="I869" s="70">
        <f>IF(B869="","",IFERROR(A869-LOOKUP(2,1/($B$4:$B868=B869),$A$4:$A868),""))</f>
        <v/>
      </c>
      <c r="J869" s="32">
        <f>IF(B869="","",IFERROR(D869/I869,""))</f>
        <v/>
      </c>
      <c r="K869" s="71">
        <f>IF(B869="","",IFERROR(AVERAGEIFS($J$4:$J869,$B$4:$B869,B869,$J$4:$J869,"&gt;"&amp;0),""))</f>
        <v/>
      </c>
      <c r="L869" s="7" t="n"/>
    </row>
    <row r="870" ht="14" customHeight="1" s="72">
      <c r="A870" s="75" t="n">
        <v>46094</v>
      </c>
      <c r="B870" s="76" t="n">
        <v>14008</v>
      </c>
      <c r="C870" s="69">
        <f>IF(B870="","",IFERROR(INDEX(Client_List!$B:$B,MATCH(B870,Client_List!$A:$A,0)),"⚠ NOT FOUND"))</f>
        <v/>
      </c>
      <c r="D870" s="43" t="n">
        <v>1603</v>
      </c>
      <c r="E870" s="32">
        <f>IF(B870="","",IFERROR(INDEX(Client_List!$C:$C,MATCH(VALUE(B870),Client_List!$A:$A,0)),""))</f>
        <v/>
      </c>
      <c r="F870" s="53">
        <f>IF(B870="","",IFERROR(INDEX(Client_List!$D:$D,MATCH(VALUE(B870),Client_List!$A:$A,0)),""))</f>
        <v/>
      </c>
      <c r="G870" s="53">
        <f>IF(B870="","",IFERROR(INDEX(Client_List!$K:$K,MATCH(VALUE(B870),Client_List!$A:$A,0)),""))</f>
        <v/>
      </c>
      <c r="H870" s="32">
        <f>IF(B870="","",IFERROR(INDEX(Client_List!$J:$J,MATCH(VALUE(B870),Client_List!$A:$A,0)),""))</f>
        <v/>
      </c>
      <c r="I870" s="70">
        <f>IF(B870="","",IFERROR(A870-LOOKUP(2,1/($B$4:$B869=B870),$A$4:$A869),""))</f>
        <v/>
      </c>
      <c r="J870" s="32">
        <f>IF(B870="","",IFERROR(D870/I870,""))</f>
        <v/>
      </c>
      <c r="K870" s="71">
        <f>IF(B870="","",IFERROR(AVERAGEIFS($J$4:$J870,$B$4:$B870,B870,$J$4:$J870,"&gt;"&amp;0),""))</f>
        <v/>
      </c>
      <c r="L870" s="4" t="n"/>
    </row>
    <row r="871" ht="14" customHeight="1" s="72">
      <c r="A871" s="75" t="n">
        <v>46094</v>
      </c>
      <c r="B871" s="76" t="n">
        <v>15001</v>
      </c>
      <c r="C871" s="69">
        <f>IF(B871="","",IFERROR(INDEX(Client_List!$B:$B,MATCH(B871,Client_List!$A:$A,0)),"⚠ NOT FOUND"))</f>
        <v/>
      </c>
      <c r="D871" s="43" t="n">
        <v>900</v>
      </c>
      <c r="E871" s="32">
        <f>IF(B871="","",IFERROR(INDEX(Client_List!$C:$C,MATCH(VALUE(B871),Client_List!$A:$A,0)),""))</f>
        <v/>
      </c>
      <c r="F871" s="53">
        <f>IF(B871="","",IFERROR(INDEX(Client_List!$D:$D,MATCH(VALUE(B871),Client_List!$A:$A,0)),""))</f>
        <v/>
      </c>
      <c r="G871" s="53">
        <f>IF(B871="","",IFERROR(INDEX(Client_List!$K:$K,MATCH(VALUE(B871),Client_List!$A:$A,0)),""))</f>
        <v/>
      </c>
      <c r="H871" s="32">
        <f>IF(B871="","",IFERROR(INDEX(Client_List!$J:$J,MATCH(VALUE(B871),Client_List!$A:$A,0)),""))</f>
        <v/>
      </c>
      <c r="I871" s="70">
        <f>IF(B871="","",IFERROR(A871-LOOKUP(2,1/($B$4:$B870=B871),$A$4:$A870),""))</f>
        <v/>
      </c>
      <c r="J871" s="32">
        <f>IF(B871="","",IFERROR(D871/I871,""))</f>
        <v/>
      </c>
      <c r="K871" s="71">
        <f>IF(B871="","",IFERROR(AVERAGEIFS($J$4:$J871,$B$4:$B871,B871,$J$4:$J871,"&gt;"&amp;0),""))</f>
        <v/>
      </c>
      <c r="L871" s="7" t="n"/>
    </row>
    <row r="872" ht="14" customHeight="1" s="72">
      <c r="A872" s="75" t="n">
        <v>46094</v>
      </c>
      <c r="B872" s="76" t="n">
        <v>15007</v>
      </c>
      <c r="C872" s="69">
        <f>IF(B872="","",IFERROR(INDEX(Client_List!$B:$B,MATCH(B872,Client_List!$A:$A,0)),"⚠ NOT FOUND"))</f>
        <v/>
      </c>
      <c r="D872" s="43" t="n">
        <v>953</v>
      </c>
      <c r="E872" s="32">
        <f>IF(B872="","",IFERROR(INDEX(Client_List!$C:$C,MATCH(VALUE(B872),Client_List!$A:$A,0)),""))</f>
        <v/>
      </c>
      <c r="F872" s="53">
        <f>IF(B872="","",IFERROR(INDEX(Client_List!$D:$D,MATCH(VALUE(B872),Client_List!$A:$A,0)),""))</f>
        <v/>
      </c>
      <c r="G872" s="53">
        <f>IF(B872="","",IFERROR(INDEX(Client_List!$K:$K,MATCH(VALUE(B872),Client_List!$A:$A,0)),""))</f>
        <v/>
      </c>
      <c r="H872" s="32">
        <f>IF(B872="","",IFERROR(INDEX(Client_List!$J:$J,MATCH(VALUE(B872),Client_List!$A:$A,0)),""))</f>
        <v/>
      </c>
      <c r="I872" s="70">
        <f>IF(B872="","",IFERROR(A872-LOOKUP(2,1/($B$4:$B871=B872),$A$4:$A871),""))</f>
        <v/>
      </c>
      <c r="J872" s="32">
        <f>IF(B872="","",IFERROR(D872/I872,""))</f>
        <v/>
      </c>
      <c r="K872" s="71">
        <f>IF(B872="","",IFERROR(AVERAGEIFS($J$4:$J872,$B$4:$B872,B872,$J$4:$J872,"&gt;"&amp;0),""))</f>
        <v/>
      </c>
      <c r="L872" s="4" t="n"/>
    </row>
    <row r="873" ht="14" customHeight="1" s="72">
      <c r="A873" s="75" t="n">
        <v>46094</v>
      </c>
      <c r="B873" s="76" t="n">
        <v>15035</v>
      </c>
      <c r="C873" s="69">
        <f>IF(B873="","",IFERROR(INDEX(Client_List!$B:$B,MATCH(B873,Client_List!$A:$A,0)),"⚠ NOT FOUND"))</f>
        <v/>
      </c>
      <c r="D873" s="43" t="n">
        <v>1311</v>
      </c>
      <c r="E873" s="32">
        <f>IF(B873="","",IFERROR(INDEX(Client_List!$C:$C,MATCH(VALUE(B873),Client_List!$A:$A,0)),""))</f>
        <v/>
      </c>
      <c r="F873" s="53">
        <f>IF(B873="","",IFERROR(INDEX(Client_List!$D:$D,MATCH(VALUE(B873),Client_List!$A:$A,0)),""))</f>
        <v/>
      </c>
      <c r="G873" s="53">
        <f>IF(B873="","",IFERROR(INDEX(Client_List!$K:$K,MATCH(VALUE(B873),Client_List!$A:$A,0)),""))</f>
        <v/>
      </c>
      <c r="H873" s="32">
        <f>IF(B873="","",IFERROR(INDEX(Client_List!$J:$J,MATCH(VALUE(B873),Client_List!$A:$A,0)),""))</f>
        <v/>
      </c>
      <c r="I873" s="70">
        <f>IF(B873="","",IFERROR(A873-LOOKUP(2,1/($B$4:$B872=B873),$A$4:$A872),""))</f>
        <v/>
      </c>
      <c r="J873" s="32">
        <f>IF(B873="","",IFERROR(D873/I873,""))</f>
        <v/>
      </c>
      <c r="K873" s="71">
        <f>IF(B873="","",IFERROR(AVERAGEIFS($J$4:$J873,$B$4:$B873,B873,$J$4:$J873,"&gt;"&amp;0),""))</f>
        <v/>
      </c>
      <c r="L873" s="7" t="n"/>
    </row>
    <row r="874" ht="14" customHeight="1" s="72">
      <c r="A874" s="75" t="n">
        <v>46094</v>
      </c>
      <c r="B874" s="76" t="n">
        <v>16004</v>
      </c>
      <c r="C874" s="69">
        <f>IF(B874="","",IFERROR(INDEX(Client_List!$B:$B,MATCH(B874,Client_List!$A:$A,0)),"⚠ NOT FOUND"))</f>
        <v/>
      </c>
      <c r="D874" s="43" t="n">
        <v>604</v>
      </c>
      <c r="E874" s="32">
        <f>IF(B874="","",IFERROR(INDEX(Client_List!$C:$C,MATCH(VALUE(B874),Client_List!$A:$A,0)),""))</f>
        <v/>
      </c>
      <c r="F874" s="53">
        <f>IF(B874="","",IFERROR(INDEX(Client_List!$D:$D,MATCH(VALUE(B874),Client_List!$A:$A,0)),""))</f>
        <v/>
      </c>
      <c r="G874" s="53">
        <f>IF(B874="","",IFERROR(INDEX(Client_List!$K:$K,MATCH(VALUE(B874),Client_List!$A:$A,0)),""))</f>
        <v/>
      </c>
      <c r="H874" s="32">
        <f>IF(B874="","",IFERROR(INDEX(Client_List!$J:$J,MATCH(VALUE(B874),Client_List!$A:$A,0)),""))</f>
        <v/>
      </c>
      <c r="I874" s="70">
        <f>IF(B874="","",IFERROR(A874-LOOKUP(2,1/($B$4:$B873=B874),$A$4:$A873),""))</f>
        <v/>
      </c>
      <c r="J874" s="32">
        <f>IF(B874="","",IFERROR(D874/I874,""))</f>
        <v/>
      </c>
      <c r="K874" s="71">
        <f>IF(B874="","",IFERROR(AVERAGEIFS($J$4:$J874,$B$4:$B874,B874,$J$4:$J874,"&gt;"&amp;0),""))</f>
        <v/>
      </c>
      <c r="L874" s="4" t="n"/>
    </row>
    <row r="875" ht="14" customHeight="1" s="72">
      <c r="A875" s="75" t="n">
        <v>46094</v>
      </c>
      <c r="B875" s="76" t="n">
        <v>16006</v>
      </c>
      <c r="C875" s="69">
        <f>IF(B875="","",IFERROR(INDEX(Client_List!$B:$B,MATCH(B875,Client_List!$A:$A,0)),"⚠ NOT FOUND"))</f>
        <v/>
      </c>
      <c r="D875" s="43" t="n">
        <v>526</v>
      </c>
      <c r="E875" s="32">
        <f>IF(B875="","",IFERROR(INDEX(Client_List!$C:$C,MATCH(VALUE(B875),Client_List!$A:$A,0)),""))</f>
        <v/>
      </c>
      <c r="F875" s="53">
        <f>IF(B875="","",IFERROR(INDEX(Client_List!$D:$D,MATCH(VALUE(B875),Client_List!$A:$A,0)),""))</f>
        <v/>
      </c>
      <c r="G875" s="53">
        <f>IF(B875="","",IFERROR(INDEX(Client_List!$K:$K,MATCH(VALUE(B875),Client_List!$A:$A,0)),""))</f>
        <v/>
      </c>
      <c r="H875" s="32">
        <f>IF(B875="","",IFERROR(INDEX(Client_List!$J:$J,MATCH(VALUE(B875),Client_List!$A:$A,0)),""))</f>
        <v/>
      </c>
      <c r="I875" s="70">
        <f>IF(B875="","",IFERROR(A875-LOOKUP(2,1/($B$4:$B874=B875),$A$4:$A874),""))</f>
        <v/>
      </c>
      <c r="J875" s="32">
        <f>IF(B875="","",IFERROR(D875/I875,""))</f>
        <v/>
      </c>
      <c r="K875" s="71">
        <f>IF(B875="","",IFERROR(AVERAGEIFS($J$4:$J875,$B$4:$B875,B875,$J$4:$J875,"&gt;"&amp;0),""))</f>
        <v/>
      </c>
      <c r="L875" s="7" t="n"/>
    </row>
    <row r="876" ht="14" customHeight="1" s="72">
      <c r="A876" s="75" t="n">
        <v>46094</v>
      </c>
      <c r="B876" s="76" t="n">
        <v>16010</v>
      </c>
      <c r="C876" s="69">
        <f>IF(B876="","",IFERROR(INDEX(Client_List!$B:$B,MATCH(B876,Client_List!$A:$A,0)),"⚠ NOT FOUND"))</f>
        <v/>
      </c>
      <c r="D876" s="43" t="n">
        <v>1292</v>
      </c>
      <c r="E876" s="32">
        <f>IF(B876="","",IFERROR(INDEX(Client_List!$C:$C,MATCH(VALUE(B876),Client_List!$A:$A,0)),""))</f>
        <v/>
      </c>
      <c r="F876" s="53">
        <f>IF(B876="","",IFERROR(INDEX(Client_List!$D:$D,MATCH(VALUE(B876),Client_List!$A:$A,0)),""))</f>
        <v/>
      </c>
      <c r="G876" s="53">
        <f>IF(B876="","",IFERROR(INDEX(Client_List!$K:$K,MATCH(VALUE(B876),Client_List!$A:$A,0)),""))</f>
        <v/>
      </c>
      <c r="H876" s="32">
        <f>IF(B876="","",IFERROR(INDEX(Client_List!$J:$J,MATCH(VALUE(B876),Client_List!$A:$A,0)),""))</f>
        <v/>
      </c>
      <c r="I876" s="70">
        <f>IF(B876="","",IFERROR(A876-LOOKUP(2,1/($B$4:$B875=B876),$A$4:$A875),""))</f>
        <v/>
      </c>
      <c r="J876" s="32">
        <f>IF(B876="","",IFERROR(D876/I876,""))</f>
        <v/>
      </c>
      <c r="K876" s="71">
        <f>IF(B876="","",IFERROR(AVERAGEIFS($J$4:$J876,$B$4:$B876,B876,$J$4:$J876,"&gt;"&amp;0),""))</f>
        <v/>
      </c>
      <c r="L876" s="4" t="n"/>
    </row>
    <row r="877" ht="14" customHeight="1" s="72">
      <c r="A877" s="75" t="n">
        <v>46094</v>
      </c>
      <c r="B877" s="76" t="n">
        <v>19033</v>
      </c>
      <c r="C877" s="69">
        <f>IF(B877="","",IFERROR(INDEX(Client_List!$B:$B,MATCH(B877,Client_List!$A:$A,0)),"⚠ NOT FOUND"))</f>
        <v/>
      </c>
      <c r="D877" s="43" t="n">
        <v>188</v>
      </c>
      <c r="E877" s="32">
        <f>IF(B877="","",IFERROR(INDEX(Client_List!$C:$C,MATCH(VALUE(B877),Client_List!$A:$A,0)),""))</f>
        <v/>
      </c>
      <c r="F877" s="53">
        <f>IF(B877="","",IFERROR(INDEX(Client_List!$D:$D,MATCH(VALUE(B877),Client_List!$A:$A,0)),""))</f>
        <v/>
      </c>
      <c r="G877" s="53">
        <f>IF(B877="","",IFERROR(INDEX(Client_List!$K:$K,MATCH(VALUE(B877),Client_List!$A:$A,0)),""))</f>
        <v/>
      </c>
      <c r="H877" s="32">
        <f>IF(B877="","",IFERROR(INDEX(Client_List!$J:$J,MATCH(VALUE(B877),Client_List!$A:$A,0)),""))</f>
        <v/>
      </c>
      <c r="I877" s="70">
        <f>IF(B877="","",IFERROR(A877-LOOKUP(2,1/($B$4:$B876=B877),$A$4:$A876),""))</f>
        <v/>
      </c>
      <c r="J877" s="32">
        <f>IF(B877="","",IFERROR(D877/I877,""))</f>
        <v/>
      </c>
      <c r="K877" s="71">
        <f>IF(B877="","",IFERROR(AVERAGEIFS($J$4:$J877,$B$4:$B877,B877,$J$4:$J877,"&gt;"&amp;0),""))</f>
        <v/>
      </c>
      <c r="L877" s="7" t="n"/>
    </row>
    <row r="878" ht="14" customHeight="1" s="72">
      <c r="A878" s="75" t="n">
        <v>46095</v>
      </c>
      <c r="B878" s="76" t="n">
        <v>1057</v>
      </c>
      <c r="C878" s="69">
        <f>IF(B878="","",IFERROR(INDEX(Client_List!$B:$B,MATCH(B878,Client_List!$A:$A,0)),"⚠ NOT FOUND"))</f>
        <v/>
      </c>
      <c r="D878" s="43" t="n">
        <v>687</v>
      </c>
      <c r="E878" s="32">
        <f>IF(B878="","",IFERROR(INDEX(Client_List!$C:$C,MATCH(VALUE(B878),Client_List!$A:$A,0)),""))</f>
        <v/>
      </c>
      <c r="F878" s="53">
        <f>IF(B878="","",IFERROR(INDEX(Client_List!$D:$D,MATCH(VALUE(B878),Client_List!$A:$A,0)),""))</f>
        <v/>
      </c>
      <c r="G878" s="53">
        <f>IF(B878="","",IFERROR(INDEX(Client_List!$K:$K,MATCH(VALUE(B878),Client_List!$A:$A,0)),""))</f>
        <v/>
      </c>
      <c r="H878" s="32">
        <f>IF(B878="","",IFERROR(INDEX(Client_List!$J:$J,MATCH(VALUE(B878),Client_List!$A:$A,0)),""))</f>
        <v/>
      </c>
      <c r="I878" s="70">
        <f>IF(B878="","",IFERROR(A878-LOOKUP(2,1/($B$4:$B877=B878),$A$4:$A877),""))</f>
        <v/>
      </c>
      <c r="J878" s="32">
        <f>IF(B878="","",IFERROR(D878/I878,""))</f>
        <v/>
      </c>
      <c r="K878" s="71">
        <f>IF(B878="","",IFERROR(AVERAGEIFS($J$4:$J878,$B$4:$B878,B878,$J$4:$J878,"&gt;"&amp;0),""))</f>
        <v/>
      </c>
      <c r="L878" s="4" t="n"/>
    </row>
    <row r="879" ht="14" customHeight="1" s="72">
      <c r="A879" s="75" t="n">
        <v>46095</v>
      </c>
      <c r="B879" s="76" t="n">
        <v>2023</v>
      </c>
      <c r="C879" s="69">
        <f>IF(B879="","",IFERROR(INDEX(Client_List!$B:$B,MATCH(B879,Client_List!$A:$A,0)),"⚠ NOT FOUND"))</f>
        <v/>
      </c>
      <c r="D879" s="43" t="n">
        <v>390</v>
      </c>
      <c r="E879" s="32">
        <f>IF(B879="","",IFERROR(INDEX(Client_List!$C:$C,MATCH(VALUE(B879),Client_List!$A:$A,0)),""))</f>
        <v/>
      </c>
      <c r="F879" s="53">
        <f>IF(B879="","",IFERROR(INDEX(Client_List!$D:$D,MATCH(VALUE(B879),Client_List!$A:$A,0)),""))</f>
        <v/>
      </c>
      <c r="G879" s="53">
        <f>IF(B879="","",IFERROR(INDEX(Client_List!$K:$K,MATCH(VALUE(B879),Client_List!$A:$A,0)),""))</f>
        <v/>
      </c>
      <c r="H879" s="32">
        <f>IF(B879="","",IFERROR(INDEX(Client_List!$J:$J,MATCH(VALUE(B879),Client_List!$A:$A,0)),""))</f>
        <v/>
      </c>
      <c r="I879" s="70">
        <f>IF(B879="","",IFERROR(A879-LOOKUP(2,1/($B$4:$B878=B879),$A$4:$A878),""))</f>
        <v/>
      </c>
      <c r="J879" s="32">
        <f>IF(B879="","",IFERROR(D879/I879,""))</f>
        <v/>
      </c>
      <c r="K879" s="71">
        <f>IF(B879="","",IFERROR(AVERAGEIFS($J$4:$J879,$B$4:$B879,B879,$J$4:$J879,"&gt;"&amp;0),""))</f>
        <v/>
      </c>
      <c r="L879" s="7" t="n"/>
    </row>
    <row r="880" ht="14" customHeight="1" s="72">
      <c r="A880" s="75" t="n">
        <v>46095</v>
      </c>
      <c r="B880" s="76" t="n">
        <v>2045</v>
      </c>
      <c r="C880" s="69">
        <f>IF(B880="","",IFERROR(INDEX(Client_List!$B:$B,MATCH(B880,Client_List!$A:$A,0)),"⚠ NOT FOUND"))</f>
        <v/>
      </c>
      <c r="D880" s="43" t="n">
        <v>267</v>
      </c>
      <c r="E880" s="32">
        <f>IF(B880="","",IFERROR(INDEX(Client_List!$C:$C,MATCH(VALUE(B880),Client_List!$A:$A,0)),""))</f>
        <v/>
      </c>
      <c r="F880" s="53">
        <f>IF(B880="","",IFERROR(INDEX(Client_List!$D:$D,MATCH(VALUE(B880),Client_List!$A:$A,0)),""))</f>
        <v/>
      </c>
      <c r="G880" s="53">
        <f>IF(B880="","",IFERROR(INDEX(Client_List!$K:$K,MATCH(VALUE(B880),Client_List!$A:$A,0)),""))</f>
        <v/>
      </c>
      <c r="H880" s="32">
        <f>IF(B880="","",IFERROR(INDEX(Client_List!$J:$J,MATCH(VALUE(B880),Client_List!$A:$A,0)),""))</f>
        <v/>
      </c>
      <c r="I880" s="70">
        <f>IF(B880="","",IFERROR(A880-LOOKUP(2,1/($B$4:$B879=B880),$A$4:$A879),""))</f>
        <v/>
      </c>
      <c r="J880" s="32">
        <f>IF(B880="","",IFERROR(D880/I880,""))</f>
        <v/>
      </c>
      <c r="K880" s="71">
        <f>IF(B880="","",IFERROR(AVERAGEIFS($J$4:$J880,$B$4:$B880,B880,$J$4:$J880,"&gt;"&amp;0),""))</f>
        <v/>
      </c>
      <c r="L880" s="4" t="n"/>
    </row>
    <row r="881" ht="14" customHeight="1" s="72">
      <c r="A881" s="75" t="n">
        <v>46095</v>
      </c>
      <c r="B881" s="76" t="n">
        <v>5004</v>
      </c>
      <c r="C881" s="69">
        <f>IF(B881="","",IFERROR(INDEX(Client_List!$B:$B,MATCH(B881,Client_List!$A:$A,0)),"⚠ NOT FOUND"))</f>
        <v/>
      </c>
      <c r="D881" s="43" t="n">
        <v>473</v>
      </c>
      <c r="E881" s="32">
        <f>IF(B881="","",IFERROR(INDEX(Client_List!$C:$C,MATCH(VALUE(B881),Client_List!$A:$A,0)),""))</f>
        <v/>
      </c>
      <c r="F881" s="53">
        <f>IF(B881="","",IFERROR(INDEX(Client_List!$D:$D,MATCH(VALUE(B881),Client_List!$A:$A,0)),""))</f>
        <v/>
      </c>
      <c r="G881" s="53">
        <f>IF(B881="","",IFERROR(INDEX(Client_List!$K:$K,MATCH(VALUE(B881),Client_List!$A:$A,0)),""))</f>
        <v/>
      </c>
      <c r="H881" s="32">
        <f>IF(B881="","",IFERROR(INDEX(Client_List!$J:$J,MATCH(VALUE(B881),Client_List!$A:$A,0)),""))</f>
        <v/>
      </c>
      <c r="I881" s="70">
        <f>IF(B881="","",IFERROR(A881-LOOKUP(2,1/($B$4:$B880=B881),$A$4:$A880),""))</f>
        <v/>
      </c>
      <c r="J881" s="32">
        <f>IF(B881="","",IFERROR(D881/I881,""))</f>
        <v/>
      </c>
      <c r="K881" s="71">
        <f>IF(B881="","",IFERROR(AVERAGEIFS($J$4:$J881,$B$4:$B881,B881,$J$4:$J881,"&gt;"&amp;0),""))</f>
        <v/>
      </c>
      <c r="L881" s="7" t="n"/>
    </row>
    <row r="882" ht="14" customHeight="1" s="72">
      <c r="A882" s="75" t="n">
        <v>46095</v>
      </c>
      <c r="B882" s="76" t="n">
        <v>15009</v>
      </c>
      <c r="C882" s="69">
        <f>IF(B882="","",IFERROR(INDEX(Client_List!$B:$B,MATCH(B882,Client_List!$A:$A,0)),"⚠ NOT FOUND"))</f>
        <v/>
      </c>
      <c r="D882" s="43" t="n">
        <v>495</v>
      </c>
      <c r="E882" s="32">
        <f>IF(B882="","",IFERROR(INDEX(Client_List!$C:$C,MATCH(VALUE(B882),Client_List!$A:$A,0)),""))</f>
        <v/>
      </c>
      <c r="F882" s="53">
        <f>IF(B882="","",IFERROR(INDEX(Client_List!$D:$D,MATCH(VALUE(B882),Client_List!$A:$A,0)),""))</f>
        <v/>
      </c>
      <c r="G882" s="53">
        <f>IF(B882="","",IFERROR(INDEX(Client_List!$K:$K,MATCH(VALUE(B882),Client_List!$A:$A,0)),""))</f>
        <v/>
      </c>
      <c r="H882" s="32">
        <f>IF(B882="","",IFERROR(INDEX(Client_List!$J:$J,MATCH(VALUE(B882),Client_List!$A:$A,0)),""))</f>
        <v/>
      </c>
      <c r="I882" s="70">
        <f>IF(B882="","",IFERROR(A882-LOOKUP(2,1/($B$4:$B881=B882),$A$4:$A881),""))</f>
        <v/>
      </c>
      <c r="J882" s="32">
        <f>IF(B882="","",IFERROR(D882/I882,""))</f>
        <v/>
      </c>
      <c r="K882" s="71">
        <f>IF(B882="","",IFERROR(AVERAGEIFS($J$4:$J882,$B$4:$B882,B882,$J$4:$J882,"&gt;"&amp;0),""))</f>
        <v/>
      </c>
      <c r="L882" s="4" t="n"/>
    </row>
    <row r="883" ht="14" customHeight="1" s="72">
      <c r="A883" s="75" t="n">
        <v>46095</v>
      </c>
      <c r="B883" s="76" t="n">
        <v>15021</v>
      </c>
      <c r="C883" s="69">
        <f>IF(B883="","",IFERROR(INDEX(Client_List!$B:$B,MATCH(B883,Client_List!$A:$A,0)),"⚠ NOT FOUND"))</f>
        <v/>
      </c>
      <c r="D883" s="43" t="n">
        <v>419</v>
      </c>
      <c r="E883" s="32">
        <f>IF(B883="","",IFERROR(INDEX(Client_List!$C:$C,MATCH(VALUE(B883),Client_List!$A:$A,0)),""))</f>
        <v/>
      </c>
      <c r="F883" s="53">
        <f>IF(B883="","",IFERROR(INDEX(Client_List!$D:$D,MATCH(VALUE(B883),Client_List!$A:$A,0)),""))</f>
        <v/>
      </c>
      <c r="G883" s="53">
        <f>IF(B883="","",IFERROR(INDEX(Client_List!$K:$K,MATCH(VALUE(B883),Client_List!$A:$A,0)),""))</f>
        <v/>
      </c>
      <c r="H883" s="32">
        <f>IF(B883="","",IFERROR(INDEX(Client_List!$J:$J,MATCH(VALUE(B883),Client_List!$A:$A,0)),""))</f>
        <v/>
      </c>
      <c r="I883" s="70">
        <f>IF(B883="","",IFERROR(A883-LOOKUP(2,1/($B$4:$B882=B883),$A$4:$A882),""))</f>
        <v/>
      </c>
      <c r="J883" s="32">
        <f>IF(B883="","",IFERROR(D883/I883,""))</f>
        <v/>
      </c>
      <c r="K883" s="71">
        <f>IF(B883="","",IFERROR(AVERAGEIFS($J$4:$J883,$B$4:$B883,B883,$J$4:$J883,"&gt;"&amp;0),""))</f>
        <v/>
      </c>
      <c r="L883" s="7" t="n"/>
    </row>
    <row r="884" ht="14" customHeight="1" s="72">
      <c r="A884" s="75" t="n">
        <v>46095</v>
      </c>
      <c r="B884" s="76" t="n">
        <v>15028</v>
      </c>
      <c r="C884" s="69">
        <f>IF(B884="","",IFERROR(INDEX(Client_List!$B:$B,MATCH(B884,Client_List!$A:$A,0)),"⚠ NOT FOUND"))</f>
        <v/>
      </c>
      <c r="D884" s="43" t="n">
        <v>584</v>
      </c>
      <c r="E884" s="32">
        <f>IF(B884="","",IFERROR(INDEX(Client_List!$C:$C,MATCH(VALUE(B884),Client_List!$A:$A,0)),""))</f>
        <v/>
      </c>
      <c r="F884" s="53">
        <f>IF(B884="","",IFERROR(INDEX(Client_List!$D:$D,MATCH(VALUE(B884),Client_List!$A:$A,0)),""))</f>
        <v/>
      </c>
      <c r="G884" s="53">
        <f>IF(B884="","",IFERROR(INDEX(Client_List!$K:$K,MATCH(VALUE(B884),Client_List!$A:$A,0)),""))</f>
        <v/>
      </c>
      <c r="H884" s="32">
        <f>IF(B884="","",IFERROR(INDEX(Client_List!$J:$J,MATCH(VALUE(B884),Client_List!$A:$A,0)),""))</f>
        <v/>
      </c>
      <c r="I884" s="70">
        <f>IF(B884="","",IFERROR(A884-LOOKUP(2,1/($B$4:$B883=B884),$A$4:$A883),""))</f>
        <v/>
      </c>
      <c r="J884" s="32">
        <f>IF(B884="","",IFERROR(D884/I884,""))</f>
        <v/>
      </c>
      <c r="K884" s="71">
        <f>IF(B884="","",IFERROR(AVERAGEIFS($J$4:$J884,$B$4:$B884,B884,$J$4:$J884,"&gt;"&amp;0),""))</f>
        <v/>
      </c>
      <c r="L884" s="4" t="n"/>
    </row>
    <row r="885" ht="14" customHeight="1" s="72">
      <c r="A885" s="75" t="n">
        <v>46095</v>
      </c>
      <c r="B885" s="76" t="n">
        <v>15033</v>
      </c>
      <c r="C885" s="69">
        <f>IF(B885="","",IFERROR(INDEX(Client_List!$B:$B,MATCH(B885,Client_List!$A:$A,0)),"⚠ NOT FOUND"))</f>
        <v/>
      </c>
      <c r="D885" s="43" t="n">
        <v>355</v>
      </c>
      <c r="E885" s="32">
        <f>IF(B885="","",IFERROR(INDEX(Client_List!$C:$C,MATCH(VALUE(B885),Client_List!$A:$A,0)),""))</f>
        <v/>
      </c>
      <c r="F885" s="53">
        <f>IF(B885="","",IFERROR(INDEX(Client_List!$D:$D,MATCH(VALUE(B885),Client_List!$A:$A,0)),""))</f>
        <v/>
      </c>
      <c r="G885" s="53">
        <f>IF(B885="","",IFERROR(INDEX(Client_List!$K:$K,MATCH(VALUE(B885),Client_List!$A:$A,0)),""))</f>
        <v/>
      </c>
      <c r="H885" s="32">
        <f>IF(B885="","",IFERROR(INDEX(Client_List!$J:$J,MATCH(VALUE(B885),Client_List!$A:$A,0)),""))</f>
        <v/>
      </c>
      <c r="I885" s="70">
        <f>IF(B885="","",IFERROR(A885-LOOKUP(2,1/($B$4:$B884=B885),$A$4:$A884),""))</f>
        <v/>
      </c>
      <c r="J885" s="32">
        <f>IF(B885="","",IFERROR(D885/I885,""))</f>
        <v/>
      </c>
      <c r="K885" s="71">
        <f>IF(B885="","",IFERROR(AVERAGEIFS($J$4:$J885,$B$4:$B885,B885,$J$4:$J885,"&gt;"&amp;0),""))</f>
        <v/>
      </c>
      <c r="L885" s="7" t="n"/>
    </row>
    <row r="886" ht="14" customHeight="1" s="72">
      <c r="A886" s="75" t="n">
        <v>46095</v>
      </c>
      <c r="B886" s="76" t="n">
        <v>16008</v>
      </c>
      <c r="C886" s="69">
        <f>IF(B886="","",IFERROR(INDEX(Client_List!$B:$B,MATCH(B886,Client_List!$A:$A,0)),"⚠ NOT FOUND"))</f>
        <v/>
      </c>
      <c r="D886" s="43" t="n">
        <v>583</v>
      </c>
      <c r="E886" s="32">
        <f>IF(B886="","",IFERROR(INDEX(Client_List!$C:$C,MATCH(VALUE(B886),Client_List!$A:$A,0)),""))</f>
        <v/>
      </c>
      <c r="F886" s="53">
        <f>IF(B886="","",IFERROR(INDEX(Client_List!$D:$D,MATCH(VALUE(B886),Client_List!$A:$A,0)),""))</f>
        <v/>
      </c>
      <c r="G886" s="53">
        <f>IF(B886="","",IFERROR(INDEX(Client_List!$K:$K,MATCH(VALUE(B886),Client_List!$A:$A,0)),""))</f>
        <v/>
      </c>
      <c r="H886" s="32">
        <f>IF(B886="","",IFERROR(INDEX(Client_List!$J:$J,MATCH(VALUE(B886),Client_List!$A:$A,0)),""))</f>
        <v/>
      </c>
      <c r="I886" s="70">
        <f>IF(B886="","",IFERROR(A886-LOOKUP(2,1/($B$4:$B885=B886),$A$4:$A885),""))</f>
        <v/>
      </c>
      <c r="J886" s="32">
        <f>IF(B886="","",IFERROR(D886/I886,""))</f>
        <v/>
      </c>
      <c r="K886" s="71">
        <f>IF(B886="","",IFERROR(AVERAGEIFS($J$4:$J886,$B$4:$B886,B886,$J$4:$J886,"&gt;"&amp;0),""))</f>
        <v/>
      </c>
      <c r="L886" s="4" t="n"/>
    </row>
    <row r="887" ht="14" customHeight="1" s="72">
      <c r="A887" s="75" t="n">
        <v>46095</v>
      </c>
      <c r="B887" s="76" t="n">
        <v>16027</v>
      </c>
      <c r="C887" s="69">
        <f>IF(B887="","",IFERROR(INDEX(Client_List!$B:$B,MATCH(B887,Client_List!$A:$A,0)),"⚠ NOT FOUND"))</f>
        <v/>
      </c>
      <c r="D887" s="43" t="n">
        <v>551</v>
      </c>
      <c r="E887" s="32">
        <f>IF(B887="","",IFERROR(INDEX(Client_List!$C:$C,MATCH(VALUE(B887),Client_List!$A:$A,0)),""))</f>
        <v/>
      </c>
      <c r="F887" s="53">
        <f>IF(B887="","",IFERROR(INDEX(Client_List!$D:$D,MATCH(VALUE(B887),Client_List!$A:$A,0)),""))</f>
        <v/>
      </c>
      <c r="G887" s="53">
        <f>IF(B887="","",IFERROR(INDEX(Client_List!$K:$K,MATCH(VALUE(B887),Client_List!$A:$A,0)),""))</f>
        <v/>
      </c>
      <c r="H887" s="32">
        <f>IF(B887="","",IFERROR(INDEX(Client_List!$J:$J,MATCH(VALUE(B887),Client_List!$A:$A,0)),""))</f>
        <v/>
      </c>
      <c r="I887" s="70">
        <f>IF(B887="","",IFERROR(A887-LOOKUP(2,1/($B$4:$B886=B887),$A$4:$A886),""))</f>
        <v/>
      </c>
      <c r="J887" s="32">
        <f>IF(B887="","",IFERROR(D887/I887,""))</f>
        <v/>
      </c>
      <c r="K887" s="71">
        <f>IF(B887="","",IFERROR(AVERAGEIFS($J$4:$J887,$B$4:$B887,B887,$J$4:$J887,"&gt;"&amp;0),""))</f>
        <v/>
      </c>
      <c r="L887" s="7" t="n"/>
    </row>
    <row r="888" ht="14" customHeight="1" s="72">
      <c r="A888" s="75" t="n">
        <v>46095</v>
      </c>
      <c r="B888" s="76" t="n">
        <v>16051</v>
      </c>
      <c r="C888" s="69">
        <f>IF(B888="","",IFERROR(INDEX(Client_List!$B:$B,MATCH(B888,Client_List!$A:$A,0)),"⚠ NOT FOUND"))</f>
        <v/>
      </c>
      <c r="D888" s="43" t="n">
        <v>1943</v>
      </c>
      <c r="E888" s="32">
        <f>IF(B888="","",IFERROR(INDEX(Client_List!$C:$C,MATCH(VALUE(B888),Client_List!$A:$A,0)),""))</f>
        <v/>
      </c>
      <c r="F888" s="53">
        <f>IF(B888="","",IFERROR(INDEX(Client_List!$D:$D,MATCH(VALUE(B888),Client_List!$A:$A,0)),""))</f>
        <v/>
      </c>
      <c r="G888" s="53">
        <f>IF(B888="","",IFERROR(INDEX(Client_List!$K:$K,MATCH(VALUE(B888),Client_List!$A:$A,0)),""))</f>
        <v/>
      </c>
      <c r="H888" s="32">
        <f>IF(B888="","",IFERROR(INDEX(Client_List!$J:$J,MATCH(VALUE(B888),Client_List!$A:$A,0)),""))</f>
        <v/>
      </c>
      <c r="I888" s="70">
        <f>IF(B888="","",IFERROR(A888-LOOKUP(2,1/($B$4:$B887=B888),$A$4:$A887),""))</f>
        <v/>
      </c>
      <c r="J888" s="32">
        <f>IF(B888="","",IFERROR(D888/I888,""))</f>
        <v/>
      </c>
      <c r="K888" s="71">
        <f>IF(B888="","",IFERROR(AVERAGEIFS($J$4:$J888,$B$4:$B888,B888,$J$4:$J888,"&gt;"&amp;0),""))</f>
        <v/>
      </c>
      <c r="L888" s="4" t="n"/>
    </row>
    <row r="889" ht="14" customHeight="1" s="72">
      <c r="A889" s="75" t="n">
        <v>46095</v>
      </c>
      <c r="B889" s="76" t="n">
        <v>18004</v>
      </c>
      <c r="C889" s="69">
        <f>IF(B889="","",IFERROR(INDEX(Client_List!$B:$B,MATCH(B889,Client_List!$A:$A,0)),"⚠ NOT FOUND"))</f>
        <v/>
      </c>
      <c r="D889" s="43" t="n">
        <v>681</v>
      </c>
      <c r="E889" s="32">
        <f>IF(B889="","",IFERROR(INDEX(Client_List!$C:$C,MATCH(VALUE(B889),Client_List!$A:$A,0)),""))</f>
        <v/>
      </c>
      <c r="F889" s="53">
        <f>IF(B889="","",IFERROR(INDEX(Client_List!$D:$D,MATCH(VALUE(B889),Client_List!$A:$A,0)),""))</f>
        <v/>
      </c>
      <c r="G889" s="53">
        <f>IF(B889="","",IFERROR(INDEX(Client_List!$K:$K,MATCH(VALUE(B889),Client_List!$A:$A,0)),""))</f>
        <v/>
      </c>
      <c r="H889" s="32">
        <f>IF(B889="","",IFERROR(INDEX(Client_List!$J:$J,MATCH(VALUE(B889),Client_List!$A:$A,0)),""))</f>
        <v/>
      </c>
      <c r="I889" s="70">
        <f>IF(B889="","",IFERROR(A889-LOOKUP(2,1/($B$4:$B888=B889),$A$4:$A888),""))</f>
        <v/>
      </c>
      <c r="J889" s="32">
        <f>IF(B889="","",IFERROR(D889/I889,""))</f>
        <v/>
      </c>
      <c r="K889" s="71">
        <f>IF(B889="","",IFERROR(AVERAGEIFS($J$4:$J889,$B$4:$B889,B889,$J$4:$J889,"&gt;"&amp;0),""))</f>
        <v/>
      </c>
      <c r="L889" s="7" t="n"/>
    </row>
    <row r="890" ht="14" customHeight="1" s="72">
      <c r="A890" s="75" t="n">
        <v>46095</v>
      </c>
      <c r="B890" s="76" t="n">
        <v>20019</v>
      </c>
      <c r="C890" s="69">
        <f>IF(B890="","",IFERROR(INDEX(Client_List!$B:$B,MATCH(B890,Client_List!$A:$A,0)),"⚠ NOT FOUND"))</f>
        <v/>
      </c>
      <c r="D890" s="43" t="n">
        <v>819</v>
      </c>
      <c r="E890" s="32">
        <f>IF(B890="","",IFERROR(INDEX(Client_List!$C:$C,MATCH(VALUE(B890),Client_List!$A:$A,0)),""))</f>
        <v/>
      </c>
      <c r="F890" s="53">
        <f>IF(B890="","",IFERROR(INDEX(Client_List!$D:$D,MATCH(VALUE(B890),Client_List!$A:$A,0)),""))</f>
        <v/>
      </c>
      <c r="G890" s="53">
        <f>IF(B890="","",IFERROR(INDEX(Client_List!$K:$K,MATCH(VALUE(B890),Client_List!$A:$A,0)),""))</f>
        <v/>
      </c>
      <c r="H890" s="32">
        <f>IF(B890="","",IFERROR(INDEX(Client_List!$J:$J,MATCH(VALUE(B890),Client_List!$A:$A,0)),""))</f>
        <v/>
      </c>
      <c r="I890" s="70">
        <f>IF(B890="","",IFERROR(A890-LOOKUP(2,1/($B$4:$B889=B890),$A$4:$A889),""))</f>
        <v/>
      </c>
      <c r="J890" s="32">
        <f>IF(B890="","",IFERROR(D890/I890,""))</f>
        <v/>
      </c>
      <c r="K890" s="71">
        <f>IF(B890="","",IFERROR(AVERAGEIFS($J$4:$J890,$B$4:$B890,B890,$J$4:$J890,"&gt;"&amp;0),""))</f>
        <v/>
      </c>
      <c r="L890" s="4" t="n"/>
    </row>
    <row r="891" ht="14" customHeight="1" s="72">
      <c r="A891" s="75" t="n">
        <v>46095</v>
      </c>
      <c r="B891" s="76" t="n">
        <v>20092</v>
      </c>
      <c r="C891" s="69">
        <f>IF(B891="","",IFERROR(INDEX(Client_List!$B:$B,MATCH(B891,Client_List!$A:$A,0)),"⚠ NOT FOUND"))</f>
        <v/>
      </c>
      <c r="D891" s="43" t="n">
        <v>731</v>
      </c>
      <c r="E891" s="32">
        <f>IF(B891="","",IFERROR(INDEX(Client_List!$C:$C,MATCH(VALUE(B891),Client_List!$A:$A,0)),""))</f>
        <v/>
      </c>
      <c r="F891" s="53">
        <f>IF(B891="","",IFERROR(INDEX(Client_List!$D:$D,MATCH(VALUE(B891),Client_List!$A:$A,0)),""))</f>
        <v/>
      </c>
      <c r="G891" s="53">
        <f>IF(B891="","",IFERROR(INDEX(Client_List!$K:$K,MATCH(VALUE(B891),Client_List!$A:$A,0)),""))</f>
        <v/>
      </c>
      <c r="H891" s="32">
        <f>IF(B891="","",IFERROR(INDEX(Client_List!$J:$J,MATCH(VALUE(B891),Client_List!$A:$A,0)),""))</f>
        <v/>
      </c>
      <c r="I891" s="70">
        <f>IF(B891="","",IFERROR(A891-LOOKUP(2,1/($B$4:$B890=B891),$A$4:$A890),""))</f>
        <v/>
      </c>
      <c r="J891" s="32">
        <f>IF(B891="","",IFERROR(D891/I891,""))</f>
        <v/>
      </c>
      <c r="K891" s="71">
        <f>IF(B891="","",IFERROR(AVERAGEIFS($J$4:$J891,$B$4:$B891,B891,$J$4:$J891,"&gt;"&amp;0),""))</f>
        <v/>
      </c>
      <c r="L891" s="7" t="n"/>
    </row>
    <row r="892" ht="14" customHeight="1" s="72">
      <c r="A892" s="75" t="n">
        <v>46096</v>
      </c>
      <c r="B892" s="76" t="n">
        <v>2016</v>
      </c>
      <c r="C892" s="69">
        <f>IF(B892="","",IFERROR(INDEX(Client_List!$B:$B,MATCH(B892,Client_List!$A:$A,0)),"⚠ NOT FOUND"))</f>
        <v/>
      </c>
      <c r="D892" s="43" t="n">
        <v>507</v>
      </c>
      <c r="E892" s="32">
        <f>IF(B892="","",IFERROR(INDEX(Client_List!$C:$C,MATCH(VALUE(B892),Client_List!$A:$A,0)),""))</f>
        <v/>
      </c>
      <c r="F892" s="53">
        <f>IF(B892="","",IFERROR(INDEX(Client_List!$D:$D,MATCH(VALUE(B892),Client_List!$A:$A,0)),""))</f>
        <v/>
      </c>
      <c r="G892" s="53">
        <f>IF(B892="","",IFERROR(INDEX(Client_List!$K:$K,MATCH(VALUE(B892),Client_List!$A:$A,0)),""))</f>
        <v/>
      </c>
      <c r="H892" s="32">
        <f>IF(B892="","",IFERROR(INDEX(Client_List!$J:$J,MATCH(VALUE(B892),Client_List!$A:$A,0)),""))</f>
        <v/>
      </c>
      <c r="I892" s="70">
        <f>IF(B892="","",IFERROR(A892-LOOKUP(2,1/($B$4:$B891=B892),$A$4:$A891),""))</f>
        <v/>
      </c>
      <c r="J892" s="32">
        <f>IF(B892="","",IFERROR(D892/I892,""))</f>
        <v/>
      </c>
      <c r="K892" s="71">
        <f>IF(B892="","",IFERROR(AVERAGEIFS($J$4:$J892,$B$4:$B892,B892,$J$4:$J892,"&gt;"&amp;0),""))</f>
        <v/>
      </c>
      <c r="L892" s="4" t="n"/>
    </row>
    <row r="893" ht="14" customHeight="1" s="72">
      <c r="A893" s="75" t="n">
        <v>46096</v>
      </c>
      <c r="B893" s="76" t="n">
        <v>19031</v>
      </c>
      <c r="C893" s="69">
        <f>IF(B893="","",IFERROR(INDEX(Client_List!$B:$B,MATCH(B893,Client_List!$A:$A,0)),"⚠ NOT FOUND"))</f>
        <v/>
      </c>
      <c r="D893" s="43" t="n">
        <v>946</v>
      </c>
      <c r="E893" s="32">
        <f>IF(B893="","",IFERROR(INDEX(Client_List!$C:$C,MATCH(VALUE(B893),Client_List!$A:$A,0)),""))</f>
        <v/>
      </c>
      <c r="F893" s="53">
        <f>IF(B893="","",IFERROR(INDEX(Client_List!$D:$D,MATCH(VALUE(B893),Client_List!$A:$A,0)),""))</f>
        <v/>
      </c>
      <c r="G893" s="53">
        <f>IF(B893="","",IFERROR(INDEX(Client_List!$K:$K,MATCH(VALUE(B893),Client_List!$A:$A,0)),""))</f>
        <v/>
      </c>
      <c r="H893" s="32">
        <f>IF(B893="","",IFERROR(INDEX(Client_List!$J:$J,MATCH(VALUE(B893),Client_List!$A:$A,0)),""))</f>
        <v/>
      </c>
      <c r="I893" s="70">
        <f>IF(B893="","",IFERROR(A893-LOOKUP(2,1/($B$4:$B892=B893),$A$4:$A892),""))</f>
        <v/>
      </c>
      <c r="J893" s="32">
        <f>IF(B893="","",IFERROR(D893/I893,""))</f>
        <v/>
      </c>
      <c r="K893" s="71">
        <f>IF(B893="","",IFERROR(AVERAGEIFS($J$4:$J893,$B$4:$B893,B893,$J$4:$J893,"&gt;"&amp;0),""))</f>
        <v/>
      </c>
      <c r="L893" s="7" t="n"/>
    </row>
    <row r="894" ht="14" customHeight="1" s="72">
      <c r="A894" s="75" t="n">
        <v>46096</v>
      </c>
      <c r="B894" s="76" t="n">
        <v>20077</v>
      </c>
      <c r="C894" s="69">
        <f>IF(B894="","",IFERROR(INDEX(Client_List!$B:$B,MATCH(B894,Client_List!$A:$A,0)),"⚠ NOT FOUND"))</f>
        <v/>
      </c>
      <c r="D894" s="43" t="n">
        <v>625</v>
      </c>
      <c r="E894" s="32">
        <f>IF(B894="","",IFERROR(INDEX(Client_List!$C:$C,MATCH(VALUE(B894),Client_List!$A:$A,0)),""))</f>
        <v/>
      </c>
      <c r="F894" s="53">
        <f>IF(B894="","",IFERROR(INDEX(Client_List!$D:$D,MATCH(VALUE(B894),Client_List!$A:$A,0)),""))</f>
        <v/>
      </c>
      <c r="G894" s="53">
        <f>IF(B894="","",IFERROR(INDEX(Client_List!$K:$K,MATCH(VALUE(B894),Client_List!$A:$A,0)),""))</f>
        <v/>
      </c>
      <c r="H894" s="32">
        <f>IF(B894="","",IFERROR(INDEX(Client_List!$J:$J,MATCH(VALUE(B894),Client_List!$A:$A,0)),""))</f>
        <v/>
      </c>
      <c r="I894" s="70">
        <f>IF(B894="","",IFERROR(A894-LOOKUP(2,1/($B$4:$B893=B894),$A$4:$A893),""))</f>
        <v/>
      </c>
      <c r="J894" s="32">
        <f>IF(B894="","",IFERROR(D894/I894,""))</f>
        <v/>
      </c>
      <c r="K894" s="71">
        <f>IF(B894="","",IFERROR(AVERAGEIFS($J$4:$J894,$B$4:$B894,B894,$J$4:$J894,"&gt;"&amp;0),""))</f>
        <v/>
      </c>
      <c r="L894" s="4" t="n"/>
    </row>
    <row r="895" ht="14" customHeight="1" s="72">
      <c r="A895" s="75" t="n">
        <v>46096</v>
      </c>
      <c r="B895" s="76" t="n">
        <v>20091</v>
      </c>
      <c r="C895" s="69">
        <f>IF(B895="","",IFERROR(INDEX(Client_List!$B:$B,MATCH(B895,Client_List!$A:$A,0)),"⚠ NOT FOUND"))</f>
        <v/>
      </c>
      <c r="D895" s="43" t="n">
        <v>914</v>
      </c>
      <c r="E895" s="32">
        <f>IF(B895="","",IFERROR(INDEX(Client_List!$C:$C,MATCH(VALUE(B895),Client_List!$A:$A,0)),""))</f>
        <v/>
      </c>
      <c r="F895" s="53">
        <f>IF(B895="","",IFERROR(INDEX(Client_List!$D:$D,MATCH(VALUE(B895),Client_List!$A:$A,0)),""))</f>
        <v/>
      </c>
      <c r="G895" s="53">
        <f>IF(B895="","",IFERROR(INDEX(Client_List!$K:$K,MATCH(VALUE(B895),Client_List!$A:$A,0)),""))</f>
        <v/>
      </c>
      <c r="H895" s="32">
        <f>IF(B895="","",IFERROR(INDEX(Client_List!$J:$J,MATCH(VALUE(B895),Client_List!$A:$A,0)),""))</f>
        <v/>
      </c>
      <c r="I895" s="70">
        <f>IF(B895="","",IFERROR(A895-LOOKUP(2,1/($B$4:$B894=B895),$A$4:$A894),""))</f>
        <v/>
      </c>
      <c r="J895" s="32">
        <f>IF(B895="","",IFERROR(D895/I895,""))</f>
        <v/>
      </c>
      <c r="K895" s="71">
        <f>IF(B895="","",IFERROR(AVERAGEIFS($J$4:$J895,$B$4:$B895,B895,$J$4:$J895,"&gt;"&amp;0),""))</f>
        <v/>
      </c>
      <c r="L895" s="7" t="n"/>
    </row>
    <row r="896" ht="14" customHeight="1" s="72">
      <c r="A896" s="75" t="n">
        <v>46096</v>
      </c>
      <c r="B896" s="76" t="n">
        <v>22006</v>
      </c>
      <c r="C896" s="69">
        <f>IF(B896="","",IFERROR(INDEX(Client_List!$B:$B,MATCH(B896,Client_List!$A:$A,0)),"⚠ NOT FOUND"))</f>
        <v/>
      </c>
      <c r="D896" s="43" t="n">
        <v>738</v>
      </c>
      <c r="E896" s="32">
        <f>IF(B896="","",IFERROR(INDEX(Client_List!$C:$C,MATCH(VALUE(B896),Client_List!$A:$A,0)),""))</f>
        <v/>
      </c>
      <c r="F896" s="53">
        <f>IF(B896="","",IFERROR(INDEX(Client_List!$D:$D,MATCH(VALUE(B896),Client_List!$A:$A,0)),""))</f>
        <v/>
      </c>
      <c r="G896" s="53">
        <f>IF(B896="","",IFERROR(INDEX(Client_List!$K:$K,MATCH(VALUE(B896),Client_List!$A:$A,0)),""))</f>
        <v/>
      </c>
      <c r="H896" s="32">
        <f>IF(B896="","",IFERROR(INDEX(Client_List!$J:$J,MATCH(VALUE(B896),Client_List!$A:$A,0)),""))</f>
        <v/>
      </c>
      <c r="I896" s="70">
        <f>IF(B896="","",IFERROR(A896-LOOKUP(2,1/($B$4:$B895=B896),$A$4:$A895),""))</f>
        <v/>
      </c>
      <c r="J896" s="32">
        <f>IF(B896="","",IFERROR(D896/I896,""))</f>
        <v/>
      </c>
      <c r="K896" s="71">
        <f>IF(B896="","",IFERROR(AVERAGEIFS($J$4:$J896,$B$4:$B896,B896,$J$4:$J896,"&gt;"&amp;0),""))</f>
        <v/>
      </c>
      <c r="L896" s="4" t="n"/>
    </row>
    <row r="897" ht="14" customHeight="1" s="72">
      <c r="A897" s="75" t="n">
        <v>46097</v>
      </c>
      <c r="B897" s="76" t="n">
        <v>15005</v>
      </c>
      <c r="C897" s="69">
        <f>IF(B897="","",IFERROR(INDEX(Client_List!$B:$B,MATCH(B897,Client_List!$A:$A,0)),"⚠ NOT FOUND"))</f>
        <v/>
      </c>
      <c r="D897" s="43" t="n">
        <v>648</v>
      </c>
      <c r="E897" s="32">
        <f>IF(B897="","",IFERROR(INDEX(Client_List!$C:$C,MATCH(VALUE(B897),Client_List!$A:$A,0)),""))</f>
        <v/>
      </c>
      <c r="F897" s="53">
        <f>IF(B897="","",IFERROR(INDEX(Client_List!$D:$D,MATCH(VALUE(B897),Client_List!$A:$A,0)),""))</f>
        <v/>
      </c>
      <c r="G897" s="53">
        <f>IF(B897="","",IFERROR(INDEX(Client_List!$K:$K,MATCH(VALUE(B897),Client_List!$A:$A,0)),""))</f>
        <v/>
      </c>
      <c r="H897" s="32">
        <f>IF(B897="","",IFERROR(INDEX(Client_List!$J:$J,MATCH(VALUE(B897),Client_List!$A:$A,0)),""))</f>
        <v/>
      </c>
      <c r="I897" s="70">
        <f>IF(B897="","",IFERROR(A897-LOOKUP(2,1/($B$4:$B896=B897),$A$4:$A896),""))</f>
        <v/>
      </c>
      <c r="J897" s="32">
        <f>IF(B897="","",IFERROR(D897/I897,""))</f>
        <v/>
      </c>
      <c r="K897" s="71">
        <f>IF(B897="","",IFERROR(AVERAGEIFS($J$4:$J897,$B$4:$B897,B897,$J$4:$J897,"&gt;"&amp;0),""))</f>
        <v/>
      </c>
      <c r="L897" s="7" t="n"/>
    </row>
    <row r="898" ht="14" customHeight="1" s="72">
      <c r="A898" s="75" t="n">
        <v>46097</v>
      </c>
      <c r="B898" s="76" t="n">
        <v>15016</v>
      </c>
      <c r="C898" s="69">
        <f>IF(B898="","",IFERROR(INDEX(Client_List!$B:$B,MATCH(B898,Client_List!$A:$A,0)),"⚠ NOT FOUND"))</f>
        <v/>
      </c>
      <c r="D898" s="43" t="n">
        <v>355</v>
      </c>
      <c r="E898" s="32">
        <f>IF(B898="","",IFERROR(INDEX(Client_List!$C:$C,MATCH(VALUE(B898),Client_List!$A:$A,0)),""))</f>
        <v/>
      </c>
      <c r="F898" s="53">
        <f>IF(B898="","",IFERROR(INDEX(Client_List!$D:$D,MATCH(VALUE(B898),Client_List!$A:$A,0)),""))</f>
        <v/>
      </c>
      <c r="G898" s="53">
        <f>IF(B898="","",IFERROR(INDEX(Client_List!$K:$K,MATCH(VALUE(B898),Client_List!$A:$A,0)),""))</f>
        <v/>
      </c>
      <c r="H898" s="32">
        <f>IF(B898="","",IFERROR(INDEX(Client_List!$J:$J,MATCH(VALUE(B898),Client_List!$A:$A,0)),""))</f>
        <v/>
      </c>
      <c r="I898" s="70">
        <f>IF(B898="","",IFERROR(A898-LOOKUP(2,1/($B$4:$B897=B898),$A$4:$A897),""))</f>
        <v/>
      </c>
      <c r="J898" s="32">
        <f>IF(B898="","",IFERROR(D898/I898,""))</f>
        <v/>
      </c>
      <c r="K898" s="71">
        <f>IF(B898="","",IFERROR(AVERAGEIFS($J$4:$J898,$B$4:$B898,B898,$J$4:$J898,"&gt;"&amp;0),""))</f>
        <v/>
      </c>
      <c r="L898" s="4" t="n"/>
    </row>
    <row r="899" ht="14" customHeight="1" s="72">
      <c r="A899" s="75" t="n">
        <v>46097</v>
      </c>
      <c r="B899" s="76" t="n">
        <v>20081</v>
      </c>
      <c r="C899" s="69">
        <f>IF(B899="","",IFERROR(INDEX(Client_List!$B:$B,MATCH(B899,Client_List!$A:$A,0)),"⚠ NOT FOUND"))</f>
        <v/>
      </c>
      <c r="D899" s="43" t="n">
        <v>1019</v>
      </c>
      <c r="E899" s="32">
        <f>IF(B899="","",IFERROR(INDEX(Client_List!$C:$C,MATCH(VALUE(B899),Client_List!$A:$A,0)),""))</f>
        <v/>
      </c>
      <c r="F899" s="53">
        <f>IF(B899="","",IFERROR(INDEX(Client_List!$D:$D,MATCH(VALUE(B899),Client_List!$A:$A,0)),""))</f>
        <v/>
      </c>
      <c r="G899" s="53">
        <f>IF(B899="","",IFERROR(INDEX(Client_List!$K:$K,MATCH(VALUE(B899),Client_List!$A:$A,0)),""))</f>
        <v/>
      </c>
      <c r="H899" s="32">
        <f>IF(B899="","",IFERROR(INDEX(Client_List!$J:$J,MATCH(VALUE(B899),Client_List!$A:$A,0)),""))</f>
        <v/>
      </c>
      <c r="I899" s="70">
        <f>IF(B899="","",IFERROR(A899-LOOKUP(2,1/($B$4:$B898=B899),$A$4:$A898),""))</f>
        <v/>
      </c>
      <c r="J899" s="32">
        <f>IF(B899="","",IFERROR(D899/I899,""))</f>
        <v/>
      </c>
      <c r="K899" s="71">
        <f>IF(B899="","",IFERROR(AVERAGEIFS($J$4:$J899,$B$4:$B899,B899,$J$4:$J899,"&gt;"&amp;0),""))</f>
        <v/>
      </c>
      <c r="L899" s="7" t="n"/>
    </row>
    <row r="900" ht="14" customHeight="1" s="72">
      <c r="A900" s="75" t="n">
        <v>46097</v>
      </c>
      <c r="B900" s="76" t="n">
        <v>20088</v>
      </c>
      <c r="C900" s="69">
        <f>IF(B900="","",IFERROR(INDEX(Client_List!$B:$B,MATCH(B900,Client_List!$A:$A,0)),"⚠ NOT FOUND"))</f>
        <v/>
      </c>
      <c r="D900" s="43" t="n">
        <v>1061</v>
      </c>
      <c r="E900" s="32">
        <f>IF(B900="","",IFERROR(INDEX(Client_List!$C:$C,MATCH(VALUE(B900),Client_List!$A:$A,0)),""))</f>
        <v/>
      </c>
      <c r="F900" s="53">
        <f>IF(B900="","",IFERROR(INDEX(Client_List!$D:$D,MATCH(VALUE(B900),Client_List!$A:$A,0)),""))</f>
        <v/>
      </c>
      <c r="G900" s="53">
        <f>IF(B900="","",IFERROR(INDEX(Client_List!$K:$K,MATCH(VALUE(B900),Client_List!$A:$A,0)),""))</f>
        <v/>
      </c>
      <c r="H900" s="32">
        <f>IF(B900="","",IFERROR(INDEX(Client_List!$J:$J,MATCH(VALUE(B900),Client_List!$A:$A,0)),""))</f>
        <v/>
      </c>
      <c r="I900" s="70">
        <f>IF(B900="","",IFERROR(A900-LOOKUP(2,1/($B$4:$B899=B900),$A$4:$A899),""))</f>
        <v/>
      </c>
      <c r="J900" s="32">
        <f>IF(B900="","",IFERROR(D900/I900,""))</f>
        <v/>
      </c>
      <c r="K900" s="71">
        <f>IF(B900="","",IFERROR(AVERAGEIFS($J$4:$J900,$B$4:$B900,B900,$J$4:$J900,"&gt;"&amp;0),""))</f>
        <v/>
      </c>
      <c r="L900" s="4" t="n"/>
    </row>
    <row r="901" ht="14" customHeight="1" s="72">
      <c r="A901" s="75" t="n">
        <v>46097</v>
      </c>
      <c r="B901" s="76" t="n">
        <v>20097</v>
      </c>
      <c r="C901" s="69">
        <f>IF(B901="","",IFERROR(INDEX(Client_List!$B:$B,MATCH(B901,Client_List!$A:$A,0)),"⚠ NOT FOUND"))</f>
        <v/>
      </c>
      <c r="D901" s="43" t="n">
        <v>1038</v>
      </c>
      <c r="E901" s="32">
        <f>IF(B901="","",IFERROR(INDEX(Client_List!$C:$C,MATCH(VALUE(B901),Client_List!$A:$A,0)),""))</f>
        <v/>
      </c>
      <c r="F901" s="53">
        <f>IF(B901="","",IFERROR(INDEX(Client_List!$D:$D,MATCH(VALUE(B901),Client_List!$A:$A,0)),""))</f>
        <v/>
      </c>
      <c r="G901" s="53">
        <f>IF(B901="","",IFERROR(INDEX(Client_List!$K:$K,MATCH(VALUE(B901),Client_List!$A:$A,0)),""))</f>
        <v/>
      </c>
      <c r="H901" s="32">
        <f>IF(B901="","",IFERROR(INDEX(Client_List!$J:$J,MATCH(VALUE(B901),Client_List!$A:$A,0)),""))</f>
        <v/>
      </c>
      <c r="I901" s="70">
        <f>IF(B901="","",IFERROR(A901-LOOKUP(2,1/($B$4:$B900=B901),$A$4:$A900),""))</f>
        <v/>
      </c>
      <c r="J901" s="32">
        <f>IF(B901="","",IFERROR(D901/I901,""))</f>
        <v/>
      </c>
      <c r="K901" s="71">
        <f>IF(B901="","",IFERROR(AVERAGEIFS($J$4:$J901,$B$4:$B901,B901,$J$4:$J901,"&gt;"&amp;0),""))</f>
        <v/>
      </c>
      <c r="L901" s="7" t="n"/>
    </row>
    <row r="902" ht="14" customHeight="1" s="72">
      <c r="A902" s="75" t="n">
        <v>46098</v>
      </c>
      <c r="B902" s="76" t="n">
        <v>1011</v>
      </c>
      <c r="C902" s="69">
        <f>IF(B902="","",IFERROR(INDEX(Client_List!$B:$B,MATCH(B902,Client_List!$A:$A,0)),"⚠ NOT FOUND"))</f>
        <v/>
      </c>
      <c r="D902" s="43" t="n">
        <v>1005</v>
      </c>
      <c r="E902" s="32">
        <f>IF(B902="","",IFERROR(INDEX(Client_List!$C:$C,MATCH(VALUE(B902),Client_List!$A:$A,0)),""))</f>
        <v/>
      </c>
      <c r="F902" s="53">
        <f>IF(B902="","",IFERROR(INDEX(Client_List!$D:$D,MATCH(VALUE(B902),Client_List!$A:$A,0)),""))</f>
        <v/>
      </c>
      <c r="G902" s="53">
        <f>IF(B902="","",IFERROR(INDEX(Client_List!$K:$K,MATCH(VALUE(B902),Client_List!$A:$A,0)),""))</f>
        <v/>
      </c>
      <c r="H902" s="32">
        <f>IF(B902="","",IFERROR(INDEX(Client_List!$J:$J,MATCH(VALUE(B902),Client_List!$A:$A,0)),""))</f>
        <v/>
      </c>
      <c r="I902" s="70">
        <f>IF(B902="","",IFERROR(A902-LOOKUP(2,1/($B$4:$B901=B902),$A$4:$A901),""))</f>
        <v/>
      </c>
      <c r="J902" s="32">
        <f>IF(B902="","",IFERROR(D902/I902,""))</f>
        <v/>
      </c>
      <c r="K902" s="71">
        <f>IF(B902="","",IFERROR(AVERAGEIFS($J$4:$J902,$B$4:$B902,B902,$J$4:$J902,"&gt;"&amp;0),""))</f>
        <v/>
      </c>
      <c r="L902" s="4" t="n"/>
    </row>
    <row r="903" ht="14" customHeight="1" s="72">
      <c r="A903" s="75" t="n">
        <v>46098</v>
      </c>
      <c r="B903" s="76" t="n">
        <v>1013</v>
      </c>
      <c r="C903" s="69">
        <f>IF(B903="","",IFERROR(INDEX(Client_List!$B:$B,MATCH(B903,Client_List!$A:$A,0)),"⚠ NOT FOUND"))</f>
        <v/>
      </c>
      <c r="D903" s="43" t="n">
        <v>964</v>
      </c>
      <c r="E903" s="32">
        <f>IF(B903="","",IFERROR(INDEX(Client_List!$C:$C,MATCH(VALUE(B903),Client_List!$A:$A,0)),""))</f>
        <v/>
      </c>
      <c r="F903" s="53">
        <f>IF(B903="","",IFERROR(INDEX(Client_List!$D:$D,MATCH(VALUE(B903),Client_List!$A:$A,0)),""))</f>
        <v/>
      </c>
      <c r="G903" s="53">
        <f>IF(B903="","",IFERROR(INDEX(Client_List!$K:$K,MATCH(VALUE(B903),Client_List!$A:$A,0)),""))</f>
        <v/>
      </c>
      <c r="H903" s="32">
        <f>IF(B903="","",IFERROR(INDEX(Client_List!$J:$J,MATCH(VALUE(B903),Client_List!$A:$A,0)),""))</f>
        <v/>
      </c>
      <c r="I903" s="70">
        <f>IF(B903="","",IFERROR(A903-LOOKUP(2,1/($B$4:$B902=B903),$A$4:$A902),""))</f>
        <v/>
      </c>
      <c r="J903" s="32">
        <f>IF(B903="","",IFERROR(D903/I903,""))</f>
        <v/>
      </c>
      <c r="K903" s="71">
        <f>IF(B903="","",IFERROR(AVERAGEIFS($J$4:$J903,$B$4:$B903,B903,$J$4:$J903,"&gt;"&amp;0),""))</f>
        <v/>
      </c>
      <c r="L903" s="7" t="n"/>
    </row>
    <row r="904" ht="14" customHeight="1" s="72">
      <c r="A904" s="75" t="n">
        <v>46098</v>
      </c>
      <c r="B904" s="76" t="n">
        <v>1054</v>
      </c>
      <c r="C904" s="69">
        <f>IF(B904="","",IFERROR(INDEX(Client_List!$B:$B,MATCH(B904,Client_List!$A:$A,0)),"⚠ NOT FOUND"))</f>
        <v/>
      </c>
      <c r="D904" s="43" t="n">
        <v>542</v>
      </c>
      <c r="E904" s="32">
        <f>IF(B904="","",IFERROR(INDEX(Client_List!$C:$C,MATCH(VALUE(B904),Client_List!$A:$A,0)),""))</f>
        <v/>
      </c>
      <c r="F904" s="53">
        <f>IF(B904="","",IFERROR(INDEX(Client_List!$D:$D,MATCH(VALUE(B904),Client_List!$A:$A,0)),""))</f>
        <v/>
      </c>
      <c r="G904" s="53">
        <f>IF(B904="","",IFERROR(INDEX(Client_List!$K:$K,MATCH(VALUE(B904),Client_List!$A:$A,0)),""))</f>
        <v/>
      </c>
      <c r="H904" s="32">
        <f>IF(B904="","",IFERROR(INDEX(Client_List!$J:$J,MATCH(VALUE(B904),Client_List!$A:$A,0)),""))</f>
        <v/>
      </c>
      <c r="I904" s="70">
        <f>IF(B904="","",IFERROR(A904-LOOKUP(2,1/($B$4:$B903=B904),$A$4:$A903),""))</f>
        <v/>
      </c>
      <c r="J904" s="32">
        <f>IF(B904="","",IFERROR(D904/I904,""))</f>
        <v/>
      </c>
      <c r="K904" s="71">
        <f>IF(B904="","",IFERROR(AVERAGEIFS($J$4:$J904,$B$4:$B904,B904,$J$4:$J904,"&gt;"&amp;0),""))</f>
        <v/>
      </c>
      <c r="L904" s="4" t="n"/>
    </row>
    <row r="905" ht="14" customHeight="1" s="72">
      <c r="A905" s="75" t="n">
        <v>46098</v>
      </c>
      <c r="B905" s="76" t="n">
        <v>1063</v>
      </c>
      <c r="C905" s="69">
        <f>IF(B905="","",IFERROR(INDEX(Client_List!$B:$B,MATCH(B905,Client_List!$A:$A,0)),"⚠ NOT FOUND"))</f>
        <v/>
      </c>
      <c r="D905" s="43" t="n">
        <v>782</v>
      </c>
      <c r="E905" s="32">
        <f>IF(B905="","",IFERROR(INDEX(Client_List!$C:$C,MATCH(VALUE(B905),Client_List!$A:$A,0)),""))</f>
        <v/>
      </c>
      <c r="F905" s="53">
        <f>IF(B905="","",IFERROR(INDEX(Client_List!$D:$D,MATCH(VALUE(B905),Client_List!$A:$A,0)),""))</f>
        <v/>
      </c>
      <c r="G905" s="53">
        <f>IF(B905="","",IFERROR(INDEX(Client_List!$K:$K,MATCH(VALUE(B905),Client_List!$A:$A,0)),""))</f>
        <v/>
      </c>
      <c r="H905" s="32">
        <f>IF(B905="","",IFERROR(INDEX(Client_List!$J:$J,MATCH(VALUE(B905),Client_List!$A:$A,0)),""))</f>
        <v/>
      </c>
      <c r="I905" s="70">
        <f>IF(B905="","",IFERROR(A905-LOOKUP(2,1/($B$4:$B904=B905),$A$4:$A904),""))</f>
        <v/>
      </c>
      <c r="J905" s="32">
        <f>IF(B905="","",IFERROR(D905/I905,""))</f>
        <v/>
      </c>
      <c r="K905" s="71">
        <f>IF(B905="","",IFERROR(AVERAGEIFS($J$4:$J905,$B$4:$B905,B905,$J$4:$J905,"&gt;"&amp;0),""))</f>
        <v/>
      </c>
      <c r="L905" s="7" t="n"/>
    </row>
    <row r="906" ht="14" customHeight="1" s="72">
      <c r="A906" s="75" t="n">
        <v>46098</v>
      </c>
      <c r="B906" s="76" t="n">
        <v>1081</v>
      </c>
      <c r="C906" s="69">
        <f>IF(B906="","",IFERROR(INDEX(Client_List!$B:$B,MATCH(B906,Client_List!$A:$A,0)),"⚠ NOT FOUND"))</f>
        <v/>
      </c>
      <c r="D906" s="43" t="n">
        <v>218</v>
      </c>
      <c r="E906" s="32">
        <f>IF(B906="","",IFERROR(INDEX(Client_List!$C:$C,MATCH(VALUE(B906),Client_List!$A:$A,0)),""))</f>
        <v/>
      </c>
      <c r="F906" s="53">
        <f>IF(B906="","",IFERROR(INDEX(Client_List!$D:$D,MATCH(VALUE(B906),Client_List!$A:$A,0)),""))</f>
        <v/>
      </c>
      <c r="G906" s="53">
        <f>IF(B906="","",IFERROR(INDEX(Client_List!$K:$K,MATCH(VALUE(B906),Client_List!$A:$A,0)),""))</f>
        <v/>
      </c>
      <c r="H906" s="32">
        <f>IF(B906="","",IFERROR(INDEX(Client_List!$J:$J,MATCH(VALUE(B906),Client_List!$A:$A,0)),""))</f>
        <v/>
      </c>
      <c r="I906" s="70">
        <f>IF(B906="","",IFERROR(A906-LOOKUP(2,1/($B$4:$B905=B906),$A$4:$A905),""))</f>
        <v/>
      </c>
      <c r="J906" s="32">
        <f>IF(B906="","",IFERROR(D906/I906,""))</f>
        <v/>
      </c>
      <c r="K906" s="71">
        <f>IF(B906="","",IFERROR(AVERAGEIFS($J$4:$J906,$B$4:$B906,B906,$J$4:$J906,"&gt;"&amp;0),""))</f>
        <v/>
      </c>
      <c r="L906" s="4" t="n"/>
    </row>
    <row r="907" ht="14" customHeight="1" s="72">
      <c r="A907" s="75" t="n">
        <v>46098</v>
      </c>
      <c r="B907" s="76" t="n">
        <v>2017</v>
      </c>
      <c r="C907" s="69">
        <f>IF(B907="","",IFERROR(INDEX(Client_List!$B:$B,MATCH(B907,Client_List!$A:$A,0)),"⚠ NOT FOUND"))</f>
        <v/>
      </c>
      <c r="D907" s="43" t="n">
        <v>440</v>
      </c>
      <c r="E907" s="32">
        <f>IF(B907="","",IFERROR(INDEX(Client_List!$C:$C,MATCH(VALUE(B907),Client_List!$A:$A,0)),""))</f>
        <v/>
      </c>
      <c r="F907" s="53">
        <f>IF(B907="","",IFERROR(INDEX(Client_List!$D:$D,MATCH(VALUE(B907),Client_List!$A:$A,0)),""))</f>
        <v/>
      </c>
      <c r="G907" s="53">
        <f>IF(B907="","",IFERROR(INDEX(Client_List!$K:$K,MATCH(VALUE(B907),Client_List!$A:$A,0)),""))</f>
        <v/>
      </c>
      <c r="H907" s="32">
        <f>IF(B907="","",IFERROR(INDEX(Client_List!$J:$J,MATCH(VALUE(B907),Client_List!$A:$A,0)),""))</f>
        <v/>
      </c>
      <c r="I907" s="70">
        <f>IF(B907="","",IFERROR(A907-LOOKUP(2,1/($B$4:$B906=B907),$A$4:$A906),""))</f>
        <v/>
      </c>
      <c r="J907" s="32">
        <f>IF(B907="","",IFERROR(D907/I907,""))</f>
        <v/>
      </c>
      <c r="K907" s="71">
        <f>IF(B907="","",IFERROR(AVERAGEIFS($J$4:$J907,$B$4:$B907,B907,$J$4:$J907,"&gt;"&amp;0),""))</f>
        <v/>
      </c>
      <c r="L907" s="7" t="n"/>
    </row>
    <row r="908" ht="14" customHeight="1" s="72">
      <c r="A908" s="75" t="n">
        <v>46098</v>
      </c>
      <c r="B908" s="76" t="n">
        <v>2053</v>
      </c>
      <c r="C908" s="69">
        <f>IF(B908="","",IFERROR(INDEX(Client_List!$B:$B,MATCH(B908,Client_List!$A:$A,0)),"⚠ NOT FOUND"))</f>
        <v/>
      </c>
      <c r="D908" s="43" t="n">
        <v>1052</v>
      </c>
      <c r="E908" s="32">
        <f>IF(B908="","",IFERROR(INDEX(Client_List!$C:$C,MATCH(VALUE(B908),Client_List!$A:$A,0)),""))</f>
        <v/>
      </c>
      <c r="F908" s="53">
        <f>IF(B908="","",IFERROR(INDEX(Client_List!$D:$D,MATCH(VALUE(B908),Client_List!$A:$A,0)),""))</f>
        <v/>
      </c>
      <c r="G908" s="53">
        <f>IF(B908="","",IFERROR(INDEX(Client_List!$K:$K,MATCH(VALUE(B908),Client_List!$A:$A,0)),""))</f>
        <v/>
      </c>
      <c r="H908" s="32">
        <f>IF(B908="","",IFERROR(INDEX(Client_List!$J:$J,MATCH(VALUE(B908),Client_List!$A:$A,0)),""))</f>
        <v/>
      </c>
      <c r="I908" s="70">
        <f>IF(B908="","",IFERROR(A908-LOOKUP(2,1/($B$4:$B907=B908),$A$4:$A907),""))</f>
        <v/>
      </c>
      <c r="J908" s="32">
        <f>IF(B908="","",IFERROR(D908/I908,""))</f>
        <v/>
      </c>
      <c r="K908" s="71">
        <f>IF(B908="","",IFERROR(AVERAGEIFS($J$4:$J908,$B$4:$B908,B908,$J$4:$J908,"&gt;"&amp;0),""))</f>
        <v/>
      </c>
      <c r="L908" s="4" t="n"/>
    </row>
    <row r="909" ht="14" customHeight="1" s="72">
      <c r="A909" s="75" t="n">
        <v>46098</v>
      </c>
      <c r="B909" s="76" t="n">
        <v>2067</v>
      </c>
      <c r="C909" s="69">
        <f>IF(B909="","",IFERROR(INDEX(Client_List!$B:$B,MATCH(B909,Client_List!$A:$A,0)),"⚠ NOT FOUND"))</f>
        <v/>
      </c>
      <c r="D909" s="43" t="n">
        <v>889</v>
      </c>
      <c r="E909" s="32">
        <f>IF(B909="","",IFERROR(INDEX(Client_List!$C:$C,MATCH(VALUE(B909),Client_List!$A:$A,0)),""))</f>
        <v/>
      </c>
      <c r="F909" s="53">
        <f>IF(B909="","",IFERROR(INDEX(Client_List!$D:$D,MATCH(VALUE(B909),Client_List!$A:$A,0)),""))</f>
        <v/>
      </c>
      <c r="G909" s="53">
        <f>IF(B909="","",IFERROR(INDEX(Client_List!$K:$K,MATCH(VALUE(B909),Client_List!$A:$A,0)),""))</f>
        <v/>
      </c>
      <c r="H909" s="32">
        <f>IF(B909="","",IFERROR(INDEX(Client_List!$J:$J,MATCH(VALUE(B909),Client_List!$A:$A,0)),""))</f>
        <v/>
      </c>
      <c r="I909" s="70">
        <f>IF(B909="","",IFERROR(A909-LOOKUP(2,1/($B$4:$B908=B909),$A$4:$A908),""))</f>
        <v/>
      </c>
      <c r="J909" s="32">
        <f>IF(B909="","",IFERROR(D909/I909,""))</f>
        <v/>
      </c>
      <c r="K909" s="71">
        <f>IF(B909="","",IFERROR(AVERAGEIFS($J$4:$J909,$B$4:$B909,B909,$J$4:$J909,"&gt;"&amp;0),""))</f>
        <v/>
      </c>
      <c r="L909" s="7" t="n"/>
    </row>
    <row r="910" ht="14" customHeight="1" s="72">
      <c r="A910" s="75" t="n">
        <v>46098</v>
      </c>
      <c r="B910" s="76" t="n">
        <v>10011</v>
      </c>
      <c r="C910" s="69">
        <f>IF(B910="","",IFERROR(INDEX(Client_List!$B:$B,MATCH(B910,Client_List!$A:$A,0)),"⚠ NOT FOUND"))</f>
        <v/>
      </c>
      <c r="D910" s="43" t="n">
        <v>351</v>
      </c>
      <c r="E910" s="32">
        <f>IF(B910="","",IFERROR(INDEX(Client_List!$C:$C,MATCH(VALUE(B910),Client_List!$A:$A,0)),""))</f>
        <v/>
      </c>
      <c r="F910" s="53">
        <f>IF(B910="","",IFERROR(INDEX(Client_List!$D:$D,MATCH(VALUE(B910),Client_List!$A:$A,0)),""))</f>
        <v/>
      </c>
      <c r="G910" s="53">
        <f>IF(B910="","",IFERROR(INDEX(Client_List!$K:$K,MATCH(VALUE(B910),Client_List!$A:$A,0)),""))</f>
        <v/>
      </c>
      <c r="H910" s="32">
        <f>IF(B910="","",IFERROR(INDEX(Client_List!$J:$J,MATCH(VALUE(B910),Client_List!$A:$A,0)),""))</f>
        <v/>
      </c>
      <c r="I910" s="70">
        <f>IF(B910="","",IFERROR(A910-LOOKUP(2,1/($B$4:$B909=B910),$A$4:$A909),""))</f>
        <v/>
      </c>
      <c r="J910" s="32">
        <f>IF(B910="","",IFERROR(D910/I910,""))</f>
        <v/>
      </c>
      <c r="K910" s="71">
        <f>IF(B910="","",IFERROR(AVERAGEIFS($J$4:$J910,$B$4:$B910,B910,$J$4:$J910,"&gt;"&amp;0),""))</f>
        <v/>
      </c>
      <c r="L910" s="4" t="n"/>
    </row>
    <row r="911" ht="14" customHeight="1" s="72">
      <c r="A911" s="75" t="n">
        <v>46098</v>
      </c>
      <c r="B911" s="76" t="n">
        <v>13013</v>
      </c>
      <c r="C911" s="69">
        <f>IF(B911="","",IFERROR(INDEX(Client_List!$B:$B,MATCH(B911,Client_List!$A:$A,0)),"⚠ NOT FOUND"))</f>
        <v/>
      </c>
      <c r="D911" s="43" t="n">
        <v>959</v>
      </c>
      <c r="E911" s="32">
        <f>IF(B911="","",IFERROR(INDEX(Client_List!$C:$C,MATCH(VALUE(B911),Client_List!$A:$A,0)),""))</f>
        <v/>
      </c>
      <c r="F911" s="53">
        <f>IF(B911="","",IFERROR(INDEX(Client_List!$D:$D,MATCH(VALUE(B911),Client_List!$A:$A,0)),""))</f>
        <v/>
      </c>
      <c r="G911" s="53">
        <f>IF(B911="","",IFERROR(INDEX(Client_List!$K:$K,MATCH(VALUE(B911),Client_List!$A:$A,0)),""))</f>
        <v/>
      </c>
      <c r="H911" s="32">
        <f>IF(B911="","",IFERROR(INDEX(Client_List!$J:$J,MATCH(VALUE(B911),Client_List!$A:$A,0)),""))</f>
        <v/>
      </c>
      <c r="I911" s="70">
        <f>IF(B911="","",IFERROR(A911-LOOKUP(2,1/($B$4:$B910=B911),$A$4:$A910),""))</f>
        <v/>
      </c>
      <c r="J911" s="32">
        <f>IF(B911="","",IFERROR(D911/I911,""))</f>
        <v/>
      </c>
      <c r="K911" s="71">
        <f>IF(B911="","",IFERROR(AVERAGEIFS($J$4:$J911,$B$4:$B911,B911,$J$4:$J911,"&gt;"&amp;0),""))</f>
        <v/>
      </c>
      <c r="L911" s="7" t="n"/>
    </row>
    <row r="912" ht="14" customHeight="1" s="72">
      <c r="A912" s="75" t="n">
        <v>46098</v>
      </c>
      <c r="B912" s="76" t="n">
        <v>13057</v>
      </c>
      <c r="C912" s="69">
        <f>IF(B912="","",IFERROR(INDEX(Client_List!$B:$B,MATCH(B912,Client_List!$A:$A,0)),"⚠ NOT FOUND"))</f>
        <v/>
      </c>
      <c r="D912" s="43" t="n">
        <v>583</v>
      </c>
      <c r="E912" s="32">
        <f>IF(B912="","",IFERROR(INDEX(Client_List!$C:$C,MATCH(VALUE(B912),Client_List!$A:$A,0)),""))</f>
        <v/>
      </c>
      <c r="F912" s="53">
        <f>IF(B912="","",IFERROR(INDEX(Client_List!$D:$D,MATCH(VALUE(B912),Client_List!$A:$A,0)),""))</f>
        <v/>
      </c>
      <c r="G912" s="53">
        <f>IF(B912="","",IFERROR(INDEX(Client_List!$K:$K,MATCH(VALUE(B912),Client_List!$A:$A,0)),""))</f>
        <v/>
      </c>
      <c r="H912" s="32">
        <f>IF(B912="","",IFERROR(INDEX(Client_List!$J:$J,MATCH(VALUE(B912),Client_List!$A:$A,0)),""))</f>
        <v/>
      </c>
      <c r="I912" s="70">
        <f>IF(B912="","",IFERROR(A912-LOOKUP(2,1/($B$4:$B911=B912),$A$4:$A911),""))</f>
        <v/>
      </c>
      <c r="J912" s="32">
        <f>IF(B912="","",IFERROR(D912/I912,""))</f>
        <v/>
      </c>
      <c r="K912" s="71">
        <f>IF(B912="","",IFERROR(AVERAGEIFS($J$4:$J912,$B$4:$B912,B912,$J$4:$J912,"&gt;"&amp;0),""))</f>
        <v/>
      </c>
      <c r="L912" s="4" t="n"/>
    </row>
    <row r="913" ht="14" customHeight="1" s="72">
      <c r="A913" s="75" t="n">
        <v>46098</v>
      </c>
      <c r="B913" s="76" t="n">
        <v>15025</v>
      </c>
      <c r="C913" s="69">
        <f>IF(B913="","",IFERROR(INDEX(Client_List!$B:$B,MATCH(B913,Client_List!$A:$A,0)),"⚠ NOT FOUND"))</f>
        <v/>
      </c>
      <c r="D913" s="43" t="n">
        <v>453</v>
      </c>
      <c r="E913" s="32">
        <f>IF(B913="","",IFERROR(INDEX(Client_List!$C:$C,MATCH(VALUE(B913),Client_List!$A:$A,0)),""))</f>
        <v/>
      </c>
      <c r="F913" s="53">
        <f>IF(B913="","",IFERROR(INDEX(Client_List!$D:$D,MATCH(VALUE(B913),Client_List!$A:$A,0)),""))</f>
        <v/>
      </c>
      <c r="G913" s="53">
        <f>IF(B913="","",IFERROR(INDEX(Client_List!$K:$K,MATCH(VALUE(B913),Client_List!$A:$A,0)),""))</f>
        <v/>
      </c>
      <c r="H913" s="32">
        <f>IF(B913="","",IFERROR(INDEX(Client_List!$J:$J,MATCH(VALUE(B913),Client_List!$A:$A,0)),""))</f>
        <v/>
      </c>
      <c r="I913" s="70">
        <f>IF(B913="","",IFERROR(A913-LOOKUP(2,1/($B$4:$B912=B913),$A$4:$A912),""))</f>
        <v/>
      </c>
      <c r="J913" s="32">
        <f>IF(B913="","",IFERROR(D913/I913,""))</f>
        <v/>
      </c>
      <c r="K913" s="71">
        <f>IF(B913="","",IFERROR(AVERAGEIFS($J$4:$J913,$B$4:$B913,B913,$J$4:$J913,"&gt;"&amp;0),""))</f>
        <v/>
      </c>
      <c r="L913" s="7" t="n"/>
    </row>
    <row r="914" ht="14" customHeight="1" s="72">
      <c r="A914" s="75" t="n">
        <v>46098</v>
      </c>
      <c r="B914" s="76" t="n">
        <v>16005</v>
      </c>
      <c r="C914" s="69">
        <f>IF(B914="","",IFERROR(INDEX(Client_List!$B:$B,MATCH(B914,Client_List!$A:$A,0)),"⚠ NOT FOUND"))</f>
        <v/>
      </c>
      <c r="D914" s="43" t="n">
        <v>699</v>
      </c>
      <c r="E914" s="32">
        <f>IF(B914="","",IFERROR(INDEX(Client_List!$C:$C,MATCH(VALUE(B914),Client_List!$A:$A,0)),""))</f>
        <v/>
      </c>
      <c r="F914" s="53">
        <f>IF(B914="","",IFERROR(INDEX(Client_List!$D:$D,MATCH(VALUE(B914),Client_List!$A:$A,0)),""))</f>
        <v/>
      </c>
      <c r="G914" s="53">
        <f>IF(B914="","",IFERROR(INDEX(Client_List!$K:$K,MATCH(VALUE(B914),Client_List!$A:$A,0)),""))</f>
        <v/>
      </c>
      <c r="H914" s="32">
        <f>IF(B914="","",IFERROR(INDEX(Client_List!$J:$J,MATCH(VALUE(B914),Client_List!$A:$A,0)),""))</f>
        <v/>
      </c>
      <c r="I914" s="70">
        <f>IF(B914="","",IFERROR(A914-LOOKUP(2,1/($B$4:$B913=B914),$A$4:$A913),""))</f>
        <v/>
      </c>
      <c r="J914" s="32">
        <f>IF(B914="","",IFERROR(D914/I914,""))</f>
        <v/>
      </c>
      <c r="K914" s="71">
        <f>IF(B914="","",IFERROR(AVERAGEIFS($J$4:$J914,$B$4:$B914,B914,$J$4:$J914,"&gt;"&amp;0),""))</f>
        <v/>
      </c>
      <c r="L914" s="4" t="n"/>
    </row>
    <row r="915" ht="14" customHeight="1" s="72">
      <c r="A915" s="75" t="n">
        <v>46098</v>
      </c>
      <c r="B915" s="76" t="n">
        <v>16007</v>
      </c>
      <c r="C915" s="69">
        <f>IF(B915="","",IFERROR(INDEX(Client_List!$B:$B,MATCH(B915,Client_List!$A:$A,0)),"⚠ NOT FOUND"))</f>
        <v/>
      </c>
      <c r="D915" s="43" t="n">
        <v>699</v>
      </c>
      <c r="E915" s="32">
        <f>IF(B915="","",IFERROR(INDEX(Client_List!$C:$C,MATCH(VALUE(B915),Client_List!$A:$A,0)),""))</f>
        <v/>
      </c>
      <c r="F915" s="53">
        <f>IF(B915="","",IFERROR(INDEX(Client_List!$D:$D,MATCH(VALUE(B915),Client_List!$A:$A,0)),""))</f>
        <v/>
      </c>
      <c r="G915" s="53">
        <f>IF(B915="","",IFERROR(INDEX(Client_List!$K:$K,MATCH(VALUE(B915),Client_List!$A:$A,0)),""))</f>
        <v/>
      </c>
      <c r="H915" s="32">
        <f>IF(B915="","",IFERROR(INDEX(Client_List!$J:$J,MATCH(VALUE(B915),Client_List!$A:$A,0)),""))</f>
        <v/>
      </c>
      <c r="I915" s="70">
        <f>IF(B915="","",IFERROR(A915-LOOKUP(2,1/($B$4:$B914=B915),$A$4:$A914),""))</f>
        <v/>
      </c>
      <c r="J915" s="32">
        <f>IF(B915="","",IFERROR(D915/I915,""))</f>
        <v/>
      </c>
      <c r="K915" s="71">
        <f>IF(B915="","",IFERROR(AVERAGEIFS($J$4:$J915,$B$4:$B915,B915,$J$4:$J915,"&gt;"&amp;0),""))</f>
        <v/>
      </c>
      <c r="L915" s="7" t="n"/>
    </row>
    <row r="916" ht="14" customHeight="1" s="72">
      <c r="A916" s="75" t="n">
        <v>46098</v>
      </c>
      <c r="B916" s="76" t="n">
        <v>16009</v>
      </c>
      <c r="C916" s="69">
        <f>IF(B916="","",IFERROR(INDEX(Client_List!$B:$B,MATCH(B916,Client_List!$A:$A,0)),"⚠ NOT FOUND"))</f>
        <v/>
      </c>
      <c r="D916" s="43" t="n">
        <v>1871</v>
      </c>
      <c r="E916" s="32">
        <f>IF(B916="","",IFERROR(INDEX(Client_List!$C:$C,MATCH(VALUE(B916),Client_List!$A:$A,0)),""))</f>
        <v/>
      </c>
      <c r="F916" s="53">
        <f>IF(B916="","",IFERROR(INDEX(Client_List!$D:$D,MATCH(VALUE(B916),Client_List!$A:$A,0)),""))</f>
        <v/>
      </c>
      <c r="G916" s="53">
        <f>IF(B916="","",IFERROR(INDEX(Client_List!$K:$K,MATCH(VALUE(B916),Client_List!$A:$A,0)),""))</f>
        <v/>
      </c>
      <c r="H916" s="32">
        <f>IF(B916="","",IFERROR(INDEX(Client_List!$J:$J,MATCH(VALUE(B916),Client_List!$A:$A,0)),""))</f>
        <v/>
      </c>
      <c r="I916" s="70">
        <f>IF(B916="","",IFERROR(A916-LOOKUP(2,1/($B$4:$B915=B916),$A$4:$A915),""))</f>
        <v/>
      </c>
      <c r="J916" s="32">
        <f>IF(B916="","",IFERROR(D916/I916,""))</f>
        <v/>
      </c>
      <c r="K916" s="71">
        <f>IF(B916="","",IFERROR(AVERAGEIFS($J$4:$J916,$B$4:$B916,B916,$J$4:$J916,"&gt;"&amp;0),""))</f>
        <v/>
      </c>
      <c r="L916" s="4" t="n"/>
    </row>
    <row r="917" ht="14" customHeight="1" s="72">
      <c r="A917" s="75" t="n">
        <v>46098</v>
      </c>
      <c r="B917" s="76" t="n">
        <v>16014</v>
      </c>
      <c r="C917" s="69">
        <f>IF(B917="","",IFERROR(INDEX(Client_List!$B:$B,MATCH(B917,Client_List!$A:$A,0)),"⚠ NOT FOUND"))</f>
        <v/>
      </c>
      <c r="D917" s="43" t="n">
        <v>1290</v>
      </c>
      <c r="E917" s="32">
        <f>IF(B917="","",IFERROR(INDEX(Client_List!$C:$C,MATCH(VALUE(B917),Client_List!$A:$A,0)),""))</f>
        <v/>
      </c>
      <c r="F917" s="53">
        <f>IF(B917="","",IFERROR(INDEX(Client_List!$D:$D,MATCH(VALUE(B917),Client_List!$A:$A,0)),""))</f>
        <v/>
      </c>
      <c r="G917" s="53">
        <f>IF(B917="","",IFERROR(INDEX(Client_List!$K:$K,MATCH(VALUE(B917),Client_List!$A:$A,0)),""))</f>
        <v/>
      </c>
      <c r="H917" s="32">
        <f>IF(B917="","",IFERROR(INDEX(Client_List!$J:$J,MATCH(VALUE(B917),Client_List!$A:$A,0)),""))</f>
        <v/>
      </c>
      <c r="I917" s="70">
        <f>IF(B917="","",IFERROR(A917-LOOKUP(2,1/($B$4:$B916=B917),$A$4:$A916),""))</f>
        <v/>
      </c>
      <c r="J917" s="32">
        <f>IF(B917="","",IFERROR(D917/I917,""))</f>
        <v/>
      </c>
      <c r="K917" s="71">
        <f>IF(B917="","",IFERROR(AVERAGEIFS($J$4:$J917,$B$4:$B917,B917,$J$4:$J917,"&gt;"&amp;0),""))</f>
        <v/>
      </c>
      <c r="L917" s="7" t="n"/>
    </row>
    <row r="918" ht="14" customHeight="1" s="72">
      <c r="A918" s="75" t="n">
        <v>46098</v>
      </c>
      <c r="B918" s="76" t="n">
        <v>19077</v>
      </c>
      <c r="C918" s="69">
        <f>IF(B918="","",IFERROR(INDEX(Client_List!$B:$B,MATCH(B918,Client_List!$A:$A,0)),"⚠ NOT FOUND"))</f>
        <v/>
      </c>
      <c r="D918" s="43" t="n">
        <v>1055</v>
      </c>
      <c r="E918" s="32">
        <f>IF(B918="","",IFERROR(INDEX(Client_List!$C:$C,MATCH(VALUE(B918),Client_List!$A:$A,0)),""))</f>
        <v/>
      </c>
      <c r="F918" s="53">
        <f>IF(B918="","",IFERROR(INDEX(Client_List!$D:$D,MATCH(VALUE(B918),Client_List!$A:$A,0)),""))</f>
        <v/>
      </c>
      <c r="G918" s="53">
        <f>IF(B918="","",IFERROR(INDEX(Client_List!$K:$K,MATCH(VALUE(B918),Client_List!$A:$A,0)),""))</f>
        <v/>
      </c>
      <c r="H918" s="32">
        <f>IF(B918="","",IFERROR(INDEX(Client_List!$J:$J,MATCH(VALUE(B918),Client_List!$A:$A,0)),""))</f>
        <v/>
      </c>
      <c r="I918" s="70">
        <f>IF(B918="","",IFERROR(A918-LOOKUP(2,1/($B$4:$B917=B918),$A$4:$A917),""))</f>
        <v/>
      </c>
      <c r="J918" s="32">
        <f>IF(B918="","",IFERROR(D918/I918,""))</f>
        <v/>
      </c>
      <c r="K918" s="71">
        <f>IF(B918="","",IFERROR(AVERAGEIFS($J$4:$J918,$B$4:$B918,B918,$J$4:$J918,"&gt;"&amp;0),""))</f>
        <v/>
      </c>
      <c r="L918" s="4" t="n"/>
    </row>
    <row r="919" ht="14" customHeight="1" s="72">
      <c r="A919" s="75" t="n">
        <v>46098</v>
      </c>
      <c r="B919" s="76" t="n">
        <v>19119</v>
      </c>
      <c r="C919" s="69">
        <f>IF(B919="","",IFERROR(INDEX(Client_List!$B:$B,MATCH(B919,Client_List!$A:$A,0)),"⚠ NOT FOUND"))</f>
        <v/>
      </c>
      <c r="D919" s="43" t="n">
        <v>427</v>
      </c>
      <c r="E919" s="32">
        <f>IF(B919="","",IFERROR(INDEX(Client_List!$C:$C,MATCH(VALUE(B919),Client_List!$A:$A,0)),""))</f>
        <v/>
      </c>
      <c r="F919" s="53">
        <f>IF(B919="","",IFERROR(INDEX(Client_List!$D:$D,MATCH(VALUE(B919),Client_List!$A:$A,0)),""))</f>
        <v/>
      </c>
      <c r="G919" s="53">
        <f>IF(B919="","",IFERROR(INDEX(Client_List!$K:$K,MATCH(VALUE(B919),Client_List!$A:$A,0)),""))</f>
        <v/>
      </c>
      <c r="H919" s="32">
        <f>IF(B919="","",IFERROR(INDEX(Client_List!$J:$J,MATCH(VALUE(B919),Client_List!$A:$A,0)),""))</f>
        <v/>
      </c>
      <c r="I919" s="70">
        <f>IF(B919="","",IFERROR(A919-LOOKUP(2,1/($B$4:$B918=B919),$A$4:$A918),""))</f>
        <v/>
      </c>
      <c r="J919" s="32">
        <f>IF(B919="","",IFERROR(D919/I919,""))</f>
        <v/>
      </c>
      <c r="K919" s="71">
        <f>IF(B919="","",IFERROR(AVERAGEIFS($J$4:$J919,$B$4:$B919,B919,$J$4:$J919,"&gt;"&amp;0),""))</f>
        <v/>
      </c>
      <c r="L919" s="7" t="n"/>
    </row>
    <row r="920" ht="14" customHeight="1" s="72">
      <c r="A920" s="75" t="n">
        <v>46098</v>
      </c>
      <c r="B920" s="76" t="n">
        <v>20014</v>
      </c>
      <c r="C920" s="69">
        <f>IF(B920="","",IFERROR(INDEX(Client_List!$B:$B,MATCH(B920,Client_List!$A:$A,0)),"⚠ NOT FOUND"))</f>
        <v/>
      </c>
      <c r="D920" s="43" t="n">
        <v>963</v>
      </c>
      <c r="E920" s="32">
        <f>IF(B920="","",IFERROR(INDEX(Client_List!$C:$C,MATCH(VALUE(B920),Client_List!$A:$A,0)),""))</f>
        <v/>
      </c>
      <c r="F920" s="53">
        <f>IF(B920="","",IFERROR(INDEX(Client_List!$D:$D,MATCH(VALUE(B920),Client_List!$A:$A,0)),""))</f>
        <v/>
      </c>
      <c r="G920" s="53">
        <f>IF(B920="","",IFERROR(INDEX(Client_List!$K:$K,MATCH(VALUE(B920),Client_List!$A:$A,0)),""))</f>
        <v/>
      </c>
      <c r="H920" s="32">
        <f>IF(B920="","",IFERROR(INDEX(Client_List!$J:$J,MATCH(VALUE(B920),Client_List!$A:$A,0)),""))</f>
        <v/>
      </c>
      <c r="I920" s="70">
        <f>IF(B920="","",IFERROR(A920-LOOKUP(2,1/($B$4:$B919=B920),$A$4:$A919),""))</f>
        <v/>
      </c>
      <c r="J920" s="32">
        <f>IF(B920="","",IFERROR(D920/I920,""))</f>
        <v/>
      </c>
      <c r="K920" s="71">
        <f>IF(B920="","",IFERROR(AVERAGEIFS($J$4:$J920,$B$4:$B920,B920,$J$4:$J920,"&gt;"&amp;0),""))</f>
        <v/>
      </c>
      <c r="L920" s="4" t="n"/>
    </row>
    <row r="921" ht="14" customHeight="1" s="72">
      <c r="A921" s="75" t="n">
        <v>46098</v>
      </c>
      <c r="B921" s="76" t="n">
        <v>20094</v>
      </c>
      <c r="C921" s="69">
        <f>IF(B921="","",IFERROR(INDEX(Client_List!$B:$B,MATCH(B921,Client_List!$A:$A,0)),"⚠ NOT FOUND"))</f>
        <v/>
      </c>
      <c r="D921" s="43" t="n">
        <v>679</v>
      </c>
      <c r="E921" s="32">
        <f>IF(B921="","",IFERROR(INDEX(Client_List!$C:$C,MATCH(VALUE(B921),Client_List!$A:$A,0)),""))</f>
        <v/>
      </c>
      <c r="F921" s="53">
        <f>IF(B921="","",IFERROR(INDEX(Client_List!$D:$D,MATCH(VALUE(B921),Client_List!$A:$A,0)),""))</f>
        <v/>
      </c>
      <c r="G921" s="53">
        <f>IF(B921="","",IFERROR(INDEX(Client_List!$K:$K,MATCH(VALUE(B921),Client_List!$A:$A,0)),""))</f>
        <v/>
      </c>
      <c r="H921" s="32">
        <f>IF(B921="","",IFERROR(INDEX(Client_List!$J:$J,MATCH(VALUE(B921),Client_List!$A:$A,0)),""))</f>
        <v/>
      </c>
      <c r="I921" s="70">
        <f>IF(B921="","",IFERROR(A921-LOOKUP(2,1/($B$4:$B920=B921),$A$4:$A920),""))</f>
        <v/>
      </c>
      <c r="J921" s="32">
        <f>IF(B921="","",IFERROR(D921/I921,""))</f>
        <v/>
      </c>
      <c r="K921" s="71">
        <f>IF(B921="","",IFERROR(AVERAGEIFS($J$4:$J921,$B$4:$B921,B921,$J$4:$J921,"&gt;"&amp;0),""))</f>
        <v/>
      </c>
      <c r="L921" s="7" t="n"/>
    </row>
    <row r="922" ht="14" customHeight="1" s="72">
      <c r="A922" s="75" t="n">
        <v>46099</v>
      </c>
      <c r="B922" s="76" t="n">
        <v>1073</v>
      </c>
      <c r="C922" s="69">
        <f>IF(B922="","",IFERROR(INDEX(Client_List!$B:$B,MATCH(B922,Client_List!$A:$A,0)),"⚠ NOT FOUND"))</f>
        <v/>
      </c>
      <c r="D922" s="43" t="n">
        <v>1474</v>
      </c>
      <c r="E922" s="32">
        <f>IF(B922="","",IFERROR(INDEX(Client_List!$C:$C,MATCH(VALUE(B922),Client_List!$A:$A,0)),""))</f>
        <v/>
      </c>
      <c r="F922" s="53">
        <f>IF(B922="","",IFERROR(INDEX(Client_List!$D:$D,MATCH(VALUE(B922),Client_List!$A:$A,0)),""))</f>
        <v/>
      </c>
      <c r="G922" s="53">
        <f>IF(B922="","",IFERROR(INDEX(Client_List!$K:$K,MATCH(VALUE(B922),Client_List!$A:$A,0)),""))</f>
        <v/>
      </c>
      <c r="H922" s="32">
        <f>IF(B922="","",IFERROR(INDEX(Client_List!$J:$J,MATCH(VALUE(B922),Client_List!$A:$A,0)),""))</f>
        <v/>
      </c>
      <c r="I922" s="70">
        <f>IF(B922="","",IFERROR(A922-LOOKUP(2,1/($B$4:$B921=B922),$A$4:$A921),""))</f>
        <v/>
      </c>
      <c r="J922" s="32">
        <f>IF(B922="","",IFERROR(D922/I922,""))</f>
        <v/>
      </c>
      <c r="K922" s="71">
        <f>IF(B922="","",IFERROR(AVERAGEIFS($J$4:$J922,$B$4:$B922,B922,$J$4:$J922,"&gt;"&amp;0),""))</f>
        <v/>
      </c>
      <c r="L922" s="4" t="n"/>
    </row>
    <row r="923" ht="14" customHeight="1" s="72">
      <c r="A923" s="75" t="n">
        <v>46099</v>
      </c>
      <c r="B923" s="76" t="n">
        <v>2016</v>
      </c>
      <c r="C923" s="69">
        <f>IF(B923="","",IFERROR(INDEX(Client_List!$B:$B,MATCH(B923,Client_List!$A:$A,0)),"⚠ NOT FOUND"))</f>
        <v/>
      </c>
      <c r="D923" s="43" t="n">
        <v>570</v>
      </c>
      <c r="E923" s="32">
        <f>IF(B923="","",IFERROR(INDEX(Client_List!$C:$C,MATCH(VALUE(B923),Client_List!$A:$A,0)),""))</f>
        <v/>
      </c>
      <c r="F923" s="53">
        <f>IF(B923="","",IFERROR(INDEX(Client_List!$D:$D,MATCH(VALUE(B923),Client_List!$A:$A,0)),""))</f>
        <v/>
      </c>
      <c r="G923" s="53">
        <f>IF(B923="","",IFERROR(INDEX(Client_List!$K:$K,MATCH(VALUE(B923),Client_List!$A:$A,0)),""))</f>
        <v/>
      </c>
      <c r="H923" s="32">
        <f>IF(B923="","",IFERROR(INDEX(Client_List!$J:$J,MATCH(VALUE(B923),Client_List!$A:$A,0)),""))</f>
        <v/>
      </c>
      <c r="I923" s="70">
        <f>IF(B923="","",IFERROR(A923-LOOKUP(2,1/($B$4:$B922=B923),$A$4:$A922),""))</f>
        <v/>
      </c>
      <c r="J923" s="32">
        <f>IF(B923="","",IFERROR(D923/I923,""))</f>
        <v/>
      </c>
      <c r="K923" s="71">
        <f>IF(B923="","",IFERROR(AVERAGEIFS($J$4:$J923,$B$4:$B923,B923,$J$4:$J923,"&gt;"&amp;0),""))</f>
        <v/>
      </c>
      <c r="L923" s="7" t="n"/>
    </row>
    <row r="924" ht="14" customHeight="1" s="72">
      <c r="A924" s="75" t="n">
        <v>46099</v>
      </c>
      <c r="B924" s="76" t="n">
        <v>4029</v>
      </c>
      <c r="C924" s="69">
        <f>IF(B924="","",IFERROR(INDEX(Client_List!$B:$B,MATCH(B924,Client_List!$A:$A,0)),"⚠ NOT FOUND"))</f>
        <v/>
      </c>
      <c r="D924" s="43" t="n">
        <v>1852</v>
      </c>
      <c r="E924" s="32">
        <f>IF(B924="","",IFERROR(INDEX(Client_List!$C:$C,MATCH(VALUE(B924),Client_List!$A:$A,0)),""))</f>
        <v/>
      </c>
      <c r="F924" s="53">
        <f>IF(B924="","",IFERROR(INDEX(Client_List!$D:$D,MATCH(VALUE(B924),Client_List!$A:$A,0)),""))</f>
        <v/>
      </c>
      <c r="G924" s="53">
        <f>IF(B924="","",IFERROR(INDEX(Client_List!$K:$K,MATCH(VALUE(B924),Client_List!$A:$A,0)),""))</f>
        <v/>
      </c>
      <c r="H924" s="32">
        <f>IF(B924="","",IFERROR(INDEX(Client_List!$J:$J,MATCH(VALUE(B924),Client_List!$A:$A,0)),""))</f>
        <v/>
      </c>
      <c r="I924" s="70">
        <f>IF(B924="","",IFERROR(A924-LOOKUP(2,1/($B$4:$B923=B924),$A$4:$A923),""))</f>
        <v/>
      </c>
      <c r="J924" s="32">
        <f>IF(B924="","",IFERROR(D924/I924,""))</f>
        <v/>
      </c>
      <c r="K924" s="71">
        <f>IF(B924="","",IFERROR(AVERAGEIFS($J$4:$J924,$B$4:$B924,B924,$J$4:$J924,"&gt;"&amp;0),""))</f>
        <v/>
      </c>
      <c r="L924" s="4" t="n"/>
    </row>
    <row r="925" ht="14" customHeight="1" s="72">
      <c r="A925" s="75" t="n">
        <v>46099</v>
      </c>
      <c r="B925" s="76" t="n">
        <v>8031</v>
      </c>
      <c r="C925" s="69">
        <f>IF(B925="","",IFERROR(INDEX(Client_List!$B:$B,MATCH(B925,Client_List!$A:$A,0)),"⚠ NOT FOUND"))</f>
        <v/>
      </c>
      <c r="D925" s="43" t="n">
        <v>873</v>
      </c>
      <c r="E925" s="32">
        <f>IF(B925="","",IFERROR(INDEX(Client_List!$C:$C,MATCH(VALUE(B925),Client_List!$A:$A,0)),""))</f>
        <v/>
      </c>
      <c r="F925" s="53">
        <f>IF(B925="","",IFERROR(INDEX(Client_List!$D:$D,MATCH(VALUE(B925),Client_List!$A:$A,0)),""))</f>
        <v/>
      </c>
      <c r="G925" s="53">
        <f>IF(B925="","",IFERROR(INDEX(Client_List!$K:$K,MATCH(VALUE(B925),Client_List!$A:$A,0)),""))</f>
        <v/>
      </c>
      <c r="H925" s="32">
        <f>IF(B925="","",IFERROR(INDEX(Client_List!$J:$J,MATCH(VALUE(B925),Client_List!$A:$A,0)),""))</f>
        <v/>
      </c>
      <c r="I925" s="70">
        <f>IF(B925="","",IFERROR(A925-LOOKUP(2,1/($B$4:$B924=B925),$A$4:$A924),""))</f>
        <v/>
      </c>
      <c r="J925" s="32">
        <f>IF(B925="","",IFERROR(D925/I925,""))</f>
        <v/>
      </c>
      <c r="K925" s="71">
        <f>IF(B925="","",IFERROR(AVERAGEIFS($J$4:$J925,$B$4:$B925,B925,$J$4:$J925,"&gt;"&amp;0),""))</f>
        <v/>
      </c>
      <c r="L925" s="7" t="n"/>
    </row>
    <row r="926" ht="14" customHeight="1" s="72">
      <c r="A926" s="75" t="n">
        <v>46099</v>
      </c>
      <c r="B926" s="76" t="n">
        <v>8034</v>
      </c>
      <c r="C926" s="69">
        <f>IF(B926="","",IFERROR(INDEX(Client_List!$B:$B,MATCH(B926,Client_List!$A:$A,0)),"⚠ NOT FOUND"))</f>
        <v/>
      </c>
      <c r="D926" s="43" t="n">
        <v>369</v>
      </c>
      <c r="E926" s="32">
        <f>IF(B926="","",IFERROR(INDEX(Client_List!$C:$C,MATCH(VALUE(B926),Client_List!$A:$A,0)),""))</f>
        <v/>
      </c>
      <c r="F926" s="53">
        <f>IF(B926="","",IFERROR(INDEX(Client_List!$D:$D,MATCH(VALUE(B926),Client_List!$A:$A,0)),""))</f>
        <v/>
      </c>
      <c r="G926" s="53">
        <f>IF(B926="","",IFERROR(INDEX(Client_List!$K:$K,MATCH(VALUE(B926),Client_List!$A:$A,0)),""))</f>
        <v/>
      </c>
      <c r="H926" s="32">
        <f>IF(B926="","",IFERROR(INDEX(Client_List!$J:$J,MATCH(VALUE(B926),Client_List!$A:$A,0)),""))</f>
        <v/>
      </c>
      <c r="I926" s="70">
        <f>IF(B926="","",IFERROR(A926-LOOKUP(2,1/($B$4:$B925=B926),$A$4:$A925),""))</f>
        <v/>
      </c>
      <c r="J926" s="32">
        <f>IF(B926="","",IFERROR(D926/I926,""))</f>
        <v/>
      </c>
      <c r="K926" s="71">
        <f>IF(B926="","",IFERROR(AVERAGEIFS($J$4:$J926,$B$4:$B926,B926,$J$4:$J926,"&gt;"&amp;0),""))</f>
        <v/>
      </c>
      <c r="L926" s="4" t="n"/>
    </row>
    <row r="927" ht="14" customHeight="1" s="72">
      <c r="A927" s="75" t="n">
        <v>46099</v>
      </c>
      <c r="B927" s="76" t="n">
        <v>11013</v>
      </c>
      <c r="C927" s="69">
        <f>IF(B927="","",IFERROR(INDEX(Client_List!$B:$B,MATCH(B927,Client_List!$A:$A,0)),"⚠ NOT FOUND"))</f>
        <v/>
      </c>
      <c r="D927" s="43" t="n">
        <v>832</v>
      </c>
      <c r="E927" s="32">
        <f>IF(B927="","",IFERROR(INDEX(Client_List!$C:$C,MATCH(VALUE(B927),Client_List!$A:$A,0)),""))</f>
        <v/>
      </c>
      <c r="F927" s="53">
        <f>IF(B927="","",IFERROR(INDEX(Client_List!$D:$D,MATCH(VALUE(B927),Client_List!$A:$A,0)),""))</f>
        <v/>
      </c>
      <c r="G927" s="53">
        <f>IF(B927="","",IFERROR(INDEX(Client_List!$K:$K,MATCH(VALUE(B927),Client_List!$A:$A,0)),""))</f>
        <v/>
      </c>
      <c r="H927" s="32">
        <f>IF(B927="","",IFERROR(INDEX(Client_List!$J:$J,MATCH(VALUE(B927),Client_List!$A:$A,0)),""))</f>
        <v/>
      </c>
      <c r="I927" s="70">
        <f>IF(B927="","",IFERROR(A927-LOOKUP(2,1/($B$4:$B926=B927),$A$4:$A926),""))</f>
        <v/>
      </c>
      <c r="J927" s="32">
        <f>IF(B927="","",IFERROR(D927/I927,""))</f>
        <v/>
      </c>
      <c r="K927" s="71">
        <f>IF(B927="","",IFERROR(AVERAGEIFS($J$4:$J927,$B$4:$B927,B927,$J$4:$J927,"&gt;"&amp;0),""))</f>
        <v/>
      </c>
      <c r="L927" s="7" t="n"/>
    </row>
    <row r="928" ht="14" customHeight="1" s="72">
      <c r="A928" s="75" t="n">
        <v>46099</v>
      </c>
      <c r="B928" s="76" t="n">
        <v>13061</v>
      </c>
      <c r="C928" s="69">
        <f>IF(B928="","",IFERROR(INDEX(Client_List!$B:$B,MATCH(B928,Client_List!$A:$A,0)),"⚠ NOT FOUND"))</f>
        <v/>
      </c>
      <c r="D928" s="43" t="n">
        <v>429</v>
      </c>
      <c r="E928" s="32">
        <f>IF(B928="","",IFERROR(INDEX(Client_List!$C:$C,MATCH(VALUE(B928),Client_List!$A:$A,0)),""))</f>
        <v/>
      </c>
      <c r="F928" s="53">
        <f>IF(B928="","",IFERROR(INDEX(Client_List!$D:$D,MATCH(VALUE(B928),Client_List!$A:$A,0)),""))</f>
        <v/>
      </c>
      <c r="G928" s="53">
        <f>IF(B928="","",IFERROR(INDEX(Client_List!$K:$K,MATCH(VALUE(B928),Client_List!$A:$A,0)),""))</f>
        <v/>
      </c>
      <c r="H928" s="32">
        <f>IF(B928="","",IFERROR(INDEX(Client_List!$J:$J,MATCH(VALUE(B928),Client_List!$A:$A,0)),""))</f>
        <v/>
      </c>
      <c r="I928" s="70">
        <f>IF(B928="","",IFERROR(A928-LOOKUP(2,1/($B$4:$B927=B928),$A$4:$A927),""))</f>
        <v/>
      </c>
      <c r="J928" s="32">
        <f>IF(B928="","",IFERROR(D928/I928,""))</f>
        <v/>
      </c>
      <c r="K928" s="71">
        <f>IF(B928="","",IFERROR(AVERAGEIFS($J$4:$J928,$B$4:$B928,B928,$J$4:$J928,"&gt;"&amp;0),""))</f>
        <v/>
      </c>
      <c r="L928" s="4" t="n"/>
    </row>
    <row r="929" ht="14" customHeight="1" s="72">
      <c r="A929" s="75" t="n">
        <v>46099</v>
      </c>
      <c r="B929" s="76" t="n">
        <v>19035</v>
      </c>
      <c r="C929" s="69">
        <f>IF(B929="","",IFERROR(INDEX(Client_List!$B:$B,MATCH(B929,Client_List!$A:$A,0)),"⚠ NOT FOUND"))</f>
        <v/>
      </c>
      <c r="D929" s="43" t="n">
        <v>292</v>
      </c>
      <c r="E929" s="32">
        <f>IF(B929="","",IFERROR(INDEX(Client_List!$C:$C,MATCH(VALUE(B929),Client_List!$A:$A,0)),""))</f>
        <v/>
      </c>
      <c r="F929" s="53">
        <f>IF(B929="","",IFERROR(INDEX(Client_List!$D:$D,MATCH(VALUE(B929),Client_List!$A:$A,0)),""))</f>
        <v/>
      </c>
      <c r="G929" s="53">
        <f>IF(B929="","",IFERROR(INDEX(Client_List!$K:$K,MATCH(VALUE(B929),Client_List!$A:$A,0)),""))</f>
        <v/>
      </c>
      <c r="H929" s="32">
        <f>IF(B929="","",IFERROR(INDEX(Client_List!$J:$J,MATCH(VALUE(B929),Client_List!$A:$A,0)),""))</f>
        <v/>
      </c>
      <c r="I929" s="70">
        <f>IF(B929="","",IFERROR(A929-LOOKUP(2,1/($B$4:$B928=B929),$A$4:$A928),""))</f>
        <v/>
      </c>
      <c r="J929" s="32">
        <f>IF(B929="","",IFERROR(D929/I929,""))</f>
        <v/>
      </c>
      <c r="K929" s="71">
        <f>IF(B929="","",IFERROR(AVERAGEIFS($J$4:$J929,$B$4:$B929,B929,$J$4:$J929,"&gt;"&amp;0),""))</f>
        <v/>
      </c>
      <c r="L929" s="7" t="n"/>
    </row>
    <row r="930" ht="14" customHeight="1" s="72">
      <c r="A930" s="75" t="n">
        <v>46099</v>
      </c>
      <c r="B930" s="76" t="n">
        <v>19081</v>
      </c>
      <c r="C930" s="69">
        <f>IF(B930="","",IFERROR(INDEX(Client_List!$B:$B,MATCH(B930,Client_List!$A:$A,0)),"⚠ NOT FOUND"))</f>
        <v/>
      </c>
      <c r="D930" s="43" t="n">
        <v>601</v>
      </c>
      <c r="E930" s="32">
        <f>IF(B930="","",IFERROR(INDEX(Client_List!$C:$C,MATCH(VALUE(B930),Client_List!$A:$A,0)),""))</f>
        <v/>
      </c>
      <c r="F930" s="53">
        <f>IF(B930="","",IFERROR(INDEX(Client_List!$D:$D,MATCH(VALUE(B930),Client_List!$A:$A,0)),""))</f>
        <v/>
      </c>
      <c r="G930" s="53">
        <f>IF(B930="","",IFERROR(INDEX(Client_List!$K:$K,MATCH(VALUE(B930),Client_List!$A:$A,0)),""))</f>
        <v/>
      </c>
      <c r="H930" s="32">
        <f>IF(B930="","",IFERROR(INDEX(Client_List!$J:$J,MATCH(VALUE(B930),Client_List!$A:$A,0)),""))</f>
        <v/>
      </c>
      <c r="I930" s="70">
        <f>IF(B930="","",IFERROR(A930-LOOKUP(2,1/($B$4:$B929=B930),$A$4:$A929),""))</f>
        <v/>
      </c>
      <c r="J930" s="32">
        <f>IF(B930="","",IFERROR(D930/I930,""))</f>
        <v/>
      </c>
      <c r="K930" s="71">
        <f>IF(B930="","",IFERROR(AVERAGEIFS($J$4:$J930,$B$4:$B930,B930,$J$4:$J930,"&gt;"&amp;0),""))</f>
        <v/>
      </c>
      <c r="L930" s="4" t="n"/>
    </row>
    <row r="931" ht="14" customHeight="1" s="72">
      <c r="A931" s="75" t="n">
        <v>46099</v>
      </c>
      <c r="B931" s="76" t="n">
        <v>19082</v>
      </c>
      <c r="C931" s="69">
        <f>IF(B931="","",IFERROR(INDEX(Client_List!$B:$B,MATCH(B931,Client_List!$A:$A,0)),"⚠ NOT FOUND"))</f>
        <v/>
      </c>
      <c r="D931" s="43" t="n">
        <v>411</v>
      </c>
      <c r="E931" s="32">
        <f>IF(B931="","",IFERROR(INDEX(Client_List!$C:$C,MATCH(VALUE(B931),Client_List!$A:$A,0)),""))</f>
        <v/>
      </c>
      <c r="F931" s="53">
        <f>IF(B931="","",IFERROR(INDEX(Client_List!$D:$D,MATCH(VALUE(B931),Client_List!$A:$A,0)),""))</f>
        <v/>
      </c>
      <c r="G931" s="53">
        <f>IF(B931="","",IFERROR(INDEX(Client_List!$K:$K,MATCH(VALUE(B931),Client_List!$A:$A,0)),""))</f>
        <v/>
      </c>
      <c r="H931" s="32">
        <f>IF(B931="","",IFERROR(INDEX(Client_List!$J:$J,MATCH(VALUE(B931),Client_List!$A:$A,0)),""))</f>
        <v/>
      </c>
      <c r="I931" s="70">
        <f>IF(B931="","",IFERROR(A931-LOOKUP(2,1/($B$4:$B930=B931),$A$4:$A930),""))</f>
        <v/>
      </c>
      <c r="J931" s="32">
        <f>IF(B931="","",IFERROR(D931/I931,""))</f>
        <v/>
      </c>
      <c r="K931" s="71">
        <f>IF(B931="","",IFERROR(AVERAGEIFS($J$4:$J931,$B$4:$B931,B931,$J$4:$J931,"&gt;"&amp;0),""))</f>
        <v/>
      </c>
      <c r="L931" s="7" t="n"/>
    </row>
    <row r="932" ht="14" customHeight="1" s="72">
      <c r="A932" s="75" t="n">
        <v>46099</v>
      </c>
      <c r="B932" s="76" t="n">
        <v>19089</v>
      </c>
      <c r="C932" s="69">
        <f>IF(B932="","",IFERROR(INDEX(Client_List!$B:$B,MATCH(B932,Client_List!$A:$A,0)),"⚠ NOT FOUND"))</f>
        <v/>
      </c>
      <c r="D932" s="43" t="n">
        <v>351</v>
      </c>
      <c r="E932" s="32">
        <f>IF(B932="","",IFERROR(INDEX(Client_List!$C:$C,MATCH(VALUE(B932),Client_List!$A:$A,0)),""))</f>
        <v/>
      </c>
      <c r="F932" s="53">
        <f>IF(B932="","",IFERROR(INDEX(Client_List!$D:$D,MATCH(VALUE(B932),Client_List!$A:$A,0)),""))</f>
        <v/>
      </c>
      <c r="G932" s="53">
        <f>IF(B932="","",IFERROR(INDEX(Client_List!$K:$K,MATCH(VALUE(B932),Client_List!$A:$A,0)),""))</f>
        <v/>
      </c>
      <c r="H932" s="32">
        <f>IF(B932="","",IFERROR(INDEX(Client_List!$J:$J,MATCH(VALUE(B932),Client_List!$A:$A,0)),""))</f>
        <v/>
      </c>
      <c r="I932" s="70">
        <f>IF(B932="","",IFERROR(A932-LOOKUP(2,1/($B$4:$B931=B932),$A$4:$A931),""))</f>
        <v/>
      </c>
      <c r="J932" s="32">
        <f>IF(B932="","",IFERROR(D932/I932,""))</f>
        <v/>
      </c>
      <c r="K932" s="71">
        <f>IF(B932="","",IFERROR(AVERAGEIFS($J$4:$J932,$B$4:$B932,B932,$J$4:$J932,"&gt;"&amp;0),""))</f>
        <v/>
      </c>
      <c r="L932" s="4" t="n"/>
    </row>
    <row r="933" ht="14" customHeight="1" s="72">
      <c r="A933" s="75" t="n">
        <v>46099</v>
      </c>
      <c r="B933" s="76" t="n">
        <v>19110</v>
      </c>
      <c r="C933" s="69">
        <f>IF(B933="","",IFERROR(INDEX(Client_List!$B:$B,MATCH(B933,Client_List!$A:$A,0)),"⚠ NOT FOUND"))</f>
        <v/>
      </c>
      <c r="D933" s="43" t="n">
        <v>984</v>
      </c>
      <c r="E933" s="32">
        <f>IF(B933="","",IFERROR(INDEX(Client_List!$C:$C,MATCH(VALUE(B933),Client_List!$A:$A,0)),""))</f>
        <v/>
      </c>
      <c r="F933" s="53">
        <f>IF(B933="","",IFERROR(INDEX(Client_List!$D:$D,MATCH(VALUE(B933),Client_List!$A:$A,0)),""))</f>
        <v/>
      </c>
      <c r="G933" s="53">
        <f>IF(B933="","",IFERROR(INDEX(Client_List!$K:$K,MATCH(VALUE(B933),Client_List!$A:$A,0)),""))</f>
        <v/>
      </c>
      <c r="H933" s="32">
        <f>IF(B933="","",IFERROR(INDEX(Client_List!$J:$J,MATCH(VALUE(B933),Client_List!$A:$A,0)),""))</f>
        <v/>
      </c>
      <c r="I933" s="70">
        <f>IF(B933="","",IFERROR(A933-LOOKUP(2,1/($B$4:$B932=B933),$A$4:$A932),""))</f>
        <v/>
      </c>
      <c r="J933" s="32">
        <f>IF(B933="","",IFERROR(D933/I933,""))</f>
        <v/>
      </c>
      <c r="K933" s="71">
        <f>IF(B933="","",IFERROR(AVERAGEIFS($J$4:$J933,$B$4:$B933,B933,$J$4:$J933,"&gt;"&amp;0),""))</f>
        <v/>
      </c>
      <c r="L933" s="7" t="n"/>
    </row>
    <row r="934" ht="14" customHeight="1" s="72">
      <c r="A934" s="75" t="n">
        <v>46100</v>
      </c>
      <c r="B934" s="76" t="n">
        <v>1083</v>
      </c>
      <c r="C934" s="69">
        <f>IF(B934="","",IFERROR(INDEX(Client_List!$B:$B,MATCH(B934,Client_List!$A:$A,0)),"⚠ NOT FOUND"))</f>
        <v/>
      </c>
      <c r="D934" s="43" t="n">
        <v>252</v>
      </c>
      <c r="E934" s="32">
        <f>IF(B934="","",IFERROR(INDEX(Client_List!$C:$C,MATCH(VALUE(B934),Client_List!$A:$A,0)),""))</f>
        <v/>
      </c>
      <c r="F934" s="53">
        <f>IF(B934="","",IFERROR(INDEX(Client_List!$D:$D,MATCH(VALUE(B934),Client_List!$A:$A,0)),""))</f>
        <v/>
      </c>
      <c r="G934" s="53">
        <f>IF(B934="","",IFERROR(INDEX(Client_List!$K:$K,MATCH(VALUE(B934),Client_List!$A:$A,0)),""))</f>
        <v/>
      </c>
      <c r="H934" s="32">
        <f>IF(B934="","",IFERROR(INDEX(Client_List!$J:$J,MATCH(VALUE(B934),Client_List!$A:$A,0)),""))</f>
        <v/>
      </c>
      <c r="I934" s="70">
        <f>IF(B934="","",IFERROR(A934-LOOKUP(2,1/($B$4:$B933=B934),$A$4:$A933),""))</f>
        <v/>
      </c>
      <c r="J934" s="32">
        <f>IF(B934="","",IFERROR(D934/I934,""))</f>
        <v/>
      </c>
      <c r="K934" s="71">
        <f>IF(B934="","",IFERROR(AVERAGEIFS($J$4:$J934,$B$4:$B934,B934,$J$4:$J934,"&gt;"&amp;0),""))</f>
        <v/>
      </c>
      <c r="L934" s="4" t="n"/>
    </row>
    <row r="935" ht="14" customHeight="1" s="72">
      <c r="A935" s="75" t="n">
        <v>46100</v>
      </c>
      <c r="B935" s="76" t="n">
        <v>2078</v>
      </c>
      <c r="C935" s="69">
        <f>IF(B935="","",IFERROR(INDEX(Client_List!$B:$B,MATCH(B935,Client_List!$A:$A,0)),"⚠ NOT FOUND"))</f>
        <v/>
      </c>
      <c r="D935" s="43" t="n">
        <v>202</v>
      </c>
      <c r="E935" s="32">
        <f>IF(B935="","",IFERROR(INDEX(Client_List!$C:$C,MATCH(VALUE(B935),Client_List!$A:$A,0)),""))</f>
        <v/>
      </c>
      <c r="F935" s="53">
        <f>IF(B935="","",IFERROR(INDEX(Client_List!$D:$D,MATCH(VALUE(B935),Client_List!$A:$A,0)),""))</f>
        <v/>
      </c>
      <c r="G935" s="53">
        <f>IF(B935="","",IFERROR(INDEX(Client_List!$K:$K,MATCH(VALUE(B935),Client_List!$A:$A,0)),""))</f>
        <v/>
      </c>
      <c r="H935" s="32">
        <f>IF(B935="","",IFERROR(INDEX(Client_List!$J:$J,MATCH(VALUE(B935),Client_List!$A:$A,0)),""))</f>
        <v/>
      </c>
      <c r="I935" s="70">
        <f>IF(B935="","",IFERROR(A935-LOOKUP(2,1/($B$4:$B934=B935),$A$4:$A934),""))</f>
        <v/>
      </c>
      <c r="J935" s="32">
        <f>IF(B935="","",IFERROR(D935/I935,""))</f>
        <v/>
      </c>
      <c r="K935" s="71">
        <f>IF(B935="","",IFERROR(AVERAGEIFS($J$4:$J935,$B$4:$B935,B935,$J$4:$J935,"&gt;"&amp;0),""))</f>
        <v/>
      </c>
      <c r="L935" s="7" t="n"/>
    </row>
    <row r="936" ht="14" customHeight="1" s="72">
      <c r="A936" s="75" t="n">
        <v>46100</v>
      </c>
      <c r="B936" s="76" t="n">
        <v>3064</v>
      </c>
      <c r="C936" s="69">
        <f>IF(B936="","",IFERROR(INDEX(Client_List!$B:$B,MATCH(B936,Client_List!$A:$A,0)),"⚠ NOT FOUND"))</f>
        <v/>
      </c>
      <c r="D936" s="43" t="n">
        <v>625</v>
      </c>
      <c r="E936" s="32">
        <f>IF(B936="","",IFERROR(INDEX(Client_List!$C:$C,MATCH(VALUE(B936),Client_List!$A:$A,0)),""))</f>
        <v/>
      </c>
      <c r="F936" s="53">
        <f>IF(B936="","",IFERROR(INDEX(Client_List!$D:$D,MATCH(VALUE(B936),Client_List!$A:$A,0)),""))</f>
        <v/>
      </c>
      <c r="G936" s="53">
        <f>IF(B936="","",IFERROR(INDEX(Client_List!$K:$K,MATCH(VALUE(B936),Client_List!$A:$A,0)),""))</f>
        <v/>
      </c>
      <c r="H936" s="32">
        <f>IF(B936="","",IFERROR(INDEX(Client_List!$J:$J,MATCH(VALUE(B936),Client_List!$A:$A,0)),""))</f>
        <v/>
      </c>
      <c r="I936" s="70">
        <f>IF(B936="","",IFERROR(A936-LOOKUP(2,1/($B$4:$B935=B936),$A$4:$A935),""))</f>
        <v/>
      </c>
      <c r="J936" s="32">
        <f>IF(B936="","",IFERROR(D936/I936,""))</f>
        <v/>
      </c>
      <c r="K936" s="71">
        <f>IF(B936="","",IFERROR(AVERAGEIFS($J$4:$J936,$B$4:$B936,B936,$J$4:$J936,"&gt;"&amp;0),""))</f>
        <v/>
      </c>
      <c r="L936" s="4" t="n"/>
    </row>
    <row r="937" ht="14" customHeight="1" s="72">
      <c r="A937" s="75" t="n">
        <v>46100</v>
      </c>
      <c r="B937" s="76" t="inlineStr">
        <is>
          <t>4015A</t>
        </is>
      </c>
      <c r="C937" s="69">
        <f>IF(B937="","",IFERROR(INDEX(Client_List!$B:$B,MATCH(B937,Client_List!$A:$A,0)),"⚠ NOT FOUND"))</f>
        <v/>
      </c>
      <c r="D937" s="43" t="n">
        <v>501</v>
      </c>
      <c r="E937" s="32">
        <f>IF(B937="","",IFERROR(INDEX(Client_List!$C:$C,MATCH(VALUE(B937),Client_List!$A:$A,0)),""))</f>
        <v/>
      </c>
      <c r="F937" s="53">
        <f>IF(B937="","",IFERROR(INDEX(Client_List!$D:$D,MATCH(VALUE(B937),Client_List!$A:$A,0)),""))</f>
        <v/>
      </c>
      <c r="G937" s="53">
        <f>IF(B937="","",IFERROR(INDEX(Client_List!$K:$K,MATCH(VALUE(B937),Client_List!$A:$A,0)),""))</f>
        <v/>
      </c>
      <c r="H937" s="32">
        <f>IF(B937="","",IFERROR(INDEX(Client_List!$J:$J,MATCH(VALUE(B937),Client_List!$A:$A,0)),""))</f>
        <v/>
      </c>
      <c r="I937" s="70">
        <f>IF(B937="","",IFERROR(A937-LOOKUP(2,1/($B$4:$B936=B937),$A$4:$A936),""))</f>
        <v/>
      </c>
      <c r="J937" s="32">
        <f>IF(B937="","",IFERROR(D937/I937,""))</f>
        <v/>
      </c>
      <c r="K937" s="71">
        <f>IF(B937="","",IFERROR(AVERAGEIFS($J$4:$J937,$B$4:$B937,B937,$J$4:$J937,"&gt;"&amp;0),""))</f>
        <v/>
      </c>
      <c r="L937" s="7" t="n"/>
    </row>
    <row r="938" ht="14" customHeight="1" s="72">
      <c r="A938" s="75" t="n">
        <v>46100</v>
      </c>
      <c r="B938" s="76" t="n">
        <v>13015</v>
      </c>
      <c r="C938" s="69">
        <f>IF(B938="","",IFERROR(INDEX(Client_List!$B:$B,MATCH(B938,Client_List!$A:$A,0)),"⚠ NOT FOUND"))</f>
        <v/>
      </c>
      <c r="D938" s="43" t="n">
        <v>664</v>
      </c>
      <c r="E938" s="32">
        <f>IF(B938="","",IFERROR(INDEX(Client_List!$C:$C,MATCH(VALUE(B938),Client_List!$A:$A,0)),""))</f>
        <v/>
      </c>
      <c r="F938" s="53">
        <f>IF(B938="","",IFERROR(INDEX(Client_List!$D:$D,MATCH(VALUE(B938),Client_List!$A:$A,0)),""))</f>
        <v/>
      </c>
      <c r="G938" s="53">
        <f>IF(B938="","",IFERROR(INDEX(Client_List!$K:$K,MATCH(VALUE(B938),Client_List!$A:$A,0)),""))</f>
        <v/>
      </c>
      <c r="H938" s="32">
        <f>IF(B938="","",IFERROR(INDEX(Client_List!$J:$J,MATCH(VALUE(B938),Client_List!$A:$A,0)),""))</f>
        <v/>
      </c>
      <c r="I938" s="70">
        <f>IF(B938="","",IFERROR(A938-LOOKUP(2,1/($B$4:$B937=B938),$A$4:$A937),""))</f>
        <v/>
      </c>
      <c r="J938" s="32">
        <f>IF(B938="","",IFERROR(D938/I938,""))</f>
        <v/>
      </c>
      <c r="K938" s="71">
        <f>IF(B938="","",IFERROR(AVERAGEIFS($J$4:$J938,$B$4:$B938,B938,$J$4:$J938,"&gt;"&amp;0),""))</f>
        <v/>
      </c>
      <c r="L938" s="4" t="n"/>
    </row>
    <row r="939" ht="14" customHeight="1" s="72">
      <c r="A939" s="75" t="n">
        <v>46100</v>
      </c>
      <c r="B939" s="76" t="n">
        <v>15015</v>
      </c>
      <c r="C939" s="69">
        <f>IF(B939="","",IFERROR(INDEX(Client_List!$B:$B,MATCH(B939,Client_List!$A:$A,0)),"⚠ NOT FOUND"))</f>
        <v/>
      </c>
      <c r="D939" s="43" t="n">
        <v>321</v>
      </c>
      <c r="E939" s="32">
        <f>IF(B939="","",IFERROR(INDEX(Client_List!$C:$C,MATCH(VALUE(B939),Client_List!$A:$A,0)),""))</f>
        <v/>
      </c>
      <c r="F939" s="53">
        <f>IF(B939="","",IFERROR(INDEX(Client_List!$D:$D,MATCH(VALUE(B939),Client_List!$A:$A,0)),""))</f>
        <v/>
      </c>
      <c r="G939" s="53">
        <f>IF(B939="","",IFERROR(INDEX(Client_List!$K:$K,MATCH(VALUE(B939),Client_List!$A:$A,0)),""))</f>
        <v/>
      </c>
      <c r="H939" s="32">
        <f>IF(B939="","",IFERROR(INDEX(Client_List!$J:$J,MATCH(VALUE(B939),Client_List!$A:$A,0)),""))</f>
        <v/>
      </c>
      <c r="I939" s="70">
        <f>IF(B939="","",IFERROR(A939-LOOKUP(2,1/($B$4:$B938=B939),$A$4:$A938),""))</f>
        <v/>
      </c>
      <c r="J939" s="32">
        <f>IF(B939="","",IFERROR(D939/I939,""))</f>
        <v/>
      </c>
      <c r="K939" s="71">
        <f>IF(B939="","",IFERROR(AVERAGEIFS($J$4:$J939,$B$4:$B939,B939,$J$4:$J939,"&gt;"&amp;0),""))</f>
        <v/>
      </c>
      <c r="L939" s="7" t="n"/>
    </row>
    <row r="940" ht="14" customHeight="1" s="72">
      <c r="A940" s="75" t="n">
        <v>46100</v>
      </c>
      <c r="B940" s="76" t="n">
        <v>15051</v>
      </c>
      <c r="C940" s="69">
        <f>IF(B940="","",IFERROR(INDEX(Client_List!$B:$B,MATCH(B940,Client_List!$A:$A,0)),"⚠ NOT FOUND"))</f>
        <v/>
      </c>
      <c r="D940" s="43" t="n">
        <v>346</v>
      </c>
      <c r="E940" s="32">
        <f>IF(B940="","",IFERROR(INDEX(Client_List!$C:$C,MATCH(VALUE(B940),Client_List!$A:$A,0)),""))</f>
        <v/>
      </c>
      <c r="F940" s="53">
        <f>IF(B940="","",IFERROR(INDEX(Client_List!$D:$D,MATCH(VALUE(B940),Client_List!$A:$A,0)),""))</f>
        <v/>
      </c>
      <c r="G940" s="53">
        <f>IF(B940="","",IFERROR(INDEX(Client_List!$K:$K,MATCH(VALUE(B940),Client_List!$A:$A,0)),""))</f>
        <v/>
      </c>
      <c r="H940" s="32">
        <f>IF(B940="","",IFERROR(INDEX(Client_List!$J:$J,MATCH(VALUE(B940),Client_List!$A:$A,0)),""))</f>
        <v/>
      </c>
      <c r="I940" s="70">
        <f>IF(B940="","",IFERROR(A940-LOOKUP(2,1/($B$4:$B939=B940),$A$4:$A939),""))</f>
        <v/>
      </c>
      <c r="J940" s="32">
        <f>IF(B940="","",IFERROR(D940/I940,""))</f>
        <v/>
      </c>
      <c r="K940" s="71">
        <f>IF(B940="","",IFERROR(AVERAGEIFS($J$4:$J940,$B$4:$B940,B940,$J$4:$J940,"&gt;"&amp;0),""))</f>
        <v/>
      </c>
      <c r="L940" s="4" t="n"/>
    </row>
    <row r="941" ht="14" customHeight="1" s="72">
      <c r="A941" s="75" t="n">
        <v>46100</v>
      </c>
      <c r="B941" s="76" t="n">
        <v>18001</v>
      </c>
      <c r="C941" s="69">
        <f>IF(B941="","",IFERROR(INDEX(Client_List!$B:$B,MATCH(B941,Client_List!$A:$A,0)),"⚠ NOT FOUND"))</f>
        <v/>
      </c>
      <c r="D941" s="43" t="n">
        <v>561</v>
      </c>
      <c r="E941" s="32">
        <f>IF(B941="","",IFERROR(INDEX(Client_List!$C:$C,MATCH(VALUE(B941),Client_List!$A:$A,0)),""))</f>
        <v/>
      </c>
      <c r="F941" s="53">
        <f>IF(B941="","",IFERROR(INDEX(Client_List!$D:$D,MATCH(VALUE(B941),Client_List!$A:$A,0)),""))</f>
        <v/>
      </c>
      <c r="G941" s="53">
        <f>IF(B941="","",IFERROR(INDEX(Client_List!$K:$K,MATCH(VALUE(B941),Client_List!$A:$A,0)),""))</f>
        <v/>
      </c>
      <c r="H941" s="32">
        <f>IF(B941="","",IFERROR(INDEX(Client_List!$J:$J,MATCH(VALUE(B941),Client_List!$A:$A,0)),""))</f>
        <v/>
      </c>
      <c r="I941" s="70">
        <f>IF(B941="","",IFERROR(A941-LOOKUP(2,1/($B$4:$B940=B941),$A$4:$A940),""))</f>
        <v/>
      </c>
      <c r="J941" s="32">
        <f>IF(B941="","",IFERROR(D941/I941,""))</f>
        <v/>
      </c>
      <c r="K941" s="71">
        <f>IF(B941="","",IFERROR(AVERAGEIFS($J$4:$J941,$B$4:$B941,B941,$J$4:$J941,"&gt;"&amp;0),""))</f>
        <v/>
      </c>
      <c r="L941" s="7" t="n"/>
    </row>
    <row r="942" ht="14" customHeight="1" s="72">
      <c r="A942" s="75" t="n">
        <v>46100</v>
      </c>
      <c r="B942" s="76" t="n">
        <v>18003</v>
      </c>
      <c r="C942" s="69">
        <f>IF(B942="","",IFERROR(INDEX(Client_List!$B:$B,MATCH(B942,Client_List!$A:$A,0)),"⚠ NOT FOUND"))</f>
        <v/>
      </c>
      <c r="D942" s="43" t="n">
        <v>327</v>
      </c>
      <c r="E942" s="32">
        <f>IF(B942="","",IFERROR(INDEX(Client_List!$C:$C,MATCH(VALUE(B942),Client_List!$A:$A,0)),""))</f>
        <v/>
      </c>
      <c r="F942" s="53">
        <f>IF(B942="","",IFERROR(INDEX(Client_List!$D:$D,MATCH(VALUE(B942),Client_List!$A:$A,0)),""))</f>
        <v/>
      </c>
      <c r="G942" s="53">
        <f>IF(B942="","",IFERROR(INDEX(Client_List!$K:$K,MATCH(VALUE(B942),Client_List!$A:$A,0)),""))</f>
        <v/>
      </c>
      <c r="H942" s="32">
        <f>IF(B942="","",IFERROR(INDEX(Client_List!$J:$J,MATCH(VALUE(B942),Client_List!$A:$A,0)),""))</f>
        <v/>
      </c>
      <c r="I942" s="70">
        <f>IF(B942="","",IFERROR(A942-LOOKUP(2,1/($B$4:$B941=B942),$A$4:$A941),""))</f>
        <v/>
      </c>
      <c r="J942" s="32">
        <f>IF(B942="","",IFERROR(D942/I942,""))</f>
        <v/>
      </c>
      <c r="K942" s="71">
        <f>IF(B942="","",IFERROR(AVERAGEIFS($J$4:$J942,$B$4:$B942,B942,$J$4:$J942,"&gt;"&amp;0),""))</f>
        <v/>
      </c>
      <c r="L942" s="4" t="n"/>
    </row>
    <row r="943" ht="14" customHeight="1" s="72">
      <c r="A943" s="75" t="n">
        <v>46100</v>
      </c>
      <c r="B943" s="76" t="n">
        <v>19110</v>
      </c>
      <c r="C943" s="69">
        <f>IF(B943="","",IFERROR(INDEX(Client_List!$B:$B,MATCH(B943,Client_List!$A:$A,0)),"⚠ NOT FOUND"))</f>
        <v/>
      </c>
      <c r="D943" s="43" t="n">
        <v>421</v>
      </c>
      <c r="E943" s="32">
        <f>IF(B943="","",IFERROR(INDEX(Client_List!$C:$C,MATCH(VALUE(B943),Client_List!$A:$A,0)),""))</f>
        <v/>
      </c>
      <c r="F943" s="53">
        <f>IF(B943="","",IFERROR(INDEX(Client_List!$D:$D,MATCH(VALUE(B943),Client_List!$A:$A,0)),""))</f>
        <v/>
      </c>
      <c r="G943" s="53">
        <f>IF(B943="","",IFERROR(INDEX(Client_List!$K:$K,MATCH(VALUE(B943),Client_List!$A:$A,0)),""))</f>
        <v/>
      </c>
      <c r="H943" s="32">
        <f>IF(B943="","",IFERROR(INDEX(Client_List!$J:$J,MATCH(VALUE(B943),Client_List!$A:$A,0)),""))</f>
        <v/>
      </c>
      <c r="I943" s="70">
        <f>IF(B943="","",IFERROR(A943-LOOKUP(2,1/($B$4:$B942=B943),$A$4:$A942),""))</f>
        <v/>
      </c>
      <c r="J943" s="32">
        <f>IF(B943="","",IFERROR(D943/I943,""))</f>
        <v/>
      </c>
      <c r="K943" s="71">
        <f>IF(B943="","",IFERROR(AVERAGEIFS($J$4:$J943,$B$4:$B943,B943,$J$4:$J943,"&gt;"&amp;0),""))</f>
        <v/>
      </c>
      <c r="L943" s="7" t="n"/>
    </row>
    <row r="944" ht="14" customHeight="1" s="72">
      <c r="A944" s="75" t="n">
        <v>46100</v>
      </c>
      <c r="B944" s="76" t="n">
        <v>19123</v>
      </c>
      <c r="C944" s="69">
        <f>IF(B944="","",IFERROR(INDEX(Client_List!$B:$B,MATCH(B944,Client_List!$A:$A,0)),"⚠ NOT FOUND"))</f>
        <v/>
      </c>
      <c r="D944" s="43" t="n">
        <v>421</v>
      </c>
      <c r="E944" s="32">
        <f>IF(B944="","",IFERROR(INDEX(Client_List!$C:$C,MATCH(VALUE(B944),Client_List!$A:$A,0)),""))</f>
        <v/>
      </c>
      <c r="F944" s="53">
        <f>IF(B944="","",IFERROR(INDEX(Client_List!$D:$D,MATCH(VALUE(B944),Client_List!$A:$A,0)),""))</f>
        <v/>
      </c>
      <c r="G944" s="53">
        <f>IF(B944="","",IFERROR(INDEX(Client_List!$K:$K,MATCH(VALUE(B944),Client_List!$A:$A,0)),""))</f>
        <v/>
      </c>
      <c r="H944" s="32">
        <f>IF(B944="","",IFERROR(INDEX(Client_List!$J:$J,MATCH(VALUE(B944),Client_List!$A:$A,0)),""))</f>
        <v/>
      </c>
      <c r="I944" s="70">
        <f>IF(B944="","",IFERROR(A944-LOOKUP(2,1/($B$4:$B943=B944),$A$4:$A943),""))</f>
        <v/>
      </c>
      <c r="J944" s="32">
        <f>IF(B944="","",IFERROR(D944/I944,""))</f>
        <v/>
      </c>
      <c r="K944" s="71">
        <f>IF(B944="","",IFERROR(AVERAGEIFS($J$4:$J944,$B$4:$B944,B944,$J$4:$J944,"&gt;"&amp;0),""))</f>
        <v/>
      </c>
      <c r="L944" s="4" t="n"/>
    </row>
    <row r="945" ht="14" customHeight="1" s="72">
      <c r="A945" s="75" t="n">
        <v>46100</v>
      </c>
      <c r="B945" s="76" t="n">
        <v>20051</v>
      </c>
      <c r="C945" s="69">
        <f>IF(B945="","",IFERROR(INDEX(Client_List!$B:$B,MATCH(B945,Client_List!$A:$A,0)),"⚠ NOT FOUND"))</f>
        <v/>
      </c>
      <c r="D945" s="43" t="n">
        <v>227</v>
      </c>
      <c r="E945" s="32">
        <f>IF(B945="","",IFERROR(INDEX(Client_List!$C:$C,MATCH(VALUE(B945),Client_List!$A:$A,0)),""))</f>
        <v/>
      </c>
      <c r="F945" s="53">
        <f>IF(B945="","",IFERROR(INDEX(Client_List!$D:$D,MATCH(VALUE(B945),Client_List!$A:$A,0)),""))</f>
        <v/>
      </c>
      <c r="G945" s="53">
        <f>IF(B945="","",IFERROR(INDEX(Client_List!$K:$K,MATCH(VALUE(B945),Client_List!$A:$A,0)),""))</f>
        <v/>
      </c>
      <c r="H945" s="32">
        <f>IF(B945="","",IFERROR(INDEX(Client_List!$J:$J,MATCH(VALUE(B945),Client_List!$A:$A,0)),""))</f>
        <v/>
      </c>
      <c r="I945" s="70">
        <f>IF(B945="","",IFERROR(A945-LOOKUP(2,1/($B$4:$B944=B945),$A$4:$A944),""))</f>
        <v/>
      </c>
      <c r="J945" s="32">
        <f>IF(B945="","",IFERROR(D945/I945,""))</f>
        <v/>
      </c>
      <c r="K945" s="71">
        <f>IF(B945="","",IFERROR(AVERAGEIFS($J$4:$J945,$B$4:$B945,B945,$J$4:$J945,"&gt;"&amp;0),""))</f>
        <v/>
      </c>
      <c r="L945" s="7" t="n"/>
    </row>
    <row r="946" ht="14" customHeight="1" s="72">
      <c r="A946" s="75" t="n">
        <v>46100</v>
      </c>
      <c r="B946" s="76" t="n">
        <v>21001</v>
      </c>
      <c r="C946" s="69">
        <f>IF(B946="","",IFERROR(INDEX(Client_List!$B:$B,MATCH(B946,Client_List!$A:$A,0)),"⚠ NOT FOUND"))</f>
        <v/>
      </c>
      <c r="D946" s="43" t="n">
        <v>1196</v>
      </c>
      <c r="E946" s="32">
        <f>IF(B946="","",IFERROR(INDEX(Client_List!$C:$C,MATCH(VALUE(B946),Client_List!$A:$A,0)),""))</f>
        <v/>
      </c>
      <c r="F946" s="53">
        <f>IF(B946="","",IFERROR(INDEX(Client_List!$D:$D,MATCH(VALUE(B946),Client_List!$A:$A,0)),""))</f>
        <v/>
      </c>
      <c r="G946" s="53">
        <f>IF(B946="","",IFERROR(INDEX(Client_List!$K:$K,MATCH(VALUE(B946),Client_List!$A:$A,0)),""))</f>
        <v/>
      </c>
      <c r="H946" s="32">
        <f>IF(B946="","",IFERROR(INDEX(Client_List!$J:$J,MATCH(VALUE(B946),Client_List!$A:$A,0)),""))</f>
        <v/>
      </c>
      <c r="I946" s="70">
        <f>IF(B946="","",IFERROR(A946-LOOKUP(2,1/($B$4:$B945=B946),$A$4:$A945),""))</f>
        <v/>
      </c>
      <c r="J946" s="32">
        <f>IF(B946="","",IFERROR(D946/I946,""))</f>
        <v/>
      </c>
      <c r="K946" s="71">
        <f>IF(B946="","",IFERROR(AVERAGEIFS($J$4:$J946,$B$4:$B946,B946,$J$4:$J946,"&gt;"&amp;0),""))</f>
        <v/>
      </c>
      <c r="L946" s="4" t="n"/>
    </row>
    <row r="947" ht="14" customHeight="1" s="72">
      <c r="A947" s="75" t="n">
        <v>46101</v>
      </c>
      <c r="B947" s="76" t="n">
        <v>1000</v>
      </c>
      <c r="C947" s="69">
        <f>IF(B947="","",IFERROR(INDEX(Client_List!$B:$B,MATCH(B947,Client_List!$A:$A,0)),"⚠ NOT FOUND"))</f>
        <v/>
      </c>
      <c r="D947" s="43" t="n">
        <v>712</v>
      </c>
      <c r="E947" s="32">
        <f>IF(B947="","",IFERROR(INDEX(Client_List!$C:$C,MATCH(VALUE(B947),Client_List!$A:$A,0)),""))</f>
        <v/>
      </c>
      <c r="F947" s="53">
        <f>IF(B947="","",IFERROR(INDEX(Client_List!$D:$D,MATCH(VALUE(B947),Client_List!$A:$A,0)),""))</f>
        <v/>
      </c>
      <c r="G947" s="53">
        <f>IF(B947="","",IFERROR(INDEX(Client_List!$K:$K,MATCH(VALUE(B947),Client_List!$A:$A,0)),""))</f>
        <v/>
      </c>
      <c r="H947" s="32">
        <f>IF(B947="","",IFERROR(INDEX(Client_List!$J:$J,MATCH(VALUE(B947),Client_List!$A:$A,0)),""))</f>
        <v/>
      </c>
      <c r="I947" s="70">
        <f>IF(B947="","",IFERROR(A947-LOOKUP(2,1/($B$4:$B946=B947),$A$4:$A946),""))</f>
        <v/>
      </c>
      <c r="J947" s="32">
        <f>IF(B947="","",IFERROR(D947/I947,""))</f>
        <v/>
      </c>
      <c r="K947" s="71">
        <f>IF(B947="","",IFERROR(AVERAGEIFS($J$4:$J947,$B$4:$B947,B947,$J$4:$J947,"&gt;"&amp;0),""))</f>
        <v/>
      </c>
      <c r="L947" s="7" t="n"/>
    </row>
    <row r="948" ht="14" customHeight="1" s="72">
      <c r="A948" s="75" t="n">
        <v>46101</v>
      </c>
      <c r="B948" s="76" t="n">
        <v>1018</v>
      </c>
      <c r="C948" s="69">
        <f>IF(B948="","",IFERROR(INDEX(Client_List!$B:$B,MATCH(B948,Client_List!$A:$A,0)),"⚠ NOT FOUND"))</f>
        <v/>
      </c>
      <c r="D948" s="43" t="n">
        <v>787</v>
      </c>
      <c r="E948" s="32">
        <f>IF(B948="","",IFERROR(INDEX(Client_List!$C:$C,MATCH(VALUE(B948),Client_List!$A:$A,0)),""))</f>
        <v/>
      </c>
      <c r="F948" s="53">
        <f>IF(B948="","",IFERROR(INDEX(Client_List!$D:$D,MATCH(VALUE(B948),Client_List!$A:$A,0)),""))</f>
        <v/>
      </c>
      <c r="G948" s="53">
        <f>IF(B948="","",IFERROR(INDEX(Client_List!$K:$K,MATCH(VALUE(B948),Client_List!$A:$A,0)),""))</f>
        <v/>
      </c>
      <c r="H948" s="32">
        <f>IF(B948="","",IFERROR(INDEX(Client_List!$J:$J,MATCH(VALUE(B948),Client_List!$A:$A,0)),""))</f>
        <v/>
      </c>
      <c r="I948" s="70">
        <f>IF(B948="","",IFERROR(A948-LOOKUP(2,1/($B$4:$B947=B948),$A$4:$A947),""))</f>
        <v/>
      </c>
      <c r="J948" s="32">
        <f>IF(B948="","",IFERROR(D948/I948,""))</f>
        <v/>
      </c>
      <c r="K948" s="71">
        <f>IF(B948="","",IFERROR(AVERAGEIFS($J$4:$J948,$B$4:$B948,B948,$J$4:$J948,"&gt;"&amp;0),""))</f>
        <v/>
      </c>
      <c r="L948" s="4" t="n"/>
    </row>
    <row r="949" ht="14" customHeight="1" s="72">
      <c r="A949" s="75" t="n">
        <v>46101</v>
      </c>
      <c r="B949" s="76" t="n">
        <v>2073</v>
      </c>
      <c r="C949" s="69">
        <f>IF(B949="","",IFERROR(INDEX(Client_List!$B:$B,MATCH(B949,Client_List!$A:$A,0)),"⚠ NOT FOUND"))</f>
        <v/>
      </c>
      <c r="D949" s="43" t="n">
        <v>278</v>
      </c>
      <c r="E949" s="32">
        <f>IF(B949="","",IFERROR(INDEX(Client_List!$C:$C,MATCH(VALUE(B949),Client_List!$A:$A,0)),""))</f>
        <v/>
      </c>
      <c r="F949" s="53">
        <f>IF(B949="","",IFERROR(INDEX(Client_List!$D:$D,MATCH(VALUE(B949),Client_List!$A:$A,0)),""))</f>
        <v/>
      </c>
      <c r="G949" s="53">
        <f>IF(B949="","",IFERROR(INDEX(Client_List!$K:$K,MATCH(VALUE(B949),Client_List!$A:$A,0)),""))</f>
        <v/>
      </c>
      <c r="H949" s="32">
        <f>IF(B949="","",IFERROR(INDEX(Client_List!$J:$J,MATCH(VALUE(B949),Client_List!$A:$A,0)),""))</f>
        <v/>
      </c>
      <c r="I949" s="70">
        <f>IF(B949="","",IFERROR(A949-LOOKUP(2,1/($B$4:$B948=B949),$A$4:$A948),""))</f>
        <v/>
      </c>
      <c r="J949" s="32">
        <f>IF(B949="","",IFERROR(D949/I949,""))</f>
        <v/>
      </c>
      <c r="K949" s="71">
        <f>IF(B949="","",IFERROR(AVERAGEIFS($J$4:$J949,$B$4:$B949,B949,$J$4:$J949,"&gt;"&amp;0),""))</f>
        <v/>
      </c>
      <c r="L949" s="7" t="n"/>
    </row>
    <row r="950" ht="14" customHeight="1" s="72">
      <c r="A950" s="75" t="n">
        <v>46101</v>
      </c>
      <c r="B950" s="76" t="n">
        <v>3069</v>
      </c>
      <c r="C950" s="69">
        <f>IF(B950="","",IFERROR(INDEX(Client_List!$B:$B,MATCH(B950,Client_List!$A:$A,0)),"⚠ NOT FOUND"))</f>
        <v/>
      </c>
      <c r="D950" s="43" t="n">
        <v>1010</v>
      </c>
      <c r="E950" s="32">
        <f>IF(B950="","",IFERROR(INDEX(Client_List!$C:$C,MATCH(VALUE(B950),Client_List!$A:$A,0)),""))</f>
        <v/>
      </c>
      <c r="F950" s="53">
        <f>IF(B950="","",IFERROR(INDEX(Client_List!$D:$D,MATCH(VALUE(B950),Client_List!$A:$A,0)),""))</f>
        <v/>
      </c>
      <c r="G950" s="53">
        <f>IF(B950="","",IFERROR(INDEX(Client_List!$K:$K,MATCH(VALUE(B950),Client_List!$A:$A,0)),""))</f>
        <v/>
      </c>
      <c r="H950" s="32">
        <f>IF(B950="","",IFERROR(INDEX(Client_List!$J:$J,MATCH(VALUE(B950),Client_List!$A:$A,0)),""))</f>
        <v/>
      </c>
      <c r="I950" s="70">
        <f>IF(B950="","",IFERROR(A950-LOOKUP(2,1/($B$4:$B949=B950),$A$4:$A949),""))</f>
        <v/>
      </c>
      <c r="J950" s="32">
        <f>IF(B950="","",IFERROR(D950/I950,""))</f>
        <v/>
      </c>
      <c r="K950" s="71">
        <f>IF(B950="","",IFERROR(AVERAGEIFS($J$4:$J950,$B$4:$B950,B950,$J$4:$J950,"&gt;"&amp;0),""))</f>
        <v/>
      </c>
      <c r="L950" s="4" t="n"/>
    </row>
    <row r="951" ht="14" customHeight="1" s="72">
      <c r="A951" s="75" t="n">
        <v>46101</v>
      </c>
      <c r="B951" s="76" t="n">
        <v>5006</v>
      </c>
      <c r="C951" s="69">
        <f>IF(B951="","",IFERROR(INDEX(Client_List!$B:$B,MATCH(B951,Client_List!$A:$A,0)),"⚠ NOT FOUND"))</f>
        <v/>
      </c>
      <c r="D951" s="43" t="n">
        <v>470</v>
      </c>
      <c r="E951" s="32">
        <f>IF(B951="","",IFERROR(INDEX(Client_List!$C:$C,MATCH(VALUE(B951),Client_List!$A:$A,0)),""))</f>
        <v/>
      </c>
      <c r="F951" s="53">
        <f>IF(B951="","",IFERROR(INDEX(Client_List!$D:$D,MATCH(VALUE(B951),Client_List!$A:$A,0)),""))</f>
        <v/>
      </c>
      <c r="G951" s="53">
        <f>IF(B951="","",IFERROR(INDEX(Client_List!$K:$K,MATCH(VALUE(B951),Client_List!$A:$A,0)),""))</f>
        <v/>
      </c>
      <c r="H951" s="32">
        <f>IF(B951="","",IFERROR(INDEX(Client_List!$J:$J,MATCH(VALUE(B951),Client_List!$A:$A,0)),""))</f>
        <v/>
      </c>
      <c r="I951" s="70">
        <f>IF(B951="","",IFERROR(A951-LOOKUP(2,1/($B$4:$B950=B951),$A$4:$A950),""))</f>
        <v/>
      </c>
      <c r="J951" s="32">
        <f>IF(B951="","",IFERROR(D951/I951,""))</f>
        <v/>
      </c>
      <c r="K951" s="71">
        <f>IF(B951="","",IFERROR(AVERAGEIFS($J$4:$J951,$B$4:$B951,B951,$J$4:$J951,"&gt;"&amp;0),""))</f>
        <v/>
      </c>
      <c r="L951" s="7" t="n"/>
    </row>
    <row r="952" ht="14" customHeight="1" s="72">
      <c r="A952" s="75" t="n">
        <v>46101</v>
      </c>
      <c r="B952" s="76" t="n">
        <v>6101</v>
      </c>
      <c r="C952" s="69">
        <f>IF(B952="","",IFERROR(INDEX(Client_List!$B:$B,MATCH(B952,Client_List!$A:$A,0)),"⚠ NOT FOUND"))</f>
        <v/>
      </c>
      <c r="D952" s="43" t="n">
        <v>537</v>
      </c>
      <c r="E952" s="32">
        <f>IF(B952="","",IFERROR(INDEX(Client_List!$C:$C,MATCH(VALUE(B952),Client_List!$A:$A,0)),""))</f>
        <v/>
      </c>
      <c r="F952" s="53">
        <f>IF(B952="","",IFERROR(INDEX(Client_List!$D:$D,MATCH(VALUE(B952),Client_List!$A:$A,0)),""))</f>
        <v/>
      </c>
      <c r="G952" s="53">
        <f>IF(B952="","",IFERROR(INDEX(Client_List!$K:$K,MATCH(VALUE(B952),Client_List!$A:$A,0)),""))</f>
        <v/>
      </c>
      <c r="H952" s="32">
        <f>IF(B952="","",IFERROR(INDEX(Client_List!$J:$J,MATCH(VALUE(B952),Client_List!$A:$A,0)),""))</f>
        <v/>
      </c>
      <c r="I952" s="70">
        <f>IF(B952="","",IFERROR(A952-LOOKUP(2,1/($B$4:$B951=B952),$A$4:$A951),""))</f>
        <v/>
      </c>
      <c r="J952" s="32">
        <f>IF(B952="","",IFERROR(D952/I952,""))</f>
        <v/>
      </c>
      <c r="K952" s="71">
        <f>IF(B952="","",IFERROR(AVERAGEIFS($J$4:$J952,$B$4:$B952,B952,$J$4:$J952,"&gt;"&amp;0),""))</f>
        <v/>
      </c>
      <c r="L952" s="4" t="n"/>
    </row>
    <row r="953" ht="14" customHeight="1" s="72">
      <c r="A953" s="75" t="n">
        <v>46101</v>
      </c>
      <c r="B953" s="76" t="n">
        <v>6109</v>
      </c>
      <c r="C953" s="69">
        <f>IF(B953="","",IFERROR(INDEX(Client_List!$B:$B,MATCH(B953,Client_List!$A:$A,0)),"⚠ NOT FOUND"))</f>
        <v/>
      </c>
      <c r="D953" s="43" t="n">
        <v>623</v>
      </c>
      <c r="E953" s="32">
        <f>IF(B953="","",IFERROR(INDEX(Client_List!$C:$C,MATCH(VALUE(B953),Client_List!$A:$A,0)),""))</f>
        <v/>
      </c>
      <c r="F953" s="53">
        <f>IF(B953="","",IFERROR(INDEX(Client_List!$D:$D,MATCH(VALUE(B953),Client_List!$A:$A,0)),""))</f>
        <v/>
      </c>
      <c r="G953" s="53">
        <f>IF(B953="","",IFERROR(INDEX(Client_List!$K:$K,MATCH(VALUE(B953),Client_List!$A:$A,0)),""))</f>
        <v/>
      </c>
      <c r="H953" s="32">
        <f>IF(B953="","",IFERROR(INDEX(Client_List!$J:$J,MATCH(VALUE(B953),Client_List!$A:$A,0)),""))</f>
        <v/>
      </c>
      <c r="I953" s="70">
        <f>IF(B953="","",IFERROR(A953-LOOKUP(2,1/($B$4:$B952=B953),$A$4:$A952),""))</f>
        <v/>
      </c>
      <c r="J953" s="32">
        <f>IF(B953="","",IFERROR(D953/I953,""))</f>
        <v/>
      </c>
      <c r="K953" s="71">
        <f>IF(B953="","",IFERROR(AVERAGEIFS($J$4:$J953,$B$4:$B953,B953,$J$4:$J953,"&gt;"&amp;0),""))</f>
        <v/>
      </c>
      <c r="L953" s="7" t="n"/>
    </row>
    <row r="954" ht="14" customHeight="1" s="72">
      <c r="A954" s="75" t="n">
        <v>46101</v>
      </c>
      <c r="B954" s="76" t="n">
        <v>7002</v>
      </c>
      <c r="C954" s="69">
        <f>IF(B954="","",IFERROR(INDEX(Client_List!$B:$B,MATCH(B954,Client_List!$A:$A,0)),"⚠ NOT FOUND"))</f>
        <v/>
      </c>
      <c r="D954" s="43" t="n">
        <v>411</v>
      </c>
      <c r="E954" s="32">
        <f>IF(B954="","",IFERROR(INDEX(Client_List!$C:$C,MATCH(VALUE(B954),Client_List!$A:$A,0)),""))</f>
        <v/>
      </c>
      <c r="F954" s="53">
        <f>IF(B954="","",IFERROR(INDEX(Client_List!$D:$D,MATCH(VALUE(B954),Client_List!$A:$A,0)),""))</f>
        <v/>
      </c>
      <c r="G954" s="53">
        <f>IF(B954="","",IFERROR(INDEX(Client_List!$K:$K,MATCH(VALUE(B954),Client_List!$A:$A,0)),""))</f>
        <v/>
      </c>
      <c r="H954" s="32">
        <f>IF(B954="","",IFERROR(INDEX(Client_List!$J:$J,MATCH(VALUE(B954),Client_List!$A:$A,0)),""))</f>
        <v/>
      </c>
      <c r="I954" s="70">
        <f>IF(B954="","",IFERROR(A954-LOOKUP(2,1/($B$4:$B953=B954),$A$4:$A953),""))</f>
        <v/>
      </c>
      <c r="J954" s="32">
        <f>IF(B954="","",IFERROR(D954/I954,""))</f>
        <v/>
      </c>
      <c r="K954" s="71">
        <f>IF(B954="","",IFERROR(AVERAGEIFS($J$4:$J954,$B$4:$B954,B954,$J$4:$J954,"&gt;"&amp;0),""))</f>
        <v/>
      </c>
      <c r="L954" s="4" t="n"/>
    </row>
    <row r="955" ht="14" customHeight="1" s="72">
      <c r="A955" s="75" t="n">
        <v>46101</v>
      </c>
      <c r="B955" s="76" t="n">
        <v>7052</v>
      </c>
      <c r="C955" s="69">
        <f>IF(B955="","",IFERROR(INDEX(Client_List!$B:$B,MATCH(B955,Client_List!$A:$A,0)),"⚠ NOT FOUND"))</f>
        <v/>
      </c>
      <c r="D955" s="43" t="n">
        <v>220</v>
      </c>
      <c r="E955" s="32">
        <f>IF(B955="","",IFERROR(INDEX(Client_List!$C:$C,MATCH(VALUE(B955),Client_List!$A:$A,0)),""))</f>
        <v/>
      </c>
      <c r="F955" s="53">
        <f>IF(B955="","",IFERROR(INDEX(Client_List!$D:$D,MATCH(VALUE(B955),Client_List!$A:$A,0)),""))</f>
        <v/>
      </c>
      <c r="G955" s="53">
        <f>IF(B955="","",IFERROR(INDEX(Client_List!$K:$K,MATCH(VALUE(B955),Client_List!$A:$A,0)),""))</f>
        <v/>
      </c>
      <c r="H955" s="32">
        <f>IF(B955="","",IFERROR(INDEX(Client_List!$J:$J,MATCH(VALUE(B955),Client_List!$A:$A,0)),""))</f>
        <v/>
      </c>
      <c r="I955" s="70">
        <f>IF(B955="","",IFERROR(A955-LOOKUP(2,1/($B$4:$B954=B955),$A$4:$A954),""))</f>
        <v/>
      </c>
      <c r="J955" s="32">
        <f>IF(B955="","",IFERROR(D955/I955,""))</f>
        <v/>
      </c>
      <c r="K955" s="71">
        <f>IF(B955="","",IFERROR(AVERAGEIFS($J$4:$J955,$B$4:$B955,B955,$J$4:$J955,"&gt;"&amp;0),""))</f>
        <v/>
      </c>
      <c r="L955" s="7" t="n"/>
    </row>
    <row r="956" ht="14" customHeight="1" s="72">
      <c r="A956" s="75" t="n">
        <v>46101</v>
      </c>
      <c r="B956" s="76" t="n">
        <v>7053</v>
      </c>
      <c r="C956" s="69">
        <f>IF(B956="","",IFERROR(INDEX(Client_List!$B:$B,MATCH(B956,Client_List!$A:$A,0)),"⚠ NOT FOUND"))</f>
        <v/>
      </c>
      <c r="D956" s="43" t="n">
        <v>361</v>
      </c>
      <c r="E956" s="32">
        <f>IF(B956="","",IFERROR(INDEX(Client_List!$C:$C,MATCH(VALUE(B956),Client_List!$A:$A,0)),""))</f>
        <v/>
      </c>
      <c r="F956" s="53">
        <f>IF(B956="","",IFERROR(INDEX(Client_List!$D:$D,MATCH(VALUE(B956),Client_List!$A:$A,0)),""))</f>
        <v/>
      </c>
      <c r="G956" s="53">
        <f>IF(B956="","",IFERROR(INDEX(Client_List!$K:$K,MATCH(VALUE(B956),Client_List!$A:$A,0)),""))</f>
        <v/>
      </c>
      <c r="H956" s="32">
        <f>IF(B956="","",IFERROR(INDEX(Client_List!$J:$J,MATCH(VALUE(B956),Client_List!$A:$A,0)),""))</f>
        <v/>
      </c>
      <c r="I956" s="70">
        <f>IF(B956="","",IFERROR(A956-LOOKUP(2,1/($B$4:$B955=B956),$A$4:$A955),""))</f>
        <v/>
      </c>
      <c r="J956" s="32">
        <f>IF(B956="","",IFERROR(D956/I956,""))</f>
        <v/>
      </c>
      <c r="K956" s="71">
        <f>IF(B956="","",IFERROR(AVERAGEIFS($J$4:$J956,$B$4:$B956,B956,$J$4:$J956,"&gt;"&amp;0),""))</f>
        <v/>
      </c>
      <c r="L956" s="4" t="n"/>
    </row>
    <row r="957" ht="14" customHeight="1" s="72">
      <c r="A957" s="75" t="n">
        <v>46101</v>
      </c>
      <c r="B957" s="76" t="n">
        <v>10001</v>
      </c>
      <c r="C957" s="69">
        <f>IF(B957="","",IFERROR(INDEX(Client_List!$B:$B,MATCH(B957,Client_List!$A:$A,0)),"⚠ NOT FOUND"))</f>
        <v/>
      </c>
      <c r="D957" s="43" t="n">
        <v>690</v>
      </c>
      <c r="E957" s="32">
        <f>IF(B957="","",IFERROR(INDEX(Client_List!$C:$C,MATCH(VALUE(B957),Client_List!$A:$A,0)),""))</f>
        <v/>
      </c>
      <c r="F957" s="53">
        <f>IF(B957="","",IFERROR(INDEX(Client_List!$D:$D,MATCH(VALUE(B957),Client_List!$A:$A,0)),""))</f>
        <v/>
      </c>
      <c r="G957" s="53">
        <f>IF(B957="","",IFERROR(INDEX(Client_List!$K:$K,MATCH(VALUE(B957),Client_List!$A:$A,0)),""))</f>
        <v/>
      </c>
      <c r="H957" s="32">
        <f>IF(B957="","",IFERROR(INDEX(Client_List!$J:$J,MATCH(VALUE(B957),Client_List!$A:$A,0)),""))</f>
        <v/>
      </c>
      <c r="I957" s="70">
        <f>IF(B957="","",IFERROR(A957-LOOKUP(2,1/($B$4:$B956=B957),$A$4:$A956),""))</f>
        <v/>
      </c>
      <c r="J957" s="32">
        <f>IF(B957="","",IFERROR(D957/I957,""))</f>
        <v/>
      </c>
      <c r="K957" s="71">
        <f>IF(B957="","",IFERROR(AVERAGEIFS($J$4:$J957,$B$4:$B957,B957,$J$4:$J957,"&gt;"&amp;0),""))</f>
        <v/>
      </c>
      <c r="L957" s="7" t="n"/>
    </row>
    <row r="958" ht="14" customHeight="1" s="72">
      <c r="A958" s="75" t="n">
        <v>46101</v>
      </c>
      <c r="B958" s="76" t="n">
        <v>12025</v>
      </c>
      <c r="C958" s="69">
        <f>IF(B958="","",IFERROR(INDEX(Client_List!$B:$B,MATCH(B958,Client_List!$A:$A,0)),"⚠ NOT FOUND"))</f>
        <v/>
      </c>
      <c r="D958" s="43" t="n">
        <v>461</v>
      </c>
      <c r="E958" s="32">
        <f>IF(B958="","",IFERROR(INDEX(Client_List!$C:$C,MATCH(VALUE(B958),Client_List!$A:$A,0)),""))</f>
        <v/>
      </c>
      <c r="F958" s="53">
        <f>IF(B958="","",IFERROR(INDEX(Client_List!$D:$D,MATCH(VALUE(B958),Client_List!$A:$A,0)),""))</f>
        <v/>
      </c>
      <c r="G958" s="53">
        <f>IF(B958="","",IFERROR(INDEX(Client_List!$K:$K,MATCH(VALUE(B958),Client_List!$A:$A,0)),""))</f>
        <v/>
      </c>
      <c r="H958" s="32">
        <f>IF(B958="","",IFERROR(INDEX(Client_List!$J:$J,MATCH(VALUE(B958),Client_List!$A:$A,0)),""))</f>
        <v/>
      </c>
      <c r="I958" s="70">
        <f>IF(B958="","",IFERROR(A958-LOOKUP(2,1/($B$4:$B957=B958),$A$4:$A957),""))</f>
        <v/>
      </c>
      <c r="J958" s="32">
        <f>IF(B958="","",IFERROR(D958/I958,""))</f>
        <v/>
      </c>
      <c r="K958" s="71">
        <f>IF(B958="","",IFERROR(AVERAGEIFS($J$4:$J958,$B$4:$B958,B958,$J$4:$J958,"&gt;"&amp;0),""))</f>
        <v/>
      </c>
      <c r="L958" s="4" t="n"/>
    </row>
    <row r="959" ht="14" customHeight="1" s="72">
      <c r="A959" s="75" t="n">
        <v>46101</v>
      </c>
      <c r="B959" s="76" t="n">
        <v>13009</v>
      </c>
      <c r="C959" s="69">
        <f>IF(B959="","",IFERROR(INDEX(Client_List!$B:$B,MATCH(B959,Client_List!$A:$A,0)),"⚠ NOT FOUND"))</f>
        <v/>
      </c>
      <c r="D959" s="43" t="n">
        <v>1021</v>
      </c>
      <c r="E959" s="32">
        <f>IF(B959="","",IFERROR(INDEX(Client_List!$C:$C,MATCH(VALUE(B959),Client_List!$A:$A,0)),""))</f>
        <v/>
      </c>
      <c r="F959" s="53">
        <f>IF(B959="","",IFERROR(INDEX(Client_List!$D:$D,MATCH(VALUE(B959),Client_List!$A:$A,0)),""))</f>
        <v/>
      </c>
      <c r="G959" s="53">
        <f>IF(B959="","",IFERROR(INDEX(Client_List!$K:$K,MATCH(VALUE(B959),Client_List!$A:$A,0)),""))</f>
        <v/>
      </c>
      <c r="H959" s="32">
        <f>IF(B959="","",IFERROR(INDEX(Client_List!$J:$J,MATCH(VALUE(B959),Client_List!$A:$A,0)),""))</f>
        <v/>
      </c>
      <c r="I959" s="70">
        <f>IF(B959="","",IFERROR(A959-LOOKUP(2,1/($B$4:$B958=B959),$A$4:$A958),""))</f>
        <v/>
      </c>
      <c r="J959" s="32">
        <f>IF(B959="","",IFERROR(D959/I959,""))</f>
        <v/>
      </c>
      <c r="K959" s="71">
        <f>IF(B959="","",IFERROR(AVERAGEIFS($J$4:$J959,$B$4:$B959,B959,$J$4:$J959,"&gt;"&amp;0),""))</f>
        <v/>
      </c>
      <c r="L959" s="7" t="n"/>
    </row>
    <row r="960" ht="14" customHeight="1" s="72">
      <c r="A960" s="75" t="n">
        <v>46101</v>
      </c>
      <c r="B960" s="76" t="n">
        <v>13012</v>
      </c>
      <c r="C960" s="69">
        <f>IF(B960="","",IFERROR(INDEX(Client_List!$B:$B,MATCH(B960,Client_List!$A:$A,0)),"⚠ NOT FOUND"))</f>
        <v/>
      </c>
      <c r="D960" s="43" t="n">
        <v>937</v>
      </c>
      <c r="E960" s="32">
        <f>IF(B960="","",IFERROR(INDEX(Client_List!$C:$C,MATCH(VALUE(B960),Client_List!$A:$A,0)),""))</f>
        <v/>
      </c>
      <c r="F960" s="53">
        <f>IF(B960="","",IFERROR(INDEX(Client_List!$D:$D,MATCH(VALUE(B960),Client_List!$A:$A,0)),""))</f>
        <v/>
      </c>
      <c r="G960" s="53">
        <f>IF(B960="","",IFERROR(INDEX(Client_List!$K:$K,MATCH(VALUE(B960),Client_List!$A:$A,0)),""))</f>
        <v/>
      </c>
      <c r="H960" s="32">
        <f>IF(B960="","",IFERROR(INDEX(Client_List!$J:$J,MATCH(VALUE(B960),Client_List!$A:$A,0)),""))</f>
        <v/>
      </c>
      <c r="I960" s="70">
        <f>IF(B960="","",IFERROR(A960-LOOKUP(2,1/($B$4:$B959=B960),$A$4:$A959),""))</f>
        <v/>
      </c>
      <c r="J960" s="32">
        <f>IF(B960="","",IFERROR(D960/I960,""))</f>
        <v/>
      </c>
      <c r="K960" s="71">
        <f>IF(B960="","",IFERROR(AVERAGEIFS($J$4:$J960,$B$4:$B960,B960,$J$4:$J960,"&gt;"&amp;0),""))</f>
        <v/>
      </c>
      <c r="L960" s="4" t="n"/>
    </row>
    <row r="961" ht="14" customHeight="1" s="72">
      <c r="A961" s="75" t="n">
        <v>46101</v>
      </c>
      <c r="B961" s="76" t="n">
        <v>15000</v>
      </c>
      <c r="C961" s="69">
        <f>IF(B961="","",IFERROR(INDEX(Client_List!$B:$B,MATCH(B961,Client_List!$A:$A,0)),"⚠ NOT FOUND"))</f>
        <v/>
      </c>
      <c r="D961" s="43" t="n">
        <v>925</v>
      </c>
      <c r="E961" s="32">
        <f>IF(B961="","",IFERROR(INDEX(Client_List!$C:$C,MATCH(VALUE(B961),Client_List!$A:$A,0)),""))</f>
        <v/>
      </c>
      <c r="F961" s="53">
        <f>IF(B961="","",IFERROR(INDEX(Client_List!$D:$D,MATCH(VALUE(B961),Client_List!$A:$A,0)),""))</f>
        <v/>
      </c>
      <c r="G961" s="53">
        <f>IF(B961="","",IFERROR(INDEX(Client_List!$K:$K,MATCH(VALUE(B961),Client_List!$A:$A,0)),""))</f>
        <v/>
      </c>
      <c r="H961" s="32">
        <f>IF(B961="","",IFERROR(INDEX(Client_List!$J:$J,MATCH(VALUE(B961),Client_List!$A:$A,0)),""))</f>
        <v/>
      </c>
      <c r="I961" s="70">
        <f>IF(B961="","",IFERROR(A961-LOOKUP(2,1/($B$4:$B960=B961),$A$4:$A960),""))</f>
        <v/>
      </c>
      <c r="J961" s="32">
        <f>IF(B961="","",IFERROR(D961/I961,""))</f>
        <v/>
      </c>
      <c r="K961" s="71">
        <f>IF(B961="","",IFERROR(AVERAGEIFS($J$4:$J961,$B$4:$B961,B961,$J$4:$J961,"&gt;"&amp;0),""))</f>
        <v/>
      </c>
      <c r="L961" s="7" t="n"/>
    </row>
    <row r="962" ht="14" customHeight="1" s="72">
      <c r="A962" s="75" t="n">
        <v>46101</v>
      </c>
      <c r="B962" s="76" t="n">
        <v>15002</v>
      </c>
      <c r="C962" s="69">
        <f>IF(B962="","",IFERROR(INDEX(Client_List!$B:$B,MATCH(B962,Client_List!$A:$A,0)),"⚠ NOT FOUND"))</f>
        <v/>
      </c>
      <c r="D962" s="43" t="n">
        <v>375</v>
      </c>
      <c r="E962" s="32">
        <f>IF(B962="","",IFERROR(INDEX(Client_List!$C:$C,MATCH(VALUE(B962),Client_List!$A:$A,0)),""))</f>
        <v/>
      </c>
      <c r="F962" s="53">
        <f>IF(B962="","",IFERROR(INDEX(Client_List!$D:$D,MATCH(VALUE(B962),Client_List!$A:$A,0)),""))</f>
        <v/>
      </c>
      <c r="G962" s="53">
        <f>IF(B962="","",IFERROR(INDEX(Client_List!$K:$K,MATCH(VALUE(B962),Client_List!$A:$A,0)),""))</f>
        <v/>
      </c>
      <c r="H962" s="32">
        <f>IF(B962="","",IFERROR(INDEX(Client_List!$J:$J,MATCH(VALUE(B962),Client_List!$A:$A,0)),""))</f>
        <v/>
      </c>
      <c r="I962" s="70">
        <f>IF(B962="","",IFERROR(A962-LOOKUP(2,1/($B$4:$B961=B962),$A$4:$A961),""))</f>
        <v/>
      </c>
      <c r="J962" s="32">
        <f>IF(B962="","",IFERROR(D962/I962,""))</f>
        <v/>
      </c>
      <c r="K962" s="71">
        <f>IF(B962="","",IFERROR(AVERAGEIFS($J$4:$J962,$B$4:$B962,B962,$J$4:$J962,"&gt;"&amp;0),""))</f>
        <v/>
      </c>
      <c r="L962" s="4" t="n"/>
    </row>
    <row r="963" ht="14" customHeight="1" s="72">
      <c r="A963" s="75" t="n">
        <v>46101</v>
      </c>
      <c r="B963" s="76" t="n">
        <v>15027</v>
      </c>
      <c r="C963" s="69">
        <f>IF(B963="","",IFERROR(INDEX(Client_List!$B:$B,MATCH(B963,Client_List!$A:$A,0)),"⚠ NOT FOUND"))</f>
        <v/>
      </c>
      <c r="D963" s="43" t="n">
        <v>532</v>
      </c>
      <c r="E963" s="32">
        <f>IF(B963="","",IFERROR(INDEX(Client_List!$C:$C,MATCH(VALUE(B963),Client_List!$A:$A,0)),""))</f>
        <v/>
      </c>
      <c r="F963" s="53">
        <f>IF(B963="","",IFERROR(INDEX(Client_List!$D:$D,MATCH(VALUE(B963),Client_List!$A:$A,0)),""))</f>
        <v/>
      </c>
      <c r="G963" s="53">
        <f>IF(B963="","",IFERROR(INDEX(Client_List!$K:$K,MATCH(VALUE(B963),Client_List!$A:$A,0)),""))</f>
        <v/>
      </c>
      <c r="H963" s="32">
        <f>IF(B963="","",IFERROR(INDEX(Client_List!$J:$J,MATCH(VALUE(B963),Client_List!$A:$A,0)),""))</f>
        <v/>
      </c>
      <c r="I963" s="70">
        <f>IF(B963="","",IFERROR(A963-LOOKUP(2,1/($B$4:$B962=B963),$A$4:$A962),""))</f>
        <v/>
      </c>
      <c r="J963" s="32">
        <f>IF(B963="","",IFERROR(D963/I963,""))</f>
        <v/>
      </c>
      <c r="K963" s="71">
        <f>IF(B963="","",IFERROR(AVERAGEIFS($J$4:$J963,$B$4:$B963,B963,$J$4:$J963,"&gt;"&amp;0),""))</f>
        <v/>
      </c>
      <c r="L963" s="7" t="n"/>
    </row>
    <row r="964" ht="14" customHeight="1" s="72">
      <c r="A964" s="75" t="n">
        <v>46101</v>
      </c>
      <c r="B964" s="76" t="n">
        <v>16006</v>
      </c>
      <c r="C964" s="69">
        <f>IF(B964="","",IFERROR(INDEX(Client_List!$B:$B,MATCH(B964,Client_List!$A:$A,0)),"⚠ NOT FOUND"))</f>
        <v/>
      </c>
      <c r="D964" s="43" t="n">
        <v>527</v>
      </c>
      <c r="E964" s="32">
        <f>IF(B964="","",IFERROR(INDEX(Client_List!$C:$C,MATCH(VALUE(B964),Client_List!$A:$A,0)),""))</f>
        <v/>
      </c>
      <c r="F964" s="53">
        <f>IF(B964="","",IFERROR(INDEX(Client_List!$D:$D,MATCH(VALUE(B964),Client_List!$A:$A,0)),""))</f>
        <v/>
      </c>
      <c r="G964" s="53">
        <f>IF(B964="","",IFERROR(INDEX(Client_List!$K:$K,MATCH(VALUE(B964),Client_List!$A:$A,0)),""))</f>
        <v/>
      </c>
      <c r="H964" s="32">
        <f>IF(B964="","",IFERROR(INDEX(Client_List!$J:$J,MATCH(VALUE(B964),Client_List!$A:$A,0)),""))</f>
        <v/>
      </c>
      <c r="I964" s="70">
        <f>IF(B964="","",IFERROR(A964-LOOKUP(2,1/($B$4:$B963=B964),$A$4:$A963),""))</f>
        <v/>
      </c>
      <c r="J964" s="32">
        <f>IF(B964="","",IFERROR(D964/I964,""))</f>
        <v/>
      </c>
      <c r="K964" s="71">
        <f>IF(B964="","",IFERROR(AVERAGEIFS($J$4:$J964,$B$4:$B964,B964,$J$4:$J964,"&gt;"&amp;0),""))</f>
        <v/>
      </c>
      <c r="L964" s="4" t="n"/>
    </row>
    <row r="965" ht="14" customHeight="1" s="72">
      <c r="A965" s="75" t="n">
        <v>46101</v>
      </c>
      <c r="B965" s="76" t="n">
        <v>16015</v>
      </c>
      <c r="C965" s="69">
        <f>IF(B965="","",IFERROR(INDEX(Client_List!$B:$B,MATCH(B965,Client_List!$A:$A,0)),"⚠ NOT FOUND"))</f>
        <v/>
      </c>
      <c r="D965" s="43" t="n">
        <v>1656</v>
      </c>
      <c r="E965" s="32">
        <f>IF(B965="","",IFERROR(INDEX(Client_List!$C:$C,MATCH(VALUE(B965),Client_List!$A:$A,0)),""))</f>
        <v/>
      </c>
      <c r="F965" s="53">
        <f>IF(B965="","",IFERROR(INDEX(Client_List!$D:$D,MATCH(VALUE(B965),Client_List!$A:$A,0)),""))</f>
        <v/>
      </c>
      <c r="G965" s="53">
        <f>IF(B965="","",IFERROR(INDEX(Client_List!$K:$K,MATCH(VALUE(B965),Client_List!$A:$A,0)),""))</f>
        <v/>
      </c>
      <c r="H965" s="32">
        <f>IF(B965="","",IFERROR(INDEX(Client_List!$J:$J,MATCH(VALUE(B965),Client_List!$A:$A,0)),""))</f>
        <v/>
      </c>
      <c r="I965" s="70">
        <f>IF(B965="","",IFERROR(A965-LOOKUP(2,1/($B$4:$B964=B965),$A$4:$A964),""))</f>
        <v/>
      </c>
      <c r="J965" s="32">
        <f>IF(B965="","",IFERROR(D965/I965,""))</f>
        <v/>
      </c>
      <c r="K965" s="71">
        <f>IF(B965="","",IFERROR(AVERAGEIFS($J$4:$J965,$B$4:$B965,B965,$J$4:$J965,"&gt;"&amp;0),""))</f>
        <v/>
      </c>
      <c r="L965" s="7" t="n"/>
    </row>
    <row r="966" ht="14" customHeight="1" s="72">
      <c r="A966" s="75" t="n">
        <v>46102</v>
      </c>
      <c r="B966" s="76" t="n">
        <v>2023</v>
      </c>
      <c r="C966" s="69">
        <f>IF(B966="","",IFERROR(INDEX(Client_List!$B:$B,MATCH(B966,Client_List!$A:$A,0)),"⚠ NOT FOUND"))</f>
        <v/>
      </c>
      <c r="D966" s="43" t="n">
        <v>542</v>
      </c>
      <c r="E966" s="32">
        <f>IF(B966="","",IFERROR(INDEX(Client_List!$C:$C,MATCH(VALUE(B966),Client_List!$A:$A,0)),""))</f>
        <v/>
      </c>
      <c r="F966" s="53">
        <f>IF(B966="","",IFERROR(INDEX(Client_List!$D:$D,MATCH(VALUE(B966),Client_List!$A:$A,0)),""))</f>
        <v/>
      </c>
      <c r="G966" s="53">
        <f>IF(B966="","",IFERROR(INDEX(Client_List!$K:$K,MATCH(VALUE(B966),Client_List!$A:$A,0)),""))</f>
        <v/>
      </c>
      <c r="H966" s="32">
        <f>IF(B966="","",IFERROR(INDEX(Client_List!$J:$J,MATCH(VALUE(B966),Client_List!$A:$A,0)),""))</f>
        <v/>
      </c>
      <c r="I966" s="70">
        <f>IF(B966="","",IFERROR(A966-LOOKUP(2,1/($B$4:$B965=B966),$A$4:$A965),""))</f>
        <v/>
      </c>
      <c r="J966" s="32">
        <f>IF(B966="","",IFERROR(D966/I966,""))</f>
        <v/>
      </c>
      <c r="K966" s="71">
        <f>IF(B966="","",IFERROR(AVERAGEIFS($J$4:$J966,$B$4:$B966,B966,$J$4:$J966,"&gt;"&amp;0),""))</f>
        <v/>
      </c>
      <c r="L966" s="4" t="n"/>
    </row>
    <row r="967" ht="14" customHeight="1" s="72">
      <c r="A967" s="75" t="n">
        <v>46102</v>
      </c>
      <c r="B967" s="76" t="n">
        <v>11005</v>
      </c>
      <c r="C967" s="69">
        <f>IF(B967="","",IFERROR(INDEX(Client_List!$B:$B,MATCH(B967,Client_List!$A:$A,0)),"⚠ NOT FOUND"))</f>
        <v/>
      </c>
      <c r="D967" s="43" t="n">
        <v>681</v>
      </c>
      <c r="E967" s="32">
        <f>IF(B967="","",IFERROR(INDEX(Client_List!$C:$C,MATCH(VALUE(B967),Client_List!$A:$A,0)),""))</f>
        <v/>
      </c>
      <c r="F967" s="53">
        <f>IF(B967="","",IFERROR(INDEX(Client_List!$D:$D,MATCH(VALUE(B967),Client_List!$A:$A,0)),""))</f>
        <v/>
      </c>
      <c r="G967" s="53">
        <f>IF(B967="","",IFERROR(INDEX(Client_List!$K:$K,MATCH(VALUE(B967),Client_List!$A:$A,0)),""))</f>
        <v/>
      </c>
      <c r="H967" s="32">
        <f>IF(B967="","",IFERROR(INDEX(Client_List!$J:$J,MATCH(VALUE(B967),Client_List!$A:$A,0)),""))</f>
        <v/>
      </c>
      <c r="I967" s="70">
        <f>IF(B967="","",IFERROR(A967-LOOKUP(2,1/($B$4:$B966=B967),$A$4:$A966),""))</f>
        <v/>
      </c>
      <c r="J967" s="32">
        <f>IF(B967="","",IFERROR(D967/I967,""))</f>
        <v/>
      </c>
      <c r="K967" s="71">
        <f>IF(B967="","",IFERROR(AVERAGEIFS($J$4:$J967,$B$4:$B967,B967,$J$4:$J967,"&gt;"&amp;0),""))</f>
        <v/>
      </c>
      <c r="L967" s="7" t="n"/>
    </row>
    <row r="968" ht="14" customHeight="1" s="72">
      <c r="A968" s="75" t="n">
        <v>46102</v>
      </c>
      <c r="B968" s="76" t="n">
        <v>12021</v>
      </c>
      <c r="C968" s="69">
        <f>IF(B968="","",IFERROR(INDEX(Client_List!$B:$B,MATCH(B968,Client_List!$A:$A,0)),"⚠ NOT FOUND"))</f>
        <v/>
      </c>
      <c r="D968" s="43" t="n">
        <v>361</v>
      </c>
      <c r="E968" s="32">
        <f>IF(B968="","",IFERROR(INDEX(Client_List!$C:$C,MATCH(VALUE(B968),Client_List!$A:$A,0)),""))</f>
        <v/>
      </c>
      <c r="F968" s="53">
        <f>IF(B968="","",IFERROR(INDEX(Client_List!$D:$D,MATCH(VALUE(B968),Client_List!$A:$A,0)),""))</f>
        <v/>
      </c>
      <c r="G968" s="53">
        <f>IF(B968="","",IFERROR(INDEX(Client_List!$K:$K,MATCH(VALUE(B968),Client_List!$A:$A,0)),""))</f>
        <v/>
      </c>
      <c r="H968" s="32">
        <f>IF(B968="","",IFERROR(INDEX(Client_List!$J:$J,MATCH(VALUE(B968),Client_List!$A:$A,0)),""))</f>
        <v/>
      </c>
      <c r="I968" s="70">
        <f>IF(B968="","",IFERROR(A968-LOOKUP(2,1/($B$4:$B967=B968),$A$4:$A967),""))</f>
        <v/>
      </c>
      <c r="J968" s="32">
        <f>IF(B968="","",IFERROR(D968/I968,""))</f>
        <v/>
      </c>
      <c r="K968" s="71">
        <f>IF(B968="","",IFERROR(AVERAGEIFS($J$4:$J968,$B$4:$B968,B968,$J$4:$J968,"&gt;"&amp;0),""))</f>
        <v/>
      </c>
      <c r="L968" s="4" t="n"/>
    </row>
    <row r="969" ht="14" customHeight="1" s="72">
      <c r="A969" s="75" t="n">
        <v>46102</v>
      </c>
      <c r="B969" s="76" t="n">
        <v>12051</v>
      </c>
      <c r="C969" s="69">
        <f>IF(B969="","",IFERROR(INDEX(Client_List!$B:$B,MATCH(B969,Client_List!$A:$A,0)),"⚠ NOT FOUND"))</f>
        <v/>
      </c>
      <c r="D969" s="43" t="n">
        <v>976</v>
      </c>
      <c r="E969" s="32">
        <f>IF(B969="","",IFERROR(INDEX(Client_List!$C:$C,MATCH(VALUE(B969),Client_List!$A:$A,0)),""))</f>
        <v/>
      </c>
      <c r="F969" s="53">
        <f>IF(B969="","",IFERROR(INDEX(Client_List!$D:$D,MATCH(VALUE(B969),Client_List!$A:$A,0)),""))</f>
        <v/>
      </c>
      <c r="G969" s="53">
        <f>IF(B969="","",IFERROR(INDEX(Client_List!$K:$K,MATCH(VALUE(B969),Client_List!$A:$A,0)),""))</f>
        <v/>
      </c>
      <c r="H969" s="32">
        <f>IF(B969="","",IFERROR(INDEX(Client_List!$J:$J,MATCH(VALUE(B969),Client_List!$A:$A,0)),""))</f>
        <v/>
      </c>
      <c r="I969" s="70">
        <f>IF(B969="","",IFERROR(A969-LOOKUP(2,1/($B$4:$B968=B969),$A$4:$A968),""))</f>
        <v/>
      </c>
      <c r="J969" s="32">
        <f>IF(B969="","",IFERROR(D969/I969,""))</f>
        <v/>
      </c>
      <c r="K969" s="71">
        <f>IF(B969="","",IFERROR(AVERAGEIFS($J$4:$J969,$B$4:$B969,B969,$J$4:$J969,"&gt;"&amp;0),""))</f>
        <v/>
      </c>
      <c r="L969" s="7" t="n"/>
    </row>
    <row r="970" ht="14" customHeight="1" s="72">
      <c r="A970" s="75" t="n">
        <v>46102</v>
      </c>
      <c r="B970" s="76" t="n">
        <v>15018</v>
      </c>
      <c r="C970" s="69">
        <f>IF(B970="","",IFERROR(INDEX(Client_List!$B:$B,MATCH(B970,Client_List!$A:$A,0)),"⚠ NOT FOUND"))</f>
        <v/>
      </c>
      <c r="D970" s="43" t="n">
        <v>472</v>
      </c>
      <c r="E970" s="32">
        <f>IF(B970="","",IFERROR(INDEX(Client_List!$C:$C,MATCH(VALUE(B970),Client_List!$A:$A,0)),""))</f>
        <v/>
      </c>
      <c r="F970" s="53">
        <f>IF(B970="","",IFERROR(INDEX(Client_List!$D:$D,MATCH(VALUE(B970),Client_List!$A:$A,0)),""))</f>
        <v/>
      </c>
      <c r="G970" s="53">
        <f>IF(B970="","",IFERROR(INDEX(Client_List!$K:$K,MATCH(VALUE(B970),Client_List!$A:$A,0)),""))</f>
        <v/>
      </c>
      <c r="H970" s="32">
        <f>IF(B970="","",IFERROR(INDEX(Client_List!$J:$J,MATCH(VALUE(B970),Client_List!$A:$A,0)),""))</f>
        <v/>
      </c>
      <c r="I970" s="70">
        <f>IF(B970="","",IFERROR(A970-LOOKUP(2,1/($B$4:$B969=B970),$A$4:$A969),""))</f>
        <v/>
      </c>
      <c r="J970" s="32">
        <f>IF(B970="","",IFERROR(D970/I970,""))</f>
        <v/>
      </c>
      <c r="K970" s="71">
        <f>IF(B970="","",IFERROR(AVERAGEIFS($J$4:$J970,$B$4:$B970,B970,$J$4:$J970,"&gt;"&amp;0),""))</f>
        <v/>
      </c>
      <c r="L970" s="4" t="n"/>
    </row>
    <row r="971" ht="14" customHeight="1" s="72">
      <c r="A971" s="75" t="n">
        <v>46102</v>
      </c>
      <c r="B971" s="76" t="n">
        <v>15020</v>
      </c>
      <c r="C971" s="69">
        <f>IF(B971="","",IFERROR(INDEX(Client_List!$B:$B,MATCH(B971,Client_List!$A:$A,0)),"⚠ NOT FOUND"))</f>
        <v/>
      </c>
      <c r="D971" s="43" t="n">
        <v>432</v>
      </c>
      <c r="E971" s="32">
        <f>IF(B971="","",IFERROR(INDEX(Client_List!$C:$C,MATCH(VALUE(B971),Client_List!$A:$A,0)),""))</f>
        <v/>
      </c>
      <c r="F971" s="53">
        <f>IF(B971="","",IFERROR(INDEX(Client_List!$D:$D,MATCH(VALUE(B971),Client_List!$A:$A,0)),""))</f>
        <v/>
      </c>
      <c r="G971" s="53">
        <f>IF(B971="","",IFERROR(INDEX(Client_List!$K:$K,MATCH(VALUE(B971),Client_List!$A:$A,0)),""))</f>
        <v/>
      </c>
      <c r="H971" s="32">
        <f>IF(B971="","",IFERROR(INDEX(Client_List!$J:$J,MATCH(VALUE(B971),Client_List!$A:$A,0)),""))</f>
        <v/>
      </c>
      <c r="I971" s="70">
        <f>IF(B971="","",IFERROR(A971-LOOKUP(2,1/($B$4:$B970=B971),$A$4:$A970),""))</f>
        <v/>
      </c>
      <c r="J971" s="32">
        <f>IF(B971="","",IFERROR(D971/I971,""))</f>
        <v/>
      </c>
      <c r="K971" s="71">
        <f>IF(B971="","",IFERROR(AVERAGEIFS($J$4:$J971,$B$4:$B971,B971,$J$4:$J971,"&gt;"&amp;0),""))</f>
        <v/>
      </c>
      <c r="L971" s="7" t="n"/>
    </row>
    <row r="972" ht="14" customHeight="1" s="72">
      <c r="A972" s="75" t="n">
        <v>46102</v>
      </c>
      <c r="B972" s="76" t="n">
        <v>15035</v>
      </c>
      <c r="C972" s="69">
        <f>IF(B972="","",IFERROR(INDEX(Client_List!$B:$B,MATCH(B972,Client_List!$A:$A,0)),"⚠ NOT FOUND"))</f>
        <v/>
      </c>
      <c r="D972" s="43" t="n">
        <v>1407</v>
      </c>
      <c r="E972" s="32">
        <f>IF(B972="","",IFERROR(INDEX(Client_List!$C:$C,MATCH(VALUE(B972),Client_List!$A:$A,0)),""))</f>
        <v/>
      </c>
      <c r="F972" s="53">
        <f>IF(B972="","",IFERROR(INDEX(Client_List!$D:$D,MATCH(VALUE(B972),Client_List!$A:$A,0)),""))</f>
        <v/>
      </c>
      <c r="G972" s="53">
        <f>IF(B972="","",IFERROR(INDEX(Client_List!$K:$K,MATCH(VALUE(B972),Client_List!$A:$A,0)),""))</f>
        <v/>
      </c>
      <c r="H972" s="32">
        <f>IF(B972="","",IFERROR(INDEX(Client_List!$J:$J,MATCH(VALUE(B972),Client_List!$A:$A,0)),""))</f>
        <v/>
      </c>
      <c r="I972" s="70">
        <f>IF(B972="","",IFERROR(A972-LOOKUP(2,1/($B$4:$B971=B972),$A$4:$A971),""))</f>
        <v/>
      </c>
      <c r="J972" s="32">
        <f>IF(B972="","",IFERROR(D972/I972,""))</f>
        <v/>
      </c>
      <c r="K972" s="71">
        <f>IF(B972="","",IFERROR(AVERAGEIFS($J$4:$J972,$B$4:$B972,B972,$J$4:$J972,"&gt;"&amp;0),""))</f>
        <v/>
      </c>
      <c r="L972" s="4" t="n"/>
    </row>
    <row r="973" ht="14" customHeight="1" s="72">
      <c r="A973" s="75" t="n">
        <v>46102</v>
      </c>
      <c r="B973" s="76" t="n">
        <v>16003</v>
      </c>
      <c r="C973" s="69">
        <f>IF(B973="","",IFERROR(INDEX(Client_List!$B:$B,MATCH(B973,Client_List!$A:$A,0)),"⚠ NOT FOUND"))</f>
        <v/>
      </c>
      <c r="D973" s="43" t="n">
        <v>771</v>
      </c>
      <c r="E973" s="32">
        <f>IF(B973="","",IFERROR(INDEX(Client_List!$C:$C,MATCH(VALUE(B973),Client_List!$A:$A,0)),""))</f>
        <v/>
      </c>
      <c r="F973" s="53">
        <f>IF(B973="","",IFERROR(INDEX(Client_List!$D:$D,MATCH(VALUE(B973),Client_List!$A:$A,0)),""))</f>
        <v/>
      </c>
      <c r="G973" s="53">
        <f>IF(B973="","",IFERROR(INDEX(Client_List!$K:$K,MATCH(VALUE(B973),Client_List!$A:$A,0)),""))</f>
        <v/>
      </c>
      <c r="H973" s="32">
        <f>IF(B973="","",IFERROR(INDEX(Client_List!$J:$J,MATCH(VALUE(B973),Client_List!$A:$A,0)),""))</f>
        <v/>
      </c>
      <c r="I973" s="70">
        <f>IF(B973="","",IFERROR(A973-LOOKUP(2,1/($B$4:$B972=B973),$A$4:$A972),""))</f>
        <v/>
      </c>
      <c r="J973" s="32">
        <f>IF(B973="","",IFERROR(D973/I973,""))</f>
        <v/>
      </c>
      <c r="K973" s="71">
        <f>IF(B973="","",IFERROR(AVERAGEIFS($J$4:$J973,$B$4:$B973,B973,$J$4:$J973,"&gt;"&amp;0),""))</f>
        <v/>
      </c>
      <c r="L973" s="7" t="n"/>
    </row>
    <row r="974" ht="14" customHeight="1" s="72">
      <c r="A974" s="75" t="n">
        <v>46102</v>
      </c>
      <c r="B974" s="76" t="n">
        <v>16008</v>
      </c>
      <c r="C974" s="69">
        <f>IF(B974="","",IFERROR(INDEX(Client_List!$B:$B,MATCH(B974,Client_List!$A:$A,0)),"⚠ NOT FOUND"))</f>
        <v/>
      </c>
      <c r="D974" s="43" t="n">
        <v>666</v>
      </c>
      <c r="E974" s="32">
        <f>IF(B974="","",IFERROR(INDEX(Client_List!$C:$C,MATCH(VALUE(B974),Client_List!$A:$A,0)),""))</f>
        <v/>
      </c>
      <c r="F974" s="53">
        <f>IF(B974="","",IFERROR(INDEX(Client_List!$D:$D,MATCH(VALUE(B974),Client_List!$A:$A,0)),""))</f>
        <v/>
      </c>
      <c r="G974" s="53">
        <f>IF(B974="","",IFERROR(INDEX(Client_List!$K:$K,MATCH(VALUE(B974),Client_List!$A:$A,0)),""))</f>
        <v/>
      </c>
      <c r="H974" s="32">
        <f>IF(B974="","",IFERROR(INDEX(Client_List!$J:$J,MATCH(VALUE(B974),Client_List!$A:$A,0)),""))</f>
        <v/>
      </c>
      <c r="I974" s="70">
        <f>IF(B974="","",IFERROR(A974-LOOKUP(2,1/($B$4:$B973=B974),$A$4:$A973),""))</f>
        <v/>
      </c>
      <c r="J974" s="32">
        <f>IF(B974="","",IFERROR(D974/I974,""))</f>
        <v/>
      </c>
      <c r="K974" s="71">
        <f>IF(B974="","",IFERROR(AVERAGEIFS($J$4:$J974,$B$4:$B974,B974,$J$4:$J974,"&gt;"&amp;0),""))</f>
        <v/>
      </c>
      <c r="L974" s="4" t="n"/>
    </row>
    <row r="975" ht="14" customHeight="1" s="72">
      <c r="A975" s="75" t="n">
        <v>46102</v>
      </c>
      <c r="B975" s="76" t="n">
        <v>16010</v>
      </c>
      <c r="C975" s="69">
        <f>IF(B975="","",IFERROR(INDEX(Client_List!$B:$B,MATCH(B975,Client_List!$A:$A,0)),"⚠ NOT FOUND"))</f>
        <v/>
      </c>
      <c r="D975" s="43" t="n">
        <v>1370</v>
      </c>
      <c r="E975" s="32">
        <f>IF(B975="","",IFERROR(INDEX(Client_List!$C:$C,MATCH(VALUE(B975),Client_List!$A:$A,0)),""))</f>
        <v/>
      </c>
      <c r="F975" s="53">
        <f>IF(B975="","",IFERROR(INDEX(Client_List!$D:$D,MATCH(VALUE(B975),Client_List!$A:$A,0)),""))</f>
        <v/>
      </c>
      <c r="G975" s="53">
        <f>IF(B975="","",IFERROR(INDEX(Client_List!$K:$K,MATCH(VALUE(B975),Client_List!$A:$A,0)),""))</f>
        <v/>
      </c>
      <c r="H975" s="32">
        <f>IF(B975="","",IFERROR(INDEX(Client_List!$J:$J,MATCH(VALUE(B975),Client_List!$A:$A,0)),""))</f>
        <v/>
      </c>
      <c r="I975" s="70">
        <f>IF(B975="","",IFERROR(A975-LOOKUP(2,1/($B$4:$B974=B975),$A$4:$A974),""))</f>
        <v/>
      </c>
      <c r="J975" s="32">
        <f>IF(B975="","",IFERROR(D975/I975,""))</f>
        <v/>
      </c>
      <c r="K975" s="71">
        <f>IF(B975="","",IFERROR(AVERAGEIFS($J$4:$J975,$B$4:$B975,B975,$J$4:$J975,"&gt;"&amp;0),""))</f>
        <v/>
      </c>
      <c r="L975" s="7" t="n"/>
    </row>
    <row r="976" ht="14" customHeight="1" s="72">
      <c r="A976" s="75" t="n">
        <v>46102</v>
      </c>
      <c r="B976" s="76" t="n">
        <v>18054</v>
      </c>
      <c r="C976" s="69">
        <f>IF(B976="","",IFERROR(INDEX(Client_List!$B:$B,MATCH(B976,Client_List!$A:$A,0)),"⚠ NOT FOUND"))</f>
        <v/>
      </c>
      <c r="D976" s="43" t="n">
        <v>1044</v>
      </c>
      <c r="E976" s="32">
        <f>IF(B976="","",IFERROR(INDEX(Client_List!$C:$C,MATCH(VALUE(B976),Client_List!$A:$A,0)),""))</f>
        <v/>
      </c>
      <c r="F976" s="53">
        <f>IF(B976="","",IFERROR(INDEX(Client_List!$D:$D,MATCH(VALUE(B976),Client_List!$A:$A,0)),""))</f>
        <v/>
      </c>
      <c r="G976" s="53">
        <f>IF(B976="","",IFERROR(INDEX(Client_List!$K:$K,MATCH(VALUE(B976),Client_List!$A:$A,0)),""))</f>
        <v/>
      </c>
      <c r="H976" s="32">
        <f>IF(B976="","",IFERROR(INDEX(Client_List!$J:$J,MATCH(VALUE(B976),Client_List!$A:$A,0)),""))</f>
        <v/>
      </c>
      <c r="I976" s="70">
        <f>IF(B976="","",IFERROR(A976-LOOKUP(2,1/($B$4:$B975=B976),$A$4:$A975),""))</f>
        <v/>
      </c>
      <c r="J976" s="32">
        <f>IF(B976="","",IFERROR(D976/I976,""))</f>
        <v/>
      </c>
      <c r="K976" s="71">
        <f>IF(B976="","",IFERROR(AVERAGEIFS($J$4:$J976,$B$4:$B976,B976,$J$4:$J976,"&gt;"&amp;0),""))</f>
        <v/>
      </c>
      <c r="L976" s="4" t="n"/>
    </row>
    <row r="977" ht="14" customHeight="1" s="72">
      <c r="A977" s="75" t="n">
        <v>46102</v>
      </c>
      <c r="B977" s="76" t="n">
        <v>19110</v>
      </c>
      <c r="C977" s="69">
        <f>IF(B977="","",IFERROR(INDEX(Client_List!$B:$B,MATCH(B977,Client_List!$A:$A,0)),"⚠ NOT FOUND"))</f>
        <v/>
      </c>
      <c r="D977" s="43" t="n">
        <v>191</v>
      </c>
      <c r="E977" s="32">
        <f>IF(B977="","",IFERROR(INDEX(Client_List!$C:$C,MATCH(VALUE(B977),Client_List!$A:$A,0)),""))</f>
        <v/>
      </c>
      <c r="F977" s="53">
        <f>IF(B977="","",IFERROR(INDEX(Client_List!$D:$D,MATCH(VALUE(B977),Client_List!$A:$A,0)),""))</f>
        <v/>
      </c>
      <c r="G977" s="53">
        <f>IF(B977="","",IFERROR(INDEX(Client_List!$K:$K,MATCH(VALUE(B977),Client_List!$A:$A,0)),""))</f>
        <v/>
      </c>
      <c r="H977" s="32">
        <f>IF(B977="","",IFERROR(INDEX(Client_List!$J:$J,MATCH(VALUE(B977),Client_List!$A:$A,0)),""))</f>
        <v/>
      </c>
      <c r="I977" s="70">
        <f>IF(B977="","",IFERROR(A977-LOOKUP(2,1/($B$4:$B976=B977),$A$4:$A976),""))</f>
        <v/>
      </c>
      <c r="J977" s="32">
        <f>IF(B977="","",IFERROR(D977/I977,""))</f>
        <v/>
      </c>
      <c r="K977" s="71">
        <f>IF(B977="","",IFERROR(AVERAGEIFS($J$4:$J977,$B$4:$B977,B977,$J$4:$J977,"&gt;"&amp;0),""))</f>
        <v/>
      </c>
      <c r="L977" s="7" t="n"/>
    </row>
    <row r="978" ht="14" customHeight="1" s="72">
      <c r="A978" s="75" t="n">
        <v>46102</v>
      </c>
      <c r="B978" s="76" t="n">
        <v>19123</v>
      </c>
      <c r="C978" s="69">
        <f>IF(B978="","",IFERROR(INDEX(Client_List!$B:$B,MATCH(B978,Client_List!$A:$A,0)),"⚠ NOT FOUND"))</f>
        <v/>
      </c>
      <c r="D978" s="43" t="n">
        <v>191</v>
      </c>
      <c r="E978" s="32">
        <f>IF(B978="","",IFERROR(INDEX(Client_List!$C:$C,MATCH(VALUE(B978),Client_List!$A:$A,0)),""))</f>
        <v/>
      </c>
      <c r="F978" s="53">
        <f>IF(B978="","",IFERROR(INDEX(Client_List!$D:$D,MATCH(VALUE(B978),Client_List!$A:$A,0)),""))</f>
        <v/>
      </c>
      <c r="G978" s="53">
        <f>IF(B978="","",IFERROR(INDEX(Client_List!$K:$K,MATCH(VALUE(B978),Client_List!$A:$A,0)),""))</f>
        <v/>
      </c>
      <c r="H978" s="32">
        <f>IF(B978="","",IFERROR(INDEX(Client_List!$J:$J,MATCH(VALUE(B978),Client_List!$A:$A,0)),""))</f>
        <v/>
      </c>
      <c r="I978" s="70">
        <f>IF(B978="","",IFERROR(A978-LOOKUP(2,1/($B$4:$B977=B978),$A$4:$A977),""))</f>
        <v/>
      </c>
      <c r="J978" s="32">
        <f>IF(B978="","",IFERROR(D978/I978,""))</f>
        <v/>
      </c>
      <c r="K978" s="71">
        <f>IF(B978="","",IFERROR(AVERAGEIFS($J$4:$J978,$B$4:$B978,B978,$J$4:$J978,"&gt;"&amp;0),""))</f>
        <v/>
      </c>
      <c r="L978" s="4" t="n"/>
    </row>
    <row r="979" ht="14" customHeight="1" s="72">
      <c r="A979" s="75" t="n">
        <v>46103</v>
      </c>
      <c r="B979" s="76" t="n">
        <v>1014</v>
      </c>
      <c r="C979" s="69">
        <f>IF(B979="","",IFERROR(INDEX(Client_List!$B:$B,MATCH(B979,Client_List!$A:$A,0)),"⚠ NOT FOUND"))</f>
        <v/>
      </c>
      <c r="D979" s="43" t="n">
        <v>858</v>
      </c>
      <c r="E979" s="32">
        <f>IF(B979="","",IFERROR(INDEX(Client_List!$C:$C,MATCH(VALUE(B979),Client_List!$A:$A,0)),""))</f>
        <v/>
      </c>
      <c r="F979" s="53">
        <f>IF(B979="","",IFERROR(INDEX(Client_List!$D:$D,MATCH(VALUE(B979),Client_List!$A:$A,0)),""))</f>
        <v/>
      </c>
      <c r="G979" s="53">
        <f>IF(B979="","",IFERROR(INDEX(Client_List!$K:$K,MATCH(VALUE(B979),Client_List!$A:$A,0)),""))</f>
        <v/>
      </c>
      <c r="H979" s="32">
        <f>IF(B979="","",IFERROR(INDEX(Client_List!$J:$J,MATCH(VALUE(B979),Client_List!$A:$A,0)),""))</f>
        <v/>
      </c>
      <c r="I979" s="70">
        <f>IF(B979="","",IFERROR(A979-LOOKUP(2,1/($B$4:$B978=B979),$A$4:$A978),""))</f>
        <v/>
      </c>
      <c r="J979" s="32">
        <f>IF(B979="","",IFERROR(D979/I979,""))</f>
        <v/>
      </c>
      <c r="K979" s="71">
        <f>IF(B979="","",IFERROR(AVERAGEIFS($J$4:$J979,$B$4:$B979,B979,$J$4:$J979,"&gt;"&amp;0),""))</f>
        <v/>
      </c>
      <c r="L979" s="7" t="n"/>
    </row>
    <row r="980" ht="14" customHeight="1" s="72">
      <c r="A980" s="75" t="n">
        <v>46103</v>
      </c>
      <c r="B980" s="76" t="n">
        <v>2021</v>
      </c>
      <c r="C980" s="69">
        <f>IF(B980="","",IFERROR(INDEX(Client_List!$B:$B,MATCH(B980,Client_List!$A:$A,0)),"⚠ NOT FOUND"))</f>
        <v/>
      </c>
      <c r="D980" s="43" t="n">
        <v>585</v>
      </c>
      <c r="E980" s="32">
        <f>IF(B980="","",IFERROR(INDEX(Client_List!$C:$C,MATCH(VALUE(B980),Client_List!$A:$A,0)),""))</f>
        <v/>
      </c>
      <c r="F980" s="53">
        <f>IF(B980="","",IFERROR(INDEX(Client_List!$D:$D,MATCH(VALUE(B980),Client_List!$A:$A,0)),""))</f>
        <v/>
      </c>
      <c r="G980" s="53">
        <f>IF(B980="","",IFERROR(INDEX(Client_List!$K:$K,MATCH(VALUE(B980),Client_List!$A:$A,0)),""))</f>
        <v/>
      </c>
      <c r="H980" s="32">
        <f>IF(B980="","",IFERROR(INDEX(Client_List!$J:$J,MATCH(VALUE(B980),Client_List!$A:$A,0)),""))</f>
        <v/>
      </c>
      <c r="I980" s="70">
        <f>IF(B980="","",IFERROR(A980-LOOKUP(2,1/($B$4:$B979=B980),$A$4:$A979),""))</f>
        <v/>
      </c>
      <c r="J980" s="32">
        <f>IF(B980="","",IFERROR(D980/I980,""))</f>
        <v/>
      </c>
      <c r="K980" s="71">
        <f>IF(B980="","",IFERROR(AVERAGEIFS($J$4:$J980,$B$4:$B980,B980,$J$4:$J980,"&gt;"&amp;0),""))</f>
        <v/>
      </c>
      <c r="L980" s="4" t="n"/>
    </row>
    <row r="981" ht="14" customHeight="1" s="72">
      <c r="A981" s="75" t="n">
        <v>46103</v>
      </c>
      <c r="B981" s="76" t="n">
        <v>8031</v>
      </c>
      <c r="C981" s="69">
        <f>IF(B981="","",IFERROR(INDEX(Client_List!$B:$B,MATCH(B981,Client_List!$A:$A,0)),"⚠ NOT FOUND"))</f>
        <v/>
      </c>
      <c r="D981" s="43" t="n">
        <v>972</v>
      </c>
      <c r="E981" s="32">
        <f>IF(B981="","",IFERROR(INDEX(Client_List!$C:$C,MATCH(VALUE(B981),Client_List!$A:$A,0)),""))</f>
        <v/>
      </c>
      <c r="F981" s="53">
        <f>IF(B981="","",IFERROR(INDEX(Client_List!$D:$D,MATCH(VALUE(B981),Client_List!$A:$A,0)),""))</f>
        <v/>
      </c>
      <c r="G981" s="53">
        <f>IF(B981="","",IFERROR(INDEX(Client_List!$K:$K,MATCH(VALUE(B981),Client_List!$A:$A,0)),""))</f>
        <v/>
      </c>
      <c r="H981" s="32">
        <f>IF(B981="","",IFERROR(INDEX(Client_List!$J:$J,MATCH(VALUE(B981),Client_List!$A:$A,0)),""))</f>
        <v/>
      </c>
      <c r="I981" s="70">
        <f>IF(B981="","",IFERROR(A981-LOOKUP(2,1/($B$4:$B980=B981),$A$4:$A980),""))</f>
        <v/>
      </c>
      <c r="J981" s="32">
        <f>IF(B981="","",IFERROR(D981/I981,""))</f>
        <v/>
      </c>
      <c r="K981" s="71">
        <f>IF(B981="","",IFERROR(AVERAGEIFS($J$4:$J981,$B$4:$B981,B981,$J$4:$J981,"&gt;"&amp;0),""))</f>
        <v/>
      </c>
      <c r="L981" s="7" t="n"/>
    </row>
    <row r="982" ht="14" customHeight="1" s="72">
      <c r="A982" s="75" t="n">
        <v>46103</v>
      </c>
      <c r="B982" s="76" t="n">
        <v>12047</v>
      </c>
      <c r="C982" s="69">
        <f>IF(B982="","",IFERROR(INDEX(Client_List!$B:$B,MATCH(B982,Client_List!$A:$A,0)),"⚠ NOT FOUND"))</f>
        <v/>
      </c>
      <c r="D982" s="43" t="n">
        <v>560</v>
      </c>
      <c r="E982" s="32">
        <f>IF(B982="","",IFERROR(INDEX(Client_List!$C:$C,MATCH(VALUE(B982),Client_List!$A:$A,0)),""))</f>
        <v/>
      </c>
      <c r="F982" s="53">
        <f>IF(B982="","",IFERROR(INDEX(Client_List!$D:$D,MATCH(VALUE(B982),Client_List!$A:$A,0)),""))</f>
        <v/>
      </c>
      <c r="G982" s="53">
        <f>IF(B982="","",IFERROR(INDEX(Client_List!$K:$K,MATCH(VALUE(B982),Client_List!$A:$A,0)),""))</f>
        <v/>
      </c>
      <c r="H982" s="32">
        <f>IF(B982="","",IFERROR(INDEX(Client_List!$J:$J,MATCH(VALUE(B982),Client_List!$A:$A,0)),""))</f>
        <v/>
      </c>
      <c r="I982" s="70">
        <f>IF(B982="","",IFERROR(A982-LOOKUP(2,1/($B$4:$B981=B982),$A$4:$A981),""))</f>
        <v/>
      </c>
      <c r="J982" s="32">
        <f>IF(B982="","",IFERROR(D982/I982,""))</f>
        <v/>
      </c>
      <c r="K982" s="71">
        <f>IF(B982="","",IFERROR(AVERAGEIFS($J$4:$J982,$B$4:$B982,B982,$J$4:$J982,"&gt;"&amp;0),""))</f>
        <v/>
      </c>
      <c r="L982" s="4" t="n"/>
    </row>
    <row r="983" ht="14" customHeight="1" s="72">
      <c r="A983" s="75" t="n">
        <v>46103</v>
      </c>
      <c r="B983" s="76" t="n">
        <v>12055</v>
      </c>
      <c r="C983" s="69">
        <f>IF(B983="","",IFERROR(INDEX(Client_List!$B:$B,MATCH(B983,Client_List!$A:$A,0)),"⚠ NOT FOUND"))</f>
        <v/>
      </c>
      <c r="D983" s="43" t="n">
        <v>896</v>
      </c>
      <c r="E983" s="32">
        <f>IF(B983="","",IFERROR(INDEX(Client_List!$C:$C,MATCH(VALUE(B983),Client_List!$A:$A,0)),""))</f>
        <v/>
      </c>
      <c r="F983" s="53">
        <f>IF(B983="","",IFERROR(INDEX(Client_List!$D:$D,MATCH(VALUE(B983),Client_List!$A:$A,0)),""))</f>
        <v/>
      </c>
      <c r="G983" s="53">
        <f>IF(B983="","",IFERROR(INDEX(Client_List!$K:$K,MATCH(VALUE(B983),Client_List!$A:$A,0)),""))</f>
        <v/>
      </c>
      <c r="H983" s="32">
        <f>IF(B983="","",IFERROR(INDEX(Client_List!$J:$J,MATCH(VALUE(B983),Client_List!$A:$A,0)),""))</f>
        <v/>
      </c>
      <c r="I983" s="70">
        <f>IF(B983="","",IFERROR(A983-LOOKUP(2,1/($B$4:$B982=B983),$A$4:$A982),""))</f>
        <v/>
      </c>
      <c r="J983" s="32">
        <f>IF(B983="","",IFERROR(D983/I983,""))</f>
        <v/>
      </c>
      <c r="K983" s="71">
        <f>IF(B983="","",IFERROR(AVERAGEIFS($J$4:$J983,$B$4:$B983,B983,$J$4:$J983,"&gt;"&amp;0),""))</f>
        <v/>
      </c>
      <c r="L983" s="7" t="n"/>
    </row>
    <row r="984" ht="14" customHeight="1" s="72">
      <c r="A984" s="75" t="n">
        <v>46103</v>
      </c>
      <c r="B984" s="76" t="n">
        <v>15001</v>
      </c>
      <c r="C984" s="69">
        <f>IF(B984="","",IFERROR(INDEX(Client_List!$B:$B,MATCH(B984,Client_List!$A:$A,0)),"⚠ NOT FOUND"))</f>
        <v/>
      </c>
      <c r="D984" s="43" t="n">
        <v>780</v>
      </c>
      <c r="E984" s="32">
        <f>IF(B984="","",IFERROR(INDEX(Client_List!$C:$C,MATCH(VALUE(B984),Client_List!$A:$A,0)),""))</f>
        <v/>
      </c>
      <c r="F984" s="53">
        <f>IF(B984="","",IFERROR(INDEX(Client_List!$D:$D,MATCH(VALUE(B984),Client_List!$A:$A,0)),""))</f>
        <v/>
      </c>
      <c r="G984" s="53">
        <f>IF(B984="","",IFERROR(INDEX(Client_List!$K:$K,MATCH(VALUE(B984),Client_List!$A:$A,0)),""))</f>
        <v/>
      </c>
      <c r="H984" s="32">
        <f>IF(B984="","",IFERROR(INDEX(Client_List!$J:$J,MATCH(VALUE(B984),Client_List!$A:$A,0)),""))</f>
        <v/>
      </c>
      <c r="I984" s="70">
        <f>IF(B984="","",IFERROR(A984-LOOKUP(2,1/($B$4:$B983=B984),$A$4:$A983),""))</f>
        <v/>
      </c>
      <c r="J984" s="32">
        <f>IF(B984="","",IFERROR(D984/I984,""))</f>
        <v/>
      </c>
      <c r="K984" s="71">
        <f>IF(B984="","",IFERROR(AVERAGEIFS($J$4:$J984,$B$4:$B984,B984,$J$4:$J984,"&gt;"&amp;0),""))</f>
        <v/>
      </c>
      <c r="L984" s="4" t="n"/>
    </row>
    <row r="985" ht="14" customHeight="1" s="72">
      <c r="A985" s="75" t="n">
        <v>46103</v>
      </c>
      <c r="B985" s="76" t="n">
        <v>20013</v>
      </c>
      <c r="C985" s="69">
        <f>IF(B985="","",IFERROR(INDEX(Client_List!$B:$B,MATCH(B985,Client_List!$A:$A,0)),"⚠ NOT FOUND"))</f>
        <v/>
      </c>
      <c r="D985" s="43" t="n">
        <v>990</v>
      </c>
      <c r="E985" s="32">
        <f>IF(B985="","",IFERROR(INDEX(Client_List!$C:$C,MATCH(VALUE(B985),Client_List!$A:$A,0)),""))</f>
        <v/>
      </c>
      <c r="F985" s="53">
        <f>IF(B985="","",IFERROR(INDEX(Client_List!$D:$D,MATCH(VALUE(B985),Client_List!$A:$A,0)),""))</f>
        <v/>
      </c>
      <c r="G985" s="53">
        <f>IF(B985="","",IFERROR(INDEX(Client_List!$K:$K,MATCH(VALUE(B985),Client_List!$A:$A,0)),""))</f>
        <v/>
      </c>
      <c r="H985" s="32">
        <f>IF(B985="","",IFERROR(INDEX(Client_List!$J:$J,MATCH(VALUE(B985),Client_List!$A:$A,0)),""))</f>
        <v/>
      </c>
      <c r="I985" s="70">
        <f>IF(B985="","",IFERROR(A985-LOOKUP(2,1/($B$4:$B984=B985),$A$4:$A984),""))</f>
        <v/>
      </c>
      <c r="J985" s="32">
        <f>IF(B985="","",IFERROR(D985/I985,""))</f>
        <v/>
      </c>
      <c r="K985" s="71">
        <f>IF(B985="","",IFERROR(AVERAGEIFS($J$4:$J985,$B$4:$B985,B985,$J$4:$J985,"&gt;"&amp;0),""))</f>
        <v/>
      </c>
      <c r="L985" s="7" t="n"/>
    </row>
    <row r="986" ht="14" customHeight="1" s="72">
      <c r="A986" s="75" t="n">
        <v>46103</v>
      </c>
      <c r="B986" s="76" t="n">
        <v>20021</v>
      </c>
      <c r="C986" s="69">
        <f>IF(B986="","",IFERROR(INDEX(Client_List!$B:$B,MATCH(B986,Client_List!$A:$A,0)),"⚠ NOT FOUND"))</f>
        <v/>
      </c>
      <c r="D986" s="43" t="n">
        <v>1013</v>
      </c>
      <c r="E986" s="32">
        <f>IF(B986="","",IFERROR(INDEX(Client_List!$C:$C,MATCH(VALUE(B986),Client_List!$A:$A,0)),""))</f>
        <v/>
      </c>
      <c r="F986" s="53">
        <f>IF(B986="","",IFERROR(INDEX(Client_List!$D:$D,MATCH(VALUE(B986),Client_List!$A:$A,0)),""))</f>
        <v/>
      </c>
      <c r="G986" s="53">
        <f>IF(B986="","",IFERROR(INDEX(Client_List!$K:$K,MATCH(VALUE(B986),Client_List!$A:$A,0)),""))</f>
        <v/>
      </c>
      <c r="H986" s="32">
        <f>IF(B986="","",IFERROR(INDEX(Client_List!$J:$J,MATCH(VALUE(B986),Client_List!$A:$A,0)),""))</f>
        <v/>
      </c>
      <c r="I986" s="70">
        <f>IF(B986="","",IFERROR(A986-LOOKUP(2,1/($B$4:$B985=B986),$A$4:$A985),""))</f>
        <v/>
      </c>
      <c r="J986" s="32">
        <f>IF(B986="","",IFERROR(D986/I986,""))</f>
        <v/>
      </c>
      <c r="K986" s="71">
        <f>IF(B986="","",IFERROR(AVERAGEIFS($J$4:$J986,$B$4:$B986,B986,$J$4:$J986,"&gt;"&amp;0),""))</f>
        <v/>
      </c>
      <c r="L986" s="4" t="n"/>
    </row>
    <row r="987" ht="14" customHeight="1" s="72">
      <c r="A987" s="75" t="n">
        <v>46103</v>
      </c>
      <c r="B987" s="76" t="n">
        <v>20088</v>
      </c>
      <c r="C987" s="69">
        <f>IF(B987="","",IFERROR(INDEX(Client_List!$B:$B,MATCH(B987,Client_List!$A:$A,0)),"⚠ NOT FOUND"))</f>
        <v/>
      </c>
      <c r="D987" s="43" t="n">
        <v>1020</v>
      </c>
      <c r="E987" s="32">
        <f>IF(B987="","",IFERROR(INDEX(Client_List!$C:$C,MATCH(VALUE(B987),Client_List!$A:$A,0)),""))</f>
        <v/>
      </c>
      <c r="F987" s="53">
        <f>IF(B987="","",IFERROR(INDEX(Client_List!$D:$D,MATCH(VALUE(B987),Client_List!$A:$A,0)),""))</f>
        <v/>
      </c>
      <c r="G987" s="53">
        <f>IF(B987="","",IFERROR(INDEX(Client_List!$K:$K,MATCH(VALUE(B987),Client_List!$A:$A,0)),""))</f>
        <v/>
      </c>
      <c r="H987" s="32">
        <f>IF(B987="","",IFERROR(INDEX(Client_List!$J:$J,MATCH(VALUE(B987),Client_List!$A:$A,0)),""))</f>
        <v/>
      </c>
      <c r="I987" s="70">
        <f>IF(B987="","",IFERROR(A987-LOOKUP(2,1/($B$4:$B986=B987),$A$4:$A986),""))</f>
        <v/>
      </c>
      <c r="J987" s="32">
        <f>IF(B987="","",IFERROR(D987/I987,""))</f>
        <v/>
      </c>
      <c r="K987" s="71">
        <f>IF(B987="","",IFERROR(AVERAGEIFS($J$4:$J987,$B$4:$B987,B987,$J$4:$J987,"&gt;"&amp;0),""))</f>
        <v/>
      </c>
      <c r="L987" s="7" t="n"/>
    </row>
    <row r="988" ht="14" customHeight="1" s="72">
      <c r="A988" s="75" t="n">
        <v>46104</v>
      </c>
      <c r="B988" s="76" t="n">
        <v>13011</v>
      </c>
      <c r="C988" s="69">
        <f>IF(B988="","",IFERROR(INDEX(Client_List!$B:$B,MATCH(B988,Client_List!$A:$A,0)),"⚠ NOT FOUND"))</f>
        <v/>
      </c>
      <c r="D988" s="43" t="n">
        <v>809</v>
      </c>
      <c r="E988" s="32">
        <f>IF(B988="","",IFERROR(INDEX(Client_List!$C:$C,MATCH(VALUE(B988),Client_List!$A:$A,0)),""))</f>
        <v/>
      </c>
      <c r="F988" s="53">
        <f>IF(B988="","",IFERROR(INDEX(Client_List!$D:$D,MATCH(VALUE(B988),Client_List!$A:$A,0)),""))</f>
        <v/>
      </c>
      <c r="G988" s="53">
        <f>IF(B988="","",IFERROR(INDEX(Client_List!$K:$K,MATCH(VALUE(B988),Client_List!$A:$A,0)),""))</f>
        <v/>
      </c>
      <c r="H988" s="32">
        <f>IF(B988="","",IFERROR(INDEX(Client_List!$J:$J,MATCH(VALUE(B988),Client_List!$A:$A,0)),""))</f>
        <v/>
      </c>
      <c r="I988" s="70">
        <f>IF(B988="","",IFERROR(A988-LOOKUP(2,1/($B$4:$B987=B988),$A$4:$A987),""))</f>
        <v/>
      </c>
      <c r="J988" s="32">
        <f>IF(B988="","",IFERROR(D988/I988,""))</f>
        <v/>
      </c>
      <c r="K988" s="71">
        <f>IF(B988="","",IFERROR(AVERAGEIFS($J$4:$J988,$B$4:$B988,B988,$J$4:$J988,"&gt;"&amp;0),""))</f>
        <v/>
      </c>
      <c r="L988" s="4" t="n"/>
    </row>
    <row r="989" ht="14" customHeight="1" s="72">
      <c r="A989" s="75" t="n">
        <v>46104</v>
      </c>
      <c r="B989" s="76" t="n">
        <v>20033</v>
      </c>
      <c r="C989" s="69">
        <f>IF(B989="","",IFERROR(INDEX(Client_List!$B:$B,MATCH(B989,Client_List!$A:$A,0)),"⚠ NOT FOUND"))</f>
        <v/>
      </c>
      <c r="D989" s="43" t="n">
        <v>381</v>
      </c>
      <c r="E989" s="32">
        <f>IF(B989="","",IFERROR(INDEX(Client_List!$C:$C,MATCH(VALUE(B989),Client_List!$A:$A,0)),""))</f>
        <v/>
      </c>
      <c r="F989" s="53">
        <f>IF(B989="","",IFERROR(INDEX(Client_List!$D:$D,MATCH(VALUE(B989),Client_List!$A:$A,0)),""))</f>
        <v/>
      </c>
      <c r="G989" s="53">
        <f>IF(B989="","",IFERROR(INDEX(Client_List!$K:$K,MATCH(VALUE(B989),Client_List!$A:$A,0)),""))</f>
        <v/>
      </c>
      <c r="H989" s="32">
        <f>IF(B989="","",IFERROR(INDEX(Client_List!$J:$J,MATCH(VALUE(B989),Client_List!$A:$A,0)),""))</f>
        <v/>
      </c>
      <c r="I989" s="70">
        <f>IF(B989="","",IFERROR(A989-LOOKUP(2,1/($B$4:$B988=B989),$A$4:$A988),""))</f>
        <v/>
      </c>
      <c r="J989" s="32">
        <f>IF(B989="","",IFERROR(D989/I989,""))</f>
        <v/>
      </c>
      <c r="K989" s="71">
        <f>IF(B989="","",IFERROR(AVERAGEIFS($J$4:$J989,$B$4:$B989,B989,$J$4:$J989,"&gt;"&amp;0),""))</f>
        <v/>
      </c>
      <c r="L989" s="7" t="n"/>
    </row>
    <row r="990" ht="14" customHeight="1" s="72">
      <c r="A990" s="75" t="n">
        <v>46105</v>
      </c>
      <c r="B990" s="76" t="n">
        <v>1001</v>
      </c>
      <c r="C990" s="69">
        <f>IF(B990="","",IFERROR(INDEX(Client_List!$B:$B,MATCH(B990,Client_List!$A:$A,0)),"⚠ NOT FOUND"))</f>
        <v/>
      </c>
      <c r="D990" s="43" t="n">
        <v>849</v>
      </c>
      <c r="E990" s="32">
        <f>IF(B990="","",IFERROR(INDEX(Client_List!$C:$C,MATCH(VALUE(B990),Client_List!$A:$A,0)),""))</f>
        <v/>
      </c>
      <c r="F990" s="53">
        <f>IF(B990="","",IFERROR(INDEX(Client_List!$D:$D,MATCH(VALUE(B990),Client_List!$A:$A,0)),""))</f>
        <v/>
      </c>
      <c r="G990" s="53">
        <f>IF(B990="","",IFERROR(INDEX(Client_List!$K:$K,MATCH(VALUE(B990),Client_List!$A:$A,0)),""))</f>
        <v/>
      </c>
      <c r="H990" s="32">
        <f>IF(B990="","",IFERROR(INDEX(Client_List!$J:$J,MATCH(VALUE(B990),Client_List!$A:$A,0)),""))</f>
        <v/>
      </c>
      <c r="I990" s="70">
        <f>IF(B990="","",IFERROR(A990-LOOKUP(2,1/($B$4:$B989=B990),$A$4:$A989),""))</f>
        <v/>
      </c>
      <c r="J990" s="32">
        <f>IF(B990="","",IFERROR(D990/I990,""))</f>
        <v/>
      </c>
      <c r="K990" s="71">
        <f>IF(B990="","",IFERROR(AVERAGEIFS($J$4:$J990,$B$4:$B990,B990,$J$4:$J990,"&gt;"&amp;0),""))</f>
        <v/>
      </c>
      <c r="L990" s="4" t="n"/>
    </row>
    <row r="991" ht="14" customHeight="1" s="72">
      <c r="A991" s="75" t="n">
        <v>46105</v>
      </c>
      <c r="B991" s="76" t="n">
        <v>1081</v>
      </c>
      <c r="C991" s="69">
        <f>IF(B991="","",IFERROR(INDEX(Client_List!$B:$B,MATCH(B991,Client_List!$A:$A,0)),"⚠ NOT FOUND"))</f>
        <v/>
      </c>
      <c r="D991" s="43" t="n">
        <v>168</v>
      </c>
      <c r="E991" s="32">
        <f>IF(B991="","",IFERROR(INDEX(Client_List!$C:$C,MATCH(VALUE(B991),Client_List!$A:$A,0)),""))</f>
        <v/>
      </c>
      <c r="F991" s="53">
        <f>IF(B991="","",IFERROR(INDEX(Client_List!$D:$D,MATCH(VALUE(B991),Client_List!$A:$A,0)),""))</f>
        <v/>
      </c>
      <c r="G991" s="53">
        <f>IF(B991="","",IFERROR(INDEX(Client_List!$K:$K,MATCH(VALUE(B991),Client_List!$A:$A,0)),""))</f>
        <v/>
      </c>
      <c r="H991" s="32">
        <f>IF(B991="","",IFERROR(INDEX(Client_List!$J:$J,MATCH(VALUE(B991),Client_List!$A:$A,0)),""))</f>
        <v/>
      </c>
      <c r="I991" s="70">
        <f>IF(B991="","",IFERROR(A991-LOOKUP(2,1/($B$4:$B990=B991),$A$4:$A990),""))</f>
        <v/>
      </c>
      <c r="J991" s="32">
        <f>IF(B991="","",IFERROR(D991/I991,""))</f>
        <v/>
      </c>
      <c r="K991" s="71">
        <f>IF(B991="","",IFERROR(AVERAGEIFS($J$4:$J991,$B$4:$B991,B991,$J$4:$J991,"&gt;"&amp;0),""))</f>
        <v/>
      </c>
      <c r="L991" s="7" t="n"/>
    </row>
    <row r="992" ht="14" customHeight="1" s="72">
      <c r="A992" s="75" t="n">
        <v>46105</v>
      </c>
      <c r="B992" s="76" t="n">
        <v>2067</v>
      </c>
      <c r="C992" s="69">
        <f>IF(B992="","",IFERROR(INDEX(Client_List!$B:$B,MATCH(B992,Client_List!$A:$A,0)),"⚠ NOT FOUND"))</f>
        <v/>
      </c>
      <c r="D992" s="43" t="n">
        <v>904</v>
      </c>
      <c r="E992" s="32">
        <f>IF(B992="","",IFERROR(INDEX(Client_List!$C:$C,MATCH(VALUE(B992),Client_List!$A:$A,0)),""))</f>
        <v/>
      </c>
      <c r="F992" s="53">
        <f>IF(B992="","",IFERROR(INDEX(Client_List!$D:$D,MATCH(VALUE(B992),Client_List!$A:$A,0)),""))</f>
        <v/>
      </c>
      <c r="G992" s="53">
        <f>IF(B992="","",IFERROR(INDEX(Client_List!$K:$K,MATCH(VALUE(B992),Client_List!$A:$A,0)),""))</f>
        <v/>
      </c>
      <c r="H992" s="32">
        <f>IF(B992="","",IFERROR(INDEX(Client_List!$J:$J,MATCH(VALUE(B992),Client_List!$A:$A,0)),""))</f>
        <v/>
      </c>
      <c r="I992" s="70">
        <f>IF(B992="","",IFERROR(A992-LOOKUP(2,1/($B$4:$B991=B992),$A$4:$A991),""))</f>
        <v/>
      </c>
      <c r="J992" s="32">
        <f>IF(B992="","",IFERROR(D992/I992,""))</f>
        <v/>
      </c>
      <c r="K992" s="71">
        <f>IF(B992="","",IFERROR(AVERAGEIFS($J$4:$J992,$B$4:$B992,B992,$J$4:$J992,"&gt;"&amp;0),""))</f>
        <v/>
      </c>
      <c r="L992" s="4" t="n"/>
    </row>
    <row r="993" ht="14" customHeight="1" s="72">
      <c r="A993" s="75" t="n">
        <v>46105</v>
      </c>
      <c r="B993" s="76" t="n">
        <v>3021</v>
      </c>
      <c r="C993" s="69">
        <f>IF(B993="","",IFERROR(INDEX(Client_List!$B:$B,MATCH(B993,Client_List!$A:$A,0)),"⚠ NOT FOUND"))</f>
        <v/>
      </c>
      <c r="D993" s="43" t="n">
        <v>502</v>
      </c>
      <c r="E993" s="32">
        <f>IF(B993="","",IFERROR(INDEX(Client_List!$C:$C,MATCH(VALUE(B993),Client_List!$A:$A,0)),""))</f>
        <v/>
      </c>
      <c r="F993" s="53">
        <f>IF(B993="","",IFERROR(INDEX(Client_List!$D:$D,MATCH(VALUE(B993),Client_List!$A:$A,0)),""))</f>
        <v/>
      </c>
      <c r="G993" s="53">
        <f>IF(B993="","",IFERROR(INDEX(Client_List!$K:$K,MATCH(VALUE(B993),Client_List!$A:$A,0)),""))</f>
        <v/>
      </c>
      <c r="H993" s="32">
        <f>IF(B993="","",IFERROR(INDEX(Client_List!$J:$J,MATCH(VALUE(B993),Client_List!$A:$A,0)),""))</f>
        <v/>
      </c>
      <c r="I993" s="70">
        <f>IF(B993="","",IFERROR(A993-LOOKUP(2,1/($B$4:$B992=B993),$A$4:$A992),""))</f>
        <v/>
      </c>
      <c r="J993" s="32">
        <f>IF(B993="","",IFERROR(D993/I993,""))</f>
        <v/>
      </c>
      <c r="K993" s="71">
        <f>IF(B993="","",IFERROR(AVERAGEIFS($J$4:$J993,$B$4:$B993,B993,$J$4:$J993,"&gt;"&amp;0),""))</f>
        <v/>
      </c>
      <c r="L993" s="7" t="n"/>
    </row>
    <row r="994" ht="14" customHeight="1" s="72">
      <c r="A994" s="75" t="n">
        <v>46105</v>
      </c>
      <c r="B994" s="76" t="n">
        <v>3056</v>
      </c>
      <c r="C994" s="69">
        <f>IF(B994="","",IFERROR(INDEX(Client_List!$B:$B,MATCH(B994,Client_List!$A:$A,0)),"⚠ NOT FOUND"))</f>
        <v/>
      </c>
      <c r="D994" s="43" t="n">
        <v>259</v>
      </c>
      <c r="E994" s="32">
        <f>IF(B994="","",IFERROR(INDEX(Client_List!$C:$C,MATCH(VALUE(B994),Client_List!$A:$A,0)),""))</f>
        <v/>
      </c>
      <c r="F994" s="53">
        <f>IF(B994="","",IFERROR(INDEX(Client_List!$D:$D,MATCH(VALUE(B994),Client_List!$A:$A,0)),""))</f>
        <v/>
      </c>
      <c r="G994" s="53">
        <f>IF(B994="","",IFERROR(INDEX(Client_List!$K:$K,MATCH(VALUE(B994),Client_List!$A:$A,0)),""))</f>
        <v/>
      </c>
      <c r="H994" s="32">
        <f>IF(B994="","",IFERROR(INDEX(Client_List!$J:$J,MATCH(VALUE(B994),Client_List!$A:$A,0)),""))</f>
        <v/>
      </c>
      <c r="I994" s="70">
        <f>IF(B994="","",IFERROR(A994-LOOKUP(2,1/($B$4:$B993=B994),$A$4:$A993),""))</f>
        <v/>
      </c>
      <c r="J994" s="32">
        <f>IF(B994="","",IFERROR(D994/I994,""))</f>
        <v/>
      </c>
      <c r="K994" s="71">
        <f>IF(B994="","",IFERROR(AVERAGEIFS($J$4:$J994,$B$4:$B994,B994,$J$4:$J994,"&gt;"&amp;0),""))</f>
        <v/>
      </c>
      <c r="L994" s="4" t="n"/>
    </row>
    <row r="995" ht="14" customHeight="1" s="72">
      <c r="A995" s="75" t="n">
        <v>46105</v>
      </c>
      <c r="B995" s="76" t="n">
        <v>4009</v>
      </c>
      <c r="C995" s="69">
        <f>IF(B995="","",IFERROR(INDEX(Client_List!$B:$B,MATCH(B995,Client_List!$A:$A,0)),"⚠ NOT FOUND"))</f>
        <v/>
      </c>
      <c r="D995" s="43" t="n">
        <v>939</v>
      </c>
      <c r="E995" s="32">
        <f>IF(B995="","",IFERROR(INDEX(Client_List!$C:$C,MATCH(VALUE(B995),Client_List!$A:$A,0)),""))</f>
        <v/>
      </c>
      <c r="F995" s="53">
        <f>IF(B995="","",IFERROR(INDEX(Client_List!$D:$D,MATCH(VALUE(B995),Client_List!$A:$A,0)),""))</f>
        <v/>
      </c>
      <c r="G995" s="53">
        <f>IF(B995="","",IFERROR(INDEX(Client_List!$K:$K,MATCH(VALUE(B995),Client_List!$A:$A,0)),""))</f>
        <v/>
      </c>
      <c r="H995" s="32">
        <f>IF(B995="","",IFERROR(INDEX(Client_List!$J:$J,MATCH(VALUE(B995),Client_List!$A:$A,0)),""))</f>
        <v/>
      </c>
      <c r="I995" s="70">
        <f>IF(B995="","",IFERROR(A995-LOOKUP(2,1/($B$4:$B994=B995),$A$4:$A994),""))</f>
        <v/>
      </c>
      <c r="J995" s="32">
        <f>IF(B995="","",IFERROR(D995/I995,""))</f>
        <v/>
      </c>
      <c r="K995" s="71">
        <f>IF(B995="","",IFERROR(AVERAGEIFS($J$4:$J995,$B$4:$B995,B995,$J$4:$J995,"&gt;"&amp;0),""))</f>
        <v/>
      </c>
      <c r="L995" s="7" t="n"/>
    </row>
    <row r="996" ht="14" customHeight="1" s="72">
      <c r="A996" s="75" t="n">
        <v>46105</v>
      </c>
      <c r="B996" s="76" t="n">
        <v>13013</v>
      </c>
      <c r="C996" s="69">
        <f>IF(B996="","",IFERROR(INDEX(Client_List!$B:$B,MATCH(B996,Client_List!$A:$A,0)),"⚠ NOT FOUND"))</f>
        <v/>
      </c>
      <c r="D996" s="43" t="n">
        <v>917</v>
      </c>
      <c r="E996" s="32">
        <f>IF(B996="","",IFERROR(INDEX(Client_List!$C:$C,MATCH(VALUE(B996),Client_List!$A:$A,0)),""))</f>
        <v/>
      </c>
      <c r="F996" s="53">
        <f>IF(B996="","",IFERROR(INDEX(Client_List!$D:$D,MATCH(VALUE(B996),Client_List!$A:$A,0)),""))</f>
        <v/>
      </c>
      <c r="G996" s="53">
        <f>IF(B996="","",IFERROR(INDEX(Client_List!$K:$K,MATCH(VALUE(B996),Client_List!$A:$A,0)),""))</f>
        <v/>
      </c>
      <c r="H996" s="32">
        <f>IF(B996="","",IFERROR(INDEX(Client_List!$J:$J,MATCH(VALUE(B996),Client_List!$A:$A,0)),""))</f>
        <v/>
      </c>
      <c r="I996" s="70">
        <f>IF(B996="","",IFERROR(A996-LOOKUP(2,1/($B$4:$B995=B996),$A$4:$A995),""))</f>
        <v/>
      </c>
      <c r="J996" s="32">
        <f>IF(B996="","",IFERROR(D996/I996,""))</f>
        <v/>
      </c>
      <c r="K996" s="71">
        <f>IF(B996="","",IFERROR(AVERAGEIFS($J$4:$J996,$B$4:$B996,B996,$J$4:$J996,"&gt;"&amp;0),""))</f>
        <v/>
      </c>
      <c r="L996" s="4" t="n"/>
    </row>
    <row r="997" ht="14" customHeight="1" s="72">
      <c r="A997" s="75" t="n">
        <v>46105</v>
      </c>
      <c r="B997" s="76" t="n">
        <v>13014</v>
      </c>
      <c r="C997" s="69">
        <f>IF(B997="","",IFERROR(INDEX(Client_List!$B:$B,MATCH(B997,Client_List!$A:$A,0)),"⚠ NOT FOUND"))</f>
        <v/>
      </c>
      <c r="D997" s="43" t="n">
        <v>880</v>
      </c>
      <c r="E997" s="32">
        <f>IF(B997="","",IFERROR(INDEX(Client_List!$C:$C,MATCH(VALUE(B997),Client_List!$A:$A,0)),""))</f>
        <v/>
      </c>
      <c r="F997" s="53">
        <f>IF(B997="","",IFERROR(INDEX(Client_List!$D:$D,MATCH(VALUE(B997),Client_List!$A:$A,0)),""))</f>
        <v/>
      </c>
      <c r="G997" s="53">
        <f>IF(B997="","",IFERROR(INDEX(Client_List!$K:$K,MATCH(VALUE(B997),Client_List!$A:$A,0)),""))</f>
        <v/>
      </c>
      <c r="H997" s="32">
        <f>IF(B997="","",IFERROR(INDEX(Client_List!$J:$J,MATCH(VALUE(B997),Client_List!$A:$A,0)),""))</f>
        <v/>
      </c>
      <c r="I997" s="70">
        <f>IF(B997="","",IFERROR(A997-LOOKUP(2,1/($B$4:$B996=B997),$A$4:$A996),""))</f>
        <v/>
      </c>
      <c r="J997" s="32">
        <f>IF(B997="","",IFERROR(D997/I997,""))</f>
        <v/>
      </c>
      <c r="K997" s="71">
        <f>IF(B997="","",IFERROR(AVERAGEIFS($J$4:$J997,$B$4:$B997,B997,$J$4:$J997,"&gt;"&amp;0),""))</f>
        <v/>
      </c>
      <c r="L997" s="7" t="n"/>
    </row>
    <row r="998" ht="14" customHeight="1" s="72">
      <c r="A998" s="75" t="n">
        <v>46105</v>
      </c>
      <c r="B998" s="76" t="n">
        <v>14009</v>
      </c>
      <c r="C998" s="69">
        <f>IF(B998="","",IFERROR(INDEX(Client_List!$B:$B,MATCH(B998,Client_List!$A:$A,0)),"⚠ NOT FOUND"))</f>
        <v/>
      </c>
      <c r="D998" s="43" t="n">
        <v>939</v>
      </c>
      <c r="E998" s="32">
        <f>IF(B998="","",IFERROR(INDEX(Client_List!$C:$C,MATCH(VALUE(B998),Client_List!$A:$A,0)),""))</f>
        <v/>
      </c>
      <c r="F998" s="53">
        <f>IF(B998="","",IFERROR(INDEX(Client_List!$D:$D,MATCH(VALUE(B998),Client_List!$A:$A,0)),""))</f>
        <v/>
      </c>
      <c r="G998" s="53">
        <f>IF(B998="","",IFERROR(INDEX(Client_List!$K:$K,MATCH(VALUE(B998),Client_List!$A:$A,0)),""))</f>
        <v/>
      </c>
      <c r="H998" s="32">
        <f>IF(B998="","",IFERROR(INDEX(Client_List!$J:$J,MATCH(VALUE(B998),Client_List!$A:$A,0)),""))</f>
        <v/>
      </c>
      <c r="I998" s="70">
        <f>IF(B998="","",IFERROR(A998-LOOKUP(2,1/($B$4:$B997=B998),$A$4:$A997),""))</f>
        <v/>
      </c>
      <c r="J998" s="32">
        <f>IF(B998="","",IFERROR(D998/I998,""))</f>
        <v/>
      </c>
      <c r="K998" s="71">
        <f>IF(B998="","",IFERROR(AVERAGEIFS($J$4:$J998,$B$4:$B998,B998,$J$4:$J998,"&gt;"&amp;0),""))</f>
        <v/>
      </c>
      <c r="L998" s="4" t="n"/>
    </row>
    <row r="999" ht="14" customHeight="1" s="72">
      <c r="A999" s="75" t="n">
        <v>46105</v>
      </c>
      <c r="B999" s="76" t="n">
        <v>15007</v>
      </c>
      <c r="C999" s="69">
        <f>IF(B999="","",IFERROR(INDEX(Client_List!$B:$B,MATCH(B999,Client_List!$A:$A,0)),"⚠ NOT FOUND"))</f>
        <v/>
      </c>
      <c r="D999" s="43" t="n">
        <v>1032</v>
      </c>
      <c r="E999" s="32">
        <f>IF(B999="","",IFERROR(INDEX(Client_List!$C:$C,MATCH(VALUE(B999),Client_List!$A:$A,0)),""))</f>
        <v/>
      </c>
      <c r="F999" s="53">
        <f>IF(B999="","",IFERROR(INDEX(Client_List!$D:$D,MATCH(VALUE(B999),Client_List!$A:$A,0)),""))</f>
        <v/>
      </c>
      <c r="G999" s="53">
        <f>IF(B999="","",IFERROR(INDEX(Client_List!$K:$K,MATCH(VALUE(B999),Client_List!$A:$A,0)),""))</f>
        <v/>
      </c>
      <c r="H999" s="32">
        <f>IF(B999="","",IFERROR(INDEX(Client_List!$J:$J,MATCH(VALUE(B999),Client_List!$A:$A,0)),""))</f>
        <v/>
      </c>
      <c r="I999" s="70">
        <f>IF(B999="","",IFERROR(A999-LOOKUP(2,1/($B$4:$B998=B999),$A$4:$A998),""))</f>
        <v/>
      </c>
      <c r="J999" s="32">
        <f>IF(B999="","",IFERROR(D999/I999,""))</f>
        <v/>
      </c>
      <c r="K999" s="71">
        <f>IF(B999="","",IFERROR(AVERAGEIFS($J$4:$J999,$B$4:$B999,B999,$J$4:$J999,"&gt;"&amp;0),""))</f>
        <v/>
      </c>
      <c r="L999" s="7" t="n"/>
    </row>
    <row r="1000" ht="14" customHeight="1" s="72">
      <c r="A1000" s="75" t="n">
        <v>46105</v>
      </c>
      <c r="B1000" s="76" t="n">
        <v>15009</v>
      </c>
      <c r="C1000" s="69">
        <f>IF(B1000="","",IFERROR(INDEX(Client_List!$B:$B,MATCH(B1000,Client_List!$A:$A,0)),"⚠ NOT FOUND"))</f>
        <v/>
      </c>
      <c r="D1000" s="43" t="n">
        <v>417</v>
      </c>
      <c r="E1000" s="32">
        <f>IF(B1000="","",IFERROR(INDEX(Client_List!$C:$C,MATCH(VALUE(B1000),Client_List!$A:$A,0)),""))</f>
        <v/>
      </c>
      <c r="F1000" s="53">
        <f>IF(B1000="","",IFERROR(INDEX(Client_List!$D:$D,MATCH(VALUE(B1000),Client_List!$A:$A,0)),""))</f>
        <v/>
      </c>
      <c r="G1000" s="53">
        <f>IF(B1000="","",IFERROR(INDEX(Client_List!$K:$K,MATCH(VALUE(B1000),Client_List!$A:$A,0)),""))</f>
        <v/>
      </c>
      <c r="H1000" s="32">
        <f>IF(B1000="","",IFERROR(INDEX(Client_List!$J:$J,MATCH(VALUE(B1000),Client_List!$A:$A,0)),""))</f>
        <v/>
      </c>
      <c r="I1000" s="70">
        <f>IF(B1000="","",IFERROR(A1000-LOOKUP(2,1/($B$4:$B999=B1000),$A$4:$A999),""))</f>
        <v/>
      </c>
      <c r="J1000" s="32">
        <f>IF(B1000="","",IFERROR(D1000/I1000,""))</f>
        <v/>
      </c>
      <c r="K1000" s="71">
        <f>IF(B1000="","",IFERROR(AVERAGEIFS($J$4:$J1000,$B$4:$B1000,B1000,$J$4:$J1000,"&gt;"&amp;0),""))</f>
        <v/>
      </c>
      <c r="L1000" s="4" t="n"/>
    </row>
    <row r="1001" ht="14" customHeight="1" s="72">
      <c r="A1001" s="75" t="n">
        <v>46105</v>
      </c>
      <c r="B1001" s="76" t="n">
        <v>15016</v>
      </c>
      <c r="C1001" s="69">
        <f>IF(B1001="","",IFERROR(INDEX(Client_List!$B:$B,MATCH(B1001,Client_List!$A:$A,0)),"⚠ NOT FOUND"))</f>
        <v/>
      </c>
      <c r="D1001" s="43" t="n">
        <v>380</v>
      </c>
      <c r="E1001" s="32">
        <f>IF(B1001="","",IFERROR(INDEX(Client_List!$C:$C,MATCH(VALUE(B1001),Client_List!$A:$A,0)),""))</f>
        <v/>
      </c>
      <c r="F1001" s="53">
        <f>IF(B1001="","",IFERROR(INDEX(Client_List!$D:$D,MATCH(VALUE(B1001),Client_List!$A:$A,0)),""))</f>
        <v/>
      </c>
      <c r="G1001" s="53">
        <f>IF(B1001="","",IFERROR(INDEX(Client_List!$K:$K,MATCH(VALUE(B1001),Client_List!$A:$A,0)),""))</f>
        <v/>
      </c>
      <c r="H1001" s="32">
        <f>IF(B1001="","",IFERROR(INDEX(Client_List!$J:$J,MATCH(VALUE(B1001),Client_List!$A:$A,0)),""))</f>
        <v/>
      </c>
      <c r="I1001" s="70">
        <f>IF(B1001="","",IFERROR(A1001-LOOKUP(2,1/($B$4:$B1000=B1001),$A$4:$A1000),""))</f>
        <v/>
      </c>
      <c r="J1001" s="32">
        <f>IF(B1001="","",IFERROR(D1001/I1001,""))</f>
        <v/>
      </c>
      <c r="K1001" s="71">
        <f>IF(B1001="","",IFERROR(AVERAGEIFS($J$4:$J1001,$B$4:$B1001,B1001,$J$4:$J1001,"&gt;"&amp;0),""))</f>
        <v/>
      </c>
      <c r="L1001" s="7" t="n"/>
    </row>
    <row r="1002" ht="14" customHeight="1" s="72">
      <c r="A1002" s="75" t="n">
        <v>46105</v>
      </c>
      <c r="B1002" s="76" t="n">
        <v>15023</v>
      </c>
      <c r="C1002" s="69">
        <f>IF(B1002="","",IFERROR(INDEX(Client_List!$B:$B,MATCH(B1002,Client_List!$A:$A,0)),"⚠ NOT FOUND"))</f>
        <v/>
      </c>
      <c r="D1002" s="43" t="n">
        <v>332</v>
      </c>
      <c r="E1002" s="32">
        <f>IF(B1002="","",IFERROR(INDEX(Client_List!$C:$C,MATCH(VALUE(B1002),Client_List!$A:$A,0)),""))</f>
        <v/>
      </c>
      <c r="F1002" s="53">
        <f>IF(B1002="","",IFERROR(INDEX(Client_List!$D:$D,MATCH(VALUE(B1002),Client_List!$A:$A,0)),""))</f>
        <v/>
      </c>
      <c r="G1002" s="53">
        <f>IF(B1002="","",IFERROR(INDEX(Client_List!$K:$K,MATCH(VALUE(B1002),Client_List!$A:$A,0)),""))</f>
        <v/>
      </c>
      <c r="H1002" s="32">
        <f>IF(B1002="","",IFERROR(INDEX(Client_List!$J:$J,MATCH(VALUE(B1002),Client_List!$A:$A,0)),""))</f>
        <v/>
      </c>
      <c r="I1002" s="70">
        <f>IF(B1002="","",IFERROR(A1002-LOOKUP(2,1/($B$4:$B1001=B1002),$A$4:$A1001),""))</f>
        <v/>
      </c>
      <c r="J1002" s="32">
        <f>IF(B1002="","",IFERROR(D1002/I1002,""))</f>
        <v/>
      </c>
      <c r="K1002" s="71">
        <f>IF(B1002="","",IFERROR(AVERAGEIFS($J$4:$J1002,$B$4:$B1002,B1002,$J$4:$J1002,"&gt;"&amp;0),""))</f>
        <v/>
      </c>
      <c r="L1002" s="4" t="n"/>
    </row>
    <row r="1003" ht="14" customHeight="1" s="72">
      <c r="A1003" s="75" t="n">
        <v>46105</v>
      </c>
      <c r="B1003" s="76" t="n">
        <v>15026</v>
      </c>
      <c r="C1003" s="69">
        <f>IF(B1003="","",IFERROR(INDEX(Client_List!$B:$B,MATCH(B1003,Client_List!$A:$A,0)),"⚠ NOT FOUND"))</f>
        <v/>
      </c>
      <c r="D1003" s="43" t="n">
        <v>380</v>
      </c>
      <c r="E1003" s="32">
        <f>IF(B1003="","",IFERROR(INDEX(Client_List!$C:$C,MATCH(VALUE(B1003),Client_List!$A:$A,0)),""))</f>
        <v/>
      </c>
      <c r="F1003" s="53">
        <f>IF(B1003="","",IFERROR(INDEX(Client_List!$D:$D,MATCH(VALUE(B1003),Client_List!$A:$A,0)),""))</f>
        <v/>
      </c>
      <c r="G1003" s="53">
        <f>IF(B1003="","",IFERROR(INDEX(Client_List!$K:$K,MATCH(VALUE(B1003),Client_List!$A:$A,0)),""))</f>
        <v/>
      </c>
      <c r="H1003" s="32">
        <f>IF(B1003="","",IFERROR(INDEX(Client_List!$J:$J,MATCH(VALUE(B1003),Client_List!$A:$A,0)),""))</f>
        <v/>
      </c>
      <c r="I1003" s="70">
        <f>IF(B1003="","",IFERROR(A1003-LOOKUP(2,1/($B$4:$B1002=B1003),$A$4:$A1002),""))</f>
        <v/>
      </c>
      <c r="J1003" s="32">
        <f>IF(B1003="","",IFERROR(D1003/I1003,""))</f>
        <v/>
      </c>
      <c r="K1003" s="71">
        <f>IF(B1003="","",IFERROR(AVERAGEIFS($J$4:$J1003,$B$4:$B1003,B1003,$J$4:$J1003,"&gt;"&amp;0),""))</f>
        <v/>
      </c>
      <c r="L1003" s="7" t="n"/>
    </row>
    <row r="1004" ht="14" customHeight="1" s="72">
      <c r="A1004" s="75" t="n">
        <v>46105</v>
      </c>
      <c r="B1004" s="76" t="n">
        <v>15041</v>
      </c>
      <c r="C1004" s="69">
        <f>IF(B1004="","",IFERROR(INDEX(Client_List!$B:$B,MATCH(B1004,Client_List!$A:$A,0)),"⚠ NOT FOUND"))</f>
        <v/>
      </c>
      <c r="D1004" s="43" t="n">
        <v>397</v>
      </c>
      <c r="E1004" s="32">
        <f>IF(B1004="","",IFERROR(INDEX(Client_List!$C:$C,MATCH(VALUE(B1004),Client_List!$A:$A,0)),""))</f>
        <v/>
      </c>
      <c r="F1004" s="53">
        <f>IF(B1004="","",IFERROR(INDEX(Client_List!$D:$D,MATCH(VALUE(B1004),Client_List!$A:$A,0)),""))</f>
        <v/>
      </c>
      <c r="G1004" s="53">
        <f>IF(B1004="","",IFERROR(INDEX(Client_List!$K:$K,MATCH(VALUE(B1004),Client_List!$A:$A,0)),""))</f>
        <v/>
      </c>
      <c r="H1004" s="32">
        <f>IF(B1004="","",IFERROR(INDEX(Client_List!$J:$J,MATCH(VALUE(B1004),Client_List!$A:$A,0)),""))</f>
        <v/>
      </c>
      <c r="I1004" s="70">
        <f>IF(B1004="","",IFERROR(A1004-LOOKUP(2,1/($B$4:$B1003=B1004),$A$4:$A1003),""))</f>
        <v/>
      </c>
      <c r="J1004" s="32">
        <f>IF(B1004="","",IFERROR(D1004/I1004,""))</f>
        <v/>
      </c>
      <c r="K1004" s="71">
        <f>IF(B1004="","",IFERROR(AVERAGEIFS($J$4:$J1004,$B$4:$B1004,B1004,$J$4:$J1004,"&gt;"&amp;0),""))</f>
        <v/>
      </c>
      <c r="L1004" s="4" t="n"/>
    </row>
    <row r="1005" ht="14" customHeight="1" s="72">
      <c r="A1005" s="75" t="n">
        <v>46105</v>
      </c>
      <c r="B1005" s="76" t="n">
        <v>16004</v>
      </c>
      <c r="C1005" s="69">
        <f>IF(B1005="","",IFERROR(INDEX(Client_List!$B:$B,MATCH(B1005,Client_List!$A:$A,0)),"⚠ NOT FOUND"))</f>
        <v/>
      </c>
      <c r="D1005" s="43" t="n">
        <v>772</v>
      </c>
      <c r="E1005" s="32">
        <f>IF(B1005="","",IFERROR(INDEX(Client_List!$C:$C,MATCH(VALUE(B1005),Client_List!$A:$A,0)),""))</f>
        <v/>
      </c>
      <c r="F1005" s="53">
        <f>IF(B1005="","",IFERROR(INDEX(Client_List!$D:$D,MATCH(VALUE(B1005),Client_List!$A:$A,0)),""))</f>
        <v/>
      </c>
      <c r="G1005" s="53">
        <f>IF(B1005="","",IFERROR(INDEX(Client_List!$K:$K,MATCH(VALUE(B1005),Client_List!$A:$A,0)),""))</f>
        <v/>
      </c>
      <c r="H1005" s="32">
        <f>IF(B1005="","",IFERROR(INDEX(Client_List!$J:$J,MATCH(VALUE(B1005),Client_List!$A:$A,0)),""))</f>
        <v/>
      </c>
      <c r="I1005" s="70">
        <f>IF(B1005="","",IFERROR(A1005-LOOKUP(2,1/($B$4:$B1004=B1005),$A$4:$A1004),""))</f>
        <v/>
      </c>
      <c r="J1005" s="32">
        <f>IF(B1005="","",IFERROR(D1005/I1005,""))</f>
        <v/>
      </c>
      <c r="K1005" s="71">
        <f>IF(B1005="","",IFERROR(AVERAGEIFS($J$4:$J1005,$B$4:$B1005,B1005,$J$4:$J1005,"&gt;"&amp;0),""))</f>
        <v/>
      </c>
      <c r="L1005" s="7" t="n"/>
    </row>
    <row r="1006" ht="14" customHeight="1" s="72">
      <c r="A1006" s="75" t="n">
        <v>46105</v>
      </c>
      <c r="B1006" s="76" t="n">
        <v>16005</v>
      </c>
      <c r="C1006" s="69">
        <f>IF(B1006="","",IFERROR(INDEX(Client_List!$B:$B,MATCH(B1006,Client_List!$A:$A,0)),"⚠ NOT FOUND"))</f>
        <v/>
      </c>
      <c r="D1006" s="43" t="n">
        <v>682</v>
      </c>
      <c r="E1006" s="32">
        <f>IF(B1006="","",IFERROR(INDEX(Client_List!$C:$C,MATCH(VALUE(B1006),Client_List!$A:$A,0)),""))</f>
        <v/>
      </c>
      <c r="F1006" s="53">
        <f>IF(B1006="","",IFERROR(INDEX(Client_List!$D:$D,MATCH(VALUE(B1006),Client_List!$A:$A,0)),""))</f>
        <v/>
      </c>
      <c r="G1006" s="53">
        <f>IF(B1006="","",IFERROR(INDEX(Client_List!$K:$K,MATCH(VALUE(B1006),Client_List!$A:$A,0)),""))</f>
        <v/>
      </c>
      <c r="H1006" s="32">
        <f>IF(B1006="","",IFERROR(INDEX(Client_List!$J:$J,MATCH(VALUE(B1006),Client_List!$A:$A,0)),""))</f>
        <v/>
      </c>
      <c r="I1006" s="70">
        <f>IF(B1006="","",IFERROR(A1006-LOOKUP(2,1/($B$4:$B1005=B1006),$A$4:$A1005),""))</f>
        <v/>
      </c>
      <c r="J1006" s="32">
        <f>IF(B1006="","",IFERROR(D1006/I1006,""))</f>
        <v/>
      </c>
      <c r="K1006" s="71">
        <f>IF(B1006="","",IFERROR(AVERAGEIFS($J$4:$J1006,$B$4:$B1006,B1006,$J$4:$J1006,"&gt;"&amp;0),""))</f>
        <v/>
      </c>
      <c r="L1006" s="4" t="n"/>
    </row>
    <row r="1007" ht="14" customHeight="1" s="72">
      <c r="A1007" s="75" t="n">
        <v>46105</v>
      </c>
      <c r="B1007" s="76" t="n">
        <v>18004</v>
      </c>
      <c r="C1007" s="69">
        <f>IF(B1007="","",IFERROR(INDEX(Client_List!$B:$B,MATCH(B1007,Client_List!$A:$A,0)),"⚠ NOT FOUND"))</f>
        <v/>
      </c>
      <c r="D1007" s="43" t="n">
        <v>610</v>
      </c>
      <c r="E1007" s="32">
        <f>IF(B1007="","",IFERROR(INDEX(Client_List!$C:$C,MATCH(VALUE(B1007),Client_List!$A:$A,0)),""))</f>
        <v/>
      </c>
      <c r="F1007" s="53">
        <f>IF(B1007="","",IFERROR(INDEX(Client_List!$D:$D,MATCH(VALUE(B1007),Client_List!$A:$A,0)),""))</f>
        <v/>
      </c>
      <c r="G1007" s="53">
        <f>IF(B1007="","",IFERROR(INDEX(Client_List!$K:$K,MATCH(VALUE(B1007),Client_List!$A:$A,0)),""))</f>
        <v/>
      </c>
      <c r="H1007" s="32">
        <f>IF(B1007="","",IFERROR(INDEX(Client_List!$J:$J,MATCH(VALUE(B1007),Client_List!$A:$A,0)),""))</f>
        <v/>
      </c>
      <c r="I1007" s="70">
        <f>IF(B1007="","",IFERROR(A1007-LOOKUP(2,1/($B$4:$B1006=B1007),$A$4:$A1006),""))</f>
        <v/>
      </c>
      <c r="J1007" s="32">
        <f>IF(B1007="","",IFERROR(D1007/I1007,""))</f>
        <v/>
      </c>
      <c r="K1007" s="71">
        <f>IF(B1007="","",IFERROR(AVERAGEIFS($J$4:$J1007,$B$4:$B1007,B1007,$J$4:$J1007,"&gt;"&amp;0),""))</f>
        <v/>
      </c>
      <c r="L1007" s="7" t="n"/>
    </row>
    <row r="1008" ht="14" customHeight="1" s="72">
      <c r="A1008" s="75" t="n">
        <v>46105</v>
      </c>
      <c r="B1008" s="76" t="n">
        <v>19039</v>
      </c>
      <c r="C1008" s="69">
        <f>IF(B1008="","",IFERROR(INDEX(Client_List!$B:$B,MATCH(B1008,Client_List!$A:$A,0)),"⚠ NOT FOUND"))</f>
        <v/>
      </c>
      <c r="D1008" s="43" t="n">
        <v>781</v>
      </c>
      <c r="E1008" s="32">
        <f>IF(B1008="","",IFERROR(INDEX(Client_List!$C:$C,MATCH(VALUE(B1008),Client_List!$A:$A,0)),""))</f>
        <v/>
      </c>
      <c r="F1008" s="53">
        <f>IF(B1008="","",IFERROR(INDEX(Client_List!$D:$D,MATCH(VALUE(B1008),Client_List!$A:$A,0)),""))</f>
        <v/>
      </c>
      <c r="G1008" s="53">
        <f>IF(B1008="","",IFERROR(INDEX(Client_List!$K:$K,MATCH(VALUE(B1008),Client_List!$A:$A,0)),""))</f>
        <v/>
      </c>
      <c r="H1008" s="32">
        <f>IF(B1008="","",IFERROR(INDEX(Client_List!$J:$J,MATCH(VALUE(B1008),Client_List!$A:$A,0)),""))</f>
        <v/>
      </c>
      <c r="I1008" s="70">
        <f>IF(B1008="","",IFERROR(A1008-LOOKUP(2,1/($B$4:$B1007=B1008),$A$4:$A1007),""))</f>
        <v/>
      </c>
      <c r="J1008" s="32">
        <f>IF(B1008="","",IFERROR(D1008/I1008,""))</f>
        <v/>
      </c>
      <c r="K1008" s="71">
        <f>IF(B1008="","",IFERROR(AVERAGEIFS($J$4:$J1008,$B$4:$B1008,B1008,$J$4:$J1008,"&gt;"&amp;0),""))</f>
        <v/>
      </c>
      <c r="L1008" s="4" t="n"/>
    </row>
    <row r="1009" ht="14" customHeight="1" s="72">
      <c r="A1009" s="75" t="n">
        <v>46105</v>
      </c>
      <c r="B1009" s="76" t="n">
        <v>19080</v>
      </c>
      <c r="C1009" s="69">
        <f>IF(B1009="","",IFERROR(INDEX(Client_List!$B:$B,MATCH(B1009,Client_List!$A:$A,0)),"⚠ NOT FOUND"))</f>
        <v/>
      </c>
      <c r="D1009" s="43" t="n">
        <v>699</v>
      </c>
      <c r="E1009" s="32">
        <f>IF(B1009="","",IFERROR(INDEX(Client_List!$C:$C,MATCH(VALUE(B1009),Client_List!$A:$A,0)),""))</f>
        <v/>
      </c>
      <c r="F1009" s="53">
        <f>IF(B1009="","",IFERROR(INDEX(Client_List!$D:$D,MATCH(VALUE(B1009),Client_List!$A:$A,0)),""))</f>
        <v/>
      </c>
      <c r="G1009" s="53">
        <f>IF(B1009="","",IFERROR(INDEX(Client_List!$K:$K,MATCH(VALUE(B1009),Client_List!$A:$A,0)),""))</f>
        <v/>
      </c>
      <c r="H1009" s="32">
        <f>IF(B1009="","",IFERROR(INDEX(Client_List!$J:$J,MATCH(VALUE(B1009),Client_List!$A:$A,0)),""))</f>
        <v/>
      </c>
      <c r="I1009" s="70">
        <f>IF(B1009="","",IFERROR(A1009-LOOKUP(2,1/($B$4:$B1008=B1009),$A$4:$A1008),""))</f>
        <v/>
      </c>
      <c r="J1009" s="32">
        <f>IF(B1009="","",IFERROR(D1009/I1009,""))</f>
        <v/>
      </c>
      <c r="K1009" s="71">
        <f>IF(B1009="","",IFERROR(AVERAGEIFS($J$4:$J1009,$B$4:$B1009,B1009,$J$4:$J1009,"&gt;"&amp;0),""))</f>
        <v/>
      </c>
      <c r="L1009" s="7" t="n"/>
    </row>
    <row r="1010" ht="14" customHeight="1" s="72">
      <c r="A1010" s="75" t="n">
        <v>46105</v>
      </c>
      <c r="B1010" s="76" t="n">
        <v>20090</v>
      </c>
      <c r="C1010" s="69">
        <f>IF(B1010="","",IFERROR(INDEX(Client_List!$B:$B,MATCH(B1010,Client_List!$A:$A,0)),"⚠ NOT FOUND"))</f>
        <v/>
      </c>
      <c r="D1010" s="43" t="n">
        <v>900</v>
      </c>
      <c r="E1010" s="32">
        <f>IF(B1010="","",IFERROR(INDEX(Client_List!$C:$C,MATCH(VALUE(B1010),Client_List!$A:$A,0)),""))</f>
        <v/>
      </c>
      <c r="F1010" s="53">
        <f>IF(B1010="","",IFERROR(INDEX(Client_List!$D:$D,MATCH(VALUE(B1010),Client_List!$A:$A,0)),""))</f>
        <v/>
      </c>
      <c r="G1010" s="53">
        <f>IF(B1010="","",IFERROR(INDEX(Client_List!$K:$K,MATCH(VALUE(B1010),Client_List!$A:$A,0)),""))</f>
        <v/>
      </c>
      <c r="H1010" s="32">
        <f>IF(B1010="","",IFERROR(INDEX(Client_List!$J:$J,MATCH(VALUE(B1010),Client_List!$A:$A,0)),""))</f>
        <v/>
      </c>
      <c r="I1010" s="70">
        <f>IF(B1010="","",IFERROR(A1010-LOOKUP(2,1/($B$4:$B1009=B1010),$A$4:$A1009),""))</f>
        <v/>
      </c>
      <c r="J1010" s="32">
        <f>IF(B1010="","",IFERROR(D1010/I1010,""))</f>
        <v/>
      </c>
      <c r="K1010" s="71">
        <f>IF(B1010="","",IFERROR(AVERAGEIFS($J$4:$J1010,$B$4:$B1010,B1010,$J$4:$J1010,"&gt;"&amp;0),""))</f>
        <v/>
      </c>
      <c r="L1010" s="4" t="n"/>
    </row>
    <row r="1011" ht="14" customHeight="1" s="72">
      <c r="A1011" s="75" t="n">
        <v>46105</v>
      </c>
      <c r="B1011" s="76" t="n">
        <v>21002</v>
      </c>
      <c r="C1011" s="69">
        <f>IF(B1011="","",IFERROR(INDEX(Client_List!$B:$B,MATCH(B1011,Client_List!$A:$A,0)),"⚠ NOT FOUND"))</f>
        <v/>
      </c>
      <c r="D1011" s="43" t="n">
        <v>833</v>
      </c>
      <c r="E1011" s="32">
        <f>IF(B1011="","",IFERROR(INDEX(Client_List!$C:$C,MATCH(VALUE(B1011),Client_List!$A:$A,0)),""))</f>
        <v/>
      </c>
      <c r="F1011" s="53">
        <f>IF(B1011="","",IFERROR(INDEX(Client_List!$D:$D,MATCH(VALUE(B1011),Client_List!$A:$A,0)),""))</f>
        <v/>
      </c>
      <c r="G1011" s="53">
        <f>IF(B1011="","",IFERROR(INDEX(Client_List!$K:$K,MATCH(VALUE(B1011),Client_List!$A:$A,0)),""))</f>
        <v/>
      </c>
      <c r="H1011" s="32">
        <f>IF(B1011="","",IFERROR(INDEX(Client_List!$J:$J,MATCH(VALUE(B1011),Client_List!$A:$A,0)),""))</f>
        <v/>
      </c>
      <c r="I1011" s="70">
        <f>IF(B1011="","",IFERROR(A1011-LOOKUP(2,1/($B$4:$B1010=B1011),$A$4:$A1010),""))</f>
        <v/>
      </c>
      <c r="J1011" s="32">
        <f>IF(B1011="","",IFERROR(D1011/I1011,""))</f>
        <v/>
      </c>
      <c r="K1011" s="71">
        <f>IF(B1011="","",IFERROR(AVERAGEIFS($J$4:$J1011,$B$4:$B1011,B1011,$J$4:$J1011,"&gt;"&amp;0),""))</f>
        <v/>
      </c>
      <c r="L1011" s="7" t="n"/>
    </row>
    <row r="1012" ht="14" customHeight="1" s="72">
      <c r="A1012" s="75" t="n">
        <v>46106</v>
      </c>
      <c r="B1012" s="76" t="n">
        <v>2016</v>
      </c>
      <c r="C1012" s="69">
        <f>IF(B1012="","",IFERROR(INDEX(Client_List!$B:$B,MATCH(B1012,Client_List!$A:$A,0)),"⚠ NOT FOUND"))</f>
        <v/>
      </c>
      <c r="D1012" s="43" t="n">
        <v>570</v>
      </c>
      <c r="E1012" s="32">
        <f>IF(B1012="","",IFERROR(INDEX(Client_List!$C:$C,MATCH(VALUE(B1012),Client_List!$A:$A,0)),""))</f>
        <v/>
      </c>
      <c r="F1012" s="53">
        <f>IF(B1012="","",IFERROR(INDEX(Client_List!$D:$D,MATCH(VALUE(B1012),Client_List!$A:$A,0)),""))</f>
        <v/>
      </c>
      <c r="G1012" s="53">
        <f>IF(B1012="","",IFERROR(INDEX(Client_List!$K:$K,MATCH(VALUE(B1012),Client_List!$A:$A,0)),""))</f>
        <v/>
      </c>
      <c r="H1012" s="32">
        <f>IF(B1012="","",IFERROR(INDEX(Client_List!$J:$J,MATCH(VALUE(B1012),Client_List!$A:$A,0)),""))</f>
        <v/>
      </c>
      <c r="I1012" s="70">
        <f>IF(B1012="","",IFERROR(A1012-LOOKUP(2,1/($B$4:$B1011=B1012),$A$4:$A1011),""))</f>
        <v/>
      </c>
      <c r="J1012" s="32">
        <f>IF(B1012="","",IFERROR(D1012/I1012,""))</f>
        <v/>
      </c>
      <c r="K1012" s="71">
        <f>IF(B1012="","",IFERROR(AVERAGEIFS($J$4:$J1012,$B$4:$B1012,B1012,$J$4:$J1012,"&gt;"&amp;0),""))</f>
        <v/>
      </c>
      <c r="L1012" s="4" t="n"/>
    </row>
    <row r="1013" ht="14" customHeight="1" s="72">
      <c r="A1013" s="75" t="n">
        <v>46106</v>
      </c>
      <c r="B1013" s="76" t="n">
        <v>2017</v>
      </c>
      <c r="C1013" s="69">
        <f>IF(B1013="","",IFERROR(INDEX(Client_List!$B:$B,MATCH(B1013,Client_List!$A:$A,0)),"⚠ NOT FOUND"))</f>
        <v/>
      </c>
      <c r="D1013" s="43" t="n">
        <v>603</v>
      </c>
      <c r="E1013" s="32">
        <f>IF(B1013="","",IFERROR(INDEX(Client_List!$C:$C,MATCH(VALUE(B1013),Client_List!$A:$A,0)),""))</f>
        <v/>
      </c>
      <c r="F1013" s="53">
        <f>IF(B1013="","",IFERROR(INDEX(Client_List!$D:$D,MATCH(VALUE(B1013),Client_List!$A:$A,0)),""))</f>
        <v/>
      </c>
      <c r="G1013" s="53">
        <f>IF(B1013="","",IFERROR(INDEX(Client_List!$K:$K,MATCH(VALUE(B1013),Client_List!$A:$A,0)),""))</f>
        <v/>
      </c>
      <c r="H1013" s="32">
        <f>IF(B1013="","",IFERROR(INDEX(Client_List!$J:$J,MATCH(VALUE(B1013),Client_List!$A:$A,0)),""))</f>
        <v/>
      </c>
      <c r="I1013" s="70">
        <f>IF(B1013="","",IFERROR(A1013-LOOKUP(2,1/($B$4:$B1012=B1013),$A$4:$A1012),""))</f>
        <v/>
      </c>
      <c r="J1013" s="32">
        <f>IF(B1013="","",IFERROR(D1013/I1013,""))</f>
        <v/>
      </c>
      <c r="K1013" s="71">
        <f>IF(B1013="","",IFERROR(AVERAGEIFS($J$4:$J1013,$B$4:$B1013,B1013,$J$4:$J1013,"&gt;"&amp;0),""))</f>
        <v/>
      </c>
      <c r="L1013" s="7" t="n"/>
    </row>
    <row r="1014" ht="14" customHeight="1" s="72">
      <c r="A1014" s="75" t="n">
        <v>46106</v>
      </c>
      <c r="B1014" s="76" t="n">
        <v>2038</v>
      </c>
      <c r="C1014" s="69">
        <f>IF(B1014="","",IFERROR(INDEX(Client_List!$B:$B,MATCH(B1014,Client_List!$A:$A,0)),"⚠ NOT FOUND"))</f>
        <v/>
      </c>
      <c r="D1014" s="43" t="n">
        <v>595</v>
      </c>
      <c r="E1014" s="32">
        <f>IF(B1014="","",IFERROR(INDEX(Client_List!$C:$C,MATCH(VALUE(B1014),Client_List!$A:$A,0)),""))</f>
        <v/>
      </c>
      <c r="F1014" s="53">
        <f>IF(B1014="","",IFERROR(INDEX(Client_List!$D:$D,MATCH(VALUE(B1014),Client_List!$A:$A,0)),""))</f>
        <v/>
      </c>
      <c r="G1014" s="53">
        <f>IF(B1014="","",IFERROR(INDEX(Client_List!$K:$K,MATCH(VALUE(B1014),Client_List!$A:$A,0)),""))</f>
        <v/>
      </c>
      <c r="H1014" s="32">
        <f>IF(B1014="","",IFERROR(INDEX(Client_List!$J:$J,MATCH(VALUE(B1014),Client_List!$A:$A,0)),""))</f>
        <v/>
      </c>
      <c r="I1014" s="70">
        <f>IF(B1014="","",IFERROR(A1014-LOOKUP(2,1/($B$4:$B1013=B1014),$A$4:$A1013),""))</f>
        <v/>
      </c>
      <c r="J1014" s="32">
        <f>IF(B1014="","",IFERROR(D1014/I1014,""))</f>
        <v/>
      </c>
      <c r="K1014" s="71">
        <f>IF(B1014="","",IFERROR(AVERAGEIFS($J$4:$J1014,$B$4:$B1014,B1014,$J$4:$J1014,"&gt;"&amp;0),""))</f>
        <v/>
      </c>
      <c r="L1014" s="4" t="n"/>
    </row>
    <row r="1015" ht="14" customHeight="1" s="72">
      <c r="A1015" s="75" t="n">
        <v>46106</v>
      </c>
      <c r="B1015" s="76" t="n">
        <v>2045</v>
      </c>
      <c r="C1015" s="69">
        <f>IF(B1015="","",IFERROR(INDEX(Client_List!$B:$B,MATCH(B1015,Client_List!$A:$A,0)),"⚠ NOT FOUND"))</f>
        <v/>
      </c>
      <c r="D1015" s="43" t="n">
        <v>74</v>
      </c>
      <c r="E1015" s="32">
        <f>IF(B1015="","",IFERROR(INDEX(Client_List!$C:$C,MATCH(VALUE(B1015),Client_List!$A:$A,0)),""))</f>
        <v/>
      </c>
      <c r="F1015" s="53">
        <f>IF(B1015="","",IFERROR(INDEX(Client_List!$D:$D,MATCH(VALUE(B1015),Client_List!$A:$A,0)),""))</f>
        <v/>
      </c>
      <c r="G1015" s="53">
        <f>IF(B1015="","",IFERROR(INDEX(Client_List!$K:$K,MATCH(VALUE(B1015),Client_List!$A:$A,0)),""))</f>
        <v/>
      </c>
      <c r="H1015" s="32">
        <f>IF(B1015="","",IFERROR(INDEX(Client_List!$J:$J,MATCH(VALUE(B1015),Client_List!$A:$A,0)),""))</f>
        <v/>
      </c>
      <c r="I1015" s="70">
        <f>IF(B1015="","",IFERROR(A1015-LOOKUP(2,1/($B$4:$B1014=B1015),$A$4:$A1014),""))</f>
        <v/>
      </c>
      <c r="J1015" s="32">
        <f>IF(B1015="","",IFERROR(D1015/I1015,""))</f>
        <v/>
      </c>
      <c r="K1015" s="71">
        <f>IF(B1015="","",IFERROR(AVERAGEIFS($J$4:$J1015,$B$4:$B1015,B1015,$J$4:$J1015,"&gt;"&amp;0),""))</f>
        <v/>
      </c>
      <c r="L1015" s="7" t="n"/>
    </row>
    <row r="1016" ht="14" customHeight="1" s="72">
      <c r="A1016" s="75" t="n">
        <v>46106</v>
      </c>
      <c r="B1016" s="76" t="n">
        <v>3065</v>
      </c>
      <c r="C1016" s="69">
        <f>IF(B1016="","",IFERROR(INDEX(Client_List!$B:$B,MATCH(B1016,Client_List!$A:$A,0)),"⚠ NOT FOUND"))</f>
        <v/>
      </c>
      <c r="D1016" s="43" t="n">
        <v>288</v>
      </c>
      <c r="E1016" s="32">
        <f>IF(B1016="","",IFERROR(INDEX(Client_List!$C:$C,MATCH(VALUE(B1016),Client_List!$A:$A,0)),""))</f>
        <v/>
      </c>
      <c r="F1016" s="53">
        <f>IF(B1016="","",IFERROR(INDEX(Client_List!$D:$D,MATCH(VALUE(B1016),Client_List!$A:$A,0)),""))</f>
        <v/>
      </c>
      <c r="G1016" s="53">
        <f>IF(B1016="","",IFERROR(INDEX(Client_List!$K:$K,MATCH(VALUE(B1016),Client_List!$A:$A,0)),""))</f>
        <v/>
      </c>
      <c r="H1016" s="32">
        <f>IF(B1016="","",IFERROR(INDEX(Client_List!$J:$J,MATCH(VALUE(B1016),Client_List!$A:$A,0)),""))</f>
        <v/>
      </c>
      <c r="I1016" s="70">
        <f>IF(B1016="","",IFERROR(A1016-LOOKUP(2,1/($B$4:$B1015=B1016),$A$4:$A1015),""))</f>
        <v/>
      </c>
      <c r="J1016" s="32">
        <f>IF(B1016="","",IFERROR(D1016/I1016,""))</f>
        <v/>
      </c>
      <c r="K1016" s="71">
        <f>IF(B1016="","",IFERROR(AVERAGEIFS($J$4:$J1016,$B$4:$B1016,B1016,$J$4:$J1016,"&gt;"&amp;0),""))</f>
        <v/>
      </c>
      <c r="L1016" s="4" t="n"/>
    </row>
    <row r="1017" ht="14" customHeight="1" s="72">
      <c r="A1017" s="75" t="n">
        <v>46106</v>
      </c>
      <c r="B1017" s="76" t="n">
        <v>6109</v>
      </c>
      <c r="C1017" s="69">
        <f>IF(B1017="","",IFERROR(INDEX(Client_List!$B:$B,MATCH(B1017,Client_List!$A:$A,0)),"⚠ NOT FOUND"))</f>
        <v/>
      </c>
      <c r="D1017" s="43" t="n">
        <v>503</v>
      </c>
      <c r="E1017" s="32">
        <f>IF(B1017="","",IFERROR(INDEX(Client_List!$C:$C,MATCH(VALUE(B1017),Client_List!$A:$A,0)),""))</f>
        <v/>
      </c>
      <c r="F1017" s="53">
        <f>IF(B1017="","",IFERROR(INDEX(Client_List!$D:$D,MATCH(VALUE(B1017),Client_List!$A:$A,0)),""))</f>
        <v/>
      </c>
      <c r="G1017" s="53">
        <f>IF(B1017="","",IFERROR(INDEX(Client_List!$K:$K,MATCH(VALUE(B1017),Client_List!$A:$A,0)),""))</f>
        <v/>
      </c>
      <c r="H1017" s="32">
        <f>IF(B1017="","",IFERROR(INDEX(Client_List!$J:$J,MATCH(VALUE(B1017),Client_List!$A:$A,0)),""))</f>
        <v/>
      </c>
      <c r="I1017" s="70">
        <f>IF(B1017="","",IFERROR(A1017-LOOKUP(2,1/($B$4:$B1016=B1017),$A$4:$A1016),""))</f>
        <v/>
      </c>
      <c r="J1017" s="32">
        <f>IF(B1017="","",IFERROR(D1017/I1017,""))</f>
        <v/>
      </c>
      <c r="K1017" s="71">
        <f>IF(B1017="","",IFERROR(AVERAGEIFS($J$4:$J1017,$B$4:$B1017,B1017,$J$4:$J1017,"&gt;"&amp;0),""))</f>
        <v/>
      </c>
      <c r="L1017" s="7" t="n"/>
    </row>
    <row r="1018" ht="14" customHeight="1" s="72">
      <c r="A1018" s="75" t="n">
        <v>46106</v>
      </c>
      <c r="B1018" s="76" t="n">
        <v>8005</v>
      </c>
      <c r="C1018" s="69">
        <f>IF(B1018="","",IFERROR(INDEX(Client_List!$B:$B,MATCH(B1018,Client_List!$A:$A,0)),"⚠ NOT FOUND"))</f>
        <v/>
      </c>
      <c r="D1018" s="43" t="n">
        <v>834</v>
      </c>
      <c r="E1018" s="32">
        <f>IF(B1018="","",IFERROR(INDEX(Client_List!$C:$C,MATCH(VALUE(B1018),Client_List!$A:$A,0)),""))</f>
        <v/>
      </c>
      <c r="F1018" s="53">
        <f>IF(B1018="","",IFERROR(INDEX(Client_List!$D:$D,MATCH(VALUE(B1018),Client_List!$A:$A,0)),""))</f>
        <v/>
      </c>
      <c r="G1018" s="53">
        <f>IF(B1018="","",IFERROR(INDEX(Client_List!$K:$K,MATCH(VALUE(B1018),Client_List!$A:$A,0)),""))</f>
        <v/>
      </c>
      <c r="H1018" s="32">
        <f>IF(B1018="","",IFERROR(INDEX(Client_List!$J:$J,MATCH(VALUE(B1018),Client_List!$A:$A,0)),""))</f>
        <v/>
      </c>
      <c r="I1018" s="70">
        <f>IF(B1018="","",IFERROR(A1018-LOOKUP(2,1/($B$4:$B1017=B1018),$A$4:$A1017),""))</f>
        <v/>
      </c>
      <c r="J1018" s="32">
        <f>IF(B1018="","",IFERROR(D1018/I1018,""))</f>
        <v/>
      </c>
      <c r="K1018" s="71">
        <f>IF(B1018="","",IFERROR(AVERAGEIFS($J$4:$J1018,$B$4:$B1018,B1018,$J$4:$J1018,"&gt;"&amp;0),""))</f>
        <v/>
      </c>
      <c r="L1018" s="4" t="n"/>
    </row>
    <row r="1019" ht="14" customHeight="1" s="72">
      <c r="A1019" s="75" t="n">
        <v>46106</v>
      </c>
      <c r="B1019" s="76" t="n">
        <v>12050</v>
      </c>
      <c r="C1019" s="69">
        <f>IF(B1019="","",IFERROR(INDEX(Client_List!$B:$B,MATCH(B1019,Client_List!$A:$A,0)),"⚠ NOT FOUND"))</f>
        <v/>
      </c>
      <c r="D1019" s="43" t="n">
        <v>779</v>
      </c>
      <c r="E1019" s="32">
        <f>IF(B1019="","",IFERROR(INDEX(Client_List!$C:$C,MATCH(VALUE(B1019),Client_List!$A:$A,0)),""))</f>
        <v/>
      </c>
      <c r="F1019" s="53">
        <f>IF(B1019="","",IFERROR(INDEX(Client_List!$D:$D,MATCH(VALUE(B1019),Client_List!$A:$A,0)),""))</f>
        <v/>
      </c>
      <c r="G1019" s="53">
        <f>IF(B1019="","",IFERROR(INDEX(Client_List!$K:$K,MATCH(VALUE(B1019),Client_List!$A:$A,0)),""))</f>
        <v/>
      </c>
      <c r="H1019" s="32">
        <f>IF(B1019="","",IFERROR(INDEX(Client_List!$J:$J,MATCH(VALUE(B1019),Client_List!$A:$A,0)),""))</f>
        <v/>
      </c>
      <c r="I1019" s="70">
        <f>IF(B1019="","",IFERROR(A1019-LOOKUP(2,1/($B$4:$B1018=B1019),$A$4:$A1018),""))</f>
        <v/>
      </c>
      <c r="J1019" s="32">
        <f>IF(B1019="","",IFERROR(D1019/I1019,""))</f>
        <v/>
      </c>
      <c r="K1019" s="71">
        <f>IF(B1019="","",IFERROR(AVERAGEIFS($J$4:$J1019,$B$4:$B1019,B1019,$J$4:$J1019,"&gt;"&amp;0),""))</f>
        <v/>
      </c>
      <c r="L1019" s="7" t="n"/>
    </row>
    <row r="1020" ht="14" customHeight="1" s="72">
      <c r="A1020" s="75" t="n">
        <v>46106</v>
      </c>
      <c r="B1020" s="76" t="n">
        <v>13015</v>
      </c>
      <c r="C1020" s="69">
        <f>IF(B1020="","",IFERROR(INDEX(Client_List!$B:$B,MATCH(B1020,Client_List!$A:$A,0)),"⚠ NOT FOUND"))</f>
        <v/>
      </c>
      <c r="D1020" s="43" t="n">
        <v>527</v>
      </c>
      <c r="E1020" s="32">
        <f>IF(B1020="","",IFERROR(INDEX(Client_List!$C:$C,MATCH(VALUE(B1020),Client_List!$A:$A,0)),""))</f>
        <v/>
      </c>
      <c r="F1020" s="53">
        <f>IF(B1020="","",IFERROR(INDEX(Client_List!$D:$D,MATCH(VALUE(B1020),Client_List!$A:$A,0)),""))</f>
        <v/>
      </c>
      <c r="G1020" s="53">
        <f>IF(B1020="","",IFERROR(INDEX(Client_List!$K:$K,MATCH(VALUE(B1020),Client_List!$A:$A,0)),""))</f>
        <v/>
      </c>
      <c r="H1020" s="32">
        <f>IF(B1020="","",IFERROR(INDEX(Client_List!$J:$J,MATCH(VALUE(B1020),Client_List!$A:$A,0)),""))</f>
        <v/>
      </c>
      <c r="I1020" s="70">
        <f>IF(B1020="","",IFERROR(A1020-LOOKUP(2,1/($B$4:$B1019=B1020),$A$4:$A1019),""))</f>
        <v/>
      </c>
      <c r="J1020" s="32">
        <f>IF(B1020="","",IFERROR(D1020/I1020,""))</f>
        <v/>
      </c>
      <c r="K1020" s="71">
        <f>IF(B1020="","",IFERROR(AVERAGEIFS($J$4:$J1020,$B$4:$B1020,B1020,$J$4:$J1020,"&gt;"&amp;0),""))</f>
        <v/>
      </c>
      <c r="L1020" s="4" t="n"/>
    </row>
    <row r="1021" ht="14" customHeight="1" s="72">
      <c r="A1021" s="75" t="n">
        <v>46106</v>
      </c>
      <c r="B1021" s="76" t="n">
        <v>15024</v>
      </c>
      <c r="C1021" s="69">
        <f>IF(B1021="","",IFERROR(INDEX(Client_List!$B:$B,MATCH(B1021,Client_List!$A:$A,0)),"⚠ NOT FOUND"))</f>
        <v/>
      </c>
      <c r="D1021" s="43" t="n">
        <v>521</v>
      </c>
      <c r="E1021" s="32">
        <f>IF(B1021="","",IFERROR(INDEX(Client_List!$C:$C,MATCH(VALUE(B1021),Client_List!$A:$A,0)),""))</f>
        <v/>
      </c>
      <c r="F1021" s="53">
        <f>IF(B1021="","",IFERROR(INDEX(Client_List!$D:$D,MATCH(VALUE(B1021),Client_List!$A:$A,0)),""))</f>
        <v/>
      </c>
      <c r="G1021" s="53">
        <f>IF(B1021="","",IFERROR(INDEX(Client_List!$K:$K,MATCH(VALUE(B1021),Client_List!$A:$A,0)),""))</f>
        <v/>
      </c>
      <c r="H1021" s="32">
        <f>IF(B1021="","",IFERROR(INDEX(Client_List!$J:$J,MATCH(VALUE(B1021),Client_List!$A:$A,0)),""))</f>
        <v/>
      </c>
      <c r="I1021" s="70">
        <f>IF(B1021="","",IFERROR(A1021-LOOKUP(2,1/($B$4:$B1020=B1021),$A$4:$A1020),""))</f>
        <v/>
      </c>
      <c r="J1021" s="32">
        <f>IF(B1021="","",IFERROR(D1021/I1021,""))</f>
        <v/>
      </c>
      <c r="K1021" s="71">
        <f>IF(B1021="","",IFERROR(AVERAGEIFS($J$4:$J1021,$B$4:$B1021,B1021,$J$4:$J1021,"&gt;"&amp;0),""))</f>
        <v/>
      </c>
      <c r="L1021" s="7" t="n"/>
    </row>
    <row r="1022" ht="14" customHeight="1" s="72">
      <c r="A1022" s="75" t="n">
        <v>46106</v>
      </c>
      <c r="B1022" s="76" t="n">
        <v>16019</v>
      </c>
      <c r="C1022" s="69">
        <f>IF(B1022="","",IFERROR(INDEX(Client_List!$B:$B,MATCH(B1022,Client_List!$A:$A,0)),"⚠ NOT FOUND"))</f>
        <v/>
      </c>
      <c r="D1022" s="43" t="n">
        <v>678</v>
      </c>
      <c r="E1022" s="32">
        <f>IF(B1022="","",IFERROR(INDEX(Client_List!$C:$C,MATCH(VALUE(B1022),Client_List!$A:$A,0)),""))</f>
        <v/>
      </c>
      <c r="F1022" s="53">
        <f>IF(B1022="","",IFERROR(INDEX(Client_List!$D:$D,MATCH(VALUE(B1022),Client_List!$A:$A,0)),""))</f>
        <v/>
      </c>
      <c r="G1022" s="53">
        <f>IF(B1022="","",IFERROR(INDEX(Client_List!$K:$K,MATCH(VALUE(B1022),Client_List!$A:$A,0)),""))</f>
        <v/>
      </c>
      <c r="H1022" s="32">
        <f>IF(B1022="","",IFERROR(INDEX(Client_List!$J:$J,MATCH(VALUE(B1022),Client_List!$A:$A,0)),""))</f>
        <v/>
      </c>
      <c r="I1022" s="70">
        <f>IF(B1022="","",IFERROR(A1022-LOOKUP(2,1/($B$4:$B1021=B1022),$A$4:$A1021),""))</f>
        <v/>
      </c>
      <c r="J1022" s="32">
        <f>IF(B1022="","",IFERROR(D1022/I1022,""))</f>
        <v/>
      </c>
      <c r="K1022" s="71">
        <f>IF(B1022="","",IFERROR(AVERAGEIFS($J$4:$J1022,$B$4:$B1022,B1022,$J$4:$J1022,"&gt;"&amp;0),""))</f>
        <v/>
      </c>
      <c r="L1022" s="4" t="n"/>
    </row>
    <row r="1023" ht="14" customHeight="1" s="72">
      <c r="A1023" s="75" t="n">
        <v>46106</v>
      </c>
      <c r="B1023" s="76" t="n">
        <v>19033</v>
      </c>
      <c r="C1023" s="69">
        <f>IF(B1023="","",IFERROR(INDEX(Client_List!$B:$B,MATCH(B1023,Client_List!$A:$A,0)),"⚠ NOT FOUND"))</f>
        <v/>
      </c>
      <c r="D1023" s="43" t="n">
        <v>180</v>
      </c>
      <c r="E1023" s="32">
        <f>IF(B1023="","",IFERROR(INDEX(Client_List!$C:$C,MATCH(VALUE(B1023),Client_List!$A:$A,0)),""))</f>
        <v/>
      </c>
      <c r="F1023" s="53">
        <f>IF(B1023="","",IFERROR(INDEX(Client_List!$D:$D,MATCH(VALUE(B1023),Client_List!$A:$A,0)),""))</f>
        <v/>
      </c>
      <c r="G1023" s="53">
        <f>IF(B1023="","",IFERROR(INDEX(Client_List!$K:$K,MATCH(VALUE(B1023),Client_List!$A:$A,0)),""))</f>
        <v/>
      </c>
      <c r="H1023" s="32">
        <f>IF(B1023="","",IFERROR(INDEX(Client_List!$J:$J,MATCH(VALUE(B1023),Client_List!$A:$A,0)),""))</f>
        <v/>
      </c>
      <c r="I1023" s="70">
        <f>IF(B1023="","",IFERROR(A1023-LOOKUP(2,1/($B$4:$B1022=B1023),$A$4:$A1022),""))</f>
        <v/>
      </c>
      <c r="J1023" s="32">
        <f>IF(B1023="","",IFERROR(D1023/I1023,""))</f>
        <v/>
      </c>
      <c r="K1023" s="71">
        <f>IF(B1023="","",IFERROR(AVERAGEIFS($J$4:$J1023,$B$4:$B1023,B1023,$J$4:$J1023,"&gt;"&amp;0),""))</f>
        <v/>
      </c>
      <c r="L1023" s="7" t="n"/>
    </row>
    <row r="1024" ht="14" customHeight="1" s="72">
      <c r="A1024" s="75" t="n">
        <v>46106</v>
      </c>
      <c r="B1024" s="76" t="n">
        <v>20093</v>
      </c>
      <c r="C1024" s="69">
        <f>IF(B1024="","",IFERROR(INDEX(Client_List!$B:$B,MATCH(B1024,Client_List!$A:$A,0)),"⚠ NOT FOUND"))</f>
        <v/>
      </c>
      <c r="D1024" s="43" t="n">
        <v>976</v>
      </c>
      <c r="E1024" s="32">
        <f>IF(B1024="","",IFERROR(INDEX(Client_List!$C:$C,MATCH(VALUE(B1024),Client_List!$A:$A,0)),""))</f>
        <v/>
      </c>
      <c r="F1024" s="53">
        <f>IF(B1024="","",IFERROR(INDEX(Client_List!$D:$D,MATCH(VALUE(B1024),Client_List!$A:$A,0)),""))</f>
        <v/>
      </c>
      <c r="G1024" s="53">
        <f>IF(B1024="","",IFERROR(INDEX(Client_List!$K:$K,MATCH(VALUE(B1024),Client_List!$A:$A,0)),""))</f>
        <v/>
      </c>
      <c r="H1024" s="32">
        <f>IF(B1024="","",IFERROR(INDEX(Client_List!$J:$J,MATCH(VALUE(B1024),Client_List!$A:$A,0)),""))</f>
        <v/>
      </c>
      <c r="I1024" s="70">
        <f>IF(B1024="","",IFERROR(A1024-LOOKUP(2,1/($B$4:$B1023=B1024),$A$4:$A1023),""))</f>
        <v/>
      </c>
      <c r="J1024" s="32">
        <f>IF(B1024="","",IFERROR(D1024/I1024,""))</f>
        <v/>
      </c>
      <c r="K1024" s="71">
        <f>IF(B1024="","",IFERROR(AVERAGEIFS($J$4:$J1024,$B$4:$B1024,B1024,$J$4:$J1024,"&gt;"&amp;0),""))</f>
        <v/>
      </c>
      <c r="L1024" s="4" t="n"/>
    </row>
    <row r="1025" ht="14" customHeight="1" s="72">
      <c r="A1025" s="75" t="n">
        <v>46107</v>
      </c>
      <c r="B1025" s="76" t="n">
        <v>1054</v>
      </c>
      <c r="C1025" s="69">
        <f>IF(B1025="","",IFERROR(INDEX(Client_List!$B:$B,MATCH(B1025,Client_List!$A:$A,0)),"⚠ NOT FOUND"))</f>
        <v/>
      </c>
      <c r="D1025" s="43" t="n">
        <v>352</v>
      </c>
      <c r="E1025" s="32">
        <f>IF(B1025="","",IFERROR(INDEX(Client_List!$C:$C,MATCH(VALUE(B1025),Client_List!$A:$A,0)),""))</f>
        <v/>
      </c>
      <c r="F1025" s="53">
        <f>IF(B1025="","",IFERROR(INDEX(Client_List!$D:$D,MATCH(VALUE(B1025),Client_List!$A:$A,0)),""))</f>
        <v/>
      </c>
      <c r="G1025" s="53">
        <f>IF(B1025="","",IFERROR(INDEX(Client_List!$K:$K,MATCH(VALUE(B1025),Client_List!$A:$A,0)),""))</f>
        <v/>
      </c>
      <c r="H1025" s="32">
        <f>IF(B1025="","",IFERROR(INDEX(Client_List!$J:$J,MATCH(VALUE(B1025),Client_List!$A:$A,0)),""))</f>
        <v/>
      </c>
      <c r="I1025" s="70">
        <f>IF(B1025="","",IFERROR(A1025-LOOKUP(2,1/($B$4:$B1024=B1025),$A$4:$A1024),""))</f>
        <v/>
      </c>
      <c r="J1025" s="32">
        <f>IF(B1025="","",IFERROR(D1025/I1025,""))</f>
        <v/>
      </c>
      <c r="K1025" s="71">
        <f>IF(B1025="","",IFERROR(AVERAGEIFS($J$4:$J1025,$B$4:$B1025,B1025,$J$4:$J1025,"&gt;"&amp;0),""))</f>
        <v/>
      </c>
      <c r="L1025" s="7" t="n"/>
    </row>
    <row r="1026" ht="14" customHeight="1" s="72">
      <c r="A1026" s="75" t="n">
        <v>46107</v>
      </c>
      <c r="B1026" s="76" t="n">
        <v>1083</v>
      </c>
      <c r="C1026" s="69">
        <f>IF(B1026="","",IFERROR(INDEX(Client_List!$B:$B,MATCH(B1026,Client_List!$A:$A,0)),"⚠ NOT FOUND"))</f>
        <v/>
      </c>
      <c r="D1026" s="43" t="n">
        <v>296</v>
      </c>
      <c r="E1026" s="32">
        <f>IF(B1026="","",IFERROR(INDEX(Client_List!$C:$C,MATCH(VALUE(B1026),Client_List!$A:$A,0)),""))</f>
        <v/>
      </c>
      <c r="F1026" s="53">
        <f>IF(B1026="","",IFERROR(INDEX(Client_List!$D:$D,MATCH(VALUE(B1026),Client_List!$A:$A,0)),""))</f>
        <v/>
      </c>
      <c r="G1026" s="53">
        <f>IF(B1026="","",IFERROR(INDEX(Client_List!$K:$K,MATCH(VALUE(B1026),Client_List!$A:$A,0)),""))</f>
        <v/>
      </c>
      <c r="H1026" s="32">
        <f>IF(B1026="","",IFERROR(INDEX(Client_List!$J:$J,MATCH(VALUE(B1026),Client_List!$A:$A,0)),""))</f>
        <v/>
      </c>
      <c r="I1026" s="70">
        <f>IF(B1026="","",IFERROR(A1026-LOOKUP(2,1/($B$4:$B1025=B1026),$A$4:$A1025),""))</f>
        <v/>
      </c>
      <c r="J1026" s="32">
        <f>IF(B1026="","",IFERROR(D1026/I1026,""))</f>
        <v/>
      </c>
      <c r="K1026" s="71">
        <f>IF(B1026="","",IFERROR(AVERAGEIFS($J$4:$J1026,$B$4:$B1026,B1026,$J$4:$J1026,"&gt;"&amp;0),""))</f>
        <v/>
      </c>
      <c r="L1026" s="4" t="n"/>
    </row>
    <row r="1027" ht="14" customHeight="1" s="72">
      <c r="A1027" s="75" t="n">
        <v>46107</v>
      </c>
      <c r="B1027" s="76" t="n">
        <v>4025</v>
      </c>
      <c r="C1027" s="69">
        <f>IF(B1027="","",IFERROR(INDEX(Client_List!$B:$B,MATCH(B1027,Client_List!$A:$A,0)),"⚠ NOT FOUND"))</f>
        <v/>
      </c>
      <c r="D1027" s="43" t="n">
        <v>761</v>
      </c>
      <c r="E1027" s="32">
        <f>IF(B1027="","",IFERROR(INDEX(Client_List!$C:$C,MATCH(VALUE(B1027),Client_List!$A:$A,0)),""))</f>
        <v/>
      </c>
      <c r="F1027" s="53">
        <f>IF(B1027="","",IFERROR(INDEX(Client_List!$D:$D,MATCH(VALUE(B1027),Client_List!$A:$A,0)),""))</f>
        <v/>
      </c>
      <c r="G1027" s="53">
        <f>IF(B1027="","",IFERROR(INDEX(Client_List!$K:$K,MATCH(VALUE(B1027),Client_List!$A:$A,0)),""))</f>
        <v/>
      </c>
      <c r="H1027" s="32">
        <f>IF(B1027="","",IFERROR(INDEX(Client_List!$J:$J,MATCH(VALUE(B1027),Client_List!$A:$A,0)),""))</f>
        <v/>
      </c>
      <c r="I1027" s="70">
        <f>IF(B1027="","",IFERROR(A1027-LOOKUP(2,1/($B$4:$B1026=B1027),$A$4:$A1026),""))</f>
        <v/>
      </c>
      <c r="J1027" s="32">
        <f>IF(B1027="","",IFERROR(D1027/I1027,""))</f>
        <v/>
      </c>
      <c r="K1027" s="71">
        <f>IF(B1027="","",IFERROR(AVERAGEIFS($J$4:$J1027,$B$4:$B1027,B1027,$J$4:$J1027,"&gt;"&amp;0),""))</f>
        <v/>
      </c>
      <c r="L1027" s="7" t="n"/>
    </row>
    <row r="1028" ht="14" customHeight="1" s="72">
      <c r="A1028" s="75" t="n">
        <v>46107</v>
      </c>
      <c r="B1028" s="76" t="n">
        <v>4026</v>
      </c>
      <c r="C1028" s="69">
        <f>IF(B1028="","",IFERROR(INDEX(Client_List!$B:$B,MATCH(B1028,Client_List!$A:$A,0)),"⚠ NOT FOUND"))</f>
        <v/>
      </c>
      <c r="D1028" s="43" t="n">
        <v>242</v>
      </c>
      <c r="E1028" s="32">
        <f>IF(B1028="","",IFERROR(INDEX(Client_List!$C:$C,MATCH(VALUE(B1028),Client_List!$A:$A,0)),""))</f>
        <v/>
      </c>
      <c r="F1028" s="53">
        <f>IF(B1028="","",IFERROR(INDEX(Client_List!$D:$D,MATCH(VALUE(B1028),Client_List!$A:$A,0)),""))</f>
        <v/>
      </c>
      <c r="G1028" s="53">
        <f>IF(B1028="","",IFERROR(INDEX(Client_List!$K:$K,MATCH(VALUE(B1028),Client_List!$A:$A,0)),""))</f>
        <v/>
      </c>
      <c r="H1028" s="32">
        <f>IF(B1028="","",IFERROR(INDEX(Client_List!$J:$J,MATCH(VALUE(B1028),Client_List!$A:$A,0)),""))</f>
        <v/>
      </c>
      <c r="I1028" s="70">
        <f>IF(B1028="","",IFERROR(A1028-LOOKUP(2,1/($B$4:$B1027=B1028),$A$4:$A1027),""))</f>
        <v/>
      </c>
      <c r="J1028" s="32">
        <f>IF(B1028="","",IFERROR(D1028/I1028,""))</f>
        <v/>
      </c>
      <c r="K1028" s="71">
        <f>IF(B1028="","",IFERROR(AVERAGEIFS($J$4:$J1028,$B$4:$B1028,B1028,$J$4:$J1028,"&gt;"&amp;0),""))</f>
        <v/>
      </c>
      <c r="L1028" s="4" t="n"/>
    </row>
    <row r="1029" ht="14" customHeight="1" s="72">
      <c r="A1029" s="75" t="n">
        <v>46107</v>
      </c>
      <c r="B1029" s="76" t="n">
        <v>4027</v>
      </c>
      <c r="C1029" s="69">
        <f>IF(B1029="","",IFERROR(INDEX(Client_List!$B:$B,MATCH(B1029,Client_List!$A:$A,0)),"⚠ NOT FOUND"))</f>
        <v/>
      </c>
      <c r="D1029" s="43" t="n">
        <v>790</v>
      </c>
      <c r="E1029" s="32">
        <f>IF(B1029="","",IFERROR(INDEX(Client_List!$C:$C,MATCH(VALUE(B1029),Client_List!$A:$A,0)),""))</f>
        <v/>
      </c>
      <c r="F1029" s="53">
        <f>IF(B1029="","",IFERROR(INDEX(Client_List!$D:$D,MATCH(VALUE(B1029),Client_List!$A:$A,0)),""))</f>
        <v/>
      </c>
      <c r="G1029" s="53">
        <f>IF(B1029="","",IFERROR(INDEX(Client_List!$K:$K,MATCH(VALUE(B1029),Client_List!$A:$A,0)),""))</f>
        <v/>
      </c>
      <c r="H1029" s="32">
        <f>IF(B1029="","",IFERROR(INDEX(Client_List!$J:$J,MATCH(VALUE(B1029),Client_List!$A:$A,0)),""))</f>
        <v/>
      </c>
      <c r="I1029" s="70">
        <f>IF(B1029="","",IFERROR(A1029-LOOKUP(2,1/($B$4:$B1028=B1029),$A$4:$A1028),""))</f>
        <v/>
      </c>
      <c r="J1029" s="32">
        <f>IF(B1029="","",IFERROR(D1029/I1029,""))</f>
        <v/>
      </c>
      <c r="K1029" s="71">
        <f>IF(B1029="","",IFERROR(AVERAGEIFS($J$4:$J1029,$B$4:$B1029,B1029,$J$4:$J1029,"&gt;"&amp;0),""))</f>
        <v/>
      </c>
      <c r="L1029" s="7" t="n"/>
    </row>
    <row r="1030" ht="14" customHeight="1" s="72">
      <c r="A1030" s="75" t="n">
        <v>46107</v>
      </c>
      <c r="B1030" s="76" t="n">
        <v>6101</v>
      </c>
      <c r="C1030" s="69">
        <f>IF(B1030="","",IFERROR(INDEX(Client_List!$B:$B,MATCH(B1030,Client_List!$A:$A,0)),"⚠ NOT FOUND"))</f>
        <v/>
      </c>
      <c r="D1030" s="43" t="n">
        <v>590</v>
      </c>
      <c r="E1030" s="32">
        <f>IF(B1030="","",IFERROR(INDEX(Client_List!$C:$C,MATCH(VALUE(B1030),Client_List!$A:$A,0)),""))</f>
        <v/>
      </c>
      <c r="F1030" s="53">
        <f>IF(B1030="","",IFERROR(INDEX(Client_List!$D:$D,MATCH(VALUE(B1030),Client_List!$A:$A,0)),""))</f>
        <v/>
      </c>
      <c r="G1030" s="53">
        <f>IF(B1030="","",IFERROR(INDEX(Client_List!$K:$K,MATCH(VALUE(B1030),Client_List!$A:$A,0)),""))</f>
        <v/>
      </c>
      <c r="H1030" s="32">
        <f>IF(B1030="","",IFERROR(INDEX(Client_List!$J:$J,MATCH(VALUE(B1030),Client_List!$A:$A,0)),""))</f>
        <v/>
      </c>
      <c r="I1030" s="70">
        <f>IF(B1030="","",IFERROR(A1030-LOOKUP(2,1/($B$4:$B1029=B1030),$A$4:$A1029),""))</f>
        <v/>
      </c>
      <c r="J1030" s="32">
        <f>IF(B1030="","",IFERROR(D1030/I1030,""))</f>
        <v/>
      </c>
      <c r="K1030" s="71">
        <f>IF(B1030="","",IFERROR(AVERAGEIFS($J$4:$J1030,$B$4:$B1030,B1030,$J$4:$J1030,"&gt;"&amp;0),""))</f>
        <v/>
      </c>
      <c r="L1030" s="4" t="n"/>
    </row>
    <row r="1031" ht="14" customHeight="1" s="72">
      <c r="A1031" s="75" t="n">
        <v>46107</v>
      </c>
      <c r="B1031" s="76" t="n">
        <v>11013</v>
      </c>
      <c r="C1031" s="69">
        <f>IF(B1031="","",IFERROR(INDEX(Client_List!$B:$B,MATCH(B1031,Client_List!$A:$A,0)),"⚠ NOT FOUND"))</f>
        <v/>
      </c>
      <c r="D1031" s="43" t="n">
        <v>740</v>
      </c>
      <c r="E1031" s="32">
        <f>IF(B1031="","",IFERROR(INDEX(Client_List!$C:$C,MATCH(VALUE(B1031),Client_List!$A:$A,0)),""))</f>
        <v/>
      </c>
      <c r="F1031" s="53">
        <f>IF(B1031="","",IFERROR(INDEX(Client_List!$D:$D,MATCH(VALUE(B1031),Client_List!$A:$A,0)),""))</f>
        <v/>
      </c>
      <c r="G1031" s="53">
        <f>IF(B1031="","",IFERROR(INDEX(Client_List!$K:$K,MATCH(VALUE(B1031),Client_List!$A:$A,0)),""))</f>
        <v/>
      </c>
      <c r="H1031" s="32">
        <f>IF(B1031="","",IFERROR(INDEX(Client_List!$J:$J,MATCH(VALUE(B1031),Client_List!$A:$A,0)),""))</f>
        <v/>
      </c>
      <c r="I1031" s="70">
        <f>IF(B1031="","",IFERROR(A1031-LOOKUP(2,1/($B$4:$B1030=B1031),$A$4:$A1030),""))</f>
        <v/>
      </c>
      <c r="J1031" s="32">
        <f>IF(B1031="","",IFERROR(D1031/I1031,""))</f>
        <v/>
      </c>
      <c r="K1031" s="71">
        <f>IF(B1031="","",IFERROR(AVERAGEIFS($J$4:$J1031,$B$4:$B1031,B1031,$J$4:$J1031,"&gt;"&amp;0),""))</f>
        <v/>
      </c>
      <c r="L1031" s="7" t="n"/>
    </row>
    <row r="1032" ht="14" customHeight="1" s="72">
      <c r="A1032" s="75" t="n">
        <v>46107</v>
      </c>
      <c r="B1032" s="76" t="n">
        <v>11014</v>
      </c>
      <c r="C1032" s="69">
        <f>IF(B1032="","",IFERROR(INDEX(Client_List!$B:$B,MATCH(B1032,Client_List!$A:$A,0)),"⚠ NOT FOUND"))</f>
        <v/>
      </c>
      <c r="D1032" s="43" t="n">
        <v>300</v>
      </c>
      <c r="E1032" s="32">
        <f>IF(B1032="","",IFERROR(INDEX(Client_List!$C:$C,MATCH(VALUE(B1032),Client_List!$A:$A,0)),""))</f>
        <v/>
      </c>
      <c r="F1032" s="53">
        <f>IF(B1032="","",IFERROR(INDEX(Client_List!$D:$D,MATCH(VALUE(B1032),Client_List!$A:$A,0)),""))</f>
        <v/>
      </c>
      <c r="G1032" s="53">
        <f>IF(B1032="","",IFERROR(INDEX(Client_List!$K:$K,MATCH(VALUE(B1032),Client_List!$A:$A,0)),""))</f>
        <v/>
      </c>
      <c r="H1032" s="32">
        <f>IF(B1032="","",IFERROR(INDEX(Client_List!$J:$J,MATCH(VALUE(B1032),Client_List!$A:$A,0)),""))</f>
        <v/>
      </c>
      <c r="I1032" s="70">
        <f>IF(B1032="","",IFERROR(A1032-LOOKUP(2,1/($B$4:$B1031=B1032),$A$4:$A1031),""))</f>
        <v/>
      </c>
      <c r="J1032" s="32">
        <f>IF(B1032="","",IFERROR(D1032/I1032,""))</f>
        <v/>
      </c>
      <c r="K1032" s="71">
        <f>IF(B1032="","",IFERROR(AVERAGEIFS($J$4:$J1032,$B$4:$B1032,B1032,$J$4:$J1032,"&gt;"&amp;0),""))</f>
        <v/>
      </c>
      <c r="L1032" s="4" t="n"/>
    </row>
    <row r="1033" ht="14" customHeight="1" s="72">
      <c r="A1033" s="75" t="n">
        <v>46107</v>
      </c>
      <c r="B1033" s="76" t="n">
        <v>12048</v>
      </c>
      <c r="C1033" s="69">
        <f>IF(B1033="","",IFERROR(INDEX(Client_List!$B:$B,MATCH(B1033,Client_List!$A:$A,0)),"⚠ NOT FOUND"))</f>
        <v/>
      </c>
      <c r="D1033" s="43" t="n">
        <v>1025</v>
      </c>
      <c r="E1033" s="32">
        <f>IF(B1033="","",IFERROR(INDEX(Client_List!$C:$C,MATCH(VALUE(B1033),Client_List!$A:$A,0)),""))</f>
        <v/>
      </c>
      <c r="F1033" s="53">
        <f>IF(B1033="","",IFERROR(INDEX(Client_List!$D:$D,MATCH(VALUE(B1033),Client_List!$A:$A,0)),""))</f>
        <v/>
      </c>
      <c r="G1033" s="53">
        <f>IF(B1033="","",IFERROR(INDEX(Client_List!$K:$K,MATCH(VALUE(B1033),Client_List!$A:$A,0)),""))</f>
        <v/>
      </c>
      <c r="H1033" s="32">
        <f>IF(B1033="","",IFERROR(INDEX(Client_List!$J:$J,MATCH(VALUE(B1033),Client_List!$A:$A,0)),""))</f>
        <v/>
      </c>
      <c r="I1033" s="70">
        <f>IF(B1033="","",IFERROR(A1033-LOOKUP(2,1/($B$4:$B1032=B1033),$A$4:$A1032),""))</f>
        <v/>
      </c>
      <c r="J1033" s="32">
        <f>IF(B1033="","",IFERROR(D1033/I1033,""))</f>
        <v/>
      </c>
      <c r="K1033" s="71">
        <f>IF(B1033="","",IFERROR(AVERAGEIFS($J$4:$J1033,$B$4:$B1033,B1033,$J$4:$J1033,"&gt;"&amp;0),""))</f>
        <v/>
      </c>
      <c r="L1033" s="7" t="n"/>
    </row>
    <row r="1034" ht="14" customHeight="1" s="72">
      <c r="A1034" s="75" t="n">
        <v>46107</v>
      </c>
      <c r="B1034" s="76" t="n">
        <v>16007</v>
      </c>
      <c r="C1034" s="69">
        <f>IF(B1034="","",IFERROR(INDEX(Client_List!$B:$B,MATCH(B1034,Client_List!$A:$A,0)),"⚠ NOT FOUND"))</f>
        <v/>
      </c>
      <c r="D1034" s="43" t="n">
        <v>378</v>
      </c>
      <c r="E1034" s="32">
        <f>IF(B1034="","",IFERROR(INDEX(Client_List!$C:$C,MATCH(VALUE(B1034),Client_List!$A:$A,0)),""))</f>
        <v/>
      </c>
      <c r="F1034" s="53">
        <f>IF(B1034="","",IFERROR(INDEX(Client_List!$D:$D,MATCH(VALUE(B1034),Client_List!$A:$A,0)),""))</f>
        <v/>
      </c>
      <c r="G1034" s="53">
        <f>IF(B1034="","",IFERROR(INDEX(Client_List!$K:$K,MATCH(VALUE(B1034),Client_List!$A:$A,0)),""))</f>
        <v/>
      </c>
      <c r="H1034" s="32">
        <f>IF(B1034="","",IFERROR(INDEX(Client_List!$J:$J,MATCH(VALUE(B1034),Client_List!$A:$A,0)),""))</f>
        <v/>
      </c>
      <c r="I1034" s="70">
        <f>IF(B1034="","",IFERROR(A1034-LOOKUP(2,1/($B$4:$B1033=B1034),$A$4:$A1033),""))</f>
        <v/>
      </c>
      <c r="J1034" s="32">
        <f>IF(B1034="","",IFERROR(D1034/I1034,""))</f>
        <v/>
      </c>
      <c r="K1034" s="71">
        <f>IF(B1034="","",IFERROR(AVERAGEIFS($J$4:$J1034,$B$4:$B1034,B1034,$J$4:$J1034,"&gt;"&amp;0),""))</f>
        <v/>
      </c>
      <c r="L1034" s="4" t="n"/>
    </row>
    <row r="1035" ht="14" customHeight="1" s="72">
      <c r="A1035" s="75" t="n">
        <v>46107</v>
      </c>
      <c r="B1035" s="76" t="n">
        <v>18001</v>
      </c>
      <c r="C1035" s="69">
        <f>IF(B1035="","",IFERROR(INDEX(Client_List!$B:$B,MATCH(B1035,Client_List!$A:$A,0)),"⚠ NOT FOUND"))</f>
        <v/>
      </c>
      <c r="D1035" s="43" t="n">
        <v>602</v>
      </c>
      <c r="E1035" s="32">
        <f>IF(B1035="","",IFERROR(INDEX(Client_List!$C:$C,MATCH(VALUE(B1035),Client_List!$A:$A,0)),""))</f>
        <v/>
      </c>
      <c r="F1035" s="53">
        <f>IF(B1035="","",IFERROR(INDEX(Client_List!$D:$D,MATCH(VALUE(B1035),Client_List!$A:$A,0)),""))</f>
        <v/>
      </c>
      <c r="G1035" s="53">
        <f>IF(B1035="","",IFERROR(INDEX(Client_List!$K:$K,MATCH(VALUE(B1035),Client_List!$A:$A,0)),""))</f>
        <v/>
      </c>
      <c r="H1035" s="32">
        <f>IF(B1035="","",IFERROR(INDEX(Client_List!$J:$J,MATCH(VALUE(B1035),Client_List!$A:$A,0)),""))</f>
        <v/>
      </c>
      <c r="I1035" s="70">
        <f>IF(B1035="","",IFERROR(A1035-LOOKUP(2,1/($B$4:$B1034=B1035),$A$4:$A1034),""))</f>
        <v/>
      </c>
      <c r="J1035" s="32">
        <f>IF(B1035="","",IFERROR(D1035/I1035,""))</f>
        <v/>
      </c>
      <c r="K1035" s="71">
        <f>IF(B1035="","",IFERROR(AVERAGEIFS($J$4:$J1035,$B$4:$B1035,B1035,$J$4:$J1035,"&gt;"&amp;0),""))</f>
        <v/>
      </c>
      <c r="L1035" s="7" t="n"/>
    </row>
    <row r="1036" ht="14" customHeight="1" s="72">
      <c r="A1036" s="75" t="n">
        <v>46107</v>
      </c>
      <c r="B1036" s="76" t="n">
        <v>18003</v>
      </c>
      <c r="C1036" s="69">
        <f>IF(B1036="","",IFERROR(INDEX(Client_List!$B:$B,MATCH(B1036,Client_List!$A:$A,0)),"⚠ NOT FOUND"))</f>
        <v/>
      </c>
      <c r="D1036" s="43" t="n">
        <v>299</v>
      </c>
      <c r="E1036" s="32">
        <f>IF(B1036="","",IFERROR(INDEX(Client_List!$C:$C,MATCH(VALUE(B1036),Client_List!$A:$A,0)),""))</f>
        <v/>
      </c>
      <c r="F1036" s="53">
        <f>IF(B1036="","",IFERROR(INDEX(Client_List!$D:$D,MATCH(VALUE(B1036),Client_List!$A:$A,0)),""))</f>
        <v/>
      </c>
      <c r="G1036" s="53">
        <f>IF(B1036="","",IFERROR(INDEX(Client_List!$K:$K,MATCH(VALUE(B1036),Client_List!$A:$A,0)),""))</f>
        <v/>
      </c>
      <c r="H1036" s="32">
        <f>IF(B1036="","",IFERROR(INDEX(Client_List!$J:$J,MATCH(VALUE(B1036),Client_List!$A:$A,0)),""))</f>
        <v/>
      </c>
      <c r="I1036" s="70">
        <f>IF(B1036="","",IFERROR(A1036-LOOKUP(2,1/($B$4:$B1035=B1036),$A$4:$A1035),""))</f>
        <v/>
      </c>
      <c r="J1036" s="32">
        <f>IF(B1036="","",IFERROR(D1036/I1036,""))</f>
        <v/>
      </c>
      <c r="K1036" s="71">
        <f>IF(B1036="","",IFERROR(AVERAGEIFS($J$4:$J1036,$B$4:$B1036,B1036,$J$4:$J1036,"&gt;"&amp;0),""))</f>
        <v/>
      </c>
      <c r="L1036" s="4" t="n"/>
    </row>
    <row r="1037" ht="14" customHeight="1" s="72">
      <c r="A1037" s="75" t="n">
        <v>46107</v>
      </c>
      <c r="B1037" s="76" t="n">
        <v>19022</v>
      </c>
      <c r="C1037" s="69">
        <f>IF(B1037="","",IFERROR(INDEX(Client_List!$B:$B,MATCH(B1037,Client_List!$A:$A,0)),"⚠ NOT FOUND"))</f>
        <v/>
      </c>
      <c r="D1037" s="43" t="n">
        <v>877</v>
      </c>
      <c r="E1037" s="32">
        <f>IF(B1037="","",IFERROR(INDEX(Client_List!$C:$C,MATCH(VALUE(B1037),Client_List!$A:$A,0)),""))</f>
        <v/>
      </c>
      <c r="F1037" s="53">
        <f>IF(B1037="","",IFERROR(INDEX(Client_List!$D:$D,MATCH(VALUE(B1037),Client_List!$A:$A,0)),""))</f>
        <v/>
      </c>
      <c r="G1037" s="53">
        <f>IF(B1037="","",IFERROR(INDEX(Client_List!$K:$K,MATCH(VALUE(B1037),Client_List!$A:$A,0)),""))</f>
        <v/>
      </c>
      <c r="H1037" s="32">
        <f>IF(B1037="","",IFERROR(INDEX(Client_List!$J:$J,MATCH(VALUE(B1037),Client_List!$A:$A,0)),""))</f>
        <v/>
      </c>
      <c r="I1037" s="70">
        <f>IF(B1037="","",IFERROR(A1037-LOOKUP(2,1/($B$4:$B1036=B1037),$A$4:$A1036),""))</f>
        <v/>
      </c>
      <c r="J1037" s="32">
        <f>IF(B1037="","",IFERROR(D1037/I1037,""))</f>
        <v/>
      </c>
      <c r="K1037" s="71">
        <f>IF(B1037="","",IFERROR(AVERAGEIFS($J$4:$J1037,$B$4:$B1037,B1037,$J$4:$J1037,"&gt;"&amp;0),""))</f>
        <v/>
      </c>
      <c r="L1037" s="7" t="n"/>
    </row>
    <row r="1038" ht="14" customHeight="1" s="72">
      <c r="A1038" s="75" t="n">
        <v>46107</v>
      </c>
      <c r="B1038" s="76" t="n">
        <v>19077</v>
      </c>
      <c r="C1038" s="69">
        <f>IF(B1038="","",IFERROR(INDEX(Client_List!$B:$B,MATCH(B1038,Client_List!$A:$A,0)),"⚠ NOT FOUND"))</f>
        <v/>
      </c>
      <c r="D1038" s="43" t="n">
        <v>726</v>
      </c>
      <c r="E1038" s="32">
        <f>IF(B1038="","",IFERROR(INDEX(Client_List!$C:$C,MATCH(VALUE(B1038),Client_List!$A:$A,0)),""))</f>
        <v/>
      </c>
      <c r="F1038" s="53">
        <f>IF(B1038="","",IFERROR(INDEX(Client_List!$D:$D,MATCH(VALUE(B1038),Client_List!$A:$A,0)),""))</f>
        <v/>
      </c>
      <c r="G1038" s="53">
        <f>IF(B1038="","",IFERROR(INDEX(Client_List!$K:$K,MATCH(VALUE(B1038),Client_List!$A:$A,0)),""))</f>
        <v/>
      </c>
      <c r="H1038" s="32">
        <f>IF(B1038="","",IFERROR(INDEX(Client_List!$J:$J,MATCH(VALUE(B1038),Client_List!$A:$A,0)),""))</f>
        <v/>
      </c>
      <c r="I1038" s="70">
        <f>IF(B1038="","",IFERROR(A1038-LOOKUP(2,1/($B$4:$B1037=B1038),$A$4:$A1037),""))</f>
        <v/>
      </c>
      <c r="J1038" s="32">
        <f>IF(B1038="","",IFERROR(D1038/I1038,""))</f>
        <v/>
      </c>
      <c r="K1038" s="71">
        <f>IF(B1038="","",IFERROR(AVERAGEIFS($J$4:$J1038,$B$4:$B1038,B1038,$J$4:$J1038,"&gt;"&amp;0),""))</f>
        <v/>
      </c>
      <c r="L1038" s="4" t="n"/>
    </row>
    <row r="1039" ht="14" customHeight="1" s="72">
      <c r="A1039" s="75" t="n">
        <v>46107</v>
      </c>
      <c r="B1039" s="76" t="n">
        <v>20092</v>
      </c>
      <c r="C1039" s="69">
        <f>IF(B1039="","",IFERROR(INDEX(Client_List!$B:$B,MATCH(B1039,Client_List!$A:$A,0)),"⚠ NOT FOUND"))</f>
        <v/>
      </c>
      <c r="D1039" s="43" t="n">
        <v>915</v>
      </c>
      <c r="E1039" s="32">
        <f>IF(B1039="","",IFERROR(INDEX(Client_List!$C:$C,MATCH(VALUE(B1039),Client_List!$A:$A,0)),""))</f>
        <v/>
      </c>
      <c r="F1039" s="53">
        <f>IF(B1039="","",IFERROR(INDEX(Client_List!$D:$D,MATCH(VALUE(B1039),Client_List!$A:$A,0)),""))</f>
        <v/>
      </c>
      <c r="G1039" s="53">
        <f>IF(B1039="","",IFERROR(INDEX(Client_List!$K:$K,MATCH(VALUE(B1039),Client_List!$A:$A,0)),""))</f>
        <v/>
      </c>
      <c r="H1039" s="32">
        <f>IF(B1039="","",IFERROR(INDEX(Client_List!$J:$J,MATCH(VALUE(B1039),Client_List!$A:$A,0)),""))</f>
        <v/>
      </c>
      <c r="I1039" s="70">
        <f>IF(B1039="","",IFERROR(A1039-LOOKUP(2,1/($B$4:$B1038=B1039),$A$4:$A1038),""))</f>
        <v/>
      </c>
      <c r="J1039" s="32">
        <f>IF(B1039="","",IFERROR(D1039/I1039,""))</f>
        <v/>
      </c>
      <c r="K1039" s="71">
        <f>IF(B1039="","",IFERROR(AVERAGEIFS($J$4:$J1039,$B$4:$B1039,B1039,$J$4:$J1039,"&gt;"&amp;0),""))</f>
        <v/>
      </c>
      <c r="L1039" s="7" t="n"/>
    </row>
    <row r="1040" ht="14" customHeight="1" s="72">
      <c r="A1040" s="75" t="n">
        <v>46107</v>
      </c>
      <c r="B1040" s="76" t="n">
        <v>21001</v>
      </c>
      <c r="C1040" s="69">
        <f>IF(B1040="","",IFERROR(INDEX(Client_List!$B:$B,MATCH(B1040,Client_List!$A:$A,0)),"⚠ NOT FOUND"))</f>
        <v/>
      </c>
      <c r="D1040" s="43" t="n">
        <v>422</v>
      </c>
      <c r="E1040" s="32">
        <f>IF(B1040="","",IFERROR(INDEX(Client_List!$C:$C,MATCH(VALUE(B1040),Client_List!$A:$A,0)),""))</f>
        <v/>
      </c>
      <c r="F1040" s="53">
        <f>IF(B1040="","",IFERROR(INDEX(Client_List!$D:$D,MATCH(VALUE(B1040),Client_List!$A:$A,0)),""))</f>
        <v/>
      </c>
      <c r="G1040" s="53">
        <f>IF(B1040="","",IFERROR(INDEX(Client_List!$K:$K,MATCH(VALUE(B1040),Client_List!$A:$A,0)),""))</f>
        <v/>
      </c>
      <c r="H1040" s="32">
        <f>IF(B1040="","",IFERROR(INDEX(Client_List!$J:$J,MATCH(VALUE(B1040),Client_List!$A:$A,0)),""))</f>
        <v/>
      </c>
      <c r="I1040" s="70">
        <f>IF(B1040="","",IFERROR(A1040-LOOKUP(2,1/($B$4:$B1039=B1040),$A$4:$A1039),""))</f>
        <v/>
      </c>
      <c r="J1040" s="32">
        <f>IF(B1040="","",IFERROR(D1040/I1040,""))</f>
        <v/>
      </c>
      <c r="K1040" s="71">
        <f>IF(B1040="","",IFERROR(AVERAGEIFS($J$4:$J1040,$B$4:$B1040,B1040,$J$4:$J1040,"&gt;"&amp;0),""))</f>
        <v/>
      </c>
      <c r="L1040" s="4" t="n"/>
    </row>
    <row r="1041" ht="14" customHeight="1" s="72">
      <c r="A1041" s="75" t="n">
        <v>46108</v>
      </c>
      <c r="B1041" s="76" t="n">
        <v>1013</v>
      </c>
      <c r="C1041" s="69">
        <f>IF(B1041="","",IFERROR(INDEX(Client_List!$B:$B,MATCH(B1041,Client_List!$A:$A,0)),"⚠ NOT FOUND"))</f>
        <v/>
      </c>
      <c r="D1041" s="43" t="n">
        <v>994</v>
      </c>
      <c r="E1041" s="32">
        <f>IF(B1041="","",IFERROR(INDEX(Client_List!$C:$C,MATCH(VALUE(B1041),Client_List!$A:$A,0)),""))</f>
        <v/>
      </c>
      <c r="F1041" s="53">
        <f>IF(B1041="","",IFERROR(INDEX(Client_List!$D:$D,MATCH(VALUE(B1041),Client_List!$A:$A,0)),""))</f>
        <v/>
      </c>
      <c r="G1041" s="53">
        <f>IF(B1041="","",IFERROR(INDEX(Client_List!$K:$K,MATCH(VALUE(B1041),Client_List!$A:$A,0)),""))</f>
        <v/>
      </c>
      <c r="H1041" s="32">
        <f>IF(B1041="","",IFERROR(INDEX(Client_List!$J:$J,MATCH(VALUE(B1041),Client_List!$A:$A,0)),""))</f>
        <v/>
      </c>
      <c r="I1041" s="70">
        <f>IF(B1041="","",IFERROR(A1041-LOOKUP(2,1/($B$4:$B1040=B1041),$A$4:$A1040),""))</f>
        <v/>
      </c>
      <c r="J1041" s="32">
        <f>IF(B1041="","",IFERROR(D1041/I1041,""))</f>
        <v/>
      </c>
      <c r="K1041" s="71">
        <f>IF(B1041="","",IFERROR(AVERAGEIFS($J$4:$J1041,$B$4:$B1041,B1041,$J$4:$J1041,"&gt;"&amp;0),""))</f>
        <v/>
      </c>
      <c r="L1041" s="7" t="n"/>
    </row>
    <row r="1042" ht="14" customHeight="1" s="72">
      <c r="A1042" s="75" t="n">
        <v>46108</v>
      </c>
      <c r="B1042" s="76" t="n">
        <v>2073</v>
      </c>
      <c r="C1042" s="69">
        <f>IF(B1042="","",IFERROR(INDEX(Client_List!$B:$B,MATCH(B1042,Client_List!$A:$A,0)),"⚠ NOT FOUND"))</f>
        <v/>
      </c>
      <c r="D1042" s="43" t="n">
        <v>294</v>
      </c>
      <c r="E1042" s="32">
        <f>IF(B1042="","",IFERROR(INDEX(Client_List!$C:$C,MATCH(VALUE(B1042),Client_List!$A:$A,0)),""))</f>
        <v/>
      </c>
      <c r="F1042" s="53">
        <f>IF(B1042="","",IFERROR(INDEX(Client_List!$D:$D,MATCH(VALUE(B1042),Client_List!$A:$A,0)),""))</f>
        <v/>
      </c>
      <c r="G1042" s="53">
        <f>IF(B1042="","",IFERROR(INDEX(Client_List!$K:$K,MATCH(VALUE(B1042),Client_List!$A:$A,0)),""))</f>
        <v/>
      </c>
      <c r="H1042" s="32">
        <f>IF(B1042="","",IFERROR(INDEX(Client_List!$J:$J,MATCH(VALUE(B1042),Client_List!$A:$A,0)),""))</f>
        <v/>
      </c>
      <c r="I1042" s="70">
        <f>IF(B1042="","",IFERROR(A1042-LOOKUP(2,1/($B$4:$B1041=B1042),$A$4:$A1041),""))</f>
        <v/>
      </c>
      <c r="J1042" s="32">
        <f>IF(B1042="","",IFERROR(D1042/I1042,""))</f>
        <v/>
      </c>
      <c r="K1042" s="71">
        <f>IF(B1042="","",IFERROR(AVERAGEIFS($J$4:$J1042,$B$4:$B1042,B1042,$J$4:$J1042,"&gt;"&amp;0),""))</f>
        <v/>
      </c>
      <c r="L1042" s="4" t="n"/>
    </row>
    <row r="1043" ht="14" customHeight="1" s="72">
      <c r="A1043" s="75" t="n">
        <v>46108</v>
      </c>
      <c r="B1043" s="76" t="n">
        <v>4010</v>
      </c>
      <c r="C1043" s="69">
        <f>IF(B1043="","",IFERROR(INDEX(Client_List!$B:$B,MATCH(B1043,Client_List!$A:$A,0)),"⚠ NOT FOUND"))</f>
        <v/>
      </c>
      <c r="D1043" s="43" t="n">
        <v>494</v>
      </c>
      <c r="E1043" s="32">
        <f>IF(B1043="","",IFERROR(INDEX(Client_List!$C:$C,MATCH(VALUE(B1043),Client_List!$A:$A,0)),""))</f>
        <v/>
      </c>
      <c r="F1043" s="53">
        <f>IF(B1043="","",IFERROR(INDEX(Client_List!$D:$D,MATCH(VALUE(B1043),Client_List!$A:$A,0)),""))</f>
        <v/>
      </c>
      <c r="G1043" s="53">
        <f>IF(B1043="","",IFERROR(INDEX(Client_List!$K:$K,MATCH(VALUE(B1043),Client_List!$A:$A,0)),""))</f>
        <v/>
      </c>
      <c r="H1043" s="32">
        <f>IF(B1043="","",IFERROR(INDEX(Client_List!$J:$J,MATCH(VALUE(B1043),Client_List!$A:$A,0)),""))</f>
        <v/>
      </c>
      <c r="I1043" s="70">
        <f>IF(B1043="","",IFERROR(A1043-LOOKUP(2,1/($B$4:$B1042=B1043),$A$4:$A1042),""))</f>
        <v/>
      </c>
      <c r="J1043" s="32">
        <f>IF(B1043="","",IFERROR(D1043/I1043,""))</f>
        <v/>
      </c>
      <c r="K1043" s="71">
        <f>IF(B1043="","",IFERROR(AVERAGEIFS($J$4:$J1043,$B$4:$B1043,B1043,$J$4:$J1043,"&gt;"&amp;0),""))</f>
        <v/>
      </c>
      <c r="L1043" s="7" t="n"/>
    </row>
    <row r="1044" ht="14" customHeight="1" s="72">
      <c r="A1044" s="75" t="n">
        <v>46108</v>
      </c>
      <c r="B1044" s="76" t="n">
        <v>4014</v>
      </c>
      <c r="C1044" s="69">
        <f>IF(B1044="","",IFERROR(INDEX(Client_List!$B:$B,MATCH(B1044,Client_List!$A:$A,0)),"⚠ NOT FOUND"))</f>
        <v/>
      </c>
      <c r="D1044" s="43" t="n">
        <v>539</v>
      </c>
      <c r="E1044" s="32">
        <f>IF(B1044="","",IFERROR(INDEX(Client_List!$C:$C,MATCH(VALUE(B1044),Client_List!$A:$A,0)),""))</f>
        <v/>
      </c>
      <c r="F1044" s="53">
        <f>IF(B1044="","",IFERROR(INDEX(Client_List!$D:$D,MATCH(VALUE(B1044),Client_List!$A:$A,0)),""))</f>
        <v/>
      </c>
      <c r="G1044" s="53">
        <f>IF(B1044="","",IFERROR(INDEX(Client_List!$K:$K,MATCH(VALUE(B1044),Client_List!$A:$A,0)),""))</f>
        <v/>
      </c>
      <c r="H1044" s="32">
        <f>IF(B1044="","",IFERROR(INDEX(Client_List!$J:$J,MATCH(VALUE(B1044),Client_List!$A:$A,0)),""))</f>
        <v/>
      </c>
      <c r="I1044" s="70">
        <f>IF(B1044="","",IFERROR(A1044-LOOKUP(2,1/($B$4:$B1043=B1044),$A$4:$A1043),""))</f>
        <v/>
      </c>
      <c r="J1044" s="32">
        <f>IF(B1044="","",IFERROR(D1044/I1044,""))</f>
        <v/>
      </c>
      <c r="K1044" s="71">
        <f>IF(B1044="","",IFERROR(AVERAGEIFS($J$4:$J1044,$B$4:$B1044,B1044,$J$4:$J1044,"&gt;"&amp;0),""))</f>
        <v/>
      </c>
      <c r="L1044" s="4" t="n"/>
    </row>
    <row r="1045" ht="14" customHeight="1" s="72">
      <c r="A1045" s="75" t="n">
        <v>46108</v>
      </c>
      <c r="B1045" s="76" t="n">
        <v>4029</v>
      </c>
      <c r="C1045" s="69">
        <f>IF(B1045="","",IFERROR(INDEX(Client_List!$B:$B,MATCH(B1045,Client_List!$A:$A,0)),"⚠ NOT FOUND"))</f>
        <v/>
      </c>
      <c r="D1045" s="43" t="n">
        <v>2077</v>
      </c>
      <c r="E1045" s="32">
        <f>IF(B1045="","",IFERROR(INDEX(Client_List!$C:$C,MATCH(VALUE(B1045),Client_List!$A:$A,0)),""))</f>
        <v/>
      </c>
      <c r="F1045" s="53">
        <f>IF(B1045="","",IFERROR(INDEX(Client_List!$D:$D,MATCH(VALUE(B1045),Client_List!$A:$A,0)),""))</f>
        <v/>
      </c>
      <c r="G1045" s="53">
        <f>IF(B1045="","",IFERROR(INDEX(Client_List!$K:$K,MATCH(VALUE(B1045),Client_List!$A:$A,0)),""))</f>
        <v/>
      </c>
      <c r="H1045" s="32">
        <f>IF(B1045="","",IFERROR(INDEX(Client_List!$J:$J,MATCH(VALUE(B1045),Client_List!$A:$A,0)),""))</f>
        <v/>
      </c>
      <c r="I1045" s="70">
        <f>IF(B1045="","",IFERROR(A1045-LOOKUP(2,1/($B$4:$B1044=B1045),$A$4:$A1044),""))</f>
        <v/>
      </c>
      <c r="J1045" s="32">
        <f>IF(B1045="","",IFERROR(D1045/I1045,""))</f>
        <v/>
      </c>
      <c r="K1045" s="71">
        <f>IF(B1045="","",IFERROR(AVERAGEIFS($J$4:$J1045,$B$4:$B1045,B1045,$J$4:$J1045,"&gt;"&amp;0),""))</f>
        <v/>
      </c>
      <c r="L1045" s="7" t="n"/>
    </row>
    <row r="1046" ht="14" customHeight="1" s="72">
      <c r="A1046" s="75" t="n">
        <v>46108</v>
      </c>
      <c r="B1046" s="76" t="n">
        <v>6077</v>
      </c>
      <c r="C1046" s="69">
        <f>IF(B1046="","",IFERROR(INDEX(Client_List!$B:$B,MATCH(B1046,Client_List!$A:$A,0)),"⚠ NOT FOUND"))</f>
        <v/>
      </c>
      <c r="D1046" s="43" t="n">
        <v>1888</v>
      </c>
      <c r="E1046" s="32">
        <f>IF(B1046="","",IFERROR(INDEX(Client_List!$C:$C,MATCH(VALUE(B1046),Client_List!$A:$A,0)),""))</f>
        <v/>
      </c>
      <c r="F1046" s="53">
        <f>IF(B1046="","",IFERROR(INDEX(Client_List!$D:$D,MATCH(VALUE(B1046),Client_List!$A:$A,0)),""))</f>
        <v/>
      </c>
      <c r="G1046" s="53">
        <f>IF(B1046="","",IFERROR(INDEX(Client_List!$K:$K,MATCH(VALUE(B1046),Client_List!$A:$A,0)),""))</f>
        <v/>
      </c>
      <c r="H1046" s="32">
        <f>IF(B1046="","",IFERROR(INDEX(Client_List!$J:$J,MATCH(VALUE(B1046),Client_List!$A:$A,0)),""))</f>
        <v/>
      </c>
      <c r="I1046" s="70">
        <f>IF(B1046="","",IFERROR(A1046-LOOKUP(2,1/($B$4:$B1045=B1046),$A$4:$A1045),""))</f>
        <v/>
      </c>
      <c r="J1046" s="32">
        <f>IF(B1046="","",IFERROR(D1046/I1046,""))</f>
        <v/>
      </c>
      <c r="K1046" s="71">
        <f>IF(B1046="","",IFERROR(AVERAGEIFS($J$4:$J1046,$B$4:$B1046,B1046,$J$4:$J1046,"&gt;"&amp;0),""))</f>
        <v/>
      </c>
      <c r="L1046" s="4" t="n"/>
    </row>
    <row r="1047" ht="14" customHeight="1" s="72">
      <c r="A1047" s="75" t="n">
        <v>46108</v>
      </c>
      <c r="B1047" s="76" t="n">
        <v>7053</v>
      </c>
      <c r="C1047" s="69">
        <f>IF(B1047="","",IFERROR(INDEX(Client_List!$B:$B,MATCH(B1047,Client_List!$A:$A,0)),"⚠ NOT FOUND"))</f>
        <v/>
      </c>
      <c r="D1047" s="43" t="n">
        <v>317</v>
      </c>
      <c r="E1047" s="32">
        <f>IF(B1047="","",IFERROR(INDEX(Client_List!$C:$C,MATCH(VALUE(B1047),Client_List!$A:$A,0)),""))</f>
        <v/>
      </c>
      <c r="F1047" s="53">
        <f>IF(B1047="","",IFERROR(INDEX(Client_List!$D:$D,MATCH(VALUE(B1047),Client_List!$A:$A,0)),""))</f>
        <v/>
      </c>
      <c r="G1047" s="53">
        <f>IF(B1047="","",IFERROR(INDEX(Client_List!$K:$K,MATCH(VALUE(B1047),Client_List!$A:$A,0)),""))</f>
        <v/>
      </c>
      <c r="H1047" s="32">
        <f>IF(B1047="","",IFERROR(INDEX(Client_List!$J:$J,MATCH(VALUE(B1047),Client_List!$A:$A,0)),""))</f>
        <v/>
      </c>
      <c r="I1047" s="70">
        <f>IF(B1047="","",IFERROR(A1047-LOOKUP(2,1/($B$4:$B1046=B1047),$A$4:$A1046),""))</f>
        <v/>
      </c>
      <c r="J1047" s="32">
        <f>IF(B1047="","",IFERROR(D1047/I1047,""))</f>
        <v/>
      </c>
      <c r="K1047" s="71">
        <f>IF(B1047="","",IFERROR(AVERAGEIFS($J$4:$J1047,$B$4:$B1047,B1047,$J$4:$J1047,"&gt;"&amp;0),""))</f>
        <v/>
      </c>
      <c r="L1047" s="7" t="n"/>
    </row>
    <row r="1048" ht="14" customHeight="1" s="72">
      <c r="A1048" s="75" t="n">
        <v>46108</v>
      </c>
      <c r="B1048" s="76" t="n">
        <v>14009</v>
      </c>
      <c r="C1048" s="69">
        <f>IF(B1048="","",IFERROR(INDEX(Client_List!$B:$B,MATCH(B1048,Client_List!$A:$A,0)),"⚠ NOT FOUND"))</f>
        <v/>
      </c>
      <c r="D1048" s="43" t="n">
        <v>780</v>
      </c>
      <c r="E1048" s="32">
        <f>IF(B1048="","",IFERROR(INDEX(Client_List!$C:$C,MATCH(VALUE(B1048),Client_List!$A:$A,0)),""))</f>
        <v/>
      </c>
      <c r="F1048" s="53">
        <f>IF(B1048="","",IFERROR(INDEX(Client_List!$D:$D,MATCH(VALUE(B1048),Client_List!$A:$A,0)),""))</f>
        <v/>
      </c>
      <c r="G1048" s="53">
        <f>IF(B1048="","",IFERROR(INDEX(Client_List!$K:$K,MATCH(VALUE(B1048),Client_List!$A:$A,0)),""))</f>
        <v/>
      </c>
      <c r="H1048" s="32">
        <f>IF(B1048="","",IFERROR(INDEX(Client_List!$J:$J,MATCH(VALUE(B1048),Client_List!$A:$A,0)),""))</f>
        <v/>
      </c>
      <c r="I1048" s="70">
        <f>IF(B1048="","",IFERROR(A1048-LOOKUP(2,1/($B$4:$B1047=B1048),$A$4:$A1047),""))</f>
        <v/>
      </c>
      <c r="J1048" s="32">
        <f>IF(B1048="","",IFERROR(D1048/I1048,""))</f>
        <v/>
      </c>
      <c r="K1048" s="71">
        <f>IF(B1048="","",IFERROR(AVERAGEIFS($J$4:$J1048,$B$4:$B1048,B1048,$J$4:$J1048,"&gt;"&amp;0),""))</f>
        <v/>
      </c>
      <c r="L1048" s="4" t="n"/>
    </row>
    <row r="1049" ht="14" customHeight="1" s="72">
      <c r="A1049" s="75" t="n">
        <v>46108</v>
      </c>
      <c r="B1049" s="76" t="n">
        <v>15005</v>
      </c>
      <c r="C1049" s="69">
        <f>IF(B1049="","",IFERROR(INDEX(Client_List!$B:$B,MATCH(B1049,Client_List!$A:$A,0)),"⚠ NOT FOUND"))</f>
        <v/>
      </c>
      <c r="D1049" s="43" t="n">
        <v>637</v>
      </c>
      <c r="E1049" s="32">
        <f>IF(B1049="","",IFERROR(INDEX(Client_List!$C:$C,MATCH(VALUE(B1049),Client_List!$A:$A,0)),""))</f>
        <v/>
      </c>
      <c r="F1049" s="53">
        <f>IF(B1049="","",IFERROR(INDEX(Client_List!$D:$D,MATCH(VALUE(B1049),Client_List!$A:$A,0)),""))</f>
        <v/>
      </c>
      <c r="G1049" s="53">
        <f>IF(B1049="","",IFERROR(INDEX(Client_List!$K:$K,MATCH(VALUE(B1049),Client_List!$A:$A,0)),""))</f>
        <v/>
      </c>
      <c r="H1049" s="32">
        <f>IF(B1049="","",IFERROR(INDEX(Client_List!$J:$J,MATCH(VALUE(B1049),Client_List!$A:$A,0)),""))</f>
        <v/>
      </c>
      <c r="I1049" s="70">
        <f>IF(B1049="","",IFERROR(A1049-LOOKUP(2,1/($B$4:$B1048=B1049),$A$4:$A1048),""))</f>
        <v/>
      </c>
      <c r="J1049" s="32">
        <f>IF(B1049="","",IFERROR(D1049/I1049,""))</f>
        <v/>
      </c>
      <c r="K1049" s="71">
        <f>IF(B1049="","",IFERROR(AVERAGEIFS($J$4:$J1049,$B$4:$B1049,B1049,$J$4:$J1049,"&gt;"&amp;0),""))</f>
        <v/>
      </c>
      <c r="L1049" s="7" t="n"/>
    </row>
    <row r="1050" ht="14" customHeight="1" s="72">
      <c r="A1050" s="75" t="n">
        <v>46108</v>
      </c>
      <c r="B1050" s="76" t="n">
        <v>15025</v>
      </c>
      <c r="C1050" s="69">
        <f>IF(B1050="","",IFERROR(INDEX(Client_List!$B:$B,MATCH(B1050,Client_List!$A:$A,0)),"⚠ NOT FOUND"))</f>
        <v/>
      </c>
      <c r="D1050" s="43" t="n">
        <v>279</v>
      </c>
      <c r="E1050" s="32">
        <f>IF(B1050="","",IFERROR(INDEX(Client_List!$C:$C,MATCH(VALUE(B1050),Client_List!$A:$A,0)),""))</f>
        <v/>
      </c>
      <c r="F1050" s="53">
        <f>IF(B1050="","",IFERROR(INDEX(Client_List!$D:$D,MATCH(VALUE(B1050),Client_List!$A:$A,0)),""))</f>
        <v/>
      </c>
      <c r="G1050" s="53">
        <f>IF(B1050="","",IFERROR(INDEX(Client_List!$K:$K,MATCH(VALUE(B1050),Client_List!$A:$A,0)),""))</f>
        <v/>
      </c>
      <c r="H1050" s="32">
        <f>IF(B1050="","",IFERROR(INDEX(Client_List!$J:$J,MATCH(VALUE(B1050),Client_List!$A:$A,0)),""))</f>
        <v/>
      </c>
      <c r="I1050" s="70">
        <f>IF(B1050="","",IFERROR(A1050-LOOKUP(2,1/($B$4:$B1049=B1050),$A$4:$A1049),""))</f>
        <v/>
      </c>
      <c r="J1050" s="32">
        <f>IF(B1050="","",IFERROR(D1050/I1050,""))</f>
        <v/>
      </c>
      <c r="K1050" s="71">
        <f>IF(B1050="","",IFERROR(AVERAGEIFS($J$4:$J1050,$B$4:$B1050,B1050,$J$4:$J1050,"&gt;"&amp;0),""))</f>
        <v/>
      </c>
      <c r="L1050" s="4" t="n"/>
    </row>
    <row r="1051" ht="14" customHeight="1" s="72">
      <c r="A1051" s="75" t="n">
        <v>46108</v>
      </c>
      <c r="B1051" s="76" t="n">
        <v>15035</v>
      </c>
      <c r="C1051" s="69">
        <f>IF(B1051="","",IFERROR(INDEX(Client_List!$B:$B,MATCH(B1051,Client_List!$A:$A,0)),"⚠ NOT FOUND"))</f>
        <v/>
      </c>
      <c r="D1051" s="43" t="n">
        <v>1017</v>
      </c>
      <c r="E1051" s="32">
        <f>IF(B1051="","",IFERROR(INDEX(Client_List!$C:$C,MATCH(VALUE(B1051),Client_List!$A:$A,0)),""))</f>
        <v/>
      </c>
      <c r="F1051" s="53">
        <f>IF(B1051="","",IFERROR(INDEX(Client_List!$D:$D,MATCH(VALUE(B1051),Client_List!$A:$A,0)),""))</f>
        <v/>
      </c>
      <c r="G1051" s="53">
        <f>IF(B1051="","",IFERROR(INDEX(Client_List!$K:$K,MATCH(VALUE(B1051),Client_List!$A:$A,0)),""))</f>
        <v/>
      </c>
      <c r="H1051" s="32">
        <f>IF(B1051="","",IFERROR(INDEX(Client_List!$J:$J,MATCH(VALUE(B1051),Client_List!$A:$A,0)),""))</f>
        <v/>
      </c>
      <c r="I1051" s="70">
        <f>IF(B1051="","",IFERROR(A1051-LOOKUP(2,1/($B$4:$B1050=B1051),$A$4:$A1050),""))</f>
        <v/>
      </c>
      <c r="J1051" s="32">
        <f>IF(B1051="","",IFERROR(D1051/I1051,""))</f>
        <v/>
      </c>
      <c r="K1051" s="71">
        <f>IF(B1051="","",IFERROR(AVERAGEIFS($J$4:$J1051,$B$4:$B1051,B1051,$J$4:$J1051,"&gt;"&amp;0),""))</f>
        <v/>
      </c>
      <c r="L1051" s="7" t="n"/>
    </row>
    <row r="1052" ht="14" customHeight="1" s="72">
      <c r="A1052" s="75" t="n">
        <v>46108</v>
      </c>
      <c r="B1052" s="76" t="n">
        <v>16008</v>
      </c>
      <c r="C1052" s="69">
        <f>IF(B1052="","",IFERROR(INDEX(Client_List!$B:$B,MATCH(B1052,Client_List!$A:$A,0)),"⚠ NOT FOUND"))</f>
        <v/>
      </c>
      <c r="D1052" s="43" t="n">
        <v>815</v>
      </c>
      <c r="E1052" s="32">
        <f>IF(B1052="","",IFERROR(INDEX(Client_List!$C:$C,MATCH(VALUE(B1052),Client_List!$A:$A,0)),""))</f>
        <v/>
      </c>
      <c r="F1052" s="53">
        <f>IF(B1052="","",IFERROR(INDEX(Client_List!$D:$D,MATCH(VALUE(B1052),Client_List!$A:$A,0)),""))</f>
        <v/>
      </c>
      <c r="G1052" s="53">
        <f>IF(B1052="","",IFERROR(INDEX(Client_List!$K:$K,MATCH(VALUE(B1052),Client_List!$A:$A,0)),""))</f>
        <v/>
      </c>
      <c r="H1052" s="32">
        <f>IF(B1052="","",IFERROR(INDEX(Client_List!$J:$J,MATCH(VALUE(B1052),Client_List!$A:$A,0)),""))</f>
        <v/>
      </c>
      <c r="I1052" s="70">
        <f>IF(B1052="","",IFERROR(A1052-LOOKUP(2,1/($B$4:$B1051=B1052),$A$4:$A1051),""))</f>
        <v/>
      </c>
      <c r="J1052" s="32">
        <f>IF(B1052="","",IFERROR(D1052/I1052,""))</f>
        <v/>
      </c>
      <c r="K1052" s="71">
        <f>IF(B1052="","",IFERROR(AVERAGEIFS($J$4:$J1052,$B$4:$B1052,B1052,$J$4:$J1052,"&gt;"&amp;0),""))</f>
        <v/>
      </c>
      <c r="L1052" s="4" t="n"/>
    </row>
    <row r="1053" ht="14" customHeight="1" s="72">
      <c r="A1053" s="75" t="n">
        <v>46108</v>
      </c>
      <c r="B1053" s="76" t="n">
        <v>16051</v>
      </c>
      <c r="C1053" s="69">
        <f>IF(B1053="","",IFERROR(INDEX(Client_List!$B:$B,MATCH(B1053,Client_List!$A:$A,0)),"⚠ NOT FOUND"))</f>
        <v/>
      </c>
      <c r="D1053" s="43" t="n">
        <v>1509</v>
      </c>
      <c r="E1053" s="32">
        <f>IF(B1053="","",IFERROR(INDEX(Client_List!$C:$C,MATCH(VALUE(B1053),Client_List!$A:$A,0)),""))</f>
        <v/>
      </c>
      <c r="F1053" s="53">
        <f>IF(B1053="","",IFERROR(INDEX(Client_List!$D:$D,MATCH(VALUE(B1053),Client_List!$A:$A,0)),""))</f>
        <v/>
      </c>
      <c r="G1053" s="53">
        <f>IF(B1053="","",IFERROR(INDEX(Client_List!$K:$K,MATCH(VALUE(B1053),Client_List!$A:$A,0)),""))</f>
        <v/>
      </c>
      <c r="H1053" s="32">
        <f>IF(B1053="","",IFERROR(INDEX(Client_List!$J:$J,MATCH(VALUE(B1053),Client_List!$A:$A,0)),""))</f>
        <v/>
      </c>
      <c r="I1053" s="70">
        <f>IF(B1053="","",IFERROR(A1053-LOOKUP(2,1/($B$4:$B1052=B1053),$A$4:$A1052),""))</f>
        <v/>
      </c>
      <c r="J1053" s="32">
        <f>IF(B1053="","",IFERROR(D1053/I1053,""))</f>
        <v/>
      </c>
      <c r="K1053" s="71">
        <f>IF(B1053="","",IFERROR(AVERAGEIFS($J$4:$J1053,$B$4:$B1053,B1053,$J$4:$J1053,"&gt;"&amp;0),""))</f>
        <v/>
      </c>
      <c r="L1053" s="7" t="n"/>
    </row>
    <row r="1054" ht="14" customHeight="1" s="72">
      <c r="A1054" s="75" t="n">
        <v>46108</v>
      </c>
      <c r="B1054" s="76" t="n">
        <v>18031</v>
      </c>
      <c r="C1054" s="69">
        <f>IF(B1054="","",IFERROR(INDEX(Client_List!$B:$B,MATCH(B1054,Client_List!$A:$A,0)),"⚠ NOT FOUND"))</f>
        <v/>
      </c>
      <c r="D1054" s="43" t="n">
        <v>492</v>
      </c>
      <c r="E1054" s="32">
        <f>IF(B1054="","",IFERROR(INDEX(Client_List!$C:$C,MATCH(VALUE(B1054),Client_List!$A:$A,0)),""))</f>
        <v/>
      </c>
      <c r="F1054" s="53">
        <f>IF(B1054="","",IFERROR(INDEX(Client_List!$D:$D,MATCH(VALUE(B1054),Client_List!$A:$A,0)),""))</f>
        <v/>
      </c>
      <c r="G1054" s="53">
        <f>IF(B1054="","",IFERROR(INDEX(Client_List!$K:$K,MATCH(VALUE(B1054),Client_List!$A:$A,0)),""))</f>
        <v/>
      </c>
      <c r="H1054" s="32">
        <f>IF(B1054="","",IFERROR(INDEX(Client_List!$J:$J,MATCH(VALUE(B1054),Client_List!$A:$A,0)),""))</f>
        <v/>
      </c>
      <c r="I1054" s="70">
        <f>IF(B1054="","",IFERROR(A1054-LOOKUP(2,1/($B$4:$B1053=B1054),$A$4:$A1053),""))</f>
        <v/>
      </c>
      <c r="J1054" s="32">
        <f>IF(B1054="","",IFERROR(D1054/I1054,""))</f>
        <v/>
      </c>
      <c r="K1054" s="71">
        <f>IF(B1054="","",IFERROR(AVERAGEIFS($J$4:$J1054,$B$4:$B1054,B1054,$J$4:$J1054,"&gt;"&amp;0),""))</f>
        <v/>
      </c>
      <c r="L1054" s="4" t="n"/>
    </row>
    <row r="1055" ht="14" customHeight="1" s="72">
      <c r="A1055" s="75" t="n">
        <v>46108</v>
      </c>
      <c r="B1055" s="76" t="n">
        <v>19031</v>
      </c>
      <c r="C1055" s="69">
        <f>IF(B1055="","",IFERROR(INDEX(Client_List!$B:$B,MATCH(B1055,Client_List!$A:$A,0)),"⚠ NOT FOUND"))</f>
        <v/>
      </c>
      <c r="D1055" s="43" t="n">
        <v>935</v>
      </c>
      <c r="E1055" s="32">
        <f>IF(B1055="","",IFERROR(INDEX(Client_List!$C:$C,MATCH(VALUE(B1055),Client_List!$A:$A,0)),""))</f>
        <v/>
      </c>
      <c r="F1055" s="53">
        <f>IF(B1055="","",IFERROR(INDEX(Client_List!$D:$D,MATCH(VALUE(B1055),Client_List!$A:$A,0)),""))</f>
        <v/>
      </c>
      <c r="G1055" s="53">
        <f>IF(B1055="","",IFERROR(INDEX(Client_List!$K:$K,MATCH(VALUE(B1055),Client_List!$A:$A,0)),""))</f>
        <v/>
      </c>
      <c r="H1055" s="32">
        <f>IF(B1055="","",IFERROR(INDEX(Client_List!$J:$J,MATCH(VALUE(B1055),Client_List!$A:$A,0)),""))</f>
        <v/>
      </c>
      <c r="I1055" s="70">
        <f>IF(B1055="","",IFERROR(A1055-LOOKUP(2,1/($B$4:$B1054=B1055),$A$4:$A1054),""))</f>
        <v/>
      </c>
      <c r="J1055" s="32">
        <f>IF(B1055="","",IFERROR(D1055/I1055,""))</f>
        <v/>
      </c>
      <c r="K1055" s="71">
        <f>IF(B1055="","",IFERROR(AVERAGEIFS($J$4:$J1055,$B$4:$B1055,B1055,$J$4:$J1055,"&gt;"&amp;0),""))</f>
        <v/>
      </c>
      <c r="L1055" s="7" t="n"/>
    </row>
    <row r="1056" ht="14" customHeight="1" s="72">
      <c r="A1056" s="75" t="n">
        <v>46108</v>
      </c>
      <c r="B1056" s="76" t="n">
        <v>19119</v>
      </c>
      <c r="C1056" s="69">
        <f>IF(B1056="","",IFERROR(INDEX(Client_List!$B:$B,MATCH(B1056,Client_List!$A:$A,0)),"⚠ NOT FOUND"))</f>
        <v/>
      </c>
      <c r="D1056" s="43" t="n">
        <v>935</v>
      </c>
      <c r="E1056" s="32">
        <f>IF(B1056="","",IFERROR(INDEX(Client_List!$C:$C,MATCH(VALUE(B1056),Client_List!$A:$A,0)),""))</f>
        <v/>
      </c>
      <c r="F1056" s="53">
        <f>IF(B1056="","",IFERROR(INDEX(Client_List!$D:$D,MATCH(VALUE(B1056),Client_List!$A:$A,0)),""))</f>
        <v/>
      </c>
      <c r="G1056" s="53">
        <f>IF(B1056="","",IFERROR(INDEX(Client_List!$K:$K,MATCH(VALUE(B1056),Client_List!$A:$A,0)),""))</f>
        <v/>
      </c>
      <c r="H1056" s="32">
        <f>IF(B1056="","",IFERROR(INDEX(Client_List!$J:$J,MATCH(VALUE(B1056),Client_List!$A:$A,0)),""))</f>
        <v/>
      </c>
      <c r="I1056" s="70">
        <f>IF(B1056="","",IFERROR(A1056-LOOKUP(2,1/($B$4:$B1055=B1056),$A$4:$A1055),""))</f>
        <v/>
      </c>
      <c r="J1056" s="32">
        <f>IF(B1056="","",IFERROR(D1056/I1056,""))</f>
        <v/>
      </c>
      <c r="K1056" s="71">
        <f>IF(B1056="","",IFERROR(AVERAGEIFS($J$4:$J1056,$B$4:$B1056,B1056,$J$4:$J1056,"&gt;"&amp;0),""))</f>
        <v/>
      </c>
      <c r="L1056" s="4" t="n"/>
    </row>
    <row r="1057" ht="14" customHeight="1" s="72">
      <c r="A1057" s="75" t="n">
        <v>46108</v>
      </c>
      <c r="B1057" s="76" t="n">
        <v>20081</v>
      </c>
      <c r="C1057" s="69">
        <f>IF(B1057="","",IFERROR(INDEX(Client_List!$B:$B,MATCH(B1057,Client_List!$A:$A,0)),"⚠ NOT FOUND"))</f>
        <v/>
      </c>
      <c r="D1057" s="43" t="n">
        <v>911</v>
      </c>
      <c r="E1057" s="32">
        <f>IF(B1057="","",IFERROR(INDEX(Client_List!$C:$C,MATCH(VALUE(B1057),Client_List!$A:$A,0)),""))</f>
        <v/>
      </c>
      <c r="F1057" s="53">
        <f>IF(B1057="","",IFERROR(INDEX(Client_List!$D:$D,MATCH(VALUE(B1057),Client_List!$A:$A,0)),""))</f>
        <v/>
      </c>
      <c r="G1057" s="53">
        <f>IF(B1057="","",IFERROR(INDEX(Client_List!$K:$K,MATCH(VALUE(B1057),Client_List!$A:$A,0)),""))</f>
        <v/>
      </c>
      <c r="H1057" s="32">
        <f>IF(B1057="","",IFERROR(INDEX(Client_List!$J:$J,MATCH(VALUE(B1057),Client_List!$A:$A,0)),""))</f>
        <v/>
      </c>
      <c r="I1057" s="70">
        <f>IF(B1057="","",IFERROR(A1057-LOOKUP(2,1/($B$4:$B1056=B1057),$A$4:$A1056),""))</f>
        <v/>
      </c>
      <c r="J1057" s="32">
        <f>IF(B1057="","",IFERROR(D1057/I1057,""))</f>
        <v/>
      </c>
      <c r="K1057" s="71">
        <f>IF(B1057="","",IFERROR(AVERAGEIFS($J$4:$J1057,$B$4:$B1057,B1057,$J$4:$J1057,"&gt;"&amp;0),""))</f>
        <v/>
      </c>
      <c r="L1057" s="7" t="n"/>
    </row>
    <row r="1058" ht="14" customHeight="1" s="72">
      <c r="A1058" s="75" t="n">
        <v>46108</v>
      </c>
      <c r="B1058" s="76" t="n">
        <v>20091</v>
      </c>
      <c r="C1058" s="69">
        <f>IF(B1058="","",IFERROR(INDEX(Client_List!$B:$B,MATCH(B1058,Client_List!$A:$A,0)),"⚠ NOT FOUND"))</f>
        <v/>
      </c>
      <c r="D1058" s="43" t="n">
        <v>745</v>
      </c>
      <c r="E1058" s="32">
        <f>IF(B1058="","",IFERROR(INDEX(Client_List!$C:$C,MATCH(VALUE(B1058),Client_List!$A:$A,0)),""))</f>
        <v/>
      </c>
      <c r="F1058" s="53">
        <f>IF(B1058="","",IFERROR(INDEX(Client_List!$D:$D,MATCH(VALUE(B1058),Client_List!$A:$A,0)),""))</f>
        <v/>
      </c>
      <c r="G1058" s="53">
        <f>IF(B1058="","",IFERROR(INDEX(Client_List!$K:$K,MATCH(VALUE(B1058),Client_List!$A:$A,0)),""))</f>
        <v/>
      </c>
      <c r="H1058" s="32">
        <f>IF(B1058="","",IFERROR(INDEX(Client_List!$J:$J,MATCH(VALUE(B1058),Client_List!$A:$A,0)),""))</f>
        <v/>
      </c>
      <c r="I1058" s="70">
        <f>IF(B1058="","",IFERROR(A1058-LOOKUP(2,1/($B$4:$B1057=B1058),$A$4:$A1057),""))</f>
        <v/>
      </c>
      <c r="J1058" s="32">
        <f>IF(B1058="","",IFERROR(D1058/I1058,""))</f>
        <v/>
      </c>
      <c r="K1058" s="71">
        <f>IF(B1058="","",IFERROR(AVERAGEIFS($J$4:$J1058,$B$4:$B1058,B1058,$J$4:$J1058,"&gt;"&amp;0),""))</f>
        <v/>
      </c>
      <c r="L1058" s="4" t="n"/>
    </row>
    <row r="1059" ht="14" customHeight="1" s="72">
      <c r="A1059" s="75" t="n">
        <v>46108</v>
      </c>
      <c r="B1059" s="76" t="n">
        <v>20094</v>
      </c>
      <c r="C1059" s="69">
        <f>IF(B1059="","",IFERROR(INDEX(Client_List!$B:$B,MATCH(B1059,Client_List!$A:$A,0)),"⚠ NOT FOUND"))</f>
        <v/>
      </c>
      <c r="D1059" s="43" t="n">
        <v>641</v>
      </c>
      <c r="E1059" s="32">
        <f>IF(B1059="","",IFERROR(INDEX(Client_List!$C:$C,MATCH(VALUE(B1059),Client_List!$A:$A,0)),""))</f>
        <v/>
      </c>
      <c r="F1059" s="53">
        <f>IF(B1059="","",IFERROR(INDEX(Client_List!$D:$D,MATCH(VALUE(B1059),Client_List!$A:$A,0)),""))</f>
        <v/>
      </c>
      <c r="G1059" s="53">
        <f>IF(B1059="","",IFERROR(INDEX(Client_List!$K:$K,MATCH(VALUE(B1059),Client_List!$A:$A,0)),""))</f>
        <v/>
      </c>
      <c r="H1059" s="32">
        <f>IF(B1059="","",IFERROR(INDEX(Client_List!$J:$J,MATCH(VALUE(B1059),Client_List!$A:$A,0)),""))</f>
        <v/>
      </c>
      <c r="I1059" s="70">
        <f>IF(B1059="","",IFERROR(A1059-LOOKUP(2,1/($B$4:$B1058=B1059),$A$4:$A1058),""))</f>
        <v/>
      </c>
      <c r="J1059" s="32">
        <f>IF(B1059="","",IFERROR(D1059/I1059,""))</f>
        <v/>
      </c>
      <c r="K1059" s="71">
        <f>IF(B1059="","",IFERROR(AVERAGEIFS($J$4:$J1059,$B$4:$B1059,B1059,$J$4:$J1059,"&gt;"&amp;0),""))</f>
        <v/>
      </c>
      <c r="L1059" s="7" t="n"/>
    </row>
    <row r="1060" ht="14" customHeight="1" s="72">
      <c r="A1060" s="75" t="n">
        <v>46108</v>
      </c>
      <c r="B1060" s="76" t="n">
        <v>20097</v>
      </c>
      <c r="C1060" s="69">
        <f>IF(B1060="","",IFERROR(INDEX(Client_List!$B:$B,MATCH(B1060,Client_List!$A:$A,0)),"⚠ NOT FOUND"))</f>
        <v/>
      </c>
      <c r="D1060" s="43" t="n">
        <v>627</v>
      </c>
      <c r="E1060" s="32">
        <f>IF(B1060="","",IFERROR(INDEX(Client_List!$C:$C,MATCH(VALUE(B1060),Client_List!$A:$A,0)),""))</f>
        <v/>
      </c>
      <c r="F1060" s="53">
        <f>IF(B1060="","",IFERROR(INDEX(Client_List!$D:$D,MATCH(VALUE(B1060),Client_List!$A:$A,0)),""))</f>
        <v/>
      </c>
      <c r="G1060" s="53">
        <f>IF(B1060="","",IFERROR(INDEX(Client_List!$K:$K,MATCH(VALUE(B1060),Client_List!$A:$A,0)),""))</f>
        <v/>
      </c>
      <c r="H1060" s="32">
        <f>IF(B1060="","",IFERROR(INDEX(Client_List!$J:$J,MATCH(VALUE(B1060),Client_List!$A:$A,0)),""))</f>
        <v/>
      </c>
      <c r="I1060" s="70">
        <f>IF(B1060="","",IFERROR(A1060-LOOKUP(2,1/($B$4:$B1059=B1060),$A$4:$A1059),""))</f>
        <v/>
      </c>
      <c r="J1060" s="32">
        <f>IF(B1060="","",IFERROR(D1060/I1060,""))</f>
        <v/>
      </c>
      <c r="K1060" s="71">
        <f>IF(B1060="","",IFERROR(AVERAGEIFS($J$4:$J1060,$B$4:$B1060,B1060,$J$4:$J1060,"&gt;"&amp;0),""))</f>
        <v/>
      </c>
      <c r="L1060" s="4" t="n"/>
    </row>
    <row r="1061" ht="14" customHeight="1" s="72">
      <c r="A1061" s="75" t="n">
        <v>46109</v>
      </c>
      <c r="B1061" s="76" t="n">
        <v>1057</v>
      </c>
      <c r="C1061" s="69">
        <f>IF(B1061="","",IFERROR(INDEX(Client_List!$B:$B,MATCH(B1061,Client_List!$A:$A,0)),"⚠ NOT FOUND"))</f>
        <v/>
      </c>
      <c r="D1061" s="43" t="n">
        <v>720</v>
      </c>
      <c r="E1061" s="32">
        <f>IF(B1061="","",IFERROR(INDEX(Client_List!$C:$C,MATCH(VALUE(B1061),Client_List!$A:$A,0)),""))</f>
        <v/>
      </c>
      <c r="F1061" s="53">
        <f>IF(B1061="","",IFERROR(INDEX(Client_List!$D:$D,MATCH(VALUE(B1061),Client_List!$A:$A,0)),""))</f>
        <v/>
      </c>
      <c r="G1061" s="53">
        <f>IF(B1061="","",IFERROR(INDEX(Client_List!$K:$K,MATCH(VALUE(B1061),Client_List!$A:$A,0)),""))</f>
        <v/>
      </c>
      <c r="H1061" s="32">
        <f>IF(B1061="","",IFERROR(INDEX(Client_List!$J:$J,MATCH(VALUE(B1061),Client_List!$A:$A,0)),""))</f>
        <v/>
      </c>
      <c r="I1061" s="70">
        <f>IF(B1061="","",IFERROR(A1061-LOOKUP(2,1/($B$4:$B1060=B1061),$A$4:$A1060),""))</f>
        <v/>
      </c>
      <c r="J1061" s="32">
        <f>IF(B1061="","",IFERROR(D1061/I1061,""))</f>
        <v/>
      </c>
      <c r="K1061" s="71">
        <f>IF(B1061="","",IFERROR(AVERAGEIFS($J$4:$J1061,$B$4:$B1061,B1061,$J$4:$J1061,"&gt;"&amp;0),""))</f>
        <v/>
      </c>
      <c r="L1061" s="7" t="n"/>
    </row>
    <row r="1062" ht="14" customHeight="1" s="72">
      <c r="A1062" s="75" t="n">
        <v>46109</v>
      </c>
      <c r="B1062" s="76" t="n">
        <v>2023</v>
      </c>
      <c r="C1062" s="69">
        <f>IF(B1062="","",IFERROR(INDEX(Client_List!$B:$B,MATCH(B1062,Client_List!$A:$A,0)),"⚠ NOT FOUND"))</f>
        <v/>
      </c>
      <c r="D1062" s="43" t="n">
        <v>684</v>
      </c>
      <c r="E1062" s="32">
        <f>IF(B1062="","",IFERROR(INDEX(Client_List!$C:$C,MATCH(VALUE(B1062),Client_List!$A:$A,0)),""))</f>
        <v/>
      </c>
      <c r="F1062" s="53">
        <f>IF(B1062="","",IFERROR(INDEX(Client_List!$D:$D,MATCH(VALUE(B1062),Client_List!$A:$A,0)),""))</f>
        <v/>
      </c>
      <c r="G1062" s="53">
        <f>IF(B1062="","",IFERROR(INDEX(Client_List!$K:$K,MATCH(VALUE(B1062),Client_List!$A:$A,0)),""))</f>
        <v/>
      </c>
      <c r="H1062" s="32">
        <f>IF(B1062="","",IFERROR(INDEX(Client_List!$J:$J,MATCH(VALUE(B1062),Client_List!$A:$A,0)),""))</f>
        <v/>
      </c>
      <c r="I1062" s="70">
        <f>IF(B1062="","",IFERROR(A1062-LOOKUP(2,1/($B$4:$B1061=B1062),$A$4:$A1061),""))</f>
        <v/>
      </c>
      <c r="J1062" s="32">
        <f>IF(B1062="","",IFERROR(D1062/I1062,""))</f>
        <v/>
      </c>
      <c r="K1062" s="71">
        <f>IF(B1062="","",IFERROR(AVERAGEIFS($J$4:$J1062,$B$4:$B1062,B1062,$J$4:$J1062,"&gt;"&amp;0),""))</f>
        <v/>
      </c>
      <c r="L1062" s="4" t="n"/>
    </row>
    <row r="1063" ht="14" customHeight="1" s="72">
      <c r="A1063" s="75" t="n">
        <v>46109</v>
      </c>
      <c r="B1063" s="76" t="n">
        <v>2045</v>
      </c>
      <c r="C1063" s="69">
        <f>IF(B1063="","",IFERROR(INDEX(Client_List!$B:$B,MATCH(B1063,Client_List!$A:$A,0)),"⚠ NOT FOUND"))</f>
        <v/>
      </c>
      <c r="D1063" s="43" t="n">
        <v>274</v>
      </c>
      <c r="E1063" s="32">
        <f>IF(B1063="","",IFERROR(INDEX(Client_List!$C:$C,MATCH(VALUE(B1063),Client_List!$A:$A,0)),""))</f>
        <v/>
      </c>
      <c r="F1063" s="53">
        <f>IF(B1063="","",IFERROR(INDEX(Client_List!$D:$D,MATCH(VALUE(B1063),Client_List!$A:$A,0)),""))</f>
        <v/>
      </c>
      <c r="G1063" s="53">
        <f>IF(B1063="","",IFERROR(INDEX(Client_List!$K:$K,MATCH(VALUE(B1063),Client_List!$A:$A,0)),""))</f>
        <v/>
      </c>
      <c r="H1063" s="32">
        <f>IF(B1063="","",IFERROR(INDEX(Client_List!$J:$J,MATCH(VALUE(B1063),Client_List!$A:$A,0)),""))</f>
        <v/>
      </c>
      <c r="I1063" s="70">
        <f>IF(B1063="","",IFERROR(A1063-LOOKUP(2,1/($B$4:$B1062=B1063),$A$4:$A1062),""))</f>
        <v/>
      </c>
      <c r="J1063" s="32">
        <f>IF(B1063="","",IFERROR(D1063/I1063,""))</f>
        <v/>
      </c>
      <c r="K1063" s="71">
        <f>IF(B1063="","",IFERROR(AVERAGEIFS($J$4:$J1063,$B$4:$B1063,B1063,$J$4:$J1063,"&gt;"&amp;0),""))</f>
        <v/>
      </c>
      <c r="L1063" s="7" t="n"/>
    </row>
    <row r="1064" ht="14" customHeight="1" s="72">
      <c r="A1064" s="75" t="n">
        <v>46109</v>
      </c>
      <c r="B1064" s="76" t="n">
        <v>7001</v>
      </c>
      <c r="C1064" s="69">
        <f>IF(B1064="","",IFERROR(INDEX(Client_List!$B:$B,MATCH(B1064,Client_List!$A:$A,0)),"⚠ NOT FOUND"))</f>
        <v/>
      </c>
      <c r="D1064" s="43" t="n">
        <v>1568</v>
      </c>
      <c r="E1064" s="32">
        <f>IF(B1064="","",IFERROR(INDEX(Client_List!$C:$C,MATCH(VALUE(B1064),Client_List!$A:$A,0)),""))</f>
        <v/>
      </c>
      <c r="F1064" s="53">
        <f>IF(B1064="","",IFERROR(INDEX(Client_List!$D:$D,MATCH(VALUE(B1064),Client_List!$A:$A,0)),""))</f>
        <v/>
      </c>
      <c r="G1064" s="53">
        <f>IF(B1064="","",IFERROR(INDEX(Client_List!$K:$K,MATCH(VALUE(B1064),Client_List!$A:$A,0)),""))</f>
        <v/>
      </c>
      <c r="H1064" s="32">
        <f>IF(B1064="","",IFERROR(INDEX(Client_List!$J:$J,MATCH(VALUE(B1064),Client_List!$A:$A,0)),""))</f>
        <v/>
      </c>
      <c r="I1064" s="70">
        <f>IF(B1064="","",IFERROR(A1064-LOOKUP(2,1/($B$4:$B1063=B1064),$A$4:$A1063),""))</f>
        <v/>
      </c>
      <c r="J1064" s="32">
        <f>IF(B1064="","",IFERROR(D1064/I1064,""))</f>
        <v/>
      </c>
      <c r="K1064" s="71">
        <f>IF(B1064="","",IFERROR(AVERAGEIFS($J$4:$J1064,$B$4:$B1064,B1064,$J$4:$J1064,"&gt;"&amp;0),""))</f>
        <v/>
      </c>
      <c r="L1064" s="4" t="n"/>
    </row>
    <row r="1065" ht="14" customHeight="1" s="72">
      <c r="A1065" s="75" t="n">
        <v>46109</v>
      </c>
      <c r="B1065" s="76" t="n">
        <v>15033</v>
      </c>
      <c r="C1065" s="69">
        <f>IF(B1065="","",IFERROR(INDEX(Client_List!$B:$B,MATCH(B1065,Client_List!$A:$A,0)),"⚠ NOT FOUND"))</f>
        <v/>
      </c>
      <c r="D1065" s="43" t="n">
        <v>389</v>
      </c>
      <c r="E1065" s="32">
        <f>IF(B1065="","",IFERROR(INDEX(Client_List!$C:$C,MATCH(VALUE(B1065),Client_List!$A:$A,0)),""))</f>
        <v/>
      </c>
      <c r="F1065" s="53">
        <f>IF(B1065="","",IFERROR(INDEX(Client_List!$D:$D,MATCH(VALUE(B1065),Client_List!$A:$A,0)),""))</f>
        <v/>
      </c>
      <c r="G1065" s="53">
        <f>IF(B1065="","",IFERROR(INDEX(Client_List!$K:$K,MATCH(VALUE(B1065),Client_List!$A:$A,0)),""))</f>
        <v/>
      </c>
      <c r="H1065" s="32">
        <f>IF(B1065="","",IFERROR(INDEX(Client_List!$J:$J,MATCH(VALUE(B1065),Client_List!$A:$A,0)),""))</f>
        <v/>
      </c>
      <c r="I1065" s="70">
        <f>IF(B1065="","",IFERROR(A1065-LOOKUP(2,1/($B$4:$B1064=B1065),$A$4:$A1064),""))</f>
        <v/>
      </c>
      <c r="J1065" s="32">
        <f>IF(B1065="","",IFERROR(D1065/I1065,""))</f>
        <v/>
      </c>
      <c r="K1065" s="71">
        <f>IF(B1065="","",IFERROR(AVERAGEIFS($J$4:$J1065,$B$4:$B1065,B1065,$J$4:$J1065,"&gt;"&amp;0),""))</f>
        <v/>
      </c>
      <c r="L1065" s="7" t="n"/>
    </row>
    <row r="1066" ht="14" customHeight="1" s="72">
      <c r="A1066" s="75" t="n">
        <v>46109</v>
      </c>
      <c r="B1066" s="76" t="n">
        <v>16014</v>
      </c>
      <c r="C1066" s="69">
        <f>IF(B1066="","",IFERROR(INDEX(Client_List!$B:$B,MATCH(B1066,Client_List!$A:$A,0)),"⚠ NOT FOUND"))</f>
        <v/>
      </c>
      <c r="D1066" s="43" t="n">
        <v>1430</v>
      </c>
      <c r="E1066" s="32">
        <f>IF(B1066="","",IFERROR(INDEX(Client_List!$C:$C,MATCH(VALUE(B1066),Client_List!$A:$A,0)),""))</f>
        <v/>
      </c>
      <c r="F1066" s="53">
        <f>IF(B1066="","",IFERROR(INDEX(Client_List!$D:$D,MATCH(VALUE(B1066),Client_List!$A:$A,0)),""))</f>
        <v/>
      </c>
      <c r="G1066" s="53">
        <f>IF(B1066="","",IFERROR(INDEX(Client_List!$K:$K,MATCH(VALUE(B1066),Client_List!$A:$A,0)),""))</f>
        <v/>
      </c>
      <c r="H1066" s="32">
        <f>IF(B1066="","",IFERROR(INDEX(Client_List!$J:$J,MATCH(VALUE(B1066),Client_List!$A:$A,0)),""))</f>
        <v/>
      </c>
      <c r="I1066" s="70">
        <f>IF(B1066="","",IFERROR(A1066-LOOKUP(2,1/($B$4:$B1065=B1066),$A$4:$A1065),""))</f>
        <v/>
      </c>
      <c r="J1066" s="32">
        <f>IF(B1066="","",IFERROR(D1066/I1066,""))</f>
        <v/>
      </c>
      <c r="K1066" s="71">
        <f>IF(B1066="","",IFERROR(AVERAGEIFS($J$4:$J1066,$B$4:$B1066,B1066,$J$4:$J1066,"&gt;"&amp;0),""))</f>
        <v/>
      </c>
      <c r="L1066" s="4" t="n"/>
    </row>
    <row r="1067" ht="14" customHeight="1" s="72">
      <c r="A1067" s="75" t="n">
        <v>46109</v>
      </c>
      <c r="B1067" s="76" t="n">
        <v>16027</v>
      </c>
      <c r="C1067" s="69">
        <f>IF(B1067="","",IFERROR(INDEX(Client_List!$B:$B,MATCH(B1067,Client_List!$A:$A,0)),"⚠ NOT FOUND"))</f>
        <v/>
      </c>
      <c r="D1067" s="43" t="n">
        <v>520</v>
      </c>
      <c r="E1067" s="32">
        <f>IF(B1067="","",IFERROR(INDEX(Client_List!$C:$C,MATCH(VALUE(B1067),Client_List!$A:$A,0)),""))</f>
        <v/>
      </c>
      <c r="F1067" s="53">
        <f>IF(B1067="","",IFERROR(INDEX(Client_List!$D:$D,MATCH(VALUE(B1067),Client_List!$A:$A,0)),""))</f>
        <v/>
      </c>
      <c r="G1067" s="53">
        <f>IF(B1067="","",IFERROR(INDEX(Client_List!$K:$K,MATCH(VALUE(B1067),Client_List!$A:$A,0)),""))</f>
        <v/>
      </c>
      <c r="H1067" s="32">
        <f>IF(B1067="","",IFERROR(INDEX(Client_List!$J:$J,MATCH(VALUE(B1067),Client_List!$A:$A,0)),""))</f>
        <v/>
      </c>
      <c r="I1067" s="70">
        <f>IF(B1067="","",IFERROR(A1067-LOOKUP(2,1/($B$4:$B1066=B1067),$A$4:$A1066),""))</f>
        <v/>
      </c>
      <c r="J1067" s="32">
        <f>IF(B1067="","",IFERROR(D1067/I1067,""))</f>
        <v/>
      </c>
      <c r="K1067" s="71">
        <f>IF(B1067="","",IFERROR(AVERAGEIFS($J$4:$J1067,$B$4:$B1067,B1067,$J$4:$J1067,"&gt;"&amp;0),""))</f>
        <v/>
      </c>
      <c r="L1067" s="7" t="n"/>
    </row>
    <row r="1068" ht="14" customHeight="1" s="72">
      <c r="A1068" s="75" t="n">
        <v>46110</v>
      </c>
      <c r="B1068" s="76" t="n">
        <v>8031</v>
      </c>
      <c r="C1068" s="69">
        <f>IF(B1068="","",IFERROR(INDEX(Client_List!$B:$B,MATCH(B1068,Client_List!$A:$A,0)),"⚠ NOT FOUND"))</f>
        <v/>
      </c>
      <c r="D1068" s="43" t="n">
        <v>1065</v>
      </c>
      <c r="E1068" s="32">
        <f>IF(B1068="","",IFERROR(INDEX(Client_List!$C:$C,MATCH(VALUE(B1068),Client_List!$A:$A,0)),""))</f>
        <v/>
      </c>
      <c r="F1068" s="53">
        <f>IF(B1068="","",IFERROR(INDEX(Client_List!$D:$D,MATCH(VALUE(B1068),Client_List!$A:$A,0)),""))</f>
        <v/>
      </c>
      <c r="G1068" s="53">
        <f>IF(B1068="","",IFERROR(INDEX(Client_List!$K:$K,MATCH(VALUE(B1068),Client_List!$A:$A,0)),""))</f>
        <v/>
      </c>
      <c r="H1068" s="32">
        <f>IF(B1068="","",IFERROR(INDEX(Client_List!$J:$J,MATCH(VALUE(B1068),Client_List!$A:$A,0)),""))</f>
        <v/>
      </c>
      <c r="I1068" s="70">
        <f>IF(B1068="","",IFERROR(A1068-LOOKUP(2,1/($B$4:$B1067=B1068),$A$4:$A1067),""))</f>
        <v/>
      </c>
      <c r="J1068" s="32">
        <f>IF(B1068="","",IFERROR(D1068/I1068,""))</f>
        <v/>
      </c>
      <c r="K1068" s="71">
        <f>IF(B1068="","",IFERROR(AVERAGEIFS($J$4:$J1068,$B$4:$B1068,B1068,$J$4:$J1068,"&gt;"&amp;0),""))</f>
        <v/>
      </c>
      <c r="L1068" s="4" t="n"/>
    </row>
    <row r="1069" ht="14" customHeight="1" s="72">
      <c r="A1069" s="75" t="n">
        <v>46110</v>
      </c>
      <c r="B1069" s="76" t="n">
        <v>8034</v>
      </c>
      <c r="C1069" s="69">
        <f>IF(B1069="","",IFERROR(INDEX(Client_List!$B:$B,MATCH(B1069,Client_List!$A:$A,0)),"⚠ NOT FOUND"))</f>
        <v/>
      </c>
      <c r="D1069" s="43" t="n">
        <v>663</v>
      </c>
      <c r="E1069" s="32">
        <f>IF(B1069="","",IFERROR(INDEX(Client_List!$C:$C,MATCH(VALUE(B1069),Client_List!$A:$A,0)),""))</f>
        <v/>
      </c>
      <c r="F1069" s="53">
        <f>IF(B1069="","",IFERROR(INDEX(Client_List!$D:$D,MATCH(VALUE(B1069),Client_List!$A:$A,0)),""))</f>
        <v/>
      </c>
      <c r="G1069" s="53">
        <f>IF(B1069="","",IFERROR(INDEX(Client_List!$K:$K,MATCH(VALUE(B1069),Client_List!$A:$A,0)),""))</f>
        <v/>
      </c>
      <c r="H1069" s="32">
        <f>IF(B1069="","",IFERROR(INDEX(Client_List!$J:$J,MATCH(VALUE(B1069),Client_List!$A:$A,0)),""))</f>
        <v/>
      </c>
      <c r="I1069" s="70">
        <f>IF(B1069="","",IFERROR(A1069-LOOKUP(2,1/($B$4:$B1068=B1069),$A$4:$A1068),""))</f>
        <v/>
      </c>
      <c r="J1069" s="32">
        <f>IF(B1069="","",IFERROR(D1069/I1069,""))</f>
        <v/>
      </c>
      <c r="K1069" s="71">
        <f>IF(B1069="","",IFERROR(AVERAGEIFS($J$4:$J1069,$B$4:$B1069,B1069,$J$4:$J1069,"&gt;"&amp;0),""))</f>
        <v/>
      </c>
      <c r="L1069" s="7" t="n"/>
    </row>
    <row r="1070" ht="14" customHeight="1" s="72">
      <c r="A1070" s="75" t="n">
        <v>46110</v>
      </c>
      <c r="B1070" s="76" t="n">
        <v>11016</v>
      </c>
      <c r="C1070" s="69">
        <f>IF(B1070="","",IFERROR(INDEX(Client_List!$B:$B,MATCH(B1070,Client_List!$A:$A,0)),"⚠ NOT FOUND"))</f>
        <v/>
      </c>
      <c r="D1070" s="43" t="n">
        <v>364</v>
      </c>
      <c r="E1070" s="32">
        <f>IF(B1070="","",IFERROR(INDEX(Client_List!$C:$C,MATCH(VALUE(B1070),Client_List!$A:$A,0)),""))</f>
        <v/>
      </c>
      <c r="F1070" s="53">
        <f>IF(B1070="","",IFERROR(INDEX(Client_List!$D:$D,MATCH(VALUE(B1070),Client_List!$A:$A,0)),""))</f>
        <v/>
      </c>
      <c r="G1070" s="53">
        <f>IF(B1070="","",IFERROR(INDEX(Client_List!$K:$K,MATCH(VALUE(B1070),Client_List!$A:$A,0)),""))</f>
        <v/>
      </c>
      <c r="H1070" s="32">
        <f>IF(B1070="","",IFERROR(INDEX(Client_List!$J:$J,MATCH(VALUE(B1070),Client_List!$A:$A,0)),""))</f>
        <v/>
      </c>
      <c r="I1070" s="70">
        <f>IF(B1070="","",IFERROR(A1070-LOOKUP(2,1/($B$4:$B1069=B1070),$A$4:$A1069),""))</f>
        <v/>
      </c>
      <c r="J1070" s="32">
        <f>IF(B1070="","",IFERROR(D1070/I1070,""))</f>
        <v/>
      </c>
      <c r="K1070" s="71">
        <f>IF(B1070="","",IFERROR(AVERAGEIFS($J$4:$J1070,$B$4:$B1070,B1070,$J$4:$J1070,"&gt;"&amp;0),""))</f>
        <v/>
      </c>
      <c r="L1070" s="4" t="n"/>
    </row>
    <row r="1071" ht="14" customHeight="1" s="72">
      <c r="A1071" s="75" t="n">
        <v>46110</v>
      </c>
      <c r="B1071" s="76" t="n">
        <v>13009</v>
      </c>
      <c r="C1071" s="69">
        <f>IF(B1071="","",IFERROR(INDEX(Client_List!$B:$B,MATCH(B1071,Client_List!$A:$A,0)),"⚠ NOT FOUND"))</f>
        <v/>
      </c>
      <c r="D1071" s="43" t="n">
        <v>932</v>
      </c>
      <c r="E1071" s="32">
        <f>IF(B1071="","",IFERROR(INDEX(Client_List!$C:$C,MATCH(VALUE(B1071),Client_List!$A:$A,0)),""))</f>
        <v/>
      </c>
      <c r="F1071" s="53">
        <f>IF(B1071="","",IFERROR(INDEX(Client_List!$D:$D,MATCH(VALUE(B1071),Client_List!$A:$A,0)),""))</f>
        <v/>
      </c>
      <c r="G1071" s="53">
        <f>IF(B1071="","",IFERROR(INDEX(Client_List!$K:$K,MATCH(VALUE(B1071),Client_List!$A:$A,0)),""))</f>
        <v/>
      </c>
      <c r="H1071" s="32">
        <f>IF(B1071="","",IFERROR(INDEX(Client_List!$J:$J,MATCH(VALUE(B1071),Client_List!$A:$A,0)),""))</f>
        <v/>
      </c>
      <c r="I1071" s="70">
        <f>IF(B1071="","",IFERROR(A1071-LOOKUP(2,1/($B$4:$B1070=B1071),$A$4:$A1070),""))</f>
        <v/>
      </c>
      <c r="J1071" s="32">
        <f>IF(B1071="","",IFERROR(D1071/I1071,""))</f>
        <v/>
      </c>
      <c r="K1071" s="71">
        <f>IF(B1071="","",IFERROR(AVERAGEIFS($J$4:$J1071,$B$4:$B1071,B1071,$J$4:$J1071,"&gt;"&amp;0),""))</f>
        <v/>
      </c>
      <c r="L1071" s="7" t="n"/>
    </row>
    <row r="1072" ht="14" customHeight="1" s="72">
      <c r="A1072" s="75" t="n">
        <v>46110</v>
      </c>
      <c r="B1072" s="76" t="n">
        <v>13013</v>
      </c>
      <c r="C1072" s="69">
        <f>IF(B1072="","",IFERROR(INDEX(Client_List!$B:$B,MATCH(B1072,Client_List!$A:$A,0)),"⚠ NOT FOUND"))</f>
        <v/>
      </c>
      <c r="D1072" s="43" t="n">
        <v>820</v>
      </c>
      <c r="E1072" s="32">
        <f>IF(B1072="","",IFERROR(INDEX(Client_List!$C:$C,MATCH(VALUE(B1072),Client_List!$A:$A,0)),""))</f>
        <v/>
      </c>
      <c r="F1072" s="53">
        <f>IF(B1072="","",IFERROR(INDEX(Client_List!$D:$D,MATCH(VALUE(B1072),Client_List!$A:$A,0)),""))</f>
        <v/>
      </c>
      <c r="G1072" s="53">
        <f>IF(B1072="","",IFERROR(INDEX(Client_List!$K:$K,MATCH(VALUE(B1072),Client_List!$A:$A,0)),""))</f>
        <v/>
      </c>
      <c r="H1072" s="32">
        <f>IF(B1072="","",IFERROR(INDEX(Client_List!$J:$J,MATCH(VALUE(B1072),Client_List!$A:$A,0)),""))</f>
        <v/>
      </c>
      <c r="I1072" s="70">
        <f>IF(B1072="","",IFERROR(A1072-LOOKUP(2,1/($B$4:$B1071=B1072),$A$4:$A1071),""))</f>
        <v/>
      </c>
      <c r="J1072" s="32">
        <f>IF(B1072="","",IFERROR(D1072/I1072,""))</f>
        <v/>
      </c>
      <c r="K1072" s="71">
        <f>IF(B1072="","",IFERROR(AVERAGEIFS($J$4:$J1072,$B$4:$B1072,B1072,$J$4:$J1072,"&gt;"&amp;0),""))</f>
        <v/>
      </c>
      <c r="L1072" s="4" t="n"/>
    </row>
    <row r="1073" ht="14" customHeight="1" s="72">
      <c r="A1073" s="75" t="n">
        <v>46110</v>
      </c>
      <c r="B1073" s="76" t="n">
        <v>14008</v>
      </c>
      <c r="C1073" s="69">
        <f>IF(B1073="","",IFERROR(INDEX(Client_List!$B:$B,MATCH(B1073,Client_List!$A:$A,0)),"⚠ NOT FOUND"))</f>
        <v/>
      </c>
      <c r="D1073" s="43" t="n">
        <v>1352</v>
      </c>
      <c r="E1073" s="32">
        <f>IF(B1073="","",IFERROR(INDEX(Client_List!$C:$C,MATCH(VALUE(B1073),Client_List!$A:$A,0)),""))</f>
        <v/>
      </c>
      <c r="F1073" s="53">
        <f>IF(B1073="","",IFERROR(INDEX(Client_List!$D:$D,MATCH(VALUE(B1073),Client_List!$A:$A,0)),""))</f>
        <v/>
      </c>
      <c r="G1073" s="53">
        <f>IF(B1073="","",IFERROR(INDEX(Client_List!$K:$K,MATCH(VALUE(B1073),Client_List!$A:$A,0)),""))</f>
        <v/>
      </c>
      <c r="H1073" s="32">
        <f>IF(B1073="","",IFERROR(INDEX(Client_List!$J:$J,MATCH(VALUE(B1073),Client_List!$A:$A,0)),""))</f>
        <v/>
      </c>
      <c r="I1073" s="70">
        <f>IF(B1073="","",IFERROR(A1073-LOOKUP(2,1/($B$4:$B1072=B1073),$A$4:$A1072),""))</f>
        <v/>
      </c>
      <c r="J1073" s="32">
        <f>IF(B1073="","",IFERROR(D1073/I1073,""))</f>
        <v/>
      </c>
      <c r="K1073" s="71">
        <f>IF(B1073="","",IFERROR(AVERAGEIFS($J$4:$J1073,$B$4:$B1073,B1073,$J$4:$J1073,"&gt;"&amp;0),""))</f>
        <v/>
      </c>
      <c r="L1073" s="7" t="n"/>
    </row>
    <row r="1074" ht="14" customHeight="1" s="72">
      <c r="A1074" s="75" t="n">
        <v>46110</v>
      </c>
      <c r="B1074" s="76" t="n">
        <v>15000</v>
      </c>
      <c r="C1074" s="69">
        <f>IF(B1074="","",IFERROR(INDEX(Client_List!$B:$B,MATCH(B1074,Client_List!$A:$A,0)),"⚠ NOT FOUND"))</f>
        <v/>
      </c>
      <c r="D1074" s="43" t="n">
        <v>1066</v>
      </c>
      <c r="E1074" s="32">
        <f>IF(B1074="","",IFERROR(INDEX(Client_List!$C:$C,MATCH(VALUE(B1074),Client_List!$A:$A,0)),""))</f>
        <v/>
      </c>
      <c r="F1074" s="53">
        <f>IF(B1074="","",IFERROR(INDEX(Client_List!$D:$D,MATCH(VALUE(B1074),Client_List!$A:$A,0)),""))</f>
        <v/>
      </c>
      <c r="G1074" s="53">
        <f>IF(B1074="","",IFERROR(INDEX(Client_List!$K:$K,MATCH(VALUE(B1074),Client_List!$A:$A,0)),""))</f>
        <v/>
      </c>
      <c r="H1074" s="32">
        <f>IF(B1074="","",IFERROR(INDEX(Client_List!$J:$J,MATCH(VALUE(B1074),Client_List!$A:$A,0)),""))</f>
        <v/>
      </c>
      <c r="I1074" s="70">
        <f>IF(B1074="","",IFERROR(A1074-LOOKUP(2,1/($B$4:$B1073=B1074),$A$4:$A1073),""))</f>
        <v/>
      </c>
      <c r="J1074" s="32">
        <f>IF(B1074="","",IFERROR(D1074/I1074,""))</f>
        <v/>
      </c>
      <c r="K1074" s="71">
        <f>IF(B1074="","",IFERROR(AVERAGEIFS($J$4:$J1074,$B$4:$B1074,B1074,$J$4:$J1074,"&gt;"&amp;0),""))</f>
        <v/>
      </c>
      <c r="L1074" s="4" t="n"/>
    </row>
    <row r="1075" ht="14" customHeight="1" s="72">
      <c r="A1075" s="75" t="n">
        <v>46110</v>
      </c>
      <c r="B1075" s="76" t="n">
        <v>15002</v>
      </c>
      <c r="C1075" s="69">
        <f>IF(B1075="","",IFERROR(INDEX(Client_List!$B:$B,MATCH(B1075,Client_List!$A:$A,0)),"⚠ NOT FOUND"))</f>
        <v/>
      </c>
      <c r="D1075" s="43" t="n">
        <v>214</v>
      </c>
      <c r="E1075" s="32">
        <f>IF(B1075="","",IFERROR(INDEX(Client_List!$C:$C,MATCH(VALUE(B1075),Client_List!$A:$A,0)),""))</f>
        <v/>
      </c>
      <c r="F1075" s="53">
        <f>IF(B1075="","",IFERROR(INDEX(Client_List!$D:$D,MATCH(VALUE(B1075),Client_List!$A:$A,0)),""))</f>
        <v/>
      </c>
      <c r="G1075" s="53">
        <f>IF(B1075="","",IFERROR(INDEX(Client_List!$K:$K,MATCH(VALUE(B1075),Client_List!$A:$A,0)),""))</f>
        <v/>
      </c>
      <c r="H1075" s="32">
        <f>IF(B1075="","",IFERROR(INDEX(Client_List!$J:$J,MATCH(VALUE(B1075),Client_List!$A:$A,0)),""))</f>
        <v/>
      </c>
      <c r="I1075" s="70">
        <f>IF(B1075="","",IFERROR(A1075-LOOKUP(2,1/($B$4:$B1074=B1075),$A$4:$A1074),""))</f>
        <v/>
      </c>
      <c r="J1075" s="32">
        <f>IF(B1075="","",IFERROR(D1075/I1075,""))</f>
        <v/>
      </c>
      <c r="K1075" s="71">
        <f>IF(B1075="","",IFERROR(AVERAGEIFS($J$4:$J1075,$B$4:$B1075,B1075,$J$4:$J1075,"&gt;"&amp;0),""))</f>
        <v/>
      </c>
      <c r="L1075" s="7" t="n"/>
    </row>
    <row r="1076" ht="14" customHeight="1" s="72">
      <c r="A1076" s="75" t="n">
        <v>46110</v>
      </c>
      <c r="B1076" s="76" t="n">
        <v>15051</v>
      </c>
      <c r="C1076" s="69">
        <f>IF(B1076="","",IFERROR(INDEX(Client_List!$B:$B,MATCH(B1076,Client_List!$A:$A,0)),"⚠ NOT FOUND"))</f>
        <v/>
      </c>
      <c r="D1076" s="43" t="n">
        <v>172</v>
      </c>
      <c r="E1076" s="32">
        <f>IF(B1076="","",IFERROR(INDEX(Client_List!$C:$C,MATCH(VALUE(B1076),Client_List!$A:$A,0)),""))</f>
        <v/>
      </c>
      <c r="F1076" s="53">
        <f>IF(B1076="","",IFERROR(INDEX(Client_List!$D:$D,MATCH(VALUE(B1076),Client_List!$A:$A,0)),""))</f>
        <v/>
      </c>
      <c r="G1076" s="53">
        <f>IF(B1076="","",IFERROR(INDEX(Client_List!$K:$K,MATCH(VALUE(B1076),Client_List!$A:$A,0)),""))</f>
        <v/>
      </c>
      <c r="H1076" s="32">
        <f>IF(B1076="","",IFERROR(INDEX(Client_List!$J:$J,MATCH(VALUE(B1076),Client_List!$A:$A,0)),""))</f>
        <v/>
      </c>
      <c r="I1076" s="70">
        <f>IF(B1076="","",IFERROR(A1076-LOOKUP(2,1/($B$4:$B1075=B1076),$A$4:$A1075),""))</f>
        <v/>
      </c>
      <c r="J1076" s="32">
        <f>IF(B1076="","",IFERROR(D1076/I1076,""))</f>
        <v/>
      </c>
      <c r="K1076" s="71">
        <f>IF(B1076="","",IFERROR(AVERAGEIFS($J$4:$J1076,$B$4:$B1076,B1076,$J$4:$J1076,"&gt;"&amp;0),""))</f>
        <v/>
      </c>
      <c r="L1076" s="4" t="n"/>
    </row>
    <row r="1077" ht="14" customHeight="1" s="72">
      <c r="A1077" s="75" t="n">
        <v>46110</v>
      </c>
      <c r="B1077" s="76" t="n">
        <v>16015</v>
      </c>
      <c r="C1077" s="69">
        <f>IF(B1077="","",IFERROR(INDEX(Client_List!$B:$B,MATCH(B1077,Client_List!$A:$A,0)),"⚠ NOT FOUND"))</f>
        <v/>
      </c>
      <c r="D1077" s="43" t="n">
        <v>1555</v>
      </c>
      <c r="E1077" s="32">
        <f>IF(B1077="","",IFERROR(INDEX(Client_List!$C:$C,MATCH(VALUE(B1077),Client_List!$A:$A,0)),""))</f>
        <v/>
      </c>
      <c r="F1077" s="53">
        <f>IF(B1077="","",IFERROR(INDEX(Client_List!$D:$D,MATCH(VALUE(B1077),Client_List!$A:$A,0)),""))</f>
        <v/>
      </c>
      <c r="G1077" s="53">
        <f>IF(B1077="","",IFERROR(INDEX(Client_List!$K:$K,MATCH(VALUE(B1077),Client_List!$A:$A,0)),""))</f>
        <v/>
      </c>
      <c r="H1077" s="32">
        <f>IF(B1077="","",IFERROR(INDEX(Client_List!$J:$J,MATCH(VALUE(B1077),Client_List!$A:$A,0)),""))</f>
        <v/>
      </c>
      <c r="I1077" s="70">
        <f>IF(B1077="","",IFERROR(A1077-LOOKUP(2,1/($B$4:$B1076=B1077),$A$4:$A1076),""))</f>
        <v/>
      </c>
      <c r="J1077" s="32">
        <f>IF(B1077="","",IFERROR(D1077/I1077,""))</f>
        <v/>
      </c>
      <c r="K1077" s="71">
        <f>IF(B1077="","",IFERROR(AVERAGEIFS($J$4:$J1077,$B$4:$B1077,B1077,$J$4:$J1077,"&gt;"&amp;0),""))</f>
        <v/>
      </c>
      <c r="L1077" s="7" t="n"/>
    </row>
    <row r="1078" ht="14" customHeight="1" s="72">
      <c r="A1078" s="75" t="n">
        <v>46110</v>
      </c>
      <c r="B1078" s="76" t="n">
        <v>20019</v>
      </c>
      <c r="C1078" s="69">
        <f>IF(B1078="","",IFERROR(INDEX(Client_List!$B:$B,MATCH(B1078,Client_List!$A:$A,0)),"⚠ NOT FOUND"))</f>
        <v/>
      </c>
      <c r="D1078" s="43" t="n">
        <v>819</v>
      </c>
      <c r="E1078" s="32">
        <f>IF(B1078="","",IFERROR(INDEX(Client_List!$C:$C,MATCH(VALUE(B1078),Client_List!$A:$A,0)),""))</f>
        <v/>
      </c>
      <c r="F1078" s="53">
        <f>IF(B1078="","",IFERROR(INDEX(Client_List!$D:$D,MATCH(VALUE(B1078),Client_List!$A:$A,0)),""))</f>
        <v/>
      </c>
      <c r="G1078" s="53">
        <f>IF(B1078="","",IFERROR(INDEX(Client_List!$K:$K,MATCH(VALUE(B1078),Client_List!$A:$A,0)),""))</f>
        <v/>
      </c>
      <c r="H1078" s="32">
        <f>IF(B1078="","",IFERROR(INDEX(Client_List!$J:$J,MATCH(VALUE(B1078),Client_List!$A:$A,0)),""))</f>
        <v/>
      </c>
      <c r="I1078" s="70">
        <f>IF(B1078="","",IFERROR(A1078-LOOKUP(2,1/($B$4:$B1077=B1078),$A$4:$A1077),""))</f>
        <v/>
      </c>
      <c r="J1078" s="32">
        <f>IF(B1078="","",IFERROR(D1078/I1078,""))</f>
        <v/>
      </c>
      <c r="K1078" s="71">
        <f>IF(B1078="","",IFERROR(AVERAGEIFS($J$4:$J1078,$B$4:$B1078,B1078,$J$4:$J1078,"&gt;"&amp;0),""))</f>
        <v/>
      </c>
      <c r="L1078" s="4" t="n"/>
    </row>
    <row r="1079" ht="14" customHeight="1" s="72">
      <c r="A1079" s="75" t="n">
        <v>46110</v>
      </c>
      <c r="B1079" s="76" t="n">
        <v>20051</v>
      </c>
      <c r="C1079" s="69">
        <f>IF(B1079="","",IFERROR(INDEX(Client_List!$B:$B,MATCH(B1079,Client_List!$A:$A,0)),"⚠ NOT FOUND"))</f>
        <v/>
      </c>
      <c r="D1079" s="43" t="n">
        <v>371</v>
      </c>
      <c r="E1079" s="32">
        <f>IF(B1079="","",IFERROR(INDEX(Client_List!$C:$C,MATCH(VALUE(B1079),Client_List!$A:$A,0)),""))</f>
        <v/>
      </c>
      <c r="F1079" s="53">
        <f>IF(B1079="","",IFERROR(INDEX(Client_List!$D:$D,MATCH(VALUE(B1079),Client_List!$A:$A,0)),""))</f>
        <v/>
      </c>
      <c r="G1079" s="53">
        <f>IF(B1079="","",IFERROR(INDEX(Client_List!$K:$K,MATCH(VALUE(B1079),Client_List!$A:$A,0)),""))</f>
        <v/>
      </c>
      <c r="H1079" s="32">
        <f>IF(B1079="","",IFERROR(INDEX(Client_List!$J:$J,MATCH(VALUE(B1079),Client_List!$A:$A,0)),""))</f>
        <v/>
      </c>
      <c r="I1079" s="70">
        <f>IF(B1079="","",IFERROR(A1079-LOOKUP(2,1/($B$4:$B1078=B1079),$A$4:$A1078),""))</f>
        <v/>
      </c>
      <c r="J1079" s="32">
        <f>IF(B1079="","",IFERROR(D1079/I1079,""))</f>
        <v/>
      </c>
      <c r="K1079" s="71">
        <f>IF(B1079="","",IFERROR(AVERAGEIFS($J$4:$J1079,$B$4:$B1079,B1079,$J$4:$J1079,"&gt;"&amp;0),""))</f>
        <v/>
      </c>
      <c r="L1079" s="7" t="n"/>
    </row>
    <row r="1080" ht="14" customHeight="1" s="72">
      <c r="A1080" s="75" t="n">
        <v>46110</v>
      </c>
      <c r="B1080" s="76" t="n">
        <v>20077</v>
      </c>
      <c r="C1080" s="69">
        <f>IF(B1080="","",IFERROR(INDEX(Client_List!$B:$B,MATCH(B1080,Client_List!$A:$A,0)),"⚠ NOT FOUND"))</f>
        <v/>
      </c>
      <c r="D1080" s="43" t="n">
        <v>548</v>
      </c>
      <c r="E1080" s="32">
        <f>IF(B1080="","",IFERROR(INDEX(Client_List!$C:$C,MATCH(VALUE(B1080),Client_List!$A:$A,0)),""))</f>
        <v/>
      </c>
      <c r="F1080" s="53">
        <f>IF(B1080="","",IFERROR(INDEX(Client_List!$D:$D,MATCH(VALUE(B1080),Client_List!$A:$A,0)),""))</f>
        <v/>
      </c>
      <c r="G1080" s="53">
        <f>IF(B1080="","",IFERROR(INDEX(Client_List!$K:$K,MATCH(VALUE(B1080),Client_List!$A:$A,0)),""))</f>
        <v/>
      </c>
      <c r="H1080" s="32">
        <f>IF(B1080="","",IFERROR(INDEX(Client_List!$J:$J,MATCH(VALUE(B1080),Client_List!$A:$A,0)),""))</f>
        <v/>
      </c>
      <c r="I1080" s="70">
        <f>IF(B1080="","",IFERROR(A1080-LOOKUP(2,1/($B$4:$B1079=B1080),$A$4:$A1079),""))</f>
        <v/>
      </c>
      <c r="J1080" s="32">
        <f>IF(B1080="","",IFERROR(D1080/I1080,""))</f>
        <v/>
      </c>
      <c r="K1080" s="71">
        <f>IF(B1080="","",IFERROR(AVERAGEIFS($J$4:$J1080,$B$4:$B1080,B1080,$J$4:$J1080,"&gt;"&amp;0),""))</f>
        <v/>
      </c>
      <c r="L1080" s="4" t="n"/>
    </row>
    <row r="1081" ht="14" customHeight="1" s="72">
      <c r="A1081" s="75" t="n">
        <v>46110</v>
      </c>
      <c r="B1081" s="76" t="n">
        <v>20098</v>
      </c>
      <c r="C1081" s="69">
        <f>IF(B1081="","",IFERROR(INDEX(Client_List!$B:$B,MATCH(B1081,Client_List!$A:$A,0)),"⚠ NOT FOUND"))</f>
        <v/>
      </c>
      <c r="D1081" s="43" t="n">
        <v>915</v>
      </c>
      <c r="E1081" s="32">
        <f>IF(B1081="","",IFERROR(INDEX(Client_List!$C:$C,MATCH(VALUE(B1081),Client_List!$A:$A,0)),""))</f>
        <v/>
      </c>
      <c r="F1081" s="53">
        <f>IF(B1081="","",IFERROR(INDEX(Client_List!$D:$D,MATCH(VALUE(B1081),Client_List!$A:$A,0)),""))</f>
        <v/>
      </c>
      <c r="G1081" s="53">
        <f>IF(B1081="","",IFERROR(INDEX(Client_List!$K:$K,MATCH(VALUE(B1081),Client_List!$A:$A,0)),""))</f>
        <v/>
      </c>
      <c r="H1081" s="32">
        <f>IF(B1081="","",IFERROR(INDEX(Client_List!$J:$J,MATCH(VALUE(B1081),Client_List!$A:$A,0)),""))</f>
        <v/>
      </c>
      <c r="I1081" s="70">
        <f>IF(B1081="","",IFERROR(A1081-LOOKUP(2,1/($B$4:$B1080=B1081),$A$4:$A1080),""))</f>
        <v/>
      </c>
      <c r="J1081" s="32">
        <f>IF(B1081="","",IFERROR(D1081/I1081,""))</f>
        <v/>
      </c>
      <c r="K1081" s="71">
        <f>IF(B1081="","",IFERROR(AVERAGEIFS($J$4:$J1081,$B$4:$B1081,B1081,$J$4:$J1081,"&gt;"&amp;0),""))</f>
        <v/>
      </c>
      <c r="L1081" s="11" t="n"/>
    </row>
    <row r="1082" ht="14" customHeight="1" s="72">
      <c r="A1082" s="75" t="n">
        <v>46112</v>
      </c>
      <c r="B1082" s="76" t="n">
        <v>1011</v>
      </c>
      <c r="C1082" s="69">
        <f>IF(B1082="","",IFERROR(INDEX(Client_List!$B:$B,MATCH(B1082,Client_List!$A:$A,0)),"⚠ NOT FOUND"))</f>
        <v/>
      </c>
      <c r="D1082" s="43" t="n">
        <v>948</v>
      </c>
      <c r="E1082" s="32">
        <f>IF(B1082="","",IFERROR(INDEX(Client_List!$C:$C,MATCH(VALUE(B1082),Client_List!$A:$A,0)),""))</f>
        <v/>
      </c>
      <c r="F1082" s="53">
        <f>IF(B1082="","",IFERROR(INDEX(Client_List!$D:$D,MATCH(VALUE(B1082),Client_List!$A:$A,0)),""))</f>
        <v/>
      </c>
      <c r="G1082" s="53">
        <f>IF(B1082="","",IFERROR(INDEX(Client_List!$K:$K,MATCH(VALUE(B1082),Client_List!$A:$A,0)),""))</f>
        <v/>
      </c>
      <c r="H1082" s="32">
        <f>IF(B1082="","",IFERROR(INDEX(Client_List!$J:$J,MATCH(VALUE(B1082),Client_List!$A:$A,0)),""))</f>
        <v/>
      </c>
      <c r="I1082" s="70">
        <f>IF(B1082="","",IFERROR(A1082-LOOKUP(2,1/($B$4:$B1081=B1082),$A$4:$A1081),""))</f>
        <v/>
      </c>
      <c r="J1082" s="32">
        <f>IF(B1082="","",IFERROR(D1082/I1082,""))</f>
        <v/>
      </c>
      <c r="K1082" s="71">
        <f>IF(B1082="","",IFERROR(AVERAGEIFS($J$4:$J1082,$B$4:$B1082,B1082,$J$4:$J1082,"&gt;"&amp;0),""))</f>
        <v/>
      </c>
      <c r="L1082" s="12" t="n"/>
    </row>
    <row r="1083" ht="14" customHeight="1" s="72">
      <c r="A1083" s="75" t="n">
        <v>46112</v>
      </c>
      <c r="B1083" s="76" t="n">
        <v>1063</v>
      </c>
      <c r="C1083" s="69">
        <f>IF(B1083="","",IFERROR(INDEX(Client_List!$B:$B,MATCH(B1083,Client_List!$A:$A,0)),"⚠ NOT FOUND"))</f>
        <v/>
      </c>
      <c r="D1083" s="43" t="n">
        <v>684</v>
      </c>
      <c r="E1083" s="32">
        <f>IF(B1083="","",IFERROR(INDEX(Client_List!$C:$C,MATCH(VALUE(B1083),Client_List!$A:$A,0)),""))</f>
        <v/>
      </c>
      <c r="F1083" s="53">
        <f>IF(B1083="","",IFERROR(INDEX(Client_List!$D:$D,MATCH(VALUE(B1083),Client_List!$A:$A,0)),""))</f>
        <v/>
      </c>
      <c r="G1083" s="53">
        <f>IF(B1083="","",IFERROR(INDEX(Client_List!$K:$K,MATCH(VALUE(B1083),Client_List!$A:$A,0)),""))</f>
        <v/>
      </c>
      <c r="H1083" s="32">
        <f>IF(B1083="","",IFERROR(INDEX(Client_List!$J:$J,MATCH(VALUE(B1083),Client_List!$A:$A,0)),""))</f>
        <v/>
      </c>
      <c r="I1083" s="70">
        <f>IF(B1083="","",IFERROR(A1083-LOOKUP(2,1/($B$4:$B1082=B1083),$A$4:$A1082),""))</f>
        <v/>
      </c>
      <c r="J1083" s="32">
        <f>IF(B1083="","",IFERROR(D1083/I1083,""))</f>
        <v/>
      </c>
      <c r="K1083" s="71">
        <f>IF(B1083="","",IFERROR(AVERAGEIFS($J$4:$J1083,$B$4:$B1083,B1083,$J$4:$J1083,"&gt;"&amp;0),""))</f>
        <v/>
      </c>
      <c r="L1083" s="11" t="n"/>
    </row>
    <row r="1084" ht="14" customHeight="1" s="72">
      <c r="A1084" s="75" t="n">
        <v>46112</v>
      </c>
      <c r="B1084" s="76" t="n">
        <v>2053</v>
      </c>
      <c r="C1084" s="69">
        <f>IF(B1084="","",IFERROR(INDEX(Client_List!$B:$B,MATCH(B1084,Client_List!$A:$A,0)),"⚠ NOT FOUND"))</f>
        <v/>
      </c>
      <c r="D1084" s="43" t="n">
        <v>760</v>
      </c>
      <c r="E1084" s="32">
        <f>IF(B1084="","",IFERROR(INDEX(Client_List!$C:$C,MATCH(VALUE(B1084),Client_List!$A:$A,0)),""))</f>
        <v/>
      </c>
      <c r="F1084" s="53">
        <f>IF(B1084="","",IFERROR(INDEX(Client_List!$D:$D,MATCH(VALUE(B1084),Client_List!$A:$A,0)),""))</f>
        <v/>
      </c>
      <c r="G1084" s="53">
        <f>IF(B1084="","",IFERROR(INDEX(Client_List!$K:$K,MATCH(VALUE(B1084),Client_List!$A:$A,0)),""))</f>
        <v/>
      </c>
      <c r="H1084" s="32">
        <f>IF(B1084="","",IFERROR(INDEX(Client_List!$J:$J,MATCH(VALUE(B1084),Client_List!$A:$A,0)),""))</f>
        <v/>
      </c>
      <c r="I1084" s="70">
        <f>IF(B1084="","",IFERROR(A1084-LOOKUP(2,1/($B$4:$B1083=B1084),$A$4:$A1083),""))</f>
        <v/>
      </c>
      <c r="J1084" s="32">
        <f>IF(B1084="","",IFERROR(D1084/I1084,""))</f>
        <v/>
      </c>
      <c r="K1084" s="71">
        <f>IF(B1084="","",IFERROR(AVERAGEIFS($J$4:$J1084,$B$4:$B1084,B1084,$J$4:$J1084,"&gt;"&amp;0),""))</f>
        <v/>
      </c>
      <c r="L1084" s="12" t="n"/>
    </row>
    <row r="1085" ht="14" customHeight="1" s="72">
      <c r="A1085" s="75" t="n">
        <v>46112</v>
      </c>
      <c r="B1085" s="76" t="n">
        <v>5006</v>
      </c>
      <c r="C1085" s="69">
        <f>IF(B1085="","",IFERROR(INDEX(Client_List!$B:$B,MATCH(B1085,Client_List!$A:$A,0)),"⚠ NOT FOUND"))</f>
        <v/>
      </c>
      <c r="D1085" s="43" t="n">
        <v>449</v>
      </c>
      <c r="E1085" s="32">
        <f>IF(B1085="","",IFERROR(INDEX(Client_List!$C:$C,MATCH(VALUE(B1085),Client_List!$A:$A,0)),""))</f>
        <v/>
      </c>
      <c r="F1085" s="53">
        <f>IF(B1085="","",IFERROR(INDEX(Client_List!$D:$D,MATCH(VALUE(B1085),Client_List!$A:$A,0)),""))</f>
        <v/>
      </c>
      <c r="G1085" s="53">
        <f>IF(B1085="","",IFERROR(INDEX(Client_List!$K:$K,MATCH(VALUE(B1085),Client_List!$A:$A,0)),""))</f>
        <v/>
      </c>
      <c r="H1085" s="32">
        <f>IF(B1085="","",IFERROR(INDEX(Client_List!$J:$J,MATCH(VALUE(B1085),Client_List!$A:$A,0)),""))</f>
        <v/>
      </c>
      <c r="I1085" s="70">
        <f>IF(B1085="","",IFERROR(A1085-LOOKUP(2,1/($B$4:$B1084=B1085),$A$4:$A1084),""))</f>
        <v/>
      </c>
      <c r="J1085" s="32">
        <f>IF(B1085="","",IFERROR(D1085/I1085,""))</f>
        <v/>
      </c>
      <c r="K1085" s="71">
        <f>IF(B1085="","",IFERROR(AVERAGEIFS($J$4:$J1085,$B$4:$B1085,B1085,$J$4:$J1085,"&gt;"&amp;0),""))</f>
        <v/>
      </c>
      <c r="L1085" s="11" t="n"/>
    </row>
    <row r="1086" ht="14" customHeight="1" s="72">
      <c r="A1086" s="75" t="n">
        <v>46112</v>
      </c>
      <c r="B1086" s="76" t="n">
        <v>6109</v>
      </c>
      <c r="C1086" s="69">
        <f>IF(B1086="","",IFERROR(INDEX(Client_List!$B:$B,MATCH(B1086,Client_List!$A:$A,0)),"⚠ NOT FOUND"))</f>
        <v/>
      </c>
      <c r="D1086" s="43" t="n">
        <v>474</v>
      </c>
      <c r="E1086" s="32">
        <f>IF(B1086="","",IFERROR(INDEX(Client_List!$C:$C,MATCH(VALUE(B1086),Client_List!$A:$A,0)),""))</f>
        <v/>
      </c>
      <c r="F1086" s="53">
        <f>IF(B1086="","",IFERROR(INDEX(Client_List!$D:$D,MATCH(VALUE(B1086),Client_List!$A:$A,0)),""))</f>
        <v/>
      </c>
      <c r="G1086" s="53">
        <f>IF(B1086="","",IFERROR(INDEX(Client_List!$K:$K,MATCH(VALUE(B1086),Client_List!$A:$A,0)),""))</f>
        <v/>
      </c>
      <c r="H1086" s="32">
        <f>IF(B1086="","",IFERROR(INDEX(Client_List!$J:$J,MATCH(VALUE(B1086),Client_List!$A:$A,0)),""))</f>
        <v/>
      </c>
      <c r="I1086" s="70">
        <f>IF(B1086="","",IFERROR(A1086-LOOKUP(2,1/($B$4:$B1085=B1086),$A$4:$A1085),""))</f>
        <v/>
      </c>
      <c r="J1086" s="32">
        <f>IF(B1086="","",IFERROR(D1086/I1086,""))</f>
        <v/>
      </c>
      <c r="K1086" s="71">
        <f>IF(B1086="","",IFERROR(AVERAGEIFS($J$4:$J1086,$B$4:$B1086,B1086,$J$4:$J1086,"&gt;"&amp;0),""))</f>
        <v/>
      </c>
      <c r="L1086" s="12" t="n"/>
    </row>
    <row r="1087" ht="14" customHeight="1" s="72">
      <c r="A1087" s="75" t="n">
        <v>46112</v>
      </c>
      <c r="B1087" s="76" t="n">
        <v>7002</v>
      </c>
      <c r="C1087" s="69">
        <f>IF(B1087="","",IFERROR(INDEX(Client_List!$B:$B,MATCH(B1087,Client_List!$A:$A,0)),"⚠ NOT FOUND"))</f>
        <v/>
      </c>
      <c r="D1087" s="43" t="n">
        <v>408</v>
      </c>
      <c r="E1087" s="32">
        <f>IF(B1087="","",IFERROR(INDEX(Client_List!$C:$C,MATCH(VALUE(B1087),Client_List!$A:$A,0)),""))</f>
        <v/>
      </c>
      <c r="F1087" s="53">
        <f>IF(B1087="","",IFERROR(INDEX(Client_List!$D:$D,MATCH(VALUE(B1087),Client_List!$A:$A,0)),""))</f>
        <v/>
      </c>
      <c r="G1087" s="53">
        <f>IF(B1087="","",IFERROR(INDEX(Client_List!$K:$K,MATCH(VALUE(B1087),Client_List!$A:$A,0)),""))</f>
        <v/>
      </c>
      <c r="H1087" s="32">
        <f>IF(B1087="","",IFERROR(INDEX(Client_List!$J:$J,MATCH(VALUE(B1087),Client_List!$A:$A,0)),""))</f>
        <v/>
      </c>
      <c r="I1087" s="70">
        <f>IF(B1087="","",IFERROR(A1087-LOOKUP(2,1/($B$4:$B1086=B1087),$A$4:$A1086),""))</f>
        <v/>
      </c>
      <c r="J1087" s="32">
        <f>IF(B1087="","",IFERROR(D1087/I1087,""))</f>
        <v/>
      </c>
      <c r="K1087" s="71">
        <f>IF(B1087="","",IFERROR(AVERAGEIFS($J$4:$J1087,$B$4:$B1087,B1087,$J$4:$J1087,"&gt;"&amp;0),""))</f>
        <v/>
      </c>
      <c r="L1087" s="11" t="n"/>
    </row>
    <row r="1088" ht="14" customHeight="1" s="72">
      <c r="A1088" s="75" t="n">
        <v>46112</v>
      </c>
      <c r="B1088" s="76" t="n">
        <v>10001</v>
      </c>
      <c r="C1088" s="69">
        <f>IF(B1088="","",IFERROR(INDEX(Client_List!$B:$B,MATCH(B1088,Client_List!$A:$A,0)),"⚠ NOT FOUND"))</f>
        <v/>
      </c>
      <c r="D1088" s="43" t="n">
        <v>950</v>
      </c>
      <c r="E1088" s="32">
        <f>IF(B1088="","",IFERROR(INDEX(Client_List!$C:$C,MATCH(VALUE(B1088),Client_List!$A:$A,0)),""))</f>
        <v/>
      </c>
      <c r="F1088" s="53">
        <f>IF(B1088="","",IFERROR(INDEX(Client_List!$D:$D,MATCH(VALUE(B1088),Client_List!$A:$A,0)),""))</f>
        <v/>
      </c>
      <c r="G1088" s="53">
        <f>IF(B1088="","",IFERROR(INDEX(Client_List!$K:$K,MATCH(VALUE(B1088),Client_List!$A:$A,0)),""))</f>
        <v/>
      </c>
      <c r="H1088" s="32">
        <f>IF(B1088="","",IFERROR(INDEX(Client_List!$J:$J,MATCH(VALUE(B1088),Client_List!$A:$A,0)),""))</f>
        <v/>
      </c>
      <c r="I1088" s="70">
        <f>IF(B1088="","",IFERROR(A1088-LOOKUP(2,1/($B$4:$B1087=B1088),$A$4:$A1087),""))</f>
        <v/>
      </c>
      <c r="J1088" s="32">
        <f>IF(B1088="","",IFERROR(D1088/I1088,""))</f>
        <v/>
      </c>
      <c r="K1088" s="71">
        <f>IF(B1088="","",IFERROR(AVERAGEIFS($J$4:$J1088,$B$4:$B1088,B1088,$J$4:$J1088,"&gt;"&amp;0),""))</f>
        <v/>
      </c>
      <c r="L1088" s="12" t="n"/>
    </row>
    <row r="1089" ht="14" customHeight="1" s="72">
      <c r="A1089" s="75" t="n">
        <v>46112</v>
      </c>
      <c r="B1089" s="76" t="n">
        <v>13057</v>
      </c>
      <c r="C1089" s="69">
        <f>IF(B1089="","",IFERROR(INDEX(Client_List!$B:$B,MATCH(B1089,Client_List!$A:$A,0)),"⚠ NOT FOUND"))</f>
        <v/>
      </c>
      <c r="D1089" s="43" t="n">
        <v>692</v>
      </c>
      <c r="E1089" s="32">
        <f>IF(B1089="","",IFERROR(INDEX(Client_List!$C:$C,MATCH(VALUE(B1089),Client_List!$A:$A,0)),""))</f>
        <v/>
      </c>
      <c r="F1089" s="53">
        <f>IF(B1089="","",IFERROR(INDEX(Client_List!$D:$D,MATCH(VALUE(B1089),Client_List!$A:$A,0)),""))</f>
        <v/>
      </c>
      <c r="G1089" s="53">
        <f>IF(B1089="","",IFERROR(INDEX(Client_List!$K:$K,MATCH(VALUE(B1089),Client_List!$A:$A,0)),""))</f>
        <v/>
      </c>
      <c r="H1089" s="32">
        <f>IF(B1089="","",IFERROR(INDEX(Client_List!$J:$J,MATCH(VALUE(B1089),Client_List!$A:$A,0)),""))</f>
        <v/>
      </c>
      <c r="I1089" s="70">
        <f>IF(B1089="","",IFERROR(A1089-LOOKUP(2,1/($B$4:$B1088=B1089),$A$4:$A1088),""))</f>
        <v/>
      </c>
      <c r="J1089" s="32">
        <f>IF(B1089="","",IFERROR(D1089/I1089,""))</f>
        <v/>
      </c>
      <c r="K1089" s="71">
        <f>IF(B1089="","",IFERROR(AVERAGEIFS($J$4:$J1089,$B$4:$B1089,B1089,$J$4:$J1089,"&gt;"&amp;0),""))</f>
        <v/>
      </c>
      <c r="L1089" s="11" t="n"/>
    </row>
    <row r="1090" ht="14" customHeight="1" s="72">
      <c r="A1090" s="75" t="n">
        <v>46112</v>
      </c>
      <c r="B1090" s="76" t="n">
        <v>13086</v>
      </c>
      <c r="C1090" s="69">
        <f>IF(B1090="","",IFERROR(INDEX(Client_List!$B:$B,MATCH(B1090,Client_List!$A:$A,0)),"⚠ NOT FOUND"))</f>
        <v/>
      </c>
      <c r="D1090" s="43" t="n">
        <v>346</v>
      </c>
      <c r="E1090" s="32">
        <f>IF(B1090="","",IFERROR(INDEX(Client_List!$C:$C,MATCH(VALUE(B1090),Client_List!$A:$A,0)),""))</f>
        <v/>
      </c>
      <c r="F1090" s="53">
        <f>IF(B1090="","",IFERROR(INDEX(Client_List!$D:$D,MATCH(VALUE(B1090),Client_List!$A:$A,0)),""))</f>
        <v/>
      </c>
      <c r="G1090" s="53">
        <f>IF(B1090="","",IFERROR(INDEX(Client_List!$K:$K,MATCH(VALUE(B1090),Client_List!$A:$A,0)),""))</f>
        <v/>
      </c>
      <c r="H1090" s="32">
        <f>IF(B1090="","",IFERROR(INDEX(Client_List!$J:$J,MATCH(VALUE(B1090),Client_List!$A:$A,0)),""))</f>
        <v/>
      </c>
      <c r="I1090" s="70">
        <f>IF(B1090="","",IFERROR(A1090-LOOKUP(2,1/($B$4:$B1089=B1090),$A$4:$A1089),""))</f>
        <v/>
      </c>
      <c r="J1090" s="32">
        <f>IF(B1090="","",IFERROR(D1090/I1090,""))</f>
        <v/>
      </c>
      <c r="K1090" s="71">
        <f>IF(B1090="","",IFERROR(AVERAGEIFS($J$4:$J1090,$B$4:$B1090,B1090,$J$4:$J1090,"&gt;"&amp;0),""))</f>
        <v/>
      </c>
      <c r="L1090" s="12" t="n"/>
    </row>
    <row r="1091" ht="14" customHeight="1" s="72">
      <c r="A1091" s="75" t="n">
        <v>46112</v>
      </c>
      <c r="B1091" s="76" t="n">
        <v>15001</v>
      </c>
      <c r="C1091" s="69">
        <f>IF(B1091="","",IFERROR(INDEX(Client_List!$B:$B,MATCH(B1091,Client_List!$A:$A,0)),"⚠ NOT FOUND"))</f>
        <v/>
      </c>
      <c r="D1091" s="43" t="n">
        <v>944</v>
      </c>
      <c r="E1091" s="32">
        <f>IF(B1091="","",IFERROR(INDEX(Client_List!$C:$C,MATCH(VALUE(B1091),Client_List!$A:$A,0)),""))</f>
        <v/>
      </c>
      <c r="F1091" s="53">
        <f>IF(B1091="","",IFERROR(INDEX(Client_List!$D:$D,MATCH(VALUE(B1091),Client_List!$A:$A,0)),""))</f>
        <v/>
      </c>
      <c r="G1091" s="53">
        <f>IF(B1091="","",IFERROR(INDEX(Client_List!$K:$K,MATCH(VALUE(B1091),Client_List!$A:$A,0)),""))</f>
        <v/>
      </c>
      <c r="H1091" s="32">
        <f>IF(B1091="","",IFERROR(INDEX(Client_List!$J:$J,MATCH(VALUE(B1091),Client_List!$A:$A,0)),""))</f>
        <v/>
      </c>
      <c r="I1091" s="70">
        <f>IF(B1091="","",IFERROR(A1091-LOOKUP(2,1/($B$4:$B1090=B1091),$A$4:$A1090),""))</f>
        <v/>
      </c>
      <c r="J1091" s="32">
        <f>IF(B1091="","",IFERROR(D1091/I1091,""))</f>
        <v/>
      </c>
      <c r="K1091" s="71">
        <f>IF(B1091="","",IFERROR(AVERAGEIFS($J$4:$J1091,$B$4:$B1091,B1091,$J$4:$J1091,"&gt;"&amp;0),""))</f>
        <v/>
      </c>
      <c r="L1091" s="11" t="n"/>
    </row>
    <row r="1092" ht="14" customHeight="1" s="72">
      <c r="A1092" s="75" t="n">
        <v>46112</v>
      </c>
      <c r="B1092" s="76" t="n">
        <v>16003</v>
      </c>
      <c r="C1092" s="69">
        <f>IF(B1092="","",IFERROR(INDEX(Client_List!$B:$B,MATCH(B1092,Client_List!$A:$A,0)),"⚠ NOT FOUND"))</f>
        <v/>
      </c>
      <c r="D1092" s="43" t="n">
        <v>635</v>
      </c>
      <c r="E1092" s="32">
        <f>IF(B1092="","",IFERROR(INDEX(Client_List!$C:$C,MATCH(VALUE(B1092),Client_List!$A:$A,0)),""))</f>
        <v/>
      </c>
      <c r="F1092" s="53">
        <f>IF(B1092="","",IFERROR(INDEX(Client_List!$D:$D,MATCH(VALUE(B1092),Client_List!$A:$A,0)),""))</f>
        <v/>
      </c>
      <c r="G1092" s="53">
        <f>IF(B1092="","",IFERROR(INDEX(Client_List!$K:$K,MATCH(VALUE(B1092),Client_List!$A:$A,0)),""))</f>
        <v/>
      </c>
      <c r="H1092" s="32">
        <f>IF(B1092="","",IFERROR(INDEX(Client_List!$J:$J,MATCH(VALUE(B1092),Client_List!$A:$A,0)),""))</f>
        <v/>
      </c>
      <c r="I1092" s="70">
        <f>IF(B1092="","",IFERROR(A1092-LOOKUP(2,1/($B$4:$B1091=B1092),$A$4:$A1091),""))</f>
        <v/>
      </c>
      <c r="J1092" s="32">
        <f>IF(B1092="","",IFERROR(D1092/I1092,""))</f>
        <v/>
      </c>
      <c r="K1092" s="71">
        <f>IF(B1092="","",IFERROR(AVERAGEIFS($J$4:$J1092,$B$4:$B1092,B1092,$J$4:$J1092,"&gt;"&amp;0),""))</f>
        <v/>
      </c>
      <c r="L1092" s="12" t="n"/>
    </row>
    <row r="1093" ht="14" customHeight="1" s="72">
      <c r="A1093" s="75" t="n">
        <v>46112</v>
      </c>
      <c r="B1093" s="76" t="n">
        <v>16005</v>
      </c>
      <c r="C1093" s="69">
        <f>IF(B1093="","",IFERROR(INDEX(Client_List!$B:$B,MATCH(B1093,Client_List!$A:$A,0)),"⚠ NOT FOUND"))</f>
        <v/>
      </c>
      <c r="D1093" s="43" t="n">
        <v>912</v>
      </c>
      <c r="E1093" s="32">
        <f>IF(B1093="","",IFERROR(INDEX(Client_List!$C:$C,MATCH(VALUE(B1093),Client_List!$A:$A,0)),""))</f>
        <v/>
      </c>
      <c r="F1093" s="53">
        <f>IF(B1093="","",IFERROR(INDEX(Client_List!$D:$D,MATCH(VALUE(B1093),Client_List!$A:$A,0)),""))</f>
        <v/>
      </c>
      <c r="G1093" s="53">
        <f>IF(B1093="","",IFERROR(INDEX(Client_List!$K:$K,MATCH(VALUE(B1093),Client_List!$A:$A,0)),""))</f>
        <v/>
      </c>
      <c r="H1093" s="32">
        <f>IF(B1093="","",IFERROR(INDEX(Client_List!$J:$J,MATCH(VALUE(B1093),Client_List!$A:$A,0)),""))</f>
        <v/>
      </c>
      <c r="I1093" s="70">
        <f>IF(B1093="","",IFERROR(A1093-LOOKUP(2,1/($B$4:$B1092=B1093),$A$4:$A1092),""))</f>
        <v/>
      </c>
      <c r="J1093" s="32">
        <f>IF(B1093="","",IFERROR(D1093/I1093,""))</f>
        <v/>
      </c>
      <c r="K1093" s="71">
        <f>IF(B1093="","",IFERROR(AVERAGEIFS($J$4:$J1093,$B$4:$B1093,B1093,$J$4:$J1093,"&gt;"&amp;0),""))</f>
        <v/>
      </c>
      <c r="L1093" s="11" t="n"/>
    </row>
    <row r="1094" ht="14" customHeight="1" s="72">
      <c r="A1094" s="75" t="n">
        <v>46112</v>
      </c>
      <c r="B1094" s="76" t="n">
        <v>16006</v>
      </c>
      <c r="C1094" s="69">
        <f>IF(B1094="","",IFERROR(INDEX(Client_List!$B:$B,MATCH(B1094,Client_List!$A:$A,0)),"⚠ NOT FOUND"))</f>
        <v/>
      </c>
      <c r="D1094" s="43" t="n">
        <v>721</v>
      </c>
      <c r="E1094" s="32">
        <f>IF(B1094="","",IFERROR(INDEX(Client_List!$C:$C,MATCH(VALUE(B1094),Client_List!$A:$A,0)),""))</f>
        <v/>
      </c>
      <c r="F1094" s="53">
        <f>IF(B1094="","",IFERROR(INDEX(Client_List!$D:$D,MATCH(VALUE(B1094),Client_List!$A:$A,0)),""))</f>
        <v/>
      </c>
      <c r="G1094" s="53">
        <f>IF(B1094="","",IFERROR(INDEX(Client_List!$K:$K,MATCH(VALUE(B1094),Client_List!$A:$A,0)),""))</f>
        <v/>
      </c>
      <c r="H1094" s="32">
        <f>IF(B1094="","",IFERROR(INDEX(Client_List!$J:$J,MATCH(VALUE(B1094),Client_List!$A:$A,0)),""))</f>
        <v/>
      </c>
      <c r="I1094" s="70">
        <f>IF(B1094="","",IFERROR(A1094-LOOKUP(2,1/($B$4:$B1093=B1094),$A$4:$A1093),""))</f>
        <v/>
      </c>
      <c r="J1094" s="32">
        <f>IF(B1094="","",IFERROR(D1094/I1094,""))</f>
        <v/>
      </c>
      <c r="K1094" s="71">
        <f>IF(B1094="","",IFERROR(AVERAGEIFS($J$4:$J1094,$B$4:$B1094,B1094,$J$4:$J1094,"&gt;"&amp;0),""))</f>
        <v/>
      </c>
      <c r="L1094" s="12" t="n"/>
    </row>
    <row r="1095" ht="14" customHeight="1" s="72">
      <c r="A1095" s="75" t="n">
        <v>46112</v>
      </c>
      <c r="B1095" s="76" t="n">
        <v>16009</v>
      </c>
      <c r="C1095" s="69">
        <f>IF(B1095="","",IFERROR(INDEX(Client_List!$B:$B,MATCH(B1095,Client_List!$A:$A,0)),"⚠ NOT FOUND"))</f>
        <v/>
      </c>
      <c r="D1095" s="43" t="n">
        <v>1881</v>
      </c>
      <c r="E1095" s="32">
        <f>IF(B1095="","",IFERROR(INDEX(Client_List!$C:$C,MATCH(VALUE(B1095),Client_List!$A:$A,0)),""))</f>
        <v/>
      </c>
      <c r="F1095" s="53">
        <f>IF(B1095="","",IFERROR(INDEX(Client_List!$D:$D,MATCH(VALUE(B1095),Client_List!$A:$A,0)),""))</f>
        <v/>
      </c>
      <c r="G1095" s="53">
        <f>IF(B1095="","",IFERROR(INDEX(Client_List!$K:$K,MATCH(VALUE(B1095),Client_List!$A:$A,0)),""))</f>
        <v/>
      </c>
      <c r="H1095" s="32">
        <f>IF(B1095="","",IFERROR(INDEX(Client_List!$J:$J,MATCH(VALUE(B1095),Client_List!$A:$A,0)),""))</f>
        <v/>
      </c>
      <c r="I1095" s="70">
        <f>IF(B1095="","",IFERROR(A1095-LOOKUP(2,1/($B$4:$B1094=B1095),$A$4:$A1094),""))</f>
        <v/>
      </c>
      <c r="J1095" s="32">
        <f>IF(B1095="","",IFERROR(D1095/I1095,""))</f>
        <v/>
      </c>
      <c r="K1095" s="71">
        <f>IF(B1095="","",IFERROR(AVERAGEIFS($J$4:$J1095,$B$4:$B1095,B1095,$J$4:$J1095,"&gt;"&amp;0),""))</f>
        <v/>
      </c>
      <c r="L1095" s="11" t="n"/>
    </row>
    <row r="1096" ht="14" customHeight="1" s="72">
      <c r="A1096" s="75" t="n">
        <v>46112</v>
      </c>
      <c r="B1096" s="76" t="n">
        <v>19035</v>
      </c>
      <c r="C1096" s="69">
        <f>IF(B1096="","",IFERROR(INDEX(Client_List!$B:$B,MATCH(B1096,Client_List!$A:$A,0)),"⚠ NOT FOUND"))</f>
        <v/>
      </c>
      <c r="D1096" s="43" t="n">
        <v>374</v>
      </c>
      <c r="E1096" s="32">
        <f>IF(B1096="","",IFERROR(INDEX(Client_List!$C:$C,MATCH(VALUE(B1096),Client_List!$A:$A,0)),""))</f>
        <v/>
      </c>
      <c r="F1096" s="53">
        <f>IF(B1096="","",IFERROR(INDEX(Client_List!$D:$D,MATCH(VALUE(B1096),Client_List!$A:$A,0)),""))</f>
        <v/>
      </c>
      <c r="G1096" s="53">
        <f>IF(B1096="","",IFERROR(INDEX(Client_List!$K:$K,MATCH(VALUE(B1096),Client_List!$A:$A,0)),""))</f>
        <v/>
      </c>
      <c r="H1096" s="32">
        <f>IF(B1096="","",IFERROR(INDEX(Client_List!$J:$J,MATCH(VALUE(B1096),Client_List!$A:$A,0)),""))</f>
        <v/>
      </c>
      <c r="I1096" s="70">
        <f>IF(B1096="","",IFERROR(A1096-LOOKUP(2,1/($B$4:$B1095=B1096),$A$4:$A1095),""))</f>
        <v/>
      </c>
      <c r="J1096" s="32">
        <f>IF(B1096="","",IFERROR(D1096/I1096,""))</f>
        <v/>
      </c>
      <c r="K1096" s="71">
        <f>IF(B1096="","",IFERROR(AVERAGEIFS($J$4:$J1096,$B$4:$B1096,B1096,$J$4:$J1096,"&gt;"&amp;0),""))</f>
        <v/>
      </c>
      <c r="L1096" s="12" t="n"/>
    </row>
    <row r="1097" ht="14" customHeight="1" s="72">
      <c r="A1097" s="75" t="n">
        <v>46112</v>
      </c>
      <c r="B1097" s="76" t="n">
        <v>19110</v>
      </c>
      <c r="C1097" s="69">
        <f>IF(B1097="","",IFERROR(INDEX(Client_List!$B:$B,MATCH(B1097,Client_List!$A:$A,0)),"⚠ NOT FOUND"))</f>
        <v/>
      </c>
      <c r="D1097" s="43" t="n">
        <v>444</v>
      </c>
      <c r="E1097" s="32">
        <f>IF(B1097="","",IFERROR(INDEX(Client_List!$C:$C,MATCH(VALUE(B1097),Client_List!$A:$A,0)),""))</f>
        <v/>
      </c>
      <c r="F1097" s="53">
        <f>IF(B1097="","",IFERROR(INDEX(Client_List!$D:$D,MATCH(VALUE(B1097),Client_List!$A:$A,0)),""))</f>
        <v/>
      </c>
      <c r="G1097" s="53">
        <f>IF(B1097="","",IFERROR(INDEX(Client_List!$K:$K,MATCH(VALUE(B1097),Client_List!$A:$A,0)),""))</f>
        <v/>
      </c>
      <c r="H1097" s="32">
        <f>IF(B1097="","",IFERROR(INDEX(Client_List!$J:$J,MATCH(VALUE(B1097),Client_List!$A:$A,0)),""))</f>
        <v/>
      </c>
      <c r="I1097" s="70">
        <f>IF(B1097="","",IFERROR(A1097-LOOKUP(2,1/($B$4:$B1096=B1097),$A$4:$A1096),""))</f>
        <v/>
      </c>
      <c r="J1097" s="32">
        <f>IF(B1097="","",IFERROR(D1097/I1097,""))</f>
        <v/>
      </c>
      <c r="K1097" s="71">
        <f>IF(B1097="","",IFERROR(AVERAGEIFS($J$4:$J1097,$B$4:$B1097,B1097,$J$4:$J1097,"&gt;"&amp;0),""))</f>
        <v/>
      </c>
      <c r="L1097" s="11" t="n"/>
    </row>
    <row r="1098" ht="14" customHeight="1" s="72">
      <c r="A1098" s="75" t="n">
        <v>46112</v>
      </c>
      <c r="B1098" s="76" t="n">
        <v>19123</v>
      </c>
      <c r="C1098" s="69">
        <f>IF(B1098="","",IFERROR(INDEX(Client_List!$B:$B,MATCH(B1098,Client_List!$A:$A,0)),"⚠ NOT FOUND"))</f>
        <v/>
      </c>
      <c r="D1098" s="43" t="n">
        <v>444</v>
      </c>
      <c r="E1098" s="32">
        <f>IF(B1098="","",IFERROR(INDEX(Client_List!$C:$C,MATCH(VALUE(B1098),Client_List!$A:$A,0)),""))</f>
        <v/>
      </c>
      <c r="F1098" s="53">
        <f>IF(B1098="","",IFERROR(INDEX(Client_List!$D:$D,MATCH(VALUE(B1098),Client_List!$A:$A,0)),""))</f>
        <v/>
      </c>
      <c r="G1098" s="53">
        <f>IF(B1098="","",IFERROR(INDEX(Client_List!$K:$K,MATCH(VALUE(B1098),Client_List!$A:$A,0)),""))</f>
        <v/>
      </c>
      <c r="H1098" s="32">
        <f>IF(B1098="","",IFERROR(INDEX(Client_List!$J:$J,MATCH(VALUE(B1098),Client_List!$A:$A,0)),""))</f>
        <v/>
      </c>
      <c r="I1098" s="70">
        <f>IF(B1098="","",IFERROR(A1098-LOOKUP(2,1/($B$4:$B1097=B1098),$A$4:$A1097),""))</f>
        <v/>
      </c>
      <c r="J1098" s="32">
        <f>IF(B1098="","",IFERROR(D1098/I1098,""))</f>
        <v/>
      </c>
      <c r="K1098" s="71">
        <f>IF(B1098="","",IFERROR(AVERAGEIFS($J$4:$J1098,$B$4:$B1098,B1098,$J$4:$J1098,"&gt;"&amp;0),""))</f>
        <v/>
      </c>
      <c r="L1098" s="12" t="n"/>
    </row>
    <row r="1099" ht="14" customHeight="1" s="72">
      <c r="A1099" s="75" t="n">
        <v>46112</v>
      </c>
      <c r="B1099" s="76" t="n">
        <v>20088</v>
      </c>
      <c r="C1099" s="69">
        <f>IF(B1099="","",IFERROR(INDEX(Client_List!$B:$B,MATCH(B1099,Client_List!$A:$A,0)),"⚠ NOT FOUND"))</f>
        <v/>
      </c>
      <c r="D1099" s="43" t="n">
        <v>1025</v>
      </c>
      <c r="E1099" s="32">
        <f>IF(B1099="","",IFERROR(INDEX(Client_List!$C:$C,MATCH(VALUE(B1099),Client_List!$A:$A,0)),""))</f>
        <v/>
      </c>
      <c r="F1099" s="53">
        <f>IF(B1099="","",IFERROR(INDEX(Client_List!$D:$D,MATCH(VALUE(B1099),Client_List!$A:$A,0)),""))</f>
        <v/>
      </c>
      <c r="G1099" s="53">
        <f>IF(B1099="","",IFERROR(INDEX(Client_List!$K:$K,MATCH(VALUE(B1099),Client_List!$A:$A,0)),""))</f>
        <v/>
      </c>
      <c r="H1099" s="32">
        <f>IF(B1099="","",IFERROR(INDEX(Client_List!$J:$J,MATCH(VALUE(B1099),Client_List!$A:$A,0)),""))</f>
        <v/>
      </c>
      <c r="I1099" s="70">
        <f>IF(B1099="","",IFERROR(A1099-LOOKUP(2,1/($B$4:$B1098=B1099),$A$4:$A1098),""))</f>
        <v/>
      </c>
      <c r="J1099" s="32">
        <f>IF(B1099="","",IFERROR(D1099/I1099,""))</f>
        <v/>
      </c>
      <c r="K1099" s="71">
        <f>IF(B1099="","",IFERROR(AVERAGEIFS($J$4:$J1099,$B$4:$B1099,B1099,$J$4:$J1099,"&gt;"&amp;0),""))</f>
        <v/>
      </c>
      <c r="L1099" s="11" t="n"/>
    </row>
    <row r="1100" ht="14" customHeight="1" s="72">
      <c r="A1100" s="75" t="n">
        <v>46113</v>
      </c>
      <c r="B1100" s="76" t="n">
        <v>1000</v>
      </c>
      <c r="C1100" s="69">
        <f>IF(B1100="","",IFERROR(INDEX(Client_List!$B:$B,MATCH(B1100,Client_List!$A:$A,0)),"⚠ NOT FOUND"))</f>
        <v/>
      </c>
      <c r="D1100" s="43" t="n">
        <v>916</v>
      </c>
      <c r="E1100" s="32">
        <f>IF(B1100="","",IFERROR(INDEX(Client_List!$C:$C,MATCH(VALUE(B1100),Client_List!$A:$A,0)),""))</f>
        <v/>
      </c>
      <c r="F1100" s="53">
        <f>IF(B1100="","",IFERROR(INDEX(Client_List!$D:$D,MATCH(VALUE(B1100),Client_List!$A:$A,0)),""))</f>
        <v/>
      </c>
      <c r="G1100" s="53">
        <f>IF(B1100="","",IFERROR(INDEX(Client_List!$K:$K,MATCH(VALUE(B1100),Client_List!$A:$A,0)),""))</f>
        <v/>
      </c>
      <c r="H1100" s="32">
        <f>IF(B1100="","",IFERROR(INDEX(Client_List!$J:$J,MATCH(VALUE(B1100),Client_List!$A:$A,0)),""))</f>
        <v/>
      </c>
      <c r="I1100" s="70">
        <f>IF(B1100="","",IFERROR(A1100-LOOKUP(2,1/($B$4:$B1099=B1100),$A$4:$A1099),""))</f>
        <v/>
      </c>
      <c r="J1100" s="32">
        <f>IF(B1100="","",IFERROR(D1100/I1100,""))</f>
        <v/>
      </c>
      <c r="K1100" s="71">
        <f>IF(B1100="","",IFERROR(AVERAGEIFS($J$4:$J1100,$B$4:$B1100,B1100,$J$4:$J1100,"&gt;"&amp;0),""))</f>
        <v/>
      </c>
      <c r="L1100" s="12" t="n"/>
    </row>
    <row r="1101" ht="14" customHeight="1" s="72">
      <c r="A1101" s="75" t="n">
        <v>46113</v>
      </c>
      <c r="B1101" s="76" t="n">
        <v>1018</v>
      </c>
      <c r="C1101" s="69">
        <f>IF(B1101="","",IFERROR(INDEX(Client_List!$B:$B,MATCH(B1101,Client_List!$A:$A,0)),"⚠ NOT FOUND"))</f>
        <v/>
      </c>
      <c r="D1101" s="43" t="n">
        <v>975</v>
      </c>
      <c r="E1101" s="32">
        <f>IF(B1101="","",IFERROR(INDEX(Client_List!$C:$C,MATCH(VALUE(B1101),Client_List!$A:$A,0)),""))</f>
        <v/>
      </c>
      <c r="F1101" s="53">
        <f>IF(B1101="","",IFERROR(INDEX(Client_List!$D:$D,MATCH(VALUE(B1101),Client_List!$A:$A,0)),""))</f>
        <v/>
      </c>
      <c r="G1101" s="53">
        <f>IF(B1101="","",IFERROR(INDEX(Client_List!$K:$K,MATCH(VALUE(B1101),Client_List!$A:$A,0)),""))</f>
        <v/>
      </c>
      <c r="H1101" s="32">
        <f>IF(B1101="","",IFERROR(INDEX(Client_List!$J:$J,MATCH(VALUE(B1101),Client_List!$A:$A,0)),""))</f>
        <v/>
      </c>
      <c r="I1101" s="70">
        <f>IF(B1101="","",IFERROR(A1101-LOOKUP(2,1/($B$4:$B1100=B1101),$A$4:$A1100),""))</f>
        <v/>
      </c>
      <c r="J1101" s="32">
        <f>IF(B1101="","",IFERROR(D1101/I1101,""))</f>
        <v/>
      </c>
      <c r="K1101" s="71">
        <f>IF(B1101="","",IFERROR(AVERAGEIFS($J$4:$J1101,$B$4:$B1101,B1101,$J$4:$J1101,"&gt;"&amp;0),""))</f>
        <v/>
      </c>
      <c r="L1101" s="11" t="n"/>
    </row>
    <row r="1102" ht="14" customHeight="1" s="72">
      <c r="A1102" s="75" t="n">
        <v>46113</v>
      </c>
      <c r="B1102" s="76" t="n">
        <v>1081</v>
      </c>
      <c r="C1102" s="69">
        <f>IF(B1102="","",IFERROR(INDEX(Client_List!$B:$B,MATCH(B1102,Client_List!$A:$A,0)),"⚠ NOT FOUND"))</f>
        <v/>
      </c>
      <c r="D1102" s="43" t="n">
        <v>340</v>
      </c>
      <c r="E1102" s="32">
        <f>IF(B1102="","",IFERROR(INDEX(Client_List!$C:$C,MATCH(VALUE(B1102),Client_List!$A:$A,0)),""))</f>
        <v/>
      </c>
      <c r="F1102" s="53">
        <f>IF(B1102="","",IFERROR(INDEX(Client_List!$D:$D,MATCH(VALUE(B1102),Client_List!$A:$A,0)),""))</f>
        <v/>
      </c>
      <c r="G1102" s="53">
        <f>IF(B1102="","",IFERROR(INDEX(Client_List!$K:$K,MATCH(VALUE(B1102),Client_List!$A:$A,0)),""))</f>
        <v/>
      </c>
      <c r="H1102" s="32">
        <f>IF(B1102="","",IFERROR(INDEX(Client_List!$J:$J,MATCH(VALUE(B1102),Client_List!$A:$A,0)),""))</f>
        <v/>
      </c>
      <c r="I1102" s="70">
        <f>IF(B1102="","",IFERROR(A1102-LOOKUP(2,1/($B$4:$B1101=B1102),$A$4:$A1101),""))</f>
        <v/>
      </c>
      <c r="J1102" s="32">
        <f>IF(B1102="","",IFERROR(D1102/I1102,""))</f>
        <v/>
      </c>
      <c r="K1102" s="71">
        <f>IF(B1102="","",IFERROR(AVERAGEIFS($J$4:$J1102,$B$4:$B1102,B1102,$J$4:$J1102,"&gt;"&amp;0),""))</f>
        <v/>
      </c>
      <c r="L1102" s="12" t="n"/>
    </row>
    <row r="1103" ht="14" customHeight="1" s="72">
      <c r="A1103" s="75" t="n">
        <v>46113</v>
      </c>
      <c r="B1103" s="76" t="n">
        <v>2017</v>
      </c>
      <c r="C1103" s="69">
        <f>IF(B1103="","",IFERROR(INDEX(Client_List!$B:$B,MATCH(B1103,Client_List!$A:$A,0)),"⚠ NOT FOUND"))</f>
        <v/>
      </c>
      <c r="D1103" s="43" t="n">
        <v>470</v>
      </c>
      <c r="E1103" s="32">
        <f>IF(B1103="","",IFERROR(INDEX(Client_List!$C:$C,MATCH(VALUE(B1103),Client_List!$A:$A,0)),""))</f>
        <v/>
      </c>
      <c r="F1103" s="53">
        <f>IF(B1103="","",IFERROR(INDEX(Client_List!$D:$D,MATCH(VALUE(B1103),Client_List!$A:$A,0)),""))</f>
        <v/>
      </c>
      <c r="G1103" s="53">
        <f>IF(B1103="","",IFERROR(INDEX(Client_List!$K:$K,MATCH(VALUE(B1103),Client_List!$A:$A,0)),""))</f>
        <v/>
      </c>
      <c r="H1103" s="32">
        <f>IF(B1103="","",IFERROR(INDEX(Client_List!$J:$J,MATCH(VALUE(B1103),Client_List!$A:$A,0)),""))</f>
        <v/>
      </c>
      <c r="I1103" s="70">
        <f>IF(B1103="","",IFERROR(A1103-LOOKUP(2,1/($B$4:$B1102=B1103),$A$4:$A1102),""))</f>
        <v/>
      </c>
      <c r="J1103" s="32">
        <f>IF(B1103="","",IFERROR(D1103/I1103,""))</f>
        <v/>
      </c>
      <c r="K1103" s="71">
        <f>IF(B1103="","",IFERROR(AVERAGEIFS($J$4:$J1103,$B$4:$B1103,B1103,$J$4:$J1103,"&gt;"&amp;0),""))</f>
        <v/>
      </c>
      <c r="L1103" s="11" t="n"/>
    </row>
    <row r="1104" ht="14" customHeight="1" s="72">
      <c r="A1104" s="75" t="n">
        <v>46113</v>
      </c>
      <c r="B1104" s="76" t="n">
        <v>2021</v>
      </c>
      <c r="C1104" s="69">
        <f>IF(B1104="","",IFERROR(INDEX(Client_List!$B:$B,MATCH(B1104,Client_List!$A:$A,0)),"⚠ NOT FOUND"))</f>
        <v/>
      </c>
      <c r="D1104" s="43" t="n">
        <v>346</v>
      </c>
      <c r="E1104" s="32">
        <f>IF(B1104="","",IFERROR(INDEX(Client_List!$C:$C,MATCH(VALUE(B1104),Client_List!$A:$A,0)),""))</f>
        <v/>
      </c>
      <c r="F1104" s="53">
        <f>IF(B1104="","",IFERROR(INDEX(Client_List!$D:$D,MATCH(VALUE(B1104),Client_List!$A:$A,0)),""))</f>
        <v/>
      </c>
      <c r="G1104" s="53">
        <f>IF(B1104="","",IFERROR(INDEX(Client_List!$K:$K,MATCH(VALUE(B1104),Client_List!$A:$A,0)),""))</f>
        <v/>
      </c>
      <c r="H1104" s="32">
        <f>IF(B1104="","",IFERROR(INDEX(Client_List!$J:$J,MATCH(VALUE(B1104),Client_List!$A:$A,0)),""))</f>
        <v/>
      </c>
      <c r="I1104" s="70">
        <f>IF(B1104="","",IFERROR(A1104-LOOKUP(2,1/($B$4:$B1103=B1104),$A$4:$A1103),""))</f>
        <v/>
      </c>
      <c r="J1104" s="32">
        <f>IF(B1104="","",IFERROR(D1104/I1104,""))</f>
        <v/>
      </c>
      <c r="K1104" s="71">
        <f>IF(B1104="","",IFERROR(AVERAGEIFS($J$4:$J1104,$B$4:$B1104,B1104,$J$4:$J1104,"&gt;"&amp;0),""))</f>
        <v/>
      </c>
      <c r="L1104" s="12" t="n"/>
    </row>
    <row r="1105" ht="14" customHeight="1" s="72">
      <c r="A1105" s="75" t="n">
        <v>46113</v>
      </c>
      <c r="B1105" s="76" t="n">
        <v>2067</v>
      </c>
      <c r="C1105" s="69">
        <f>IF(B1105="","",IFERROR(INDEX(Client_List!$B:$B,MATCH(B1105,Client_List!$A:$A,0)),"⚠ NOT FOUND"))</f>
        <v/>
      </c>
      <c r="D1105" s="43" t="n">
        <v>644</v>
      </c>
      <c r="E1105" s="32">
        <f>IF(B1105="","",IFERROR(INDEX(Client_List!$C:$C,MATCH(VALUE(B1105),Client_List!$A:$A,0)),""))</f>
        <v/>
      </c>
      <c r="F1105" s="53">
        <f>IF(B1105="","",IFERROR(INDEX(Client_List!$D:$D,MATCH(VALUE(B1105),Client_List!$A:$A,0)),""))</f>
        <v/>
      </c>
      <c r="G1105" s="53">
        <f>IF(B1105="","",IFERROR(INDEX(Client_List!$K:$K,MATCH(VALUE(B1105),Client_List!$A:$A,0)),""))</f>
        <v/>
      </c>
      <c r="H1105" s="32">
        <f>IF(B1105="","",IFERROR(INDEX(Client_List!$J:$J,MATCH(VALUE(B1105),Client_List!$A:$A,0)),""))</f>
        <v/>
      </c>
      <c r="I1105" s="70">
        <f>IF(B1105="","",IFERROR(A1105-LOOKUP(2,1/($B$4:$B1104=B1105),$A$4:$A1104),""))</f>
        <v/>
      </c>
      <c r="J1105" s="32">
        <f>IF(B1105="","",IFERROR(D1105/I1105,""))</f>
        <v/>
      </c>
      <c r="K1105" s="71">
        <f>IF(B1105="","",IFERROR(AVERAGEIFS($J$4:$J1105,$B$4:$B1105,B1105,$J$4:$J1105,"&gt;"&amp;0),""))</f>
        <v/>
      </c>
      <c r="L1105" s="11" t="n"/>
    </row>
    <row r="1106" ht="14" customHeight="1" s="72">
      <c r="A1106" s="75" t="n">
        <v>46113</v>
      </c>
      <c r="B1106" s="76" t="n">
        <v>3046</v>
      </c>
      <c r="C1106" s="69">
        <f>IF(B1106="","",IFERROR(INDEX(Client_List!$B:$B,MATCH(B1106,Client_List!$A:$A,0)),"⚠ NOT FOUND"))</f>
        <v/>
      </c>
      <c r="D1106" s="43" t="n">
        <v>851</v>
      </c>
      <c r="E1106" s="32">
        <f>IF(B1106="","",IFERROR(INDEX(Client_List!$C:$C,MATCH(VALUE(B1106),Client_List!$A:$A,0)),""))</f>
        <v/>
      </c>
      <c r="F1106" s="53">
        <f>IF(B1106="","",IFERROR(INDEX(Client_List!$D:$D,MATCH(VALUE(B1106),Client_List!$A:$A,0)),""))</f>
        <v/>
      </c>
      <c r="G1106" s="53">
        <f>IF(B1106="","",IFERROR(INDEX(Client_List!$K:$K,MATCH(VALUE(B1106),Client_List!$A:$A,0)),""))</f>
        <v/>
      </c>
      <c r="H1106" s="32">
        <f>IF(B1106="","",IFERROR(INDEX(Client_List!$J:$J,MATCH(VALUE(B1106),Client_List!$A:$A,0)),""))</f>
        <v/>
      </c>
      <c r="I1106" s="70">
        <f>IF(B1106="","",IFERROR(A1106-LOOKUP(2,1/($B$4:$B1105=B1106),$A$4:$A1105),""))</f>
        <v/>
      </c>
      <c r="J1106" s="32">
        <f>IF(B1106="","",IFERROR(D1106/I1106,""))</f>
        <v/>
      </c>
      <c r="K1106" s="71">
        <f>IF(B1106="","",IFERROR(AVERAGEIFS($J$4:$J1106,$B$4:$B1106,B1106,$J$4:$J1106,"&gt;"&amp;0),""))</f>
        <v/>
      </c>
      <c r="L1106" s="12" t="n"/>
    </row>
    <row r="1107" ht="14" customHeight="1" s="72">
      <c r="A1107" s="75" t="n">
        <v>46113</v>
      </c>
      <c r="B1107" s="76" t="inlineStr">
        <is>
          <t>4015A</t>
        </is>
      </c>
      <c r="C1107" s="69">
        <f>IF(B1107="","",IFERROR(INDEX(Client_List!$B:$B,MATCH(B1107,Client_List!$A:$A,0)),"⚠ NOT FOUND"))</f>
        <v/>
      </c>
      <c r="D1107" s="43" t="n">
        <v>399</v>
      </c>
      <c r="E1107" s="32">
        <f>IF(B1107="","",IFERROR(INDEX(Client_List!$C:$C,MATCH(VALUE(B1107),Client_List!$A:$A,0)),""))</f>
        <v/>
      </c>
      <c r="F1107" s="53">
        <f>IF(B1107="","",IFERROR(INDEX(Client_List!$D:$D,MATCH(VALUE(B1107),Client_List!$A:$A,0)),""))</f>
        <v/>
      </c>
      <c r="G1107" s="53">
        <f>IF(B1107="","",IFERROR(INDEX(Client_List!$K:$K,MATCH(VALUE(B1107),Client_List!$A:$A,0)),""))</f>
        <v/>
      </c>
      <c r="H1107" s="32">
        <f>IF(B1107="","",IFERROR(INDEX(Client_List!$J:$J,MATCH(VALUE(B1107),Client_List!$A:$A,0)),""))</f>
        <v/>
      </c>
      <c r="I1107" s="70">
        <f>IF(B1107="","",IFERROR(A1107-LOOKUP(2,1/($B$4:$B1106=B1107),$A$4:$A1106),""))</f>
        <v/>
      </c>
      <c r="J1107" s="32">
        <f>IF(B1107="","",IFERROR(D1107/I1107,""))</f>
        <v/>
      </c>
      <c r="K1107" s="71">
        <f>IF(B1107="","",IFERROR(AVERAGEIFS($J$4:$J1107,$B$4:$B1107,B1107,$J$4:$J1107,"&gt;"&amp;0),""))</f>
        <v/>
      </c>
      <c r="L1107" s="11" t="n"/>
    </row>
    <row r="1108" ht="14" customHeight="1" s="72">
      <c r="A1108" s="75" t="n">
        <v>46113</v>
      </c>
      <c r="B1108" s="76" t="n">
        <v>5018</v>
      </c>
      <c r="C1108" s="69">
        <f>IF(B1108="","",IFERROR(INDEX(Client_List!$B:$B,MATCH(B1108,Client_List!$A:$A,0)),"⚠ NOT FOUND"))</f>
        <v/>
      </c>
      <c r="D1108" s="43" t="n">
        <v>262</v>
      </c>
      <c r="E1108" s="32">
        <f>IF(B1108="","",IFERROR(INDEX(Client_List!$C:$C,MATCH(VALUE(B1108),Client_List!$A:$A,0)),""))</f>
        <v/>
      </c>
      <c r="F1108" s="53">
        <f>IF(B1108="","",IFERROR(INDEX(Client_List!$D:$D,MATCH(VALUE(B1108),Client_List!$A:$A,0)),""))</f>
        <v/>
      </c>
      <c r="G1108" s="53">
        <f>IF(B1108="","",IFERROR(INDEX(Client_List!$K:$K,MATCH(VALUE(B1108),Client_List!$A:$A,0)),""))</f>
        <v/>
      </c>
      <c r="H1108" s="32">
        <f>IF(B1108="","",IFERROR(INDEX(Client_List!$J:$J,MATCH(VALUE(B1108),Client_List!$A:$A,0)),""))</f>
        <v/>
      </c>
      <c r="I1108" s="70">
        <f>IF(B1108="","",IFERROR(A1108-LOOKUP(2,1/($B$4:$B1107=B1108),$A$4:$A1107),""))</f>
        <v/>
      </c>
      <c r="J1108" s="32">
        <f>IF(B1108="","",IFERROR(D1108/I1108,""))</f>
        <v/>
      </c>
      <c r="K1108" s="71">
        <f>IF(B1108="","",IFERROR(AVERAGEIFS($J$4:$J1108,$B$4:$B1108,B1108,$J$4:$J1108,"&gt;"&amp;0),""))</f>
        <v/>
      </c>
      <c r="L1108" s="12" t="n"/>
    </row>
    <row r="1109" ht="14" customHeight="1" s="72">
      <c r="A1109" s="75" t="n">
        <v>46113</v>
      </c>
      <c r="B1109" s="76" t="n">
        <v>13012</v>
      </c>
      <c r="C1109" s="69">
        <f>IF(B1109="","",IFERROR(INDEX(Client_List!$B:$B,MATCH(B1109,Client_List!$A:$A,0)),"⚠ NOT FOUND"))</f>
        <v/>
      </c>
      <c r="D1109" s="43" t="n">
        <v>972</v>
      </c>
      <c r="E1109" s="32">
        <f>IF(B1109="","",IFERROR(INDEX(Client_List!$C:$C,MATCH(VALUE(B1109),Client_List!$A:$A,0)),""))</f>
        <v/>
      </c>
      <c r="F1109" s="53">
        <f>IF(B1109="","",IFERROR(INDEX(Client_List!$D:$D,MATCH(VALUE(B1109),Client_List!$A:$A,0)),""))</f>
        <v/>
      </c>
      <c r="G1109" s="53">
        <f>IF(B1109="","",IFERROR(INDEX(Client_List!$K:$K,MATCH(VALUE(B1109),Client_List!$A:$A,0)),""))</f>
        <v/>
      </c>
      <c r="H1109" s="32">
        <f>IF(B1109="","",IFERROR(INDEX(Client_List!$J:$J,MATCH(VALUE(B1109),Client_List!$A:$A,0)),""))</f>
        <v/>
      </c>
      <c r="I1109" s="70">
        <f>IF(B1109="","",IFERROR(A1109-LOOKUP(2,1/($B$4:$B1108=B1109),$A$4:$A1108),""))</f>
        <v/>
      </c>
      <c r="J1109" s="32">
        <f>IF(B1109="","",IFERROR(D1109/I1109,""))</f>
        <v/>
      </c>
      <c r="K1109" s="71">
        <f>IF(B1109="","",IFERROR(AVERAGEIFS($J$4:$J1109,$B$4:$B1109,B1109,$J$4:$J1109,"&gt;"&amp;0),""))</f>
        <v/>
      </c>
      <c r="L1109" s="11" t="n"/>
    </row>
    <row r="1110" ht="14" customHeight="1" s="72">
      <c r="A1110" s="75" t="n">
        <v>46113</v>
      </c>
      <c r="B1110" s="76" t="n">
        <v>13069</v>
      </c>
      <c r="C1110" s="69">
        <f>IF(B1110="","",IFERROR(INDEX(Client_List!$B:$B,MATCH(B1110,Client_List!$A:$A,0)),"⚠ NOT FOUND"))</f>
        <v/>
      </c>
      <c r="D1110" s="43" t="n">
        <v>905</v>
      </c>
      <c r="E1110" s="32">
        <f>IF(B1110="","",IFERROR(INDEX(Client_List!$C:$C,MATCH(VALUE(B1110),Client_List!$A:$A,0)),""))</f>
        <v/>
      </c>
      <c r="F1110" s="53">
        <f>IF(B1110="","",IFERROR(INDEX(Client_List!$D:$D,MATCH(VALUE(B1110),Client_List!$A:$A,0)),""))</f>
        <v/>
      </c>
      <c r="G1110" s="53">
        <f>IF(B1110="","",IFERROR(INDEX(Client_List!$K:$K,MATCH(VALUE(B1110),Client_List!$A:$A,0)),""))</f>
        <v/>
      </c>
      <c r="H1110" s="32">
        <f>IF(B1110="","",IFERROR(INDEX(Client_List!$J:$J,MATCH(VALUE(B1110),Client_List!$A:$A,0)),""))</f>
        <v/>
      </c>
      <c r="I1110" s="70">
        <f>IF(B1110="","",IFERROR(A1110-LOOKUP(2,1/($B$4:$B1109=B1110),$A$4:$A1109),""))</f>
        <v/>
      </c>
      <c r="J1110" s="32">
        <f>IF(B1110="","",IFERROR(D1110/I1110,""))</f>
        <v/>
      </c>
      <c r="K1110" s="71">
        <f>IF(B1110="","",IFERROR(AVERAGEIFS($J$4:$J1110,$B$4:$B1110,B1110,$J$4:$J1110,"&gt;"&amp;0),""))</f>
        <v/>
      </c>
      <c r="L1110" s="12" t="n"/>
    </row>
    <row r="1111" ht="14" customHeight="1" s="72">
      <c r="A1111" s="75" t="n">
        <v>46113</v>
      </c>
      <c r="B1111" s="76" t="n">
        <v>15007</v>
      </c>
      <c r="C1111" s="69">
        <f>IF(B1111="","",IFERROR(INDEX(Client_List!$B:$B,MATCH(B1111,Client_List!$A:$A,0)),"⚠ NOT FOUND"))</f>
        <v/>
      </c>
      <c r="D1111" s="43" t="n">
        <v>632</v>
      </c>
      <c r="E1111" s="32">
        <f>IF(B1111="","",IFERROR(INDEX(Client_List!$C:$C,MATCH(VALUE(B1111),Client_List!$A:$A,0)),""))</f>
        <v/>
      </c>
      <c r="F1111" s="53">
        <f>IF(B1111="","",IFERROR(INDEX(Client_List!$D:$D,MATCH(VALUE(B1111),Client_List!$A:$A,0)),""))</f>
        <v/>
      </c>
      <c r="G1111" s="53">
        <f>IF(B1111="","",IFERROR(INDEX(Client_List!$K:$K,MATCH(VALUE(B1111),Client_List!$A:$A,0)),""))</f>
        <v/>
      </c>
      <c r="H1111" s="32">
        <f>IF(B1111="","",IFERROR(INDEX(Client_List!$J:$J,MATCH(VALUE(B1111),Client_List!$A:$A,0)),""))</f>
        <v/>
      </c>
      <c r="I1111" s="70">
        <f>IF(B1111="","",IFERROR(A1111-LOOKUP(2,1/($B$4:$B1110=B1111),$A$4:$A1110),""))</f>
        <v/>
      </c>
      <c r="J1111" s="32">
        <f>IF(B1111="","",IFERROR(D1111/I1111,""))</f>
        <v/>
      </c>
      <c r="K1111" s="71">
        <f>IF(B1111="","",IFERROR(AVERAGEIFS($J$4:$J1111,$B$4:$B1111,B1111,$J$4:$J1111,"&gt;"&amp;0),""))</f>
        <v/>
      </c>
      <c r="L1111" s="11" t="n"/>
    </row>
    <row r="1112" ht="14" customHeight="1" s="72">
      <c r="A1112" s="75" t="n">
        <v>46113</v>
      </c>
      <c r="B1112" s="76" t="n">
        <v>16004</v>
      </c>
      <c r="C1112" s="69">
        <f>IF(B1112="","",IFERROR(INDEX(Client_List!$B:$B,MATCH(B1112,Client_List!$A:$A,0)),"⚠ NOT FOUND"))</f>
        <v/>
      </c>
      <c r="D1112" s="43" t="n">
        <v>636</v>
      </c>
      <c r="E1112" s="32">
        <f>IF(B1112="","",IFERROR(INDEX(Client_List!$C:$C,MATCH(VALUE(B1112),Client_List!$A:$A,0)),""))</f>
        <v/>
      </c>
      <c r="F1112" s="53">
        <f>IF(B1112="","",IFERROR(INDEX(Client_List!$D:$D,MATCH(VALUE(B1112),Client_List!$A:$A,0)),""))</f>
        <v/>
      </c>
      <c r="G1112" s="53">
        <f>IF(B1112="","",IFERROR(INDEX(Client_List!$K:$K,MATCH(VALUE(B1112),Client_List!$A:$A,0)),""))</f>
        <v/>
      </c>
      <c r="H1112" s="32">
        <f>IF(B1112="","",IFERROR(INDEX(Client_List!$J:$J,MATCH(VALUE(B1112),Client_List!$A:$A,0)),""))</f>
        <v/>
      </c>
      <c r="I1112" s="70">
        <f>IF(B1112="","",IFERROR(A1112-LOOKUP(2,1/($B$4:$B1111=B1112),$A$4:$A1111),""))</f>
        <v/>
      </c>
      <c r="J1112" s="32">
        <f>IF(B1112="","",IFERROR(D1112/I1112,""))</f>
        <v/>
      </c>
      <c r="K1112" s="71">
        <f>IF(B1112="","",IFERROR(AVERAGEIFS($J$4:$J1112,$B$4:$B1112,B1112,$J$4:$J1112,"&gt;"&amp;0),""))</f>
        <v/>
      </c>
      <c r="L1112" s="12" t="n"/>
    </row>
    <row r="1113" ht="14" customHeight="1" s="72">
      <c r="A1113" s="75" t="n">
        <v>46113</v>
      </c>
      <c r="B1113" s="76" t="n">
        <v>16009</v>
      </c>
      <c r="C1113" s="69">
        <f>IF(B1113="","",IFERROR(INDEX(Client_List!$B:$B,MATCH(B1113,Client_List!$A:$A,0)),"⚠ NOT FOUND"))</f>
        <v/>
      </c>
      <c r="D1113" s="43" t="n">
        <v>778</v>
      </c>
      <c r="E1113" s="32">
        <f>IF(B1113="","",IFERROR(INDEX(Client_List!$C:$C,MATCH(VALUE(B1113),Client_List!$A:$A,0)),""))</f>
        <v/>
      </c>
      <c r="F1113" s="53">
        <f>IF(B1113="","",IFERROR(INDEX(Client_List!$D:$D,MATCH(VALUE(B1113),Client_List!$A:$A,0)),""))</f>
        <v/>
      </c>
      <c r="G1113" s="53">
        <f>IF(B1113="","",IFERROR(INDEX(Client_List!$K:$K,MATCH(VALUE(B1113),Client_List!$A:$A,0)),""))</f>
        <v/>
      </c>
      <c r="H1113" s="32">
        <f>IF(B1113="","",IFERROR(INDEX(Client_List!$J:$J,MATCH(VALUE(B1113),Client_List!$A:$A,0)),""))</f>
        <v/>
      </c>
      <c r="I1113" s="70">
        <f>IF(B1113="","",IFERROR(A1113-LOOKUP(2,1/($B$4:$B1112=B1113),$A$4:$A1112),""))</f>
        <v/>
      </c>
      <c r="J1113" s="32">
        <f>IF(B1113="","",IFERROR(D1113/I1113,""))</f>
        <v/>
      </c>
      <c r="K1113" s="71">
        <f>IF(B1113="","",IFERROR(AVERAGEIFS($J$4:$J1113,$B$4:$B1113,B1113,$J$4:$J1113,"&gt;"&amp;0),""))</f>
        <v/>
      </c>
      <c r="L1113" s="11" t="n"/>
    </row>
    <row r="1114" ht="14" customHeight="1" s="72">
      <c r="A1114" s="75" t="n">
        <v>46113</v>
      </c>
      <c r="B1114" s="76" t="n">
        <v>16010</v>
      </c>
      <c r="C1114" s="69">
        <f>IF(B1114="","",IFERROR(INDEX(Client_List!$B:$B,MATCH(B1114,Client_List!$A:$A,0)),"⚠ NOT FOUND"))</f>
        <v/>
      </c>
      <c r="D1114" s="43" t="n">
        <v>1482</v>
      </c>
      <c r="E1114" s="32">
        <f>IF(B1114="","",IFERROR(INDEX(Client_List!$C:$C,MATCH(VALUE(B1114),Client_List!$A:$A,0)),""))</f>
        <v/>
      </c>
      <c r="F1114" s="53">
        <f>IF(B1114="","",IFERROR(INDEX(Client_List!$D:$D,MATCH(VALUE(B1114),Client_List!$A:$A,0)),""))</f>
        <v/>
      </c>
      <c r="G1114" s="53">
        <f>IF(B1114="","",IFERROR(INDEX(Client_List!$K:$K,MATCH(VALUE(B1114),Client_List!$A:$A,0)),""))</f>
        <v/>
      </c>
      <c r="H1114" s="32">
        <f>IF(B1114="","",IFERROR(INDEX(Client_List!$J:$J,MATCH(VALUE(B1114),Client_List!$A:$A,0)),""))</f>
        <v/>
      </c>
      <c r="I1114" s="70">
        <f>IF(B1114="","",IFERROR(A1114-LOOKUP(2,1/($B$4:$B1113=B1114),$A$4:$A1113),""))</f>
        <v/>
      </c>
      <c r="J1114" s="32">
        <f>IF(B1114="","",IFERROR(D1114/I1114,""))</f>
        <v/>
      </c>
      <c r="K1114" s="71">
        <f>IF(B1114="","",IFERROR(AVERAGEIFS($J$4:$J1114,$B$4:$B1114,B1114,$J$4:$J1114,"&gt;"&amp;0),""))</f>
        <v/>
      </c>
      <c r="L1114" s="12" t="n"/>
    </row>
    <row r="1115" ht="14" customHeight="1" s="72">
      <c r="A1115" s="75" t="n">
        <v>46113</v>
      </c>
      <c r="B1115" s="76" t="n">
        <v>16018</v>
      </c>
      <c r="C1115" s="69">
        <f>IF(B1115="","",IFERROR(INDEX(Client_List!$B:$B,MATCH(B1115,Client_List!$A:$A,0)),"⚠ NOT FOUND"))</f>
        <v/>
      </c>
      <c r="D1115" s="43" t="n">
        <v>778</v>
      </c>
      <c r="E1115" s="32">
        <f>IF(B1115="","",IFERROR(INDEX(Client_List!$C:$C,MATCH(VALUE(B1115),Client_List!$A:$A,0)),""))</f>
        <v/>
      </c>
      <c r="F1115" s="53">
        <f>IF(B1115="","",IFERROR(INDEX(Client_List!$D:$D,MATCH(VALUE(B1115),Client_List!$A:$A,0)),""))</f>
        <v/>
      </c>
      <c r="G1115" s="53">
        <f>IF(B1115="","",IFERROR(INDEX(Client_List!$K:$K,MATCH(VALUE(B1115),Client_List!$A:$A,0)),""))</f>
        <v/>
      </c>
      <c r="H1115" s="32">
        <f>IF(B1115="","",IFERROR(INDEX(Client_List!$J:$J,MATCH(VALUE(B1115),Client_List!$A:$A,0)),""))</f>
        <v/>
      </c>
      <c r="I1115" s="70">
        <f>IF(B1115="","",IFERROR(A1115-LOOKUP(2,1/($B$4:$B1114=B1115),$A$4:$A1114),""))</f>
        <v/>
      </c>
      <c r="J1115" s="32">
        <f>IF(B1115="","",IFERROR(D1115/I1115,""))</f>
        <v/>
      </c>
      <c r="K1115" s="71">
        <f>IF(B1115="","",IFERROR(AVERAGEIFS($J$4:$J1115,$B$4:$B1115,B1115,$J$4:$J1115,"&gt;"&amp;0),""))</f>
        <v/>
      </c>
      <c r="L1115" s="11" t="n"/>
    </row>
    <row r="1116" ht="14" customHeight="1" s="72">
      <c r="A1116" s="75" t="n">
        <v>46113</v>
      </c>
      <c r="B1116" s="76" t="n">
        <v>18004</v>
      </c>
      <c r="C1116" s="69">
        <f>IF(B1116="","",IFERROR(INDEX(Client_List!$B:$B,MATCH(B1116,Client_List!$A:$A,0)),"⚠ NOT FOUND"))</f>
        <v/>
      </c>
      <c r="D1116" s="43" t="n">
        <v>479</v>
      </c>
      <c r="E1116" s="32">
        <f>IF(B1116="","",IFERROR(INDEX(Client_List!$C:$C,MATCH(VALUE(B1116),Client_List!$A:$A,0)),""))</f>
        <v/>
      </c>
      <c r="F1116" s="53">
        <f>IF(B1116="","",IFERROR(INDEX(Client_List!$D:$D,MATCH(VALUE(B1116),Client_List!$A:$A,0)),""))</f>
        <v/>
      </c>
      <c r="G1116" s="53">
        <f>IF(B1116="","",IFERROR(INDEX(Client_List!$K:$K,MATCH(VALUE(B1116),Client_List!$A:$A,0)),""))</f>
        <v/>
      </c>
      <c r="H1116" s="32">
        <f>IF(B1116="","",IFERROR(INDEX(Client_List!$J:$J,MATCH(VALUE(B1116),Client_List!$A:$A,0)),""))</f>
        <v/>
      </c>
      <c r="I1116" s="70">
        <f>IF(B1116="","",IFERROR(A1116-LOOKUP(2,1/($B$4:$B1115=B1116),$A$4:$A1115),""))</f>
        <v/>
      </c>
      <c r="J1116" s="32">
        <f>IF(B1116="","",IFERROR(D1116/I1116,""))</f>
        <v/>
      </c>
      <c r="K1116" s="71">
        <f>IF(B1116="","",IFERROR(AVERAGEIFS($J$4:$J1116,$B$4:$B1116,B1116,$J$4:$J1116,"&gt;"&amp;0),""))</f>
        <v/>
      </c>
      <c r="L1116" s="12" t="n"/>
    </row>
    <row r="1117" ht="14" customHeight="1" s="72">
      <c r="A1117" s="75" t="n">
        <v>46113</v>
      </c>
      <c r="B1117" s="76" t="n">
        <v>19031</v>
      </c>
      <c r="C1117" s="69">
        <f>IF(B1117="","",IFERROR(INDEX(Client_List!$B:$B,MATCH(B1117,Client_List!$A:$A,0)),"⚠ NOT FOUND"))</f>
        <v/>
      </c>
      <c r="D1117" s="43" t="n">
        <v>658</v>
      </c>
      <c r="E1117" s="32">
        <f>IF(B1117="","",IFERROR(INDEX(Client_List!$C:$C,MATCH(VALUE(B1117),Client_List!$A:$A,0)),""))</f>
        <v/>
      </c>
      <c r="F1117" s="53">
        <f>IF(B1117="","",IFERROR(INDEX(Client_List!$D:$D,MATCH(VALUE(B1117),Client_List!$A:$A,0)),""))</f>
        <v/>
      </c>
      <c r="G1117" s="53">
        <f>IF(B1117="","",IFERROR(INDEX(Client_List!$K:$K,MATCH(VALUE(B1117),Client_List!$A:$A,0)),""))</f>
        <v/>
      </c>
      <c r="H1117" s="32">
        <f>IF(B1117="","",IFERROR(INDEX(Client_List!$J:$J,MATCH(VALUE(B1117),Client_List!$A:$A,0)),""))</f>
        <v/>
      </c>
      <c r="I1117" s="70">
        <f>IF(B1117="","",IFERROR(A1117-LOOKUP(2,1/($B$4:$B1116=B1117),$A$4:$A1116),""))</f>
        <v/>
      </c>
      <c r="J1117" s="32">
        <f>IF(B1117="","",IFERROR(D1117/I1117,""))</f>
        <v/>
      </c>
      <c r="K1117" s="71">
        <f>IF(B1117="","",IFERROR(AVERAGEIFS($J$4:$J1117,$B$4:$B1117,B1117,$J$4:$J1117,"&gt;"&amp;0),""))</f>
        <v/>
      </c>
      <c r="L1117" s="11" t="n"/>
    </row>
    <row r="1118" ht="14" customHeight="1" s="72">
      <c r="A1118" s="75" t="n">
        <v>46113</v>
      </c>
      <c r="B1118" s="76" t="n">
        <v>19081</v>
      </c>
      <c r="C1118" s="69">
        <f>IF(B1118="","",IFERROR(INDEX(Client_List!$B:$B,MATCH(B1118,Client_List!$A:$A,0)),"⚠ NOT FOUND"))</f>
        <v/>
      </c>
      <c r="D1118" s="43" t="n">
        <v>244</v>
      </c>
      <c r="E1118" s="32">
        <f>IF(B1118="","",IFERROR(INDEX(Client_List!$C:$C,MATCH(VALUE(B1118),Client_List!$A:$A,0)),""))</f>
        <v/>
      </c>
      <c r="F1118" s="53">
        <f>IF(B1118="","",IFERROR(INDEX(Client_List!$D:$D,MATCH(VALUE(B1118),Client_List!$A:$A,0)),""))</f>
        <v/>
      </c>
      <c r="G1118" s="53">
        <f>IF(B1118="","",IFERROR(INDEX(Client_List!$K:$K,MATCH(VALUE(B1118),Client_List!$A:$A,0)),""))</f>
        <v/>
      </c>
      <c r="H1118" s="32">
        <f>IF(B1118="","",IFERROR(INDEX(Client_List!$J:$J,MATCH(VALUE(B1118),Client_List!$A:$A,0)),""))</f>
        <v/>
      </c>
      <c r="I1118" s="70">
        <f>IF(B1118="","",IFERROR(A1118-LOOKUP(2,1/($B$4:$B1117=B1118),$A$4:$A1117),""))</f>
        <v/>
      </c>
      <c r="J1118" s="32">
        <f>IF(B1118="","",IFERROR(D1118/I1118,""))</f>
        <v/>
      </c>
      <c r="K1118" s="71">
        <f>IF(B1118="","",IFERROR(AVERAGEIFS($J$4:$J1118,$B$4:$B1118,B1118,$J$4:$J1118,"&gt;"&amp;0),""))</f>
        <v/>
      </c>
      <c r="L1118" s="12" t="n"/>
    </row>
    <row r="1119" ht="14" customHeight="1" s="72">
      <c r="A1119" s="75" t="n">
        <v>46114</v>
      </c>
      <c r="B1119" s="76" t="n">
        <v>1083</v>
      </c>
      <c r="C1119" s="69">
        <f>IF(B1119="","",IFERROR(INDEX(Client_List!$B:$B,MATCH(B1119,Client_List!$A:$A,0)),"⚠ NOT FOUND"))</f>
        <v/>
      </c>
      <c r="D1119" s="43" t="n">
        <v>271</v>
      </c>
      <c r="E1119" s="32">
        <f>IF(B1119="","",IFERROR(INDEX(Client_List!$C:$C,MATCH(VALUE(B1119),Client_List!$A:$A,0)),""))</f>
        <v/>
      </c>
      <c r="F1119" s="53">
        <f>IF(B1119="","",IFERROR(INDEX(Client_List!$D:$D,MATCH(VALUE(B1119),Client_List!$A:$A,0)),""))</f>
        <v/>
      </c>
      <c r="G1119" s="53">
        <f>IF(B1119="","",IFERROR(INDEX(Client_List!$K:$K,MATCH(VALUE(B1119),Client_List!$A:$A,0)),""))</f>
        <v/>
      </c>
      <c r="H1119" s="32">
        <f>IF(B1119="","",IFERROR(INDEX(Client_List!$J:$J,MATCH(VALUE(B1119),Client_List!$A:$A,0)),""))</f>
        <v/>
      </c>
      <c r="I1119" s="70">
        <f>IF(B1119="","",IFERROR(A1119-LOOKUP(2,1/($B$4:$B1118=B1119),$A$4:$A1118),""))</f>
        <v/>
      </c>
      <c r="J1119" s="32">
        <f>IF(B1119="","",IFERROR(D1119/I1119,""))</f>
        <v/>
      </c>
      <c r="K1119" s="71">
        <f>IF(B1119="","",IFERROR(AVERAGEIFS($J$4:$J1119,$B$4:$B1119,B1119,$J$4:$J1119,"&gt;"&amp;0),""))</f>
        <v/>
      </c>
      <c r="L1119" s="11" t="n"/>
    </row>
    <row r="1120" ht="14" customHeight="1" s="72">
      <c r="A1120" s="75" t="n">
        <v>46114</v>
      </c>
      <c r="B1120" s="76" t="n">
        <v>2016</v>
      </c>
      <c r="C1120" s="69">
        <f>IF(B1120="","",IFERROR(INDEX(Client_List!$B:$B,MATCH(B1120,Client_List!$A:$A,0)),"⚠ NOT FOUND"))</f>
        <v/>
      </c>
      <c r="D1120" s="43" t="n">
        <v>313</v>
      </c>
      <c r="E1120" s="32">
        <f>IF(B1120="","",IFERROR(INDEX(Client_List!$C:$C,MATCH(VALUE(B1120),Client_List!$A:$A,0)),""))</f>
        <v/>
      </c>
      <c r="F1120" s="53">
        <f>IF(B1120="","",IFERROR(INDEX(Client_List!$D:$D,MATCH(VALUE(B1120),Client_List!$A:$A,0)),""))</f>
        <v/>
      </c>
      <c r="G1120" s="53">
        <f>IF(B1120="","",IFERROR(INDEX(Client_List!$K:$K,MATCH(VALUE(B1120),Client_List!$A:$A,0)),""))</f>
        <v/>
      </c>
      <c r="H1120" s="32">
        <f>IF(B1120="","",IFERROR(INDEX(Client_List!$J:$J,MATCH(VALUE(B1120),Client_List!$A:$A,0)),""))</f>
        <v/>
      </c>
      <c r="I1120" s="70">
        <f>IF(B1120="","",IFERROR(A1120-LOOKUP(2,1/($B$4:$B1119=B1120),$A$4:$A1119),""))</f>
        <v/>
      </c>
      <c r="J1120" s="32">
        <f>IF(B1120="","",IFERROR(D1120/I1120,""))</f>
        <v/>
      </c>
      <c r="K1120" s="71">
        <f>IF(B1120="","",IFERROR(AVERAGEIFS($J$4:$J1120,$B$4:$B1120,B1120,$J$4:$J1120,"&gt;"&amp;0),""))</f>
        <v/>
      </c>
      <c r="L1120" s="12" t="n"/>
    </row>
    <row r="1121" ht="14" customHeight="1" s="72">
      <c r="A1121" s="75" t="n">
        <v>46114</v>
      </c>
      <c r="B1121" s="76" t="n">
        <v>2073</v>
      </c>
      <c r="C1121" s="69">
        <f>IF(B1121="","",IFERROR(INDEX(Client_List!$B:$B,MATCH(B1121,Client_List!$A:$A,0)),"⚠ NOT FOUND"))</f>
        <v/>
      </c>
      <c r="D1121" s="43" t="n">
        <v>104</v>
      </c>
      <c r="E1121" s="32">
        <f>IF(B1121="","",IFERROR(INDEX(Client_List!$C:$C,MATCH(VALUE(B1121),Client_List!$A:$A,0)),""))</f>
        <v/>
      </c>
      <c r="F1121" s="53">
        <f>IF(B1121="","",IFERROR(INDEX(Client_List!$D:$D,MATCH(VALUE(B1121),Client_List!$A:$A,0)),""))</f>
        <v/>
      </c>
      <c r="G1121" s="53">
        <f>IF(B1121="","",IFERROR(INDEX(Client_List!$K:$K,MATCH(VALUE(B1121),Client_List!$A:$A,0)),""))</f>
        <v/>
      </c>
      <c r="H1121" s="32">
        <f>IF(B1121="","",IFERROR(INDEX(Client_List!$J:$J,MATCH(VALUE(B1121),Client_List!$A:$A,0)),""))</f>
        <v/>
      </c>
      <c r="I1121" s="70">
        <f>IF(B1121="","",IFERROR(A1121-LOOKUP(2,1/($B$4:$B1120=B1121),$A$4:$A1120),""))</f>
        <v/>
      </c>
      <c r="J1121" s="32">
        <f>IF(B1121="","",IFERROR(D1121/I1121,""))</f>
        <v/>
      </c>
      <c r="K1121" s="71">
        <f>IF(B1121="","",IFERROR(AVERAGEIFS($J$4:$J1121,$B$4:$B1121,B1121,$J$4:$J1121,"&gt;"&amp;0),""))</f>
        <v/>
      </c>
      <c r="L1121" s="11" t="n"/>
    </row>
    <row r="1122" ht="14" customHeight="1" s="72">
      <c r="A1122" s="75" t="n">
        <v>46114</v>
      </c>
      <c r="B1122" s="76" t="n">
        <v>2078</v>
      </c>
      <c r="C1122" s="69">
        <f>IF(B1122="","",IFERROR(INDEX(Client_List!$B:$B,MATCH(B1122,Client_List!$A:$A,0)),"⚠ NOT FOUND"))</f>
        <v/>
      </c>
      <c r="D1122" s="43" t="n">
        <v>326</v>
      </c>
      <c r="E1122" s="32">
        <f>IF(B1122="","",IFERROR(INDEX(Client_List!$C:$C,MATCH(VALUE(B1122),Client_List!$A:$A,0)),""))</f>
        <v/>
      </c>
      <c r="F1122" s="53">
        <f>IF(B1122="","",IFERROR(INDEX(Client_List!$D:$D,MATCH(VALUE(B1122),Client_List!$A:$A,0)),""))</f>
        <v/>
      </c>
      <c r="G1122" s="53">
        <f>IF(B1122="","",IFERROR(INDEX(Client_List!$K:$K,MATCH(VALUE(B1122),Client_List!$A:$A,0)),""))</f>
        <v/>
      </c>
      <c r="H1122" s="32">
        <f>IF(B1122="","",IFERROR(INDEX(Client_List!$J:$J,MATCH(VALUE(B1122),Client_List!$A:$A,0)),""))</f>
        <v/>
      </c>
      <c r="I1122" s="70">
        <f>IF(B1122="","",IFERROR(A1122-LOOKUP(2,1/($B$4:$B1121=B1122),$A$4:$A1121),""))</f>
        <v/>
      </c>
      <c r="J1122" s="32">
        <f>IF(B1122="","",IFERROR(D1122/I1122,""))</f>
        <v/>
      </c>
      <c r="K1122" s="71">
        <f>IF(B1122="","",IFERROR(AVERAGEIFS($J$4:$J1122,$B$4:$B1122,B1122,$J$4:$J1122,"&gt;"&amp;0),""))</f>
        <v/>
      </c>
      <c r="L1122" s="12" t="n"/>
    </row>
    <row r="1123" ht="14" customHeight="1" s="72">
      <c r="A1123" s="75" t="n">
        <v>46114</v>
      </c>
      <c r="B1123" s="76" t="n">
        <v>3021</v>
      </c>
      <c r="C1123" s="69">
        <f>IF(B1123="","",IFERROR(INDEX(Client_List!$B:$B,MATCH(B1123,Client_List!$A:$A,0)),"⚠ NOT FOUND"))</f>
        <v/>
      </c>
      <c r="D1123" s="43" t="n">
        <v>262</v>
      </c>
      <c r="E1123" s="32">
        <f>IF(B1123="","",IFERROR(INDEX(Client_List!$C:$C,MATCH(VALUE(B1123),Client_List!$A:$A,0)),""))</f>
        <v/>
      </c>
      <c r="F1123" s="53">
        <f>IF(B1123="","",IFERROR(INDEX(Client_List!$D:$D,MATCH(VALUE(B1123),Client_List!$A:$A,0)),""))</f>
        <v/>
      </c>
      <c r="G1123" s="53">
        <f>IF(B1123="","",IFERROR(INDEX(Client_List!$K:$K,MATCH(VALUE(B1123),Client_List!$A:$A,0)),""))</f>
        <v/>
      </c>
      <c r="H1123" s="32">
        <f>IF(B1123="","",IFERROR(INDEX(Client_List!$J:$J,MATCH(VALUE(B1123),Client_List!$A:$A,0)),""))</f>
        <v/>
      </c>
      <c r="I1123" s="70">
        <f>IF(B1123="","",IFERROR(A1123-LOOKUP(2,1/($B$4:$B1122=B1123),$A$4:$A1122),""))</f>
        <v/>
      </c>
      <c r="J1123" s="32">
        <f>IF(B1123="","",IFERROR(D1123/I1123,""))</f>
        <v/>
      </c>
      <c r="K1123" s="71">
        <f>IF(B1123="","",IFERROR(AVERAGEIFS($J$4:$J1123,$B$4:$B1123,B1123,$J$4:$J1123,"&gt;"&amp;0),""))</f>
        <v/>
      </c>
      <c r="L1123" s="11" t="n"/>
    </row>
    <row r="1124" ht="14" customHeight="1" s="72">
      <c r="A1124" s="75" t="n">
        <v>46114</v>
      </c>
      <c r="B1124" s="76" t="n">
        <v>3083</v>
      </c>
      <c r="C1124" s="69">
        <f>IF(B1124="","",IFERROR(INDEX(Client_List!$B:$B,MATCH(B1124,Client_List!$A:$A,0)),"⚠ NOT FOUND"))</f>
        <v/>
      </c>
      <c r="D1124" s="43" t="n">
        <v>359</v>
      </c>
      <c r="E1124" s="32">
        <f>IF(B1124="","",IFERROR(INDEX(Client_List!$C:$C,MATCH(VALUE(B1124),Client_List!$A:$A,0)),""))</f>
        <v/>
      </c>
      <c r="F1124" s="53">
        <f>IF(B1124="","",IFERROR(INDEX(Client_List!$D:$D,MATCH(VALUE(B1124),Client_List!$A:$A,0)),""))</f>
        <v/>
      </c>
      <c r="G1124" s="53">
        <f>IF(B1124="","",IFERROR(INDEX(Client_List!$K:$K,MATCH(VALUE(B1124),Client_List!$A:$A,0)),""))</f>
        <v/>
      </c>
      <c r="H1124" s="32">
        <f>IF(B1124="","",IFERROR(INDEX(Client_List!$J:$J,MATCH(VALUE(B1124),Client_List!$A:$A,0)),""))</f>
        <v/>
      </c>
      <c r="I1124" s="70">
        <f>IF(B1124="","",IFERROR(A1124-LOOKUP(2,1/($B$4:$B1123=B1124),$A$4:$A1123),""))</f>
        <v/>
      </c>
      <c r="J1124" s="32">
        <f>IF(B1124="","",IFERROR(D1124/I1124,""))</f>
        <v/>
      </c>
      <c r="K1124" s="71">
        <f>IF(B1124="","",IFERROR(AVERAGEIFS($J$4:$J1124,$B$4:$B1124,B1124,$J$4:$J1124,"&gt;"&amp;0),""))</f>
        <v/>
      </c>
      <c r="L1124" s="12" t="n"/>
    </row>
    <row r="1125" ht="14" customHeight="1" s="72">
      <c r="A1125" s="75" t="n">
        <v>46114</v>
      </c>
      <c r="B1125" s="76" t="n">
        <v>5004</v>
      </c>
      <c r="C1125" s="69">
        <f>IF(B1125="","",IFERROR(INDEX(Client_List!$B:$B,MATCH(B1125,Client_List!$A:$A,0)),"⚠ NOT FOUND"))</f>
        <v/>
      </c>
      <c r="D1125" s="43" t="n">
        <v>394</v>
      </c>
      <c r="E1125" s="32">
        <f>IF(B1125="","",IFERROR(INDEX(Client_List!$C:$C,MATCH(VALUE(B1125),Client_List!$A:$A,0)),""))</f>
        <v/>
      </c>
      <c r="F1125" s="53">
        <f>IF(B1125="","",IFERROR(INDEX(Client_List!$D:$D,MATCH(VALUE(B1125),Client_List!$A:$A,0)),""))</f>
        <v/>
      </c>
      <c r="G1125" s="53">
        <f>IF(B1125="","",IFERROR(INDEX(Client_List!$K:$K,MATCH(VALUE(B1125),Client_List!$A:$A,0)),""))</f>
        <v/>
      </c>
      <c r="H1125" s="32">
        <f>IF(B1125="","",IFERROR(INDEX(Client_List!$J:$J,MATCH(VALUE(B1125),Client_List!$A:$A,0)),""))</f>
        <v/>
      </c>
      <c r="I1125" s="70">
        <f>IF(B1125="","",IFERROR(A1125-LOOKUP(2,1/($B$4:$B1124=B1125),$A$4:$A1124),""))</f>
        <v/>
      </c>
      <c r="J1125" s="32">
        <f>IF(B1125="","",IFERROR(D1125/I1125,""))</f>
        <v/>
      </c>
      <c r="K1125" s="71">
        <f>IF(B1125="","",IFERROR(AVERAGEIFS($J$4:$J1125,$B$4:$B1125,B1125,$J$4:$J1125,"&gt;"&amp;0),""))</f>
        <v/>
      </c>
      <c r="L1125" s="11" t="n"/>
    </row>
    <row r="1126" ht="14" customHeight="1" s="72">
      <c r="A1126" s="75" t="n">
        <v>46114</v>
      </c>
      <c r="B1126" s="76" t="n">
        <v>7052</v>
      </c>
      <c r="C1126" s="69">
        <f>IF(B1126="","",IFERROR(INDEX(Client_List!$B:$B,MATCH(B1126,Client_List!$A:$A,0)),"⚠ NOT FOUND"))</f>
        <v/>
      </c>
      <c r="D1126" s="43" t="n">
        <v>291</v>
      </c>
      <c r="E1126" s="32">
        <f>IF(B1126="","",IFERROR(INDEX(Client_List!$C:$C,MATCH(VALUE(B1126),Client_List!$A:$A,0)),""))</f>
        <v/>
      </c>
      <c r="F1126" s="53">
        <f>IF(B1126="","",IFERROR(INDEX(Client_List!$D:$D,MATCH(VALUE(B1126),Client_List!$A:$A,0)),""))</f>
        <v/>
      </c>
      <c r="G1126" s="53">
        <f>IF(B1126="","",IFERROR(INDEX(Client_List!$K:$K,MATCH(VALUE(B1126),Client_List!$A:$A,0)),""))</f>
        <v/>
      </c>
      <c r="H1126" s="32">
        <f>IF(B1126="","",IFERROR(INDEX(Client_List!$J:$J,MATCH(VALUE(B1126),Client_List!$A:$A,0)),""))</f>
        <v/>
      </c>
      <c r="I1126" s="70">
        <f>IF(B1126="","",IFERROR(A1126-LOOKUP(2,1/($B$4:$B1125=B1126),$A$4:$A1125),""))</f>
        <v/>
      </c>
      <c r="J1126" s="32">
        <f>IF(B1126="","",IFERROR(D1126/I1126,""))</f>
        <v/>
      </c>
      <c r="K1126" s="71">
        <f>IF(B1126="","",IFERROR(AVERAGEIFS($J$4:$J1126,$B$4:$B1126,B1126,$J$4:$J1126,"&gt;"&amp;0),""))</f>
        <v/>
      </c>
      <c r="L1126" s="12" t="n"/>
    </row>
    <row r="1127" ht="14" customHeight="1" s="72">
      <c r="A1127" s="75" t="n">
        <v>46114</v>
      </c>
      <c r="B1127" s="76" t="n">
        <v>12055</v>
      </c>
      <c r="C1127" s="69">
        <f>IF(B1127="","",IFERROR(INDEX(Client_List!$B:$B,MATCH(B1127,Client_List!$A:$A,0)),"⚠ NOT FOUND"))</f>
        <v/>
      </c>
      <c r="D1127" s="43" t="n">
        <v>761</v>
      </c>
      <c r="E1127" s="32">
        <f>IF(B1127="","",IFERROR(INDEX(Client_List!$C:$C,MATCH(VALUE(B1127),Client_List!$A:$A,0)),""))</f>
        <v/>
      </c>
      <c r="F1127" s="53">
        <f>IF(B1127="","",IFERROR(INDEX(Client_List!$D:$D,MATCH(VALUE(B1127),Client_List!$A:$A,0)),""))</f>
        <v/>
      </c>
      <c r="G1127" s="53">
        <f>IF(B1127="","",IFERROR(INDEX(Client_List!$K:$K,MATCH(VALUE(B1127),Client_List!$A:$A,0)),""))</f>
        <v/>
      </c>
      <c r="H1127" s="32">
        <f>IF(B1127="","",IFERROR(INDEX(Client_List!$J:$J,MATCH(VALUE(B1127),Client_List!$A:$A,0)),""))</f>
        <v/>
      </c>
      <c r="I1127" s="70">
        <f>IF(B1127="","",IFERROR(A1127-LOOKUP(2,1/($B$4:$B1126=B1127),$A$4:$A1126),""))</f>
        <v/>
      </c>
      <c r="J1127" s="32">
        <f>IF(B1127="","",IFERROR(D1127/I1127,""))</f>
        <v/>
      </c>
      <c r="K1127" s="71">
        <f>IF(B1127="","",IFERROR(AVERAGEIFS($J$4:$J1127,$B$4:$B1127,B1127,$J$4:$J1127,"&gt;"&amp;0),""))</f>
        <v/>
      </c>
      <c r="L1127" s="11" t="n"/>
    </row>
    <row r="1128" ht="14" customHeight="1" s="72">
      <c r="A1128" s="75" t="n">
        <v>46114</v>
      </c>
      <c r="B1128" s="76" t="n">
        <v>12062</v>
      </c>
      <c r="C1128" s="69">
        <f>IF(B1128="","",IFERROR(INDEX(Client_List!$B:$B,MATCH(B1128,Client_List!$A:$A,0)),"⚠ NOT FOUND"))</f>
        <v/>
      </c>
      <c r="D1128" s="43" t="n">
        <v>368</v>
      </c>
      <c r="E1128" s="32">
        <f>IF(B1128="","",IFERROR(INDEX(Client_List!$C:$C,MATCH(VALUE(B1128),Client_List!$A:$A,0)),""))</f>
        <v/>
      </c>
      <c r="F1128" s="53">
        <f>IF(B1128="","",IFERROR(INDEX(Client_List!$D:$D,MATCH(VALUE(B1128),Client_List!$A:$A,0)),""))</f>
        <v/>
      </c>
      <c r="G1128" s="53">
        <f>IF(B1128="","",IFERROR(INDEX(Client_List!$K:$K,MATCH(VALUE(B1128),Client_List!$A:$A,0)),""))</f>
        <v/>
      </c>
      <c r="H1128" s="32">
        <f>IF(B1128="","",IFERROR(INDEX(Client_List!$J:$J,MATCH(VALUE(B1128),Client_List!$A:$A,0)),""))</f>
        <v/>
      </c>
      <c r="I1128" s="70">
        <f>IF(B1128="","",IFERROR(A1128-LOOKUP(2,1/($B$4:$B1127=B1128),$A$4:$A1127),""))</f>
        <v/>
      </c>
      <c r="J1128" s="32">
        <f>IF(B1128="","",IFERROR(D1128/I1128,""))</f>
        <v/>
      </c>
      <c r="K1128" s="71">
        <f>IF(B1128="","",IFERROR(AVERAGEIFS($J$4:$J1128,$B$4:$B1128,B1128,$J$4:$J1128,"&gt;"&amp;0),""))</f>
        <v/>
      </c>
      <c r="L1128" s="12" t="n"/>
    </row>
    <row r="1129" ht="14" customHeight="1" s="72">
      <c r="A1129" s="75" t="n">
        <v>46114</v>
      </c>
      <c r="B1129" s="76" t="n">
        <v>13013</v>
      </c>
      <c r="C1129" s="69">
        <f>IF(B1129="","",IFERROR(INDEX(Client_List!$B:$B,MATCH(B1129,Client_List!$A:$A,0)),"⚠ NOT FOUND"))</f>
        <v/>
      </c>
      <c r="D1129" s="43" t="n">
        <v>464</v>
      </c>
      <c r="E1129" s="32">
        <f>IF(B1129="","",IFERROR(INDEX(Client_List!$C:$C,MATCH(VALUE(B1129),Client_List!$A:$A,0)),""))</f>
        <v/>
      </c>
      <c r="F1129" s="53">
        <f>IF(B1129="","",IFERROR(INDEX(Client_List!$D:$D,MATCH(VALUE(B1129),Client_List!$A:$A,0)),""))</f>
        <v/>
      </c>
      <c r="G1129" s="53">
        <f>IF(B1129="","",IFERROR(INDEX(Client_List!$K:$K,MATCH(VALUE(B1129),Client_List!$A:$A,0)),""))</f>
        <v/>
      </c>
      <c r="H1129" s="32">
        <f>IF(B1129="","",IFERROR(INDEX(Client_List!$J:$J,MATCH(VALUE(B1129),Client_List!$A:$A,0)),""))</f>
        <v/>
      </c>
      <c r="I1129" s="70">
        <f>IF(B1129="","",IFERROR(A1129-LOOKUP(2,1/($B$4:$B1128=B1129),$A$4:$A1128),""))</f>
        <v/>
      </c>
      <c r="J1129" s="32">
        <f>IF(B1129="","",IFERROR(D1129/I1129,""))</f>
        <v/>
      </c>
      <c r="K1129" s="71">
        <f>IF(B1129="","",IFERROR(AVERAGEIFS($J$4:$J1129,$B$4:$B1129,B1129,$J$4:$J1129,"&gt;"&amp;0),""))</f>
        <v/>
      </c>
      <c r="L1129" s="11" t="n"/>
    </row>
    <row r="1130" ht="14" customHeight="1" s="72">
      <c r="A1130" s="75" t="n">
        <v>46114</v>
      </c>
      <c r="B1130" s="76" t="n">
        <v>15009</v>
      </c>
      <c r="C1130" s="69">
        <f>IF(B1130="","",IFERROR(INDEX(Client_List!$B:$B,MATCH(B1130,Client_List!$A:$A,0)),"⚠ NOT FOUND"))</f>
        <v/>
      </c>
      <c r="D1130" s="43" t="n">
        <v>231</v>
      </c>
      <c r="E1130" s="32">
        <f>IF(B1130="","",IFERROR(INDEX(Client_List!$C:$C,MATCH(VALUE(B1130),Client_List!$A:$A,0)),""))</f>
        <v/>
      </c>
      <c r="F1130" s="53">
        <f>IF(B1130="","",IFERROR(INDEX(Client_List!$D:$D,MATCH(VALUE(B1130),Client_List!$A:$A,0)),""))</f>
        <v/>
      </c>
      <c r="G1130" s="53">
        <f>IF(B1130="","",IFERROR(INDEX(Client_List!$K:$K,MATCH(VALUE(B1130),Client_List!$A:$A,0)),""))</f>
        <v/>
      </c>
      <c r="H1130" s="32">
        <f>IF(B1130="","",IFERROR(INDEX(Client_List!$J:$J,MATCH(VALUE(B1130),Client_List!$A:$A,0)),""))</f>
        <v/>
      </c>
      <c r="I1130" s="70">
        <f>IF(B1130="","",IFERROR(A1130-LOOKUP(2,1/($B$4:$B1129=B1130),$A$4:$A1129),""))</f>
        <v/>
      </c>
      <c r="J1130" s="32">
        <f>IF(B1130="","",IFERROR(D1130/I1130,""))</f>
        <v/>
      </c>
      <c r="K1130" s="71">
        <f>IF(B1130="","",IFERROR(AVERAGEIFS($J$4:$J1130,$B$4:$B1130,B1130,$J$4:$J1130,"&gt;"&amp;0),""))</f>
        <v/>
      </c>
      <c r="L1130" s="12" t="n"/>
    </row>
    <row r="1131" ht="14" customHeight="1" s="72">
      <c r="A1131" s="75" t="n">
        <v>46114</v>
      </c>
      <c r="B1131" s="76" t="n">
        <v>16008</v>
      </c>
      <c r="C1131" s="69">
        <f>IF(B1131="","",IFERROR(INDEX(Client_List!$B:$B,MATCH(B1131,Client_List!$A:$A,0)),"⚠ NOT FOUND"))</f>
        <v/>
      </c>
      <c r="D1131" s="43" t="n">
        <v>490</v>
      </c>
      <c r="E1131" s="32">
        <f>IF(B1131="","",IFERROR(INDEX(Client_List!$C:$C,MATCH(VALUE(B1131),Client_List!$A:$A,0)),""))</f>
        <v/>
      </c>
      <c r="F1131" s="53">
        <f>IF(B1131="","",IFERROR(INDEX(Client_List!$D:$D,MATCH(VALUE(B1131),Client_List!$A:$A,0)),""))</f>
        <v/>
      </c>
      <c r="G1131" s="53">
        <f>IF(B1131="","",IFERROR(INDEX(Client_List!$K:$K,MATCH(VALUE(B1131),Client_List!$A:$A,0)),""))</f>
        <v/>
      </c>
      <c r="H1131" s="32">
        <f>IF(B1131="","",IFERROR(INDEX(Client_List!$J:$J,MATCH(VALUE(B1131),Client_List!$A:$A,0)),""))</f>
        <v/>
      </c>
      <c r="I1131" s="70">
        <f>IF(B1131="","",IFERROR(A1131-LOOKUP(2,1/($B$4:$B1130=B1131),$A$4:$A1130),""))</f>
        <v/>
      </c>
      <c r="J1131" s="32">
        <f>IF(B1131="","",IFERROR(D1131/I1131,""))</f>
        <v/>
      </c>
      <c r="K1131" s="71">
        <f>IF(B1131="","",IFERROR(AVERAGEIFS($J$4:$J1131,$B$4:$B1131,B1131,$J$4:$J1131,"&gt;"&amp;0),""))</f>
        <v/>
      </c>
      <c r="L1131" s="11" t="n"/>
    </row>
    <row r="1132" ht="14" customHeight="1" s="72">
      <c r="A1132" s="75" t="n">
        <v>46114</v>
      </c>
      <c r="B1132" s="76" t="n">
        <v>18001</v>
      </c>
      <c r="C1132" s="69">
        <f>IF(B1132="","",IFERROR(INDEX(Client_List!$B:$B,MATCH(B1132,Client_List!$A:$A,0)),"⚠ NOT FOUND"))</f>
        <v/>
      </c>
      <c r="D1132" s="43" t="n">
        <v>585</v>
      </c>
      <c r="E1132" s="32">
        <f>IF(B1132="","",IFERROR(INDEX(Client_List!$C:$C,MATCH(VALUE(B1132),Client_List!$A:$A,0)),""))</f>
        <v/>
      </c>
      <c r="F1132" s="53">
        <f>IF(B1132="","",IFERROR(INDEX(Client_List!$D:$D,MATCH(VALUE(B1132),Client_List!$A:$A,0)),""))</f>
        <v/>
      </c>
      <c r="G1132" s="53">
        <f>IF(B1132="","",IFERROR(INDEX(Client_List!$K:$K,MATCH(VALUE(B1132),Client_List!$A:$A,0)),""))</f>
        <v/>
      </c>
      <c r="H1132" s="32">
        <f>IF(B1132="","",IFERROR(INDEX(Client_List!$J:$J,MATCH(VALUE(B1132),Client_List!$A:$A,0)),""))</f>
        <v/>
      </c>
      <c r="I1132" s="70">
        <f>IF(B1132="","",IFERROR(A1132-LOOKUP(2,1/($B$4:$B1131=B1132),$A$4:$A1131),""))</f>
        <v/>
      </c>
      <c r="J1132" s="32">
        <f>IF(B1132="","",IFERROR(D1132/I1132,""))</f>
        <v/>
      </c>
      <c r="K1132" s="71">
        <f>IF(B1132="","",IFERROR(AVERAGEIFS($J$4:$J1132,$B$4:$B1132,B1132,$J$4:$J1132,"&gt;"&amp;0),""))</f>
        <v/>
      </c>
      <c r="L1132" s="12" t="n"/>
    </row>
    <row r="1133" ht="14" customHeight="1" s="72">
      <c r="A1133" s="75" t="n">
        <v>46115</v>
      </c>
      <c r="B1133" s="76" t="n">
        <v>4014</v>
      </c>
      <c r="C1133" s="69">
        <f>IF(B1133="","",IFERROR(INDEX(Client_List!$B:$B,MATCH(B1133,Client_List!$A:$A,0)),"⚠ NOT FOUND"))</f>
        <v/>
      </c>
      <c r="D1133" s="43" t="n">
        <v>369</v>
      </c>
      <c r="E1133" s="32">
        <f>IF(B1133="","",IFERROR(INDEX(Client_List!$C:$C,MATCH(VALUE(B1133),Client_List!$A:$A,0)),""))</f>
        <v/>
      </c>
      <c r="F1133" s="53">
        <f>IF(B1133="","",IFERROR(INDEX(Client_List!$D:$D,MATCH(VALUE(B1133),Client_List!$A:$A,0)),""))</f>
        <v/>
      </c>
      <c r="G1133" s="53">
        <f>IF(B1133="","",IFERROR(INDEX(Client_List!$K:$K,MATCH(VALUE(B1133),Client_List!$A:$A,0)),""))</f>
        <v/>
      </c>
      <c r="H1133" s="32">
        <f>IF(B1133="","",IFERROR(INDEX(Client_List!$J:$J,MATCH(VALUE(B1133),Client_List!$A:$A,0)),""))</f>
        <v/>
      </c>
      <c r="I1133" s="70">
        <f>IF(B1133="","",IFERROR(A1133-LOOKUP(2,1/($B$4:$B1132=B1133),$A$4:$A1132),""))</f>
        <v/>
      </c>
      <c r="J1133" s="32">
        <f>IF(B1133="","",IFERROR(D1133/I1133,""))</f>
        <v/>
      </c>
      <c r="K1133" s="71">
        <f>IF(B1133="","",IFERROR(AVERAGEIFS($J$4:$J1133,$B$4:$B1133,B1133,$J$4:$J1133,"&gt;"&amp;0),""))</f>
        <v/>
      </c>
      <c r="L1133" s="11" t="n"/>
    </row>
    <row r="1134" ht="14" customHeight="1" s="72">
      <c r="A1134" s="75" t="n">
        <v>46115</v>
      </c>
      <c r="B1134" s="76" t="n">
        <v>4029</v>
      </c>
      <c r="C1134" s="69">
        <f>IF(B1134="","",IFERROR(INDEX(Client_List!$B:$B,MATCH(B1134,Client_List!$A:$A,0)),"⚠ NOT FOUND"))</f>
        <v/>
      </c>
      <c r="D1134" s="43" t="n">
        <v>2087</v>
      </c>
      <c r="E1134" s="32">
        <f>IF(B1134="","",IFERROR(INDEX(Client_List!$C:$C,MATCH(VALUE(B1134),Client_List!$A:$A,0)),""))</f>
        <v/>
      </c>
      <c r="F1134" s="53">
        <f>IF(B1134="","",IFERROR(INDEX(Client_List!$D:$D,MATCH(VALUE(B1134),Client_List!$A:$A,0)),""))</f>
        <v/>
      </c>
      <c r="G1134" s="53">
        <f>IF(B1134="","",IFERROR(INDEX(Client_List!$K:$K,MATCH(VALUE(B1134),Client_List!$A:$A,0)),""))</f>
        <v/>
      </c>
      <c r="H1134" s="32">
        <f>IF(B1134="","",IFERROR(INDEX(Client_List!$J:$J,MATCH(VALUE(B1134),Client_List!$A:$A,0)),""))</f>
        <v/>
      </c>
      <c r="I1134" s="70">
        <f>IF(B1134="","",IFERROR(A1134-LOOKUP(2,1/($B$4:$B1133=B1134),$A$4:$A1133),""))</f>
        <v/>
      </c>
      <c r="J1134" s="32">
        <f>IF(B1134="","",IFERROR(D1134/I1134,""))</f>
        <v/>
      </c>
      <c r="K1134" s="71">
        <f>IF(B1134="","",IFERROR(AVERAGEIFS($J$4:$J1134,$B$4:$B1134,B1134,$J$4:$J1134,"&gt;"&amp;0),""))</f>
        <v/>
      </c>
      <c r="L1134" s="12" t="n"/>
    </row>
    <row r="1135" ht="14" customHeight="1" s="72">
      <c r="A1135" s="75" t="n">
        <v>46115</v>
      </c>
      <c r="B1135" s="76" t="n">
        <v>7053</v>
      </c>
      <c r="C1135" s="69">
        <f>IF(B1135="","",IFERROR(INDEX(Client_List!$B:$B,MATCH(B1135,Client_List!$A:$A,0)),"⚠ NOT FOUND"))</f>
        <v/>
      </c>
      <c r="D1135" s="43" t="n">
        <v>254</v>
      </c>
      <c r="E1135" s="32">
        <f>IF(B1135="","",IFERROR(INDEX(Client_List!$C:$C,MATCH(VALUE(B1135),Client_List!$A:$A,0)),""))</f>
        <v/>
      </c>
      <c r="F1135" s="53">
        <f>IF(B1135="","",IFERROR(INDEX(Client_List!$D:$D,MATCH(VALUE(B1135),Client_List!$A:$A,0)),""))</f>
        <v/>
      </c>
      <c r="G1135" s="53">
        <f>IF(B1135="","",IFERROR(INDEX(Client_List!$K:$K,MATCH(VALUE(B1135),Client_List!$A:$A,0)),""))</f>
        <v/>
      </c>
      <c r="H1135" s="32">
        <f>IF(B1135="","",IFERROR(INDEX(Client_List!$J:$J,MATCH(VALUE(B1135),Client_List!$A:$A,0)),""))</f>
        <v/>
      </c>
      <c r="I1135" s="70">
        <f>IF(B1135="","",IFERROR(A1135-LOOKUP(2,1/($B$4:$B1134=B1135),$A$4:$A1134),""))</f>
        <v/>
      </c>
      <c r="J1135" s="32">
        <f>IF(B1135="","",IFERROR(D1135/I1135,""))</f>
        <v/>
      </c>
      <c r="K1135" s="71">
        <f>IF(B1135="","",IFERROR(AVERAGEIFS($J$4:$J1135,$B$4:$B1135,B1135,$J$4:$J1135,"&gt;"&amp;0),""))</f>
        <v/>
      </c>
      <c r="L1135" s="11" t="n"/>
    </row>
    <row r="1136" ht="14" customHeight="1" s="72">
      <c r="A1136" s="75" t="n">
        <v>46115</v>
      </c>
      <c r="B1136" s="76" t="n">
        <v>8031</v>
      </c>
      <c r="C1136" s="69">
        <f>IF(B1136="","",IFERROR(INDEX(Client_List!$B:$B,MATCH(B1136,Client_List!$A:$A,0)),"⚠ NOT FOUND"))</f>
        <v/>
      </c>
      <c r="D1136" s="43" t="n">
        <v>822</v>
      </c>
      <c r="E1136" s="32">
        <f>IF(B1136="","",IFERROR(INDEX(Client_List!$C:$C,MATCH(VALUE(B1136),Client_List!$A:$A,0)),""))</f>
        <v/>
      </c>
      <c r="F1136" s="53">
        <f>IF(B1136="","",IFERROR(INDEX(Client_List!$D:$D,MATCH(VALUE(B1136),Client_List!$A:$A,0)),""))</f>
        <v/>
      </c>
      <c r="G1136" s="53">
        <f>IF(B1136="","",IFERROR(INDEX(Client_List!$K:$K,MATCH(VALUE(B1136),Client_List!$A:$A,0)),""))</f>
        <v/>
      </c>
      <c r="H1136" s="32">
        <f>IF(B1136="","",IFERROR(INDEX(Client_List!$J:$J,MATCH(VALUE(B1136),Client_List!$A:$A,0)),""))</f>
        <v/>
      </c>
      <c r="I1136" s="70">
        <f>IF(B1136="","",IFERROR(A1136-LOOKUP(2,1/($B$4:$B1135=B1136),$A$4:$A1135),""))</f>
        <v/>
      </c>
      <c r="J1136" s="32">
        <f>IF(B1136="","",IFERROR(D1136/I1136,""))</f>
        <v/>
      </c>
      <c r="K1136" s="71">
        <f>IF(B1136="","",IFERROR(AVERAGEIFS($J$4:$J1136,$B$4:$B1136,B1136,$J$4:$J1136,"&gt;"&amp;0),""))</f>
        <v/>
      </c>
      <c r="L1136" s="12" t="n"/>
    </row>
    <row r="1137" ht="14" customHeight="1" s="72">
      <c r="A1137" s="75" t="n">
        <v>46115</v>
      </c>
      <c r="B1137" s="76" t="n">
        <v>12009</v>
      </c>
      <c r="C1137" s="69">
        <f>IF(B1137="","",IFERROR(INDEX(Client_List!$B:$B,MATCH(B1137,Client_List!$A:$A,0)),"⚠ NOT FOUND"))</f>
        <v/>
      </c>
      <c r="D1137" s="43" t="n">
        <v>365</v>
      </c>
      <c r="E1137" s="32">
        <f>IF(B1137="","",IFERROR(INDEX(Client_List!$C:$C,MATCH(VALUE(B1137),Client_List!$A:$A,0)),""))</f>
        <v/>
      </c>
      <c r="F1137" s="53">
        <f>IF(B1137="","",IFERROR(INDEX(Client_List!$D:$D,MATCH(VALUE(B1137),Client_List!$A:$A,0)),""))</f>
        <v/>
      </c>
      <c r="G1137" s="53">
        <f>IF(B1137="","",IFERROR(INDEX(Client_List!$K:$K,MATCH(VALUE(B1137),Client_List!$A:$A,0)),""))</f>
        <v/>
      </c>
      <c r="H1137" s="32">
        <f>IF(B1137="","",IFERROR(INDEX(Client_List!$J:$J,MATCH(VALUE(B1137),Client_List!$A:$A,0)),""))</f>
        <v/>
      </c>
      <c r="I1137" s="70">
        <f>IF(B1137="","",IFERROR(A1137-LOOKUP(2,1/($B$4:$B1136=B1137),$A$4:$A1136),""))</f>
        <v/>
      </c>
      <c r="J1137" s="32">
        <f>IF(B1137="","",IFERROR(D1137/I1137,""))</f>
        <v/>
      </c>
      <c r="K1137" s="71">
        <f>IF(B1137="","",IFERROR(AVERAGEIFS($J$4:$J1137,$B$4:$B1137,B1137,$J$4:$J1137,"&gt;"&amp;0),""))</f>
        <v/>
      </c>
      <c r="L1137" s="11" t="n"/>
    </row>
    <row r="1138" ht="14" customHeight="1" s="72">
      <c r="A1138" s="75" t="n">
        <v>46115</v>
      </c>
      <c r="B1138" s="76" t="n">
        <v>12025</v>
      </c>
      <c r="C1138" s="69">
        <f>IF(B1138="","",IFERROR(INDEX(Client_List!$B:$B,MATCH(B1138,Client_List!$A:$A,0)),"⚠ NOT FOUND"))</f>
        <v/>
      </c>
      <c r="D1138" s="43" t="n">
        <v>554</v>
      </c>
      <c r="E1138" s="32">
        <f>IF(B1138="","",IFERROR(INDEX(Client_List!$C:$C,MATCH(VALUE(B1138),Client_List!$A:$A,0)),""))</f>
        <v/>
      </c>
      <c r="F1138" s="53">
        <f>IF(B1138="","",IFERROR(INDEX(Client_List!$D:$D,MATCH(VALUE(B1138),Client_List!$A:$A,0)),""))</f>
        <v/>
      </c>
      <c r="G1138" s="53">
        <f>IF(B1138="","",IFERROR(INDEX(Client_List!$K:$K,MATCH(VALUE(B1138),Client_List!$A:$A,0)),""))</f>
        <v/>
      </c>
      <c r="H1138" s="32">
        <f>IF(B1138="","",IFERROR(INDEX(Client_List!$J:$J,MATCH(VALUE(B1138),Client_List!$A:$A,0)),""))</f>
        <v/>
      </c>
      <c r="I1138" s="70">
        <f>IF(B1138="","",IFERROR(A1138-LOOKUP(2,1/($B$4:$B1137=B1138),$A$4:$A1137),""))</f>
        <v/>
      </c>
      <c r="J1138" s="32">
        <f>IF(B1138="","",IFERROR(D1138/I1138,""))</f>
        <v/>
      </c>
      <c r="K1138" s="71">
        <f>IF(B1138="","",IFERROR(AVERAGEIFS($J$4:$J1138,$B$4:$B1138,B1138,$J$4:$J1138,"&gt;"&amp;0),""))</f>
        <v/>
      </c>
      <c r="L1138" s="12" t="n"/>
    </row>
    <row r="1139" ht="14" customHeight="1" s="72">
      <c r="A1139" s="75" t="n">
        <v>46115</v>
      </c>
      <c r="B1139" s="76" t="n">
        <v>13009</v>
      </c>
      <c r="C1139" s="69">
        <f>IF(B1139="","",IFERROR(INDEX(Client_List!$B:$B,MATCH(B1139,Client_List!$A:$A,0)),"⚠ NOT FOUND"))</f>
        <v/>
      </c>
      <c r="D1139" s="43" t="n">
        <v>396</v>
      </c>
      <c r="E1139" s="32">
        <f>IF(B1139="","",IFERROR(INDEX(Client_List!$C:$C,MATCH(VALUE(B1139),Client_List!$A:$A,0)),""))</f>
        <v/>
      </c>
      <c r="F1139" s="53">
        <f>IF(B1139="","",IFERROR(INDEX(Client_List!$D:$D,MATCH(VALUE(B1139),Client_List!$A:$A,0)),""))</f>
        <v/>
      </c>
      <c r="G1139" s="53">
        <f>IF(B1139="","",IFERROR(INDEX(Client_List!$K:$K,MATCH(VALUE(B1139),Client_List!$A:$A,0)),""))</f>
        <v/>
      </c>
      <c r="H1139" s="32">
        <f>IF(B1139="","",IFERROR(INDEX(Client_List!$J:$J,MATCH(VALUE(B1139),Client_List!$A:$A,0)),""))</f>
        <v/>
      </c>
      <c r="I1139" s="70">
        <f>IF(B1139="","",IFERROR(A1139-LOOKUP(2,1/($B$4:$B1138=B1139),$A$4:$A1138),""))</f>
        <v/>
      </c>
      <c r="J1139" s="32">
        <f>IF(B1139="","",IFERROR(D1139/I1139,""))</f>
        <v/>
      </c>
      <c r="K1139" s="71">
        <f>IF(B1139="","",IFERROR(AVERAGEIFS($J$4:$J1139,$B$4:$B1139,B1139,$J$4:$J1139,"&gt;"&amp;0),""))</f>
        <v/>
      </c>
      <c r="L1139" s="11" t="n"/>
    </row>
    <row r="1140" ht="14" customHeight="1" s="72">
      <c r="A1140" s="75" t="n">
        <v>46115</v>
      </c>
      <c r="B1140" s="76" t="n">
        <v>13015</v>
      </c>
      <c r="C1140" s="69">
        <f>IF(B1140="","",IFERROR(INDEX(Client_List!$B:$B,MATCH(B1140,Client_List!$A:$A,0)),"⚠ NOT FOUND"))</f>
        <v/>
      </c>
      <c r="D1140" s="43" t="n">
        <v>822</v>
      </c>
      <c r="E1140" s="32">
        <f>IF(B1140="","",IFERROR(INDEX(Client_List!$C:$C,MATCH(VALUE(B1140),Client_List!$A:$A,0)),""))</f>
        <v/>
      </c>
      <c r="F1140" s="53">
        <f>IF(B1140="","",IFERROR(INDEX(Client_List!$D:$D,MATCH(VALUE(B1140),Client_List!$A:$A,0)),""))</f>
        <v/>
      </c>
      <c r="G1140" s="53">
        <f>IF(B1140="","",IFERROR(INDEX(Client_List!$K:$K,MATCH(VALUE(B1140),Client_List!$A:$A,0)),""))</f>
        <v/>
      </c>
      <c r="H1140" s="32">
        <f>IF(B1140="","",IFERROR(INDEX(Client_List!$J:$J,MATCH(VALUE(B1140),Client_List!$A:$A,0)),""))</f>
        <v/>
      </c>
      <c r="I1140" s="70">
        <f>IF(B1140="","",IFERROR(A1140-LOOKUP(2,1/($B$4:$B1139=B1140),$A$4:$A1139),""))</f>
        <v/>
      </c>
      <c r="J1140" s="32">
        <f>IF(B1140="","",IFERROR(D1140/I1140,""))</f>
        <v/>
      </c>
      <c r="K1140" s="71">
        <f>IF(B1140="","",IFERROR(AVERAGEIFS($J$4:$J1140,$B$4:$B1140,B1140,$J$4:$J1140,"&gt;"&amp;0),""))</f>
        <v/>
      </c>
      <c r="L1140" s="12" t="n"/>
    </row>
    <row r="1141" ht="14" customHeight="1" s="72">
      <c r="A1141" s="75" t="n">
        <v>46115</v>
      </c>
      <c r="B1141" s="76" t="n">
        <v>15018</v>
      </c>
      <c r="C1141" s="69">
        <f>IF(B1141="","",IFERROR(INDEX(Client_List!$B:$B,MATCH(B1141,Client_List!$A:$A,0)),"⚠ NOT FOUND"))</f>
        <v/>
      </c>
      <c r="D1141" s="43" t="n">
        <v>475</v>
      </c>
      <c r="E1141" s="32">
        <f>IF(B1141="","",IFERROR(INDEX(Client_List!$C:$C,MATCH(VALUE(B1141),Client_List!$A:$A,0)),""))</f>
        <v/>
      </c>
      <c r="F1141" s="53">
        <f>IF(B1141="","",IFERROR(INDEX(Client_List!$D:$D,MATCH(VALUE(B1141),Client_List!$A:$A,0)),""))</f>
        <v/>
      </c>
      <c r="G1141" s="53">
        <f>IF(B1141="","",IFERROR(INDEX(Client_List!$K:$K,MATCH(VALUE(B1141),Client_List!$A:$A,0)),""))</f>
        <v/>
      </c>
      <c r="H1141" s="32">
        <f>IF(B1141="","",IFERROR(INDEX(Client_List!$J:$J,MATCH(VALUE(B1141),Client_List!$A:$A,0)),""))</f>
        <v/>
      </c>
      <c r="I1141" s="70">
        <f>IF(B1141="","",IFERROR(A1141-LOOKUP(2,1/($B$4:$B1140=B1141),$A$4:$A1140),""))</f>
        <v/>
      </c>
      <c r="J1141" s="32">
        <f>IF(B1141="","",IFERROR(D1141/I1141,""))</f>
        <v/>
      </c>
      <c r="K1141" s="71">
        <f>IF(B1141="","",IFERROR(AVERAGEIFS($J$4:$J1141,$B$4:$B1141,B1141,$J$4:$J1141,"&gt;"&amp;0),""))</f>
        <v/>
      </c>
      <c r="L1141" s="11" t="n"/>
    </row>
    <row r="1142" ht="14" customHeight="1" s="72">
      <c r="A1142" s="75" t="n">
        <v>46115</v>
      </c>
      <c r="B1142" s="76" t="n">
        <v>16058</v>
      </c>
      <c r="C1142" s="69">
        <f>IF(B1142="","",IFERROR(INDEX(Client_List!$B:$B,MATCH(B1142,Client_List!$A:$A,0)),"⚠ NOT FOUND"))</f>
        <v/>
      </c>
      <c r="D1142" s="43" t="n">
        <v>1080</v>
      </c>
      <c r="E1142" s="32">
        <f>IF(B1142="","",IFERROR(INDEX(Client_List!$C:$C,MATCH(VALUE(B1142),Client_List!$A:$A,0)),""))</f>
        <v/>
      </c>
      <c r="F1142" s="53">
        <f>IF(B1142="","",IFERROR(INDEX(Client_List!$D:$D,MATCH(VALUE(B1142),Client_List!$A:$A,0)),""))</f>
        <v/>
      </c>
      <c r="G1142" s="53">
        <f>IF(B1142="","",IFERROR(INDEX(Client_List!$K:$K,MATCH(VALUE(B1142),Client_List!$A:$A,0)),""))</f>
        <v/>
      </c>
      <c r="H1142" s="32">
        <f>IF(B1142="","",IFERROR(INDEX(Client_List!$J:$J,MATCH(VALUE(B1142),Client_List!$A:$A,0)),""))</f>
        <v/>
      </c>
      <c r="I1142" s="70">
        <f>IF(B1142="","",IFERROR(A1142-LOOKUP(2,1/($B$4:$B1141=B1142),$A$4:$A1141),""))</f>
        <v/>
      </c>
      <c r="J1142" s="32">
        <f>IF(B1142="","",IFERROR(D1142/I1142,""))</f>
        <v/>
      </c>
      <c r="K1142" s="71">
        <f>IF(B1142="","",IFERROR(AVERAGEIFS($J$4:$J1142,$B$4:$B1142,B1142,$J$4:$J1142,"&gt;"&amp;0),""))</f>
        <v/>
      </c>
      <c r="L1142" s="12" t="n"/>
    </row>
    <row r="1143" ht="14" customHeight="1" s="72">
      <c r="A1143" s="75" t="n">
        <v>46115</v>
      </c>
      <c r="B1143" s="76" t="n">
        <v>18051</v>
      </c>
      <c r="C1143" s="69">
        <f>IF(B1143="","",IFERROR(INDEX(Client_List!$B:$B,MATCH(B1143,Client_List!$A:$A,0)),"⚠ NOT FOUND"))</f>
        <v/>
      </c>
      <c r="D1143" s="43" t="n">
        <v>891</v>
      </c>
      <c r="E1143" s="32">
        <f>IF(B1143="","",IFERROR(INDEX(Client_List!$C:$C,MATCH(VALUE(B1143),Client_List!$A:$A,0)),""))</f>
        <v/>
      </c>
      <c r="F1143" s="53">
        <f>IF(B1143="","",IFERROR(INDEX(Client_List!$D:$D,MATCH(VALUE(B1143),Client_List!$A:$A,0)),""))</f>
        <v/>
      </c>
      <c r="G1143" s="53">
        <f>IF(B1143="","",IFERROR(INDEX(Client_List!$K:$K,MATCH(VALUE(B1143),Client_List!$A:$A,0)),""))</f>
        <v/>
      </c>
      <c r="H1143" s="32">
        <f>IF(B1143="","",IFERROR(INDEX(Client_List!$J:$J,MATCH(VALUE(B1143),Client_List!$A:$A,0)),""))</f>
        <v/>
      </c>
      <c r="I1143" s="70">
        <f>IF(B1143="","",IFERROR(A1143-LOOKUP(2,1/($B$4:$B1142=B1143),$A$4:$A1142),""))</f>
        <v/>
      </c>
      <c r="J1143" s="32">
        <f>IF(B1143="","",IFERROR(D1143/I1143,""))</f>
        <v/>
      </c>
      <c r="K1143" s="71">
        <f>IF(B1143="","",IFERROR(AVERAGEIFS($J$4:$J1143,$B$4:$B1143,B1143,$J$4:$J1143,"&gt;"&amp;0),""))</f>
        <v/>
      </c>
      <c r="L1143" s="11" t="n"/>
    </row>
    <row r="1144" ht="14" customHeight="1" s="72">
      <c r="A1144" s="75" t="n">
        <v>46115</v>
      </c>
      <c r="B1144" s="76" t="n">
        <v>19033</v>
      </c>
      <c r="C1144" s="69">
        <f>IF(B1144="","",IFERROR(INDEX(Client_List!$B:$B,MATCH(B1144,Client_List!$A:$A,0)),"⚠ NOT FOUND"))</f>
        <v/>
      </c>
      <c r="D1144" s="43" t="n">
        <v>330</v>
      </c>
      <c r="E1144" s="32">
        <f>IF(B1144="","",IFERROR(INDEX(Client_List!$C:$C,MATCH(VALUE(B1144),Client_List!$A:$A,0)),""))</f>
        <v/>
      </c>
      <c r="F1144" s="53">
        <f>IF(B1144="","",IFERROR(INDEX(Client_List!$D:$D,MATCH(VALUE(B1144),Client_List!$A:$A,0)),""))</f>
        <v/>
      </c>
      <c r="G1144" s="53">
        <f>IF(B1144="","",IFERROR(INDEX(Client_List!$K:$K,MATCH(VALUE(B1144),Client_List!$A:$A,0)),""))</f>
        <v/>
      </c>
      <c r="H1144" s="32">
        <f>IF(B1144="","",IFERROR(INDEX(Client_List!$J:$J,MATCH(VALUE(B1144),Client_List!$A:$A,0)),""))</f>
        <v/>
      </c>
      <c r="I1144" s="70">
        <f>IF(B1144="","",IFERROR(A1144-LOOKUP(2,1/($B$4:$B1143=B1144),$A$4:$A1143),""))</f>
        <v/>
      </c>
      <c r="J1144" s="32">
        <f>IF(B1144="","",IFERROR(D1144/I1144,""))</f>
        <v/>
      </c>
      <c r="K1144" s="71">
        <f>IF(B1144="","",IFERROR(AVERAGEIFS($J$4:$J1144,$B$4:$B1144,B1144,$J$4:$J1144,"&gt;"&amp;0),""))</f>
        <v/>
      </c>
      <c r="L1144" s="12" t="n"/>
    </row>
    <row r="1145" ht="14" customHeight="1" s="72">
      <c r="A1145" s="75" t="n">
        <v>46115</v>
      </c>
      <c r="B1145" s="76" t="n">
        <v>19077</v>
      </c>
      <c r="C1145" s="69">
        <f>IF(B1145="","",IFERROR(INDEX(Client_List!$B:$B,MATCH(B1145,Client_List!$A:$A,0)),"⚠ NOT FOUND"))</f>
        <v/>
      </c>
      <c r="D1145" s="43" t="n">
        <v>856</v>
      </c>
      <c r="E1145" s="32">
        <f>IF(B1145="","",IFERROR(INDEX(Client_List!$C:$C,MATCH(VALUE(B1145),Client_List!$A:$A,0)),""))</f>
        <v/>
      </c>
      <c r="F1145" s="53">
        <f>IF(B1145="","",IFERROR(INDEX(Client_List!$D:$D,MATCH(VALUE(B1145),Client_List!$A:$A,0)),""))</f>
        <v/>
      </c>
      <c r="G1145" s="53">
        <f>IF(B1145="","",IFERROR(INDEX(Client_List!$K:$K,MATCH(VALUE(B1145),Client_List!$A:$A,0)),""))</f>
        <v/>
      </c>
      <c r="H1145" s="32">
        <f>IF(B1145="","",IFERROR(INDEX(Client_List!$J:$J,MATCH(VALUE(B1145),Client_List!$A:$A,0)),""))</f>
        <v/>
      </c>
      <c r="I1145" s="70">
        <f>IF(B1145="","",IFERROR(A1145-LOOKUP(2,1/($B$4:$B1144=B1145),$A$4:$A1144),""))</f>
        <v/>
      </c>
      <c r="J1145" s="32">
        <f>IF(B1145="","",IFERROR(D1145/I1145,""))</f>
        <v/>
      </c>
      <c r="K1145" s="71">
        <f>IF(B1145="","",IFERROR(AVERAGEIFS($J$4:$J1145,$B$4:$B1145,B1145,$J$4:$J1145,"&gt;"&amp;0),""))</f>
        <v/>
      </c>
      <c r="L1145" s="11" t="n"/>
    </row>
    <row r="1146" ht="14" customHeight="1" s="72">
      <c r="A1146" s="75" t="n">
        <v>46115</v>
      </c>
      <c r="B1146" s="76" t="n">
        <v>20019</v>
      </c>
      <c r="C1146" s="69">
        <f>IF(B1146="","",IFERROR(INDEX(Client_List!$B:$B,MATCH(B1146,Client_List!$A:$A,0)),"⚠ NOT FOUND"))</f>
        <v/>
      </c>
      <c r="D1146" s="43" t="n">
        <v>709</v>
      </c>
      <c r="E1146" s="32">
        <f>IF(B1146="","",IFERROR(INDEX(Client_List!$C:$C,MATCH(VALUE(B1146),Client_List!$A:$A,0)),""))</f>
        <v/>
      </c>
      <c r="F1146" s="53">
        <f>IF(B1146="","",IFERROR(INDEX(Client_List!$D:$D,MATCH(VALUE(B1146),Client_List!$A:$A,0)),""))</f>
        <v/>
      </c>
      <c r="G1146" s="53">
        <f>IF(B1146="","",IFERROR(INDEX(Client_List!$K:$K,MATCH(VALUE(B1146),Client_List!$A:$A,0)),""))</f>
        <v/>
      </c>
      <c r="H1146" s="32">
        <f>IF(B1146="","",IFERROR(INDEX(Client_List!$J:$J,MATCH(VALUE(B1146),Client_List!$A:$A,0)),""))</f>
        <v/>
      </c>
      <c r="I1146" s="70">
        <f>IF(B1146="","",IFERROR(A1146-LOOKUP(2,1/($B$4:$B1145=B1146),$A$4:$A1145),""))</f>
        <v/>
      </c>
      <c r="J1146" s="32">
        <f>IF(B1146="","",IFERROR(D1146/I1146,""))</f>
        <v/>
      </c>
      <c r="K1146" s="71">
        <f>IF(B1146="","",IFERROR(AVERAGEIFS($J$4:$J1146,$B$4:$B1146,B1146,$J$4:$J1146,"&gt;"&amp;0),""))</f>
        <v/>
      </c>
      <c r="L1146" s="12" t="n"/>
    </row>
    <row r="1147" ht="14" customHeight="1" s="72">
      <c r="A1147" s="75" t="n">
        <v>46115</v>
      </c>
      <c r="B1147" s="76" t="n">
        <v>20090</v>
      </c>
      <c r="C1147" s="69">
        <f>IF(B1147="","",IFERROR(INDEX(Client_List!$B:$B,MATCH(B1147,Client_List!$A:$A,0)),"⚠ NOT FOUND"))</f>
        <v/>
      </c>
      <c r="D1147" s="43" t="n">
        <v>781</v>
      </c>
      <c r="E1147" s="32">
        <f>IF(B1147="","",IFERROR(INDEX(Client_List!$C:$C,MATCH(VALUE(B1147),Client_List!$A:$A,0)),""))</f>
        <v/>
      </c>
      <c r="F1147" s="53">
        <f>IF(B1147="","",IFERROR(INDEX(Client_List!$D:$D,MATCH(VALUE(B1147),Client_List!$A:$A,0)),""))</f>
        <v/>
      </c>
      <c r="G1147" s="53">
        <f>IF(B1147="","",IFERROR(INDEX(Client_List!$K:$K,MATCH(VALUE(B1147),Client_List!$A:$A,0)),""))</f>
        <v/>
      </c>
      <c r="H1147" s="32">
        <f>IF(B1147="","",IFERROR(INDEX(Client_List!$J:$J,MATCH(VALUE(B1147),Client_List!$A:$A,0)),""))</f>
        <v/>
      </c>
      <c r="I1147" s="70">
        <f>IF(B1147="","",IFERROR(A1147-LOOKUP(2,1/($B$4:$B1146=B1147),$A$4:$A1146),""))</f>
        <v/>
      </c>
      <c r="J1147" s="32">
        <f>IF(B1147="","",IFERROR(D1147/I1147,""))</f>
        <v/>
      </c>
      <c r="K1147" s="71">
        <f>IF(B1147="","",IFERROR(AVERAGEIFS($J$4:$J1147,$B$4:$B1147,B1147,$J$4:$J1147,"&gt;"&amp;0),""))</f>
        <v/>
      </c>
      <c r="L1147" s="11" t="n"/>
    </row>
    <row r="1148" ht="14" customHeight="1" s="72">
      <c r="A1148" s="75" t="n">
        <v>46115</v>
      </c>
      <c r="B1148" s="76" t="n">
        <v>20095</v>
      </c>
      <c r="C1148" s="69">
        <f>IF(B1148="","",IFERROR(INDEX(Client_List!$B:$B,MATCH(B1148,Client_List!$A:$A,0)),"⚠ NOT FOUND"))</f>
        <v/>
      </c>
      <c r="D1148" s="43" t="n">
        <v>864</v>
      </c>
      <c r="E1148" s="32">
        <f>IF(B1148="","",IFERROR(INDEX(Client_List!$C:$C,MATCH(VALUE(B1148),Client_List!$A:$A,0)),""))</f>
        <v/>
      </c>
      <c r="F1148" s="53">
        <f>IF(B1148="","",IFERROR(INDEX(Client_List!$D:$D,MATCH(VALUE(B1148),Client_List!$A:$A,0)),""))</f>
        <v/>
      </c>
      <c r="G1148" s="53">
        <f>IF(B1148="","",IFERROR(INDEX(Client_List!$K:$K,MATCH(VALUE(B1148),Client_List!$A:$A,0)),""))</f>
        <v/>
      </c>
      <c r="H1148" s="32">
        <f>IF(B1148="","",IFERROR(INDEX(Client_List!$J:$J,MATCH(VALUE(B1148),Client_List!$A:$A,0)),""))</f>
        <v/>
      </c>
      <c r="I1148" s="70">
        <f>IF(B1148="","",IFERROR(A1148-LOOKUP(2,1/($B$4:$B1147=B1148),$A$4:$A1147),""))</f>
        <v/>
      </c>
      <c r="J1148" s="32">
        <f>IF(B1148="","",IFERROR(D1148/I1148,""))</f>
        <v/>
      </c>
      <c r="K1148" s="71">
        <f>IF(B1148="","",IFERROR(AVERAGEIFS($J$4:$J1148,$B$4:$B1148,B1148,$J$4:$J1148,"&gt;"&amp;0),""))</f>
        <v/>
      </c>
      <c r="L1148" s="12" t="n"/>
    </row>
    <row r="1149" ht="14" customHeight="1" s="72">
      <c r="A1149" s="75" t="n">
        <v>46115</v>
      </c>
      <c r="B1149" s="76" t="n">
        <v>20097</v>
      </c>
      <c r="C1149" s="69">
        <f>IF(B1149="","",IFERROR(INDEX(Client_List!$B:$B,MATCH(B1149,Client_List!$A:$A,0)),"⚠ NOT FOUND"))</f>
        <v/>
      </c>
      <c r="D1149" s="43" t="n">
        <v>627</v>
      </c>
      <c r="E1149" s="32">
        <f>IF(B1149="","",IFERROR(INDEX(Client_List!$C:$C,MATCH(VALUE(B1149),Client_List!$A:$A,0)),""))</f>
        <v/>
      </c>
      <c r="F1149" s="53">
        <f>IF(B1149="","",IFERROR(INDEX(Client_List!$D:$D,MATCH(VALUE(B1149),Client_List!$A:$A,0)),""))</f>
        <v/>
      </c>
      <c r="G1149" s="53">
        <f>IF(B1149="","",IFERROR(INDEX(Client_List!$K:$K,MATCH(VALUE(B1149),Client_List!$A:$A,0)),""))</f>
        <v/>
      </c>
      <c r="H1149" s="32">
        <f>IF(B1149="","",IFERROR(INDEX(Client_List!$J:$J,MATCH(VALUE(B1149),Client_List!$A:$A,0)),""))</f>
        <v/>
      </c>
      <c r="I1149" s="70">
        <f>IF(B1149="","",IFERROR(A1149-LOOKUP(2,1/($B$4:$B1148=B1149),$A$4:$A1148),""))</f>
        <v/>
      </c>
      <c r="J1149" s="32">
        <f>IF(B1149="","",IFERROR(D1149/I1149,""))</f>
        <v/>
      </c>
      <c r="K1149" s="71">
        <f>IF(B1149="","",IFERROR(AVERAGEIFS($J$4:$J1149,$B$4:$B1149,B1149,$J$4:$J1149,"&gt;"&amp;0),""))</f>
        <v/>
      </c>
      <c r="L1149" s="11" t="n"/>
    </row>
    <row r="1150" ht="14" customHeight="1" s="72">
      <c r="A1150" s="75" t="n">
        <v>46116</v>
      </c>
      <c r="B1150" s="76" t="n">
        <v>2023</v>
      </c>
      <c r="C1150" s="69">
        <f>IF(B1150="","",IFERROR(INDEX(Client_List!$B:$B,MATCH(B1150,Client_List!$A:$A,0)),"⚠ NOT FOUND"))</f>
        <v/>
      </c>
      <c r="D1150" s="43" t="n">
        <v>527</v>
      </c>
      <c r="E1150" s="32">
        <f>IF(B1150="","",IFERROR(INDEX(Client_List!$C:$C,MATCH(VALUE(B1150),Client_List!$A:$A,0)),""))</f>
        <v/>
      </c>
      <c r="F1150" s="53">
        <f>IF(B1150="","",IFERROR(INDEX(Client_List!$D:$D,MATCH(VALUE(B1150),Client_List!$A:$A,0)),""))</f>
        <v/>
      </c>
      <c r="G1150" s="53">
        <f>IF(B1150="","",IFERROR(INDEX(Client_List!$K:$K,MATCH(VALUE(B1150),Client_List!$A:$A,0)),""))</f>
        <v/>
      </c>
      <c r="H1150" s="32">
        <f>IF(B1150="","",IFERROR(INDEX(Client_List!$J:$J,MATCH(VALUE(B1150),Client_List!$A:$A,0)),""))</f>
        <v/>
      </c>
      <c r="I1150" s="70">
        <f>IF(B1150="","",IFERROR(A1150-LOOKUP(2,1/($B$4:$B1149=B1150),$A$4:$A1149),""))</f>
        <v/>
      </c>
      <c r="J1150" s="32">
        <f>IF(B1150="","",IFERROR(D1150/I1150,""))</f>
        <v/>
      </c>
      <c r="K1150" s="71">
        <f>IF(B1150="","",IFERROR(AVERAGEIFS($J$4:$J1150,$B$4:$B1150,B1150,$J$4:$J1150,"&gt;"&amp;0),""))</f>
        <v/>
      </c>
      <c r="L1150" s="12" t="n"/>
    </row>
    <row r="1151" ht="14" customHeight="1" s="72">
      <c r="A1151" s="75" t="n">
        <v>46116</v>
      </c>
      <c r="B1151" s="76" t="n">
        <v>2038</v>
      </c>
      <c r="C1151" s="69">
        <f>IF(B1151="","",IFERROR(INDEX(Client_List!$B:$B,MATCH(B1151,Client_List!$A:$A,0)),"⚠ NOT FOUND"))</f>
        <v/>
      </c>
      <c r="D1151" s="43" t="n">
        <v>455</v>
      </c>
      <c r="E1151" s="32">
        <f>IF(B1151="","",IFERROR(INDEX(Client_List!$C:$C,MATCH(VALUE(B1151),Client_List!$A:$A,0)),""))</f>
        <v/>
      </c>
      <c r="F1151" s="53">
        <f>IF(B1151="","",IFERROR(INDEX(Client_List!$D:$D,MATCH(VALUE(B1151),Client_List!$A:$A,0)),""))</f>
        <v/>
      </c>
      <c r="G1151" s="53">
        <f>IF(B1151="","",IFERROR(INDEX(Client_List!$K:$K,MATCH(VALUE(B1151),Client_List!$A:$A,0)),""))</f>
        <v/>
      </c>
      <c r="H1151" s="32">
        <f>IF(B1151="","",IFERROR(INDEX(Client_List!$J:$J,MATCH(VALUE(B1151),Client_List!$A:$A,0)),""))</f>
        <v/>
      </c>
      <c r="I1151" s="70">
        <f>IF(B1151="","",IFERROR(A1151-LOOKUP(2,1/($B$4:$B1150=B1151),$A$4:$A1150),""))</f>
        <v/>
      </c>
      <c r="J1151" s="32">
        <f>IF(B1151="","",IFERROR(D1151/I1151,""))</f>
        <v/>
      </c>
      <c r="K1151" s="71">
        <f>IF(B1151="","",IFERROR(AVERAGEIFS($J$4:$J1151,$B$4:$B1151,B1151,$J$4:$J1151,"&gt;"&amp;0),""))</f>
        <v/>
      </c>
      <c r="L1151" s="11" t="n"/>
    </row>
    <row r="1152" ht="14" customHeight="1" s="72">
      <c r="A1152" s="75" t="n">
        <v>46116</v>
      </c>
      <c r="B1152" s="76" t="n">
        <v>4026</v>
      </c>
      <c r="C1152" s="69">
        <f>IF(B1152="","",IFERROR(INDEX(Client_List!$B:$B,MATCH(B1152,Client_List!$A:$A,0)),"⚠ NOT FOUND"))</f>
        <v/>
      </c>
      <c r="D1152" s="43" t="n">
        <v>223</v>
      </c>
      <c r="E1152" s="32">
        <f>IF(B1152="","",IFERROR(INDEX(Client_List!$C:$C,MATCH(VALUE(B1152),Client_List!$A:$A,0)),""))</f>
        <v/>
      </c>
      <c r="F1152" s="53">
        <f>IF(B1152="","",IFERROR(INDEX(Client_List!$D:$D,MATCH(VALUE(B1152),Client_List!$A:$A,0)),""))</f>
        <v/>
      </c>
      <c r="G1152" s="53">
        <f>IF(B1152="","",IFERROR(INDEX(Client_List!$K:$K,MATCH(VALUE(B1152),Client_List!$A:$A,0)),""))</f>
        <v/>
      </c>
      <c r="H1152" s="32">
        <f>IF(B1152="","",IFERROR(INDEX(Client_List!$J:$J,MATCH(VALUE(B1152),Client_List!$A:$A,0)),""))</f>
        <v/>
      </c>
      <c r="I1152" s="70">
        <f>IF(B1152="","",IFERROR(A1152-LOOKUP(2,1/($B$4:$B1151=B1152),$A$4:$A1151),""))</f>
        <v/>
      </c>
      <c r="J1152" s="32">
        <f>IF(B1152="","",IFERROR(D1152/I1152,""))</f>
        <v/>
      </c>
      <c r="K1152" s="71">
        <f>IF(B1152="","",IFERROR(AVERAGEIFS($J$4:$J1152,$B$4:$B1152,B1152,$J$4:$J1152,"&gt;"&amp;0),""))</f>
        <v/>
      </c>
      <c r="L1152" s="12" t="n"/>
    </row>
    <row r="1153" ht="14" customHeight="1" s="72">
      <c r="A1153" s="75" t="n">
        <v>46116</v>
      </c>
      <c r="B1153" s="76" t="n">
        <v>6101</v>
      </c>
      <c r="C1153" s="69">
        <f>IF(B1153="","",IFERROR(INDEX(Client_List!$B:$B,MATCH(B1153,Client_List!$A:$A,0)),"⚠ NOT FOUND"))</f>
        <v/>
      </c>
      <c r="D1153" s="43" t="n">
        <v>618</v>
      </c>
      <c r="E1153" s="32">
        <f>IF(B1153="","",IFERROR(INDEX(Client_List!$C:$C,MATCH(VALUE(B1153),Client_List!$A:$A,0)),""))</f>
        <v/>
      </c>
      <c r="F1153" s="53">
        <f>IF(B1153="","",IFERROR(INDEX(Client_List!$D:$D,MATCH(VALUE(B1153),Client_List!$A:$A,0)),""))</f>
        <v/>
      </c>
      <c r="G1153" s="53">
        <f>IF(B1153="","",IFERROR(INDEX(Client_List!$K:$K,MATCH(VALUE(B1153),Client_List!$A:$A,0)),""))</f>
        <v/>
      </c>
      <c r="H1153" s="32">
        <f>IF(B1153="","",IFERROR(INDEX(Client_List!$J:$J,MATCH(VALUE(B1153),Client_List!$A:$A,0)),""))</f>
        <v/>
      </c>
      <c r="I1153" s="70">
        <f>IF(B1153="","",IFERROR(A1153-LOOKUP(2,1/($B$4:$B1152=B1153),$A$4:$A1152),""))</f>
        <v/>
      </c>
      <c r="J1153" s="32">
        <f>IF(B1153="","",IFERROR(D1153/I1153,""))</f>
        <v/>
      </c>
      <c r="K1153" s="71">
        <f>IF(B1153="","",IFERROR(AVERAGEIFS($J$4:$J1153,$B$4:$B1153,B1153,$J$4:$J1153,"&gt;"&amp;0),""))</f>
        <v/>
      </c>
      <c r="L1153" s="11" t="n"/>
    </row>
    <row r="1154" ht="14" customHeight="1" s="72">
      <c r="A1154" s="75" t="n">
        <v>46116</v>
      </c>
      <c r="B1154" s="76" t="n">
        <v>11005</v>
      </c>
      <c r="C1154" s="69">
        <f>IF(B1154="","",IFERROR(INDEX(Client_List!$B:$B,MATCH(B1154,Client_List!$A:$A,0)),"⚠ NOT FOUND"))</f>
        <v/>
      </c>
      <c r="D1154" s="43" t="n">
        <v>725</v>
      </c>
      <c r="E1154" s="32">
        <f>IF(B1154="","",IFERROR(INDEX(Client_List!$C:$C,MATCH(VALUE(B1154),Client_List!$A:$A,0)),""))</f>
        <v/>
      </c>
      <c r="F1154" s="53">
        <f>IF(B1154="","",IFERROR(INDEX(Client_List!$D:$D,MATCH(VALUE(B1154),Client_List!$A:$A,0)),""))</f>
        <v/>
      </c>
      <c r="G1154" s="53">
        <f>IF(B1154="","",IFERROR(INDEX(Client_List!$K:$K,MATCH(VALUE(B1154),Client_List!$A:$A,0)),""))</f>
        <v/>
      </c>
      <c r="H1154" s="32">
        <f>IF(B1154="","",IFERROR(INDEX(Client_List!$J:$J,MATCH(VALUE(B1154),Client_List!$A:$A,0)),""))</f>
        <v/>
      </c>
      <c r="I1154" s="70">
        <f>IF(B1154="","",IFERROR(A1154-LOOKUP(2,1/($B$4:$B1153=B1154),$A$4:$A1153),""))</f>
        <v/>
      </c>
      <c r="J1154" s="32">
        <f>IF(B1154="","",IFERROR(D1154/I1154,""))</f>
        <v/>
      </c>
      <c r="K1154" s="71">
        <f>IF(B1154="","",IFERROR(AVERAGEIFS($J$4:$J1154,$B$4:$B1154,B1154,$J$4:$J1154,"&gt;"&amp;0),""))</f>
        <v/>
      </c>
      <c r="L1154" s="12" t="n"/>
    </row>
    <row r="1155" ht="14" customHeight="1" s="72">
      <c r="A1155" s="75" t="n">
        <v>46116</v>
      </c>
      <c r="B1155" s="76" t="n">
        <v>12047</v>
      </c>
      <c r="C1155" s="69">
        <f>IF(B1155="","",IFERROR(INDEX(Client_List!$B:$B,MATCH(B1155,Client_List!$A:$A,0)),"⚠ NOT FOUND"))</f>
        <v/>
      </c>
      <c r="D1155" s="43" t="n">
        <v>578</v>
      </c>
      <c r="E1155" s="32">
        <f>IF(B1155="","",IFERROR(INDEX(Client_List!$C:$C,MATCH(VALUE(B1155),Client_List!$A:$A,0)),""))</f>
        <v/>
      </c>
      <c r="F1155" s="53">
        <f>IF(B1155="","",IFERROR(INDEX(Client_List!$D:$D,MATCH(VALUE(B1155),Client_List!$A:$A,0)),""))</f>
        <v/>
      </c>
      <c r="G1155" s="53">
        <f>IF(B1155="","",IFERROR(INDEX(Client_List!$K:$K,MATCH(VALUE(B1155),Client_List!$A:$A,0)),""))</f>
        <v/>
      </c>
      <c r="H1155" s="32">
        <f>IF(B1155="","",IFERROR(INDEX(Client_List!$J:$J,MATCH(VALUE(B1155),Client_List!$A:$A,0)),""))</f>
        <v/>
      </c>
      <c r="I1155" s="70">
        <f>IF(B1155="","",IFERROR(A1155-LOOKUP(2,1/($B$4:$B1154=B1155),$A$4:$A1154),""))</f>
        <v/>
      </c>
      <c r="J1155" s="32">
        <f>IF(B1155="","",IFERROR(D1155/I1155,""))</f>
        <v/>
      </c>
      <c r="K1155" s="71">
        <f>IF(B1155="","",IFERROR(AVERAGEIFS($J$4:$J1155,$B$4:$B1155,B1155,$J$4:$J1155,"&gt;"&amp;0),""))</f>
        <v/>
      </c>
      <c r="L1155" s="11" t="n"/>
    </row>
    <row r="1156" ht="14" customHeight="1" s="72">
      <c r="A1156" s="75" t="n">
        <v>46116</v>
      </c>
      <c r="B1156" s="76" t="n">
        <v>12048</v>
      </c>
      <c r="C1156" s="69">
        <f>IF(B1156="","",IFERROR(INDEX(Client_List!$B:$B,MATCH(B1156,Client_List!$A:$A,0)),"⚠ NOT FOUND"))</f>
        <v/>
      </c>
      <c r="D1156" s="43" t="n">
        <v>743</v>
      </c>
      <c r="E1156" s="32">
        <f>IF(B1156="","",IFERROR(INDEX(Client_List!$C:$C,MATCH(VALUE(B1156),Client_List!$A:$A,0)),""))</f>
        <v/>
      </c>
      <c r="F1156" s="53">
        <f>IF(B1156="","",IFERROR(INDEX(Client_List!$D:$D,MATCH(VALUE(B1156),Client_List!$A:$A,0)),""))</f>
        <v/>
      </c>
      <c r="G1156" s="53">
        <f>IF(B1156="","",IFERROR(INDEX(Client_List!$K:$K,MATCH(VALUE(B1156),Client_List!$A:$A,0)),""))</f>
        <v/>
      </c>
      <c r="H1156" s="32">
        <f>IF(B1156="","",IFERROR(INDEX(Client_List!$J:$J,MATCH(VALUE(B1156),Client_List!$A:$A,0)),""))</f>
        <v/>
      </c>
      <c r="I1156" s="70">
        <f>IF(B1156="","",IFERROR(A1156-LOOKUP(2,1/($B$4:$B1155=B1156),$A$4:$A1155),""))</f>
        <v/>
      </c>
      <c r="J1156" s="32">
        <f>IF(B1156="","",IFERROR(D1156/I1156,""))</f>
        <v/>
      </c>
      <c r="K1156" s="71">
        <f>IF(B1156="","",IFERROR(AVERAGEIFS($J$4:$J1156,$B$4:$B1156,B1156,$J$4:$J1156,"&gt;"&amp;0),""))</f>
        <v/>
      </c>
      <c r="L1156" s="12" t="n"/>
    </row>
    <row r="1157" ht="14" customHeight="1" s="72">
      <c r="A1157" s="75" t="n">
        <v>46116</v>
      </c>
      <c r="B1157" s="76" t="n">
        <v>13011</v>
      </c>
      <c r="C1157" s="69">
        <f>IF(B1157="","",IFERROR(INDEX(Client_List!$B:$B,MATCH(B1157,Client_List!$A:$A,0)),"⚠ NOT FOUND"))</f>
        <v/>
      </c>
      <c r="D1157" s="43" t="n">
        <v>636</v>
      </c>
      <c r="E1157" s="32">
        <f>IF(B1157="","",IFERROR(INDEX(Client_List!$C:$C,MATCH(VALUE(B1157),Client_List!$A:$A,0)),""))</f>
        <v/>
      </c>
      <c r="F1157" s="53">
        <f>IF(B1157="","",IFERROR(INDEX(Client_List!$D:$D,MATCH(VALUE(B1157),Client_List!$A:$A,0)),""))</f>
        <v/>
      </c>
      <c r="G1157" s="53">
        <f>IF(B1157="","",IFERROR(INDEX(Client_List!$K:$K,MATCH(VALUE(B1157),Client_List!$A:$A,0)),""))</f>
        <v/>
      </c>
      <c r="H1157" s="32">
        <f>IF(B1157="","",IFERROR(INDEX(Client_List!$J:$J,MATCH(VALUE(B1157),Client_List!$A:$A,0)),""))</f>
        <v/>
      </c>
      <c r="I1157" s="70">
        <f>IF(B1157="","",IFERROR(A1157-LOOKUP(2,1/($B$4:$B1156=B1157),$A$4:$A1156),""))</f>
        <v/>
      </c>
      <c r="J1157" s="32">
        <f>IF(B1157="","",IFERROR(D1157/I1157,""))</f>
        <v/>
      </c>
      <c r="K1157" s="71">
        <f>IF(B1157="","",IFERROR(AVERAGEIFS($J$4:$J1157,$B$4:$B1157,B1157,$J$4:$J1157,"&gt;"&amp;0),""))</f>
        <v/>
      </c>
      <c r="L1157" s="11" t="n"/>
    </row>
    <row r="1158" ht="14" customHeight="1" s="72">
      <c r="A1158" s="75" t="n">
        <v>46116</v>
      </c>
      <c r="B1158" s="76" t="n">
        <v>15004</v>
      </c>
      <c r="C1158" s="69">
        <f>IF(B1158="","",IFERROR(INDEX(Client_List!$B:$B,MATCH(B1158,Client_List!$A:$A,0)),"⚠ NOT FOUND"))</f>
        <v/>
      </c>
      <c r="D1158" s="43" t="n">
        <v>439</v>
      </c>
      <c r="E1158" s="32">
        <f>IF(B1158="","",IFERROR(INDEX(Client_List!$C:$C,MATCH(VALUE(B1158),Client_List!$A:$A,0)),""))</f>
        <v/>
      </c>
      <c r="F1158" s="53">
        <f>IF(B1158="","",IFERROR(INDEX(Client_List!$D:$D,MATCH(VALUE(B1158),Client_List!$A:$A,0)),""))</f>
        <v/>
      </c>
      <c r="G1158" s="53">
        <f>IF(B1158="","",IFERROR(INDEX(Client_List!$K:$K,MATCH(VALUE(B1158),Client_List!$A:$A,0)),""))</f>
        <v/>
      </c>
      <c r="H1158" s="32">
        <f>IF(B1158="","",IFERROR(INDEX(Client_List!$J:$J,MATCH(VALUE(B1158),Client_List!$A:$A,0)),""))</f>
        <v/>
      </c>
      <c r="I1158" s="70">
        <f>IF(B1158="","",IFERROR(A1158-LOOKUP(2,1/($B$4:$B1157=B1158),$A$4:$A1157),""))</f>
        <v/>
      </c>
      <c r="J1158" s="32">
        <f>IF(B1158="","",IFERROR(D1158/I1158,""))</f>
        <v/>
      </c>
      <c r="K1158" s="71">
        <f>IF(B1158="","",IFERROR(AVERAGEIFS($J$4:$J1158,$B$4:$B1158,B1158,$J$4:$J1158,"&gt;"&amp;0),""))</f>
        <v/>
      </c>
      <c r="L1158" s="12" t="n"/>
    </row>
    <row r="1159" ht="14" customHeight="1" s="72">
      <c r="A1159" s="75" t="n">
        <v>46116</v>
      </c>
      <c r="B1159" s="76" t="n">
        <v>15015</v>
      </c>
      <c r="C1159" s="69">
        <f>IF(B1159="","",IFERROR(INDEX(Client_List!$B:$B,MATCH(B1159,Client_List!$A:$A,0)),"⚠ NOT FOUND"))</f>
        <v/>
      </c>
      <c r="D1159" s="43" t="n">
        <v>334</v>
      </c>
      <c r="E1159" s="32">
        <f>IF(B1159="","",IFERROR(INDEX(Client_List!$C:$C,MATCH(VALUE(B1159),Client_List!$A:$A,0)),""))</f>
        <v/>
      </c>
      <c r="F1159" s="53">
        <f>IF(B1159="","",IFERROR(INDEX(Client_List!$D:$D,MATCH(VALUE(B1159),Client_List!$A:$A,0)),""))</f>
        <v/>
      </c>
      <c r="G1159" s="53">
        <f>IF(B1159="","",IFERROR(INDEX(Client_List!$K:$K,MATCH(VALUE(B1159),Client_List!$A:$A,0)),""))</f>
        <v/>
      </c>
      <c r="H1159" s="32">
        <f>IF(B1159="","",IFERROR(INDEX(Client_List!$J:$J,MATCH(VALUE(B1159),Client_List!$A:$A,0)),""))</f>
        <v/>
      </c>
      <c r="I1159" s="70">
        <f>IF(B1159="","",IFERROR(A1159-LOOKUP(2,1/($B$4:$B1158=B1159),$A$4:$A1158),""))</f>
        <v/>
      </c>
      <c r="J1159" s="32">
        <f>IF(B1159="","",IFERROR(D1159/I1159,""))</f>
        <v/>
      </c>
      <c r="K1159" s="71">
        <f>IF(B1159="","",IFERROR(AVERAGEIFS($J$4:$J1159,$B$4:$B1159,B1159,$J$4:$J1159,"&gt;"&amp;0),""))</f>
        <v/>
      </c>
      <c r="L1159" s="11" t="n"/>
    </row>
    <row r="1160" ht="14" customHeight="1" s="72">
      <c r="A1160" s="75" t="n">
        <v>46116</v>
      </c>
      <c r="B1160" s="76" t="n">
        <v>15020</v>
      </c>
      <c r="C1160" s="69">
        <f>IF(B1160="","",IFERROR(INDEX(Client_List!$B:$B,MATCH(B1160,Client_List!$A:$A,0)),"⚠ NOT FOUND"))</f>
        <v/>
      </c>
      <c r="D1160" s="43" t="n">
        <v>415</v>
      </c>
      <c r="E1160" s="32">
        <f>IF(B1160="","",IFERROR(INDEX(Client_List!$C:$C,MATCH(VALUE(B1160),Client_List!$A:$A,0)),""))</f>
        <v/>
      </c>
      <c r="F1160" s="53">
        <f>IF(B1160="","",IFERROR(INDEX(Client_List!$D:$D,MATCH(VALUE(B1160),Client_List!$A:$A,0)),""))</f>
        <v/>
      </c>
      <c r="G1160" s="53">
        <f>IF(B1160="","",IFERROR(INDEX(Client_List!$K:$K,MATCH(VALUE(B1160),Client_List!$A:$A,0)),""))</f>
        <v/>
      </c>
      <c r="H1160" s="32">
        <f>IF(B1160="","",IFERROR(INDEX(Client_List!$J:$J,MATCH(VALUE(B1160),Client_List!$A:$A,0)),""))</f>
        <v/>
      </c>
      <c r="I1160" s="70">
        <f>IF(B1160="","",IFERROR(A1160-LOOKUP(2,1/($B$4:$B1159=B1160),$A$4:$A1159),""))</f>
        <v/>
      </c>
      <c r="J1160" s="32">
        <f>IF(B1160="","",IFERROR(D1160/I1160,""))</f>
        <v/>
      </c>
      <c r="K1160" s="71">
        <f>IF(B1160="","",IFERROR(AVERAGEIFS($J$4:$J1160,$B$4:$B1160,B1160,$J$4:$J1160,"&gt;"&amp;0),""))</f>
        <v/>
      </c>
      <c r="L1160" s="12" t="n"/>
    </row>
    <row r="1161" ht="14" customHeight="1" s="72">
      <c r="A1161" s="75" t="n">
        <v>46116</v>
      </c>
      <c r="B1161" s="76" t="n">
        <v>15032</v>
      </c>
      <c r="C1161" s="69">
        <f>IF(B1161="","",IFERROR(INDEX(Client_List!$B:$B,MATCH(B1161,Client_List!$A:$A,0)),"⚠ NOT FOUND"))</f>
        <v/>
      </c>
      <c r="D1161" s="43" t="n">
        <v>539</v>
      </c>
      <c r="E1161" s="32">
        <f>IF(B1161="","",IFERROR(INDEX(Client_List!$C:$C,MATCH(VALUE(B1161),Client_List!$A:$A,0)),""))</f>
        <v/>
      </c>
      <c r="F1161" s="53">
        <f>IF(B1161="","",IFERROR(INDEX(Client_List!$D:$D,MATCH(VALUE(B1161),Client_List!$A:$A,0)),""))</f>
        <v/>
      </c>
      <c r="G1161" s="53">
        <f>IF(B1161="","",IFERROR(INDEX(Client_List!$K:$K,MATCH(VALUE(B1161),Client_List!$A:$A,0)),""))</f>
        <v/>
      </c>
      <c r="H1161" s="32">
        <f>IF(B1161="","",IFERROR(INDEX(Client_List!$J:$J,MATCH(VALUE(B1161),Client_List!$A:$A,0)),""))</f>
        <v/>
      </c>
      <c r="I1161" s="70">
        <f>IF(B1161="","",IFERROR(A1161-LOOKUP(2,1/($B$4:$B1160=B1161),$A$4:$A1160),""))</f>
        <v/>
      </c>
      <c r="J1161" s="32">
        <f>IF(B1161="","",IFERROR(D1161/I1161,""))</f>
        <v/>
      </c>
      <c r="K1161" s="71">
        <f>IF(B1161="","",IFERROR(AVERAGEIFS($J$4:$J1161,$B$4:$B1161,B1161,$J$4:$J1161,"&gt;"&amp;0),""))</f>
        <v/>
      </c>
      <c r="L1161" s="11" t="n"/>
    </row>
    <row r="1162" ht="14" customHeight="1" s="72">
      <c r="A1162" s="75" t="n">
        <v>46116</v>
      </c>
      <c r="B1162" s="76" t="n">
        <v>15035</v>
      </c>
      <c r="C1162" s="69">
        <f>IF(B1162="","",IFERROR(INDEX(Client_List!$B:$B,MATCH(B1162,Client_List!$A:$A,0)),"⚠ NOT FOUND"))</f>
        <v/>
      </c>
      <c r="D1162" s="43" t="n">
        <v>1485</v>
      </c>
      <c r="E1162" s="32">
        <f>IF(B1162="","",IFERROR(INDEX(Client_List!$C:$C,MATCH(VALUE(B1162),Client_List!$A:$A,0)),""))</f>
        <v/>
      </c>
      <c r="F1162" s="53">
        <f>IF(B1162="","",IFERROR(INDEX(Client_List!$D:$D,MATCH(VALUE(B1162),Client_List!$A:$A,0)),""))</f>
        <v/>
      </c>
      <c r="G1162" s="53">
        <f>IF(B1162="","",IFERROR(INDEX(Client_List!$K:$K,MATCH(VALUE(B1162),Client_List!$A:$A,0)),""))</f>
        <v/>
      </c>
      <c r="H1162" s="32">
        <f>IF(B1162="","",IFERROR(INDEX(Client_List!$J:$J,MATCH(VALUE(B1162),Client_List!$A:$A,0)),""))</f>
        <v/>
      </c>
      <c r="I1162" s="70">
        <f>IF(B1162="","",IFERROR(A1162-LOOKUP(2,1/($B$4:$B1161=B1162),$A$4:$A1161),""))</f>
        <v/>
      </c>
      <c r="J1162" s="32">
        <f>IF(B1162="","",IFERROR(D1162/I1162,""))</f>
        <v/>
      </c>
      <c r="K1162" s="71">
        <f>IF(B1162="","",IFERROR(AVERAGEIFS($J$4:$J1162,$B$4:$B1162,B1162,$J$4:$J1162,"&gt;"&amp;0),""))</f>
        <v/>
      </c>
      <c r="L1162" s="12" t="n"/>
    </row>
    <row r="1163" ht="14" customHeight="1" s="72">
      <c r="A1163" s="75" t="n">
        <v>46116</v>
      </c>
      <c r="B1163" s="76" t="n">
        <v>16007</v>
      </c>
      <c r="C1163" s="69">
        <f>IF(B1163="","",IFERROR(INDEX(Client_List!$B:$B,MATCH(B1163,Client_List!$A:$A,0)),"⚠ NOT FOUND"))</f>
        <v/>
      </c>
      <c r="D1163" s="43" t="n">
        <v>673</v>
      </c>
      <c r="E1163" s="32">
        <f>IF(B1163="","",IFERROR(INDEX(Client_List!$C:$C,MATCH(VALUE(B1163),Client_List!$A:$A,0)),""))</f>
        <v/>
      </c>
      <c r="F1163" s="53">
        <f>IF(B1163="","",IFERROR(INDEX(Client_List!$D:$D,MATCH(VALUE(B1163),Client_List!$A:$A,0)),""))</f>
        <v/>
      </c>
      <c r="G1163" s="53">
        <f>IF(B1163="","",IFERROR(INDEX(Client_List!$K:$K,MATCH(VALUE(B1163),Client_List!$A:$A,0)),""))</f>
        <v/>
      </c>
      <c r="H1163" s="32">
        <f>IF(B1163="","",IFERROR(INDEX(Client_List!$J:$J,MATCH(VALUE(B1163),Client_List!$A:$A,0)),""))</f>
        <v/>
      </c>
      <c r="I1163" s="70">
        <f>IF(B1163="","",IFERROR(A1163-LOOKUP(2,1/($B$4:$B1162=B1163),$A$4:$A1162),""))</f>
        <v/>
      </c>
      <c r="J1163" s="32">
        <f>IF(B1163="","",IFERROR(D1163/I1163,""))</f>
        <v/>
      </c>
      <c r="K1163" s="71">
        <f>IF(B1163="","",IFERROR(AVERAGEIFS($J$4:$J1163,$B$4:$B1163,B1163,$J$4:$J1163,"&gt;"&amp;0),""))</f>
        <v/>
      </c>
      <c r="L1163" s="11" t="n"/>
    </row>
    <row r="1164" ht="14" customHeight="1" s="72">
      <c r="A1164" s="75" t="n">
        <v>46116</v>
      </c>
      <c r="B1164" s="76" t="n">
        <v>18003</v>
      </c>
      <c r="C1164" s="69">
        <f>IF(B1164="","",IFERROR(INDEX(Client_List!$B:$B,MATCH(B1164,Client_List!$A:$A,0)),"⚠ NOT FOUND"))</f>
        <v/>
      </c>
      <c r="D1164" s="43" t="n">
        <v>216</v>
      </c>
      <c r="E1164" s="32">
        <f>IF(B1164="","",IFERROR(INDEX(Client_List!$C:$C,MATCH(VALUE(B1164),Client_List!$A:$A,0)),""))</f>
        <v/>
      </c>
      <c r="F1164" s="53">
        <f>IF(B1164="","",IFERROR(INDEX(Client_List!$D:$D,MATCH(VALUE(B1164),Client_List!$A:$A,0)),""))</f>
        <v/>
      </c>
      <c r="G1164" s="53">
        <f>IF(B1164="","",IFERROR(INDEX(Client_List!$K:$K,MATCH(VALUE(B1164),Client_List!$A:$A,0)),""))</f>
        <v/>
      </c>
      <c r="H1164" s="32">
        <f>IF(B1164="","",IFERROR(INDEX(Client_List!$J:$J,MATCH(VALUE(B1164),Client_List!$A:$A,0)),""))</f>
        <v/>
      </c>
      <c r="I1164" s="70">
        <f>IF(B1164="","",IFERROR(A1164-LOOKUP(2,1/($B$4:$B1163=B1164),$A$4:$A1163),""))</f>
        <v/>
      </c>
      <c r="J1164" s="32">
        <f>IF(B1164="","",IFERROR(D1164/I1164,""))</f>
        <v/>
      </c>
      <c r="K1164" s="71">
        <f>IF(B1164="","",IFERROR(AVERAGEIFS($J$4:$J1164,$B$4:$B1164,B1164,$J$4:$J1164,"&gt;"&amp;0),""))</f>
        <v/>
      </c>
      <c r="L1164" s="12" t="n"/>
    </row>
    <row r="1165" ht="14" customHeight="1" s="72">
      <c r="A1165" s="75" t="n">
        <v>46116</v>
      </c>
      <c r="B1165" s="76" t="n">
        <v>18036</v>
      </c>
      <c r="C1165" s="69">
        <f>IF(B1165="","",IFERROR(INDEX(Client_List!$B:$B,MATCH(B1165,Client_List!$A:$A,0)),"⚠ NOT FOUND"))</f>
        <v/>
      </c>
      <c r="D1165" s="43" t="n">
        <v>795</v>
      </c>
      <c r="E1165" s="32">
        <f>IF(B1165="","",IFERROR(INDEX(Client_List!$C:$C,MATCH(VALUE(B1165),Client_List!$A:$A,0)),""))</f>
        <v/>
      </c>
      <c r="F1165" s="53">
        <f>IF(B1165="","",IFERROR(INDEX(Client_List!$D:$D,MATCH(VALUE(B1165),Client_List!$A:$A,0)),""))</f>
        <v/>
      </c>
      <c r="G1165" s="53">
        <f>IF(B1165="","",IFERROR(INDEX(Client_List!$K:$K,MATCH(VALUE(B1165),Client_List!$A:$A,0)),""))</f>
        <v/>
      </c>
      <c r="H1165" s="32">
        <f>IF(B1165="","",IFERROR(INDEX(Client_List!$J:$J,MATCH(VALUE(B1165),Client_List!$A:$A,0)),""))</f>
        <v/>
      </c>
      <c r="I1165" s="70">
        <f>IF(B1165="","",IFERROR(A1165-LOOKUP(2,1/($B$4:$B1164=B1165),$A$4:$A1164),""))</f>
        <v/>
      </c>
      <c r="J1165" s="32">
        <f>IF(B1165="","",IFERROR(D1165/I1165,""))</f>
        <v/>
      </c>
      <c r="K1165" s="71">
        <f>IF(B1165="","",IFERROR(AVERAGEIFS($J$4:$J1165,$B$4:$B1165,B1165,$J$4:$J1165,"&gt;"&amp;0),""))</f>
        <v/>
      </c>
      <c r="L1165" s="11" t="n"/>
    </row>
    <row r="1166" ht="14" customHeight="1" s="72">
      <c r="A1166" s="75" t="n">
        <v>46116</v>
      </c>
      <c r="B1166" s="76" t="n">
        <v>18054</v>
      </c>
      <c r="C1166" s="69">
        <f>IF(B1166="","",IFERROR(INDEX(Client_List!$B:$B,MATCH(B1166,Client_List!$A:$A,0)),"⚠ NOT FOUND"))</f>
        <v/>
      </c>
      <c r="D1166" s="43" t="n">
        <v>795</v>
      </c>
      <c r="E1166" s="32">
        <f>IF(B1166="","",IFERROR(INDEX(Client_List!$C:$C,MATCH(VALUE(B1166),Client_List!$A:$A,0)),""))</f>
        <v/>
      </c>
      <c r="F1166" s="53">
        <f>IF(B1166="","",IFERROR(INDEX(Client_List!$D:$D,MATCH(VALUE(B1166),Client_List!$A:$A,0)),""))</f>
        <v/>
      </c>
      <c r="G1166" s="53">
        <f>IF(B1166="","",IFERROR(INDEX(Client_List!$K:$K,MATCH(VALUE(B1166),Client_List!$A:$A,0)),""))</f>
        <v/>
      </c>
      <c r="H1166" s="32">
        <f>IF(B1166="","",IFERROR(INDEX(Client_List!$J:$J,MATCH(VALUE(B1166),Client_List!$A:$A,0)),""))</f>
        <v/>
      </c>
      <c r="I1166" s="70">
        <f>IF(B1166="","",IFERROR(A1166-LOOKUP(2,1/($B$4:$B1165=B1166),$A$4:$A1165),""))</f>
        <v/>
      </c>
      <c r="J1166" s="32">
        <f>IF(B1166="","",IFERROR(D1166/I1166,""))</f>
        <v/>
      </c>
      <c r="K1166" s="71">
        <f>IF(B1166="","",IFERROR(AVERAGEIFS($J$4:$J1166,$B$4:$B1166,B1166,$J$4:$J1166,"&gt;"&amp;0),""))</f>
        <v/>
      </c>
      <c r="L1166" s="12" t="n"/>
    </row>
    <row r="1167" ht="14" customHeight="1" s="72">
      <c r="A1167" s="75" t="n">
        <v>46116</v>
      </c>
      <c r="B1167" s="76" t="n">
        <v>20021</v>
      </c>
      <c r="C1167" s="69">
        <f>IF(B1167="","",IFERROR(INDEX(Client_List!$B:$B,MATCH(B1167,Client_List!$A:$A,0)),"⚠ NOT FOUND"))</f>
        <v/>
      </c>
      <c r="D1167" s="43" t="n">
        <v>766</v>
      </c>
      <c r="E1167" s="32">
        <f>IF(B1167="","",IFERROR(INDEX(Client_List!$C:$C,MATCH(VALUE(B1167),Client_List!$A:$A,0)),""))</f>
        <v/>
      </c>
      <c r="F1167" s="53">
        <f>IF(B1167="","",IFERROR(INDEX(Client_List!$D:$D,MATCH(VALUE(B1167),Client_List!$A:$A,0)),""))</f>
        <v/>
      </c>
      <c r="G1167" s="53">
        <f>IF(B1167="","",IFERROR(INDEX(Client_List!$K:$K,MATCH(VALUE(B1167),Client_List!$A:$A,0)),""))</f>
        <v/>
      </c>
      <c r="H1167" s="32">
        <f>IF(B1167="","",IFERROR(INDEX(Client_List!$J:$J,MATCH(VALUE(B1167),Client_List!$A:$A,0)),""))</f>
        <v/>
      </c>
      <c r="I1167" s="70">
        <f>IF(B1167="","",IFERROR(A1167-LOOKUP(2,1/($B$4:$B1166=B1167),$A$4:$A1166),""))</f>
        <v/>
      </c>
      <c r="J1167" s="32">
        <f>IF(B1167="","",IFERROR(D1167/I1167,""))</f>
        <v/>
      </c>
      <c r="K1167" s="71">
        <f>IF(B1167="","",IFERROR(AVERAGEIFS($J$4:$J1167,$B$4:$B1167,B1167,$J$4:$J1167,"&gt;"&amp;0),""))</f>
        <v/>
      </c>
      <c r="L1167" s="11" t="n"/>
    </row>
    <row r="1168" ht="14" customHeight="1" s="72">
      <c r="A1168" s="75" t="n">
        <v>46118</v>
      </c>
      <c r="B1168" s="76" t="n">
        <v>12021</v>
      </c>
      <c r="C1168" s="69">
        <f>IF(B1168="","",IFERROR(INDEX(Client_List!$B:$B,MATCH(B1168,Client_List!$A:$A,0)),"⚠ NOT FOUND"))</f>
        <v/>
      </c>
      <c r="D1168" s="43" t="n">
        <v>347</v>
      </c>
      <c r="E1168" s="32">
        <f>IF(B1168="","",IFERROR(INDEX(Client_List!$C:$C,MATCH(VALUE(B1168),Client_List!$A:$A,0)),""))</f>
        <v/>
      </c>
      <c r="F1168" s="53">
        <f>IF(B1168="","",IFERROR(INDEX(Client_List!$D:$D,MATCH(VALUE(B1168),Client_List!$A:$A,0)),""))</f>
        <v/>
      </c>
      <c r="G1168" s="53">
        <f>IF(B1168="","",IFERROR(INDEX(Client_List!$K:$K,MATCH(VALUE(B1168),Client_List!$A:$A,0)),""))</f>
        <v/>
      </c>
      <c r="H1168" s="32">
        <f>IF(B1168="","",IFERROR(INDEX(Client_List!$J:$J,MATCH(VALUE(B1168),Client_List!$A:$A,0)),""))</f>
        <v/>
      </c>
      <c r="I1168" s="70">
        <f>IF(B1168="","",IFERROR(A1168-LOOKUP(2,1/($B$4:$B1167=B1168),$A$4:$A1167),""))</f>
        <v/>
      </c>
      <c r="J1168" s="32">
        <f>IF(B1168="","",IFERROR(D1168/I1168,""))</f>
        <v/>
      </c>
      <c r="K1168" s="71">
        <f>IF(B1168="","",IFERROR(AVERAGEIFS($J$4:$J1168,$B$4:$B1168,B1168,$J$4:$J1168,"&gt;"&amp;0),""))</f>
        <v/>
      </c>
      <c r="L1168" s="12" t="n"/>
    </row>
    <row r="1169" ht="14" customHeight="1" s="72">
      <c r="A1169" s="75" t="n">
        <v>46119</v>
      </c>
      <c r="B1169" s="76" t="n">
        <v>1001</v>
      </c>
      <c r="C1169" s="69">
        <f>IF(B1169="","",IFERROR(INDEX(Client_List!$B:$B,MATCH(B1169,Client_List!$A:$A,0)),"⚠ NOT FOUND"))</f>
        <v/>
      </c>
      <c r="D1169" s="43" t="n">
        <v>836</v>
      </c>
      <c r="E1169" s="32">
        <f>IF(B1169="","",IFERROR(INDEX(Client_List!$C:$C,MATCH(VALUE(B1169),Client_List!$A:$A,0)),""))</f>
        <v/>
      </c>
      <c r="F1169" s="53">
        <f>IF(B1169="","",IFERROR(INDEX(Client_List!$D:$D,MATCH(VALUE(B1169),Client_List!$A:$A,0)),""))</f>
        <v/>
      </c>
      <c r="G1169" s="53">
        <f>IF(B1169="","",IFERROR(INDEX(Client_List!$K:$K,MATCH(VALUE(B1169),Client_List!$A:$A,0)),""))</f>
        <v/>
      </c>
      <c r="H1169" s="32">
        <f>IF(B1169="","",IFERROR(INDEX(Client_List!$J:$J,MATCH(VALUE(B1169),Client_List!$A:$A,0)),""))</f>
        <v/>
      </c>
      <c r="I1169" s="70">
        <f>IF(B1169="","",IFERROR(A1169-LOOKUP(2,1/($B$4:$B1168=B1169),$A$4:$A1168),""))</f>
        <v/>
      </c>
      <c r="J1169" s="32">
        <f>IF(B1169="","",IFERROR(D1169/I1169,""))</f>
        <v/>
      </c>
      <c r="K1169" s="71">
        <f>IF(B1169="","",IFERROR(AVERAGEIFS($J$4:$J1169,$B$4:$B1169,B1169,$J$4:$J1169,"&gt;"&amp;0),""))</f>
        <v/>
      </c>
      <c r="L1169" s="11" t="n"/>
    </row>
    <row r="1170" ht="14" customHeight="1" s="72">
      <c r="A1170" s="75" t="n">
        <v>46119</v>
      </c>
      <c r="B1170" s="76" t="n">
        <v>1013</v>
      </c>
      <c r="C1170" s="69">
        <f>IF(B1170="","",IFERROR(INDEX(Client_List!$B:$B,MATCH(B1170,Client_List!$A:$A,0)),"⚠ NOT FOUND"))</f>
        <v/>
      </c>
      <c r="D1170" s="43" t="n">
        <v>943</v>
      </c>
      <c r="E1170" s="32">
        <f>IF(B1170="","",IFERROR(INDEX(Client_List!$C:$C,MATCH(VALUE(B1170),Client_List!$A:$A,0)),""))</f>
        <v/>
      </c>
      <c r="F1170" s="53">
        <f>IF(B1170="","",IFERROR(INDEX(Client_List!$D:$D,MATCH(VALUE(B1170),Client_List!$A:$A,0)),""))</f>
        <v/>
      </c>
      <c r="G1170" s="53">
        <f>IF(B1170="","",IFERROR(INDEX(Client_List!$K:$K,MATCH(VALUE(B1170),Client_List!$A:$A,0)),""))</f>
        <v/>
      </c>
      <c r="H1170" s="32">
        <f>IF(B1170="","",IFERROR(INDEX(Client_List!$J:$J,MATCH(VALUE(B1170),Client_List!$A:$A,0)),""))</f>
        <v/>
      </c>
      <c r="I1170" s="70">
        <f>IF(B1170="","",IFERROR(A1170-LOOKUP(2,1/($B$4:$B1169=B1170),$A$4:$A1169),""))</f>
        <v/>
      </c>
      <c r="J1170" s="32">
        <f>IF(B1170="","",IFERROR(D1170/I1170,""))</f>
        <v/>
      </c>
      <c r="K1170" s="71">
        <f>IF(B1170="","",IFERROR(AVERAGEIFS($J$4:$J1170,$B$4:$B1170,B1170,$J$4:$J1170,"&gt;"&amp;0),""))</f>
        <v/>
      </c>
      <c r="L1170" s="12" t="n"/>
    </row>
    <row r="1171" ht="14" customHeight="1" s="72">
      <c r="A1171" s="75" t="n">
        <v>46119</v>
      </c>
      <c r="B1171" s="76" t="n">
        <v>1014</v>
      </c>
      <c r="C1171" s="69">
        <f>IF(B1171="","",IFERROR(INDEX(Client_List!$B:$B,MATCH(B1171,Client_List!$A:$A,0)),"⚠ NOT FOUND"))</f>
        <v/>
      </c>
      <c r="D1171" s="43" t="n">
        <v>1035</v>
      </c>
      <c r="E1171" s="32">
        <f>IF(B1171="","",IFERROR(INDEX(Client_List!$C:$C,MATCH(VALUE(B1171),Client_List!$A:$A,0)),""))</f>
        <v/>
      </c>
      <c r="F1171" s="53">
        <f>IF(B1171="","",IFERROR(INDEX(Client_List!$D:$D,MATCH(VALUE(B1171),Client_List!$A:$A,0)),""))</f>
        <v/>
      </c>
      <c r="G1171" s="53">
        <f>IF(B1171="","",IFERROR(INDEX(Client_List!$K:$K,MATCH(VALUE(B1171),Client_List!$A:$A,0)),""))</f>
        <v/>
      </c>
      <c r="H1171" s="32">
        <f>IF(B1171="","",IFERROR(INDEX(Client_List!$J:$J,MATCH(VALUE(B1171),Client_List!$A:$A,0)),""))</f>
        <v/>
      </c>
      <c r="I1171" s="70">
        <f>IF(B1171="","",IFERROR(A1171-LOOKUP(2,1/($B$4:$B1170=B1171),$A$4:$A1170),""))</f>
        <v/>
      </c>
      <c r="J1171" s="32">
        <f>IF(B1171="","",IFERROR(D1171/I1171,""))</f>
        <v/>
      </c>
      <c r="K1171" s="71">
        <f>IF(B1171="","",IFERROR(AVERAGEIFS($J$4:$J1171,$B$4:$B1171,B1171,$J$4:$J1171,"&gt;"&amp;0),""))</f>
        <v/>
      </c>
      <c r="L1171" s="11" t="n"/>
    </row>
    <row r="1172" ht="14" customHeight="1" s="72">
      <c r="A1172" s="75" t="n">
        <v>46119</v>
      </c>
      <c r="B1172" s="76" t="n">
        <v>1018</v>
      </c>
      <c r="C1172" s="69">
        <f>IF(B1172="","",IFERROR(INDEX(Client_List!$B:$B,MATCH(B1172,Client_List!$A:$A,0)),"⚠ NOT FOUND"))</f>
        <v/>
      </c>
      <c r="D1172" s="43" t="n">
        <v>321</v>
      </c>
      <c r="E1172" s="32">
        <f>IF(B1172="","",IFERROR(INDEX(Client_List!$C:$C,MATCH(VALUE(B1172),Client_List!$A:$A,0)),""))</f>
        <v/>
      </c>
      <c r="F1172" s="53">
        <f>IF(B1172="","",IFERROR(INDEX(Client_List!$D:$D,MATCH(VALUE(B1172),Client_List!$A:$A,0)),""))</f>
        <v/>
      </c>
      <c r="G1172" s="53">
        <f>IF(B1172="","",IFERROR(INDEX(Client_List!$K:$K,MATCH(VALUE(B1172),Client_List!$A:$A,0)),""))</f>
        <v/>
      </c>
      <c r="H1172" s="32">
        <f>IF(B1172="","",IFERROR(INDEX(Client_List!$J:$J,MATCH(VALUE(B1172),Client_List!$A:$A,0)),""))</f>
        <v/>
      </c>
      <c r="I1172" s="70">
        <f>IF(B1172="","",IFERROR(A1172-LOOKUP(2,1/($B$4:$B1171=B1172),$A$4:$A1171),""))</f>
        <v/>
      </c>
      <c r="J1172" s="32">
        <f>IF(B1172="","",IFERROR(D1172/I1172,""))</f>
        <v/>
      </c>
      <c r="K1172" s="71">
        <f>IF(B1172="","",IFERROR(AVERAGEIFS($J$4:$J1172,$B$4:$B1172,B1172,$J$4:$J1172,"&gt;"&amp;0),""))</f>
        <v/>
      </c>
      <c r="L1172" s="12" t="n"/>
    </row>
    <row r="1173" ht="14" customHeight="1" s="72">
      <c r="A1173" s="75" t="n">
        <v>46119</v>
      </c>
      <c r="B1173" s="76" t="n">
        <v>1083</v>
      </c>
      <c r="C1173" s="69">
        <f>IF(B1173="","",IFERROR(INDEX(Client_List!$B:$B,MATCH(B1173,Client_List!$A:$A,0)),"⚠ NOT FOUND"))</f>
        <v/>
      </c>
      <c r="D1173" s="43" t="n">
        <v>209</v>
      </c>
      <c r="E1173" s="32">
        <f>IF(B1173="","",IFERROR(INDEX(Client_List!$C:$C,MATCH(VALUE(B1173),Client_List!$A:$A,0)),""))</f>
        <v/>
      </c>
      <c r="F1173" s="53">
        <f>IF(B1173="","",IFERROR(INDEX(Client_List!$D:$D,MATCH(VALUE(B1173),Client_List!$A:$A,0)),""))</f>
        <v/>
      </c>
      <c r="G1173" s="53">
        <f>IF(B1173="","",IFERROR(INDEX(Client_List!$K:$K,MATCH(VALUE(B1173),Client_List!$A:$A,0)),""))</f>
        <v/>
      </c>
      <c r="H1173" s="32">
        <f>IF(B1173="","",IFERROR(INDEX(Client_List!$J:$J,MATCH(VALUE(B1173),Client_List!$A:$A,0)),""))</f>
        <v/>
      </c>
      <c r="I1173" s="70">
        <f>IF(B1173="","",IFERROR(A1173-LOOKUP(2,1/($B$4:$B1172=B1173),$A$4:$A1172),""))</f>
        <v/>
      </c>
      <c r="J1173" s="32">
        <f>IF(B1173="","",IFERROR(D1173/I1173,""))</f>
        <v/>
      </c>
      <c r="K1173" s="71">
        <f>IF(B1173="","",IFERROR(AVERAGEIFS($J$4:$J1173,$B$4:$B1173,B1173,$J$4:$J1173,"&gt;"&amp;0),""))</f>
        <v/>
      </c>
      <c r="L1173" s="11" t="n"/>
    </row>
    <row r="1174" ht="14" customHeight="1" s="72">
      <c r="A1174" s="75" t="n">
        <v>46119</v>
      </c>
      <c r="B1174" s="76" t="n">
        <v>2045</v>
      </c>
      <c r="C1174" s="69">
        <f>IF(B1174="","",IFERROR(INDEX(Client_List!$B:$B,MATCH(B1174,Client_List!$A:$A,0)),"⚠ NOT FOUND"))</f>
        <v/>
      </c>
      <c r="D1174" s="43" t="n">
        <v>261</v>
      </c>
      <c r="E1174" s="32">
        <f>IF(B1174="","",IFERROR(INDEX(Client_List!$C:$C,MATCH(VALUE(B1174),Client_List!$A:$A,0)),""))</f>
        <v/>
      </c>
      <c r="F1174" s="53">
        <f>IF(B1174="","",IFERROR(INDEX(Client_List!$D:$D,MATCH(VALUE(B1174),Client_List!$A:$A,0)),""))</f>
        <v/>
      </c>
      <c r="G1174" s="53">
        <f>IF(B1174="","",IFERROR(INDEX(Client_List!$K:$K,MATCH(VALUE(B1174),Client_List!$A:$A,0)),""))</f>
        <v/>
      </c>
      <c r="H1174" s="32">
        <f>IF(B1174="","",IFERROR(INDEX(Client_List!$J:$J,MATCH(VALUE(B1174),Client_List!$A:$A,0)),""))</f>
        <v/>
      </c>
      <c r="I1174" s="70">
        <f>IF(B1174="","",IFERROR(A1174-LOOKUP(2,1/($B$4:$B1173=B1174),$A$4:$A1173),""))</f>
        <v/>
      </c>
      <c r="J1174" s="32">
        <f>IF(B1174="","",IFERROR(D1174/I1174,""))</f>
        <v/>
      </c>
      <c r="K1174" s="71">
        <f>IF(B1174="","",IFERROR(AVERAGEIFS($J$4:$J1174,$B$4:$B1174,B1174,$J$4:$J1174,"&gt;"&amp;0),""))</f>
        <v/>
      </c>
      <c r="L1174" s="12" t="n"/>
    </row>
    <row r="1175" ht="14" customHeight="1" s="72">
      <c r="A1175" s="75" t="n">
        <v>46119</v>
      </c>
      <c r="B1175" s="76" t="n">
        <v>3064</v>
      </c>
      <c r="C1175" s="69">
        <f>IF(B1175="","",IFERROR(INDEX(Client_List!$B:$B,MATCH(B1175,Client_List!$A:$A,0)),"⚠ NOT FOUND"))</f>
        <v/>
      </c>
      <c r="D1175" s="43" t="n">
        <v>574</v>
      </c>
      <c r="E1175" s="32">
        <f>IF(B1175="","",IFERROR(INDEX(Client_List!$C:$C,MATCH(VALUE(B1175),Client_List!$A:$A,0)),""))</f>
        <v/>
      </c>
      <c r="F1175" s="53">
        <f>IF(B1175="","",IFERROR(INDEX(Client_List!$D:$D,MATCH(VALUE(B1175),Client_List!$A:$A,0)),""))</f>
        <v/>
      </c>
      <c r="G1175" s="53">
        <f>IF(B1175="","",IFERROR(INDEX(Client_List!$K:$K,MATCH(VALUE(B1175),Client_List!$A:$A,0)),""))</f>
        <v/>
      </c>
      <c r="H1175" s="32">
        <f>IF(B1175="","",IFERROR(INDEX(Client_List!$J:$J,MATCH(VALUE(B1175),Client_List!$A:$A,0)),""))</f>
        <v/>
      </c>
      <c r="I1175" s="70">
        <f>IF(B1175="","",IFERROR(A1175-LOOKUP(2,1/($B$4:$B1174=B1175),$A$4:$A1174),""))</f>
        <v/>
      </c>
      <c r="J1175" s="32">
        <f>IF(B1175="","",IFERROR(D1175/I1175,""))</f>
        <v/>
      </c>
      <c r="K1175" s="71">
        <f>IF(B1175="","",IFERROR(AVERAGEIFS($J$4:$J1175,$B$4:$B1175,B1175,$J$4:$J1175,"&gt;"&amp;0),""))</f>
        <v/>
      </c>
      <c r="L1175" s="11" t="n"/>
    </row>
    <row r="1176" ht="14" customHeight="1" s="72">
      <c r="A1176" s="75" t="n">
        <v>46119</v>
      </c>
      <c r="B1176" s="76" t="n">
        <v>5006</v>
      </c>
      <c r="C1176" s="69">
        <f>IF(B1176="","",IFERROR(INDEX(Client_List!$B:$B,MATCH(B1176,Client_List!$A:$A,0)),"⚠ NOT FOUND"))</f>
        <v/>
      </c>
      <c r="D1176" s="43" t="n">
        <v>265</v>
      </c>
      <c r="E1176" s="32">
        <f>IF(B1176="","",IFERROR(INDEX(Client_List!$C:$C,MATCH(VALUE(B1176),Client_List!$A:$A,0)),""))</f>
        <v/>
      </c>
      <c r="F1176" s="53">
        <f>IF(B1176="","",IFERROR(INDEX(Client_List!$D:$D,MATCH(VALUE(B1176),Client_List!$A:$A,0)),""))</f>
        <v/>
      </c>
      <c r="G1176" s="53">
        <f>IF(B1176="","",IFERROR(INDEX(Client_List!$K:$K,MATCH(VALUE(B1176),Client_List!$A:$A,0)),""))</f>
        <v/>
      </c>
      <c r="H1176" s="32">
        <f>IF(B1176="","",IFERROR(INDEX(Client_List!$J:$J,MATCH(VALUE(B1176),Client_List!$A:$A,0)),""))</f>
        <v/>
      </c>
      <c r="I1176" s="70">
        <f>IF(B1176="","",IFERROR(A1176-LOOKUP(2,1/($B$4:$B1175=B1176),$A$4:$A1175),""))</f>
        <v/>
      </c>
      <c r="J1176" s="32">
        <f>IF(B1176="","",IFERROR(D1176/I1176,""))</f>
        <v/>
      </c>
      <c r="K1176" s="71">
        <f>IF(B1176="","",IFERROR(AVERAGEIFS($J$4:$J1176,$B$4:$B1176,B1176,$J$4:$J1176,"&gt;"&amp;0),""))</f>
        <v/>
      </c>
      <c r="L1176" s="12" t="n"/>
    </row>
    <row r="1177" ht="14" customHeight="1" s="72">
      <c r="A1177" s="75" t="n">
        <v>46119</v>
      </c>
      <c r="B1177" s="76" t="n">
        <v>6109</v>
      </c>
      <c r="C1177" s="69">
        <f>IF(B1177="","",IFERROR(INDEX(Client_List!$B:$B,MATCH(B1177,Client_List!$A:$A,0)),"⚠ NOT FOUND"))</f>
        <v/>
      </c>
      <c r="D1177" s="43" t="n">
        <v>590</v>
      </c>
      <c r="E1177" s="32">
        <f>IF(B1177="","",IFERROR(INDEX(Client_List!$C:$C,MATCH(VALUE(B1177),Client_List!$A:$A,0)),""))</f>
        <v/>
      </c>
      <c r="F1177" s="53">
        <f>IF(B1177="","",IFERROR(INDEX(Client_List!$D:$D,MATCH(VALUE(B1177),Client_List!$A:$A,0)),""))</f>
        <v/>
      </c>
      <c r="G1177" s="53">
        <f>IF(B1177="","",IFERROR(INDEX(Client_List!$K:$K,MATCH(VALUE(B1177),Client_List!$A:$A,0)),""))</f>
        <v/>
      </c>
      <c r="H1177" s="32">
        <f>IF(B1177="","",IFERROR(INDEX(Client_List!$J:$J,MATCH(VALUE(B1177),Client_List!$A:$A,0)),""))</f>
        <v/>
      </c>
      <c r="I1177" s="70">
        <f>IF(B1177="","",IFERROR(A1177-LOOKUP(2,1/($B$4:$B1176=B1177),$A$4:$A1176),""))</f>
        <v/>
      </c>
      <c r="J1177" s="32">
        <f>IF(B1177="","",IFERROR(D1177/I1177,""))</f>
        <v/>
      </c>
      <c r="K1177" s="71">
        <f>IF(B1177="","",IFERROR(AVERAGEIFS($J$4:$J1177,$B$4:$B1177,B1177,$J$4:$J1177,"&gt;"&amp;0),""))</f>
        <v/>
      </c>
      <c r="L1177" s="11" t="n"/>
    </row>
    <row r="1178" ht="14" customHeight="1" s="72">
      <c r="A1178" s="75" t="n">
        <v>46119</v>
      </c>
      <c r="B1178" s="76" t="n">
        <v>8031</v>
      </c>
      <c r="C1178" s="69">
        <f>IF(B1178="","",IFERROR(INDEX(Client_List!$B:$B,MATCH(B1178,Client_List!$A:$A,0)),"⚠ NOT FOUND"))</f>
        <v/>
      </c>
      <c r="D1178" s="43" t="n">
        <v>878</v>
      </c>
      <c r="E1178" s="32">
        <f>IF(B1178="","",IFERROR(INDEX(Client_List!$C:$C,MATCH(VALUE(B1178),Client_List!$A:$A,0)),""))</f>
        <v/>
      </c>
      <c r="F1178" s="53">
        <f>IF(B1178="","",IFERROR(INDEX(Client_List!$D:$D,MATCH(VALUE(B1178),Client_List!$A:$A,0)),""))</f>
        <v/>
      </c>
      <c r="G1178" s="53">
        <f>IF(B1178="","",IFERROR(INDEX(Client_List!$K:$K,MATCH(VALUE(B1178),Client_List!$A:$A,0)),""))</f>
        <v/>
      </c>
      <c r="H1178" s="32">
        <f>IF(B1178="","",IFERROR(INDEX(Client_List!$J:$J,MATCH(VALUE(B1178),Client_List!$A:$A,0)),""))</f>
        <v/>
      </c>
      <c r="I1178" s="70">
        <f>IF(B1178="","",IFERROR(A1178-LOOKUP(2,1/($B$4:$B1177=B1178),$A$4:$A1177),""))</f>
        <v/>
      </c>
      <c r="J1178" s="32">
        <f>IF(B1178="","",IFERROR(D1178/I1178,""))</f>
        <v/>
      </c>
      <c r="K1178" s="71">
        <f>IF(B1178="","",IFERROR(AVERAGEIFS($J$4:$J1178,$B$4:$B1178,B1178,$J$4:$J1178,"&gt;"&amp;0),""))</f>
        <v/>
      </c>
      <c r="L1178" s="12" t="n"/>
    </row>
    <row r="1179" ht="14" customHeight="1" s="72">
      <c r="A1179" s="75" t="n">
        <v>46119</v>
      </c>
      <c r="B1179" s="76" t="n">
        <v>10001</v>
      </c>
      <c r="C1179" s="69">
        <f>IF(B1179="","",IFERROR(INDEX(Client_List!$B:$B,MATCH(B1179,Client_List!$A:$A,0)),"⚠ NOT FOUND"))</f>
        <v/>
      </c>
      <c r="D1179" s="43" t="n">
        <v>542</v>
      </c>
      <c r="E1179" s="32">
        <f>IF(B1179="","",IFERROR(INDEX(Client_List!$C:$C,MATCH(VALUE(B1179),Client_List!$A:$A,0)),""))</f>
        <v/>
      </c>
      <c r="F1179" s="53">
        <f>IF(B1179="","",IFERROR(INDEX(Client_List!$D:$D,MATCH(VALUE(B1179),Client_List!$A:$A,0)),""))</f>
        <v/>
      </c>
      <c r="G1179" s="53">
        <f>IF(B1179="","",IFERROR(INDEX(Client_List!$K:$K,MATCH(VALUE(B1179),Client_List!$A:$A,0)),""))</f>
        <v/>
      </c>
      <c r="H1179" s="32">
        <f>IF(B1179="","",IFERROR(INDEX(Client_List!$J:$J,MATCH(VALUE(B1179),Client_List!$A:$A,0)),""))</f>
        <v/>
      </c>
      <c r="I1179" s="70">
        <f>IF(B1179="","",IFERROR(A1179-LOOKUP(2,1/($B$4:$B1178=B1179),$A$4:$A1178),""))</f>
        <v/>
      </c>
      <c r="J1179" s="32">
        <f>IF(B1179="","",IFERROR(D1179/I1179,""))</f>
        <v/>
      </c>
      <c r="K1179" s="71">
        <f>IF(B1179="","",IFERROR(AVERAGEIFS($J$4:$J1179,$B$4:$B1179,B1179,$J$4:$J1179,"&gt;"&amp;0),""))</f>
        <v/>
      </c>
      <c r="L1179" s="11" t="n"/>
    </row>
    <row r="1180" ht="14" customHeight="1" s="72">
      <c r="A1180" s="75" t="n">
        <v>46119</v>
      </c>
      <c r="B1180" s="76" t="n">
        <v>13061</v>
      </c>
      <c r="C1180" s="69">
        <f>IF(B1180="","",IFERROR(INDEX(Client_List!$B:$B,MATCH(B1180,Client_List!$A:$A,0)),"⚠ NOT FOUND"))</f>
        <v/>
      </c>
      <c r="D1180" s="43" t="n">
        <v>409</v>
      </c>
      <c r="E1180" s="32">
        <f>IF(B1180="","",IFERROR(INDEX(Client_List!$C:$C,MATCH(VALUE(B1180),Client_List!$A:$A,0)),""))</f>
        <v/>
      </c>
      <c r="F1180" s="53">
        <f>IF(B1180="","",IFERROR(INDEX(Client_List!$D:$D,MATCH(VALUE(B1180),Client_List!$A:$A,0)),""))</f>
        <v/>
      </c>
      <c r="G1180" s="53">
        <f>IF(B1180="","",IFERROR(INDEX(Client_List!$K:$K,MATCH(VALUE(B1180),Client_List!$A:$A,0)),""))</f>
        <v/>
      </c>
      <c r="H1180" s="32">
        <f>IF(B1180="","",IFERROR(INDEX(Client_List!$J:$J,MATCH(VALUE(B1180),Client_List!$A:$A,0)),""))</f>
        <v/>
      </c>
      <c r="I1180" s="70">
        <f>IF(B1180="","",IFERROR(A1180-LOOKUP(2,1/($B$4:$B1179=B1180),$A$4:$A1179),""))</f>
        <v/>
      </c>
      <c r="J1180" s="32">
        <f>IF(B1180="","",IFERROR(D1180/I1180,""))</f>
        <v/>
      </c>
      <c r="K1180" s="71">
        <f>IF(B1180="","",IFERROR(AVERAGEIFS($J$4:$J1180,$B$4:$B1180,B1180,$J$4:$J1180,"&gt;"&amp;0),""))</f>
        <v/>
      </c>
      <c r="L1180" s="12" t="n"/>
    </row>
    <row r="1181" ht="14" customHeight="1" s="72">
      <c r="A1181" s="75" t="n">
        <v>46119</v>
      </c>
      <c r="B1181" s="76" t="n">
        <v>15015</v>
      </c>
      <c r="C1181" s="69">
        <f>IF(B1181="","",IFERROR(INDEX(Client_List!$B:$B,MATCH(B1181,Client_List!$A:$A,0)),"⚠ NOT FOUND"))</f>
        <v/>
      </c>
      <c r="D1181" s="43" t="n">
        <v>153</v>
      </c>
      <c r="E1181" s="32">
        <f>IF(B1181="","",IFERROR(INDEX(Client_List!$C:$C,MATCH(VALUE(B1181),Client_List!$A:$A,0)),""))</f>
        <v/>
      </c>
      <c r="F1181" s="53">
        <f>IF(B1181="","",IFERROR(INDEX(Client_List!$D:$D,MATCH(VALUE(B1181),Client_List!$A:$A,0)),""))</f>
        <v/>
      </c>
      <c r="G1181" s="53">
        <f>IF(B1181="","",IFERROR(INDEX(Client_List!$K:$K,MATCH(VALUE(B1181),Client_List!$A:$A,0)),""))</f>
        <v/>
      </c>
      <c r="H1181" s="32">
        <f>IF(B1181="","",IFERROR(INDEX(Client_List!$J:$J,MATCH(VALUE(B1181),Client_List!$A:$A,0)),""))</f>
        <v/>
      </c>
      <c r="I1181" s="70">
        <f>IF(B1181="","",IFERROR(A1181-LOOKUP(2,1/($B$4:$B1180=B1181),$A$4:$A1180),""))</f>
        <v/>
      </c>
      <c r="J1181" s="32">
        <f>IF(B1181="","",IFERROR(D1181/I1181,""))</f>
        <v/>
      </c>
      <c r="K1181" s="71">
        <f>IF(B1181="","",IFERROR(AVERAGEIFS($J$4:$J1181,$B$4:$B1181,B1181,$J$4:$J1181,"&gt;"&amp;0),""))</f>
        <v/>
      </c>
      <c r="L1181" s="11" t="n"/>
    </row>
    <row r="1182" ht="14" customHeight="1" s="72">
      <c r="A1182" s="75" t="n">
        <v>46119</v>
      </c>
      <c r="B1182" s="76" t="n">
        <v>15024</v>
      </c>
      <c r="C1182" s="69">
        <f>IF(B1182="","",IFERROR(INDEX(Client_List!$B:$B,MATCH(B1182,Client_List!$A:$A,0)),"⚠ NOT FOUND"))</f>
        <v/>
      </c>
      <c r="D1182" s="43" t="n">
        <v>300</v>
      </c>
      <c r="E1182" s="32">
        <f>IF(B1182="","",IFERROR(INDEX(Client_List!$C:$C,MATCH(VALUE(B1182),Client_List!$A:$A,0)),""))</f>
        <v/>
      </c>
      <c r="F1182" s="53">
        <f>IF(B1182="","",IFERROR(INDEX(Client_List!$D:$D,MATCH(VALUE(B1182),Client_List!$A:$A,0)),""))</f>
        <v/>
      </c>
      <c r="G1182" s="53">
        <f>IF(B1182="","",IFERROR(INDEX(Client_List!$K:$K,MATCH(VALUE(B1182),Client_List!$A:$A,0)),""))</f>
        <v/>
      </c>
      <c r="H1182" s="32">
        <f>IF(B1182="","",IFERROR(INDEX(Client_List!$J:$J,MATCH(VALUE(B1182),Client_List!$A:$A,0)),""))</f>
        <v/>
      </c>
      <c r="I1182" s="70">
        <f>IF(B1182="","",IFERROR(A1182-LOOKUP(2,1/($B$4:$B1181=B1182),$A$4:$A1181),""))</f>
        <v/>
      </c>
      <c r="J1182" s="32">
        <f>IF(B1182="","",IFERROR(D1182/I1182,""))</f>
        <v/>
      </c>
      <c r="K1182" s="71">
        <f>IF(B1182="","",IFERROR(AVERAGEIFS($J$4:$J1182,$B$4:$B1182,B1182,$J$4:$J1182,"&gt;"&amp;0),""))</f>
        <v/>
      </c>
      <c r="L1182" s="12" t="n"/>
    </row>
    <row r="1183" ht="14" customHeight="1" s="72">
      <c r="A1183" s="75" t="n">
        <v>46119</v>
      </c>
      <c r="B1183" s="76" t="n">
        <v>16005</v>
      </c>
      <c r="C1183" s="69">
        <f>IF(B1183="","",IFERROR(INDEX(Client_List!$B:$B,MATCH(B1183,Client_List!$A:$A,0)),"⚠ NOT FOUND"))</f>
        <v/>
      </c>
      <c r="D1183" s="43" t="n">
        <v>513</v>
      </c>
      <c r="E1183" s="32">
        <f>IF(B1183="","",IFERROR(INDEX(Client_List!$C:$C,MATCH(VALUE(B1183),Client_List!$A:$A,0)),""))</f>
        <v/>
      </c>
      <c r="F1183" s="53">
        <f>IF(B1183="","",IFERROR(INDEX(Client_List!$D:$D,MATCH(VALUE(B1183),Client_List!$A:$A,0)),""))</f>
        <v/>
      </c>
      <c r="G1183" s="53">
        <f>IF(B1183="","",IFERROR(INDEX(Client_List!$K:$K,MATCH(VALUE(B1183),Client_List!$A:$A,0)),""))</f>
        <v/>
      </c>
      <c r="H1183" s="32">
        <f>IF(B1183="","",IFERROR(INDEX(Client_List!$J:$J,MATCH(VALUE(B1183),Client_List!$A:$A,0)),""))</f>
        <v/>
      </c>
      <c r="I1183" s="70">
        <f>IF(B1183="","",IFERROR(A1183-LOOKUP(2,1/($B$4:$B1182=B1183),$A$4:$A1182),""))</f>
        <v/>
      </c>
      <c r="J1183" s="32">
        <f>IF(B1183="","",IFERROR(D1183/I1183,""))</f>
        <v/>
      </c>
      <c r="K1183" s="71">
        <f>IF(B1183="","",IFERROR(AVERAGEIFS($J$4:$J1183,$B$4:$B1183,B1183,$J$4:$J1183,"&gt;"&amp;0),""))</f>
        <v/>
      </c>
      <c r="L1183" s="11" t="n"/>
    </row>
    <row r="1184" ht="14" customHeight="1" s="72">
      <c r="A1184" s="75" t="n">
        <v>46119</v>
      </c>
      <c r="B1184" s="76" t="n">
        <v>16019</v>
      </c>
      <c r="C1184" s="69">
        <f>IF(B1184="","",IFERROR(INDEX(Client_List!$B:$B,MATCH(B1184,Client_List!$A:$A,0)),"⚠ NOT FOUND"))</f>
        <v/>
      </c>
      <c r="D1184" s="43" t="n">
        <v>672</v>
      </c>
      <c r="E1184" s="32">
        <f>IF(B1184="","",IFERROR(INDEX(Client_List!$C:$C,MATCH(VALUE(B1184),Client_List!$A:$A,0)),""))</f>
        <v/>
      </c>
      <c r="F1184" s="53">
        <f>IF(B1184="","",IFERROR(INDEX(Client_List!$D:$D,MATCH(VALUE(B1184),Client_List!$A:$A,0)),""))</f>
        <v/>
      </c>
      <c r="G1184" s="53">
        <f>IF(B1184="","",IFERROR(INDEX(Client_List!$K:$K,MATCH(VALUE(B1184),Client_List!$A:$A,0)),""))</f>
        <v/>
      </c>
      <c r="H1184" s="32">
        <f>IF(B1184="","",IFERROR(INDEX(Client_List!$J:$J,MATCH(VALUE(B1184),Client_List!$A:$A,0)),""))</f>
        <v/>
      </c>
      <c r="I1184" s="70">
        <f>IF(B1184="","",IFERROR(A1184-LOOKUP(2,1/($B$4:$B1183=B1184),$A$4:$A1183),""))</f>
        <v/>
      </c>
      <c r="J1184" s="32">
        <f>IF(B1184="","",IFERROR(D1184/I1184,""))</f>
        <v/>
      </c>
      <c r="K1184" s="71">
        <f>IF(B1184="","",IFERROR(AVERAGEIFS($J$4:$J1184,$B$4:$B1184,B1184,$J$4:$J1184,"&gt;"&amp;0),""))</f>
        <v/>
      </c>
      <c r="L1184" s="12" t="n"/>
    </row>
    <row r="1185" ht="14" customHeight="1" s="72">
      <c r="A1185" s="75" t="n">
        <v>46119</v>
      </c>
      <c r="B1185" s="76" t="n">
        <v>19082</v>
      </c>
      <c r="C1185" s="69">
        <f>IF(B1185="","",IFERROR(INDEX(Client_List!$B:$B,MATCH(B1185,Client_List!$A:$A,0)),"⚠ NOT FOUND"))</f>
        <v/>
      </c>
      <c r="D1185" s="43" t="n">
        <v>513</v>
      </c>
      <c r="E1185" s="32">
        <f>IF(B1185="","",IFERROR(INDEX(Client_List!$C:$C,MATCH(VALUE(B1185),Client_List!$A:$A,0)),""))</f>
        <v/>
      </c>
      <c r="F1185" s="53">
        <f>IF(B1185="","",IFERROR(INDEX(Client_List!$D:$D,MATCH(VALUE(B1185),Client_List!$A:$A,0)),""))</f>
        <v/>
      </c>
      <c r="G1185" s="53">
        <f>IF(B1185="","",IFERROR(INDEX(Client_List!$K:$K,MATCH(VALUE(B1185),Client_List!$A:$A,0)),""))</f>
        <v/>
      </c>
      <c r="H1185" s="32">
        <f>IF(B1185="","",IFERROR(INDEX(Client_List!$J:$J,MATCH(VALUE(B1185),Client_List!$A:$A,0)),""))</f>
        <v/>
      </c>
      <c r="I1185" s="70">
        <f>IF(B1185="","",IFERROR(A1185-LOOKUP(2,1/($B$4:$B1184=B1185),$A$4:$A1184),""))</f>
        <v/>
      </c>
      <c r="J1185" s="32">
        <f>IF(B1185="","",IFERROR(D1185/I1185,""))</f>
        <v/>
      </c>
      <c r="K1185" s="71">
        <f>IF(B1185="","",IFERROR(AVERAGEIFS($J$4:$J1185,$B$4:$B1185,B1185,$J$4:$J1185,"&gt;"&amp;0),""))</f>
        <v/>
      </c>
      <c r="L1185" s="11" t="n"/>
    </row>
    <row r="1186" ht="14" customHeight="1" s="72">
      <c r="A1186" s="75" t="n">
        <v>46119</v>
      </c>
      <c r="B1186" s="76" t="n">
        <v>19110</v>
      </c>
      <c r="C1186" s="69">
        <f>IF(B1186="","",IFERROR(INDEX(Client_List!$B:$B,MATCH(B1186,Client_List!$A:$A,0)),"⚠ NOT FOUND"))</f>
        <v/>
      </c>
      <c r="D1186" s="43" t="n">
        <v>204</v>
      </c>
      <c r="E1186" s="32">
        <f>IF(B1186="","",IFERROR(INDEX(Client_List!$C:$C,MATCH(VALUE(B1186),Client_List!$A:$A,0)),""))</f>
        <v/>
      </c>
      <c r="F1186" s="53">
        <f>IF(B1186="","",IFERROR(INDEX(Client_List!$D:$D,MATCH(VALUE(B1186),Client_List!$A:$A,0)),""))</f>
        <v/>
      </c>
      <c r="G1186" s="53">
        <f>IF(B1186="","",IFERROR(INDEX(Client_List!$K:$K,MATCH(VALUE(B1186),Client_List!$A:$A,0)),""))</f>
        <v/>
      </c>
      <c r="H1186" s="32">
        <f>IF(B1186="","",IFERROR(INDEX(Client_List!$J:$J,MATCH(VALUE(B1186),Client_List!$A:$A,0)),""))</f>
        <v/>
      </c>
      <c r="I1186" s="70">
        <f>IF(B1186="","",IFERROR(A1186-LOOKUP(2,1/($B$4:$B1185=B1186),$A$4:$A1185),""))</f>
        <v/>
      </c>
      <c r="J1186" s="32">
        <f>IF(B1186="","",IFERROR(D1186/I1186,""))</f>
        <v/>
      </c>
      <c r="K1186" s="71">
        <f>IF(B1186="","",IFERROR(AVERAGEIFS($J$4:$J1186,$B$4:$B1186,B1186,$J$4:$J1186,"&gt;"&amp;0),""))</f>
        <v/>
      </c>
      <c r="L1186" s="12" t="n"/>
    </row>
    <row r="1187" ht="14" customHeight="1" s="72">
      <c r="A1187" s="75" t="n">
        <v>46119</v>
      </c>
      <c r="B1187" s="76" t="n">
        <v>19117</v>
      </c>
      <c r="C1187" s="69">
        <f>IF(B1187="","",IFERROR(INDEX(Client_List!$B:$B,MATCH(B1187,Client_List!$A:$A,0)),"⚠ NOT FOUND"))</f>
        <v/>
      </c>
      <c r="D1187" s="43" t="n">
        <v>457</v>
      </c>
      <c r="E1187" s="32">
        <f>IF(B1187="","",IFERROR(INDEX(Client_List!$C:$C,MATCH(VALUE(B1187),Client_List!$A:$A,0)),""))</f>
        <v/>
      </c>
      <c r="F1187" s="53">
        <f>IF(B1187="","",IFERROR(INDEX(Client_List!$D:$D,MATCH(VALUE(B1187),Client_List!$A:$A,0)),""))</f>
        <v/>
      </c>
      <c r="G1187" s="53">
        <f>IF(B1187="","",IFERROR(INDEX(Client_List!$K:$K,MATCH(VALUE(B1187),Client_List!$A:$A,0)),""))</f>
        <v/>
      </c>
      <c r="H1187" s="32">
        <f>IF(B1187="","",IFERROR(INDEX(Client_List!$J:$J,MATCH(VALUE(B1187),Client_List!$A:$A,0)),""))</f>
        <v/>
      </c>
      <c r="I1187" s="70">
        <f>IF(B1187="","",IFERROR(A1187-LOOKUP(2,1/($B$4:$B1186=B1187),$A$4:$A1186),""))</f>
        <v/>
      </c>
      <c r="J1187" s="32">
        <f>IF(B1187="","",IFERROR(D1187/I1187,""))</f>
        <v/>
      </c>
      <c r="K1187" s="71">
        <f>IF(B1187="","",IFERROR(AVERAGEIFS($J$4:$J1187,$B$4:$B1187,B1187,$J$4:$J1187,"&gt;"&amp;0),""))</f>
        <v/>
      </c>
      <c r="L1187" s="11" t="n"/>
    </row>
    <row r="1188" ht="14" customHeight="1" s="72">
      <c r="A1188" s="75" t="n">
        <v>46119</v>
      </c>
      <c r="B1188" s="76" t="n">
        <v>19119</v>
      </c>
      <c r="C1188" s="69">
        <f>IF(B1188="","",IFERROR(INDEX(Client_List!$B:$B,MATCH(B1188,Client_List!$A:$A,0)),"⚠ NOT FOUND"))</f>
        <v/>
      </c>
      <c r="D1188" s="43" t="n">
        <v>297</v>
      </c>
      <c r="E1188" s="32">
        <f>IF(B1188="","",IFERROR(INDEX(Client_List!$C:$C,MATCH(VALUE(B1188),Client_List!$A:$A,0)),""))</f>
        <v/>
      </c>
      <c r="F1188" s="53">
        <f>IF(B1188="","",IFERROR(INDEX(Client_List!$D:$D,MATCH(VALUE(B1188),Client_List!$A:$A,0)),""))</f>
        <v/>
      </c>
      <c r="G1188" s="53">
        <f>IF(B1188="","",IFERROR(INDEX(Client_List!$K:$K,MATCH(VALUE(B1188),Client_List!$A:$A,0)),""))</f>
        <v/>
      </c>
      <c r="H1188" s="32">
        <f>IF(B1188="","",IFERROR(INDEX(Client_List!$J:$J,MATCH(VALUE(B1188),Client_List!$A:$A,0)),""))</f>
        <v/>
      </c>
      <c r="I1188" s="70">
        <f>IF(B1188="","",IFERROR(A1188-LOOKUP(2,1/($B$4:$B1187=B1188),$A$4:$A1187),""))</f>
        <v/>
      </c>
      <c r="J1188" s="32">
        <f>IF(B1188="","",IFERROR(D1188/I1188,""))</f>
        <v/>
      </c>
      <c r="K1188" s="71">
        <f>IF(B1188="","",IFERROR(AVERAGEIFS($J$4:$J1188,$B$4:$B1188,B1188,$J$4:$J1188,"&gt;"&amp;0),""))</f>
        <v/>
      </c>
      <c r="L1188" s="12" t="n"/>
    </row>
    <row r="1189" ht="14" customHeight="1" s="72">
      <c r="A1189" s="75" t="n">
        <v>46119</v>
      </c>
      <c r="B1189" s="76" t="n">
        <v>19123</v>
      </c>
      <c r="C1189" s="69">
        <f>IF(B1189="","",IFERROR(INDEX(Client_List!$B:$B,MATCH(B1189,Client_List!$A:$A,0)),"⚠ NOT FOUND"))</f>
        <v/>
      </c>
      <c r="D1189" s="43" t="n">
        <v>204</v>
      </c>
      <c r="E1189" s="32">
        <f>IF(B1189="","",IFERROR(INDEX(Client_List!$C:$C,MATCH(VALUE(B1189),Client_List!$A:$A,0)),""))</f>
        <v/>
      </c>
      <c r="F1189" s="53">
        <f>IF(B1189="","",IFERROR(INDEX(Client_List!$D:$D,MATCH(VALUE(B1189),Client_List!$A:$A,0)),""))</f>
        <v/>
      </c>
      <c r="G1189" s="53">
        <f>IF(B1189="","",IFERROR(INDEX(Client_List!$K:$K,MATCH(VALUE(B1189),Client_List!$A:$A,0)),""))</f>
        <v/>
      </c>
      <c r="H1189" s="32">
        <f>IF(B1189="","",IFERROR(INDEX(Client_List!$J:$J,MATCH(VALUE(B1189),Client_List!$A:$A,0)),""))</f>
        <v/>
      </c>
      <c r="I1189" s="70">
        <f>IF(B1189="","",IFERROR(A1189-LOOKUP(2,1/($B$4:$B1188=B1189),$A$4:$A1188),""))</f>
        <v/>
      </c>
      <c r="J1189" s="32">
        <f>IF(B1189="","",IFERROR(D1189/I1189,""))</f>
        <v/>
      </c>
      <c r="K1189" s="71">
        <f>IF(B1189="","",IFERROR(AVERAGEIFS($J$4:$J1189,$B$4:$B1189,B1189,$J$4:$J1189,"&gt;"&amp;0),""))</f>
        <v/>
      </c>
      <c r="L1189" s="11" t="n"/>
    </row>
    <row r="1190" ht="14" customHeight="1" s="72">
      <c r="A1190" s="75" t="n">
        <v>46120</v>
      </c>
      <c r="B1190" s="76" t="n">
        <v>1000</v>
      </c>
      <c r="C1190" s="69">
        <f>IF(B1190="","",IFERROR(INDEX(Client_List!$B:$B,MATCH(B1190,Client_List!$A:$A,0)),"⚠ NOT FOUND"))</f>
        <v/>
      </c>
      <c r="D1190" s="43" t="n">
        <v>434</v>
      </c>
      <c r="E1190" s="32">
        <f>IF(B1190="","",IFERROR(INDEX(Client_List!$C:$C,MATCH(VALUE(B1190),Client_List!$A:$A,0)),""))</f>
        <v/>
      </c>
      <c r="F1190" s="53">
        <f>IF(B1190="","",IFERROR(INDEX(Client_List!$D:$D,MATCH(VALUE(B1190),Client_List!$A:$A,0)),""))</f>
        <v/>
      </c>
      <c r="G1190" s="53">
        <f>IF(B1190="","",IFERROR(INDEX(Client_List!$K:$K,MATCH(VALUE(B1190),Client_List!$A:$A,0)),""))</f>
        <v/>
      </c>
      <c r="H1190" s="32">
        <f>IF(B1190="","",IFERROR(INDEX(Client_List!$J:$J,MATCH(VALUE(B1190),Client_List!$A:$A,0)),""))</f>
        <v/>
      </c>
      <c r="I1190" s="70">
        <f>IF(B1190="","",IFERROR(A1190-LOOKUP(2,1/($B$4:$B1189=B1190),$A$4:$A1189),""))</f>
        <v/>
      </c>
      <c r="J1190" s="32">
        <f>IF(B1190="","",IFERROR(D1190/I1190,""))</f>
        <v/>
      </c>
      <c r="K1190" s="71">
        <f>IF(B1190="","",IFERROR(AVERAGEIFS($J$4:$J1190,$B$4:$B1190,B1190,$J$4:$J1190,"&gt;"&amp;0),""))</f>
        <v/>
      </c>
      <c r="L1190" s="12" t="n"/>
    </row>
    <row r="1191" ht="14" customHeight="1" s="72">
      <c r="A1191" s="75" t="n">
        <v>46120</v>
      </c>
      <c r="B1191" s="76" t="n">
        <v>1054</v>
      </c>
      <c r="C1191" s="69">
        <f>IF(B1191="","",IFERROR(INDEX(Client_List!$B:$B,MATCH(B1191,Client_List!$A:$A,0)),"⚠ NOT FOUND"))</f>
        <v/>
      </c>
      <c r="D1191" s="43" t="n">
        <v>505</v>
      </c>
      <c r="E1191" s="32">
        <f>IF(B1191="","",IFERROR(INDEX(Client_List!$C:$C,MATCH(VALUE(B1191),Client_List!$A:$A,0)),""))</f>
        <v/>
      </c>
      <c r="F1191" s="53">
        <f>IF(B1191="","",IFERROR(INDEX(Client_List!$D:$D,MATCH(VALUE(B1191),Client_List!$A:$A,0)),""))</f>
        <v/>
      </c>
      <c r="G1191" s="53">
        <f>IF(B1191="","",IFERROR(INDEX(Client_List!$K:$K,MATCH(VALUE(B1191),Client_List!$A:$A,0)),""))</f>
        <v/>
      </c>
      <c r="H1191" s="32">
        <f>IF(B1191="","",IFERROR(INDEX(Client_List!$J:$J,MATCH(VALUE(B1191),Client_List!$A:$A,0)),""))</f>
        <v/>
      </c>
      <c r="I1191" s="70">
        <f>IF(B1191="","",IFERROR(A1191-LOOKUP(2,1/($B$4:$B1190=B1191),$A$4:$A1190),""))</f>
        <v/>
      </c>
      <c r="J1191" s="32">
        <f>IF(B1191="","",IFERROR(D1191/I1191,""))</f>
        <v/>
      </c>
      <c r="K1191" s="71">
        <f>IF(B1191="","",IFERROR(AVERAGEIFS($J$4:$J1191,$B$4:$B1191,B1191,$J$4:$J1191,"&gt;"&amp;0),""))</f>
        <v/>
      </c>
      <c r="L1191" s="11" t="n"/>
    </row>
    <row r="1192" ht="14" customHeight="1" s="72">
      <c r="A1192" s="75" t="n">
        <v>46120</v>
      </c>
      <c r="B1192" s="76" t="n">
        <v>1081</v>
      </c>
      <c r="C1192" s="69">
        <f>IF(B1192="","",IFERROR(INDEX(Client_List!$B:$B,MATCH(B1192,Client_List!$A:$A,0)),"⚠ NOT FOUND"))</f>
        <v/>
      </c>
      <c r="D1192" s="43" t="n">
        <v>270</v>
      </c>
      <c r="E1192" s="32">
        <f>IF(B1192="","",IFERROR(INDEX(Client_List!$C:$C,MATCH(VALUE(B1192),Client_List!$A:$A,0)),""))</f>
        <v/>
      </c>
      <c r="F1192" s="53">
        <f>IF(B1192="","",IFERROR(INDEX(Client_List!$D:$D,MATCH(VALUE(B1192),Client_List!$A:$A,0)),""))</f>
        <v/>
      </c>
      <c r="G1192" s="53">
        <f>IF(B1192="","",IFERROR(INDEX(Client_List!$K:$K,MATCH(VALUE(B1192),Client_List!$A:$A,0)),""))</f>
        <v/>
      </c>
      <c r="H1192" s="32">
        <f>IF(B1192="","",IFERROR(INDEX(Client_List!$J:$J,MATCH(VALUE(B1192),Client_List!$A:$A,0)),""))</f>
        <v/>
      </c>
      <c r="I1192" s="70">
        <f>IF(B1192="","",IFERROR(A1192-LOOKUP(2,1/($B$4:$B1191=B1192),$A$4:$A1191),""))</f>
        <v/>
      </c>
      <c r="J1192" s="32">
        <f>IF(B1192="","",IFERROR(D1192/I1192,""))</f>
        <v/>
      </c>
      <c r="K1192" s="71">
        <f>IF(B1192="","",IFERROR(AVERAGEIFS($J$4:$J1192,$B$4:$B1192,B1192,$J$4:$J1192,"&gt;"&amp;0),""))</f>
        <v/>
      </c>
      <c r="L1192" s="12" t="n"/>
    </row>
    <row r="1193" ht="14" customHeight="1" s="72">
      <c r="A1193" s="75" t="n">
        <v>46120</v>
      </c>
      <c r="B1193" s="76" t="n">
        <v>4009</v>
      </c>
      <c r="C1193" s="69">
        <f>IF(B1193="","",IFERROR(INDEX(Client_List!$B:$B,MATCH(B1193,Client_List!$A:$A,0)),"⚠ NOT FOUND"))</f>
        <v/>
      </c>
      <c r="D1193" s="43" t="n">
        <v>913</v>
      </c>
      <c r="E1193" s="32">
        <f>IF(B1193="","",IFERROR(INDEX(Client_List!$C:$C,MATCH(VALUE(B1193),Client_List!$A:$A,0)),""))</f>
        <v/>
      </c>
      <c r="F1193" s="53">
        <f>IF(B1193="","",IFERROR(INDEX(Client_List!$D:$D,MATCH(VALUE(B1193),Client_List!$A:$A,0)),""))</f>
        <v/>
      </c>
      <c r="G1193" s="53">
        <f>IF(B1193="","",IFERROR(INDEX(Client_List!$K:$K,MATCH(VALUE(B1193),Client_List!$A:$A,0)),""))</f>
        <v/>
      </c>
      <c r="H1193" s="32">
        <f>IF(B1193="","",IFERROR(INDEX(Client_List!$J:$J,MATCH(VALUE(B1193),Client_List!$A:$A,0)),""))</f>
        <v/>
      </c>
      <c r="I1193" s="70">
        <f>IF(B1193="","",IFERROR(A1193-LOOKUP(2,1/($B$4:$B1192=B1193),$A$4:$A1192),""))</f>
        <v/>
      </c>
      <c r="J1193" s="32">
        <f>IF(B1193="","",IFERROR(D1193/I1193,""))</f>
        <v/>
      </c>
      <c r="K1193" s="71">
        <f>IF(B1193="","",IFERROR(AVERAGEIFS($J$4:$J1193,$B$4:$B1193,B1193,$J$4:$J1193,"&gt;"&amp;0),""))</f>
        <v/>
      </c>
      <c r="L1193" s="11" t="n"/>
    </row>
    <row r="1194" ht="14" customHeight="1" s="72">
      <c r="A1194" s="75" t="n">
        <v>46120</v>
      </c>
      <c r="B1194" s="76" t="n">
        <v>4010</v>
      </c>
      <c r="C1194" s="69">
        <f>IF(B1194="","",IFERROR(INDEX(Client_List!$B:$B,MATCH(B1194,Client_List!$A:$A,0)),"⚠ NOT FOUND"))</f>
        <v/>
      </c>
      <c r="D1194" s="43" t="n">
        <v>429</v>
      </c>
      <c r="E1194" s="32">
        <f>IF(B1194="","",IFERROR(INDEX(Client_List!$C:$C,MATCH(VALUE(B1194),Client_List!$A:$A,0)),""))</f>
        <v/>
      </c>
      <c r="F1194" s="53">
        <f>IF(B1194="","",IFERROR(INDEX(Client_List!$D:$D,MATCH(VALUE(B1194),Client_List!$A:$A,0)),""))</f>
        <v/>
      </c>
      <c r="G1194" s="53">
        <f>IF(B1194="","",IFERROR(INDEX(Client_List!$K:$K,MATCH(VALUE(B1194),Client_List!$A:$A,0)),""))</f>
        <v/>
      </c>
      <c r="H1194" s="32">
        <f>IF(B1194="","",IFERROR(INDEX(Client_List!$J:$J,MATCH(VALUE(B1194),Client_List!$A:$A,0)),""))</f>
        <v/>
      </c>
      <c r="I1194" s="70">
        <f>IF(B1194="","",IFERROR(A1194-LOOKUP(2,1/($B$4:$B1193=B1194),$A$4:$A1193),""))</f>
        <v/>
      </c>
      <c r="J1194" s="32">
        <f>IF(B1194="","",IFERROR(D1194/I1194,""))</f>
        <v/>
      </c>
      <c r="K1194" s="71">
        <f>IF(B1194="","",IFERROR(AVERAGEIFS($J$4:$J1194,$B$4:$B1194,B1194,$J$4:$J1194,"&gt;"&amp;0),""))</f>
        <v/>
      </c>
      <c r="L1194" s="12" t="n"/>
    </row>
    <row r="1195" ht="14" customHeight="1" s="72">
      <c r="A1195" s="75" t="n">
        <v>46120</v>
      </c>
      <c r="B1195" s="76" t="n">
        <v>4037</v>
      </c>
      <c r="C1195" s="69">
        <f>IF(B1195="","",IFERROR(INDEX(Client_List!$B:$B,MATCH(B1195,Client_List!$A:$A,0)),"⚠ NOT FOUND"))</f>
        <v/>
      </c>
      <c r="D1195" s="43" t="n">
        <v>247</v>
      </c>
      <c r="E1195" s="32">
        <f>IF(B1195="","",IFERROR(INDEX(Client_List!$C:$C,MATCH(VALUE(B1195),Client_List!$A:$A,0)),""))</f>
        <v/>
      </c>
      <c r="F1195" s="53">
        <f>IF(B1195="","",IFERROR(INDEX(Client_List!$D:$D,MATCH(VALUE(B1195),Client_List!$A:$A,0)),""))</f>
        <v/>
      </c>
      <c r="G1195" s="53">
        <f>IF(B1195="","",IFERROR(INDEX(Client_List!$K:$K,MATCH(VALUE(B1195),Client_List!$A:$A,0)),""))</f>
        <v/>
      </c>
      <c r="H1195" s="32">
        <f>IF(B1195="","",IFERROR(INDEX(Client_List!$J:$J,MATCH(VALUE(B1195),Client_List!$A:$A,0)),""))</f>
        <v/>
      </c>
      <c r="I1195" s="70">
        <f>IF(B1195="","",IFERROR(A1195-LOOKUP(2,1/($B$4:$B1194=B1195),$A$4:$A1194),""))</f>
        <v/>
      </c>
      <c r="J1195" s="32">
        <f>IF(B1195="","",IFERROR(D1195/I1195,""))</f>
        <v/>
      </c>
      <c r="K1195" s="71">
        <f>IF(B1195="","",IFERROR(AVERAGEIFS($J$4:$J1195,$B$4:$B1195,B1195,$J$4:$J1195,"&gt;"&amp;0),""))</f>
        <v/>
      </c>
      <c r="L1195" s="11" t="n"/>
    </row>
    <row r="1196" ht="14" customHeight="1" s="72">
      <c r="A1196" s="75" t="n">
        <v>46120</v>
      </c>
      <c r="B1196" s="76" t="n">
        <v>8034</v>
      </c>
      <c r="C1196" s="69">
        <f>IF(B1196="","",IFERROR(INDEX(Client_List!$B:$B,MATCH(B1196,Client_List!$A:$A,0)),"⚠ NOT FOUND"))</f>
        <v/>
      </c>
      <c r="D1196" s="43" t="n">
        <v>906</v>
      </c>
      <c r="E1196" s="32">
        <f>IF(B1196="","",IFERROR(INDEX(Client_List!$C:$C,MATCH(VALUE(B1196),Client_List!$A:$A,0)),""))</f>
        <v/>
      </c>
      <c r="F1196" s="53">
        <f>IF(B1196="","",IFERROR(INDEX(Client_List!$D:$D,MATCH(VALUE(B1196),Client_List!$A:$A,0)),""))</f>
        <v/>
      </c>
      <c r="G1196" s="53">
        <f>IF(B1196="","",IFERROR(INDEX(Client_List!$K:$K,MATCH(VALUE(B1196),Client_List!$A:$A,0)),""))</f>
        <v/>
      </c>
      <c r="H1196" s="32">
        <f>IF(B1196="","",IFERROR(INDEX(Client_List!$J:$J,MATCH(VALUE(B1196),Client_List!$A:$A,0)),""))</f>
        <v/>
      </c>
      <c r="I1196" s="70">
        <f>IF(B1196="","",IFERROR(A1196-LOOKUP(2,1/($B$4:$B1195=B1196),$A$4:$A1195),""))</f>
        <v/>
      </c>
      <c r="J1196" s="32">
        <f>IF(B1196="","",IFERROR(D1196/I1196,""))</f>
        <v/>
      </c>
      <c r="K1196" s="71">
        <f>IF(B1196="","",IFERROR(AVERAGEIFS($J$4:$J1196,$B$4:$B1196,B1196,$J$4:$J1196,"&gt;"&amp;0),""))</f>
        <v/>
      </c>
      <c r="L1196" s="12" t="n"/>
    </row>
    <row r="1197" ht="14" customHeight="1" s="72">
      <c r="A1197" s="75" t="n">
        <v>46120</v>
      </c>
      <c r="B1197" s="76" t="n">
        <v>11013</v>
      </c>
      <c r="C1197" s="69">
        <f>IF(B1197="","",IFERROR(INDEX(Client_List!$B:$B,MATCH(B1197,Client_List!$A:$A,0)),"⚠ NOT FOUND"))</f>
        <v/>
      </c>
      <c r="D1197" s="43" t="n">
        <v>786</v>
      </c>
      <c r="E1197" s="32">
        <f>IF(B1197="","",IFERROR(INDEX(Client_List!$C:$C,MATCH(VALUE(B1197),Client_List!$A:$A,0)),""))</f>
        <v/>
      </c>
      <c r="F1197" s="53">
        <f>IF(B1197="","",IFERROR(INDEX(Client_List!$D:$D,MATCH(VALUE(B1197),Client_List!$A:$A,0)),""))</f>
        <v/>
      </c>
      <c r="G1197" s="53">
        <f>IF(B1197="","",IFERROR(INDEX(Client_List!$K:$K,MATCH(VALUE(B1197),Client_List!$A:$A,0)),""))</f>
        <v/>
      </c>
      <c r="H1197" s="32">
        <f>IF(B1197="","",IFERROR(INDEX(Client_List!$J:$J,MATCH(VALUE(B1197),Client_List!$A:$A,0)),""))</f>
        <v/>
      </c>
      <c r="I1197" s="70">
        <f>IF(B1197="","",IFERROR(A1197-LOOKUP(2,1/($B$4:$B1196=B1197),$A$4:$A1196),""))</f>
        <v/>
      </c>
      <c r="J1197" s="32">
        <f>IF(B1197="","",IFERROR(D1197/I1197,""))</f>
        <v/>
      </c>
      <c r="K1197" s="71">
        <f>IF(B1197="","",IFERROR(AVERAGEIFS($J$4:$J1197,$B$4:$B1197,B1197,$J$4:$J1197,"&gt;"&amp;0),""))</f>
        <v/>
      </c>
      <c r="L1197" s="11" t="n"/>
    </row>
    <row r="1198" ht="14" customHeight="1" s="72">
      <c r="A1198" s="75" t="n">
        <v>46120</v>
      </c>
      <c r="B1198" s="76" t="n">
        <v>13014</v>
      </c>
      <c r="C1198" s="69">
        <f>IF(B1198="","",IFERROR(INDEX(Client_List!$B:$B,MATCH(B1198,Client_List!$A:$A,0)),"⚠ NOT FOUND"))</f>
        <v/>
      </c>
      <c r="D1198" s="43" t="n">
        <v>810</v>
      </c>
      <c r="E1198" s="32">
        <f>IF(B1198="","",IFERROR(INDEX(Client_List!$C:$C,MATCH(VALUE(B1198),Client_List!$A:$A,0)),""))</f>
        <v/>
      </c>
      <c r="F1198" s="53">
        <f>IF(B1198="","",IFERROR(INDEX(Client_List!$D:$D,MATCH(VALUE(B1198),Client_List!$A:$A,0)),""))</f>
        <v/>
      </c>
      <c r="G1198" s="53">
        <f>IF(B1198="","",IFERROR(INDEX(Client_List!$K:$K,MATCH(VALUE(B1198),Client_List!$A:$A,0)),""))</f>
        <v/>
      </c>
      <c r="H1198" s="32">
        <f>IF(B1198="","",IFERROR(INDEX(Client_List!$J:$J,MATCH(VALUE(B1198),Client_List!$A:$A,0)),""))</f>
        <v/>
      </c>
      <c r="I1198" s="70">
        <f>IF(B1198="","",IFERROR(A1198-LOOKUP(2,1/($B$4:$B1197=B1198),$A$4:$A1197),""))</f>
        <v/>
      </c>
      <c r="J1198" s="32">
        <f>IF(B1198="","",IFERROR(D1198/I1198,""))</f>
        <v/>
      </c>
      <c r="K1198" s="71">
        <f>IF(B1198="","",IFERROR(AVERAGEIFS($J$4:$J1198,$B$4:$B1198,B1198,$J$4:$J1198,"&gt;"&amp;0),""))</f>
        <v/>
      </c>
      <c r="L1198" s="12" t="n"/>
    </row>
    <row r="1199" ht="14" customHeight="1" s="72">
      <c r="A1199" s="75" t="n">
        <v>46120</v>
      </c>
      <c r="B1199" s="76" t="n">
        <v>15000</v>
      </c>
      <c r="C1199" s="69">
        <f>IF(B1199="","",IFERROR(INDEX(Client_List!$B:$B,MATCH(B1199,Client_List!$A:$A,0)),"⚠ NOT FOUND"))</f>
        <v/>
      </c>
      <c r="D1199" s="43" t="n">
        <v>910</v>
      </c>
      <c r="E1199" s="32">
        <f>IF(B1199="","",IFERROR(INDEX(Client_List!$C:$C,MATCH(VALUE(B1199),Client_List!$A:$A,0)),""))</f>
        <v/>
      </c>
      <c r="F1199" s="53">
        <f>IF(B1199="","",IFERROR(INDEX(Client_List!$D:$D,MATCH(VALUE(B1199),Client_List!$A:$A,0)),""))</f>
        <v/>
      </c>
      <c r="G1199" s="53">
        <f>IF(B1199="","",IFERROR(INDEX(Client_List!$K:$K,MATCH(VALUE(B1199),Client_List!$A:$A,0)),""))</f>
        <v/>
      </c>
      <c r="H1199" s="32">
        <f>IF(B1199="","",IFERROR(INDEX(Client_List!$J:$J,MATCH(VALUE(B1199),Client_List!$A:$A,0)),""))</f>
        <v/>
      </c>
      <c r="I1199" s="70">
        <f>IF(B1199="","",IFERROR(A1199-LOOKUP(2,1/($B$4:$B1198=B1199),$A$4:$A1198),""))</f>
        <v/>
      </c>
      <c r="J1199" s="32">
        <f>IF(B1199="","",IFERROR(D1199/I1199,""))</f>
        <v/>
      </c>
      <c r="K1199" s="71">
        <f>IF(B1199="","",IFERROR(AVERAGEIFS($J$4:$J1199,$B$4:$B1199,B1199,$J$4:$J1199,"&gt;"&amp;0),""))</f>
        <v/>
      </c>
      <c r="L1199" s="11" t="n"/>
    </row>
    <row r="1200" ht="14" customHeight="1" s="72">
      <c r="A1200" s="75" t="n">
        <v>46120</v>
      </c>
      <c r="B1200" s="76" t="n">
        <v>15001</v>
      </c>
      <c r="C1200" s="69">
        <f>IF(B1200="","",IFERROR(INDEX(Client_List!$B:$B,MATCH(B1200,Client_List!$A:$A,0)),"⚠ NOT FOUND"))</f>
        <v/>
      </c>
      <c r="D1200" s="43" t="n">
        <v>802</v>
      </c>
      <c r="E1200" s="32">
        <f>IF(B1200="","",IFERROR(INDEX(Client_List!$C:$C,MATCH(VALUE(B1200),Client_List!$A:$A,0)),""))</f>
        <v/>
      </c>
      <c r="F1200" s="53">
        <f>IF(B1200="","",IFERROR(INDEX(Client_List!$D:$D,MATCH(VALUE(B1200),Client_List!$A:$A,0)),""))</f>
        <v/>
      </c>
      <c r="G1200" s="53">
        <f>IF(B1200="","",IFERROR(INDEX(Client_List!$K:$K,MATCH(VALUE(B1200),Client_List!$A:$A,0)),""))</f>
        <v/>
      </c>
      <c r="H1200" s="32">
        <f>IF(B1200="","",IFERROR(INDEX(Client_List!$J:$J,MATCH(VALUE(B1200),Client_List!$A:$A,0)),""))</f>
        <v/>
      </c>
      <c r="I1200" s="70">
        <f>IF(B1200="","",IFERROR(A1200-LOOKUP(2,1/($B$4:$B1199=B1200),$A$4:$A1199),""))</f>
        <v/>
      </c>
      <c r="J1200" s="32">
        <f>IF(B1200="","",IFERROR(D1200/I1200,""))</f>
        <v/>
      </c>
      <c r="K1200" s="71">
        <f>IF(B1200="","",IFERROR(AVERAGEIFS($J$4:$J1200,$B$4:$B1200,B1200,$J$4:$J1200,"&gt;"&amp;0),""))</f>
        <v/>
      </c>
      <c r="L1200" s="12" t="n"/>
    </row>
    <row r="1201" ht="14" customHeight="1" s="72">
      <c r="A1201" s="75" t="n">
        <v>46120</v>
      </c>
      <c r="B1201" s="76" t="n">
        <v>15016</v>
      </c>
      <c r="C1201" s="69">
        <f>IF(B1201="","",IFERROR(INDEX(Client_List!$B:$B,MATCH(B1201,Client_List!$A:$A,0)),"⚠ NOT FOUND"))</f>
        <v/>
      </c>
      <c r="D1201" s="43" t="n">
        <v>329</v>
      </c>
      <c r="E1201" s="32">
        <f>IF(B1201="","",IFERROR(INDEX(Client_List!$C:$C,MATCH(VALUE(B1201),Client_List!$A:$A,0)),""))</f>
        <v/>
      </c>
      <c r="F1201" s="53">
        <f>IF(B1201="","",IFERROR(INDEX(Client_List!$D:$D,MATCH(VALUE(B1201),Client_List!$A:$A,0)),""))</f>
        <v/>
      </c>
      <c r="G1201" s="53">
        <f>IF(B1201="","",IFERROR(INDEX(Client_List!$K:$K,MATCH(VALUE(B1201),Client_List!$A:$A,0)),""))</f>
        <v/>
      </c>
      <c r="H1201" s="32">
        <f>IF(B1201="","",IFERROR(INDEX(Client_List!$J:$J,MATCH(VALUE(B1201),Client_List!$A:$A,0)),""))</f>
        <v/>
      </c>
      <c r="I1201" s="70">
        <f>IF(B1201="","",IFERROR(A1201-LOOKUP(2,1/($B$4:$B1200=B1201),$A$4:$A1200),""))</f>
        <v/>
      </c>
      <c r="J1201" s="32">
        <f>IF(B1201="","",IFERROR(D1201/I1201,""))</f>
        <v/>
      </c>
      <c r="K1201" s="71">
        <f>IF(B1201="","",IFERROR(AVERAGEIFS($J$4:$J1201,$B$4:$B1201,B1201,$J$4:$J1201,"&gt;"&amp;0),""))</f>
        <v/>
      </c>
      <c r="L1201" s="11" t="n"/>
    </row>
    <row r="1202" ht="14" customHeight="1" s="72">
      <c r="A1202" s="75" t="n">
        <v>46120</v>
      </c>
      <c r="B1202" s="76" t="n">
        <v>16015</v>
      </c>
      <c r="C1202" s="69">
        <f>IF(B1202="","",IFERROR(INDEX(Client_List!$B:$B,MATCH(B1202,Client_List!$A:$A,0)),"⚠ NOT FOUND"))</f>
        <v/>
      </c>
      <c r="D1202" s="43" t="n">
        <v>1305</v>
      </c>
      <c r="E1202" s="32">
        <f>IF(B1202="","",IFERROR(INDEX(Client_List!$C:$C,MATCH(VALUE(B1202),Client_List!$A:$A,0)),""))</f>
        <v/>
      </c>
      <c r="F1202" s="53">
        <f>IF(B1202="","",IFERROR(INDEX(Client_List!$D:$D,MATCH(VALUE(B1202),Client_List!$A:$A,0)),""))</f>
        <v/>
      </c>
      <c r="G1202" s="53">
        <f>IF(B1202="","",IFERROR(INDEX(Client_List!$K:$K,MATCH(VALUE(B1202),Client_List!$A:$A,0)),""))</f>
        <v/>
      </c>
      <c r="H1202" s="32">
        <f>IF(B1202="","",IFERROR(INDEX(Client_List!$J:$J,MATCH(VALUE(B1202),Client_List!$A:$A,0)),""))</f>
        <v/>
      </c>
      <c r="I1202" s="70">
        <f>IF(B1202="","",IFERROR(A1202-LOOKUP(2,1/($B$4:$B1201=B1202),$A$4:$A1201),""))</f>
        <v/>
      </c>
      <c r="J1202" s="32">
        <f>IF(B1202="","",IFERROR(D1202/I1202,""))</f>
        <v/>
      </c>
      <c r="K1202" s="71">
        <f>IF(B1202="","",IFERROR(AVERAGEIFS($J$4:$J1202,$B$4:$B1202,B1202,$J$4:$J1202,"&gt;"&amp;0),""))</f>
        <v/>
      </c>
      <c r="L1202" s="12" t="n"/>
    </row>
    <row r="1203" ht="14" customHeight="1" s="72">
      <c r="A1203" s="75" t="n">
        <v>46120</v>
      </c>
      <c r="B1203" s="76" t="n">
        <v>20051</v>
      </c>
      <c r="C1203" s="69">
        <f>IF(B1203="","",IFERROR(INDEX(Client_List!$B:$B,MATCH(B1203,Client_List!$A:$A,0)),"⚠ NOT FOUND"))</f>
        <v/>
      </c>
      <c r="D1203" s="43" t="n">
        <v>148</v>
      </c>
      <c r="E1203" s="32">
        <f>IF(B1203="","",IFERROR(INDEX(Client_List!$C:$C,MATCH(VALUE(B1203),Client_List!$A:$A,0)),""))</f>
        <v/>
      </c>
      <c r="F1203" s="53">
        <f>IF(B1203="","",IFERROR(INDEX(Client_List!$D:$D,MATCH(VALUE(B1203),Client_List!$A:$A,0)),""))</f>
        <v/>
      </c>
      <c r="G1203" s="53">
        <f>IF(B1203="","",IFERROR(INDEX(Client_List!$K:$K,MATCH(VALUE(B1203),Client_List!$A:$A,0)),""))</f>
        <v/>
      </c>
      <c r="H1203" s="32">
        <f>IF(B1203="","",IFERROR(INDEX(Client_List!$J:$J,MATCH(VALUE(B1203),Client_List!$A:$A,0)),""))</f>
        <v/>
      </c>
      <c r="I1203" s="70">
        <f>IF(B1203="","",IFERROR(A1203-LOOKUP(2,1/($B$4:$B1202=B1203),$A$4:$A1202),""))</f>
        <v/>
      </c>
      <c r="J1203" s="32">
        <f>IF(B1203="","",IFERROR(D1203/I1203,""))</f>
        <v/>
      </c>
      <c r="K1203" s="71">
        <f>IF(B1203="","",IFERROR(AVERAGEIFS($J$4:$J1203,$B$4:$B1203,B1203,$J$4:$J1203,"&gt;"&amp;0),""))</f>
        <v/>
      </c>
      <c r="L1203" s="11" t="n"/>
    </row>
    <row r="1204" ht="14" customHeight="1" s="72">
      <c r="A1204" s="75" t="n">
        <v>46120</v>
      </c>
      <c r="B1204" s="76" t="n">
        <v>20081</v>
      </c>
      <c r="C1204" s="69">
        <f>IF(B1204="","",IFERROR(INDEX(Client_List!$B:$B,MATCH(B1204,Client_List!$A:$A,0)),"⚠ NOT FOUND"))</f>
        <v/>
      </c>
      <c r="D1204" s="43" t="n">
        <v>806</v>
      </c>
      <c r="E1204" s="32">
        <f>IF(B1204="","",IFERROR(INDEX(Client_List!$C:$C,MATCH(VALUE(B1204),Client_List!$A:$A,0)),""))</f>
        <v/>
      </c>
      <c r="F1204" s="53">
        <f>IF(B1204="","",IFERROR(INDEX(Client_List!$D:$D,MATCH(VALUE(B1204),Client_List!$A:$A,0)),""))</f>
        <v/>
      </c>
      <c r="G1204" s="53">
        <f>IF(B1204="","",IFERROR(INDEX(Client_List!$K:$K,MATCH(VALUE(B1204),Client_List!$A:$A,0)),""))</f>
        <v/>
      </c>
      <c r="H1204" s="32">
        <f>IF(B1204="","",IFERROR(INDEX(Client_List!$J:$J,MATCH(VALUE(B1204),Client_List!$A:$A,0)),""))</f>
        <v/>
      </c>
      <c r="I1204" s="70">
        <f>IF(B1204="","",IFERROR(A1204-LOOKUP(2,1/($B$4:$B1203=B1204),$A$4:$A1203),""))</f>
        <v/>
      </c>
      <c r="J1204" s="32">
        <f>IF(B1204="","",IFERROR(D1204/I1204,""))</f>
        <v/>
      </c>
      <c r="K1204" s="71">
        <f>IF(B1204="","",IFERROR(AVERAGEIFS($J$4:$J1204,$B$4:$B1204,B1204,$J$4:$J1204,"&gt;"&amp;0),""))</f>
        <v/>
      </c>
      <c r="L1204" s="12" t="n"/>
    </row>
    <row r="1205" ht="14" customHeight="1" s="72">
      <c r="A1205" s="75" t="n">
        <v>46120</v>
      </c>
      <c r="B1205" s="76" t="n">
        <v>20091</v>
      </c>
      <c r="C1205" s="69">
        <f>IF(B1205="","",IFERROR(INDEX(Client_List!$B:$B,MATCH(B1205,Client_List!$A:$A,0)),"⚠ NOT FOUND"))</f>
        <v/>
      </c>
      <c r="D1205" s="43" t="n">
        <v>987</v>
      </c>
      <c r="E1205" s="32">
        <f>IF(B1205="","",IFERROR(INDEX(Client_List!$C:$C,MATCH(VALUE(B1205),Client_List!$A:$A,0)),""))</f>
        <v/>
      </c>
      <c r="F1205" s="53">
        <f>IF(B1205="","",IFERROR(INDEX(Client_List!$D:$D,MATCH(VALUE(B1205),Client_List!$A:$A,0)),""))</f>
        <v/>
      </c>
      <c r="G1205" s="53">
        <f>IF(B1205="","",IFERROR(INDEX(Client_List!$K:$K,MATCH(VALUE(B1205),Client_List!$A:$A,0)),""))</f>
        <v/>
      </c>
      <c r="H1205" s="32">
        <f>IF(B1205="","",IFERROR(INDEX(Client_List!$J:$J,MATCH(VALUE(B1205),Client_List!$A:$A,0)),""))</f>
        <v/>
      </c>
      <c r="I1205" s="70">
        <f>IF(B1205="","",IFERROR(A1205-LOOKUP(2,1/($B$4:$B1204=B1205),$A$4:$A1204),""))</f>
        <v/>
      </c>
      <c r="J1205" s="32">
        <f>IF(B1205="","",IFERROR(D1205/I1205,""))</f>
        <v/>
      </c>
      <c r="K1205" s="71">
        <f>IF(B1205="","",IFERROR(AVERAGEIFS($J$4:$J1205,$B$4:$B1205,B1205,$J$4:$J1205,"&gt;"&amp;0),""))</f>
        <v/>
      </c>
      <c r="L1205" s="11" t="n"/>
    </row>
    <row r="1206" ht="14" customHeight="1" s="72">
      <c r="A1206" s="75" t="n">
        <v>46120</v>
      </c>
      <c r="B1206" s="76" t="n">
        <v>22006</v>
      </c>
      <c r="C1206" s="69">
        <f>IF(B1206="","",IFERROR(INDEX(Client_List!$B:$B,MATCH(B1206,Client_List!$A:$A,0)),"⚠ NOT FOUND"))</f>
        <v/>
      </c>
      <c r="D1206" s="43" t="n">
        <v>795</v>
      </c>
      <c r="E1206" s="32">
        <f>IF(B1206="","",IFERROR(INDEX(Client_List!$C:$C,MATCH(VALUE(B1206),Client_List!$A:$A,0)),""))</f>
        <v/>
      </c>
      <c r="F1206" s="53">
        <f>IF(B1206="","",IFERROR(INDEX(Client_List!$D:$D,MATCH(VALUE(B1206),Client_List!$A:$A,0)),""))</f>
        <v/>
      </c>
      <c r="G1206" s="53">
        <f>IF(B1206="","",IFERROR(INDEX(Client_List!$K:$K,MATCH(VALUE(B1206),Client_List!$A:$A,0)),""))</f>
        <v/>
      </c>
      <c r="H1206" s="32">
        <f>IF(B1206="","",IFERROR(INDEX(Client_List!$J:$J,MATCH(VALUE(B1206),Client_List!$A:$A,0)),""))</f>
        <v/>
      </c>
      <c r="I1206" s="70">
        <f>IF(B1206="","",IFERROR(A1206-LOOKUP(2,1/($B$4:$B1205=B1206),$A$4:$A1205),""))</f>
        <v/>
      </c>
      <c r="J1206" s="32">
        <f>IF(B1206="","",IFERROR(D1206/I1206,""))</f>
        <v/>
      </c>
      <c r="K1206" s="71">
        <f>IF(B1206="","",IFERROR(AVERAGEIFS($J$4:$J1206,$B$4:$B1206,B1206,$J$4:$J1206,"&gt;"&amp;0),""))</f>
        <v/>
      </c>
      <c r="L1206" s="12" t="n"/>
    </row>
    <row r="1207" ht="14" customHeight="1" s="72">
      <c r="A1207" s="75" t="n">
        <v>46121</v>
      </c>
      <c r="B1207" s="76" t="n">
        <v>2017</v>
      </c>
      <c r="C1207" s="69">
        <f>IF(B1207="","",IFERROR(INDEX(Client_List!$B:$B,MATCH(B1207,Client_List!$A:$A,0)),"⚠ NOT FOUND"))</f>
        <v/>
      </c>
      <c r="D1207" s="43" t="n">
        <v>450</v>
      </c>
      <c r="E1207" s="32">
        <f>IF(B1207="","",IFERROR(INDEX(Client_List!$C:$C,MATCH(VALUE(B1207),Client_List!$A:$A,0)),""))</f>
        <v/>
      </c>
      <c r="F1207" s="53">
        <f>IF(B1207="","",IFERROR(INDEX(Client_List!$D:$D,MATCH(VALUE(B1207),Client_List!$A:$A,0)),""))</f>
        <v/>
      </c>
      <c r="G1207" s="53">
        <f>IF(B1207="","",IFERROR(INDEX(Client_List!$K:$K,MATCH(VALUE(B1207),Client_List!$A:$A,0)),""))</f>
        <v/>
      </c>
      <c r="H1207" s="32">
        <f>IF(B1207="","",IFERROR(INDEX(Client_List!$J:$J,MATCH(VALUE(B1207),Client_List!$A:$A,0)),""))</f>
        <v/>
      </c>
      <c r="I1207" s="70">
        <f>IF(B1207="","",IFERROR(A1207-LOOKUP(2,1/($B$4:$B1206=B1207),$A$4:$A1206),""))</f>
        <v/>
      </c>
      <c r="J1207" s="32">
        <f>IF(B1207="","",IFERROR(D1207/I1207,""))</f>
        <v/>
      </c>
      <c r="K1207" s="71">
        <f>IF(B1207="","",IFERROR(AVERAGEIFS($J$4:$J1207,$B$4:$B1207,B1207,$J$4:$J1207,"&gt;"&amp;0),""))</f>
        <v/>
      </c>
      <c r="L1207" s="11" t="n"/>
    </row>
    <row r="1208" ht="14" customHeight="1" s="72">
      <c r="A1208" s="75" t="n">
        <v>46121</v>
      </c>
      <c r="B1208" s="76" t="n">
        <v>3056</v>
      </c>
      <c r="C1208" s="69">
        <f>IF(B1208="","",IFERROR(INDEX(Client_List!$B:$B,MATCH(B1208,Client_List!$A:$A,0)),"⚠ NOT FOUND"))</f>
        <v/>
      </c>
      <c r="D1208" s="43" t="n">
        <v>337</v>
      </c>
      <c r="E1208" s="32">
        <f>IF(B1208="","",IFERROR(INDEX(Client_List!$C:$C,MATCH(VALUE(B1208),Client_List!$A:$A,0)),""))</f>
        <v/>
      </c>
      <c r="F1208" s="53">
        <f>IF(B1208="","",IFERROR(INDEX(Client_List!$D:$D,MATCH(VALUE(B1208),Client_List!$A:$A,0)),""))</f>
        <v/>
      </c>
      <c r="G1208" s="53">
        <f>IF(B1208="","",IFERROR(INDEX(Client_List!$K:$K,MATCH(VALUE(B1208),Client_List!$A:$A,0)),""))</f>
        <v/>
      </c>
      <c r="H1208" s="32">
        <f>IF(B1208="","",IFERROR(INDEX(Client_List!$J:$J,MATCH(VALUE(B1208),Client_List!$A:$A,0)),""))</f>
        <v/>
      </c>
      <c r="I1208" s="70">
        <f>IF(B1208="","",IFERROR(A1208-LOOKUP(2,1/($B$4:$B1207=B1208),$A$4:$A1207),""))</f>
        <v/>
      </c>
      <c r="J1208" s="32">
        <f>IF(B1208="","",IFERROR(D1208/I1208,""))</f>
        <v/>
      </c>
      <c r="K1208" s="71">
        <f>IF(B1208="","",IFERROR(AVERAGEIFS($J$4:$J1208,$B$4:$B1208,B1208,$J$4:$J1208,"&gt;"&amp;0),""))</f>
        <v/>
      </c>
      <c r="L1208" s="12" t="n"/>
    </row>
    <row r="1209" ht="14" customHeight="1" s="72">
      <c r="A1209" s="75" t="n">
        <v>46121</v>
      </c>
      <c r="B1209" s="76" t="n">
        <v>13013</v>
      </c>
      <c r="C1209" s="69">
        <f>IF(B1209="","",IFERROR(INDEX(Client_List!$B:$B,MATCH(B1209,Client_List!$A:$A,0)),"⚠ NOT FOUND"))</f>
        <v/>
      </c>
      <c r="D1209" s="43" t="n">
        <v>666</v>
      </c>
      <c r="E1209" s="32">
        <f>IF(B1209="","",IFERROR(INDEX(Client_List!$C:$C,MATCH(VALUE(B1209),Client_List!$A:$A,0)),""))</f>
        <v/>
      </c>
      <c r="F1209" s="53">
        <f>IF(B1209="","",IFERROR(INDEX(Client_List!$D:$D,MATCH(VALUE(B1209),Client_List!$A:$A,0)),""))</f>
        <v/>
      </c>
      <c r="G1209" s="53">
        <f>IF(B1209="","",IFERROR(INDEX(Client_List!$K:$K,MATCH(VALUE(B1209),Client_List!$A:$A,0)),""))</f>
        <v/>
      </c>
      <c r="H1209" s="32">
        <f>IF(B1209="","",IFERROR(INDEX(Client_List!$J:$J,MATCH(VALUE(B1209),Client_List!$A:$A,0)),""))</f>
        <v/>
      </c>
      <c r="I1209" s="70">
        <f>IF(B1209="","",IFERROR(A1209-LOOKUP(2,1/($B$4:$B1208=B1209),$A$4:$A1208),""))</f>
        <v/>
      </c>
      <c r="J1209" s="32">
        <f>IF(B1209="","",IFERROR(D1209/I1209,""))</f>
        <v/>
      </c>
      <c r="K1209" s="71">
        <f>IF(B1209="","",IFERROR(AVERAGEIFS($J$4:$J1209,$B$4:$B1209,B1209,$J$4:$J1209,"&gt;"&amp;0),""))</f>
        <v/>
      </c>
      <c r="L1209" s="11" t="n"/>
    </row>
    <row r="1210" ht="14" customHeight="1" s="72">
      <c r="A1210" s="75" t="n">
        <v>46121</v>
      </c>
      <c r="B1210" s="76" t="n">
        <v>15005</v>
      </c>
      <c r="C1210" s="69">
        <f>IF(B1210="","",IFERROR(INDEX(Client_List!$B:$B,MATCH(B1210,Client_List!$A:$A,0)),"⚠ NOT FOUND"))</f>
        <v/>
      </c>
      <c r="D1210" s="43" t="n">
        <v>477</v>
      </c>
      <c r="E1210" s="32">
        <f>IF(B1210="","",IFERROR(INDEX(Client_List!$C:$C,MATCH(VALUE(B1210),Client_List!$A:$A,0)),""))</f>
        <v/>
      </c>
      <c r="F1210" s="53">
        <f>IF(B1210="","",IFERROR(INDEX(Client_List!$D:$D,MATCH(VALUE(B1210),Client_List!$A:$A,0)),""))</f>
        <v/>
      </c>
      <c r="G1210" s="53">
        <f>IF(B1210="","",IFERROR(INDEX(Client_List!$K:$K,MATCH(VALUE(B1210),Client_List!$A:$A,0)),""))</f>
        <v/>
      </c>
      <c r="H1210" s="32">
        <f>IF(B1210="","",IFERROR(INDEX(Client_List!$J:$J,MATCH(VALUE(B1210),Client_List!$A:$A,0)),""))</f>
        <v/>
      </c>
      <c r="I1210" s="70">
        <f>IF(B1210="","",IFERROR(A1210-LOOKUP(2,1/($B$4:$B1209=B1210),$A$4:$A1209),""))</f>
        <v/>
      </c>
      <c r="J1210" s="32">
        <f>IF(B1210="","",IFERROR(D1210/I1210,""))</f>
        <v/>
      </c>
      <c r="K1210" s="71">
        <f>IF(B1210="","",IFERROR(AVERAGEIFS($J$4:$J1210,$B$4:$B1210,B1210,$J$4:$J1210,"&gt;"&amp;0),""))</f>
        <v/>
      </c>
      <c r="L1210" s="12" t="n"/>
    </row>
    <row r="1211" ht="14" customHeight="1" s="72">
      <c r="A1211" s="75" t="n">
        <v>46121</v>
      </c>
      <c r="B1211" s="76" t="n">
        <v>15007</v>
      </c>
      <c r="C1211" s="69">
        <f>IF(B1211="","",IFERROR(INDEX(Client_List!$B:$B,MATCH(B1211,Client_List!$A:$A,0)),"⚠ NOT FOUND"))</f>
        <v/>
      </c>
      <c r="D1211" s="43" t="n">
        <v>808</v>
      </c>
      <c r="E1211" s="32">
        <f>IF(B1211="","",IFERROR(INDEX(Client_List!$C:$C,MATCH(VALUE(B1211),Client_List!$A:$A,0)),""))</f>
        <v/>
      </c>
      <c r="F1211" s="53">
        <f>IF(B1211="","",IFERROR(INDEX(Client_List!$D:$D,MATCH(VALUE(B1211),Client_List!$A:$A,0)),""))</f>
        <v/>
      </c>
      <c r="G1211" s="53">
        <f>IF(B1211="","",IFERROR(INDEX(Client_List!$K:$K,MATCH(VALUE(B1211),Client_List!$A:$A,0)),""))</f>
        <v/>
      </c>
      <c r="H1211" s="32">
        <f>IF(B1211="","",IFERROR(INDEX(Client_List!$J:$J,MATCH(VALUE(B1211),Client_List!$A:$A,0)),""))</f>
        <v/>
      </c>
      <c r="I1211" s="70">
        <f>IF(B1211="","",IFERROR(A1211-LOOKUP(2,1/($B$4:$B1210=B1211),$A$4:$A1210),""))</f>
        <v/>
      </c>
      <c r="J1211" s="32">
        <f>IF(B1211="","",IFERROR(D1211/I1211,""))</f>
        <v/>
      </c>
      <c r="K1211" s="71">
        <f>IF(B1211="","",IFERROR(AVERAGEIFS($J$4:$J1211,$B$4:$B1211,B1211,$J$4:$J1211,"&gt;"&amp;0),""))</f>
        <v/>
      </c>
      <c r="L1211" s="11" t="n"/>
    </row>
    <row r="1212" ht="14" customHeight="1" s="72">
      <c r="A1212" s="75" t="n">
        <v>46121</v>
      </c>
      <c r="B1212" s="76" t="n">
        <v>16008</v>
      </c>
      <c r="C1212" s="69">
        <f>IF(B1212="","",IFERROR(INDEX(Client_List!$B:$B,MATCH(B1212,Client_List!$A:$A,0)),"⚠ NOT FOUND"))</f>
        <v/>
      </c>
      <c r="D1212" s="43" t="n">
        <v>794</v>
      </c>
      <c r="E1212" s="32">
        <f>IF(B1212="","",IFERROR(INDEX(Client_List!$C:$C,MATCH(VALUE(B1212),Client_List!$A:$A,0)),""))</f>
        <v/>
      </c>
      <c r="F1212" s="53">
        <f>IF(B1212="","",IFERROR(INDEX(Client_List!$D:$D,MATCH(VALUE(B1212),Client_List!$A:$A,0)),""))</f>
        <v/>
      </c>
      <c r="G1212" s="53">
        <f>IF(B1212="","",IFERROR(INDEX(Client_List!$K:$K,MATCH(VALUE(B1212),Client_List!$A:$A,0)),""))</f>
        <v/>
      </c>
      <c r="H1212" s="32">
        <f>IF(B1212="","",IFERROR(INDEX(Client_List!$J:$J,MATCH(VALUE(B1212),Client_List!$A:$A,0)),""))</f>
        <v/>
      </c>
      <c r="I1212" s="70">
        <f>IF(B1212="","",IFERROR(A1212-LOOKUP(2,1/($B$4:$B1211=B1212),$A$4:$A1211),""))</f>
        <v/>
      </c>
      <c r="J1212" s="32">
        <f>IF(B1212="","",IFERROR(D1212/I1212,""))</f>
        <v/>
      </c>
      <c r="K1212" s="71">
        <f>IF(B1212="","",IFERROR(AVERAGEIFS($J$4:$J1212,$B$4:$B1212,B1212,$J$4:$J1212,"&gt;"&amp;0),""))</f>
        <v/>
      </c>
      <c r="L1212" s="12" t="n"/>
    </row>
    <row r="1213" ht="14" customHeight="1" s="72">
      <c r="A1213" s="75" t="n">
        <v>46121</v>
      </c>
      <c r="B1213" s="76" t="n">
        <v>16052</v>
      </c>
      <c r="C1213" s="69">
        <f>IF(B1213="","",IFERROR(INDEX(Client_List!$B:$B,MATCH(B1213,Client_List!$A:$A,0)),"⚠ NOT FOUND"))</f>
        <v/>
      </c>
      <c r="D1213" s="43" t="n">
        <v>983</v>
      </c>
      <c r="E1213" s="32">
        <f>IF(B1213="","",IFERROR(INDEX(Client_List!$C:$C,MATCH(VALUE(B1213),Client_List!$A:$A,0)),""))</f>
        <v/>
      </c>
      <c r="F1213" s="53">
        <f>IF(B1213="","",IFERROR(INDEX(Client_List!$D:$D,MATCH(VALUE(B1213),Client_List!$A:$A,0)),""))</f>
        <v/>
      </c>
      <c r="G1213" s="53">
        <f>IF(B1213="","",IFERROR(INDEX(Client_List!$K:$K,MATCH(VALUE(B1213),Client_List!$A:$A,0)),""))</f>
        <v/>
      </c>
      <c r="H1213" s="32">
        <f>IF(B1213="","",IFERROR(INDEX(Client_List!$J:$J,MATCH(VALUE(B1213),Client_List!$A:$A,0)),""))</f>
        <v/>
      </c>
      <c r="I1213" s="70">
        <f>IF(B1213="","",IFERROR(A1213-LOOKUP(2,1/($B$4:$B1212=B1213),$A$4:$A1212),""))</f>
        <v/>
      </c>
      <c r="J1213" s="32">
        <f>IF(B1213="","",IFERROR(D1213/I1213,""))</f>
        <v/>
      </c>
      <c r="K1213" s="71">
        <f>IF(B1213="","",IFERROR(AVERAGEIFS($J$4:$J1213,$B$4:$B1213,B1213,$J$4:$J1213,"&gt;"&amp;0),""))</f>
        <v/>
      </c>
      <c r="L1213" s="11" t="n"/>
    </row>
    <row r="1214" ht="14" customHeight="1" s="72">
      <c r="A1214" s="75" t="n">
        <v>46121</v>
      </c>
      <c r="B1214" s="76" t="n">
        <v>18004</v>
      </c>
      <c r="C1214" s="69">
        <f>IF(B1214="","",IFERROR(INDEX(Client_List!$B:$B,MATCH(B1214,Client_List!$A:$A,0)),"⚠ NOT FOUND"))</f>
        <v/>
      </c>
      <c r="D1214" s="43" t="n">
        <v>266</v>
      </c>
      <c r="E1214" s="32">
        <f>IF(B1214="","",IFERROR(INDEX(Client_List!$C:$C,MATCH(VALUE(B1214),Client_List!$A:$A,0)),""))</f>
        <v/>
      </c>
      <c r="F1214" s="53">
        <f>IF(B1214="","",IFERROR(INDEX(Client_List!$D:$D,MATCH(VALUE(B1214),Client_List!$A:$A,0)),""))</f>
        <v/>
      </c>
      <c r="G1214" s="53">
        <f>IF(B1214="","",IFERROR(INDEX(Client_List!$K:$K,MATCH(VALUE(B1214),Client_List!$A:$A,0)),""))</f>
        <v/>
      </c>
      <c r="H1214" s="32">
        <f>IF(B1214="","",IFERROR(INDEX(Client_List!$J:$J,MATCH(VALUE(B1214),Client_List!$A:$A,0)),""))</f>
        <v/>
      </c>
      <c r="I1214" s="70">
        <f>IF(B1214="","",IFERROR(A1214-LOOKUP(2,1/($B$4:$B1213=B1214),$A$4:$A1213),""))</f>
        <v/>
      </c>
      <c r="J1214" s="32">
        <f>IF(B1214="","",IFERROR(D1214/I1214,""))</f>
        <v/>
      </c>
      <c r="K1214" s="71">
        <f>IF(B1214="","",IFERROR(AVERAGEIFS($J$4:$J1214,$B$4:$B1214,B1214,$J$4:$J1214,"&gt;"&amp;0),""))</f>
        <v/>
      </c>
      <c r="L1214" s="12" t="n"/>
    </row>
    <row r="1215" ht="14" customHeight="1" s="72">
      <c r="A1215" s="75" t="n">
        <v>46121</v>
      </c>
      <c r="B1215" s="76" t="n">
        <v>18036</v>
      </c>
      <c r="C1215" s="69">
        <f>IF(B1215="","",IFERROR(INDEX(Client_List!$B:$B,MATCH(B1215,Client_List!$A:$A,0)),"⚠ NOT FOUND"))</f>
        <v/>
      </c>
      <c r="D1215" s="43" t="n">
        <v>1444</v>
      </c>
      <c r="E1215" s="32">
        <f>IF(B1215="","",IFERROR(INDEX(Client_List!$C:$C,MATCH(VALUE(B1215),Client_List!$A:$A,0)),""))</f>
        <v/>
      </c>
      <c r="F1215" s="53">
        <f>IF(B1215="","",IFERROR(INDEX(Client_List!$D:$D,MATCH(VALUE(B1215),Client_List!$A:$A,0)),""))</f>
        <v/>
      </c>
      <c r="G1215" s="53">
        <f>IF(B1215="","",IFERROR(INDEX(Client_List!$K:$K,MATCH(VALUE(B1215),Client_List!$A:$A,0)),""))</f>
        <v/>
      </c>
      <c r="H1215" s="32">
        <f>IF(B1215="","",IFERROR(INDEX(Client_List!$J:$J,MATCH(VALUE(B1215),Client_List!$A:$A,0)),""))</f>
        <v/>
      </c>
      <c r="I1215" s="70">
        <f>IF(B1215="","",IFERROR(A1215-LOOKUP(2,1/($B$4:$B1214=B1215),$A$4:$A1214),""))</f>
        <v/>
      </c>
      <c r="J1215" s="32">
        <f>IF(B1215="","",IFERROR(D1215/I1215,""))</f>
        <v/>
      </c>
      <c r="K1215" s="71">
        <f>IF(B1215="","",IFERROR(AVERAGEIFS($J$4:$J1215,$B$4:$B1215,B1215,$J$4:$J1215,"&gt;"&amp;0),""))</f>
        <v/>
      </c>
      <c r="L1215" s="11" t="n"/>
    </row>
    <row r="1216" ht="14" customHeight="1" s="72">
      <c r="A1216" s="75" t="n">
        <v>46121</v>
      </c>
      <c r="B1216" s="76" t="n">
        <v>20088</v>
      </c>
      <c r="C1216" s="69">
        <f>IF(B1216="","",IFERROR(INDEX(Client_List!$B:$B,MATCH(B1216,Client_List!$A:$A,0)),"⚠ NOT FOUND"))</f>
        <v/>
      </c>
      <c r="D1216" s="43" t="n">
        <v>993</v>
      </c>
      <c r="E1216" s="32">
        <f>IF(B1216="","",IFERROR(INDEX(Client_List!$C:$C,MATCH(VALUE(B1216),Client_List!$A:$A,0)),""))</f>
        <v/>
      </c>
      <c r="F1216" s="53">
        <f>IF(B1216="","",IFERROR(INDEX(Client_List!$D:$D,MATCH(VALUE(B1216),Client_List!$A:$A,0)),""))</f>
        <v/>
      </c>
      <c r="G1216" s="53">
        <f>IF(B1216="","",IFERROR(INDEX(Client_List!$K:$K,MATCH(VALUE(B1216),Client_List!$A:$A,0)),""))</f>
        <v/>
      </c>
      <c r="H1216" s="32">
        <f>IF(B1216="","",IFERROR(INDEX(Client_List!$J:$J,MATCH(VALUE(B1216),Client_List!$A:$A,0)),""))</f>
        <v/>
      </c>
      <c r="I1216" s="70">
        <f>IF(B1216="","",IFERROR(A1216-LOOKUP(2,1/($B$4:$B1215=B1216),$A$4:$A1215),""))</f>
        <v/>
      </c>
      <c r="J1216" s="32">
        <f>IF(B1216="","",IFERROR(D1216/I1216,""))</f>
        <v/>
      </c>
      <c r="K1216" s="71">
        <f>IF(B1216="","",IFERROR(AVERAGEIFS($J$4:$J1216,$B$4:$B1216,B1216,$J$4:$J1216,"&gt;"&amp;0),""))</f>
        <v/>
      </c>
      <c r="L1216" s="12" t="n"/>
    </row>
    <row r="1217" ht="14" customHeight="1" s="72">
      <c r="A1217" s="75" t="n">
        <v>46121</v>
      </c>
      <c r="B1217" s="76" t="n">
        <v>20089</v>
      </c>
      <c r="C1217" s="69">
        <f>IF(B1217="","",IFERROR(INDEX(Client_List!$B:$B,MATCH(B1217,Client_List!$A:$A,0)),"⚠ NOT FOUND"))</f>
        <v/>
      </c>
      <c r="D1217" s="43" t="n">
        <v>940</v>
      </c>
      <c r="E1217" s="32">
        <f>IF(B1217="","",IFERROR(INDEX(Client_List!$C:$C,MATCH(VALUE(B1217),Client_List!$A:$A,0)),""))</f>
        <v/>
      </c>
      <c r="F1217" s="53">
        <f>IF(B1217="","",IFERROR(INDEX(Client_List!$D:$D,MATCH(VALUE(B1217),Client_List!$A:$A,0)),""))</f>
        <v/>
      </c>
      <c r="G1217" s="53">
        <f>IF(B1217="","",IFERROR(INDEX(Client_List!$K:$K,MATCH(VALUE(B1217),Client_List!$A:$A,0)),""))</f>
        <v/>
      </c>
      <c r="H1217" s="32">
        <f>IF(B1217="","",IFERROR(INDEX(Client_List!$J:$J,MATCH(VALUE(B1217),Client_List!$A:$A,0)),""))</f>
        <v/>
      </c>
      <c r="I1217" s="70">
        <f>IF(B1217="","",IFERROR(A1217-LOOKUP(2,1/($B$4:$B1216=B1217),$A$4:$A1216),""))</f>
        <v/>
      </c>
      <c r="J1217" s="32">
        <f>IF(B1217="","",IFERROR(D1217/I1217,""))</f>
        <v/>
      </c>
      <c r="K1217" s="71">
        <f>IF(B1217="","",IFERROR(AVERAGEIFS($J$4:$J1217,$B$4:$B1217,B1217,$J$4:$J1217,"&gt;"&amp;0),""))</f>
        <v/>
      </c>
      <c r="L1217" s="11" t="n"/>
    </row>
    <row r="1218" ht="14" customHeight="1" s="72">
      <c r="A1218" s="75" t="n">
        <v>46121</v>
      </c>
      <c r="B1218" s="76" t="n">
        <v>20094</v>
      </c>
      <c r="C1218" s="69">
        <f>IF(B1218="","",IFERROR(INDEX(Client_List!$B:$B,MATCH(B1218,Client_List!$A:$A,0)),"⚠ NOT FOUND"))</f>
        <v/>
      </c>
      <c r="D1218" s="43" t="n">
        <v>862</v>
      </c>
      <c r="E1218" s="32">
        <f>IF(B1218="","",IFERROR(INDEX(Client_List!$C:$C,MATCH(VALUE(B1218),Client_List!$A:$A,0)),""))</f>
        <v/>
      </c>
      <c r="F1218" s="53">
        <f>IF(B1218="","",IFERROR(INDEX(Client_List!$D:$D,MATCH(VALUE(B1218),Client_List!$A:$A,0)),""))</f>
        <v/>
      </c>
      <c r="G1218" s="53">
        <f>IF(B1218="","",IFERROR(INDEX(Client_List!$K:$K,MATCH(VALUE(B1218),Client_List!$A:$A,0)),""))</f>
        <v/>
      </c>
      <c r="H1218" s="32">
        <f>IF(B1218="","",IFERROR(INDEX(Client_List!$J:$J,MATCH(VALUE(B1218),Client_List!$A:$A,0)),""))</f>
        <v/>
      </c>
      <c r="I1218" s="70">
        <f>IF(B1218="","",IFERROR(A1218-LOOKUP(2,1/($B$4:$B1217=B1218),$A$4:$A1217),""))</f>
        <v/>
      </c>
      <c r="J1218" s="32">
        <f>IF(B1218="","",IFERROR(D1218/I1218,""))</f>
        <v/>
      </c>
      <c r="K1218" s="71">
        <f>IF(B1218="","",IFERROR(AVERAGEIFS($J$4:$J1218,$B$4:$B1218,B1218,$J$4:$J1218,"&gt;"&amp;0),""))</f>
        <v/>
      </c>
      <c r="L1218" s="12" t="n"/>
    </row>
    <row r="1219" ht="14" customHeight="1" s="72">
      <c r="A1219" s="75" t="n">
        <v>46121</v>
      </c>
      <c r="B1219" s="76" t="n">
        <v>20097</v>
      </c>
      <c r="C1219" s="69">
        <f>IF(B1219="","",IFERROR(INDEX(Client_List!$B:$B,MATCH(B1219,Client_List!$A:$A,0)),"⚠ NOT FOUND"))</f>
        <v/>
      </c>
      <c r="D1219" s="43" t="n">
        <v>767</v>
      </c>
      <c r="E1219" s="32">
        <f>IF(B1219="","",IFERROR(INDEX(Client_List!$C:$C,MATCH(VALUE(B1219),Client_List!$A:$A,0)),""))</f>
        <v/>
      </c>
      <c r="F1219" s="53">
        <f>IF(B1219="","",IFERROR(INDEX(Client_List!$D:$D,MATCH(VALUE(B1219),Client_List!$A:$A,0)),""))</f>
        <v/>
      </c>
      <c r="G1219" s="53">
        <f>IF(B1219="","",IFERROR(INDEX(Client_List!$K:$K,MATCH(VALUE(B1219),Client_List!$A:$A,0)),""))</f>
        <v/>
      </c>
      <c r="H1219" s="32">
        <f>IF(B1219="","",IFERROR(INDEX(Client_List!$J:$J,MATCH(VALUE(B1219),Client_List!$A:$A,0)),""))</f>
        <v/>
      </c>
      <c r="I1219" s="70">
        <f>IF(B1219="","",IFERROR(A1219-LOOKUP(2,1/($B$4:$B1218=B1219),$A$4:$A1218),""))</f>
        <v/>
      </c>
      <c r="J1219" s="32">
        <f>IF(B1219="","",IFERROR(D1219/I1219,""))</f>
        <v/>
      </c>
      <c r="K1219" s="71">
        <f>IF(B1219="","",IFERROR(AVERAGEIFS($J$4:$J1219,$B$4:$B1219,B1219,$J$4:$J1219,"&gt;"&amp;0),""))</f>
        <v/>
      </c>
      <c r="L1219" s="11" t="n"/>
    </row>
    <row r="1220" ht="14" customHeight="1" s="72">
      <c r="A1220" s="75" t="n">
        <v>46121</v>
      </c>
      <c r="B1220" s="76" t="n">
        <v>21001</v>
      </c>
      <c r="C1220" s="69">
        <f>IF(B1220="","",IFERROR(INDEX(Client_List!$B:$B,MATCH(B1220,Client_List!$A:$A,0)),"⚠ NOT FOUND"))</f>
        <v/>
      </c>
      <c r="D1220" s="43" t="n">
        <v>739</v>
      </c>
      <c r="E1220" s="32">
        <f>IF(B1220="","",IFERROR(INDEX(Client_List!$C:$C,MATCH(VALUE(B1220),Client_List!$A:$A,0)),""))</f>
        <v/>
      </c>
      <c r="F1220" s="53">
        <f>IF(B1220="","",IFERROR(INDEX(Client_List!$D:$D,MATCH(VALUE(B1220),Client_List!$A:$A,0)),""))</f>
        <v/>
      </c>
      <c r="G1220" s="53">
        <f>IF(B1220="","",IFERROR(INDEX(Client_List!$K:$K,MATCH(VALUE(B1220),Client_List!$A:$A,0)),""))</f>
        <v/>
      </c>
      <c r="H1220" s="32">
        <f>IF(B1220="","",IFERROR(INDEX(Client_List!$J:$J,MATCH(VALUE(B1220),Client_List!$A:$A,0)),""))</f>
        <v/>
      </c>
      <c r="I1220" s="70">
        <f>IF(B1220="","",IFERROR(A1220-LOOKUP(2,1/($B$4:$B1219=B1220),$A$4:$A1219),""))</f>
        <v/>
      </c>
      <c r="J1220" s="32">
        <f>IF(B1220="","",IFERROR(D1220/I1220,""))</f>
        <v/>
      </c>
      <c r="K1220" s="71">
        <f>IF(B1220="","",IFERROR(AVERAGEIFS($J$4:$J1220,$B$4:$B1220,B1220,$J$4:$J1220,"&gt;"&amp;0),""))</f>
        <v/>
      </c>
      <c r="L1220" s="12" t="n"/>
    </row>
    <row r="1221" ht="14" customHeight="1" s="72">
      <c r="A1221" s="75" t="n">
        <v>46122</v>
      </c>
      <c r="B1221" s="76" t="n">
        <v>1011</v>
      </c>
      <c r="C1221" s="69">
        <f>IF(B1221="","",IFERROR(INDEX(Client_List!$B:$B,MATCH(B1221,Client_List!$A:$A,0)),"⚠ NOT FOUND"))</f>
        <v/>
      </c>
      <c r="D1221" s="43" t="n">
        <v>742</v>
      </c>
      <c r="E1221" s="32">
        <f>IF(B1221="","",IFERROR(INDEX(Client_List!$C:$C,MATCH(VALUE(B1221),Client_List!$A:$A,0)),""))</f>
        <v/>
      </c>
      <c r="F1221" s="53">
        <f>IF(B1221="","",IFERROR(INDEX(Client_List!$D:$D,MATCH(VALUE(B1221),Client_List!$A:$A,0)),""))</f>
        <v/>
      </c>
      <c r="G1221" s="53">
        <f>IF(B1221="","",IFERROR(INDEX(Client_List!$K:$K,MATCH(VALUE(B1221),Client_List!$A:$A,0)),""))</f>
        <v/>
      </c>
      <c r="H1221" s="32">
        <f>IF(B1221="","",IFERROR(INDEX(Client_List!$J:$J,MATCH(VALUE(B1221),Client_List!$A:$A,0)),""))</f>
        <v/>
      </c>
      <c r="I1221" s="70">
        <f>IF(B1221="","",IFERROR(A1221-LOOKUP(2,1/($B$4:$B1220=B1221),$A$4:$A1220),""))</f>
        <v/>
      </c>
      <c r="J1221" s="32">
        <f>IF(B1221="","",IFERROR(D1221/I1221,""))</f>
        <v/>
      </c>
      <c r="K1221" s="71">
        <f>IF(B1221="","",IFERROR(AVERAGEIFS($J$4:$J1221,$B$4:$B1221,B1221,$J$4:$J1221,"&gt;"&amp;0),""))</f>
        <v/>
      </c>
      <c r="L1221" s="11" t="n"/>
    </row>
    <row r="1222" ht="14" customHeight="1" s="72">
      <c r="A1222" s="75" t="n">
        <v>46122</v>
      </c>
      <c r="B1222" s="76" t="n">
        <v>2021</v>
      </c>
      <c r="C1222" s="69">
        <f>IF(B1222="","",IFERROR(INDEX(Client_List!$B:$B,MATCH(B1222,Client_List!$A:$A,0)),"⚠ NOT FOUND"))</f>
        <v/>
      </c>
      <c r="D1222" s="43" t="n">
        <v>570</v>
      </c>
      <c r="E1222" s="32">
        <f>IF(B1222="","",IFERROR(INDEX(Client_List!$C:$C,MATCH(VALUE(B1222),Client_List!$A:$A,0)),""))</f>
        <v/>
      </c>
      <c r="F1222" s="53">
        <f>IF(B1222="","",IFERROR(INDEX(Client_List!$D:$D,MATCH(VALUE(B1222),Client_List!$A:$A,0)),""))</f>
        <v/>
      </c>
      <c r="G1222" s="53">
        <f>IF(B1222="","",IFERROR(INDEX(Client_List!$K:$K,MATCH(VALUE(B1222),Client_List!$A:$A,0)),""))</f>
        <v/>
      </c>
      <c r="H1222" s="32">
        <f>IF(B1222="","",IFERROR(INDEX(Client_List!$J:$J,MATCH(VALUE(B1222),Client_List!$A:$A,0)),""))</f>
        <v/>
      </c>
      <c r="I1222" s="70">
        <f>IF(B1222="","",IFERROR(A1222-LOOKUP(2,1/($B$4:$B1221=B1222),$A$4:$A1221),""))</f>
        <v/>
      </c>
      <c r="J1222" s="32">
        <f>IF(B1222="","",IFERROR(D1222/I1222,""))</f>
        <v/>
      </c>
      <c r="K1222" s="71">
        <f>IF(B1222="","",IFERROR(AVERAGEIFS($J$4:$J1222,$B$4:$B1222,B1222,$J$4:$J1222,"&gt;"&amp;0),""))</f>
        <v/>
      </c>
      <c r="L1222" s="12" t="n"/>
    </row>
    <row r="1223" ht="14" customHeight="1" s="72">
      <c r="A1223" s="75" t="n">
        <v>46122</v>
      </c>
      <c r="B1223" s="76" t="n">
        <v>2038</v>
      </c>
      <c r="C1223" s="69">
        <f>IF(B1223="","",IFERROR(INDEX(Client_List!$B:$B,MATCH(B1223,Client_List!$A:$A,0)),"⚠ NOT FOUND"))</f>
        <v/>
      </c>
      <c r="D1223" s="43" t="n">
        <v>184</v>
      </c>
      <c r="E1223" s="32">
        <f>IF(B1223="","",IFERROR(INDEX(Client_List!$C:$C,MATCH(VALUE(B1223),Client_List!$A:$A,0)),""))</f>
        <v/>
      </c>
      <c r="F1223" s="53">
        <f>IF(B1223="","",IFERROR(INDEX(Client_List!$D:$D,MATCH(VALUE(B1223),Client_List!$A:$A,0)),""))</f>
        <v/>
      </c>
      <c r="G1223" s="53">
        <f>IF(B1223="","",IFERROR(INDEX(Client_List!$K:$K,MATCH(VALUE(B1223),Client_List!$A:$A,0)),""))</f>
        <v/>
      </c>
      <c r="H1223" s="32">
        <f>IF(B1223="","",IFERROR(INDEX(Client_List!$J:$J,MATCH(VALUE(B1223),Client_List!$A:$A,0)),""))</f>
        <v/>
      </c>
      <c r="I1223" s="70">
        <f>IF(B1223="","",IFERROR(A1223-LOOKUP(2,1/($B$4:$B1222=B1223),$A$4:$A1222),""))</f>
        <v/>
      </c>
      <c r="J1223" s="32">
        <f>IF(B1223="","",IFERROR(D1223/I1223,""))</f>
        <v/>
      </c>
      <c r="K1223" s="71">
        <f>IF(B1223="","",IFERROR(AVERAGEIFS($J$4:$J1223,$B$4:$B1223,B1223,$J$4:$J1223,"&gt;"&amp;0),""))</f>
        <v/>
      </c>
      <c r="L1223" s="11" t="n"/>
    </row>
    <row r="1224" ht="14" customHeight="1" s="72">
      <c r="A1224" s="75" t="n">
        <v>46122</v>
      </c>
      <c r="B1224" s="76" t="n">
        <v>6101</v>
      </c>
      <c r="C1224" s="69">
        <f>IF(B1224="","",IFERROR(INDEX(Client_List!$B:$B,MATCH(B1224,Client_List!$A:$A,0)),"⚠ NOT FOUND"))</f>
        <v/>
      </c>
      <c r="D1224" s="43" t="n">
        <v>577</v>
      </c>
      <c r="E1224" s="32">
        <f>IF(B1224="","",IFERROR(INDEX(Client_List!$C:$C,MATCH(VALUE(B1224),Client_List!$A:$A,0)),""))</f>
        <v/>
      </c>
      <c r="F1224" s="53">
        <f>IF(B1224="","",IFERROR(INDEX(Client_List!$D:$D,MATCH(VALUE(B1224),Client_List!$A:$A,0)),""))</f>
        <v/>
      </c>
      <c r="G1224" s="53">
        <f>IF(B1224="","",IFERROR(INDEX(Client_List!$K:$K,MATCH(VALUE(B1224),Client_List!$A:$A,0)),""))</f>
        <v/>
      </c>
      <c r="H1224" s="32">
        <f>IF(B1224="","",IFERROR(INDEX(Client_List!$J:$J,MATCH(VALUE(B1224),Client_List!$A:$A,0)),""))</f>
        <v/>
      </c>
      <c r="I1224" s="70">
        <f>IF(B1224="","",IFERROR(A1224-LOOKUP(2,1/($B$4:$B1223=B1224),$A$4:$A1223),""))</f>
        <v/>
      </c>
      <c r="J1224" s="32">
        <f>IF(B1224="","",IFERROR(D1224/I1224,""))</f>
        <v/>
      </c>
      <c r="K1224" s="71">
        <f>IF(B1224="","",IFERROR(AVERAGEIFS($J$4:$J1224,$B$4:$B1224,B1224,$J$4:$J1224,"&gt;"&amp;0),""))</f>
        <v/>
      </c>
      <c r="L1224" s="12" t="n"/>
    </row>
    <row r="1225" ht="14" customHeight="1" s="72">
      <c r="A1225" s="75" t="n">
        <v>46122</v>
      </c>
      <c r="B1225" s="76" t="n">
        <v>10012</v>
      </c>
      <c r="C1225" s="69">
        <f>IF(B1225="","",IFERROR(INDEX(Client_List!$B:$B,MATCH(B1225,Client_List!$A:$A,0)),"⚠ NOT FOUND"))</f>
        <v/>
      </c>
      <c r="D1225" s="43" t="n">
        <v>1556</v>
      </c>
      <c r="E1225" s="32">
        <f>IF(B1225="","",IFERROR(INDEX(Client_List!$C:$C,MATCH(VALUE(B1225),Client_List!$A:$A,0)),""))</f>
        <v/>
      </c>
      <c r="F1225" s="53">
        <f>IF(B1225="","",IFERROR(INDEX(Client_List!$D:$D,MATCH(VALUE(B1225),Client_List!$A:$A,0)),""))</f>
        <v/>
      </c>
      <c r="G1225" s="53">
        <f>IF(B1225="","",IFERROR(INDEX(Client_List!$K:$K,MATCH(VALUE(B1225),Client_List!$A:$A,0)),""))</f>
        <v/>
      </c>
      <c r="H1225" s="32">
        <f>IF(B1225="","",IFERROR(INDEX(Client_List!$J:$J,MATCH(VALUE(B1225),Client_List!$A:$A,0)),""))</f>
        <v/>
      </c>
      <c r="I1225" s="70">
        <f>IF(B1225="","",IFERROR(A1225-LOOKUP(2,1/($B$4:$B1224=B1225),$A$4:$A1224),""))</f>
        <v/>
      </c>
      <c r="J1225" s="32">
        <f>IF(B1225="","",IFERROR(D1225/I1225,""))</f>
        <v/>
      </c>
      <c r="K1225" s="71">
        <f>IF(B1225="","",IFERROR(AVERAGEIFS($J$4:$J1225,$B$4:$B1225,B1225,$J$4:$J1225,"&gt;"&amp;0),""))</f>
        <v/>
      </c>
      <c r="L1225" s="11" t="n"/>
    </row>
    <row r="1226" ht="14" customHeight="1" s="72">
      <c r="A1226" s="75" t="n">
        <v>46122</v>
      </c>
      <c r="B1226" s="76" t="n">
        <v>13009</v>
      </c>
      <c r="C1226" s="69">
        <f>IF(B1226="","",IFERROR(INDEX(Client_List!$B:$B,MATCH(B1226,Client_List!$A:$A,0)),"⚠ NOT FOUND"))</f>
        <v/>
      </c>
      <c r="D1226" s="43" t="n">
        <v>726</v>
      </c>
      <c r="E1226" s="32">
        <f>IF(B1226="","",IFERROR(INDEX(Client_List!$C:$C,MATCH(VALUE(B1226),Client_List!$A:$A,0)),""))</f>
        <v/>
      </c>
      <c r="F1226" s="53">
        <f>IF(B1226="","",IFERROR(INDEX(Client_List!$D:$D,MATCH(VALUE(B1226),Client_List!$A:$A,0)),""))</f>
        <v/>
      </c>
      <c r="G1226" s="53">
        <f>IF(B1226="","",IFERROR(INDEX(Client_List!$K:$K,MATCH(VALUE(B1226),Client_List!$A:$A,0)),""))</f>
        <v/>
      </c>
      <c r="H1226" s="32">
        <f>IF(B1226="","",IFERROR(INDEX(Client_List!$J:$J,MATCH(VALUE(B1226),Client_List!$A:$A,0)),""))</f>
        <v/>
      </c>
      <c r="I1226" s="70">
        <f>IF(B1226="","",IFERROR(A1226-LOOKUP(2,1/($B$4:$B1225=B1226),$A$4:$A1225),""))</f>
        <v/>
      </c>
      <c r="J1226" s="32">
        <f>IF(B1226="","",IFERROR(D1226/I1226,""))</f>
        <v/>
      </c>
      <c r="K1226" s="71">
        <f>IF(B1226="","",IFERROR(AVERAGEIFS($J$4:$J1226,$B$4:$B1226,B1226,$J$4:$J1226,"&gt;"&amp;0),""))</f>
        <v/>
      </c>
      <c r="L1226" s="12" t="n"/>
    </row>
    <row r="1227" ht="14" customHeight="1" s="72">
      <c r="A1227" s="75" t="n">
        <v>46122</v>
      </c>
      <c r="B1227" s="76" t="n">
        <v>16003</v>
      </c>
      <c r="C1227" s="69">
        <f>IF(B1227="","",IFERROR(INDEX(Client_List!$B:$B,MATCH(B1227,Client_List!$A:$A,0)),"⚠ NOT FOUND"))</f>
        <v/>
      </c>
      <c r="D1227" s="43" t="n">
        <v>720</v>
      </c>
      <c r="E1227" s="32">
        <f>IF(B1227="","",IFERROR(INDEX(Client_List!$C:$C,MATCH(VALUE(B1227),Client_List!$A:$A,0)),""))</f>
        <v/>
      </c>
      <c r="F1227" s="53">
        <f>IF(B1227="","",IFERROR(INDEX(Client_List!$D:$D,MATCH(VALUE(B1227),Client_List!$A:$A,0)),""))</f>
        <v/>
      </c>
      <c r="G1227" s="53">
        <f>IF(B1227="","",IFERROR(INDEX(Client_List!$K:$K,MATCH(VALUE(B1227),Client_List!$A:$A,0)),""))</f>
        <v/>
      </c>
      <c r="H1227" s="32">
        <f>IF(B1227="","",IFERROR(INDEX(Client_List!$J:$J,MATCH(VALUE(B1227),Client_List!$A:$A,0)),""))</f>
        <v/>
      </c>
      <c r="I1227" s="70">
        <f>IF(B1227="","",IFERROR(A1227-LOOKUP(2,1/($B$4:$B1226=B1227),$A$4:$A1226),""))</f>
        <v/>
      </c>
      <c r="J1227" s="32">
        <f>IF(B1227="","",IFERROR(D1227/I1227,""))</f>
        <v/>
      </c>
      <c r="K1227" s="71">
        <f>IF(B1227="","",IFERROR(AVERAGEIFS($J$4:$J1227,$B$4:$B1227,B1227,$J$4:$J1227,"&gt;"&amp;0),""))</f>
        <v/>
      </c>
      <c r="L1227" s="11" t="n"/>
    </row>
    <row r="1228" ht="14" customHeight="1" s="72">
      <c r="A1228" s="75" t="n">
        <v>46122</v>
      </c>
      <c r="B1228" s="76" t="n">
        <v>16004</v>
      </c>
      <c r="C1228" s="69">
        <f>IF(B1228="","",IFERROR(INDEX(Client_List!$B:$B,MATCH(B1228,Client_List!$A:$A,0)),"⚠ NOT FOUND"))</f>
        <v/>
      </c>
      <c r="D1228" s="43" t="n">
        <v>682</v>
      </c>
      <c r="E1228" s="32">
        <f>IF(B1228="","",IFERROR(INDEX(Client_List!$C:$C,MATCH(VALUE(B1228),Client_List!$A:$A,0)),""))</f>
        <v/>
      </c>
      <c r="F1228" s="53">
        <f>IF(B1228="","",IFERROR(INDEX(Client_List!$D:$D,MATCH(VALUE(B1228),Client_List!$A:$A,0)),""))</f>
        <v/>
      </c>
      <c r="G1228" s="53">
        <f>IF(B1228="","",IFERROR(INDEX(Client_List!$K:$K,MATCH(VALUE(B1228),Client_List!$A:$A,0)),""))</f>
        <v/>
      </c>
      <c r="H1228" s="32">
        <f>IF(B1228="","",IFERROR(INDEX(Client_List!$J:$J,MATCH(VALUE(B1228),Client_List!$A:$A,0)),""))</f>
        <v/>
      </c>
      <c r="I1228" s="70">
        <f>IF(B1228="","",IFERROR(A1228-LOOKUP(2,1/($B$4:$B1227=B1228),$A$4:$A1227),""))</f>
        <v/>
      </c>
      <c r="J1228" s="32">
        <f>IF(B1228="","",IFERROR(D1228/I1228,""))</f>
        <v/>
      </c>
      <c r="K1228" s="71">
        <f>IF(B1228="","",IFERROR(AVERAGEIFS($J$4:$J1228,$B$4:$B1228,B1228,$J$4:$J1228,"&gt;"&amp;0),""))</f>
        <v/>
      </c>
      <c r="L1228" s="12" t="n"/>
    </row>
    <row r="1229" ht="14" customHeight="1" s="72">
      <c r="A1229" s="75" t="n">
        <v>46122</v>
      </c>
      <c r="B1229" s="76" t="n">
        <v>16009</v>
      </c>
      <c r="C1229" s="69">
        <f>IF(B1229="","",IFERROR(INDEX(Client_List!$B:$B,MATCH(B1229,Client_List!$A:$A,0)),"⚠ NOT FOUND"))</f>
        <v/>
      </c>
      <c r="D1229" s="43" t="n">
        <v>1766</v>
      </c>
      <c r="E1229" s="32">
        <f>IF(B1229="","",IFERROR(INDEX(Client_List!$C:$C,MATCH(VALUE(B1229),Client_List!$A:$A,0)),""))</f>
        <v/>
      </c>
      <c r="F1229" s="53">
        <f>IF(B1229="","",IFERROR(INDEX(Client_List!$D:$D,MATCH(VALUE(B1229),Client_List!$A:$A,0)),""))</f>
        <v/>
      </c>
      <c r="G1229" s="53">
        <f>IF(B1229="","",IFERROR(INDEX(Client_List!$K:$K,MATCH(VALUE(B1229),Client_List!$A:$A,0)),""))</f>
        <v/>
      </c>
      <c r="H1229" s="32">
        <f>IF(B1229="","",IFERROR(INDEX(Client_List!$J:$J,MATCH(VALUE(B1229),Client_List!$A:$A,0)),""))</f>
        <v/>
      </c>
      <c r="I1229" s="70">
        <f>IF(B1229="","",IFERROR(A1229-LOOKUP(2,1/($B$4:$B1228=B1229),$A$4:$A1228),""))</f>
        <v/>
      </c>
      <c r="J1229" s="32">
        <f>IF(B1229="","",IFERROR(D1229/I1229,""))</f>
        <v/>
      </c>
      <c r="K1229" s="71">
        <f>IF(B1229="","",IFERROR(AVERAGEIFS($J$4:$J1229,$B$4:$B1229,B1229,$J$4:$J1229,"&gt;"&amp;0),""))</f>
        <v/>
      </c>
      <c r="L1229" s="11" t="n"/>
    </row>
    <row r="1230" ht="14" customHeight="1" s="72">
      <c r="A1230" s="75" t="n">
        <v>46122</v>
      </c>
      <c r="B1230" s="76" t="n">
        <v>16010</v>
      </c>
      <c r="C1230" s="69">
        <f>IF(B1230="","",IFERROR(INDEX(Client_List!$B:$B,MATCH(B1230,Client_List!$A:$A,0)),"⚠ NOT FOUND"))</f>
        <v/>
      </c>
      <c r="D1230" s="43" t="n">
        <v>1596</v>
      </c>
      <c r="E1230" s="32">
        <f>IF(B1230="","",IFERROR(INDEX(Client_List!$C:$C,MATCH(VALUE(B1230),Client_List!$A:$A,0)),""))</f>
        <v/>
      </c>
      <c r="F1230" s="53">
        <f>IF(B1230="","",IFERROR(INDEX(Client_List!$D:$D,MATCH(VALUE(B1230),Client_List!$A:$A,0)),""))</f>
        <v/>
      </c>
      <c r="G1230" s="53">
        <f>IF(B1230="","",IFERROR(INDEX(Client_List!$K:$K,MATCH(VALUE(B1230),Client_List!$A:$A,0)),""))</f>
        <v/>
      </c>
      <c r="H1230" s="32">
        <f>IF(B1230="","",IFERROR(INDEX(Client_List!$J:$J,MATCH(VALUE(B1230),Client_List!$A:$A,0)),""))</f>
        <v/>
      </c>
      <c r="I1230" s="70">
        <f>IF(B1230="","",IFERROR(A1230-LOOKUP(2,1/($B$4:$B1229=B1230),$A$4:$A1229),""))</f>
        <v/>
      </c>
      <c r="J1230" s="32">
        <f>IF(B1230="","",IFERROR(D1230/I1230,""))</f>
        <v/>
      </c>
      <c r="K1230" s="71">
        <f>IF(B1230="","",IFERROR(AVERAGEIFS($J$4:$J1230,$B$4:$B1230,B1230,$J$4:$J1230,"&gt;"&amp;0),""))</f>
        <v/>
      </c>
      <c r="L1230" s="12" t="n"/>
    </row>
    <row r="1231" ht="14" customHeight="1" s="72">
      <c r="A1231" s="75" t="n">
        <v>46122</v>
      </c>
      <c r="B1231" s="76" t="n">
        <v>18003</v>
      </c>
      <c r="C1231" s="69">
        <f>IF(B1231="","",IFERROR(INDEX(Client_List!$B:$B,MATCH(B1231,Client_List!$A:$A,0)),"⚠ NOT FOUND"))</f>
        <v/>
      </c>
      <c r="D1231" s="43" t="n">
        <v>241</v>
      </c>
      <c r="E1231" s="32">
        <f>IF(B1231="","",IFERROR(INDEX(Client_List!$C:$C,MATCH(VALUE(B1231),Client_List!$A:$A,0)),""))</f>
        <v/>
      </c>
      <c r="F1231" s="53">
        <f>IF(B1231="","",IFERROR(INDEX(Client_List!$D:$D,MATCH(VALUE(B1231),Client_List!$A:$A,0)),""))</f>
        <v/>
      </c>
      <c r="G1231" s="53">
        <f>IF(B1231="","",IFERROR(INDEX(Client_List!$K:$K,MATCH(VALUE(B1231),Client_List!$A:$A,0)),""))</f>
        <v/>
      </c>
      <c r="H1231" s="32">
        <f>IF(B1231="","",IFERROR(INDEX(Client_List!$J:$J,MATCH(VALUE(B1231),Client_List!$A:$A,0)),""))</f>
        <v/>
      </c>
      <c r="I1231" s="70">
        <f>IF(B1231="","",IFERROR(A1231-LOOKUP(2,1/($B$4:$B1230=B1231),$A$4:$A1230),""))</f>
        <v/>
      </c>
      <c r="J1231" s="32">
        <f>IF(B1231="","",IFERROR(D1231/I1231,""))</f>
        <v/>
      </c>
      <c r="K1231" s="71">
        <f>IF(B1231="","",IFERROR(AVERAGEIFS($J$4:$J1231,$B$4:$B1231,B1231,$J$4:$J1231,"&gt;"&amp;0),""))</f>
        <v/>
      </c>
      <c r="L1231" s="11" t="n"/>
    </row>
    <row r="1232" ht="14" customHeight="1" s="72">
      <c r="A1232" s="75" t="n">
        <v>46122</v>
      </c>
      <c r="B1232" s="76" t="n">
        <v>19039</v>
      </c>
      <c r="C1232" s="69">
        <f>IF(B1232="","",IFERROR(INDEX(Client_List!$B:$B,MATCH(B1232,Client_List!$A:$A,0)),"⚠ NOT FOUND"))</f>
        <v/>
      </c>
      <c r="D1232" s="43" t="n">
        <v>667</v>
      </c>
      <c r="E1232" s="32">
        <f>IF(B1232="","",IFERROR(INDEX(Client_List!$C:$C,MATCH(VALUE(B1232),Client_List!$A:$A,0)),""))</f>
        <v/>
      </c>
      <c r="F1232" s="53">
        <f>IF(B1232="","",IFERROR(INDEX(Client_List!$D:$D,MATCH(VALUE(B1232),Client_List!$A:$A,0)),""))</f>
        <v/>
      </c>
      <c r="G1232" s="53">
        <f>IF(B1232="","",IFERROR(INDEX(Client_List!$K:$K,MATCH(VALUE(B1232),Client_List!$A:$A,0)),""))</f>
        <v/>
      </c>
      <c r="H1232" s="32">
        <f>IF(B1232="","",IFERROR(INDEX(Client_List!$J:$J,MATCH(VALUE(B1232),Client_List!$A:$A,0)),""))</f>
        <v/>
      </c>
      <c r="I1232" s="70">
        <f>IF(B1232="","",IFERROR(A1232-LOOKUP(2,1/($B$4:$B1231=B1232),$A$4:$A1231),""))</f>
        <v/>
      </c>
      <c r="J1232" s="32">
        <f>IF(B1232="","",IFERROR(D1232/I1232,""))</f>
        <v/>
      </c>
      <c r="K1232" s="71">
        <f>IF(B1232="","",IFERROR(AVERAGEIFS($J$4:$J1232,$B$4:$B1232,B1232,$J$4:$J1232,"&gt;"&amp;0),""))</f>
        <v/>
      </c>
      <c r="L1232" s="12" t="n"/>
    </row>
    <row r="1233" ht="14" customHeight="1" s="72">
      <c r="A1233" s="75" t="n">
        <v>46122</v>
      </c>
      <c r="B1233" s="76" t="n">
        <v>19077</v>
      </c>
      <c r="C1233" s="69">
        <f>IF(B1233="","",IFERROR(INDEX(Client_List!$B:$B,MATCH(B1233,Client_List!$A:$A,0)),"⚠ NOT FOUND"))</f>
        <v/>
      </c>
      <c r="D1233" s="43" t="n">
        <v>797</v>
      </c>
      <c r="E1233" s="32">
        <f>IF(B1233="","",IFERROR(INDEX(Client_List!$C:$C,MATCH(VALUE(B1233),Client_List!$A:$A,0)),""))</f>
        <v/>
      </c>
      <c r="F1233" s="53">
        <f>IF(B1233="","",IFERROR(INDEX(Client_List!$D:$D,MATCH(VALUE(B1233),Client_List!$A:$A,0)),""))</f>
        <v/>
      </c>
      <c r="G1233" s="53">
        <f>IF(B1233="","",IFERROR(INDEX(Client_List!$K:$K,MATCH(VALUE(B1233),Client_List!$A:$A,0)),""))</f>
        <v/>
      </c>
      <c r="H1233" s="32">
        <f>IF(B1233="","",IFERROR(INDEX(Client_List!$J:$J,MATCH(VALUE(B1233),Client_List!$A:$A,0)),""))</f>
        <v/>
      </c>
      <c r="I1233" s="70">
        <f>IF(B1233="","",IFERROR(A1233-LOOKUP(2,1/($B$4:$B1232=B1233),$A$4:$A1232),""))</f>
        <v/>
      </c>
      <c r="J1233" s="32">
        <f>IF(B1233="","",IFERROR(D1233/I1233,""))</f>
        <v/>
      </c>
      <c r="K1233" s="71">
        <f>IF(B1233="","",IFERROR(AVERAGEIFS($J$4:$J1233,$B$4:$B1233,B1233,$J$4:$J1233,"&gt;"&amp;0),""))</f>
        <v/>
      </c>
      <c r="L1233" s="11" t="n"/>
    </row>
    <row r="1234" ht="14" customHeight="1" s="72">
      <c r="A1234" s="75" t="n">
        <v>46122</v>
      </c>
      <c r="B1234" s="76" t="n">
        <v>19089</v>
      </c>
      <c r="C1234" s="69">
        <f>IF(B1234="","",IFERROR(INDEX(Client_List!$B:$B,MATCH(B1234,Client_List!$A:$A,0)),"⚠ NOT FOUND"))</f>
        <v/>
      </c>
      <c r="D1234" s="43" t="n">
        <v>252</v>
      </c>
      <c r="E1234" s="32">
        <f>IF(B1234="","",IFERROR(INDEX(Client_List!$C:$C,MATCH(VALUE(B1234),Client_List!$A:$A,0)),""))</f>
        <v/>
      </c>
      <c r="F1234" s="53">
        <f>IF(B1234="","",IFERROR(INDEX(Client_List!$D:$D,MATCH(VALUE(B1234),Client_List!$A:$A,0)),""))</f>
        <v/>
      </c>
      <c r="G1234" s="53">
        <f>IF(B1234="","",IFERROR(INDEX(Client_List!$K:$K,MATCH(VALUE(B1234),Client_List!$A:$A,0)),""))</f>
        <v/>
      </c>
      <c r="H1234" s="32">
        <f>IF(B1234="","",IFERROR(INDEX(Client_List!$J:$J,MATCH(VALUE(B1234),Client_List!$A:$A,0)),""))</f>
        <v/>
      </c>
      <c r="I1234" s="70">
        <f>IF(B1234="","",IFERROR(A1234-LOOKUP(2,1/($B$4:$B1233=B1234),$A$4:$A1233),""))</f>
        <v/>
      </c>
      <c r="J1234" s="32">
        <f>IF(B1234="","",IFERROR(D1234/I1234,""))</f>
        <v/>
      </c>
      <c r="K1234" s="71">
        <f>IF(B1234="","",IFERROR(AVERAGEIFS($J$4:$J1234,$B$4:$B1234,B1234,$J$4:$J1234,"&gt;"&amp;0),""))</f>
        <v/>
      </c>
      <c r="L1234" s="12" t="n"/>
    </row>
    <row r="1235" ht="14" customHeight="1" s="72">
      <c r="A1235" s="75" t="n">
        <v>46122</v>
      </c>
      <c r="B1235" s="76" t="n">
        <v>19110</v>
      </c>
      <c r="C1235" s="69">
        <f>IF(B1235="","",IFERROR(INDEX(Client_List!$B:$B,MATCH(B1235,Client_List!$A:$A,0)),"⚠ NOT FOUND"))</f>
        <v/>
      </c>
      <c r="D1235" s="43" t="n">
        <v>1113</v>
      </c>
      <c r="E1235" s="32">
        <f>IF(B1235="","",IFERROR(INDEX(Client_List!$C:$C,MATCH(VALUE(B1235),Client_List!$A:$A,0)),""))</f>
        <v/>
      </c>
      <c r="F1235" s="53">
        <f>IF(B1235="","",IFERROR(INDEX(Client_List!$D:$D,MATCH(VALUE(B1235),Client_List!$A:$A,0)),""))</f>
        <v/>
      </c>
      <c r="G1235" s="53">
        <f>IF(B1235="","",IFERROR(INDEX(Client_List!$K:$K,MATCH(VALUE(B1235),Client_List!$A:$A,0)),""))</f>
        <v/>
      </c>
      <c r="H1235" s="32">
        <f>IF(B1235="","",IFERROR(INDEX(Client_List!$J:$J,MATCH(VALUE(B1235),Client_List!$A:$A,0)),""))</f>
        <v/>
      </c>
      <c r="I1235" s="70">
        <f>IF(B1235="","",IFERROR(A1235-LOOKUP(2,1/($B$4:$B1234=B1235),$A$4:$A1234),""))</f>
        <v/>
      </c>
      <c r="J1235" s="32">
        <f>IF(B1235="","",IFERROR(D1235/I1235,""))</f>
        <v/>
      </c>
      <c r="K1235" s="71">
        <f>IF(B1235="","",IFERROR(AVERAGEIFS($J$4:$J1235,$B$4:$B1235,B1235,$J$4:$J1235,"&gt;"&amp;0),""))</f>
        <v/>
      </c>
      <c r="L1235" s="11" t="n"/>
    </row>
    <row r="1236" ht="14" customHeight="1" s="72">
      <c r="A1236" s="75" t="n">
        <v>46122</v>
      </c>
      <c r="B1236" s="76" t="n">
        <v>20033</v>
      </c>
      <c r="C1236" s="69">
        <f>IF(B1236="","",IFERROR(INDEX(Client_List!$B:$B,MATCH(B1236,Client_List!$A:$A,0)),"⚠ NOT FOUND"))</f>
        <v/>
      </c>
      <c r="D1236" s="43" t="n">
        <v>969</v>
      </c>
      <c r="E1236" s="32">
        <f>IF(B1236="","",IFERROR(INDEX(Client_List!$C:$C,MATCH(VALUE(B1236),Client_List!$A:$A,0)),""))</f>
        <v/>
      </c>
      <c r="F1236" s="53">
        <f>IF(B1236="","",IFERROR(INDEX(Client_List!$D:$D,MATCH(VALUE(B1236),Client_List!$A:$A,0)),""))</f>
        <v/>
      </c>
      <c r="G1236" s="53">
        <f>IF(B1236="","",IFERROR(INDEX(Client_List!$K:$K,MATCH(VALUE(B1236),Client_List!$A:$A,0)),""))</f>
        <v/>
      </c>
      <c r="H1236" s="32">
        <f>IF(B1236="","",IFERROR(INDEX(Client_List!$J:$J,MATCH(VALUE(B1236),Client_List!$A:$A,0)),""))</f>
        <v/>
      </c>
      <c r="I1236" s="70">
        <f>IF(B1236="","",IFERROR(A1236-LOOKUP(2,1/($B$4:$B1235=B1236),$A$4:$A1235),""))</f>
        <v/>
      </c>
      <c r="J1236" s="32">
        <f>IF(B1236="","",IFERROR(D1236/I1236,""))</f>
        <v/>
      </c>
      <c r="K1236" s="71">
        <f>IF(B1236="","",IFERROR(AVERAGEIFS($J$4:$J1236,$B$4:$B1236,B1236,$J$4:$J1236,"&gt;"&amp;0),""))</f>
        <v/>
      </c>
      <c r="L1236" s="12" t="n"/>
    </row>
    <row r="1237" ht="14" customHeight="1" s="72">
      <c r="A1237" s="75" t="n">
        <v>46122</v>
      </c>
      <c r="B1237" s="76" t="n">
        <v>20077</v>
      </c>
      <c r="C1237" s="69">
        <f>IF(B1237="","",IFERROR(INDEX(Client_List!$B:$B,MATCH(B1237,Client_List!$A:$A,0)),"⚠ NOT FOUND"))</f>
        <v/>
      </c>
      <c r="D1237" s="43" t="n">
        <v>140</v>
      </c>
      <c r="E1237" s="32">
        <f>IF(B1237="","",IFERROR(INDEX(Client_List!$C:$C,MATCH(VALUE(B1237),Client_List!$A:$A,0)),""))</f>
        <v/>
      </c>
      <c r="F1237" s="53">
        <f>IF(B1237="","",IFERROR(INDEX(Client_List!$D:$D,MATCH(VALUE(B1237),Client_List!$A:$A,0)),""))</f>
        <v/>
      </c>
      <c r="G1237" s="53">
        <f>IF(B1237="","",IFERROR(INDEX(Client_List!$K:$K,MATCH(VALUE(B1237),Client_List!$A:$A,0)),""))</f>
        <v/>
      </c>
      <c r="H1237" s="32">
        <f>IF(B1237="","",IFERROR(INDEX(Client_List!$J:$J,MATCH(VALUE(B1237),Client_List!$A:$A,0)),""))</f>
        <v/>
      </c>
      <c r="I1237" s="70">
        <f>IF(B1237="","",IFERROR(A1237-LOOKUP(2,1/($B$4:$B1236=B1237),$A$4:$A1236),""))</f>
        <v/>
      </c>
      <c r="J1237" s="32">
        <f>IF(B1237="","",IFERROR(D1237/I1237,""))</f>
        <v/>
      </c>
      <c r="K1237" s="71">
        <f>IF(B1237="","",IFERROR(AVERAGEIFS($J$4:$J1237,$B$4:$B1237,B1237,$J$4:$J1237,"&gt;"&amp;0),""))</f>
        <v/>
      </c>
      <c r="L1237" s="11" t="n"/>
    </row>
    <row r="1238" ht="14" customHeight="1" s="72">
      <c r="A1238" s="75" t="n">
        <v>46123</v>
      </c>
      <c r="B1238" s="76" t="n">
        <v>2023</v>
      </c>
      <c r="C1238" s="69">
        <f>IF(B1238="","",IFERROR(INDEX(Client_List!$B:$B,MATCH(B1238,Client_List!$A:$A,0)),"⚠ NOT FOUND"))</f>
        <v/>
      </c>
      <c r="D1238" s="43" t="n">
        <v>509</v>
      </c>
      <c r="E1238" s="32">
        <f>IF(B1238="","",IFERROR(INDEX(Client_List!$C:$C,MATCH(VALUE(B1238),Client_List!$A:$A,0)),""))</f>
        <v/>
      </c>
      <c r="F1238" s="53">
        <f>IF(B1238="","",IFERROR(INDEX(Client_List!$D:$D,MATCH(VALUE(B1238),Client_List!$A:$A,0)),""))</f>
        <v/>
      </c>
      <c r="G1238" s="53">
        <f>IF(B1238="","",IFERROR(INDEX(Client_List!$K:$K,MATCH(VALUE(B1238),Client_List!$A:$A,0)),""))</f>
        <v/>
      </c>
      <c r="H1238" s="32">
        <f>IF(B1238="","",IFERROR(INDEX(Client_List!$J:$J,MATCH(VALUE(B1238),Client_List!$A:$A,0)),""))</f>
        <v/>
      </c>
      <c r="I1238" s="70">
        <f>IF(B1238="","",IFERROR(A1238-LOOKUP(2,1/($B$4:$B1237=B1238),$A$4:$A1237),""))</f>
        <v/>
      </c>
      <c r="J1238" s="32">
        <f>IF(B1238="","",IFERROR(D1238/I1238,""))</f>
        <v/>
      </c>
      <c r="K1238" s="71">
        <f>IF(B1238="","",IFERROR(AVERAGEIFS($J$4:$J1238,$B$4:$B1238,B1238,$J$4:$J1238,"&gt;"&amp;0),""))</f>
        <v/>
      </c>
      <c r="L1238" s="12" t="n"/>
    </row>
    <row r="1239" ht="14" customHeight="1" s="72">
      <c r="A1239" s="75" t="n">
        <v>46123</v>
      </c>
      <c r="B1239" s="76" t="n">
        <v>2073</v>
      </c>
      <c r="C1239" s="69">
        <f>IF(B1239="","",IFERROR(INDEX(Client_List!$B:$B,MATCH(B1239,Client_List!$A:$A,0)),"⚠ NOT FOUND"))</f>
        <v/>
      </c>
      <c r="D1239" s="43" t="n">
        <v>320</v>
      </c>
      <c r="E1239" s="32">
        <f>IF(B1239="","",IFERROR(INDEX(Client_List!$C:$C,MATCH(VALUE(B1239),Client_List!$A:$A,0)),""))</f>
        <v/>
      </c>
      <c r="F1239" s="53">
        <f>IF(B1239="","",IFERROR(INDEX(Client_List!$D:$D,MATCH(VALUE(B1239),Client_List!$A:$A,0)),""))</f>
        <v/>
      </c>
      <c r="G1239" s="53">
        <f>IF(B1239="","",IFERROR(INDEX(Client_List!$K:$K,MATCH(VALUE(B1239),Client_List!$A:$A,0)),""))</f>
        <v/>
      </c>
      <c r="H1239" s="32">
        <f>IF(B1239="","",IFERROR(INDEX(Client_List!$J:$J,MATCH(VALUE(B1239),Client_List!$A:$A,0)),""))</f>
        <v/>
      </c>
      <c r="I1239" s="70">
        <f>IF(B1239="","",IFERROR(A1239-LOOKUP(2,1/($B$4:$B1238=B1239),$A$4:$A1238),""))</f>
        <v/>
      </c>
      <c r="J1239" s="32">
        <f>IF(B1239="","",IFERROR(D1239/I1239,""))</f>
        <v/>
      </c>
      <c r="K1239" s="71">
        <f>IF(B1239="","",IFERROR(AVERAGEIFS($J$4:$J1239,$B$4:$B1239,B1239,$J$4:$J1239,"&gt;"&amp;0),""))</f>
        <v/>
      </c>
      <c r="L1239" s="11" t="n"/>
    </row>
    <row r="1240" ht="14" customHeight="1" s="72">
      <c r="A1240" s="75" t="n">
        <v>46123</v>
      </c>
      <c r="B1240" s="76" t="n">
        <v>8031</v>
      </c>
      <c r="C1240" s="69">
        <f>IF(B1240="","",IFERROR(INDEX(Client_List!$B:$B,MATCH(B1240,Client_List!$A:$A,0)),"⚠ NOT FOUND"))</f>
        <v/>
      </c>
      <c r="D1240" s="43" t="n">
        <v>918</v>
      </c>
      <c r="E1240" s="32">
        <f>IF(B1240="","",IFERROR(INDEX(Client_List!$C:$C,MATCH(VALUE(B1240),Client_List!$A:$A,0)),""))</f>
        <v/>
      </c>
      <c r="F1240" s="53">
        <f>IF(B1240="","",IFERROR(INDEX(Client_List!$D:$D,MATCH(VALUE(B1240),Client_List!$A:$A,0)),""))</f>
        <v/>
      </c>
      <c r="G1240" s="53">
        <f>IF(B1240="","",IFERROR(INDEX(Client_List!$K:$K,MATCH(VALUE(B1240),Client_List!$A:$A,0)),""))</f>
        <v/>
      </c>
      <c r="H1240" s="32">
        <f>IF(B1240="","",IFERROR(INDEX(Client_List!$J:$J,MATCH(VALUE(B1240),Client_List!$A:$A,0)),""))</f>
        <v/>
      </c>
      <c r="I1240" s="70">
        <f>IF(B1240="","",IFERROR(A1240-LOOKUP(2,1/($B$4:$B1239=B1240),$A$4:$A1239),""))</f>
        <v/>
      </c>
      <c r="J1240" s="32">
        <f>IF(B1240="","",IFERROR(D1240/I1240,""))</f>
        <v/>
      </c>
      <c r="K1240" s="71">
        <f>IF(B1240="","",IFERROR(AVERAGEIFS($J$4:$J1240,$B$4:$B1240,B1240,$J$4:$J1240,"&gt;"&amp;0),""))</f>
        <v/>
      </c>
      <c r="L1240" s="12" t="n"/>
    </row>
    <row r="1241" ht="14" customHeight="1" s="72">
      <c r="A1241" s="75" t="n">
        <v>46123</v>
      </c>
      <c r="B1241" s="76" t="n">
        <v>12050</v>
      </c>
      <c r="C1241" s="69">
        <f>IF(B1241="","",IFERROR(INDEX(Client_List!$B:$B,MATCH(B1241,Client_List!$A:$A,0)),"⚠ NOT FOUND"))</f>
        <v/>
      </c>
      <c r="D1241" s="43" t="n">
        <v>909</v>
      </c>
      <c r="E1241" s="32">
        <f>IF(B1241="","",IFERROR(INDEX(Client_List!$C:$C,MATCH(VALUE(B1241),Client_List!$A:$A,0)),""))</f>
        <v/>
      </c>
      <c r="F1241" s="53">
        <f>IF(B1241="","",IFERROR(INDEX(Client_List!$D:$D,MATCH(VALUE(B1241),Client_List!$A:$A,0)),""))</f>
        <v/>
      </c>
      <c r="G1241" s="53">
        <f>IF(B1241="","",IFERROR(INDEX(Client_List!$K:$K,MATCH(VALUE(B1241),Client_List!$A:$A,0)),""))</f>
        <v/>
      </c>
      <c r="H1241" s="32">
        <f>IF(B1241="","",IFERROR(INDEX(Client_List!$J:$J,MATCH(VALUE(B1241),Client_List!$A:$A,0)),""))</f>
        <v/>
      </c>
      <c r="I1241" s="70">
        <f>IF(B1241="","",IFERROR(A1241-LOOKUP(2,1/($B$4:$B1240=B1241),$A$4:$A1240),""))</f>
        <v/>
      </c>
      <c r="J1241" s="32">
        <f>IF(B1241="","",IFERROR(D1241/I1241,""))</f>
        <v/>
      </c>
      <c r="K1241" s="71">
        <f>IF(B1241="","",IFERROR(AVERAGEIFS($J$4:$J1241,$B$4:$B1241,B1241,$J$4:$J1241,"&gt;"&amp;0),""))</f>
        <v/>
      </c>
      <c r="L1241" s="11" t="n"/>
    </row>
    <row r="1242" ht="14" customHeight="1" s="72">
      <c r="A1242" s="75" t="n">
        <v>46123</v>
      </c>
      <c r="B1242" s="76" t="n">
        <v>13012</v>
      </c>
      <c r="C1242" s="69">
        <f>IF(B1242="","",IFERROR(INDEX(Client_List!$B:$B,MATCH(B1242,Client_List!$A:$A,0)),"⚠ NOT FOUND"))</f>
        <v/>
      </c>
      <c r="D1242" s="43" t="n">
        <v>617</v>
      </c>
      <c r="E1242" s="32">
        <f>IF(B1242="","",IFERROR(INDEX(Client_List!$C:$C,MATCH(VALUE(B1242),Client_List!$A:$A,0)),""))</f>
        <v/>
      </c>
      <c r="F1242" s="53">
        <f>IF(B1242="","",IFERROR(INDEX(Client_List!$D:$D,MATCH(VALUE(B1242),Client_List!$A:$A,0)),""))</f>
        <v/>
      </c>
      <c r="G1242" s="53">
        <f>IF(B1242="","",IFERROR(INDEX(Client_List!$K:$K,MATCH(VALUE(B1242),Client_List!$A:$A,0)),""))</f>
        <v/>
      </c>
      <c r="H1242" s="32">
        <f>IF(B1242="","",IFERROR(INDEX(Client_List!$J:$J,MATCH(VALUE(B1242),Client_List!$A:$A,0)),""))</f>
        <v/>
      </c>
      <c r="I1242" s="70">
        <f>IF(B1242="","",IFERROR(A1242-LOOKUP(2,1/($B$4:$B1241=B1242),$A$4:$A1241),""))</f>
        <v/>
      </c>
      <c r="J1242" s="32">
        <f>IF(B1242="","",IFERROR(D1242/I1242,""))</f>
        <v/>
      </c>
      <c r="K1242" s="71">
        <f>IF(B1242="","",IFERROR(AVERAGEIFS($J$4:$J1242,$B$4:$B1242,B1242,$J$4:$J1242,"&gt;"&amp;0),""))</f>
        <v/>
      </c>
      <c r="L1242" s="12" t="n"/>
    </row>
    <row r="1243" ht="14" customHeight="1" s="72">
      <c r="A1243" s="75" t="n">
        <v>46123</v>
      </c>
      <c r="B1243" s="76" t="n">
        <v>15021</v>
      </c>
      <c r="C1243" s="69">
        <f>IF(B1243="","",IFERROR(INDEX(Client_List!$B:$B,MATCH(B1243,Client_List!$A:$A,0)),"⚠ NOT FOUND"))</f>
        <v/>
      </c>
      <c r="D1243" s="43" t="n">
        <v>358</v>
      </c>
      <c r="E1243" s="32">
        <f>IF(B1243="","",IFERROR(INDEX(Client_List!$C:$C,MATCH(VALUE(B1243),Client_List!$A:$A,0)),""))</f>
        <v/>
      </c>
      <c r="F1243" s="53">
        <f>IF(B1243="","",IFERROR(INDEX(Client_List!$D:$D,MATCH(VALUE(B1243),Client_List!$A:$A,0)),""))</f>
        <v/>
      </c>
      <c r="G1243" s="53">
        <f>IF(B1243="","",IFERROR(INDEX(Client_List!$K:$K,MATCH(VALUE(B1243),Client_List!$A:$A,0)),""))</f>
        <v/>
      </c>
      <c r="H1243" s="32">
        <f>IF(B1243="","",IFERROR(INDEX(Client_List!$J:$J,MATCH(VALUE(B1243),Client_List!$A:$A,0)),""))</f>
        <v/>
      </c>
      <c r="I1243" s="70">
        <f>IF(B1243="","",IFERROR(A1243-LOOKUP(2,1/($B$4:$B1242=B1243),$A$4:$A1242),""))</f>
        <v/>
      </c>
      <c r="J1243" s="32">
        <f>IF(B1243="","",IFERROR(D1243/I1243,""))</f>
        <v/>
      </c>
      <c r="K1243" s="71">
        <f>IF(B1243="","",IFERROR(AVERAGEIFS($J$4:$J1243,$B$4:$B1243,B1243,$J$4:$J1243,"&gt;"&amp;0),""))</f>
        <v/>
      </c>
      <c r="L1243" s="12" t="n"/>
    </row>
    <row r="1244" ht="14" customHeight="1" s="72">
      <c r="A1244" s="75" t="n">
        <v>46123</v>
      </c>
      <c r="B1244" s="77" t="n">
        <v>15028</v>
      </c>
      <c r="C1244" s="69">
        <f>IF(B1244="","",IFERROR(INDEX(Client_List!$B:$B,MATCH(B1244,Client_List!$A:$A,0)),"⚠ NOT FOUND"))</f>
        <v/>
      </c>
      <c r="D1244" s="43" t="n">
        <v>614</v>
      </c>
      <c r="E1244" s="32">
        <f>IF(B1244="","",IFERROR(INDEX(Client_List!$C:$C,MATCH(VALUE(B1244),Client_List!$A:$A,0)),""))</f>
        <v/>
      </c>
      <c r="F1244" s="53">
        <f>IF(B1244="","",IFERROR(INDEX(Client_List!$D:$D,MATCH(VALUE(B1244),Client_List!$A:$A,0)),""))</f>
        <v/>
      </c>
      <c r="G1244" s="53">
        <f>IF(B1244="","",IFERROR(INDEX(Client_List!$K:$K,MATCH(VALUE(B1244),Client_List!$A:$A,0)),""))</f>
        <v/>
      </c>
      <c r="H1244" s="32">
        <f>IF(B1244="","",IFERROR(INDEX(Client_List!$J:$J,MATCH(VALUE(B1244),Client_List!$A:$A,0)),""))</f>
        <v/>
      </c>
      <c r="I1244" s="70">
        <f>IF(B1244="","",IFERROR(A1244-LOOKUP(2,1/($B$4:$B1243=B1244),$A$4:$A1243),""))</f>
        <v/>
      </c>
      <c r="J1244" s="32">
        <f>IF(B1244="","",IFERROR(D1244/I1244,""))</f>
        <v/>
      </c>
      <c r="K1244" s="71">
        <f>IF(B1244="","",IFERROR(AVERAGEIFS($J$4:$J1244,$B$4:$B1244,B1244,$J$4:$J1244,"&gt;"&amp;0),""))</f>
        <v/>
      </c>
      <c r="L1244" s="11" t="n"/>
    </row>
    <row r="1245" ht="14" customHeight="1" s="72">
      <c r="A1245" s="75" t="n">
        <v>46123</v>
      </c>
      <c r="B1245" s="77" t="n">
        <v>15033</v>
      </c>
      <c r="C1245" s="69">
        <f>IF(B1245="","",IFERROR(INDEX(Client_List!$B:$B,MATCH(B1245,Client_List!$A:$A,0)),"⚠ NOT FOUND"))</f>
        <v/>
      </c>
      <c r="D1245" s="43" t="n">
        <v>505</v>
      </c>
      <c r="E1245" s="32">
        <f>IF(B1245="","",IFERROR(INDEX(Client_List!$C:$C,MATCH(VALUE(B1245),Client_List!$A:$A,0)),""))</f>
        <v/>
      </c>
      <c r="F1245" s="53">
        <f>IF(B1245="","",IFERROR(INDEX(Client_List!$D:$D,MATCH(VALUE(B1245),Client_List!$A:$A,0)),""))</f>
        <v/>
      </c>
      <c r="G1245" s="53">
        <f>IF(B1245="","",IFERROR(INDEX(Client_List!$K:$K,MATCH(VALUE(B1245),Client_List!$A:$A,0)),""))</f>
        <v/>
      </c>
      <c r="H1245" s="32">
        <f>IF(B1245="","",IFERROR(INDEX(Client_List!$J:$J,MATCH(VALUE(B1245),Client_List!$A:$A,0)),""))</f>
        <v/>
      </c>
      <c r="I1245" s="70">
        <f>IF(B1245="","",IFERROR(A1245-LOOKUP(2,1/($B$4:$B1244=B1245),$A$4:$A1244),""))</f>
        <v/>
      </c>
      <c r="J1245" s="32">
        <f>IF(B1245="","",IFERROR(D1245/I1245,""))</f>
        <v/>
      </c>
      <c r="K1245" s="71">
        <f>IF(B1245="","",IFERROR(AVERAGEIFS($J$4:$J1245,$B$4:$B1245,B1245,$J$4:$J1245,"&gt;"&amp;0),""))</f>
        <v/>
      </c>
      <c r="L1245" s="12" t="n"/>
    </row>
    <row r="1246" ht="14" customHeight="1" s="72">
      <c r="A1246" s="75" t="n">
        <v>46123</v>
      </c>
      <c r="B1246" s="77" t="n">
        <v>16027</v>
      </c>
      <c r="C1246" s="69">
        <f>IF(B1246="","",IFERROR(INDEX(Client_List!$B:$B,MATCH(B1246,Client_List!$A:$A,0)),"⚠ NOT FOUND"))</f>
        <v/>
      </c>
      <c r="D1246" s="43" t="n">
        <v>582</v>
      </c>
      <c r="E1246" s="32">
        <f>IF(B1246="","",IFERROR(INDEX(Client_List!$C:$C,MATCH(VALUE(B1246),Client_List!$A:$A,0)),""))</f>
        <v/>
      </c>
      <c r="F1246" s="53">
        <f>IF(B1246="","",IFERROR(INDEX(Client_List!$D:$D,MATCH(VALUE(B1246),Client_List!$A:$A,0)),""))</f>
        <v/>
      </c>
      <c r="G1246" s="53">
        <f>IF(B1246="","",IFERROR(INDEX(Client_List!$K:$K,MATCH(VALUE(B1246),Client_List!$A:$A,0)),""))</f>
        <v/>
      </c>
      <c r="H1246" s="32">
        <f>IF(B1246="","",IFERROR(INDEX(Client_List!$J:$J,MATCH(VALUE(B1246),Client_List!$A:$A,0)),""))</f>
        <v/>
      </c>
      <c r="I1246" s="70">
        <f>IF(B1246="","",IFERROR(A1246-LOOKUP(2,1/($B$4:$B1245=B1246),$A$4:$A1245),""))</f>
        <v/>
      </c>
      <c r="J1246" s="32">
        <f>IF(B1246="","",IFERROR(D1246/I1246,""))</f>
        <v/>
      </c>
      <c r="K1246" s="71">
        <f>IF(B1246="","",IFERROR(AVERAGEIFS($J$4:$J1246,$B$4:$B1246,B1246,$J$4:$J1246,"&gt;"&amp;0),""))</f>
        <v/>
      </c>
      <c r="L1246" s="11" t="n"/>
    </row>
    <row r="1247" ht="14" customHeight="1" s="72">
      <c r="A1247" s="75" t="n">
        <v>46123</v>
      </c>
      <c r="B1247" s="77" t="n">
        <v>16051</v>
      </c>
      <c r="C1247" s="69">
        <f>IF(B1247="","",IFERROR(INDEX(Client_List!$B:$B,MATCH(B1247,Client_List!$A:$A,0)),"⚠ NOT FOUND"))</f>
        <v/>
      </c>
      <c r="D1247" s="43" t="n">
        <v>1583</v>
      </c>
      <c r="E1247" s="32">
        <f>IF(B1247="","",IFERROR(INDEX(Client_List!$C:$C,MATCH(VALUE(B1247),Client_List!$A:$A,0)),""))</f>
        <v/>
      </c>
      <c r="F1247" s="53">
        <f>IF(B1247="","",IFERROR(INDEX(Client_List!$D:$D,MATCH(VALUE(B1247),Client_List!$A:$A,0)),""))</f>
        <v/>
      </c>
      <c r="G1247" s="53">
        <f>IF(B1247="","",IFERROR(INDEX(Client_List!$K:$K,MATCH(VALUE(B1247),Client_List!$A:$A,0)),""))</f>
        <v/>
      </c>
      <c r="H1247" s="32">
        <f>IF(B1247="","",IFERROR(INDEX(Client_List!$J:$J,MATCH(VALUE(B1247),Client_List!$A:$A,0)),""))</f>
        <v/>
      </c>
      <c r="I1247" s="70">
        <f>IF(B1247="","",IFERROR(A1247-LOOKUP(2,1/($B$4:$B1246=B1247),$A$4:$A1246),""))</f>
        <v/>
      </c>
      <c r="J1247" s="32">
        <f>IF(B1247="","",IFERROR(D1247/I1247,""))</f>
        <v/>
      </c>
      <c r="K1247" s="71">
        <f>IF(B1247="","",IFERROR(AVERAGEIFS($J$4:$J1247,$B$4:$B1247,B1247,$J$4:$J1247,"&gt;"&amp;0),""))</f>
        <v/>
      </c>
      <c r="L1247" s="12" t="n"/>
    </row>
    <row r="1248" ht="14" customHeight="1" s="72">
      <c r="A1248" s="75" t="n">
        <v>46123</v>
      </c>
      <c r="B1248" s="77" t="n">
        <v>19022</v>
      </c>
      <c r="C1248" s="69">
        <f>IF(B1248="","",IFERROR(INDEX(Client_List!$B:$B,MATCH(B1248,Client_List!$A:$A,0)),"⚠ NOT FOUND"))</f>
        <v/>
      </c>
      <c r="D1248" s="43" t="n">
        <v>1020</v>
      </c>
      <c r="E1248" s="32">
        <f>IF(B1248="","",IFERROR(INDEX(Client_List!$C:$C,MATCH(VALUE(B1248),Client_List!$A:$A,0)),""))</f>
        <v/>
      </c>
      <c r="F1248" s="53">
        <f>IF(B1248="","",IFERROR(INDEX(Client_List!$D:$D,MATCH(VALUE(B1248),Client_List!$A:$A,0)),""))</f>
        <v/>
      </c>
      <c r="G1248" s="53">
        <f>IF(B1248="","",IFERROR(INDEX(Client_List!$K:$K,MATCH(VALUE(B1248),Client_List!$A:$A,0)),""))</f>
        <v/>
      </c>
      <c r="H1248" s="32">
        <f>IF(B1248="","",IFERROR(INDEX(Client_List!$J:$J,MATCH(VALUE(B1248),Client_List!$A:$A,0)),""))</f>
        <v/>
      </c>
      <c r="I1248" s="70">
        <f>IF(B1248="","",IFERROR(A1248-LOOKUP(2,1/($B$4:$B1247=B1248),$A$4:$A1247),""))</f>
        <v/>
      </c>
      <c r="J1248" s="32">
        <f>IF(B1248="","",IFERROR(D1248/I1248,""))</f>
        <v/>
      </c>
      <c r="K1248" s="71">
        <f>IF(B1248="","",IFERROR(AVERAGEIFS($J$4:$J1248,$B$4:$B1248,B1248,$J$4:$J1248,"&gt;"&amp;0),""))</f>
        <v/>
      </c>
      <c r="L1248" s="11" t="n"/>
    </row>
    <row r="1249" ht="14" customHeight="1" s="72">
      <c r="A1249" s="75" t="n">
        <v>46123</v>
      </c>
      <c r="B1249" s="77" t="n">
        <v>20092</v>
      </c>
      <c r="C1249" s="69">
        <f>IF(B1249="","",IFERROR(INDEX(Client_List!$B:$B,MATCH(B1249,Client_List!$A:$A,0)),"⚠ NOT FOUND"))</f>
        <v/>
      </c>
      <c r="D1249" s="43" t="n">
        <v>931</v>
      </c>
      <c r="E1249" s="32">
        <f>IF(B1249="","",IFERROR(INDEX(Client_List!$C:$C,MATCH(VALUE(B1249),Client_List!$A:$A,0)),""))</f>
        <v/>
      </c>
      <c r="F1249" s="53">
        <f>IF(B1249="","",IFERROR(INDEX(Client_List!$D:$D,MATCH(VALUE(B1249),Client_List!$A:$A,0)),""))</f>
        <v/>
      </c>
      <c r="G1249" s="53">
        <f>IF(B1249="","",IFERROR(INDEX(Client_List!$K:$K,MATCH(VALUE(B1249),Client_List!$A:$A,0)),""))</f>
        <v/>
      </c>
      <c r="H1249" s="32">
        <f>IF(B1249="","",IFERROR(INDEX(Client_List!$J:$J,MATCH(VALUE(B1249),Client_List!$A:$A,0)),""))</f>
        <v/>
      </c>
      <c r="I1249" s="70">
        <f>IF(B1249="","",IFERROR(A1249-LOOKUP(2,1/($B$4:$B1248=B1249),$A$4:$A1248),""))</f>
        <v/>
      </c>
      <c r="J1249" s="32">
        <f>IF(B1249="","",IFERROR(D1249/I1249,""))</f>
        <v/>
      </c>
      <c r="K1249" s="71">
        <f>IF(B1249="","",IFERROR(AVERAGEIFS($J$4:$J1249,$B$4:$B1249,B1249,$J$4:$J1249,"&gt;"&amp;0),""))</f>
        <v/>
      </c>
      <c r="L1249" s="12" t="n"/>
    </row>
    <row r="1250" ht="14" customHeight="1" s="72">
      <c r="A1250" s="75" t="n">
        <v>46123</v>
      </c>
      <c r="B1250" s="77" t="n">
        <v>20093</v>
      </c>
      <c r="C1250" s="69">
        <f>IF(B1250="","",IFERROR(INDEX(Client_List!$B:$B,MATCH(B1250,Client_List!$A:$A,0)),"⚠ NOT FOUND"))</f>
        <v/>
      </c>
      <c r="D1250" s="43" t="n">
        <v>797</v>
      </c>
      <c r="E1250" s="32">
        <f>IF(B1250="","",IFERROR(INDEX(Client_List!$C:$C,MATCH(VALUE(B1250),Client_List!$A:$A,0)),""))</f>
        <v/>
      </c>
      <c r="F1250" s="53">
        <f>IF(B1250="","",IFERROR(INDEX(Client_List!$D:$D,MATCH(VALUE(B1250),Client_List!$A:$A,0)),""))</f>
        <v/>
      </c>
      <c r="G1250" s="53">
        <f>IF(B1250="","",IFERROR(INDEX(Client_List!$K:$K,MATCH(VALUE(B1250),Client_List!$A:$A,0)),""))</f>
        <v/>
      </c>
      <c r="H1250" s="32">
        <f>IF(B1250="","",IFERROR(INDEX(Client_List!$J:$J,MATCH(VALUE(B1250),Client_List!$A:$A,0)),""))</f>
        <v/>
      </c>
      <c r="I1250" s="70">
        <f>IF(B1250="","",IFERROR(A1250-LOOKUP(2,1/($B$4:$B1249=B1250),$A$4:$A1249),""))</f>
        <v/>
      </c>
      <c r="J1250" s="32">
        <f>IF(B1250="","",IFERROR(D1250/I1250,""))</f>
        <v/>
      </c>
      <c r="K1250" s="71">
        <f>IF(B1250="","",IFERROR(AVERAGEIFS($J$4:$J1250,$B$4:$B1250,B1250,$J$4:$J1250,"&gt;"&amp;0),""))</f>
        <v/>
      </c>
      <c r="L1250" s="11" t="n"/>
    </row>
    <row r="1251" ht="14" customHeight="1" s="72">
      <c r="A1251" s="75" t="n">
        <v>46125</v>
      </c>
      <c r="B1251" s="77" t="n">
        <v>20013</v>
      </c>
      <c r="C1251" s="69">
        <f>IF(B1251="","",IFERROR(INDEX(Client_List!$B:$B,MATCH(B1251,Client_List!$A:$A,0)),"⚠ NOT FOUND"))</f>
        <v/>
      </c>
      <c r="D1251" s="43" t="n">
        <v>878</v>
      </c>
      <c r="E1251" s="32">
        <f>IF(B1251="","",IFERROR(INDEX(Client_List!$C:$C,MATCH(VALUE(B1251),Client_List!$A:$A,0)),""))</f>
        <v/>
      </c>
      <c r="F1251" s="53">
        <f>IF(B1251="","",IFERROR(INDEX(Client_List!$D:$D,MATCH(VALUE(B1251),Client_List!$A:$A,0)),""))</f>
        <v/>
      </c>
      <c r="G1251" s="53">
        <f>IF(B1251="","",IFERROR(INDEX(Client_List!$K:$K,MATCH(VALUE(B1251),Client_List!$A:$A,0)),""))</f>
        <v/>
      </c>
      <c r="H1251" s="32">
        <f>IF(B1251="","",IFERROR(INDEX(Client_List!$J:$J,MATCH(VALUE(B1251),Client_List!$A:$A,0)),""))</f>
        <v/>
      </c>
      <c r="I1251" s="70">
        <f>IF(B1251="","",IFERROR(A1251-LOOKUP(2,1/($B$4:$B1250=B1251),$A$4:$A1250),""))</f>
        <v/>
      </c>
      <c r="J1251" s="32">
        <f>IF(B1251="","",IFERROR(D1251/I1251,""))</f>
        <v/>
      </c>
      <c r="K1251" s="71">
        <f>IF(B1251="","",IFERROR(AVERAGEIFS($J$4:$J1251,$B$4:$B1251,B1251,$J$4:$J1251,"&gt;"&amp;0),""))</f>
        <v/>
      </c>
      <c r="L1251" s="12" t="n"/>
    </row>
    <row r="1252" ht="14" customHeight="1" s="72">
      <c r="A1252" s="75" t="n">
        <v>46126</v>
      </c>
      <c r="B1252" s="77" t="n">
        <v>1083</v>
      </c>
      <c r="C1252" s="69">
        <f>IF(B1252="","",IFERROR(INDEX(Client_List!$B:$B,MATCH(B1252,Client_List!$A:$A,0)),"⚠ NOT FOUND"))</f>
        <v/>
      </c>
      <c r="D1252" s="43" t="n">
        <v>270</v>
      </c>
      <c r="E1252" s="32">
        <f>IF(B1252="","",IFERROR(INDEX(Client_List!$C:$C,MATCH(VALUE(B1252),Client_List!$A:$A,0)),""))</f>
        <v/>
      </c>
      <c r="F1252" s="53">
        <f>IF(B1252="","",IFERROR(INDEX(Client_List!$D:$D,MATCH(VALUE(B1252),Client_List!$A:$A,0)),""))</f>
        <v/>
      </c>
      <c r="G1252" s="53">
        <f>IF(B1252="","",IFERROR(INDEX(Client_List!$K:$K,MATCH(VALUE(B1252),Client_List!$A:$A,0)),""))</f>
        <v/>
      </c>
      <c r="H1252" s="32">
        <f>IF(B1252="","",IFERROR(INDEX(Client_List!$J:$J,MATCH(VALUE(B1252),Client_List!$A:$A,0)),""))</f>
        <v/>
      </c>
      <c r="I1252" s="70">
        <f>IF(B1252="","",IFERROR(A1252-LOOKUP(2,1/($B$4:$B1251=B1252),$A$4:$A1251),""))</f>
        <v/>
      </c>
      <c r="J1252" s="32">
        <f>IF(B1252="","",IFERROR(D1252/I1252,""))</f>
        <v/>
      </c>
      <c r="K1252" s="71">
        <f>IF(B1252="","",IFERROR(AVERAGEIFS($J$4:$J1252,$B$4:$B1252,B1252,$J$4:$J1252,"&gt;"&amp;0),""))</f>
        <v/>
      </c>
      <c r="L1252" s="11" t="n"/>
    </row>
    <row r="1253" ht="14" customHeight="1" s="72">
      <c r="A1253" s="75" t="n">
        <v>46126</v>
      </c>
      <c r="B1253" s="77" t="n">
        <v>2016</v>
      </c>
      <c r="C1253" s="69">
        <f>IF(B1253="","",IFERROR(INDEX(Client_List!$B:$B,MATCH(B1253,Client_List!$A:$A,0)),"⚠ NOT FOUND"))</f>
        <v/>
      </c>
      <c r="D1253" s="43" t="n">
        <v>570</v>
      </c>
      <c r="E1253" s="32">
        <f>IF(B1253="","",IFERROR(INDEX(Client_List!$C:$C,MATCH(VALUE(B1253),Client_List!$A:$A,0)),""))</f>
        <v/>
      </c>
      <c r="F1253" s="53">
        <f>IF(B1253="","",IFERROR(INDEX(Client_List!$D:$D,MATCH(VALUE(B1253),Client_List!$A:$A,0)),""))</f>
        <v/>
      </c>
      <c r="G1253" s="53">
        <f>IF(B1253="","",IFERROR(INDEX(Client_List!$K:$K,MATCH(VALUE(B1253),Client_List!$A:$A,0)),""))</f>
        <v/>
      </c>
      <c r="H1253" s="32">
        <f>IF(B1253="","",IFERROR(INDEX(Client_List!$J:$J,MATCH(VALUE(B1253),Client_List!$A:$A,0)),""))</f>
        <v/>
      </c>
      <c r="I1253" s="70">
        <f>IF(B1253="","",IFERROR(A1253-LOOKUP(2,1/($B$4:$B1252=B1253),$A$4:$A1252),""))</f>
        <v/>
      </c>
      <c r="J1253" s="32">
        <f>IF(B1253="","",IFERROR(D1253/I1253,""))</f>
        <v/>
      </c>
      <c r="K1253" s="71">
        <f>IF(B1253="","",IFERROR(AVERAGEIFS($J$4:$J1253,$B$4:$B1253,B1253,$J$4:$J1253,"&gt;"&amp;0),""))</f>
        <v/>
      </c>
      <c r="L1253" s="12" t="n"/>
    </row>
    <row r="1254" ht="14" customHeight="1" s="72">
      <c r="A1254" s="75" t="n">
        <v>46126</v>
      </c>
      <c r="B1254" s="77" t="n">
        <v>2045</v>
      </c>
      <c r="C1254" s="69">
        <f>IF(B1254="","",IFERROR(INDEX(Client_List!$B:$B,MATCH(B1254,Client_List!$A:$A,0)),"⚠ NOT FOUND"))</f>
        <v/>
      </c>
      <c r="D1254" s="43" t="n">
        <v>270</v>
      </c>
      <c r="E1254" s="32">
        <f>IF(B1254="","",IFERROR(INDEX(Client_List!$C:$C,MATCH(VALUE(B1254),Client_List!$A:$A,0)),""))</f>
        <v/>
      </c>
      <c r="F1254" s="53">
        <f>IF(B1254="","",IFERROR(INDEX(Client_List!$D:$D,MATCH(VALUE(B1254),Client_List!$A:$A,0)),""))</f>
        <v/>
      </c>
      <c r="G1254" s="53">
        <f>IF(B1254="","",IFERROR(INDEX(Client_List!$K:$K,MATCH(VALUE(B1254),Client_List!$A:$A,0)),""))</f>
        <v/>
      </c>
      <c r="H1254" s="32">
        <f>IF(B1254="","",IFERROR(INDEX(Client_List!$J:$J,MATCH(VALUE(B1254),Client_List!$A:$A,0)),""))</f>
        <v/>
      </c>
      <c r="I1254" s="70">
        <f>IF(B1254="","",IFERROR(A1254-LOOKUP(2,1/($B$4:$B1253=B1254),$A$4:$A1253),""))</f>
        <v/>
      </c>
      <c r="J1254" s="32">
        <f>IF(B1254="","",IFERROR(D1254/I1254,""))</f>
        <v/>
      </c>
      <c r="K1254" s="71">
        <f>IF(B1254="","",IFERROR(AVERAGEIFS($J$4:$J1254,$B$4:$B1254,B1254,$J$4:$J1254,"&gt;"&amp;0),""))</f>
        <v/>
      </c>
      <c r="L1254" s="11" t="n"/>
    </row>
    <row r="1255" ht="14" customHeight="1" s="72">
      <c r="A1255" s="75" t="n">
        <v>46126</v>
      </c>
      <c r="B1255" s="77" t="n">
        <v>4014</v>
      </c>
      <c r="C1255" s="69">
        <f>IF(B1255="","",IFERROR(INDEX(Client_List!$B:$B,MATCH(B1255,Client_List!$A:$A,0)),"⚠ NOT FOUND"))</f>
        <v/>
      </c>
      <c r="D1255" s="43" t="n">
        <v>483</v>
      </c>
      <c r="E1255" s="32">
        <f>IF(B1255="","",IFERROR(INDEX(Client_List!$C:$C,MATCH(VALUE(B1255),Client_List!$A:$A,0)),""))</f>
        <v/>
      </c>
      <c r="F1255" s="53">
        <f>IF(B1255="","",IFERROR(INDEX(Client_List!$D:$D,MATCH(VALUE(B1255),Client_List!$A:$A,0)),""))</f>
        <v/>
      </c>
      <c r="G1255" s="53">
        <f>IF(B1255="","",IFERROR(INDEX(Client_List!$K:$K,MATCH(VALUE(B1255),Client_List!$A:$A,0)),""))</f>
        <v/>
      </c>
      <c r="H1255" s="32">
        <f>IF(B1255="","",IFERROR(INDEX(Client_List!$J:$J,MATCH(VALUE(B1255),Client_List!$A:$A,0)),""))</f>
        <v/>
      </c>
      <c r="I1255" s="70">
        <f>IF(B1255="","",IFERROR(A1255-LOOKUP(2,1/($B$4:$B1254=B1255),$A$4:$A1254),""))</f>
        <v/>
      </c>
      <c r="J1255" s="32">
        <f>IF(B1255="","",IFERROR(D1255/I1255,""))</f>
        <v/>
      </c>
      <c r="K1255" s="71">
        <f>IF(B1255="","",IFERROR(AVERAGEIFS($J$4:$J1255,$B$4:$B1255,B1255,$J$4:$J1255,"&gt;"&amp;0),""))</f>
        <v/>
      </c>
      <c r="L1255" s="12" t="n"/>
    </row>
    <row r="1256" ht="14" customHeight="1" s="72">
      <c r="A1256" s="75" t="n">
        <v>46126</v>
      </c>
      <c r="B1256" s="77" t="inlineStr">
        <is>
          <t>4015A</t>
        </is>
      </c>
      <c r="C1256" s="69">
        <f>IF(B1256="","",IFERROR(INDEX(Client_List!$B:$B,MATCH(B1256,Client_List!$A:$A,0)),"⚠ NOT FOUND"))</f>
        <v/>
      </c>
      <c r="D1256" s="43" t="n">
        <v>498</v>
      </c>
      <c r="E1256" s="32">
        <f>IF(B1256="","",IFERROR(INDEX(Client_List!$C:$C,MATCH(VALUE(B1256),Client_List!$A:$A,0)),""))</f>
        <v/>
      </c>
      <c r="F1256" s="53">
        <f>IF(B1256="","",IFERROR(INDEX(Client_List!$D:$D,MATCH(VALUE(B1256),Client_List!$A:$A,0)),""))</f>
        <v/>
      </c>
      <c r="G1256" s="53">
        <f>IF(B1256="","",IFERROR(INDEX(Client_List!$K:$K,MATCH(VALUE(B1256),Client_List!$A:$A,0)),""))</f>
        <v/>
      </c>
      <c r="H1256" s="32">
        <f>IF(B1256="","",IFERROR(INDEX(Client_List!$J:$J,MATCH(VALUE(B1256),Client_List!$A:$A,0)),""))</f>
        <v/>
      </c>
      <c r="I1256" s="70">
        <f>IF(B1256="","",IFERROR(A1256-LOOKUP(2,1/($B$4:$B1255=B1256),$A$4:$A1255),""))</f>
        <v/>
      </c>
      <c r="J1256" s="32">
        <f>IF(B1256="","",IFERROR(D1256/I1256,""))</f>
        <v/>
      </c>
      <c r="K1256" s="71">
        <f>IF(B1256="","",IFERROR(AVERAGEIFS($J$4:$J1256,$B$4:$B1256,B1256,$J$4:$J1256,"&gt;"&amp;0),""))</f>
        <v/>
      </c>
      <c r="L1256" s="11" t="n"/>
    </row>
    <row r="1257" ht="14" customHeight="1" s="72">
      <c r="A1257" s="75" t="n">
        <v>46126</v>
      </c>
      <c r="B1257" s="77" t="n">
        <v>6109</v>
      </c>
      <c r="C1257" s="69">
        <f>IF(B1257="","",IFERROR(INDEX(Client_List!$B:$B,MATCH(B1257,Client_List!$A:$A,0)),"⚠ NOT FOUND"))</f>
        <v/>
      </c>
      <c r="D1257" s="43" t="n">
        <v>513</v>
      </c>
      <c r="E1257" s="32">
        <f>IF(B1257="","",IFERROR(INDEX(Client_List!$C:$C,MATCH(VALUE(B1257),Client_List!$A:$A,0)),""))</f>
        <v/>
      </c>
      <c r="F1257" s="53">
        <f>IF(B1257="","",IFERROR(INDEX(Client_List!$D:$D,MATCH(VALUE(B1257),Client_List!$A:$A,0)),""))</f>
        <v/>
      </c>
      <c r="G1257" s="53">
        <f>IF(B1257="","",IFERROR(INDEX(Client_List!$K:$K,MATCH(VALUE(B1257),Client_List!$A:$A,0)),""))</f>
        <v/>
      </c>
      <c r="H1257" s="32">
        <f>IF(B1257="","",IFERROR(INDEX(Client_List!$J:$J,MATCH(VALUE(B1257),Client_List!$A:$A,0)),""))</f>
        <v/>
      </c>
      <c r="I1257" s="70">
        <f>IF(B1257="","",IFERROR(A1257-LOOKUP(2,1/($B$4:$B1256=B1257),$A$4:$A1256),""))</f>
        <v/>
      </c>
      <c r="J1257" s="32">
        <f>IF(B1257="","",IFERROR(D1257/I1257,""))</f>
        <v/>
      </c>
      <c r="K1257" s="71">
        <f>IF(B1257="","",IFERROR(AVERAGEIFS($J$4:$J1257,$B$4:$B1257,B1257,$J$4:$J1257,"&gt;"&amp;0),""))</f>
        <v/>
      </c>
      <c r="L1257" s="12" t="n"/>
    </row>
    <row r="1258" ht="14" customHeight="1" s="72">
      <c r="A1258" s="75" t="n">
        <v>46126</v>
      </c>
      <c r="B1258" s="77" t="n">
        <v>7002</v>
      </c>
      <c r="C1258" s="69">
        <f>IF(B1258="","",IFERROR(INDEX(Client_List!$B:$B,MATCH(B1258,Client_List!$A:$A,0)),"⚠ NOT FOUND"))</f>
        <v/>
      </c>
      <c r="D1258" s="43" t="n">
        <v>486</v>
      </c>
      <c r="E1258" s="32">
        <f>IF(B1258="","",IFERROR(INDEX(Client_List!$C:$C,MATCH(VALUE(B1258),Client_List!$A:$A,0)),""))</f>
        <v/>
      </c>
      <c r="F1258" s="53">
        <f>IF(B1258="","",IFERROR(INDEX(Client_List!$D:$D,MATCH(VALUE(B1258),Client_List!$A:$A,0)),""))</f>
        <v/>
      </c>
      <c r="G1258" s="53">
        <f>IF(B1258="","",IFERROR(INDEX(Client_List!$K:$K,MATCH(VALUE(B1258),Client_List!$A:$A,0)),""))</f>
        <v/>
      </c>
      <c r="H1258" s="32">
        <f>IF(B1258="","",IFERROR(INDEX(Client_List!$J:$J,MATCH(VALUE(B1258),Client_List!$A:$A,0)),""))</f>
        <v/>
      </c>
      <c r="I1258" s="70">
        <f>IF(B1258="","",IFERROR(A1258-LOOKUP(2,1/($B$4:$B1257=B1258),$A$4:$A1257),""))</f>
        <v/>
      </c>
      <c r="J1258" s="32">
        <f>IF(B1258="","",IFERROR(D1258/I1258,""))</f>
        <v/>
      </c>
      <c r="K1258" s="71">
        <f>IF(B1258="","",IFERROR(AVERAGEIFS($J$4:$J1258,$B$4:$B1258,B1258,$J$4:$J1258,"&gt;"&amp;0),""))</f>
        <v/>
      </c>
      <c r="L1258" s="11" t="n"/>
    </row>
    <row r="1259" ht="14" customHeight="1" s="72">
      <c r="A1259" s="75" t="n">
        <v>46126</v>
      </c>
      <c r="B1259" s="77" t="n">
        <v>7052</v>
      </c>
      <c r="C1259" s="69">
        <f>IF(B1259="","",IFERROR(INDEX(Client_List!$B:$B,MATCH(B1259,Client_List!$A:$A,0)),"⚠ NOT FOUND"))</f>
        <v/>
      </c>
      <c r="D1259" s="43" t="n">
        <v>303</v>
      </c>
      <c r="E1259" s="32">
        <f>IF(B1259="","",IFERROR(INDEX(Client_List!$C:$C,MATCH(VALUE(B1259),Client_List!$A:$A,0)),""))</f>
        <v/>
      </c>
      <c r="F1259" s="53">
        <f>IF(B1259="","",IFERROR(INDEX(Client_List!$D:$D,MATCH(VALUE(B1259),Client_List!$A:$A,0)),""))</f>
        <v/>
      </c>
      <c r="G1259" s="53">
        <f>IF(B1259="","",IFERROR(INDEX(Client_List!$K:$K,MATCH(VALUE(B1259),Client_List!$A:$A,0)),""))</f>
        <v/>
      </c>
      <c r="H1259" s="32">
        <f>IF(B1259="","",IFERROR(INDEX(Client_List!$J:$J,MATCH(VALUE(B1259),Client_List!$A:$A,0)),""))</f>
        <v/>
      </c>
      <c r="I1259" s="70">
        <f>IF(B1259="","",IFERROR(A1259-LOOKUP(2,1/($B$4:$B1258=B1259),$A$4:$A1258),""))</f>
        <v/>
      </c>
      <c r="J1259" s="32">
        <f>IF(B1259="","",IFERROR(D1259/I1259,""))</f>
        <v/>
      </c>
      <c r="K1259" s="71">
        <f>IF(B1259="","",IFERROR(AVERAGEIFS($J$4:$J1259,$B$4:$B1259,B1259,$J$4:$J1259,"&gt;"&amp;0),""))</f>
        <v/>
      </c>
      <c r="L1259" s="12" t="n"/>
    </row>
    <row r="1260" ht="14" customHeight="1" s="72">
      <c r="A1260" s="75" t="n">
        <v>46126</v>
      </c>
      <c r="B1260" s="77" t="n">
        <v>7053</v>
      </c>
      <c r="C1260" s="69">
        <f>IF(B1260="","",IFERROR(INDEX(Client_List!$B:$B,MATCH(B1260,Client_List!$A:$A,0)),"⚠ NOT FOUND"))</f>
        <v/>
      </c>
      <c r="D1260" s="43" t="n">
        <v>364</v>
      </c>
      <c r="E1260" s="32">
        <f>IF(B1260="","",IFERROR(INDEX(Client_List!$C:$C,MATCH(VALUE(B1260),Client_List!$A:$A,0)),""))</f>
        <v/>
      </c>
      <c r="F1260" s="53">
        <f>IF(B1260="","",IFERROR(INDEX(Client_List!$D:$D,MATCH(VALUE(B1260),Client_List!$A:$A,0)),""))</f>
        <v/>
      </c>
      <c r="G1260" s="53">
        <f>IF(B1260="","",IFERROR(INDEX(Client_List!$K:$K,MATCH(VALUE(B1260),Client_List!$A:$A,0)),""))</f>
        <v/>
      </c>
      <c r="H1260" s="32">
        <f>IF(B1260="","",IFERROR(INDEX(Client_List!$J:$J,MATCH(VALUE(B1260),Client_List!$A:$A,0)),""))</f>
        <v/>
      </c>
      <c r="I1260" s="70">
        <f>IF(B1260="","",IFERROR(A1260-LOOKUP(2,1/($B$4:$B1259=B1260),$A$4:$A1259),""))</f>
        <v/>
      </c>
      <c r="J1260" s="32">
        <f>IF(B1260="","",IFERROR(D1260/I1260,""))</f>
        <v/>
      </c>
      <c r="K1260" s="71">
        <f>IF(B1260="","",IFERROR(AVERAGEIFS($J$4:$J1260,$B$4:$B1260,B1260,$J$4:$J1260,"&gt;"&amp;0),""))</f>
        <v/>
      </c>
      <c r="L1260" s="11" t="n"/>
    </row>
    <row r="1261" ht="14" customHeight="1" s="72">
      <c r="A1261" s="75" t="n">
        <v>46126</v>
      </c>
      <c r="B1261" s="77" t="n">
        <v>12047</v>
      </c>
      <c r="C1261" s="69">
        <f>IF(B1261="","",IFERROR(INDEX(Client_List!$B:$B,MATCH(B1261,Client_List!$A:$A,0)),"⚠ NOT FOUND"))</f>
        <v/>
      </c>
      <c r="D1261" s="43" t="n">
        <v>522</v>
      </c>
      <c r="E1261" s="32">
        <f>IF(B1261="","",IFERROR(INDEX(Client_List!$C:$C,MATCH(VALUE(B1261),Client_List!$A:$A,0)),""))</f>
        <v/>
      </c>
      <c r="F1261" s="53">
        <f>IF(B1261="","",IFERROR(INDEX(Client_List!$D:$D,MATCH(VALUE(B1261),Client_List!$A:$A,0)),""))</f>
        <v/>
      </c>
      <c r="G1261" s="53">
        <f>IF(B1261="","",IFERROR(INDEX(Client_List!$K:$K,MATCH(VALUE(B1261),Client_List!$A:$A,0)),""))</f>
        <v/>
      </c>
      <c r="H1261" s="32">
        <f>IF(B1261="","",IFERROR(INDEX(Client_List!$J:$J,MATCH(VALUE(B1261),Client_List!$A:$A,0)),""))</f>
        <v/>
      </c>
      <c r="I1261" s="70">
        <f>IF(B1261="","",IFERROR(A1261-LOOKUP(2,1/($B$4:$B1260=B1261),$A$4:$A1260),""))</f>
        <v/>
      </c>
      <c r="J1261" s="32">
        <f>IF(B1261="","",IFERROR(D1261/I1261,""))</f>
        <v/>
      </c>
      <c r="K1261" s="71">
        <f>IF(B1261="","",IFERROR(AVERAGEIFS($J$4:$J1261,$B$4:$B1261,B1261,$J$4:$J1261,"&gt;"&amp;0),""))</f>
        <v/>
      </c>
      <c r="L1261" s="12" t="n"/>
    </row>
    <row r="1262" ht="14" customHeight="1" s="72">
      <c r="A1262" s="75" t="n">
        <v>46126</v>
      </c>
      <c r="B1262" s="77" t="n">
        <v>13012</v>
      </c>
      <c r="C1262" s="69">
        <f>IF(B1262="","",IFERROR(INDEX(Client_List!$B:$B,MATCH(B1262,Client_List!$A:$A,0)),"⚠ NOT FOUND"))</f>
        <v/>
      </c>
      <c r="D1262" s="43" t="n">
        <v>267</v>
      </c>
      <c r="E1262" s="32">
        <f>IF(B1262="","",IFERROR(INDEX(Client_List!$C:$C,MATCH(VALUE(B1262),Client_List!$A:$A,0)),""))</f>
        <v/>
      </c>
      <c r="F1262" s="53">
        <f>IF(B1262="","",IFERROR(INDEX(Client_List!$D:$D,MATCH(VALUE(B1262),Client_List!$A:$A,0)),""))</f>
        <v/>
      </c>
      <c r="G1262" s="53">
        <f>IF(B1262="","",IFERROR(INDEX(Client_List!$K:$K,MATCH(VALUE(B1262),Client_List!$A:$A,0)),""))</f>
        <v/>
      </c>
      <c r="H1262" s="32">
        <f>IF(B1262="","",IFERROR(INDEX(Client_List!$J:$J,MATCH(VALUE(B1262),Client_List!$A:$A,0)),""))</f>
        <v/>
      </c>
      <c r="I1262" s="70">
        <f>IF(B1262="","",IFERROR(A1262-LOOKUP(2,1/($B$4:$B1261=B1262),$A$4:$A1261),""))</f>
        <v/>
      </c>
      <c r="J1262" s="32">
        <f>IF(B1262="","",IFERROR(D1262/I1262,""))</f>
        <v/>
      </c>
      <c r="K1262" s="71">
        <f>IF(B1262="","",IFERROR(AVERAGEIFS($J$4:$J1262,$B$4:$B1262,B1262,$J$4:$J1262,"&gt;"&amp;0),""))</f>
        <v/>
      </c>
      <c r="L1262" s="11" t="n"/>
    </row>
    <row r="1263" ht="14" customHeight="1" s="72">
      <c r="A1263" s="75" t="n">
        <v>46126</v>
      </c>
      <c r="B1263" s="77" t="n">
        <v>13015</v>
      </c>
      <c r="C1263" s="69">
        <f>IF(B1263="","",IFERROR(INDEX(Client_List!$B:$B,MATCH(B1263,Client_List!$A:$A,0)),"⚠ NOT FOUND"))</f>
        <v/>
      </c>
      <c r="D1263" s="43" t="n">
        <v>816</v>
      </c>
      <c r="E1263" s="32">
        <f>IF(B1263="","",IFERROR(INDEX(Client_List!$C:$C,MATCH(VALUE(B1263),Client_List!$A:$A,0)),""))</f>
        <v/>
      </c>
      <c r="F1263" s="53">
        <f>IF(B1263="","",IFERROR(INDEX(Client_List!$D:$D,MATCH(VALUE(B1263),Client_List!$A:$A,0)),""))</f>
        <v/>
      </c>
      <c r="G1263" s="53">
        <f>IF(B1263="","",IFERROR(INDEX(Client_List!$K:$K,MATCH(VALUE(B1263),Client_List!$A:$A,0)),""))</f>
        <v/>
      </c>
      <c r="H1263" s="32">
        <f>IF(B1263="","",IFERROR(INDEX(Client_List!$J:$J,MATCH(VALUE(B1263),Client_List!$A:$A,0)),""))</f>
        <v/>
      </c>
      <c r="I1263" s="70">
        <f>IF(B1263="","",IFERROR(A1263-LOOKUP(2,1/($B$4:$B1262=B1263),$A$4:$A1262),""))</f>
        <v/>
      </c>
      <c r="J1263" s="32">
        <f>IF(B1263="","",IFERROR(D1263/I1263,""))</f>
        <v/>
      </c>
      <c r="K1263" s="71">
        <f>IF(B1263="","",IFERROR(AVERAGEIFS($J$4:$J1263,$B$4:$B1263,B1263,$J$4:$J1263,"&gt;"&amp;0),""))</f>
        <v/>
      </c>
      <c r="L1263" s="12" t="n"/>
    </row>
    <row r="1264" ht="14" customHeight="1" s="72">
      <c r="A1264" s="75" t="n">
        <v>46126</v>
      </c>
      <c r="B1264" s="77" t="n">
        <v>15009</v>
      </c>
      <c r="C1264" s="69">
        <f>IF(B1264="","",IFERROR(INDEX(Client_List!$B:$B,MATCH(B1264,Client_List!$A:$A,0)),"⚠ NOT FOUND"))</f>
        <v/>
      </c>
      <c r="D1264" s="43" t="n">
        <v>482</v>
      </c>
      <c r="E1264" s="32">
        <f>IF(B1264="","",IFERROR(INDEX(Client_List!$C:$C,MATCH(VALUE(B1264),Client_List!$A:$A,0)),""))</f>
        <v/>
      </c>
      <c r="F1264" s="53">
        <f>IF(B1264="","",IFERROR(INDEX(Client_List!$D:$D,MATCH(VALUE(B1264),Client_List!$A:$A,0)),""))</f>
        <v/>
      </c>
      <c r="G1264" s="53">
        <f>IF(B1264="","",IFERROR(INDEX(Client_List!$K:$K,MATCH(VALUE(B1264),Client_List!$A:$A,0)),""))</f>
        <v/>
      </c>
      <c r="H1264" s="32">
        <f>IF(B1264="","",IFERROR(INDEX(Client_List!$J:$J,MATCH(VALUE(B1264),Client_List!$A:$A,0)),""))</f>
        <v/>
      </c>
      <c r="I1264" s="70">
        <f>IF(B1264="","",IFERROR(A1264-LOOKUP(2,1/($B$4:$B1263=B1264),$A$4:$A1263),""))</f>
        <v/>
      </c>
      <c r="J1264" s="32">
        <f>IF(B1264="","",IFERROR(D1264/I1264,""))</f>
        <v/>
      </c>
      <c r="K1264" s="71">
        <f>IF(B1264="","",IFERROR(AVERAGEIFS($J$4:$J1264,$B$4:$B1264,B1264,$J$4:$J1264,"&gt;"&amp;0),""))</f>
        <v/>
      </c>
      <c r="L1264" s="11" t="n"/>
    </row>
    <row r="1265" ht="14" customHeight="1" s="72">
      <c r="A1265" s="75" t="n">
        <v>46126</v>
      </c>
      <c r="B1265" s="77" t="n">
        <v>15023</v>
      </c>
      <c r="C1265" s="69">
        <f>IF(B1265="","",IFERROR(INDEX(Client_List!$B:$B,MATCH(B1265,Client_List!$A:$A,0)),"⚠ NOT FOUND"))</f>
        <v/>
      </c>
      <c r="D1265" s="43" t="n">
        <v>476</v>
      </c>
      <c r="E1265" s="32">
        <f>IF(B1265="","",IFERROR(INDEX(Client_List!$C:$C,MATCH(VALUE(B1265),Client_List!$A:$A,0)),""))</f>
        <v/>
      </c>
      <c r="F1265" s="53">
        <f>IF(B1265="","",IFERROR(INDEX(Client_List!$D:$D,MATCH(VALUE(B1265),Client_List!$A:$A,0)),""))</f>
        <v/>
      </c>
      <c r="G1265" s="53">
        <f>IF(B1265="","",IFERROR(INDEX(Client_List!$K:$K,MATCH(VALUE(B1265),Client_List!$A:$A,0)),""))</f>
        <v/>
      </c>
      <c r="H1265" s="32">
        <f>IF(B1265="","",IFERROR(INDEX(Client_List!$J:$J,MATCH(VALUE(B1265),Client_List!$A:$A,0)),""))</f>
        <v/>
      </c>
      <c r="I1265" s="70">
        <f>IF(B1265="","",IFERROR(A1265-LOOKUP(2,1/($B$4:$B1264=B1265),$A$4:$A1264),""))</f>
        <v/>
      </c>
      <c r="J1265" s="32">
        <f>IF(B1265="","",IFERROR(D1265/I1265,""))</f>
        <v/>
      </c>
      <c r="K1265" s="71">
        <f>IF(B1265="","",IFERROR(AVERAGEIFS($J$4:$J1265,$B$4:$B1265,B1265,$J$4:$J1265,"&gt;"&amp;0),""))</f>
        <v/>
      </c>
      <c r="L1265" s="12" t="n"/>
    </row>
    <row r="1266" ht="14" customHeight="1" s="72">
      <c r="A1266" s="75" t="n">
        <v>46126</v>
      </c>
      <c r="B1266" s="77" t="n">
        <v>15027</v>
      </c>
      <c r="C1266" s="69">
        <f>IF(B1266="","",IFERROR(INDEX(Client_List!$B:$B,MATCH(B1266,Client_List!$A:$A,0)),"⚠ NOT FOUND"))</f>
        <v/>
      </c>
      <c r="D1266" s="43" t="n">
        <v>480</v>
      </c>
      <c r="E1266" s="32">
        <f>IF(B1266="","",IFERROR(INDEX(Client_List!$C:$C,MATCH(VALUE(B1266),Client_List!$A:$A,0)),""))</f>
        <v/>
      </c>
      <c r="F1266" s="53">
        <f>IF(B1266="","",IFERROR(INDEX(Client_List!$D:$D,MATCH(VALUE(B1266),Client_List!$A:$A,0)),""))</f>
        <v/>
      </c>
      <c r="G1266" s="53">
        <f>IF(B1266="","",IFERROR(INDEX(Client_List!$K:$K,MATCH(VALUE(B1266),Client_List!$A:$A,0)),""))</f>
        <v/>
      </c>
      <c r="H1266" s="32">
        <f>IF(B1266="","",IFERROR(INDEX(Client_List!$J:$J,MATCH(VALUE(B1266),Client_List!$A:$A,0)),""))</f>
        <v/>
      </c>
      <c r="I1266" s="70">
        <f>IF(B1266="","",IFERROR(A1266-LOOKUP(2,1/($B$4:$B1265=B1266),$A$4:$A1265),""))</f>
        <v/>
      </c>
      <c r="J1266" s="32">
        <f>IF(B1266="","",IFERROR(D1266/I1266,""))</f>
        <v/>
      </c>
      <c r="K1266" s="71">
        <f>IF(B1266="","",IFERROR(AVERAGEIFS($J$4:$J1266,$B$4:$B1266,B1266,$J$4:$J1266,"&gt;"&amp;0),""))</f>
        <v/>
      </c>
      <c r="L1266" s="11" t="n"/>
    </row>
    <row r="1267" ht="14" customHeight="1" s="72">
      <c r="A1267" s="75" t="n">
        <v>46126</v>
      </c>
      <c r="B1267" s="77" t="n">
        <v>15051</v>
      </c>
      <c r="C1267" s="69">
        <f>IF(B1267="","",IFERROR(INDEX(Client_List!$B:$B,MATCH(B1267,Client_List!$A:$A,0)),"⚠ NOT FOUND"))</f>
        <v/>
      </c>
      <c r="D1267" s="43" t="n">
        <v>343</v>
      </c>
      <c r="E1267" s="32">
        <f>IF(B1267="","",IFERROR(INDEX(Client_List!$C:$C,MATCH(VALUE(B1267),Client_List!$A:$A,0)),""))</f>
        <v/>
      </c>
      <c r="F1267" s="53">
        <f>IF(B1267="","",IFERROR(INDEX(Client_List!$D:$D,MATCH(VALUE(B1267),Client_List!$A:$A,0)),""))</f>
        <v/>
      </c>
      <c r="G1267" s="53">
        <f>IF(B1267="","",IFERROR(INDEX(Client_List!$K:$K,MATCH(VALUE(B1267),Client_List!$A:$A,0)),""))</f>
        <v/>
      </c>
      <c r="H1267" s="32">
        <f>IF(B1267="","",IFERROR(INDEX(Client_List!$J:$J,MATCH(VALUE(B1267),Client_List!$A:$A,0)),""))</f>
        <v/>
      </c>
      <c r="I1267" s="70">
        <f>IF(B1267="","",IFERROR(A1267-LOOKUP(2,1/($B$4:$B1266=B1267),$A$4:$A1266),""))</f>
        <v/>
      </c>
      <c r="J1267" s="32">
        <f>IF(B1267="","",IFERROR(D1267/I1267,""))</f>
        <v/>
      </c>
      <c r="K1267" s="71">
        <f>IF(B1267="","",IFERROR(AVERAGEIFS($J$4:$J1267,$B$4:$B1267,B1267,$J$4:$J1267,"&gt;"&amp;0),""))</f>
        <v/>
      </c>
      <c r="L1267" s="12" t="n"/>
    </row>
    <row r="1268" ht="14" customHeight="1" s="72">
      <c r="A1268" s="75" t="n">
        <v>46126</v>
      </c>
      <c r="B1268" s="77" t="n">
        <v>18001</v>
      </c>
      <c r="C1268" s="69">
        <f>IF(B1268="","",IFERROR(INDEX(Client_List!$B:$B,MATCH(B1268,Client_List!$A:$A,0)),"⚠ NOT FOUND"))</f>
        <v/>
      </c>
      <c r="D1268" s="43" t="n">
        <v>932</v>
      </c>
      <c r="E1268" s="32">
        <f>IF(B1268="","",IFERROR(INDEX(Client_List!$C:$C,MATCH(VALUE(B1268),Client_List!$A:$A,0)),""))</f>
        <v/>
      </c>
      <c r="F1268" s="53">
        <f>IF(B1268="","",IFERROR(INDEX(Client_List!$D:$D,MATCH(VALUE(B1268),Client_List!$A:$A,0)),""))</f>
        <v/>
      </c>
      <c r="G1268" s="53">
        <f>IF(B1268="","",IFERROR(INDEX(Client_List!$K:$K,MATCH(VALUE(B1268),Client_List!$A:$A,0)),""))</f>
        <v/>
      </c>
      <c r="H1268" s="32">
        <f>IF(B1268="","",IFERROR(INDEX(Client_List!$J:$J,MATCH(VALUE(B1268),Client_List!$A:$A,0)),""))</f>
        <v/>
      </c>
      <c r="I1268" s="70">
        <f>IF(B1268="","",IFERROR(A1268-LOOKUP(2,1/($B$4:$B1267=B1268),$A$4:$A1267),""))</f>
        <v/>
      </c>
      <c r="J1268" s="32">
        <f>IF(B1268="","",IFERROR(D1268/I1268,""))</f>
        <v/>
      </c>
      <c r="K1268" s="71">
        <f>IF(B1268="","",IFERROR(AVERAGEIFS($J$4:$J1268,$B$4:$B1268,B1268,$J$4:$J1268,"&gt;"&amp;0),""))</f>
        <v/>
      </c>
      <c r="L1268" s="11" t="n"/>
    </row>
    <row r="1269" ht="14" customHeight="1" s="72">
      <c r="A1269" s="75" t="n">
        <v>46126</v>
      </c>
      <c r="B1269" s="77" t="n">
        <v>19031</v>
      </c>
      <c r="C1269" s="69">
        <f>IF(B1269="","",IFERROR(INDEX(Client_List!$B:$B,MATCH(B1269,Client_List!$A:$A,0)),"⚠ NOT FOUND"))</f>
        <v/>
      </c>
      <c r="D1269" s="43" t="n">
        <v>306</v>
      </c>
      <c r="E1269" s="32">
        <f>IF(B1269="","",IFERROR(INDEX(Client_List!$C:$C,MATCH(VALUE(B1269),Client_List!$A:$A,0)),""))</f>
        <v/>
      </c>
      <c r="F1269" s="53">
        <f>IF(B1269="","",IFERROR(INDEX(Client_List!$D:$D,MATCH(VALUE(B1269),Client_List!$A:$A,0)),""))</f>
        <v/>
      </c>
      <c r="G1269" s="53">
        <f>IF(B1269="","",IFERROR(INDEX(Client_List!$K:$K,MATCH(VALUE(B1269),Client_List!$A:$A,0)),""))</f>
        <v/>
      </c>
      <c r="H1269" s="32">
        <f>IF(B1269="","",IFERROR(INDEX(Client_List!$J:$J,MATCH(VALUE(B1269),Client_List!$A:$A,0)),""))</f>
        <v/>
      </c>
      <c r="I1269" s="70">
        <f>IF(B1269="","",IFERROR(A1269-LOOKUP(2,1/($B$4:$B1268=B1269),$A$4:$A1268),""))</f>
        <v/>
      </c>
      <c r="J1269" s="32">
        <f>IF(B1269="","",IFERROR(D1269/I1269,""))</f>
        <v/>
      </c>
      <c r="K1269" s="71">
        <f>IF(B1269="","",IFERROR(AVERAGEIFS($J$4:$J1269,$B$4:$B1269,B1269,$J$4:$J1269,"&gt;"&amp;0),""))</f>
        <v/>
      </c>
      <c r="L1269" s="12" t="n"/>
    </row>
    <row r="1270" ht="14" customHeight="1" s="72">
      <c r="A1270" s="75" t="n">
        <v>46126</v>
      </c>
      <c r="B1270" s="77" t="n">
        <v>19080</v>
      </c>
      <c r="C1270" s="69">
        <f>IF(B1270="","",IFERROR(INDEX(Client_List!$B:$B,MATCH(B1270,Client_List!$A:$A,0)),"⚠ NOT FOUND"))</f>
        <v/>
      </c>
      <c r="D1270" s="43" t="n">
        <v>479</v>
      </c>
      <c r="E1270" s="32">
        <f>IF(B1270="","",IFERROR(INDEX(Client_List!$C:$C,MATCH(VALUE(B1270),Client_List!$A:$A,0)),""))</f>
        <v/>
      </c>
      <c r="F1270" s="53">
        <f>IF(B1270="","",IFERROR(INDEX(Client_List!$D:$D,MATCH(VALUE(B1270),Client_List!$A:$A,0)),""))</f>
        <v/>
      </c>
      <c r="G1270" s="53">
        <f>IF(B1270="","",IFERROR(INDEX(Client_List!$K:$K,MATCH(VALUE(B1270),Client_List!$A:$A,0)),""))</f>
        <v/>
      </c>
      <c r="H1270" s="32">
        <f>IF(B1270="","",IFERROR(INDEX(Client_List!$J:$J,MATCH(VALUE(B1270),Client_List!$A:$A,0)),""))</f>
        <v/>
      </c>
      <c r="I1270" s="70">
        <f>IF(B1270="","",IFERROR(A1270-LOOKUP(2,1/($B$4:$B1269=B1270),$A$4:$A1269),""))</f>
        <v/>
      </c>
      <c r="J1270" s="32">
        <f>IF(B1270="","",IFERROR(D1270/I1270,""))</f>
        <v/>
      </c>
      <c r="K1270" s="71">
        <f>IF(B1270="","",IFERROR(AVERAGEIFS($J$4:$J1270,$B$4:$B1270,B1270,$J$4:$J1270,"&gt;"&amp;0),""))</f>
        <v/>
      </c>
      <c r="L1270" s="11" t="n"/>
    </row>
    <row r="1271" ht="14" customHeight="1" s="72">
      <c r="A1271" s="75" t="n">
        <v>46127</v>
      </c>
      <c r="B1271" s="77" t="n">
        <v>3021</v>
      </c>
      <c r="C1271" s="69">
        <f>IF(B1271="","",IFERROR(INDEX(Client_List!$B:$B,MATCH(B1271,Client_List!$A:$A,0)),"⚠ NOT FOUND"))</f>
        <v/>
      </c>
      <c r="D1271" s="43" t="n">
        <v>502</v>
      </c>
      <c r="E1271" s="32">
        <f>IF(B1271="","",IFERROR(INDEX(Client_List!$C:$C,MATCH(VALUE(B1271),Client_List!$A:$A,0)),""))</f>
        <v/>
      </c>
      <c r="F1271" s="53">
        <f>IF(B1271="","",IFERROR(INDEX(Client_List!$D:$D,MATCH(VALUE(B1271),Client_List!$A:$A,0)),""))</f>
        <v/>
      </c>
      <c r="G1271" s="53">
        <f>IF(B1271="","",IFERROR(INDEX(Client_List!$K:$K,MATCH(VALUE(B1271),Client_List!$A:$A,0)),""))</f>
        <v/>
      </c>
      <c r="H1271" s="32">
        <f>IF(B1271="","",IFERROR(INDEX(Client_List!$J:$J,MATCH(VALUE(B1271),Client_List!$A:$A,0)),""))</f>
        <v/>
      </c>
      <c r="I1271" s="70">
        <f>IF(B1271="","",IFERROR(A1271-LOOKUP(2,1/($B$4:$B1270=B1271),$A$4:$A1270),""))</f>
        <v/>
      </c>
      <c r="J1271" s="32">
        <f>IF(B1271="","",IFERROR(D1271/I1271,""))</f>
        <v/>
      </c>
      <c r="K1271" s="71">
        <f>IF(B1271="","",IFERROR(AVERAGEIFS($J$4:$J1271,$B$4:$B1271,B1271,$J$4:$J1271,"&gt;"&amp;0),""))</f>
        <v/>
      </c>
      <c r="L1271" s="12" t="n"/>
    </row>
    <row r="1272" ht="14" customHeight="1" s="72">
      <c r="A1272" s="75" t="n">
        <v>46127</v>
      </c>
      <c r="B1272" s="77" t="n">
        <v>8005</v>
      </c>
      <c r="C1272" s="69">
        <f>IF(B1272="","",IFERROR(INDEX(Client_List!$B:$B,MATCH(B1272,Client_List!$A:$A,0)),"⚠ NOT FOUND"))</f>
        <v/>
      </c>
      <c r="D1272" s="43" t="n">
        <v>816</v>
      </c>
      <c r="E1272" s="32">
        <f>IF(B1272="","",IFERROR(INDEX(Client_List!$C:$C,MATCH(VALUE(B1272),Client_List!$A:$A,0)),""))</f>
        <v/>
      </c>
      <c r="F1272" s="53">
        <f>IF(B1272="","",IFERROR(INDEX(Client_List!$D:$D,MATCH(VALUE(B1272),Client_List!$A:$A,0)),""))</f>
        <v/>
      </c>
      <c r="G1272" s="53">
        <f>IF(B1272="","",IFERROR(INDEX(Client_List!$K:$K,MATCH(VALUE(B1272),Client_List!$A:$A,0)),""))</f>
        <v/>
      </c>
      <c r="H1272" s="32">
        <f>IF(B1272="","",IFERROR(INDEX(Client_List!$J:$J,MATCH(VALUE(B1272),Client_List!$A:$A,0)),""))</f>
        <v/>
      </c>
      <c r="I1272" s="70">
        <f>IF(B1272="","",IFERROR(A1272-LOOKUP(2,1/($B$4:$B1271=B1272),$A$4:$A1271),""))</f>
        <v/>
      </c>
      <c r="J1272" s="32">
        <f>IF(B1272="","",IFERROR(D1272/I1272,""))</f>
        <v/>
      </c>
      <c r="K1272" s="71">
        <f>IF(B1272="","",IFERROR(AVERAGEIFS($J$4:$J1272,$B$4:$B1272,B1272,$J$4:$J1272,"&gt;"&amp;0),""))</f>
        <v/>
      </c>
      <c r="L1272" s="11" t="n"/>
    </row>
    <row r="1273" ht="14" customHeight="1" s="72">
      <c r="A1273" s="75" t="n">
        <v>46127</v>
      </c>
      <c r="B1273" s="77" t="n">
        <v>8031</v>
      </c>
      <c r="C1273" s="69">
        <f>IF(B1273="","",IFERROR(INDEX(Client_List!$B:$B,MATCH(B1273,Client_List!$A:$A,0)),"⚠ NOT FOUND"))</f>
        <v/>
      </c>
      <c r="D1273" s="43" t="n">
        <v>725</v>
      </c>
      <c r="E1273" s="32">
        <f>IF(B1273="","",IFERROR(INDEX(Client_List!$C:$C,MATCH(VALUE(B1273),Client_List!$A:$A,0)),""))</f>
        <v/>
      </c>
      <c r="F1273" s="53">
        <f>IF(B1273="","",IFERROR(INDEX(Client_List!$D:$D,MATCH(VALUE(B1273),Client_List!$A:$A,0)),""))</f>
        <v/>
      </c>
      <c r="G1273" s="53">
        <f>IF(B1273="","",IFERROR(INDEX(Client_List!$K:$K,MATCH(VALUE(B1273),Client_List!$A:$A,0)),""))</f>
        <v/>
      </c>
      <c r="H1273" s="32">
        <f>IF(B1273="","",IFERROR(INDEX(Client_List!$J:$J,MATCH(VALUE(B1273),Client_List!$A:$A,0)),""))</f>
        <v/>
      </c>
      <c r="I1273" s="70">
        <f>IF(B1273="","",IFERROR(A1273-LOOKUP(2,1/($B$4:$B1272=B1273),$A$4:$A1272),""))</f>
        <v/>
      </c>
      <c r="J1273" s="32">
        <f>IF(B1273="","",IFERROR(D1273/I1273,""))</f>
        <v/>
      </c>
      <c r="K1273" s="71">
        <f>IF(B1273="","",IFERROR(AVERAGEIFS($J$4:$J1273,$B$4:$B1273,B1273,$J$4:$J1273,"&gt;"&amp;0),""))</f>
        <v/>
      </c>
      <c r="L1273" s="12" t="n"/>
    </row>
    <row r="1274" ht="14" customHeight="1" s="72">
      <c r="A1274" s="75" t="n">
        <v>46127</v>
      </c>
      <c r="B1274" s="77" t="n">
        <v>8034</v>
      </c>
      <c r="C1274" s="69">
        <f>IF(B1274="","",IFERROR(INDEX(Client_List!$B:$B,MATCH(B1274,Client_List!$A:$A,0)),"⚠ NOT FOUND"))</f>
        <v/>
      </c>
      <c r="D1274" s="43" t="n">
        <v>541</v>
      </c>
      <c r="E1274" s="32">
        <f>IF(B1274="","",IFERROR(INDEX(Client_List!$C:$C,MATCH(VALUE(B1274),Client_List!$A:$A,0)),""))</f>
        <v/>
      </c>
      <c r="F1274" s="53">
        <f>IF(B1274="","",IFERROR(INDEX(Client_List!$D:$D,MATCH(VALUE(B1274),Client_List!$A:$A,0)),""))</f>
        <v/>
      </c>
      <c r="G1274" s="53">
        <f>IF(B1274="","",IFERROR(INDEX(Client_List!$K:$K,MATCH(VALUE(B1274),Client_List!$A:$A,0)),""))</f>
        <v/>
      </c>
      <c r="H1274" s="32">
        <f>IF(B1274="","",IFERROR(INDEX(Client_List!$J:$J,MATCH(VALUE(B1274),Client_List!$A:$A,0)),""))</f>
        <v/>
      </c>
      <c r="I1274" s="70">
        <f>IF(B1274="","",IFERROR(A1274-LOOKUP(2,1/($B$4:$B1273=B1274),$A$4:$A1273),""))</f>
        <v/>
      </c>
      <c r="J1274" s="32">
        <f>IF(B1274="","",IFERROR(D1274/I1274,""))</f>
        <v/>
      </c>
      <c r="K1274" s="71">
        <f>IF(B1274="","",IFERROR(AVERAGEIFS($J$4:$J1274,$B$4:$B1274,B1274,$J$4:$J1274,"&gt;"&amp;0),""))</f>
        <v/>
      </c>
      <c r="L1274" s="11" t="n"/>
    </row>
    <row r="1275" ht="14" customHeight="1" s="72">
      <c r="A1275" s="75" t="n">
        <v>46127</v>
      </c>
      <c r="B1275" s="77" t="n">
        <v>15002</v>
      </c>
      <c r="C1275" s="69">
        <f>IF(B1275="","",IFERROR(INDEX(Client_List!$B:$B,MATCH(B1275,Client_List!$A:$A,0)),"⚠ NOT FOUND"))</f>
        <v/>
      </c>
      <c r="D1275" s="43" t="n">
        <v>496</v>
      </c>
      <c r="E1275" s="32">
        <f>IF(B1275="","",IFERROR(INDEX(Client_List!$C:$C,MATCH(VALUE(B1275),Client_List!$A:$A,0)),""))</f>
        <v/>
      </c>
      <c r="F1275" s="53">
        <f>IF(B1275="","",IFERROR(INDEX(Client_List!$D:$D,MATCH(VALUE(B1275),Client_List!$A:$A,0)),""))</f>
        <v/>
      </c>
      <c r="G1275" s="53">
        <f>IF(B1275="","",IFERROR(INDEX(Client_List!$K:$K,MATCH(VALUE(B1275),Client_List!$A:$A,0)),""))</f>
        <v/>
      </c>
      <c r="H1275" s="32">
        <f>IF(B1275="","",IFERROR(INDEX(Client_List!$J:$J,MATCH(VALUE(B1275),Client_List!$A:$A,0)),""))</f>
        <v/>
      </c>
      <c r="I1275" s="70">
        <f>IF(B1275="","",IFERROR(A1275-LOOKUP(2,1/($B$4:$B1274=B1275),$A$4:$A1274),""))</f>
        <v/>
      </c>
      <c r="J1275" s="32">
        <f>IF(B1275="","",IFERROR(D1275/I1275,""))</f>
        <v/>
      </c>
      <c r="K1275" s="71">
        <f>IF(B1275="","",IFERROR(AVERAGEIFS($J$4:$J1275,$B$4:$B1275,B1275,$J$4:$J1275,"&gt;"&amp;0),""))</f>
        <v/>
      </c>
      <c r="L1275" s="12" t="n"/>
    </row>
    <row r="1276" ht="14" customHeight="1" s="72">
      <c r="A1276" s="75" t="n">
        <v>46127</v>
      </c>
      <c r="B1276" s="77" t="n">
        <v>15025</v>
      </c>
      <c r="C1276" s="69">
        <f>IF(B1276="","",IFERROR(INDEX(Client_List!$B:$B,MATCH(B1276,Client_List!$A:$A,0)),"⚠ NOT FOUND"))</f>
        <v/>
      </c>
      <c r="D1276" s="43" t="n">
        <v>551</v>
      </c>
      <c r="E1276" s="32">
        <f>IF(B1276="","",IFERROR(INDEX(Client_List!$C:$C,MATCH(VALUE(B1276),Client_List!$A:$A,0)),""))</f>
        <v/>
      </c>
      <c r="F1276" s="53">
        <f>IF(B1276="","",IFERROR(INDEX(Client_List!$D:$D,MATCH(VALUE(B1276),Client_List!$A:$A,0)),""))</f>
        <v/>
      </c>
      <c r="G1276" s="53">
        <f>IF(B1276="","",IFERROR(INDEX(Client_List!$K:$K,MATCH(VALUE(B1276),Client_List!$A:$A,0)),""))</f>
        <v/>
      </c>
      <c r="H1276" s="32">
        <f>IF(B1276="","",IFERROR(INDEX(Client_List!$J:$J,MATCH(VALUE(B1276),Client_List!$A:$A,0)),""))</f>
        <v/>
      </c>
      <c r="I1276" s="70">
        <f>IF(B1276="","",IFERROR(A1276-LOOKUP(2,1/($B$4:$B1275=B1276),$A$4:$A1275),""))</f>
        <v/>
      </c>
      <c r="J1276" s="32">
        <f>IF(B1276="","",IFERROR(D1276/I1276,""))</f>
        <v/>
      </c>
      <c r="K1276" s="71">
        <f>IF(B1276="","",IFERROR(AVERAGEIFS($J$4:$J1276,$B$4:$B1276,B1276,$J$4:$J1276,"&gt;"&amp;0),""))</f>
        <v/>
      </c>
      <c r="L1276" s="11" t="n"/>
    </row>
    <row r="1277" ht="14" customHeight="1" s="72">
      <c r="A1277" s="75" t="n">
        <v>46127</v>
      </c>
      <c r="B1277" s="77" t="n">
        <v>15035</v>
      </c>
      <c r="C1277" s="69">
        <f>IF(B1277="","",IFERROR(INDEX(Client_List!$B:$B,MATCH(B1277,Client_List!$A:$A,0)),"⚠ NOT FOUND"))</f>
        <v/>
      </c>
      <c r="D1277" s="43" t="n">
        <v>1502</v>
      </c>
      <c r="E1277" s="32">
        <f>IF(B1277="","",IFERROR(INDEX(Client_List!$C:$C,MATCH(VALUE(B1277),Client_List!$A:$A,0)),""))</f>
        <v/>
      </c>
      <c r="F1277" s="53">
        <f>IF(B1277="","",IFERROR(INDEX(Client_List!$D:$D,MATCH(VALUE(B1277),Client_List!$A:$A,0)),""))</f>
        <v/>
      </c>
      <c r="G1277" s="53">
        <f>IF(B1277="","",IFERROR(INDEX(Client_List!$K:$K,MATCH(VALUE(B1277),Client_List!$A:$A,0)),""))</f>
        <v/>
      </c>
      <c r="H1277" s="32">
        <f>IF(B1277="","",IFERROR(INDEX(Client_List!$J:$J,MATCH(VALUE(B1277),Client_List!$A:$A,0)),""))</f>
        <v/>
      </c>
      <c r="I1277" s="70">
        <f>IF(B1277="","",IFERROR(A1277-LOOKUP(2,1/($B$4:$B1276=B1277),$A$4:$A1276),""))</f>
        <v/>
      </c>
      <c r="J1277" s="32">
        <f>IF(B1277="","",IFERROR(D1277/I1277,""))</f>
        <v/>
      </c>
      <c r="K1277" s="71">
        <f>IF(B1277="","",IFERROR(AVERAGEIFS($J$4:$J1277,$B$4:$B1277,B1277,$J$4:$J1277,"&gt;"&amp;0),""))</f>
        <v/>
      </c>
      <c r="L1277" s="12" t="n"/>
    </row>
    <row r="1278" ht="14" customHeight="1" s="72">
      <c r="A1278" s="75" t="n">
        <v>46127</v>
      </c>
      <c r="B1278" s="77" t="n">
        <v>16005</v>
      </c>
      <c r="C1278" s="69">
        <f>IF(B1278="","",IFERROR(INDEX(Client_List!$B:$B,MATCH(B1278,Client_List!$A:$A,0)),"⚠ NOT FOUND"))</f>
        <v/>
      </c>
      <c r="D1278" s="43" t="n">
        <v>696</v>
      </c>
      <c r="E1278" s="32">
        <f>IF(B1278="","",IFERROR(INDEX(Client_List!$C:$C,MATCH(VALUE(B1278),Client_List!$A:$A,0)),""))</f>
        <v/>
      </c>
      <c r="F1278" s="53">
        <f>IF(B1278="","",IFERROR(INDEX(Client_List!$D:$D,MATCH(VALUE(B1278),Client_List!$A:$A,0)),""))</f>
        <v/>
      </c>
      <c r="G1278" s="53">
        <f>IF(B1278="","",IFERROR(INDEX(Client_List!$K:$K,MATCH(VALUE(B1278),Client_List!$A:$A,0)),""))</f>
        <v/>
      </c>
      <c r="H1278" s="32">
        <f>IF(B1278="","",IFERROR(INDEX(Client_List!$J:$J,MATCH(VALUE(B1278),Client_List!$A:$A,0)),""))</f>
        <v/>
      </c>
      <c r="I1278" s="70">
        <f>IF(B1278="","",IFERROR(A1278-LOOKUP(2,1/($B$4:$B1277=B1278),$A$4:$A1277),""))</f>
        <v/>
      </c>
      <c r="J1278" s="32">
        <f>IF(B1278="","",IFERROR(D1278/I1278,""))</f>
        <v/>
      </c>
      <c r="K1278" s="71">
        <f>IF(B1278="","",IFERROR(AVERAGEIFS($J$4:$J1278,$B$4:$B1278,B1278,$J$4:$J1278,"&gt;"&amp;0),""))</f>
        <v/>
      </c>
      <c r="L1278" s="11" t="n"/>
    </row>
    <row r="1279" ht="14" customHeight="1" s="72">
      <c r="A1279" s="75" t="n">
        <v>46127</v>
      </c>
      <c r="B1279" s="77" t="n">
        <v>16008</v>
      </c>
      <c r="C1279" s="69">
        <f>IF(B1279="","",IFERROR(INDEX(Client_List!$B:$B,MATCH(B1279,Client_List!$A:$A,0)),"⚠ NOT FOUND"))</f>
        <v/>
      </c>
      <c r="D1279" s="43" t="n">
        <v>751</v>
      </c>
      <c r="E1279" s="32">
        <f>IF(B1279="","",IFERROR(INDEX(Client_List!$C:$C,MATCH(VALUE(B1279),Client_List!$A:$A,0)),""))</f>
        <v/>
      </c>
      <c r="F1279" s="53">
        <f>IF(B1279="","",IFERROR(INDEX(Client_List!$D:$D,MATCH(VALUE(B1279),Client_List!$A:$A,0)),""))</f>
        <v/>
      </c>
      <c r="G1279" s="53">
        <f>IF(B1279="","",IFERROR(INDEX(Client_List!$K:$K,MATCH(VALUE(B1279),Client_List!$A:$A,0)),""))</f>
        <v/>
      </c>
      <c r="H1279" s="32">
        <f>IF(B1279="","",IFERROR(INDEX(Client_List!$J:$J,MATCH(VALUE(B1279),Client_List!$A:$A,0)),""))</f>
        <v/>
      </c>
      <c r="I1279" s="70">
        <f>IF(B1279="","",IFERROR(A1279-LOOKUP(2,1/($B$4:$B1278=B1279),$A$4:$A1278),""))</f>
        <v/>
      </c>
      <c r="J1279" s="32">
        <f>IF(B1279="","",IFERROR(D1279/I1279,""))</f>
        <v/>
      </c>
      <c r="K1279" s="71">
        <f>IF(B1279="","",IFERROR(AVERAGEIFS($J$4:$J1279,$B$4:$B1279,B1279,$J$4:$J1279,"&gt;"&amp;0),""))</f>
        <v/>
      </c>
      <c r="L1279" s="12" t="n"/>
    </row>
    <row r="1280" ht="14" customHeight="1" s="72">
      <c r="A1280" s="75" t="n">
        <v>46127</v>
      </c>
      <c r="B1280" s="77" t="n">
        <v>16014</v>
      </c>
      <c r="C1280" s="69">
        <f>IF(B1280="","",IFERROR(INDEX(Client_List!$B:$B,MATCH(B1280,Client_List!$A:$A,0)),"⚠ NOT FOUND"))</f>
        <v/>
      </c>
      <c r="D1280" s="43" t="n">
        <v>1794</v>
      </c>
      <c r="E1280" s="32">
        <f>IF(B1280="","",IFERROR(INDEX(Client_List!$C:$C,MATCH(VALUE(B1280),Client_List!$A:$A,0)),""))</f>
        <v/>
      </c>
      <c r="F1280" s="53">
        <f>IF(B1280="","",IFERROR(INDEX(Client_List!$D:$D,MATCH(VALUE(B1280),Client_List!$A:$A,0)),""))</f>
        <v/>
      </c>
      <c r="G1280" s="53">
        <f>IF(B1280="","",IFERROR(INDEX(Client_List!$K:$K,MATCH(VALUE(B1280),Client_List!$A:$A,0)),""))</f>
        <v/>
      </c>
      <c r="H1280" s="32">
        <f>IF(B1280="","",IFERROR(INDEX(Client_List!$J:$J,MATCH(VALUE(B1280),Client_List!$A:$A,0)),""))</f>
        <v/>
      </c>
      <c r="I1280" s="70">
        <f>IF(B1280="","",IFERROR(A1280-LOOKUP(2,1/($B$4:$B1279=B1280),$A$4:$A1279),""))</f>
        <v/>
      </c>
      <c r="J1280" s="32">
        <f>IF(B1280="","",IFERROR(D1280/I1280,""))</f>
        <v/>
      </c>
      <c r="K1280" s="71">
        <f>IF(B1280="","",IFERROR(AVERAGEIFS($J$4:$J1280,$B$4:$B1280,B1280,$J$4:$J1280,"&gt;"&amp;0),""))</f>
        <v/>
      </c>
      <c r="L1280" s="11" t="n"/>
    </row>
    <row r="1281" ht="14" customHeight="1" s="72">
      <c r="A1281" s="75" t="n">
        <v>46127</v>
      </c>
      <c r="B1281" s="77" t="n">
        <v>18004</v>
      </c>
      <c r="C1281" s="69">
        <f>IF(B1281="","",IFERROR(INDEX(Client_List!$B:$B,MATCH(B1281,Client_List!$A:$A,0)),"⚠ NOT FOUND"))</f>
        <v/>
      </c>
      <c r="D1281" s="43" t="n">
        <v>518</v>
      </c>
      <c r="E1281" s="32">
        <f>IF(B1281="","",IFERROR(INDEX(Client_List!$C:$C,MATCH(VALUE(B1281),Client_List!$A:$A,0)),""))</f>
        <v/>
      </c>
      <c r="F1281" s="53">
        <f>IF(B1281="","",IFERROR(INDEX(Client_List!$D:$D,MATCH(VALUE(B1281),Client_List!$A:$A,0)),""))</f>
        <v/>
      </c>
      <c r="G1281" s="53">
        <f>IF(B1281="","",IFERROR(INDEX(Client_List!$K:$K,MATCH(VALUE(B1281),Client_List!$A:$A,0)),""))</f>
        <v/>
      </c>
      <c r="H1281" s="32">
        <f>IF(B1281="","",IFERROR(INDEX(Client_List!$J:$J,MATCH(VALUE(B1281),Client_List!$A:$A,0)),""))</f>
        <v/>
      </c>
      <c r="I1281" s="70">
        <f>IF(B1281="","",IFERROR(A1281-LOOKUP(2,1/($B$4:$B1280=B1281),$A$4:$A1280),""))</f>
        <v/>
      </c>
      <c r="J1281" s="32">
        <f>IF(B1281="","",IFERROR(D1281/I1281,""))</f>
        <v/>
      </c>
      <c r="K1281" s="71">
        <f>IF(B1281="","",IFERROR(AVERAGEIFS($J$4:$J1281,$B$4:$B1281,B1281,$J$4:$J1281,"&gt;"&amp;0),""))</f>
        <v/>
      </c>
      <c r="L1281" s="12" t="n"/>
    </row>
    <row r="1282" ht="14" customHeight="1" s="72">
      <c r="A1282" s="75" t="n">
        <v>46127</v>
      </c>
      <c r="B1282" s="77" t="n">
        <v>20077</v>
      </c>
      <c r="C1282" s="69">
        <f>IF(B1282="","",IFERROR(INDEX(Client_List!$B:$B,MATCH(B1282,Client_List!$A:$A,0)),"⚠ NOT FOUND"))</f>
        <v/>
      </c>
      <c r="D1282" s="43" t="n">
        <v>579</v>
      </c>
      <c r="E1282" s="32">
        <f>IF(B1282="","",IFERROR(INDEX(Client_List!$C:$C,MATCH(VALUE(B1282),Client_List!$A:$A,0)),""))</f>
        <v/>
      </c>
      <c r="F1282" s="53">
        <f>IF(B1282="","",IFERROR(INDEX(Client_List!$D:$D,MATCH(VALUE(B1282),Client_List!$A:$A,0)),""))</f>
        <v/>
      </c>
      <c r="G1282" s="53">
        <f>IF(B1282="","",IFERROR(INDEX(Client_List!$K:$K,MATCH(VALUE(B1282),Client_List!$A:$A,0)),""))</f>
        <v/>
      </c>
      <c r="H1282" s="32">
        <f>IF(B1282="","",IFERROR(INDEX(Client_List!$J:$J,MATCH(VALUE(B1282),Client_List!$A:$A,0)),""))</f>
        <v/>
      </c>
      <c r="I1282" s="70">
        <f>IF(B1282="","",IFERROR(A1282-LOOKUP(2,1/($B$4:$B1281=B1282),$A$4:$A1281),""))</f>
        <v/>
      </c>
      <c r="J1282" s="32">
        <f>IF(B1282="","",IFERROR(D1282/I1282,""))</f>
        <v/>
      </c>
      <c r="K1282" s="71">
        <f>IF(B1282="","",IFERROR(AVERAGEIFS($J$4:$J1282,$B$4:$B1282,B1282,$J$4:$J1282,"&gt;"&amp;0),""))</f>
        <v/>
      </c>
      <c r="L1282" s="11" t="n"/>
    </row>
    <row r="1283" ht="14" customHeight="1" s="72">
      <c r="A1283" s="75" t="n">
        <v>46128</v>
      </c>
      <c r="B1283" s="77" t="n">
        <v>1013</v>
      </c>
      <c r="C1283" s="69">
        <f>IF(B1283="","",IFERROR(INDEX(Client_List!$B:$B,MATCH(B1283,Client_List!$A:$A,0)),"⚠ NOT FOUND"))</f>
        <v/>
      </c>
      <c r="D1283" s="43" t="n">
        <v>785</v>
      </c>
      <c r="E1283" s="32">
        <f>IF(B1283="","",IFERROR(INDEX(Client_List!$C:$C,MATCH(VALUE(B1283),Client_List!$A:$A,0)),""))</f>
        <v/>
      </c>
      <c r="F1283" s="53">
        <f>IF(B1283="","",IFERROR(INDEX(Client_List!$D:$D,MATCH(VALUE(B1283),Client_List!$A:$A,0)),""))</f>
        <v/>
      </c>
      <c r="G1283" s="53">
        <f>IF(B1283="","",IFERROR(INDEX(Client_List!$K:$K,MATCH(VALUE(B1283),Client_List!$A:$A,0)),""))</f>
        <v/>
      </c>
      <c r="H1283" s="32">
        <f>IF(B1283="","",IFERROR(INDEX(Client_List!$J:$J,MATCH(VALUE(B1283),Client_List!$A:$A,0)),""))</f>
        <v/>
      </c>
      <c r="I1283" s="70">
        <f>IF(B1283="","",IFERROR(A1283-LOOKUP(2,1/($B$4:$B1282=B1283),$A$4:$A1282),""))</f>
        <v/>
      </c>
      <c r="J1283" s="32">
        <f>IF(B1283="","",IFERROR(D1283/I1283,""))</f>
        <v/>
      </c>
      <c r="K1283" s="71">
        <f>IF(B1283="","",IFERROR(AVERAGEIFS($J$4:$J1283,$B$4:$B1283,B1283,$J$4:$J1283,"&gt;"&amp;0),""))</f>
        <v/>
      </c>
      <c r="L1283" s="12" t="n"/>
    </row>
    <row r="1284" ht="14" customHeight="1" s="72">
      <c r="A1284" s="75" t="n">
        <v>46128</v>
      </c>
      <c r="B1284" s="77" t="n">
        <v>1063</v>
      </c>
      <c r="C1284" s="69">
        <f>IF(B1284="","",IFERROR(INDEX(Client_List!$B:$B,MATCH(B1284,Client_List!$A:$A,0)),"⚠ NOT FOUND"))</f>
        <v/>
      </c>
      <c r="D1284" s="43" t="n">
        <v>639</v>
      </c>
      <c r="E1284" s="32">
        <f>IF(B1284="","",IFERROR(INDEX(Client_List!$C:$C,MATCH(VALUE(B1284),Client_List!$A:$A,0)),""))</f>
        <v/>
      </c>
      <c r="F1284" s="53">
        <f>IF(B1284="","",IFERROR(INDEX(Client_List!$D:$D,MATCH(VALUE(B1284),Client_List!$A:$A,0)),""))</f>
        <v/>
      </c>
      <c r="G1284" s="53">
        <f>IF(B1284="","",IFERROR(INDEX(Client_List!$K:$K,MATCH(VALUE(B1284),Client_List!$A:$A,0)),""))</f>
        <v/>
      </c>
      <c r="H1284" s="32">
        <f>IF(B1284="","",IFERROR(INDEX(Client_List!$J:$J,MATCH(VALUE(B1284),Client_List!$A:$A,0)),""))</f>
        <v/>
      </c>
      <c r="I1284" s="70">
        <f>IF(B1284="","",IFERROR(A1284-LOOKUP(2,1/($B$4:$B1283=B1284),$A$4:$A1283),""))</f>
        <v/>
      </c>
      <c r="J1284" s="32">
        <f>IF(B1284="","",IFERROR(D1284/I1284,""))</f>
        <v/>
      </c>
      <c r="K1284" s="71">
        <f>IF(B1284="","",IFERROR(AVERAGEIFS($J$4:$J1284,$B$4:$B1284,B1284,$J$4:$J1284,"&gt;"&amp;0),""))</f>
        <v/>
      </c>
      <c r="L1284" s="11" t="n"/>
    </row>
    <row r="1285" ht="14" customHeight="1" s="72">
      <c r="A1285" s="75" t="n">
        <v>46128</v>
      </c>
      <c r="B1285" s="77" t="n">
        <v>1081</v>
      </c>
      <c r="C1285" s="69">
        <f>IF(B1285="","",IFERROR(INDEX(Client_List!$B:$B,MATCH(B1285,Client_List!$A:$A,0)),"⚠ NOT FOUND"))</f>
        <v/>
      </c>
      <c r="D1285" s="43" t="n">
        <v>317</v>
      </c>
      <c r="E1285" s="32">
        <f>IF(B1285="","",IFERROR(INDEX(Client_List!$C:$C,MATCH(VALUE(B1285),Client_List!$A:$A,0)),""))</f>
        <v/>
      </c>
      <c r="F1285" s="53">
        <f>IF(B1285="","",IFERROR(INDEX(Client_List!$D:$D,MATCH(VALUE(B1285),Client_List!$A:$A,0)),""))</f>
        <v/>
      </c>
      <c r="G1285" s="53">
        <f>IF(B1285="","",IFERROR(INDEX(Client_List!$K:$K,MATCH(VALUE(B1285),Client_List!$A:$A,0)),""))</f>
        <v/>
      </c>
      <c r="H1285" s="32">
        <f>IF(B1285="","",IFERROR(INDEX(Client_List!$J:$J,MATCH(VALUE(B1285),Client_List!$A:$A,0)),""))</f>
        <v/>
      </c>
      <c r="I1285" s="70">
        <f>IF(B1285="","",IFERROR(A1285-LOOKUP(2,1/($B$4:$B1284=B1285),$A$4:$A1284),""))</f>
        <v/>
      </c>
      <c r="J1285" s="32">
        <f>IF(B1285="","",IFERROR(D1285/I1285,""))</f>
        <v/>
      </c>
      <c r="K1285" s="71">
        <f>IF(B1285="","",IFERROR(AVERAGEIFS($J$4:$J1285,$B$4:$B1285,B1285,$J$4:$J1285,"&gt;"&amp;0),""))</f>
        <v/>
      </c>
      <c r="L1285" s="12" t="n"/>
    </row>
    <row r="1286" ht="14" customHeight="1" s="72">
      <c r="A1286" s="75" t="n">
        <v>46128</v>
      </c>
      <c r="B1286" s="77" t="n">
        <v>2017</v>
      </c>
      <c r="C1286" s="69">
        <f>IF(B1286="","",IFERROR(INDEX(Client_List!$B:$B,MATCH(B1286,Client_List!$A:$A,0)),"⚠ NOT FOUND"))</f>
        <v/>
      </c>
      <c r="D1286" s="43" t="n">
        <v>652</v>
      </c>
      <c r="E1286" s="32">
        <f>IF(B1286="","",IFERROR(INDEX(Client_List!$C:$C,MATCH(VALUE(B1286),Client_List!$A:$A,0)),""))</f>
        <v/>
      </c>
      <c r="F1286" s="53">
        <f>IF(B1286="","",IFERROR(INDEX(Client_List!$D:$D,MATCH(VALUE(B1286),Client_List!$A:$A,0)),""))</f>
        <v/>
      </c>
      <c r="G1286" s="53">
        <f>IF(B1286="","",IFERROR(INDEX(Client_List!$K:$K,MATCH(VALUE(B1286),Client_List!$A:$A,0)),""))</f>
        <v/>
      </c>
      <c r="H1286" s="32">
        <f>IF(B1286="","",IFERROR(INDEX(Client_List!$J:$J,MATCH(VALUE(B1286),Client_List!$A:$A,0)),""))</f>
        <v/>
      </c>
      <c r="I1286" s="70">
        <f>IF(B1286="","",IFERROR(A1286-LOOKUP(2,1/($B$4:$B1285=B1286),$A$4:$A1285),""))</f>
        <v/>
      </c>
      <c r="J1286" s="32">
        <f>IF(B1286="","",IFERROR(D1286/I1286,""))</f>
        <v/>
      </c>
      <c r="K1286" s="71">
        <f>IF(B1286="","",IFERROR(AVERAGEIFS($J$4:$J1286,$B$4:$B1286,B1286,$J$4:$J1286,"&gt;"&amp;0),""))</f>
        <v/>
      </c>
      <c r="L1286" s="11" t="n"/>
    </row>
    <row r="1287" ht="14" customHeight="1" s="72">
      <c r="A1287" s="75" t="n">
        <v>46128</v>
      </c>
      <c r="B1287" s="77" t="n">
        <v>2078</v>
      </c>
      <c r="C1287" s="69">
        <f>IF(B1287="","",IFERROR(INDEX(Client_List!$B:$B,MATCH(B1287,Client_List!$A:$A,0)),"⚠ NOT FOUND"))</f>
        <v/>
      </c>
      <c r="D1287" s="43" t="n">
        <v>255</v>
      </c>
      <c r="E1287" s="32">
        <f>IF(B1287="","",IFERROR(INDEX(Client_List!$C:$C,MATCH(VALUE(B1287),Client_List!$A:$A,0)),""))</f>
        <v/>
      </c>
      <c r="F1287" s="53">
        <f>IF(B1287="","",IFERROR(INDEX(Client_List!$D:$D,MATCH(VALUE(B1287),Client_List!$A:$A,0)),""))</f>
        <v/>
      </c>
      <c r="G1287" s="53">
        <f>IF(B1287="","",IFERROR(INDEX(Client_List!$K:$K,MATCH(VALUE(B1287),Client_List!$A:$A,0)),""))</f>
        <v/>
      </c>
      <c r="H1287" s="32">
        <f>IF(B1287="","",IFERROR(INDEX(Client_List!$J:$J,MATCH(VALUE(B1287),Client_List!$A:$A,0)),""))</f>
        <v/>
      </c>
      <c r="I1287" s="70">
        <f>IF(B1287="","",IFERROR(A1287-LOOKUP(2,1/($B$4:$B1286=B1287),$A$4:$A1286),""))</f>
        <v/>
      </c>
      <c r="J1287" s="32">
        <f>IF(B1287="","",IFERROR(D1287/I1287,""))</f>
        <v/>
      </c>
      <c r="K1287" s="71">
        <f>IF(B1287="","",IFERROR(AVERAGEIFS($J$4:$J1287,$B$4:$B1287,B1287,$J$4:$J1287,"&gt;"&amp;0),""))</f>
        <v/>
      </c>
      <c r="L1287" s="12" t="n"/>
    </row>
    <row r="1288" ht="14" customHeight="1" s="72">
      <c r="A1288" s="75" t="n">
        <v>46128</v>
      </c>
      <c r="B1288" s="77" t="n">
        <v>6077</v>
      </c>
      <c r="C1288" s="69">
        <f>IF(B1288="","",IFERROR(INDEX(Client_List!$B:$B,MATCH(B1288,Client_List!$A:$A,0)),"⚠ NOT FOUND"))</f>
        <v/>
      </c>
      <c r="D1288" s="43" t="n">
        <v>2086</v>
      </c>
      <c r="E1288" s="32">
        <f>IF(B1288="","",IFERROR(INDEX(Client_List!$C:$C,MATCH(VALUE(B1288),Client_List!$A:$A,0)),""))</f>
        <v/>
      </c>
      <c r="F1288" s="53">
        <f>IF(B1288="","",IFERROR(INDEX(Client_List!$D:$D,MATCH(VALUE(B1288),Client_List!$A:$A,0)),""))</f>
        <v/>
      </c>
      <c r="G1288" s="53">
        <f>IF(B1288="","",IFERROR(INDEX(Client_List!$K:$K,MATCH(VALUE(B1288),Client_List!$A:$A,0)),""))</f>
        <v/>
      </c>
      <c r="H1288" s="32">
        <f>IF(B1288="","",IFERROR(INDEX(Client_List!$J:$J,MATCH(VALUE(B1288),Client_List!$A:$A,0)),""))</f>
        <v/>
      </c>
      <c r="I1288" s="70">
        <f>IF(B1288="","",IFERROR(A1288-LOOKUP(2,1/($B$4:$B1287=B1288),$A$4:$A1287),""))</f>
        <v/>
      </c>
      <c r="J1288" s="32">
        <f>IF(B1288="","",IFERROR(D1288/I1288,""))</f>
        <v/>
      </c>
      <c r="K1288" s="71">
        <f>IF(B1288="","",IFERROR(AVERAGEIFS($J$4:$J1288,$B$4:$B1288,B1288,$J$4:$J1288,"&gt;"&amp;0),""))</f>
        <v/>
      </c>
      <c r="L1288" s="11" t="n"/>
    </row>
    <row r="1289" ht="14" customHeight="1" s="72">
      <c r="A1289" s="75" t="n">
        <v>46128</v>
      </c>
      <c r="B1289" s="77" t="n">
        <v>10001</v>
      </c>
      <c r="C1289" s="69">
        <f>IF(B1289="","",IFERROR(INDEX(Client_List!$B:$B,MATCH(B1289,Client_List!$A:$A,0)),"⚠ NOT FOUND"))</f>
        <v/>
      </c>
      <c r="D1289" s="43" t="n">
        <v>718</v>
      </c>
      <c r="E1289" s="32">
        <f>IF(B1289="","",IFERROR(INDEX(Client_List!$C:$C,MATCH(VALUE(B1289),Client_List!$A:$A,0)),""))</f>
        <v/>
      </c>
      <c r="F1289" s="53">
        <f>IF(B1289="","",IFERROR(INDEX(Client_List!$D:$D,MATCH(VALUE(B1289),Client_List!$A:$A,0)),""))</f>
        <v/>
      </c>
      <c r="G1289" s="53">
        <f>IF(B1289="","",IFERROR(INDEX(Client_List!$K:$K,MATCH(VALUE(B1289),Client_List!$A:$A,0)),""))</f>
        <v/>
      </c>
      <c r="H1289" s="32">
        <f>IF(B1289="","",IFERROR(INDEX(Client_List!$J:$J,MATCH(VALUE(B1289),Client_List!$A:$A,0)),""))</f>
        <v/>
      </c>
      <c r="I1289" s="70">
        <f>IF(B1289="","",IFERROR(A1289-LOOKUP(2,1/($B$4:$B1288=B1289),$A$4:$A1288),""))</f>
        <v/>
      </c>
      <c r="J1289" s="32">
        <f>IF(B1289="","",IFERROR(D1289/I1289,""))</f>
        <v/>
      </c>
      <c r="K1289" s="71">
        <f>IF(B1289="","",IFERROR(AVERAGEIFS($J$4:$J1289,$B$4:$B1289,B1289,$J$4:$J1289,"&gt;"&amp;0),""))</f>
        <v/>
      </c>
      <c r="L1289" s="12" t="n"/>
    </row>
    <row r="1290" ht="14" customHeight="1" s="72">
      <c r="A1290" s="75" t="n">
        <v>46128</v>
      </c>
      <c r="B1290" s="77" t="n">
        <v>12048</v>
      </c>
      <c r="C1290" s="69">
        <f>IF(B1290="","",IFERROR(INDEX(Client_List!$B:$B,MATCH(B1290,Client_List!$A:$A,0)),"⚠ NOT FOUND"))</f>
        <v/>
      </c>
      <c r="D1290" s="43" t="n">
        <v>710</v>
      </c>
      <c r="E1290" s="32">
        <f>IF(B1290="","",IFERROR(INDEX(Client_List!$C:$C,MATCH(VALUE(B1290),Client_List!$A:$A,0)),""))</f>
        <v/>
      </c>
      <c r="F1290" s="53">
        <f>IF(B1290="","",IFERROR(INDEX(Client_List!$D:$D,MATCH(VALUE(B1290),Client_List!$A:$A,0)),""))</f>
        <v/>
      </c>
      <c r="G1290" s="53">
        <f>IF(B1290="","",IFERROR(INDEX(Client_List!$K:$K,MATCH(VALUE(B1290),Client_List!$A:$A,0)),""))</f>
        <v/>
      </c>
      <c r="H1290" s="32">
        <f>IF(B1290="","",IFERROR(INDEX(Client_List!$J:$J,MATCH(VALUE(B1290),Client_List!$A:$A,0)),""))</f>
        <v/>
      </c>
      <c r="I1290" s="70">
        <f>IF(B1290="","",IFERROR(A1290-LOOKUP(2,1/($B$4:$B1289=B1290),$A$4:$A1289),""))</f>
        <v/>
      </c>
      <c r="J1290" s="32">
        <f>IF(B1290="","",IFERROR(D1290/I1290,""))</f>
        <v/>
      </c>
      <c r="K1290" s="71">
        <f>IF(B1290="","",IFERROR(AVERAGEIFS($J$4:$J1290,$B$4:$B1290,B1290,$J$4:$J1290,"&gt;"&amp;0),""))</f>
        <v/>
      </c>
      <c r="L1290" s="11" t="n"/>
    </row>
    <row r="1291" ht="14" customHeight="1" s="72">
      <c r="A1291" s="75" t="n">
        <v>46128</v>
      </c>
      <c r="B1291" s="77" t="n">
        <v>13013</v>
      </c>
      <c r="C1291" s="69">
        <f>IF(B1291="","",IFERROR(INDEX(Client_List!$B:$B,MATCH(B1291,Client_List!$A:$A,0)),"⚠ NOT FOUND"))</f>
        <v/>
      </c>
      <c r="D1291" s="43" t="n">
        <v>909</v>
      </c>
      <c r="E1291" s="32">
        <f>IF(B1291="","",IFERROR(INDEX(Client_List!$C:$C,MATCH(VALUE(B1291),Client_List!$A:$A,0)),""))</f>
        <v/>
      </c>
      <c r="F1291" s="53">
        <f>IF(B1291="","",IFERROR(INDEX(Client_List!$D:$D,MATCH(VALUE(B1291),Client_List!$A:$A,0)),""))</f>
        <v/>
      </c>
      <c r="G1291" s="53">
        <f>IF(B1291="","",IFERROR(INDEX(Client_List!$K:$K,MATCH(VALUE(B1291),Client_List!$A:$A,0)),""))</f>
        <v/>
      </c>
      <c r="H1291" s="32">
        <f>IF(B1291="","",IFERROR(INDEX(Client_List!$J:$J,MATCH(VALUE(B1291),Client_List!$A:$A,0)),""))</f>
        <v/>
      </c>
      <c r="I1291" s="70">
        <f>IF(B1291="","",IFERROR(A1291-LOOKUP(2,1/($B$4:$B1290=B1291),$A$4:$A1290),""))</f>
        <v/>
      </c>
      <c r="J1291" s="32">
        <f>IF(B1291="","",IFERROR(D1291/I1291,""))</f>
        <v/>
      </c>
      <c r="K1291" s="71">
        <f>IF(B1291="","",IFERROR(AVERAGEIFS($J$4:$J1291,$B$4:$B1291,B1291,$J$4:$J1291,"&gt;"&amp;0),""))</f>
        <v/>
      </c>
      <c r="L1291" s="12" t="n"/>
    </row>
    <row r="1292" ht="14" customHeight="1" s="72">
      <c r="A1292" s="75" t="n">
        <v>46128</v>
      </c>
      <c r="B1292" s="77" t="n">
        <v>16008</v>
      </c>
      <c r="C1292" s="69">
        <f>IF(B1292="","",IFERROR(INDEX(Client_List!$B:$B,MATCH(B1292,Client_List!$A:$A,0)),"⚠ NOT FOUND"))</f>
        <v/>
      </c>
      <c r="D1292" s="43" t="n">
        <v>198</v>
      </c>
      <c r="E1292" s="32">
        <f>IF(B1292="","",IFERROR(INDEX(Client_List!$C:$C,MATCH(VALUE(B1292),Client_List!$A:$A,0)),""))</f>
        <v/>
      </c>
      <c r="F1292" s="53">
        <f>IF(B1292="","",IFERROR(INDEX(Client_List!$D:$D,MATCH(VALUE(B1292),Client_List!$A:$A,0)),""))</f>
        <v/>
      </c>
      <c r="G1292" s="53">
        <f>IF(B1292="","",IFERROR(INDEX(Client_List!$K:$K,MATCH(VALUE(B1292),Client_List!$A:$A,0)),""))</f>
        <v/>
      </c>
      <c r="H1292" s="32">
        <f>IF(B1292="","",IFERROR(INDEX(Client_List!$J:$J,MATCH(VALUE(B1292),Client_List!$A:$A,0)),""))</f>
        <v/>
      </c>
      <c r="I1292" s="70">
        <f>IF(B1292="","",IFERROR(A1292-LOOKUP(2,1/($B$4:$B1291=B1292),$A$4:$A1291),""))</f>
        <v/>
      </c>
      <c r="J1292" s="32">
        <f>IF(B1292="","",IFERROR(D1292/I1292,""))</f>
        <v/>
      </c>
      <c r="K1292" s="71">
        <f>IF(B1292="","",IFERROR(AVERAGEIFS($J$4:$J1292,$B$4:$B1292,B1292,$J$4:$J1292,"&gt;"&amp;0),""))</f>
        <v/>
      </c>
      <c r="L1292" s="11" t="n"/>
    </row>
    <row r="1293" ht="14" customHeight="1" s="72">
      <c r="A1293" s="75" t="n">
        <v>46128</v>
      </c>
      <c r="B1293" s="77" t="n">
        <v>19033</v>
      </c>
      <c r="C1293" s="69">
        <f>IF(B1293="","",IFERROR(INDEX(Client_List!$B:$B,MATCH(B1293,Client_List!$A:$A,0)),"⚠ NOT FOUND"))</f>
        <v/>
      </c>
      <c r="D1293" s="43" t="n">
        <v>238</v>
      </c>
      <c r="E1293" s="32">
        <f>IF(B1293="","",IFERROR(INDEX(Client_List!$C:$C,MATCH(VALUE(B1293),Client_List!$A:$A,0)),""))</f>
        <v/>
      </c>
      <c r="F1293" s="53">
        <f>IF(B1293="","",IFERROR(INDEX(Client_List!$D:$D,MATCH(VALUE(B1293),Client_List!$A:$A,0)),""))</f>
        <v/>
      </c>
      <c r="G1293" s="53">
        <f>IF(B1293="","",IFERROR(INDEX(Client_List!$K:$K,MATCH(VALUE(B1293),Client_List!$A:$A,0)),""))</f>
        <v/>
      </c>
      <c r="H1293" s="32">
        <f>IF(B1293="","",IFERROR(INDEX(Client_List!$J:$J,MATCH(VALUE(B1293),Client_List!$A:$A,0)),""))</f>
        <v/>
      </c>
      <c r="I1293" s="70">
        <f>IF(B1293="","",IFERROR(A1293-LOOKUP(2,1/($B$4:$B1292=B1293),$A$4:$A1292),""))</f>
        <v/>
      </c>
      <c r="J1293" s="32">
        <f>IF(B1293="","",IFERROR(D1293/I1293,""))</f>
        <v/>
      </c>
      <c r="K1293" s="71">
        <f>IF(B1293="","",IFERROR(AVERAGEIFS($J$4:$J1293,$B$4:$B1293,B1293,$J$4:$J1293,"&gt;"&amp;0),""))</f>
        <v/>
      </c>
      <c r="L1293" s="12" t="n"/>
    </row>
    <row r="1294" ht="14" customHeight="1" s="72">
      <c r="A1294" s="75" t="n">
        <v>46128</v>
      </c>
      <c r="B1294" s="77" t="n">
        <v>19081</v>
      </c>
      <c r="C1294" s="69">
        <f>IF(B1294="","",IFERROR(INDEX(Client_List!$B:$B,MATCH(B1294,Client_List!$A:$A,0)),"⚠ NOT FOUND"))</f>
        <v/>
      </c>
      <c r="D1294" s="43" t="n">
        <v>478</v>
      </c>
      <c r="E1294" s="32">
        <f>IF(B1294="","",IFERROR(INDEX(Client_List!$C:$C,MATCH(VALUE(B1294),Client_List!$A:$A,0)),""))</f>
        <v/>
      </c>
      <c r="F1294" s="53">
        <f>IF(B1294="","",IFERROR(INDEX(Client_List!$D:$D,MATCH(VALUE(B1294),Client_List!$A:$A,0)),""))</f>
        <v/>
      </c>
      <c r="G1294" s="53">
        <f>IF(B1294="","",IFERROR(INDEX(Client_List!$K:$K,MATCH(VALUE(B1294),Client_List!$A:$A,0)),""))</f>
        <v/>
      </c>
      <c r="H1294" s="32">
        <f>IF(B1294="","",IFERROR(INDEX(Client_List!$J:$J,MATCH(VALUE(B1294),Client_List!$A:$A,0)),""))</f>
        <v/>
      </c>
      <c r="I1294" s="70">
        <f>IF(B1294="","",IFERROR(A1294-LOOKUP(2,1/($B$4:$B1293=B1294),$A$4:$A1293),""))</f>
        <v/>
      </c>
      <c r="J1294" s="32">
        <f>IF(B1294="","",IFERROR(D1294/I1294,""))</f>
        <v/>
      </c>
      <c r="K1294" s="71">
        <f>IF(B1294="","",IFERROR(AVERAGEIFS($J$4:$J1294,$B$4:$B1294,B1294,$J$4:$J1294,"&gt;"&amp;0),""))</f>
        <v/>
      </c>
      <c r="L1294" s="11" t="n"/>
    </row>
    <row r="1295" ht="14" customHeight="1" s="72">
      <c r="A1295" s="75" t="n">
        <v>46129</v>
      </c>
      <c r="B1295" s="77" t="n">
        <v>1014</v>
      </c>
      <c r="C1295" s="69">
        <f>IF(B1295="","",IFERROR(INDEX(Client_List!$B:$B,MATCH(B1295,Client_List!$A:$A,0)),"⚠ NOT FOUND"))</f>
        <v/>
      </c>
      <c r="D1295" s="43" t="n">
        <v>534</v>
      </c>
      <c r="E1295" s="32">
        <f>IF(B1295="","",IFERROR(INDEX(Client_List!$C:$C,MATCH(VALUE(B1295),Client_List!$A:$A,0)),""))</f>
        <v/>
      </c>
      <c r="F1295" s="53">
        <f>IF(B1295="","",IFERROR(INDEX(Client_List!$D:$D,MATCH(VALUE(B1295),Client_List!$A:$A,0)),""))</f>
        <v/>
      </c>
      <c r="G1295" s="53">
        <f>IF(B1295="","",IFERROR(INDEX(Client_List!$K:$K,MATCH(VALUE(B1295),Client_List!$A:$A,0)),""))</f>
        <v/>
      </c>
      <c r="H1295" s="32">
        <f>IF(B1295="","",IFERROR(INDEX(Client_List!$J:$J,MATCH(VALUE(B1295),Client_List!$A:$A,0)),""))</f>
        <v/>
      </c>
      <c r="I1295" s="70">
        <f>IF(B1295="","",IFERROR(A1295-LOOKUP(2,1/($B$4:$B1294=B1295),$A$4:$A1294),""))</f>
        <v/>
      </c>
      <c r="J1295" s="32">
        <f>IF(B1295="","",IFERROR(D1295/I1295,""))</f>
        <v/>
      </c>
      <c r="K1295" s="71">
        <f>IF(B1295="","",IFERROR(AVERAGEIFS($J$4:$J1295,$B$4:$B1295,B1295,$J$4:$J1295,"&gt;"&amp;0),""))</f>
        <v/>
      </c>
      <c r="L1295" s="12" t="n"/>
    </row>
    <row r="1296" ht="14" customHeight="1" s="72">
      <c r="A1296" s="75" t="n">
        <v>46129</v>
      </c>
      <c r="B1296" s="77" t="n">
        <v>2053</v>
      </c>
      <c r="C1296" s="69">
        <f>IF(B1296="","",IFERROR(INDEX(Client_List!$B:$B,MATCH(B1296,Client_List!$A:$A,0)),"⚠ NOT FOUND"))</f>
        <v/>
      </c>
      <c r="D1296" s="43" t="n">
        <v>975</v>
      </c>
      <c r="E1296" s="32">
        <f>IF(B1296="","",IFERROR(INDEX(Client_List!$C:$C,MATCH(VALUE(B1296),Client_List!$A:$A,0)),""))</f>
        <v/>
      </c>
      <c r="F1296" s="53">
        <f>IF(B1296="","",IFERROR(INDEX(Client_List!$D:$D,MATCH(VALUE(B1296),Client_List!$A:$A,0)),""))</f>
        <v/>
      </c>
      <c r="G1296" s="53">
        <f>IF(B1296="","",IFERROR(INDEX(Client_List!$K:$K,MATCH(VALUE(B1296),Client_List!$A:$A,0)),""))</f>
        <v/>
      </c>
      <c r="H1296" s="32">
        <f>IF(B1296="","",IFERROR(INDEX(Client_List!$J:$J,MATCH(VALUE(B1296),Client_List!$A:$A,0)),""))</f>
        <v/>
      </c>
      <c r="I1296" s="70">
        <f>IF(B1296="","",IFERROR(A1296-LOOKUP(2,1/($B$4:$B1295=B1296),$A$4:$A1295),""))</f>
        <v/>
      </c>
      <c r="J1296" s="32">
        <f>IF(B1296="","",IFERROR(D1296/I1296,""))</f>
        <v/>
      </c>
      <c r="K1296" s="71">
        <f>IF(B1296="","",IFERROR(AVERAGEIFS($J$4:$J1296,$B$4:$B1296,B1296,$J$4:$J1296,"&gt;"&amp;0),""))</f>
        <v/>
      </c>
      <c r="L1296" s="11" t="n"/>
    </row>
    <row r="1297" ht="14" customHeight="1" s="72">
      <c r="A1297" s="75" t="n">
        <v>46129</v>
      </c>
      <c r="B1297" s="77" t="n">
        <v>3063</v>
      </c>
      <c r="C1297" s="69">
        <f>IF(B1297="","",IFERROR(INDEX(Client_List!$B:$B,MATCH(B1297,Client_List!$A:$A,0)),"⚠ NOT FOUND"))</f>
        <v/>
      </c>
      <c r="D1297" s="43" t="n">
        <v>1655</v>
      </c>
      <c r="E1297" s="32">
        <f>IF(B1297="","",IFERROR(INDEX(Client_List!$C:$C,MATCH(VALUE(B1297),Client_List!$A:$A,0)),""))</f>
        <v/>
      </c>
      <c r="F1297" s="53">
        <f>IF(B1297="","",IFERROR(INDEX(Client_List!$D:$D,MATCH(VALUE(B1297),Client_List!$A:$A,0)),""))</f>
        <v/>
      </c>
      <c r="G1297" s="53">
        <f>IF(B1297="","",IFERROR(INDEX(Client_List!$K:$K,MATCH(VALUE(B1297),Client_List!$A:$A,0)),""))</f>
        <v/>
      </c>
      <c r="H1297" s="32">
        <f>IF(B1297="","",IFERROR(INDEX(Client_List!$J:$J,MATCH(VALUE(B1297),Client_List!$A:$A,0)),""))</f>
        <v/>
      </c>
      <c r="I1297" s="70">
        <f>IF(B1297="","",IFERROR(A1297-LOOKUP(2,1/($B$4:$B1296=B1297),$A$4:$A1296),""))</f>
        <v/>
      </c>
      <c r="J1297" s="32">
        <f>IF(B1297="","",IFERROR(D1297/I1297,""))</f>
        <v/>
      </c>
      <c r="K1297" s="71">
        <f>IF(B1297="","",IFERROR(AVERAGEIFS($J$4:$J1297,$B$4:$B1297,B1297,$J$4:$J1297,"&gt;"&amp;0),""))</f>
        <v/>
      </c>
      <c r="L1297" s="12" t="n"/>
    </row>
    <row r="1298" ht="14" customHeight="1" s="72">
      <c r="A1298" s="75" t="n">
        <v>46129</v>
      </c>
      <c r="B1298" s="77" t="n">
        <v>4029</v>
      </c>
      <c r="C1298" s="69">
        <f>IF(B1298="","",IFERROR(INDEX(Client_List!$B:$B,MATCH(B1298,Client_List!$A:$A,0)),"⚠ NOT FOUND"))</f>
        <v/>
      </c>
      <c r="D1298" s="43" t="n">
        <v>1401</v>
      </c>
      <c r="E1298" s="32">
        <f>IF(B1298="","",IFERROR(INDEX(Client_List!$C:$C,MATCH(VALUE(B1298),Client_List!$A:$A,0)),""))</f>
        <v/>
      </c>
      <c r="F1298" s="53">
        <f>IF(B1298="","",IFERROR(INDEX(Client_List!$D:$D,MATCH(VALUE(B1298),Client_List!$A:$A,0)),""))</f>
        <v/>
      </c>
      <c r="G1298" s="53">
        <f>IF(B1298="","",IFERROR(INDEX(Client_List!$K:$K,MATCH(VALUE(B1298),Client_List!$A:$A,0)),""))</f>
        <v/>
      </c>
      <c r="H1298" s="32">
        <f>IF(B1298="","",IFERROR(INDEX(Client_List!$J:$J,MATCH(VALUE(B1298),Client_List!$A:$A,0)),""))</f>
        <v/>
      </c>
      <c r="I1298" s="70">
        <f>IF(B1298="","",IFERROR(A1298-LOOKUP(2,1/($B$4:$B1297=B1298),$A$4:$A1297),""))</f>
        <v/>
      </c>
      <c r="J1298" s="32">
        <f>IF(B1298="","",IFERROR(D1298/I1298,""))</f>
        <v/>
      </c>
      <c r="K1298" s="71">
        <f>IF(B1298="","",IFERROR(AVERAGEIFS($J$4:$J1298,$B$4:$B1298,B1298,$J$4:$J1298,"&gt;"&amp;0),""))</f>
        <v/>
      </c>
      <c r="L1298" s="11" t="n"/>
    </row>
    <row r="1299" ht="14" customHeight="1" s="72">
      <c r="A1299" s="75" t="n">
        <v>46129</v>
      </c>
      <c r="B1299" s="77" t="n">
        <v>4038</v>
      </c>
      <c r="C1299" s="69">
        <f>IF(B1299="","",IFERROR(INDEX(Client_List!$B:$B,MATCH(B1299,Client_List!$A:$A,0)),"⚠ NOT FOUND"))</f>
        <v/>
      </c>
      <c r="D1299" s="43" t="n">
        <v>886</v>
      </c>
      <c r="E1299" s="32">
        <f>IF(B1299="","",IFERROR(INDEX(Client_List!$C:$C,MATCH(VALUE(B1299),Client_List!$A:$A,0)),""))</f>
        <v/>
      </c>
      <c r="F1299" s="53">
        <f>IF(B1299="","",IFERROR(INDEX(Client_List!$D:$D,MATCH(VALUE(B1299),Client_List!$A:$A,0)),""))</f>
        <v/>
      </c>
      <c r="G1299" s="53">
        <f>IF(B1299="","",IFERROR(INDEX(Client_List!$K:$K,MATCH(VALUE(B1299),Client_List!$A:$A,0)),""))</f>
        <v/>
      </c>
      <c r="H1299" s="32">
        <f>IF(B1299="","",IFERROR(INDEX(Client_List!$J:$J,MATCH(VALUE(B1299),Client_List!$A:$A,0)),""))</f>
        <v/>
      </c>
      <c r="I1299" s="70">
        <f>IF(B1299="","",IFERROR(A1299-LOOKUP(2,1/($B$4:$B1298=B1299),$A$4:$A1298),""))</f>
        <v/>
      </c>
      <c r="J1299" s="32">
        <f>IF(B1299="","",IFERROR(D1299/I1299,""))</f>
        <v/>
      </c>
      <c r="K1299" s="71">
        <f>IF(B1299="","",IFERROR(AVERAGEIFS($J$4:$J1299,$B$4:$B1299,B1299,$J$4:$J1299,"&gt;"&amp;0),""))</f>
        <v/>
      </c>
      <c r="L1299" s="12" t="n"/>
    </row>
    <row r="1300" ht="14" customHeight="1" s="72">
      <c r="A1300" s="75" t="n">
        <v>46129</v>
      </c>
      <c r="B1300" s="76" t="n">
        <v>6101</v>
      </c>
      <c r="C1300" s="69">
        <f>IF(B1300="","",IFERROR(INDEX(Client_List!$B:$B,MATCH(B1300,Client_List!$A:$A,0)),"⚠ NOT FOUND"))</f>
        <v/>
      </c>
      <c r="D1300" s="43" t="n">
        <v>588</v>
      </c>
      <c r="E1300" s="32">
        <f>IF(B1300="","",IFERROR(INDEX(Client_List!$C:$C,MATCH(VALUE(B1300),Client_List!$A:$A,0)),""))</f>
        <v/>
      </c>
      <c r="F1300" s="53">
        <f>IF(B1300="","",IFERROR(INDEX(Client_List!$D:$D,MATCH(VALUE(B1300),Client_List!$A:$A,0)),""))</f>
        <v/>
      </c>
      <c r="G1300" s="53">
        <f>IF(B1300="","",IFERROR(INDEX(Client_List!$K:$K,MATCH(VALUE(B1300),Client_List!$A:$A,0)),""))</f>
        <v/>
      </c>
      <c r="H1300" s="32">
        <f>IF(B1300="","",IFERROR(INDEX(Client_List!$J:$J,MATCH(VALUE(B1300),Client_List!$A:$A,0)),""))</f>
        <v/>
      </c>
      <c r="I1300" s="70">
        <f>IF(B1300="","",IFERROR(A1300-LOOKUP(2,1/($B$4:$B1299=B1300),$A$4:$A1299),""))</f>
        <v/>
      </c>
      <c r="J1300" s="32">
        <f>IF(B1300="","",IFERROR(D1300/I1300,""))</f>
        <v/>
      </c>
      <c r="K1300" s="71">
        <f>IF(B1300="","",IFERROR(AVERAGEIFS($J$4:$J1300,$B$4:$B1300,B1300,$J$4:$J1300,"&gt;"&amp;0),""))</f>
        <v/>
      </c>
      <c r="L1300" s="11" t="n"/>
    </row>
    <row r="1301" ht="14" customHeight="1" s="72">
      <c r="A1301" s="75" t="n">
        <v>46129</v>
      </c>
      <c r="B1301" s="76" t="n">
        <v>7001</v>
      </c>
      <c r="C1301" s="69">
        <f>IF(B1301="","",IFERROR(INDEX(Client_List!$B:$B,MATCH(B1301,Client_List!$A:$A,0)),"⚠ NOT FOUND"))</f>
        <v/>
      </c>
      <c r="D1301" s="43" t="n">
        <v>1422</v>
      </c>
      <c r="E1301" s="32">
        <f>IF(B1301="","",IFERROR(INDEX(Client_List!$C:$C,MATCH(VALUE(B1301),Client_List!$A:$A,0)),""))</f>
        <v/>
      </c>
      <c r="F1301" s="53">
        <f>IF(B1301="","",IFERROR(INDEX(Client_List!$D:$D,MATCH(VALUE(B1301),Client_List!$A:$A,0)),""))</f>
        <v/>
      </c>
      <c r="G1301" s="53">
        <f>IF(B1301="","",IFERROR(INDEX(Client_List!$K:$K,MATCH(VALUE(B1301),Client_List!$A:$A,0)),""))</f>
        <v/>
      </c>
      <c r="H1301" s="32">
        <f>IF(B1301="","",IFERROR(INDEX(Client_List!$J:$J,MATCH(VALUE(B1301),Client_List!$A:$A,0)),""))</f>
        <v/>
      </c>
      <c r="I1301" s="70">
        <f>IF(B1301="","",IFERROR(A1301-LOOKUP(2,1/($B$4:$B1300=B1301),$A$4:$A1300),""))</f>
        <v/>
      </c>
      <c r="J1301" s="32">
        <f>IF(B1301="","",IFERROR(D1301/I1301,""))</f>
        <v/>
      </c>
      <c r="K1301" s="71">
        <f>IF(B1301="","",IFERROR(AVERAGEIFS($J$4:$J1301,$B$4:$B1301,B1301,$J$4:$J1301,"&gt;"&amp;0),""))</f>
        <v/>
      </c>
      <c r="L1301" s="12" t="n"/>
    </row>
    <row r="1302" ht="14" customHeight="1" s="72">
      <c r="A1302" s="75" t="n">
        <v>46129</v>
      </c>
      <c r="B1302" s="76" t="n">
        <v>12025</v>
      </c>
      <c r="C1302" s="69">
        <f>IF(B1302="","",IFERROR(INDEX(Client_List!$B:$B,MATCH(B1302,Client_List!$A:$A,0)),"⚠ NOT FOUND"))</f>
        <v/>
      </c>
      <c r="D1302" s="43" t="n">
        <v>562</v>
      </c>
      <c r="E1302" s="32">
        <f>IF(B1302="","",IFERROR(INDEX(Client_List!$C:$C,MATCH(VALUE(B1302),Client_List!$A:$A,0)),""))</f>
        <v/>
      </c>
      <c r="F1302" s="53">
        <f>IF(B1302="","",IFERROR(INDEX(Client_List!$D:$D,MATCH(VALUE(B1302),Client_List!$A:$A,0)),""))</f>
        <v/>
      </c>
      <c r="G1302" s="53">
        <f>IF(B1302="","",IFERROR(INDEX(Client_List!$K:$K,MATCH(VALUE(B1302),Client_List!$A:$A,0)),""))</f>
        <v/>
      </c>
      <c r="H1302" s="32">
        <f>IF(B1302="","",IFERROR(INDEX(Client_List!$J:$J,MATCH(VALUE(B1302),Client_List!$A:$A,0)),""))</f>
        <v/>
      </c>
      <c r="I1302" s="70">
        <f>IF(B1302="","",IFERROR(A1302-LOOKUP(2,1/($B$4:$B1301=B1302),$A$4:$A1301),""))</f>
        <v/>
      </c>
      <c r="J1302" s="32">
        <f>IF(B1302="","",IFERROR(D1302/I1302,""))</f>
        <v/>
      </c>
      <c r="K1302" s="71">
        <f>IF(B1302="","",IFERROR(AVERAGEIFS($J$4:$J1302,$B$4:$B1302,B1302,$J$4:$J1302,"&gt;"&amp;0),""))</f>
        <v/>
      </c>
      <c r="L1302" s="11" t="n"/>
    </row>
    <row r="1303" ht="14" customHeight="1" s="72">
      <c r="A1303" s="75" t="n">
        <v>46129</v>
      </c>
      <c r="B1303" s="76" t="n">
        <v>13057</v>
      </c>
      <c r="C1303" s="69">
        <f>IF(B1303="","",IFERROR(INDEX(Client_List!$B:$B,MATCH(B1303,Client_List!$A:$A,0)),"⚠ NOT FOUND"))</f>
        <v/>
      </c>
      <c r="D1303" s="43" t="n">
        <v>668</v>
      </c>
      <c r="E1303" s="32">
        <f>IF(B1303="","",IFERROR(INDEX(Client_List!$C:$C,MATCH(VALUE(B1303),Client_List!$A:$A,0)),""))</f>
        <v/>
      </c>
      <c r="F1303" s="53">
        <f>IF(B1303="","",IFERROR(INDEX(Client_List!$D:$D,MATCH(VALUE(B1303),Client_List!$A:$A,0)),""))</f>
        <v/>
      </c>
      <c r="G1303" s="53">
        <f>IF(B1303="","",IFERROR(INDEX(Client_List!$K:$K,MATCH(VALUE(B1303),Client_List!$A:$A,0)),""))</f>
        <v/>
      </c>
      <c r="H1303" s="32">
        <f>IF(B1303="","",IFERROR(INDEX(Client_List!$J:$J,MATCH(VALUE(B1303),Client_List!$A:$A,0)),""))</f>
        <v/>
      </c>
      <c r="I1303" s="70">
        <f>IF(B1303="","",IFERROR(A1303-LOOKUP(2,1/($B$4:$B1302=B1303),$A$4:$A1302),""))</f>
        <v/>
      </c>
      <c r="J1303" s="32">
        <f>IF(B1303="","",IFERROR(D1303/I1303,""))</f>
        <v/>
      </c>
      <c r="K1303" s="71">
        <f>IF(B1303="","",IFERROR(AVERAGEIFS($J$4:$J1303,$B$4:$B1303,B1303,$J$4:$J1303,"&gt;"&amp;0),""))</f>
        <v/>
      </c>
      <c r="L1303" s="12" t="n"/>
    </row>
    <row r="1304" ht="14" customHeight="1" s="72">
      <c r="A1304" s="75" t="n">
        <v>46129</v>
      </c>
      <c r="B1304" s="76" t="n">
        <v>15000</v>
      </c>
      <c r="C1304" s="69">
        <f>IF(B1304="","",IFERROR(INDEX(Client_List!$B:$B,MATCH(B1304,Client_List!$A:$A,0)),"⚠ NOT FOUND"))</f>
        <v/>
      </c>
      <c r="D1304" s="43" t="n">
        <v>800</v>
      </c>
      <c r="E1304" s="32">
        <f>IF(B1304="","",IFERROR(INDEX(Client_List!$C:$C,MATCH(VALUE(B1304),Client_List!$A:$A,0)),""))</f>
        <v/>
      </c>
      <c r="F1304" s="53">
        <f>IF(B1304="","",IFERROR(INDEX(Client_List!$D:$D,MATCH(VALUE(B1304),Client_List!$A:$A,0)),""))</f>
        <v/>
      </c>
      <c r="G1304" s="53">
        <f>IF(B1304="","",IFERROR(INDEX(Client_List!$K:$K,MATCH(VALUE(B1304),Client_List!$A:$A,0)),""))</f>
        <v/>
      </c>
      <c r="H1304" s="32">
        <f>IF(B1304="","",IFERROR(INDEX(Client_List!$J:$J,MATCH(VALUE(B1304),Client_List!$A:$A,0)),""))</f>
        <v/>
      </c>
      <c r="I1304" s="70">
        <f>IF(B1304="","",IFERROR(A1304-LOOKUP(2,1/($B$4:$B1303=B1304),$A$4:$A1303),""))</f>
        <v/>
      </c>
      <c r="J1304" s="32">
        <f>IF(B1304="","",IFERROR(D1304/I1304,""))</f>
        <v/>
      </c>
      <c r="K1304" s="71">
        <f>IF(B1304="","",IFERROR(AVERAGEIFS($J$4:$J1304,$B$4:$B1304,B1304,$J$4:$J1304,"&gt;"&amp;0),""))</f>
        <v/>
      </c>
      <c r="L1304" s="11" t="n"/>
    </row>
    <row r="1305" ht="14" customHeight="1" s="72">
      <c r="A1305" s="75" t="n">
        <v>46129</v>
      </c>
      <c r="B1305" s="76" t="n">
        <v>15020</v>
      </c>
      <c r="C1305" s="69">
        <f>IF(B1305="","",IFERROR(INDEX(Client_List!$B:$B,MATCH(B1305,Client_List!$A:$A,0)),"⚠ NOT FOUND"))</f>
        <v/>
      </c>
      <c r="D1305" s="43" t="n">
        <v>480</v>
      </c>
      <c r="E1305" s="32">
        <f>IF(B1305="","",IFERROR(INDEX(Client_List!$C:$C,MATCH(VALUE(B1305),Client_List!$A:$A,0)),""))</f>
        <v/>
      </c>
      <c r="F1305" s="53">
        <f>IF(B1305="","",IFERROR(INDEX(Client_List!$D:$D,MATCH(VALUE(B1305),Client_List!$A:$A,0)),""))</f>
        <v/>
      </c>
      <c r="G1305" s="53">
        <f>IF(B1305="","",IFERROR(INDEX(Client_List!$K:$K,MATCH(VALUE(B1305),Client_List!$A:$A,0)),""))</f>
        <v/>
      </c>
      <c r="H1305" s="32">
        <f>IF(B1305="","",IFERROR(INDEX(Client_List!$J:$J,MATCH(VALUE(B1305),Client_List!$A:$A,0)),""))</f>
        <v/>
      </c>
      <c r="I1305" s="70">
        <f>IF(B1305="","",IFERROR(A1305-LOOKUP(2,1/($B$4:$B1304=B1305),$A$4:$A1304),""))</f>
        <v/>
      </c>
      <c r="J1305" s="32">
        <f>IF(B1305="","",IFERROR(D1305/I1305,""))</f>
        <v/>
      </c>
      <c r="K1305" s="71">
        <f>IF(B1305="","",IFERROR(AVERAGEIFS($J$4:$J1305,$B$4:$B1305,B1305,$J$4:$J1305,"&gt;"&amp;0),""))</f>
        <v/>
      </c>
      <c r="L1305" s="12" t="n"/>
    </row>
    <row r="1306" ht="14" customHeight="1" s="72">
      <c r="A1306" s="75" t="n">
        <v>46129</v>
      </c>
      <c r="B1306" s="76" t="n">
        <v>15041</v>
      </c>
      <c r="C1306" s="69">
        <f>IF(B1306="","",IFERROR(INDEX(Client_List!$B:$B,MATCH(B1306,Client_List!$A:$A,0)),"⚠ NOT FOUND"))</f>
        <v/>
      </c>
      <c r="D1306" s="43" t="n">
        <v>539</v>
      </c>
      <c r="E1306" s="32">
        <f>IF(B1306="","",IFERROR(INDEX(Client_List!$C:$C,MATCH(VALUE(B1306),Client_List!$A:$A,0)),""))</f>
        <v/>
      </c>
      <c r="F1306" s="53">
        <f>IF(B1306="","",IFERROR(INDEX(Client_List!$D:$D,MATCH(VALUE(B1306),Client_List!$A:$A,0)),""))</f>
        <v/>
      </c>
      <c r="G1306" s="53">
        <f>IF(B1306="","",IFERROR(INDEX(Client_List!$K:$K,MATCH(VALUE(B1306),Client_List!$A:$A,0)),""))</f>
        <v/>
      </c>
      <c r="H1306" s="32">
        <f>IF(B1306="","",IFERROR(INDEX(Client_List!$J:$J,MATCH(VALUE(B1306),Client_List!$A:$A,0)),""))</f>
        <v/>
      </c>
      <c r="I1306" s="70">
        <f>IF(B1306="","",IFERROR(A1306-LOOKUP(2,1/($B$4:$B1305=B1306),$A$4:$A1305),""))</f>
        <v/>
      </c>
      <c r="J1306" s="32">
        <f>IF(B1306="","",IFERROR(D1306/I1306,""))</f>
        <v/>
      </c>
      <c r="K1306" s="71">
        <f>IF(B1306="","",IFERROR(AVERAGEIFS($J$4:$J1306,$B$4:$B1306,B1306,$J$4:$J1306,"&gt;"&amp;0),""))</f>
        <v/>
      </c>
      <c r="L1306" s="11" t="n"/>
    </row>
    <row r="1307" ht="14" customHeight="1" s="72">
      <c r="A1307" s="75" t="n">
        <v>46129</v>
      </c>
      <c r="B1307" s="76" t="n">
        <v>16007</v>
      </c>
      <c r="C1307" s="69">
        <f>IF(B1307="","",IFERROR(INDEX(Client_List!$B:$B,MATCH(B1307,Client_List!$A:$A,0)),"⚠ NOT FOUND"))</f>
        <v/>
      </c>
      <c r="D1307" s="43" t="n">
        <v>548</v>
      </c>
      <c r="E1307" s="32">
        <f>IF(B1307="","",IFERROR(INDEX(Client_List!$C:$C,MATCH(VALUE(B1307),Client_List!$A:$A,0)),""))</f>
        <v/>
      </c>
      <c r="F1307" s="53">
        <f>IF(B1307="","",IFERROR(INDEX(Client_List!$D:$D,MATCH(VALUE(B1307),Client_List!$A:$A,0)),""))</f>
        <v/>
      </c>
      <c r="G1307" s="53">
        <f>IF(B1307="","",IFERROR(INDEX(Client_List!$K:$K,MATCH(VALUE(B1307),Client_List!$A:$A,0)),""))</f>
        <v/>
      </c>
      <c r="H1307" s="32">
        <f>IF(B1307="","",IFERROR(INDEX(Client_List!$J:$J,MATCH(VALUE(B1307),Client_List!$A:$A,0)),""))</f>
        <v/>
      </c>
      <c r="I1307" s="70">
        <f>IF(B1307="","",IFERROR(A1307-LOOKUP(2,1/($B$4:$B1306=B1307),$A$4:$A1306),""))</f>
        <v/>
      </c>
      <c r="J1307" s="32">
        <f>IF(B1307="","",IFERROR(D1307/I1307,""))</f>
        <v/>
      </c>
      <c r="K1307" s="71">
        <f>IF(B1307="","",IFERROR(AVERAGEIFS($J$4:$J1307,$B$4:$B1307,B1307,$J$4:$J1307,"&gt;"&amp;0),""))</f>
        <v/>
      </c>
      <c r="L1307" s="12" t="n"/>
    </row>
    <row r="1308" ht="14" customHeight="1" s="72">
      <c r="A1308" s="75" t="n">
        <v>46129</v>
      </c>
      <c r="B1308" s="76" t="n">
        <v>16009</v>
      </c>
      <c r="C1308" s="69">
        <f>IF(B1308="","",IFERROR(INDEX(Client_List!$B:$B,MATCH(B1308,Client_List!$A:$A,0)),"⚠ NOT FOUND"))</f>
        <v/>
      </c>
      <c r="D1308" s="43" t="n">
        <v>948</v>
      </c>
      <c r="E1308" s="32">
        <f>IF(B1308="","",IFERROR(INDEX(Client_List!$C:$C,MATCH(VALUE(B1308),Client_List!$A:$A,0)),""))</f>
        <v/>
      </c>
      <c r="F1308" s="53">
        <f>IF(B1308="","",IFERROR(INDEX(Client_List!$D:$D,MATCH(VALUE(B1308),Client_List!$A:$A,0)),""))</f>
        <v/>
      </c>
      <c r="G1308" s="53">
        <f>IF(B1308="","",IFERROR(INDEX(Client_List!$K:$K,MATCH(VALUE(B1308),Client_List!$A:$A,0)),""))</f>
        <v/>
      </c>
      <c r="H1308" s="32">
        <f>IF(B1308="","",IFERROR(INDEX(Client_List!$J:$J,MATCH(VALUE(B1308),Client_List!$A:$A,0)),""))</f>
        <v/>
      </c>
      <c r="I1308" s="70">
        <f>IF(B1308="","",IFERROR(A1308-LOOKUP(2,1/($B$4:$B1307=B1308),$A$4:$A1307),""))</f>
        <v/>
      </c>
      <c r="J1308" s="32">
        <f>IF(B1308="","",IFERROR(D1308/I1308,""))</f>
        <v/>
      </c>
      <c r="K1308" s="71">
        <f>IF(B1308="","",IFERROR(AVERAGEIFS($J$4:$J1308,$B$4:$B1308,B1308,$J$4:$J1308,"&gt;"&amp;0),""))</f>
        <v/>
      </c>
      <c r="L1308" s="11" t="n"/>
    </row>
    <row r="1309" ht="14" customHeight="1" s="72">
      <c r="A1309" s="75" t="n">
        <v>46129</v>
      </c>
      <c r="B1309" s="76" t="n">
        <v>16015</v>
      </c>
      <c r="C1309" s="69">
        <f>IF(B1309="","",IFERROR(INDEX(Client_List!$B:$B,MATCH(B1309,Client_List!$A:$A,0)),"⚠ NOT FOUND"))</f>
        <v/>
      </c>
      <c r="D1309" s="43" t="n">
        <v>1396</v>
      </c>
      <c r="E1309" s="32">
        <f>IF(B1309="","",IFERROR(INDEX(Client_List!$C:$C,MATCH(VALUE(B1309),Client_List!$A:$A,0)),""))</f>
        <v/>
      </c>
      <c r="F1309" s="53">
        <f>IF(B1309="","",IFERROR(INDEX(Client_List!$D:$D,MATCH(VALUE(B1309),Client_List!$A:$A,0)),""))</f>
        <v/>
      </c>
      <c r="G1309" s="53">
        <f>IF(B1309="","",IFERROR(INDEX(Client_List!$K:$K,MATCH(VALUE(B1309),Client_List!$A:$A,0)),""))</f>
        <v/>
      </c>
      <c r="H1309" s="32">
        <f>IF(B1309="","",IFERROR(INDEX(Client_List!$J:$J,MATCH(VALUE(B1309),Client_List!$A:$A,0)),""))</f>
        <v/>
      </c>
      <c r="I1309" s="70">
        <f>IF(B1309="","",IFERROR(A1309-LOOKUP(2,1/($B$4:$B1308=B1309),$A$4:$A1308),""))</f>
        <v/>
      </c>
      <c r="J1309" s="32">
        <f>IF(B1309="","",IFERROR(D1309/I1309,""))</f>
        <v/>
      </c>
      <c r="K1309" s="71">
        <f>IF(B1309="","",IFERROR(AVERAGEIFS($J$4:$J1309,$B$4:$B1309,B1309,$J$4:$J1309,"&gt;"&amp;0),""))</f>
        <v/>
      </c>
      <c r="L1309" s="12" t="n"/>
    </row>
    <row r="1310" ht="14" customHeight="1" s="72">
      <c r="A1310" s="75" t="n">
        <v>46129</v>
      </c>
      <c r="B1310" s="76" t="n">
        <v>16058</v>
      </c>
      <c r="C1310" s="69">
        <f>IF(B1310="","",IFERROR(INDEX(Client_List!$B:$B,MATCH(B1310,Client_List!$A:$A,0)),"⚠ NOT FOUND"))</f>
        <v/>
      </c>
      <c r="D1310" s="43" t="n">
        <v>939</v>
      </c>
      <c r="E1310" s="32">
        <f>IF(B1310="","",IFERROR(INDEX(Client_List!$C:$C,MATCH(VALUE(B1310),Client_List!$A:$A,0)),""))</f>
        <v/>
      </c>
      <c r="F1310" s="53">
        <f>IF(B1310="","",IFERROR(INDEX(Client_List!$D:$D,MATCH(VALUE(B1310),Client_List!$A:$A,0)),""))</f>
        <v/>
      </c>
      <c r="G1310" s="53">
        <f>IF(B1310="","",IFERROR(INDEX(Client_List!$K:$K,MATCH(VALUE(B1310),Client_List!$A:$A,0)),""))</f>
        <v/>
      </c>
      <c r="H1310" s="32">
        <f>IF(B1310="","",IFERROR(INDEX(Client_List!$J:$J,MATCH(VALUE(B1310),Client_List!$A:$A,0)),""))</f>
        <v/>
      </c>
      <c r="I1310" s="70">
        <f>IF(B1310="","",IFERROR(A1310-LOOKUP(2,1/($B$4:$B1309=B1310),$A$4:$A1309),""))</f>
        <v/>
      </c>
      <c r="J1310" s="32">
        <f>IF(B1310="","",IFERROR(D1310/I1310,""))</f>
        <v/>
      </c>
      <c r="K1310" s="71">
        <f>IF(B1310="","",IFERROR(AVERAGEIFS($J$4:$J1310,$B$4:$B1310,B1310,$J$4:$J1310,"&gt;"&amp;0),""))</f>
        <v/>
      </c>
      <c r="L1310" s="11" t="n"/>
    </row>
    <row r="1311" ht="14" customHeight="1" s="72">
      <c r="A1311" s="75" t="n">
        <v>46129</v>
      </c>
      <c r="B1311" s="76" t="n">
        <v>18003</v>
      </c>
      <c r="C1311" s="69">
        <f>IF(B1311="","",IFERROR(INDEX(Client_List!$B:$B,MATCH(B1311,Client_List!$A:$A,0)),"⚠ NOT FOUND"))</f>
        <v/>
      </c>
      <c r="D1311" s="43" t="n">
        <v>270</v>
      </c>
      <c r="E1311" s="32">
        <f>IF(B1311="","",IFERROR(INDEX(Client_List!$C:$C,MATCH(VALUE(B1311),Client_List!$A:$A,0)),""))</f>
        <v/>
      </c>
      <c r="F1311" s="53">
        <f>IF(B1311="","",IFERROR(INDEX(Client_List!$D:$D,MATCH(VALUE(B1311),Client_List!$A:$A,0)),""))</f>
        <v/>
      </c>
      <c r="G1311" s="53">
        <f>IF(B1311="","",IFERROR(INDEX(Client_List!$K:$K,MATCH(VALUE(B1311),Client_List!$A:$A,0)),""))</f>
        <v/>
      </c>
      <c r="H1311" s="32">
        <f>IF(B1311="","",IFERROR(INDEX(Client_List!$J:$J,MATCH(VALUE(B1311),Client_List!$A:$A,0)),""))</f>
        <v/>
      </c>
      <c r="I1311" s="70">
        <f>IF(B1311="","",IFERROR(A1311-LOOKUP(2,1/($B$4:$B1310=B1311),$A$4:$A1310),""))</f>
        <v/>
      </c>
      <c r="J1311" s="32">
        <f>IF(B1311="","",IFERROR(D1311/I1311,""))</f>
        <v/>
      </c>
      <c r="K1311" s="71">
        <f>IF(B1311="","",IFERROR(AVERAGEIFS($J$4:$J1311,$B$4:$B1311,B1311,$J$4:$J1311,"&gt;"&amp;0),""))</f>
        <v/>
      </c>
      <c r="L1311" s="12" t="n"/>
    </row>
    <row r="1312" ht="14" customHeight="1" s="72">
      <c r="A1312" s="75" t="n">
        <v>46129</v>
      </c>
      <c r="B1312" s="76" t="n">
        <v>20081</v>
      </c>
      <c r="C1312" s="69">
        <f>IF(B1312="","",IFERROR(INDEX(Client_List!$B:$B,MATCH(B1312,Client_List!$A:$A,0)),"⚠ NOT FOUND"))</f>
        <v/>
      </c>
      <c r="D1312" s="43" t="n">
        <v>656</v>
      </c>
      <c r="E1312" s="32">
        <f>IF(B1312="","",IFERROR(INDEX(Client_List!$C:$C,MATCH(VALUE(B1312),Client_List!$A:$A,0)),""))</f>
        <v/>
      </c>
      <c r="F1312" s="53">
        <f>IF(B1312="","",IFERROR(INDEX(Client_List!$D:$D,MATCH(VALUE(B1312),Client_List!$A:$A,0)),""))</f>
        <v/>
      </c>
      <c r="G1312" s="53">
        <f>IF(B1312="","",IFERROR(INDEX(Client_List!$K:$K,MATCH(VALUE(B1312),Client_List!$A:$A,0)),""))</f>
        <v/>
      </c>
      <c r="H1312" s="32">
        <f>IF(B1312="","",IFERROR(INDEX(Client_List!$J:$J,MATCH(VALUE(B1312),Client_List!$A:$A,0)),""))</f>
        <v/>
      </c>
      <c r="I1312" s="70">
        <f>IF(B1312="","",IFERROR(A1312-LOOKUP(2,1/($B$4:$B1311=B1312),$A$4:$A1311),""))</f>
        <v/>
      </c>
      <c r="J1312" s="32">
        <f>IF(B1312="","",IFERROR(D1312/I1312,""))</f>
        <v/>
      </c>
      <c r="K1312" s="71">
        <f>IF(B1312="","",IFERROR(AVERAGEIFS($J$4:$J1312,$B$4:$B1312,B1312,$J$4:$J1312,"&gt;"&amp;0),""))</f>
        <v/>
      </c>
      <c r="L1312" s="11" t="n"/>
    </row>
    <row r="1313" ht="14" customHeight="1" s="72">
      <c r="A1313" s="75" t="n">
        <v>46129</v>
      </c>
      <c r="B1313" s="76" t="n">
        <v>20091</v>
      </c>
      <c r="C1313" s="69">
        <f>IF(B1313="","",IFERROR(INDEX(Client_List!$B:$B,MATCH(B1313,Client_List!$A:$A,0)),"⚠ NOT FOUND"))</f>
        <v/>
      </c>
      <c r="D1313" s="43" t="n">
        <v>634</v>
      </c>
      <c r="E1313" s="32">
        <f>IF(B1313="","",IFERROR(INDEX(Client_List!$C:$C,MATCH(VALUE(B1313),Client_List!$A:$A,0)),""))</f>
        <v/>
      </c>
      <c r="F1313" s="53">
        <f>IF(B1313="","",IFERROR(INDEX(Client_List!$D:$D,MATCH(VALUE(B1313),Client_List!$A:$A,0)),""))</f>
        <v/>
      </c>
      <c r="G1313" s="53">
        <f>IF(B1313="","",IFERROR(INDEX(Client_List!$K:$K,MATCH(VALUE(B1313),Client_List!$A:$A,0)),""))</f>
        <v/>
      </c>
      <c r="H1313" s="32">
        <f>IF(B1313="","",IFERROR(INDEX(Client_List!$J:$J,MATCH(VALUE(B1313),Client_List!$A:$A,0)),""))</f>
        <v/>
      </c>
      <c r="I1313" s="70">
        <f>IF(B1313="","",IFERROR(A1313-LOOKUP(2,1/($B$4:$B1312=B1313),$A$4:$A1312),""))</f>
        <v/>
      </c>
      <c r="J1313" s="32">
        <f>IF(B1313="","",IFERROR(D1313/I1313,""))</f>
        <v/>
      </c>
      <c r="K1313" s="71">
        <f>IF(B1313="","",IFERROR(AVERAGEIFS($J$4:$J1313,$B$4:$B1313,B1313,$J$4:$J1313,"&gt;"&amp;0),""))</f>
        <v/>
      </c>
      <c r="L1313" s="11" t="n"/>
    </row>
    <row r="1314" ht="14" customHeight="1" s="72">
      <c r="A1314" s="75" t="n">
        <v>46130</v>
      </c>
      <c r="B1314" s="76" t="n">
        <v>1001</v>
      </c>
      <c r="C1314" s="69">
        <f>IF(B1314="","",IFERROR(INDEX(Client_List!$B:$B,MATCH(B1314,Client_List!$A:$A,0)),"⚠ NOT FOUND"))</f>
        <v/>
      </c>
      <c r="D1314" s="43" t="n">
        <v>688</v>
      </c>
      <c r="E1314" s="32">
        <f>IF(B1314="","",IFERROR(INDEX(Client_List!$C:$C,MATCH(VALUE(B1314),Client_List!$A:$A,0)),""))</f>
        <v/>
      </c>
      <c r="F1314" s="53">
        <f>IF(B1314="","",IFERROR(INDEX(Client_List!$D:$D,MATCH(VALUE(B1314),Client_List!$A:$A,0)),""))</f>
        <v/>
      </c>
      <c r="G1314" s="53">
        <f>IF(B1314="","",IFERROR(INDEX(Client_List!$K:$K,MATCH(VALUE(B1314),Client_List!$A:$A,0)),""))</f>
        <v/>
      </c>
      <c r="H1314" s="32">
        <f>IF(B1314="","",IFERROR(INDEX(Client_List!$J:$J,MATCH(VALUE(B1314),Client_List!$A:$A,0)),""))</f>
        <v/>
      </c>
      <c r="I1314" s="70">
        <f>IF(B1314="","",IFERROR(A1314-LOOKUP(2,1/($B$4:$B1313=B1314),$A$4:$A1313),""))</f>
        <v/>
      </c>
      <c r="J1314" s="32">
        <f>IF(B1314="","",IFERROR(D1314/I1314,""))</f>
        <v/>
      </c>
      <c r="K1314" s="71">
        <f>IF(B1314="","",IFERROR(AVERAGEIFS($J$4:$J1314,$B$4:$B1314,B1314,$J$4:$J1314,"&gt;"&amp;0),""))</f>
        <v/>
      </c>
      <c r="L1314" s="11" t="n"/>
    </row>
    <row r="1315" ht="14" customHeight="1" s="72">
      <c r="A1315" s="75" t="n">
        <v>46130</v>
      </c>
      <c r="B1315" s="76" t="n">
        <v>2067</v>
      </c>
      <c r="C1315" s="69">
        <f>IF(B1315="","",IFERROR(INDEX(Client_List!$B:$B,MATCH(B1315,Client_List!$A:$A,0)),"⚠ NOT FOUND"))</f>
        <v/>
      </c>
      <c r="D1315" s="43" t="n">
        <v>711</v>
      </c>
      <c r="E1315" s="32">
        <f>IF(B1315="","",IFERROR(INDEX(Client_List!$C:$C,MATCH(VALUE(B1315),Client_List!$A:$A,0)),""))</f>
        <v/>
      </c>
      <c r="F1315" s="53">
        <f>IF(B1315="","",IFERROR(INDEX(Client_List!$D:$D,MATCH(VALUE(B1315),Client_List!$A:$A,0)),""))</f>
        <v/>
      </c>
      <c r="G1315" s="53">
        <f>IF(B1315="","",IFERROR(INDEX(Client_List!$K:$K,MATCH(VALUE(B1315),Client_List!$A:$A,0)),""))</f>
        <v/>
      </c>
      <c r="H1315" s="32">
        <f>IF(B1315="","",IFERROR(INDEX(Client_List!$J:$J,MATCH(VALUE(B1315),Client_List!$A:$A,0)),""))</f>
        <v/>
      </c>
      <c r="I1315" s="70">
        <f>IF(B1315="","",IFERROR(A1315-LOOKUP(2,1/($B$4:$B1314=B1315),$A$4:$A1314),""))</f>
        <v/>
      </c>
      <c r="J1315" s="32">
        <f>IF(B1315="","",IFERROR(D1315/I1315,""))</f>
        <v/>
      </c>
      <c r="K1315" s="71">
        <f>IF(B1315="","",IFERROR(AVERAGEIFS($J$4:$J1315,$B$4:$B1315,B1315,$J$4:$J1315,"&gt;"&amp;0),""))</f>
        <v/>
      </c>
      <c r="L1315" s="11" t="n"/>
    </row>
    <row r="1316" ht="14" customHeight="1" s="72">
      <c r="A1316" s="75" t="n">
        <v>46130</v>
      </c>
      <c r="B1316" s="76" t="n">
        <v>4027</v>
      </c>
      <c r="C1316" s="69">
        <f>IF(B1316="","",IFERROR(INDEX(Client_List!$B:$B,MATCH(B1316,Client_List!$A:$A,0)),"⚠ NOT FOUND"))</f>
        <v/>
      </c>
      <c r="D1316" s="43" t="n">
        <v>673</v>
      </c>
      <c r="E1316" s="32">
        <f>IF(B1316="","",IFERROR(INDEX(Client_List!$C:$C,MATCH(VALUE(B1316),Client_List!$A:$A,0)),""))</f>
        <v/>
      </c>
      <c r="F1316" s="53">
        <f>IF(B1316="","",IFERROR(INDEX(Client_List!$D:$D,MATCH(VALUE(B1316),Client_List!$A:$A,0)),""))</f>
        <v/>
      </c>
      <c r="G1316" s="53">
        <f>IF(B1316="","",IFERROR(INDEX(Client_List!$K:$K,MATCH(VALUE(B1316),Client_List!$A:$A,0)),""))</f>
        <v/>
      </c>
      <c r="H1316" s="32">
        <f>IF(B1316="","",IFERROR(INDEX(Client_List!$J:$J,MATCH(VALUE(B1316),Client_List!$A:$A,0)),""))</f>
        <v/>
      </c>
      <c r="I1316" s="70">
        <f>IF(B1316="","",IFERROR(A1316-LOOKUP(2,1/($B$4:$B1315=B1316),$A$4:$A1315),""))</f>
        <v/>
      </c>
      <c r="J1316" s="32">
        <f>IF(B1316="","",IFERROR(D1316/I1316,""))</f>
        <v/>
      </c>
      <c r="K1316" s="71">
        <f>IF(B1316="","",IFERROR(AVERAGEIFS($J$4:$J1316,$B$4:$B1316,B1316,$J$4:$J1316,"&gt;"&amp;0),""))</f>
        <v/>
      </c>
      <c r="L1316" s="11" t="n"/>
    </row>
    <row r="1317" ht="14" customHeight="1" s="72">
      <c r="A1317" s="75" t="n">
        <v>46130</v>
      </c>
      <c r="B1317" s="76" t="n">
        <v>8031</v>
      </c>
      <c r="C1317" s="69">
        <f>IF(B1317="","",IFERROR(INDEX(Client_List!$B:$B,MATCH(B1317,Client_List!$A:$A,0)),"⚠ NOT FOUND"))</f>
        <v/>
      </c>
      <c r="D1317" s="43" t="n">
        <v>536</v>
      </c>
      <c r="E1317" s="32">
        <f>IF(B1317="","",IFERROR(INDEX(Client_List!$C:$C,MATCH(VALUE(B1317),Client_List!$A:$A,0)),""))</f>
        <v/>
      </c>
      <c r="F1317" s="53">
        <f>IF(B1317="","",IFERROR(INDEX(Client_List!$D:$D,MATCH(VALUE(B1317),Client_List!$A:$A,0)),""))</f>
        <v/>
      </c>
      <c r="G1317" s="53">
        <f>IF(B1317="","",IFERROR(INDEX(Client_List!$K:$K,MATCH(VALUE(B1317),Client_List!$A:$A,0)),""))</f>
        <v/>
      </c>
      <c r="H1317" s="32">
        <f>IF(B1317="","",IFERROR(INDEX(Client_List!$J:$J,MATCH(VALUE(B1317),Client_List!$A:$A,0)),""))</f>
        <v/>
      </c>
      <c r="I1317" s="70">
        <f>IF(B1317="","",IFERROR(A1317-LOOKUP(2,1/($B$4:$B1316=B1317),$A$4:$A1316),""))</f>
        <v/>
      </c>
      <c r="J1317" s="32">
        <f>IF(B1317="","",IFERROR(D1317/I1317,""))</f>
        <v/>
      </c>
      <c r="K1317" s="71">
        <f>IF(B1317="","",IFERROR(AVERAGEIFS($J$4:$J1317,$B$4:$B1317,B1317,$J$4:$J1317,"&gt;"&amp;0),""))</f>
        <v/>
      </c>
      <c r="L1317" s="11" t="n"/>
    </row>
    <row r="1318" ht="14" customHeight="1" s="72">
      <c r="A1318" s="75" t="n">
        <v>46130</v>
      </c>
      <c r="B1318" s="76" t="n">
        <v>11005</v>
      </c>
      <c r="C1318" s="69">
        <f>IF(B1318="","",IFERROR(INDEX(Client_List!$B:$B,MATCH(B1318,Client_List!$A:$A,0)),"⚠ NOT FOUND"))</f>
        <v/>
      </c>
      <c r="D1318" s="43" t="n">
        <v>806</v>
      </c>
      <c r="E1318" s="32">
        <f>IF(B1318="","",IFERROR(INDEX(Client_List!$C:$C,MATCH(VALUE(B1318),Client_List!$A:$A,0)),""))</f>
        <v/>
      </c>
      <c r="F1318" s="53">
        <f>IF(B1318="","",IFERROR(INDEX(Client_List!$D:$D,MATCH(VALUE(B1318),Client_List!$A:$A,0)),""))</f>
        <v/>
      </c>
      <c r="G1318" s="53">
        <f>IF(B1318="","",IFERROR(INDEX(Client_List!$K:$K,MATCH(VALUE(B1318),Client_List!$A:$A,0)),""))</f>
        <v/>
      </c>
      <c r="H1318" s="32">
        <f>IF(B1318="","",IFERROR(INDEX(Client_List!$J:$J,MATCH(VALUE(B1318),Client_List!$A:$A,0)),""))</f>
        <v/>
      </c>
      <c r="I1318" s="70">
        <f>IF(B1318="","",IFERROR(A1318-LOOKUP(2,1/($B$4:$B1317=B1318),$A$4:$A1317),""))</f>
        <v/>
      </c>
      <c r="J1318" s="32">
        <f>IF(B1318="","",IFERROR(D1318/I1318,""))</f>
        <v/>
      </c>
      <c r="K1318" s="71">
        <f>IF(B1318="","",IFERROR(AVERAGEIFS($J$4:$J1318,$B$4:$B1318,B1318,$J$4:$J1318,"&gt;"&amp;0),""))</f>
        <v/>
      </c>
      <c r="L1318" s="11" t="n"/>
    </row>
    <row r="1319" ht="14" customHeight="1" s="72">
      <c r="A1319" s="75" t="n">
        <v>46130</v>
      </c>
      <c r="B1319" s="76" t="n">
        <v>12021</v>
      </c>
      <c r="C1319" s="69">
        <f>IF(B1319="","",IFERROR(INDEX(Client_List!$B:$B,MATCH(B1319,Client_List!$A:$A,0)),"⚠ NOT FOUND"))</f>
        <v/>
      </c>
      <c r="D1319" s="43" t="n">
        <v>393</v>
      </c>
      <c r="E1319" s="32">
        <f>IF(B1319="","",IFERROR(INDEX(Client_List!$C:$C,MATCH(VALUE(B1319),Client_List!$A:$A,0)),""))</f>
        <v/>
      </c>
      <c r="F1319" s="53">
        <f>IF(B1319="","",IFERROR(INDEX(Client_List!$D:$D,MATCH(VALUE(B1319),Client_List!$A:$A,0)),""))</f>
        <v/>
      </c>
      <c r="G1319" s="53">
        <f>IF(B1319="","",IFERROR(INDEX(Client_List!$K:$K,MATCH(VALUE(B1319),Client_List!$A:$A,0)),""))</f>
        <v/>
      </c>
      <c r="H1319" s="32">
        <f>IF(B1319="","",IFERROR(INDEX(Client_List!$J:$J,MATCH(VALUE(B1319),Client_List!$A:$A,0)),""))</f>
        <v/>
      </c>
      <c r="I1319" s="70">
        <f>IF(B1319="","",IFERROR(A1319-LOOKUP(2,1/($B$4:$B1318=B1319),$A$4:$A1318),""))</f>
        <v/>
      </c>
      <c r="J1319" s="32">
        <f>IF(B1319="","",IFERROR(D1319/I1319,""))</f>
        <v/>
      </c>
      <c r="K1319" s="71">
        <f>IF(B1319="","",IFERROR(AVERAGEIFS($J$4:$J1319,$B$4:$B1319,B1319,$J$4:$J1319,"&gt;"&amp;0),""))</f>
        <v/>
      </c>
      <c r="L1319" s="11" t="n"/>
    </row>
    <row r="1320" ht="14" customHeight="1" s="72">
      <c r="A1320" s="75" t="n">
        <v>46130</v>
      </c>
      <c r="B1320" s="76" t="n">
        <v>12055</v>
      </c>
      <c r="C1320" s="69">
        <f>IF(B1320="","",IFERROR(INDEX(Client_List!$B:$B,MATCH(B1320,Client_List!$A:$A,0)),"⚠ NOT FOUND"))</f>
        <v/>
      </c>
      <c r="D1320" s="43" t="n">
        <v>953</v>
      </c>
      <c r="E1320" s="32">
        <f>IF(B1320="","",IFERROR(INDEX(Client_List!$C:$C,MATCH(VALUE(B1320),Client_List!$A:$A,0)),""))</f>
        <v/>
      </c>
      <c r="F1320" s="53">
        <f>IF(B1320="","",IFERROR(INDEX(Client_List!$D:$D,MATCH(VALUE(B1320),Client_List!$A:$A,0)),""))</f>
        <v/>
      </c>
      <c r="G1320" s="53">
        <f>IF(B1320="","",IFERROR(INDEX(Client_List!$K:$K,MATCH(VALUE(B1320),Client_List!$A:$A,0)),""))</f>
        <v/>
      </c>
      <c r="H1320" s="32">
        <f>IF(B1320="","",IFERROR(INDEX(Client_List!$J:$J,MATCH(VALUE(B1320),Client_List!$A:$A,0)),""))</f>
        <v/>
      </c>
      <c r="I1320" s="70">
        <f>IF(B1320="","",IFERROR(A1320-LOOKUP(2,1/($B$4:$B1319=B1320),$A$4:$A1319),""))</f>
        <v/>
      </c>
      <c r="J1320" s="32">
        <f>IF(B1320="","",IFERROR(D1320/I1320,""))</f>
        <v/>
      </c>
      <c r="K1320" s="71">
        <f>IF(B1320="","",IFERROR(AVERAGEIFS($J$4:$J1320,$B$4:$B1320,B1320,$J$4:$J1320,"&gt;"&amp;0),""))</f>
        <v/>
      </c>
      <c r="L1320" s="11" t="n"/>
    </row>
    <row r="1321" ht="14" customHeight="1" s="72">
      <c r="A1321" s="75" t="n">
        <v>46130</v>
      </c>
      <c r="B1321" s="76" t="n">
        <v>13009</v>
      </c>
      <c r="C1321" s="69">
        <f>IF(B1321="","",IFERROR(INDEX(Client_List!$B:$B,MATCH(B1321,Client_List!$A:$A,0)),"⚠ NOT FOUND"))</f>
        <v/>
      </c>
      <c r="D1321" s="43" t="n">
        <v>748</v>
      </c>
      <c r="E1321" s="32">
        <f>IF(B1321="","",IFERROR(INDEX(Client_List!$C:$C,MATCH(VALUE(B1321),Client_List!$A:$A,0)),""))</f>
        <v/>
      </c>
      <c r="F1321" s="53">
        <f>IF(B1321="","",IFERROR(INDEX(Client_List!$D:$D,MATCH(VALUE(B1321),Client_List!$A:$A,0)),""))</f>
        <v/>
      </c>
      <c r="G1321" s="53">
        <f>IF(B1321="","",IFERROR(INDEX(Client_List!$K:$K,MATCH(VALUE(B1321),Client_List!$A:$A,0)),""))</f>
        <v/>
      </c>
      <c r="H1321" s="32">
        <f>IF(B1321="","",IFERROR(INDEX(Client_List!$J:$J,MATCH(VALUE(B1321),Client_List!$A:$A,0)),""))</f>
        <v/>
      </c>
      <c r="I1321" s="70">
        <f>IF(B1321="","",IFERROR(A1321-LOOKUP(2,1/($B$4:$B1320=B1321),$A$4:$A1320),""))</f>
        <v/>
      </c>
      <c r="J1321" s="32">
        <f>IF(B1321="","",IFERROR(D1321/I1321,""))</f>
        <v/>
      </c>
      <c r="K1321" s="71">
        <f>IF(B1321="","",IFERROR(AVERAGEIFS($J$4:$J1321,$B$4:$B1321,B1321,$J$4:$J1321,"&gt;"&amp;0),""))</f>
        <v/>
      </c>
      <c r="L1321" s="11" t="n"/>
    </row>
    <row r="1322" ht="14" customHeight="1" s="72">
      <c r="A1322" s="75" t="n">
        <v>46130</v>
      </c>
      <c r="B1322" s="76" t="n">
        <v>14008</v>
      </c>
      <c r="C1322" s="69">
        <f>IF(B1322="","",IFERROR(INDEX(Client_List!$B:$B,MATCH(B1322,Client_List!$A:$A,0)),"⚠ NOT FOUND"))</f>
        <v/>
      </c>
      <c r="D1322" s="43" t="n">
        <v>1332</v>
      </c>
      <c r="E1322" s="32">
        <f>IF(B1322="","",IFERROR(INDEX(Client_List!$C:$C,MATCH(VALUE(B1322),Client_List!$A:$A,0)),""))</f>
        <v/>
      </c>
      <c r="F1322" s="53">
        <f>IF(B1322="","",IFERROR(INDEX(Client_List!$D:$D,MATCH(VALUE(B1322),Client_List!$A:$A,0)),""))</f>
        <v/>
      </c>
      <c r="G1322" s="53">
        <f>IF(B1322="","",IFERROR(INDEX(Client_List!$K:$K,MATCH(VALUE(B1322),Client_List!$A:$A,0)),""))</f>
        <v/>
      </c>
      <c r="H1322" s="32">
        <f>IF(B1322="","",IFERROR(INDEX(Client_List!$J:$J,MATCH(VALUE(B1322),Client_List!$A:$A,0)),""))</f>
        <v/>
      </c>
      <c r="I1322" s="70">
        <f>IF(B1322="","",IFERROR(A1322-LOOKUP(2,1/($B$4:$B1321=B1322),$A$4:$A1321),""))</f>
        <v/>
      </c>
      <c r="J1322" s="32">
        <f>IF(B1322="","",IFERROR(D1322/I1322,""))</f>
        <v/>
      </c>
      <c r="K1322" s="71">
        <f>IF(B1322="","",IFERROR(AVERAGEIFS($J$4:$J1322,$B$4:$B1322,B1322,$J$4:$J1322,"&gt;"&amp;0),""))</f>
        <v/>
      </c>
      <c r="L1322" s="11" t="n"/>
    </row>
    <row r="1323" ht="14" customHeight="1" s="72">
      <c r="A1323" s="75" t="n">
        <v>46130</v>
      </c>
      <c r="B1323" s="76" t="n">
        <v>15001</v>
      </c>
      <c r="C1323" s="69">
        <f>IF(B1323="","",IFERROR(INDEX(Client_List!$B:$B,MATCH(B1323,Client_List!$A:$A,0)),"⚠ NOT FOUND"))</f>
        <v/>
      </c>
      <c r="D1323" s="43" t="n">
        <v>844</v>
      </c>
      <c r="E1323" s="32">
        <f>IF(B1323="","",IFERROR(INDEX(Client_List!$C:$C,MATCH(VALUE(B1323),Client_List!$A:$A,0)),""))</f>
        <v/>
      </c>
      <c r="F1323" s="53">
        <f>IF(B1323="","",IFERROR(INDEX(Client_List!$D:$D,MATCH(VALUE(B1323),Client_List!$A:$A,0)),""))</f>
        <v/>
      </c>
      <c r="G1323" s="53">
        <f>IF(B1323="","",IFERROR(INDEX(Client_List!$K:$K,MATCH(VALUE(B1323),Client_List!$A:$A,0)),""))</f>
        <v/>
      </c>
      <c r="H1323" s="32">
        <f>IF(B1323="","",IFERROR(INDEX(Client_List!$J:$J,MATCH(VALUE(B1323),Client_List!$A:$A,0)),""))</f>
        <v/>
      </c>
      <c r="I1323" s="70">
        <f>IF(B1323="","",IFERROR(A1323-LOOKUP(2,1/($B$4:$B1322=B1323),$A$4:$A1322),""))</f>
        <v/>
      </c>
      <c r="J1323" s="32">
        <f>IF(B1323="","",IFERROR(D1323/I1323,""))</f>
        <v/>
      </c>
      <c r="K1323" s="71">
        <f>IF(B1323="","",IFERROR(AVERAGEIFS($J$4:$J1323,$B$4:$B1323,B1323,$J$4:$J1323,"&gt;"&amp;0),""))</f>
        <v/>
      </c>
      <c r="L1323" s="11" t="n"/>
    </row>
    <row r="1324" ht="14" customHeight="1" s="72">
      <c r="A1324" s="75" t="n">
        <v>46130</v>
      </c>
      <c r="B1324" s="76" t="n">
        <v>15004</v>
      </c>
      <c r="C1324" s="69">
        <f>IF(B1324="","",IFERROR(INDEX(Client_List!$B:$B,MATCH(B1324,Client_List!$A:$A,0)),"⚠ NOT FOUND"))</f>
        <v/>
      </c>
      <c r="D1324" s="43" t="n">
        <v>318</v>
      </c>
      <c r="E1324" s="32">
        <f>IF(B1324="","",IFERROR(INDEX(Client_List!$C:$C,MATCH(VALUE(B1324),Client_List!$A:$A,0)),""))</f>
        <v/>
      </c>
      <c r="F1324" s="53">
        <f>IF(B1324="","",IFERROR(INDEX(Client_List!$D:$D,MATCH(VALUE(B1324),Client_List!$A:$A,0)),""))</f>
        <v/>
      </c>
      <c r="G1324" s="53">
        <f>IF(B1324="","",IFERROR(INDEX(Client_List!$K:$K,MATCH(VALUE(B1324),Client_List!$A:$A,0)),""))</f>
        <v/>
      </c>
      <c r="H1324" s="32">
        <f>IF(B1324="","",IFERROR(INDEX(Client_List!$J:$J,MATCH(VALUE(B1324),Client_List!$A:$A,0)),""))</f>
        <v/>
      </c>
      <c r="I1324" s="70">
        <f>IF(B1324="","",IFERROR(A1324-LOOKUP(2,1/($B$4:$B1323=B1324),$A$4:$A1323),""))</f>
        <v/>
      </c>
      <c r="J1324" s="32">
        <f>IF(B1324="","",IFERROR(D1324/I1324,""))</f>
        <v/>
      </c>
      <c r="K1324" s="71">
        <f>IF(B1324="","",IFERROR(AVERAGEIFS($J$4:$J1324,$B$4:$B1324,B1324,$J$4:$J1324,"&gt;"&amp;0),""))</f>
        <v/>
      </c>
      <c r="L1324" s="11" t="n"/>
    </row>
    <row r="1325" ht="14" customHeight="1" s="72">
      <c r="A1325" s="75" t="n">
        <v>46130</v>
      </c>
      <c r="B1325" s="76" t="n">
        <v>15007</v>
      </c>
      <c r="C1325" s="69">
        <f>IF(B1325="","",IFERROR(INDEX(Client_List!$B:$B,MATCH(B1325,Client_List!$A:$A,0)),"⚠ NOT FOUND"))</f>
        <v/>
      </c>
      <c r="D1325" s="43" t="n">
        <v>822</v>
      </c>
      <c r="E1325" s="32">
        <f>IF(B1325="","",IFERROR(INDEX(Client_List!$C:$C,MATCH(VALUE(B1325),Client_List!$A:$A,0)),""))</f>
        <v/>
      </c>
      <c r="F1325" s="53">
        <f>IF(B1325="","",IFERROR(INDEX(Client_List!$D:$D,MATCH(VALUE(B1325),Client_List!$A:$A,0)),""))</f>
        <v/>
      </c>
      <c r="G1325" s="53">
        <f>IF(B1325="","",IFERROR(INDEX(Client_List!$K:$K,MATCH(VALUE(B1325),Client_List!$A:$A,0)),""))</f>
        <v/>
      </c>
      <c r="H1325" s="32">
        <f>IF(B1325="","",IFERROR(INDEX(Client_List!$J:$J,MATCH(VALUE(B1325),Client_List!$A:$A,0)),""))</f>
        <v/>
      </c>
      <c r="I1325" s="70">
        <f>IF(B1325="","",IFERROR(A1325-LOOKUP(2,1/($B$4:$B1324=B1325),$A$4:$A1324),""))</f>
        <v/>
      </c>
      <c r="J1325" s="32">
        <f>IF(B1325="","",IFERROR(D1325/I1325,""))</f>
        <v/>
      </c>
      <c r="K1325" s="71">
        <f>IF(B1325="","",IFERROR(AVERAGEIFS($J$4:$J1325,$B$4:$B1325,B1325,$J$4:$J1325,"&gt;"&amp;0),""))</f>
        <v/>
      </c>
      <c r="L1325" s="11" t="n"/>
    </row>
    <row r="1326" ht="14" customHeight="1" s="72">
      <c r="A1326" s="75" t="n">
        <v>46130</v>
      </c>
      <c r="B1326" s="76" t="n">
        <v>15032</v>
      </c>
      <c r="C1326" s="69">
        <f>IF(B1326="","",IFERROR(INDEX(Client_List!$B:$B,MATCH(B1326,Client_List!$A:$A,0)),"⚠ NOT FOUND"))</f>
        <v/>
      </c>
      <c r="D1326" s="43" t="n">
        <v>185</v>
      </c>
      <c r="E1326" s="32">
        <f>IF(B1326="","",IFERROR(INDEX(Client_List!$C:$C,MATCH(VALUE(B1326),Client_List!$A:$A,0)),""))</f>
        <v/>
      </c>
      <c r="F1326" s="53">
        <f>IF(B1326="","",IFERROR(INDEX(Client_List!$D:$D,MATCH(VALUE(B1326),Client_List!$A:$A,0)),""))</f>
        <v/>
      </c>
      <c r="G1326" s="53">
        <f>IF(B1326="","",IFERROR(INDEX(Client_List!$K:$K,MATCH(VALUE(B1326),Client_List!$A:$A,0)),""))</f>
        <v/>
      </c>
      <c r="H1326" s="32">
        <f>IF(B1326="","",IFERROR(INDEX(Client_List!$J:$J,MATCH(VALUE(B1326),Client_List!$A:$A,0)),""))</f>
        <v/>
      </c>
      <c r="I1326" s="70">
        <f>IF(B1326="","",IFERROR(A1326-LOOKUP(2,1/($B$4:$B1325=B1326),$A$4:$A1325),""))</f>
        <v/>
      </c>
      <c r="J1326" s="32">
        <f>IF(B1326="","",IFERROR(D1326/I1326,""))</f>
        <v/>
      </c>
      <c r="K1326" s="71">
        <f>IF(B1326="","",IFERROR(AVERAGEIFS($J$4:$J1326,$B$4:$B1326,B1326,$J$4:$J1326,"&gt;"&amp;0),""))</f>
        <v/>
      </c>
      <c r="L1326" s="11" t="n"/>
    </row>
    <row r="1327" ht="14" customHeight="1" s="72">
      <c r="A1327" s="75" t="n">
        <v>46130</v>
      </c>
      <c r="B1327" s="76" t="n">
        <v>18054</v>
      </c>
      <c r="C1327" s="69">
        <f>IF(B1327="","",IFERROR(INDEX(Client_List!$B:$B,MATCH(B1327,Client_List!$A:$A,0)),"⚠ NOT FOUND"))</f>
        <v/>
      </c>
      <c r="D1327" s="43" t="n">
        <v>902</v>
      </c>
      <c r="E1327" s="32">
        <f>IF(B1327="","",IFERROR(INDEX(Client_List!$C:$C,MATCH(VALUE(B1327),Client_List!$A:$A,0)),""))</f>
        <v/>
      </c>
      <c r="F1327" s="53">
        <f>IF(B1327="","",IFERROR(INDEX(Client_List!$D:$D,MATCH(VALUE(B1327),Client_List!$A:$A,0)),""))</f>
        <v/>
      </c>
      <c r="G1327" s="53">
        <f>IF(B1327="","",IFERROR(INDEX(Client_List!$K:$K,MATCH(VALUE(B1327),Client_List!$A:$A,0)),""))</f>
        <v/>
      </c>
      <c r="H1327" s="32">
        <f>IF(B1327="","",IFERROR(INDEX(Client_List!$J:$J,MATCH(VALUE(B1327),Client_List!$A:$A,0)),""))</f>
        <v/>
      </c>
      <c r="I1327" s="70">
        <f>IF(B1327="","",IFERROR(A1327-LOOKUP(2,1/($B$4:$B1326=B1327),$A$4:$A1326),""))</f>
        <v/>
      </c>
      <c r="J1327" s="32">
        <f>IF(B1327="","",IFERROR(D1327/I1327,""))</f>
        <v/>
      </c>
      <c r="K1327" s="71">
        <f>IF(B1327="","",IFERROR(AVERAGEIFS($J$4:$J1327,$B$4:$B1327,B1327,$J$4:$J1327,"&gt;"&amp;0),""))</f>
        <v/>
      </c>
      <c r="L1327" s="11" t="n"/>
    </row>
    <row r="1328" ht="14" customHeight="1" s="72">
      <c r="A1328" s="75" t="n">
        <v>46130</v>
      </c>
      <c r="B1328" s="76" t="n">
        <v>20088</v>
      </c>
      <c r="C1328" s="69">
        <f>IF(B1328="","",IFERROR(INDEX(Client_List!$B:$B,MATCH(B1328,Client_List!$A:$A,0)),"⚠ NOT FOUND"))</f>
        <v/>
      </c>
      <c r="D1328" s="43" t="n">
        <v>833</v>
      </c>
      <c r="E1328" s="32">
        <f>IF(B1328="","",IFERROR(INDEX(Client_List!$C:$C,MATCH(VALUE(B1328),Client_List!$A:$A,0)),""))</f>
        <v/>
      </c>
      <c r="F1328" s="53">
        <f>IF(B1328="","",IFERROR(INDEX(Client_List!$D:$D,MATCH(VALUE(B1328),Client_List!$A:$A,0)),""))</f>
        <v/>
      </c>
      <c r="G1328" s="53">
        <f>IF(B1328="","",IFERROR(INDEX(Client_List!$K:$K,MATCH(VALUE(B1328),Client_List!$A:$A,0)),""))</f>
        <v/>
      </c>
      <c r="H1328" s="32">
        <f>IF(B1328="","",IFERROR(INDEX(Client_List!$J:$J,MATCH(VALUE(B1328),Client_List!$A:$A,0)),""))</f>
        <v/>
      </c>
      <c r="I1328" s="70">
        <f>IF(B1328="","",IFERROR(A1328-LOOKUP(2,1/($B$4:$B1327=B1328),$A$4:$A1327),""))</f>
        <v/>
      </c>
      <c r="J1328" s="32">
        <f>IF(B1328="","",IFERROR(D1328/I1328,""))</f>
        <v/>
      </c>
      <c r="K1328" s="71">
        <f>IF(B1328="","",IFERROR(AVERAGEIFS($J$4:$J1328,$B$4:$B1328,B1328,$J$4:$J1328,"&gt;"&amp;0),""))</f>
        <v/>
      </c>
      <c r="L1328" s="11" t="n"/>
    </row>
    <row r="1329" ht="14" customHeight="1" s="72">
      <c r="A1329" s="75" t="n">
        <v>46130</v>
      </c>
      <c r="B1329" s="76" t="n">
        <v>20090</v>
      </c>
      <c r="C1329" s="69">
        <f>IF(B1329="","",IFERROR(INDEX(Client_List!$B:$B,MATCH(B1329,Client_List!$A:$A,0)),"⚠ NOT FOUND"))</f>
        <v/>
      </c>
      <c r="D1329" s="43" t="n">
        <v>927</v>
      </c>
      <c r="E1329" s="32">
        <f>IF(B1329="","",IFERROR(INDEX(Client_List!$C:$C,MATCH(VALUE(B1329),Client_List!$A:$A,0)),""))</f>
        <v/>
      </c>
      <c r="F1329" s="53">
        <f>IF(B1329="","",IFERROR(INDEX(Client_List!$D:$D,MATCH(VALUE(B1329),Client_List!$A:$A,0)),""))</f>
        <v/>
      </c>
      <c r="G1329" s="53">
        <f>IF(B1329="","",IFERROR(INDEX(Client_List!$K:$K,MATCH(VALUE(B1329),Client_List!$A:$A,0)),""))</f>
        <v/>
      </c>
      <c r="H1329" s="32">
        <f>IF(B1329="","",IFERROR(INDEX(Client_List!$J:$J,MATCH(VALUE(B1329),Client_List!$A:$A,0)),""))</f>
        <v/>
      </c>
      <c r="I1329" s="70">
        <f>IF(B1329="","",IFERROR(A1329-LOOKUP(2,1/($B$4:$B1328=B1329),$A$4:$A1328),""))</f>
        <v/>
      </c>
      <c r="J1329" s="32">
        <f>IF(B1329="","",IFERROR(D1329/I1329,""))</f>
        <v/>
      </c>
      <c r="K1329" s="71">
        <f>IF(B1329="","",IFERROR(AVERAGEIFS($J$4:$J1329,$B$4:$B1329,B1329,$J$4:$J1329,"&gt;"&amp;0),""))</f>
        <v/>
      </c>
      <c r="L1329" s="11" t="n"/>
    </row>
    <row r="1330" ht="14" customHeight="1" s="72">
      <c r="A1330" s="75" t="n">
        <v>46130</v>
      </c>
      <c r="B1330" s="76" t="n">
        <v>20098</v>
      </c>
      <c r="C1330" s="69">
        <f>IF(B1330="","",IFERROR(INDEX(Client_List!$B:$B,MATCH(B1330,Client_List!$A:$A,0)),"⚠ NOT FOUND"))</f>
        <v/>
      </c>
      <c r="D1330" s="43" t="n">
        <v>1032</v>
      </c>
      <c r="E1330" s="32">
        <f>IF(B1330="","",IFERROR(INDEX(Client_List!$C:$C,MATCH(VALUE(B1330),Client_List!$A:$A,0)),""))</f>
        <v/>
      </c>
      <c r="F1330" s="53">
        <f>IF(B1330="","",IFERROR(INDEX(Client_List!$D:$D,MATCH(VALUE(B1330),Client_List!$A:$A,0)),""))</f>
        <v/>
      </c>
      <c r="G1330" s="53">
        <f>IF(B1330="","",IFERROR(INDEX(Client_List!$K:$K,MATCH(VALUE(B1330),Client_List!$A:$A,0)),""))</f>
        <v/>
      </c>
      <c r="H1330" s="32">
        <f>IF(B1330="","",IFERROR(INDEX(Client_List!$J:$J,MATCH(VALUE(B1330),Client_List!$A:$A,0)),""))</f>
        <v/>
      </c>
      <c r="I1330" s="70">
        <f>IF(B1330="","",IFERROR(A1330-LOOKUP(2,1/($B$4:$B1329=B1330),$A$4:$A1329),""))</f>
        <v/>
      </c>
      <c r="J1330" s="32">
        <f>IF(B1330="","",IFERROR(D1330/I1330,""))</f>
        <v/>
      </c>
      <c r="K1330" s="71">
        <f>IF(B1330="","",IFERROR(AVERAGEIFS($J$4:$J1330,$B$4:$B1330,B1330,$J$4:$J1330,"&gt;"&amp;0),""))</f>
        <v/>
      </c>
      <c r="L1330" s="11" t="n"/>
    </row>
    <row r="1331" ht="14" customHeight="1" s="72">
      <c r="A1331" s="75" t="n">
        <v>46133</v>
      </c>
      <c r="B1331" s="76" t="n">
        <v>1000</v>
      </c>
      <c r="C1331" s="69">
        <f>IF(B1331="","",IFERROR(INDEX(Client_List!$B:$B,MATCH(B1331,Client_List!$A:$A,0)),"⚠ NOT FOUND"))</f>
        <v/>
      </c>
      <c r="D1331" s="43" t="n">
        <v>965</v>
      </c>
      <c r="E1331" s="32">
        <f>IF(B1331="","",IFERROR(INDEX(Client_List!$C:$C,MATCH(VALUE(B1331),Client_List!$A:$A,0)),""))</f>
        <v/>
      </c>
      <c r="F1331" s="53">
        <f>IF(B1331="","",IFERROR(INDEX(Client_List!$D:$D,MATCH(VALUE(B1331),Client_List!$A:$A,0)),""))</f>
        <v/>
      </c>
      <c r="G1331" s="53">
        <f>IF(B1331="","",IFERROR(INDEX(Client_List!$K:$K,MATCH(VALUE(B1331),Client_List!$A:$A,0)),""))</f>
        <v/>
      </c>
      <c r="H1331" s="32">
        <f>IF(B1331="","",IFERROR(INDEX(Client_List!$J:$J,MATCH(VALUE(B1331),Client_List!$A:$A,0)),""))</f>
        <v/>
      </c>
      <c r="I1331" s="70">
        <f>IF(B1331="","",IFERROR(A1331-LOOKUP(2,1/($B$4:$B1330=B1331),$A$4:$A1330),""))</f>
        <v/>
      </c>
      <c r="J1331" s="32">
        <f>IF(B1331="","",IFERROR(D1331/I1331,""))</f>
        <v/>
      </c>
      <c r="K1331" s="71">
        <f>IF(B1331="","",IFERROR(AVERAGEIFS($J$4:$J1331,$B$4:$B1331,B1331,$J$4:$J1331,"&gt;"&amp;0),""))</f>
        <v/>
      </c>
      <c r="L1331" s="11" t="n"/>
    </row>
    <row r="1332" ht="14" customHeight="1" s="72">
      <c r="A1332" s="75" t="n">
        <v>46133</v>
      </c>
      <c r="B1332" s="76" t="n">
        <v>1013</v>
      </c>
      <c r="C1332" s="69">
        <f>IF(B1332="","",IFERROR(INDEX(Client_List!$B:$B,MATCH(B1332,Client_List!$A:$A,0)),"⚠ NOT FOUND"))</f>
        <v/>
      </c>
      <c r="D1332" s="43" t="n">
        <v>343</v>
      </c>
      <c r="E1332" s="32">
        <f>IF(B1332="","",IFERROR(INDEX(Client_List!$C:$C,MATCH(VALUE(B1332),Client_List!$A:$A,0)),""))</f>
        <v/>
      </c>
      <c r="F1332" s="53">
        <f>IF(B1332="","",IFERROR(INDEX(Client_List!$D:$D,MATCH(VALUE(B1332),Client_List!$A:$A,0)),""))</f>
        <v/>
      </c>
      <c r="G1332" s="53">
        <f>IF(B1332="","",IFERROR(INDEX(Client_List!$K:$K,MATCH(VALUE(B1332),Client_List!$A:$A,0)),""))</f>
        <v/>
      </c>
      <c r="H1332" s="32">
        <f>IF(B1332="","",IFERROR(INDEX(Client_List!$J:$J,MATCH(VALUE(B1332),Client_List!$A:$A,0)),""))</f>
        <v/>
      </c>
      <c r="I1332" s="70">
        <f>IF(B1332="","",IFERROR(A1332-LOOKUP(2,1/($B$4:$B1331=B1332),$A$4:$A1331),""))</f>
        <v/>
      </c>
      <c r="J1332" s="32">
        <f>IF(B1332="","",IFERROR(D1332/I1332,""))</f>
        <v/>
      </c>
      <c r="K1332" s="71">
        <f>IF(B1332="","",IFERROR(AVERAGEIFS($J$4:$J1332,$B$4:$B1332,B1332,$J$4:$J1332,"&gt;"&amp;0),""))</f>
        <v/>
      </c>
      <c r="L1332" s="11" t="n"/>
    </row>
    <row r="1333" ht="14" customHeight="1" s="72">
      <c r="A1333" s="75" t="n">
        <v>46133</v>
      </c>
      <c r="B1333" s="76" t="n">
        <v>1018</v>
      </c>
      <c r="C1333" s="69">
        <f>IF(B1333="","",IFERROR(INDEX(Client_List!$B:$B,MATCH(B1333,Client_List!$A:$A,0)),"⚠ NOT FOUND"))</f>
        <v/>
      </c>
      <c r="D1333" s="43" t="n">
        <v>648</v>
      </c>
      <c r="E1333" s="32">
        <f>IF(B1333="","",IFERROR(INDEX(Client_List!$C:$C,MATCH(VALUE(B1333),Client_List!$A:$A,0)),""))</f>
        <v/>
      </c>
      <c r="F1333" s="53">
        <f>IF(B1333="","",IFERROR(INDEX(Client_List!$D:$D,MATCH(VALUE(B1333),Client_List!$A:$A,0)),""))</f>
        <v/>
      </c>
      <c r="G1333" s="53">
        <f>IF(B1333="","",IFERROR(INDEX(Client_List!$K:$K,MATCH(VALUE(B1333),Client_List!$A:$A,0)),""))</f>
        <v/>
      </c>
      <c r="H1333" s="32">
        <f>IF(B1333="","",IFERROR(INDEX(Client_List!$J:$J,MATCH(VALUE(B1333),Client_List!$A:$A,0)),""))</f>
        <v/>
      </c>
      <c r="I1333" s="70">
        <f>IF(B1333="","",IFERROR(A1333-LOOKUP(2,1/($B$4:$B1332=B1333),$A$4:$A1332),""))</f>
        <v/>
      </c>
      <c r="J1333" s="32">
        <f>IF(B1333="","",IFERROR(D1333/I1333,""))</f>
        <v/>
      </c>
      <c r="K1333" s="71">
        <f>IF(B1333="","",IFERROR(AVERAGEIFS($J$4:$J1333,$B$4:$B1333,B1333,$J$4:$J1333,"&gt;"&amp;0),""))</f>
        <v/>
      </c>
      <c r="L1333" s="11" t="n"/>
    </row>
    <row r="1334" ht="14" customHeight="1" s="72">
      <c r="A1334" s="75" t="n">
        <v>46133</v>
      </c>
      <c r="B1334" s="76" t="n">
        <v>1054</v>
      </c>
      <c r="C1334" s="69">
        <f>IF(B1334="","",IFERROR(INDEX(Client_List!$B:$B,MATCH(B1334,Client_List!$A:$A,0)),"⚠ NOT FOUND"))</f>
        <v/>
      </c>
      <c r="D1334" s="43" t="n">
        <v>569</v>
      </c>
      <c r="E1334" s="32">
        <f>IF(B1334="","",IFERROR(INDEX(Client_List!$C:$C,MATCH(VALUE(B1334),Client_List!$A:$A,0)),""))</f>
        <v/>
      </c>
      <c r="F1334" s="53">
        <f>IF(B1334="","",IFERROR(INDEX(Client_List!$D:$D,MATCH(VALUE(B1334),Client_List!$A:$A,0)),""))</f>
        <v/>
      </c>
      <c r="G1334" s="53">
        <f>IF(B1334="","",IFERROR(INDEX(Client_List!$K:$K,MATCH(VALUE(B1334),Client_List!$A:$A,0)),""))</f>
        <v/>
      </c>
      <c r="H1334" s="32">
        <f>IF(B1334="","",IFERROR(INDEX(Client_List!$J:$J,MATCH(VALUE(B1334),Client_List!$A:$A,0)),""))</f>
        <v/>
      </c>
      <c r="I1334" s="70">
        <f>IF(B1334="","",IFERROR(A1334-LOOKUP(2,1/($B$4:$B1333=B1334),$A$4:$A1333),""))</f>
        <v/>
      </c>
      <c r="J1334" s="32">
        <f>IF(B1334="","",IFERROR(D1334/I1334,""))</f>
        <v/>
      </c>
      <c r="K1334" s="71">
        <f>IF(B1334="","",IFERROR(AVERAGEIFS($J$4:$J1334,$B$4:$B1334,B1334,$J$4:$J1334,"&gt;"&amp;0),""))</f>
        <v/>
      </c>
      <c r="L1334" s="11" t="n"/>
    </row>
    <row r="1335" ht="14" customHeight="1" s="72">
      <c r="A1335" s="75" t="n">
        <v>46133</v>
      </c>
      <c r="B1335" s="76" t="n">
        <v>1083</v>
      </c>
      <c r="C1335" s="69">
        <f>IF(B1335="","",IFERROR(INDEX(Client_List!$B:$B,MATCH(B1335,Client_List!$A:$A,0)),"⚠ NOT FOUND"))</f>
        <v/>
      </c>
      <c r="D1335" s="43" t="n">
        <v>252</v>
      </c>
      <c r="E1335" s="32">
        <f>IF(B1335="","",IFERROR(INDEX(Client_List!$C:$C,MATCH(VALUE(B1335),Client_List!$A:$A,0)),""))</f>
        <v/>
      </c>
      <c r="F1335" s="53">
        <f>IF(B1335="","",IFERROR(INDEX(Client_List!$D:$D,MATCH(VALUE(B1335),Client_List!$A:$A,0)),""))</f>
        <v/>
      </c>
      <c r="G1335" s="53">
        <f>IF(B1335="","",IFERROR(INDEX(Client_List!$K:$K,MATCH(VALUE(B1335),Client_List!$A:$A,0)),""))</f>
        <v/>
      </c>
      <c r="H1335" s="32">
        <f>IF(B1335="","",IFERROR(INDEX(Client_List!$J:$J,MATCH(VALUE(B1335),Client_List!$A:$A,0)),""))</f>
        <v/>
      </c>
      <c r="I1335" s="70">
        <f>IF(B1335="","",IFERROR(A1335-LOOKUP(2,1/($B$4:$B1334=B1335),$A$4:$A1334),""))</f>
        <v/>
      </c>
      <c r="J1335" s="32">
        <f>IF(B1335="","",IFERROR(D1335/I1335,""))</f>
        <v/>
      </c>
      <c r="K1335" s="71">
        <f>IF(B1335="","",IFERROR(AVERAGEIFS($J$4:$J1335,$B$4:$B1335,B1335,$J$4:$J1335,"&gt;"&amp;0),""))</f>
        <v/>
      </c>
      <c r="L1335" s="11" t="n"/>
    </row>
    <row r="1336" ht="14" customHeight="1" s="72">
      <c r="A1336" s="75" t="n">
        <v>46133</v>
      </c>
      <c r="B1336" s="76" t="n">
        <v>2023</v>
      </c>
      <c r="C1336" s="69">
        <f>IF(B1336="","",IFERROR(INDEX(Client_List!$B:$B,MATCH(B1336,Client_List!$A:$A,0)),"⚠ NOT FOUND"))</f>
        <v/>
      </c>
      <c r="D1336" s="43" t="n">
        <v>603</v>
      </c>
      <c r="E1336" s="32">
        <f>IF(B1336="","",IFERROR(INDEX(Client_List!$C:$C,MATCH(VALUE(B1336),Client_List!$A:$A,0)),""))</f>
        <v/>
      </c>
      <c r="F1336" s="53">
        <f>IF(B1336="","",IFERROR(INDEX(Client_List!$D:$D,MATCH(VALUE(B1336),Client_List!$A:$A,0)),""))</f>
        <v/>
      </c>
      <c r="G1336" s="53">
        <f>IF(B1336="","",IFERROR(INDEX(Client_List!$K:$K,MATCH(VALUE(B1336),Client_List!$A:$A,0)),""))</f>
        <v/>
      </c>
      <c r="H1336" s="32">
        <f>IF(B1336="","",IFERROR(INDEX(Client_List!$J:$J,MATCH(VALUE(B1336),Client_List!$A:$A,0)),""))</f>
        <v/>
      </c>
      <c r="I1336" s="70">
        <f>IF(B1336="","",IFERROR(A1336-LOOKUP(2,1/($B$4:$B1335=B1336),$A$4:$A1335),""))</f>
        <v/>
      </c>
      <c r="J1336" s="32">
        <f>IF(B1336="","",IFERROR(D1336/I1336,""))</f>
        <v/>
      </c>
      <c r="K1336" s="71">
        <f>IF(B1336="","",IFERROR(AVERAGEIFS($J$4:$J1336,$B$4:$B1336,B1336,$J$4:$J1336,"&gt;"&amp;0),""))</f>
        <v/>
      </c>
      <c r="L1336" s="11" t="n"/>
    </row>
    <row r="1337" ht="14" customHeight="1" s="72">
      <c r="A1337" s="75" t="n">
        <v>46133</v>
      </c>
      <c r="B1337" s="76" t="n">
        <v>2038</v>
      </c>
      <c r="C1337" s="69">
        <f>IF(B1337="","",IFERROR(INDEX(Client_List!$B:$B,MATCH(B1337,Client_List!$A:$A,0)),"⚠ NOT FOUND"))</f>
        <v/>
      </c>
      <c r="D1337" s="43" t="n">
        <v>525</v>
      </c>
      <c r="E1337" s="32">
        <f>IF(B1337="","",IFERROR(INDEX(Client_List!$C:$C,MATCH(VALUE(B1337),Client_List!$A:$A,0)),""))</f>
        <v/>
      </c>
      <c r="F1337" s="53">
        <f>IF(B1337="","",IFERROR(INDEX(Client_List!$D:$D,MATCH(VALUE(B1337),Client_List!$A:$A,0)),""))</f>
        <v/>
      </c>
      <c r="G1337" s="53">
        <f>IF(B1337="","",IFERROR(INDEX(Client_List!$K:$K,MATCH(VALUE(B1337),Client_List!$A:$A,0)),""))</f>
        <v/>
      </c>
      <c r="H1337" s="32">
        <f>IF(B1337="","",IFERROR(INDEX(Client_List!$J:$J,MATCH(VALUE(B1337),Client_List!$A:$A,0)),""))</f>
        <v/>
      </c>
      <c r="I1337" s="70">
        <f>IF(B1337="","",IFERROR(A1337-LOOKUP(2,1/($B$4:$B1336=B1337),$A$4:$A1336),""))</f>
        <v/>
      </c>
      <c r="J1337" s="32">
        <f>IF(B1337="","",IFERROR(D1337/I1337,""))</f>
        <v/>
      </c>
      <c r="K1337" s="71">
        <f>IF(B1337="","",IFERROR(AVERAGEIFS($J$4:$J1337,$B$4:$B1337,B1337,$J$4:$J1337,"&gt;"&amp;0),""))</f>
        <v/>
      </c>
      <c r="L1337" s="11" t="n"/>
    </row>
    <row r="1338" ht="14" customHeight="1" s="72">
      <c r="A1338" s="75" t="n">
        <v>46133</v>
      </c>
      <c r="B1338" s="76" t="n">
        <v>2045</v>
      </c>
      <c r="C1338" s="69">
        <f>IF(B1338="","",IFERROR(INDEX(Client_List!$B:$B,MATCH(B1338,Client_List!$A:$A,0)),"⚠ NOT FOUND"))</f>
        <v/>
      </c>
      <c r="D1338" s="43" t="n">
        <v>148</v>
      </c>
      <c r="E1338" s="32">
        <f>IF(B1338="","",IFERROR(INDEX(Client_List!$C:$C,MATCH(VALUE(B1338),Client_List!$A:$A,0)),""))</f>
        <v/>
      </c>
      <c r="F1338" s="53">
        <f>IF(B1338="","",IFERROR(INDEX(Client_List!$D:$D,MATCH(VALUE(B1338),Client_List!$A:$A,0)),""))</f>
        <v/>
      </c>
      <c r="G1338" s="53">
        <f>IF(B1338="","",IFERROR(INDEX(Client_List!$K:$K,MATCH(VALUE(B1338),Client_List!$A:$A,0)),""))</f>
        <v/>
      </c>
      <c r="H1338" s="32">
        <f>IF(B1338="","",IFERROR(INDEX(Client_List!$J:$J,MATCH(VALUE(B1338),Client_List!$A:$A,0)),""))</f>
        <v/>
      </c>
      <c r="I1338" s="70">
        <f>IF(B1338="","",IFERROR(A1338-LOOKUP(2,1/($B$4:$B1337=B1338),$A$4:$A1337),""))</f>
        <v/>
      </c>
      <c r="J1338" s="32">
        <f>IF(B1338="","",IFERROR(D1338/I1338,""))</f>
        <v/>
      </c>
      <c r="K1338" s="71">
        <f>IF(B1338="","",IFERROR(AVERAGEIFS($J$4:$J1338,$B$4:$B1338,B1338,$J$4:$J1338,"&gt;"&amp;0),""))</f>
        <v/>
      </c>
      <c r="L1338" s="11" t="n"/>
    </row>
    <row r="1339" ht="14" customHeight="1" s="72">
      <c r="A1339" s="75" t="n">
        <v>46133</v>
      </c>
      <c r="B1339" s="76" t="n">
        <v>2073</v>
      </c>
      <c r="C1339" s="69">
        <f>IF(B1339="","",IFERROR(INDEX(Client_List!$B:$B,MATCH(B1339,Client_List!$A:$A,0)),"⚠ NOT FOUND"))</f>
        <v/>
      </c>
      <c r="D1339" s="43" t="n">
        <v>319</v>
      </c>
      <c r="E1339" s="32">
        <f>IF(B1339="","",IFERROR(INDEX(Client_List!$C:$C,MATCH(VALUE(B1339),Client_List!$A:$A,0)),""))</f>
        <v/>
      </c>
      <c r="F1339" s="53">
        <f>IF(B1339="","",IFERROR(INDEX(Client_List!$D:$D,MATCH(VALUE(B1339),Client_List!$A:$A,0)),""))</f>
        <v/>
      </c>
      <c r="G1339" s="53">
        <f>IF(B1339="","",IFERROR(INDEX(Client_List!$K:$K,MATCH(VALUE(B1339),Client_List!$A:$A,0)),""))</f>
        <v/>
      </c>
      <c r="H1339" s="32">
        <f>IF(B1339="","",IFERROR(INDEX(Client_List!$J:$J,MATCH(VALUE(B1339),Client_List!$A:$A,0)),""))</f>
        <v/>
      </c>
      <c r="I1339" s="70">
        <f>IF(B1339="","",IFERROR(A1339-LOOKUP(2,1/($B$4:$B1338=B1339),$A$4:$A1338),""))</f>
        <v/>
      </c>
      <c r="J1339" s="32">
        <f>IF(B1339="","",IFERROR(D1339/I1339,""))</f>
        <v/>
      </c>
      <c r="K1339" s="71">
        <f>IF(B1339="","",IFERROR(AVERAGEIFS($J$4:$J1339,$B$4:$B1339,B1339,$J$4:$J1339,"&gt;"&amp;0),""))</f>
        <v/>
      </c>
      <c r="L1339" s="11" t="n"/>
    </row>
    <row r="1340" ht="14" customHeight="1" s="72">
      <c r="A1340" s="75" t="n">
        <v>46133</v>
      </c>
      <c r="B1340" s="76" t="n">
        <v>3046</v>
      </c>
      <c r="C1340" s="69">
        <f>IF(B1340="","",IFERROR(INDEX(Client_List!$B:$B,MATCH(B1340,Client_List!$A:$A,0)),"⚠ NOT FOUND"))</f>
        <v/>
      </c>
      <c r="D1340" s="43" t="n">
        <v>793</v>
      </c>
      <c r="E1340" s="32">
        <f>IF(B1340="","",IFERROR(INDEX(Client_List!$C:$C,MATCH(VALUE(B1340),Client_List!$A:$A,0)),""))</f>
        <v/>
      </c>
      <c r="F1340" s="53">
        <f>IF(B1340="","",IFERROR(INDEX(Client_List!$D:$D,MATCH(VALUE(B1340),Client_List!$A:$A,0)),""))</f>
        <v/>
      </c>
      <c r="G1340" s="53">
        <f>IF(B1340="","",IFERROR(INDEX(Client_List!$K:$K,MATCH(VALUE(B1340),Client_List!$A:$A,0)),""))</f>
        <v/>
      </c>
      <c r="H1340" s="32">
        <f>IF(B1340="","",IFERROR(INDEX(Client_List!$J:$J,MATCH(VALUE(B1340),Client_List!$A:$A,0)),""))</f>
        <v/>
      </c>
      <c r="I1340" s="70">
        <f>IF(B1340="","",IFERROR(A1340-LOOKUP(2,1/($B$4:$B1339=B1340),$A$4:$A1339),""))</f>
        <v/>
      </c>
      <c r="J1340" s="32">
        <f>IF(B1340="","",IFERROR(D1340/I1340,""))</f>
        <v/>
      </c>
      <c r="K1340" s="71">
        <f>IF(B1340="","",IFERROR(AVERAGEIFS($J$4:$J1340,$B$4:$B1340,B1340,$J$4:$J1340,"&gt;"&amp;0),""))</f>
        <v/>
      </c>
      <c r="L1340" s="11" t="n"/>
    </row>
    <row r="1341" ht="14" customHeight="1" s="72">
      <c r="A1341" s="75" t="n">
        <v>46133</v>
      </c>
      <c r="B1341" s="76" t="n">
        <v>5006</v>
      </c>
      <c r="C1341" s="69">
        <f>IF(B1341="","",IFERROR(INDEX(Client_List!$B:$B,MATCH(B1341,Client_List!$A:$A,0)),"⚠ NOT FOUND"))</f>
        <v/>
      </c>
      <c r="D1341" s="43" t="n">
        <v>476</v>
      </c>
      <c r="E1341" s="32">
        <f>IF(B1341="","",IFERROR(INDEX(Client_List!$C:$C,MATCH(VALUE(B1341),Client_List!$A:$A,0)),""))</f>
        <v/>
      </c>
      <c r="F1341" s="53">
        <f>IF(B1341="","",IFERROR(INDEX(Client_List!$D:$D,MATCH(VALUE(B1341),Client_List!$A:$A,0)),""))</f>
        <v/>
      </c>
      <c r="G1341" s="53">
        <f>IF(B1341="","",IFERROR(INDEX(Client_List!$K:$K,MATCH(VALUE(B1341),Client_List!$A:$A,0)),""))</f>
        <v/>
      </c>
      <c r="H1341" s="32">
        <f>IF(B1341="","",IFERROR(INDEX(Client_List!$J:$J,MATCH(VALUE(B1341),Client_List!$A:$A,0)),""))</f>
        <v/>
      </c>
      <c r="I1341" s="70">
        <f>IF(B1341="","",IFERROR(A1341-LOOKUP(2,1/($B$4:$B1340=B1341),$A$4:$A1340),""))</f>
        <v/>
      </c>
      <c r="J1341" s="32">
        <f>IF(B1341="","",IFERROR(D1341/I1341,""))</f>
        <v/>
      </c>
      <c r="K1341" s="71">
        <f>IF(B1341="","",IFERROR(AVERAGEIFS($J$4:$J1341,$B$4:$B1341,B1341,$J$4:$J1341,"&gt;"&amp;0),""))</f>
        <v/>
      </c>
      <c r="L1341" s="11" t="n"/>
    </row>
    <row r="1342" ht="14" customHeight="1" s="72">
      <c r="A1342" s="75" t="n">
        <v>46133</v>
      </c>
      <c r="B1342" s="76" t="n">
        <v>6109</v>
      </c>
      <c r="C1342" s="69">
        <f>IF(B1342="","",IFERROR(INDEX(Client_List!$B:$B,MATCH(B1342,Client_List!$A:$A,0)),"⚠ NOT FOUND"))</f>
        <v/>
      </c>
      <c r="D1342" s="43" t="n">
        <v>541</v>
      </c>
      <c r="E1342" s="32">
        <f>IF(B1342="","",IFERROR(INDEX(Client_List!$C:$C,MATCH(VALUE(B1342),Client_List!$A:$A,0)),""))</f>
        <v/>
      </c>
      <c r="F1342" s="53">
        <f>IF(B1342="","",IFERROR(INDEX(Client_List!$D:$D,MATCH(VALUE(B1342),Client_List!$A:$A,0)),""))</f>
        <v/>
      </c>
      <c r="G1342" s="53">
        <f>IF(B1342="","",IFERROR(INDEX(Client_List!$K:$K,MATCH(VALUE(B1342),Client_List!$A:$A,0)),""))</f>
        <v/>
      </c>
      <c r="H1342" s="32">
        <f>IF(B1342="","",IFERROR(INDEX(Client_List!$J:$J,MATCH(VALUE(B1342),Client_List!$A:$A,0)),""))</f>
        <v/>
      </c>
      <c r="I1342" s="70">
        <f>IF(B1342="","",IFERROR(A1342-LOOKUP(2,1/($B$4:$B1341=B1342),$A$4:$A1341),""))</f>
        <v/>
      </c>
      <c r="J1342" s="32">
        <f>IF(B1342="","",IFERROR(D1342/I1342,""))</f>
        <v/>
      </c>
      <c r="K1342" s="71">
        <f>IF(B1342="","",IFERROR(AVERAGEIFS($J$4:$J1342,$B$4:$B1342,B1342,$J$4:$J1342,"&gt;"&amp;0),""))</f>
        <v/>
      </c>
      <c r="L1342" s="11" t="n"/>
    </row>
    <row r="1343" ht="14" customHeight="1" s="72">
      <c r="A1343" s="75" t="n">
        <v>46133</v>
      </c>
      <c r="B1343" s="76" t="n">
        <v>15005</v>
      </c>
      <c r="C1343" s="69">
        <f>IF(B1343="","",IFERROR(INDEX(Client_List!$B:$B,MATCH(B1343,Client_List!$A:$A,0)),"⚠ NOT FOUND"))</f>
        <v/>
      </c>
      <c r="D1343" s="43" t="n">
        <v>653</v>
      </c>
      <c r="E1343" s="32">
        <f>IF(B1343="","",IFERROR(INDEX(Client_List!$C:$C,MATCH(VALUE(B1343),Client_List!$A:$A,0)),""))</f>
        <v/>
      </c>
      <c r="F1343" s="53">
        <f>IF(B1343="","",IFERROR(INDEX(Client_List!$D:$D,MATCH(VALUE(B1343),Client_List!$A:$A,0)),""))</f>
        <v/>
      </c>
      <c r="G1343" s="53">
        <f>IF(B1343="","",IFERROR(INDEX(Client_List!$K:$K,MATCH(VALUE(B1343),Client_List!$A:$A,0)),""))</f>
        <v/>
      </c>
      <c r="H1343" s="32">
        <f>IF(B1343="","",IFERROR(INDEX(Client_List!$J:$J,MATCH(VALUE(B1343),Client_List!$A:$A,0)),""))</f>
        <v/>
      </c>
      <c r="I1343" s="70">
        <f>IF(B1343="","",IFERROR(A1343-LOOKUP(2,1/($B$4:$B1342=B1343),$A$4:$A1342),""))</f>
        <v/>
      </c>
      <c r="J1343" s="32">
        <f>IF(B1343="","",IFERROR(D1343/I1343,""))</f>
        <v/>
      </c>
      <c r="K1343" s="71">
        <f>IF(B1343="","",IFERROR(AVERAGEIFS($J$4:$J1343,$B$4:$B1343,B1343,$J$4:$J1343,"&gt;"&amp;0),""))</f>
        <v/>
      </c>
      <c r="L1343" s="11" t="n"/>
    </row>
    <row r="1344" ht="14" customHeight="1" s="72">
      <c r="A1344" s="75" t="n">
        <v>46133</v>
      </c>
      <c r="B1344" s="76" t="n">
        <v>15018</v>
      </c>
      <c r="C1344" s="69">
        <f>IF(B1344="","",IFERROR(INDEX(Client_List!$B:$B,MATCH(B1344,Client_List!$A:$A,0)),"⚠ NOT FOUND"))</f>
        <v/>
      </c>
      <c r="D1344" s="43" t="n">
        <v>461</v>
      </c>
      <c r="E1344" s="32">
        <f>IF(B1344="","",IFERROR(INDEX(Client_List!$C:$C,MATCH(VALUE(B1344),Client_List!$A:$A,0)),""))</f>
        <v/>
      </c>
      <c r="F1344" s="53">
        <f>IF(B1344="","",IFERROR(INDEX(Client_List!$D:$D,MATCH(VALUE(B1344),Client_List!$A:$A,0)),""))</f>
        <v/>
      </c>
      <c r="G1344" s="53">
        <f>IF(B1344="","",IFERROR(INDEX(Client_List!$K:$K,MATCH(VALUE(B1344),Client_List!$A:$A,0)),""))</f>
        <v/>
      </c>
      <c r="H1344" s="32">
        <f>IF(B1344="","",IFERROR(INDEX(Client_List!$J:$J,MATCH(VALUE(B1344),Client_List!$A:$A,0)),""))</f>
        <v/>
      </c>
      <c r="I1344" s="70">
        <f>IF(B1344="","",IFERROR(A1344-LOOKUP(2,1/($B$4:$B1343=B1344),$A$4:$A1343),""))</f>
        <v/>
      </c>
      <c r="J1344" s="32">
        <f>IF(B1344="","",IFERROR(D1344/I1344,""))</f>
        <v/>
      </c>
      <c r="K1344" s="71">
        <f>IF(B1344="","",IFERROR(AVERAGEIFS($J$4:$J1344,$B$4:$B1344,B1344,$J$4:$J1344,"&gt;"&amp;0),""))</f>
        <v/>
      </c>
      <c r="L1344" s="11" t="n"/>
    </row>
    <row r="1345" ht="14" customHeight="1" s="72">
      <c r="A1345" s="75" t="n">
        <v>46133</v>
      </c>
      <c r="B1345" s="76" t="n">
        <v>15026</v>
      </c>
      <c r="C1345" s="69">
        <f>IF(B1345="","",IFERROR(INDEX(Client_List!$B:$B,MATCH(B1345,Client_List!$A:$A,0)),"⚠ NOT FOUND"))</f>
        <v/>
      </c>
      <c r="D1345" s="43" t="n">
        <v>644</v>
      </c>
      <c r="E1345" s="32">
        <f>IF(B1345="","",IFERROR(INDEX(Client_List!$C:$C,MATCH(VALUE(B1345),Client_List!$A:$A,0)),""))</f>
        <v/>
      </c>
      <c r="F1345" s="53">
        <f>IF(B1345="","",IFERROR(INDEX(Client_List!$D:$D,MATCH(VALUE(B1345),Client_List!$A:$A,0)),""))</f>
        <v/>
      </c>
      <c r="G1345" s="53">
        <f>IF(B1345="","",IFERROR(INDEX(Client_List!$K:$K,MATCH(VALUE(B1345),Client_List!$A:$A,0)),""))</f>
        <v/>
      </c>
      <c r="H1345" s="32">
        <f>IF(B1345="","",IFERROR(INDEX(Client_List!$J:$J,MATCH(VALUE(B1345),Client_List!$A:$A,0)),""))</f>
        <v/>
      </c>
      <c r="I1345" s="70">
        <f>IF(B1345="","",IFERROR(A1345-LOOKUP(2,1/($B$4:$B1344=B1345),$A$4:$A1344),""))</f>
        <v/>
      </c>
      <c r="J1345" s="32">
        <f>IF(B1345="","",IFERROR(D1345/I1345,""))</f>
        <v/>
      </c>
      <c r="K1345" s="71">
        <f>IF(B1345="","",IFERROR(AVERAGEIFS($J$4:$J1345,$B$4:$B1345,B1345,$J$4:$J1345,"&gt;"&amp;0),""))</f>
        <v/>
      </c>
      <c r="L1345" s="11" t="n"/>
    </row>
    <row r="1346" ht="14" customHeight="1" s="72">
      <c r="A1346" s="75" t="n">
        <v>46133</v>
      </c>
      <c r="B1346" s="76" t="n">
        <v>16003</v>
      </c>
      <c r="C1346" s="69">
        <f>IF(B1346="","",IFERROR(INDEX(Client_List!$B:$B,MATCH(B1346,Client_List!$A:$A,0)),"⚠ NOT FOUND"))</f>
        <v/>
      </c>
      <c r="D1346" s="43" t="n">
        <v>660</v>
      </c>
      <c r="E1346" s="32">
        <f>IF(B1346="","",IFERROR(INDEX(Client_List!$C:$C,MATCH(VALUE(B1346),Client_List!$A:$A,0)),""))</f>
        <v/>
      </c>
      <c r="F1346" s="53">
        <f>IF(B1346="","",IFERROR(INDEX(Client_List!$D:$D,MATCH(VALUE(B1346),Client_List!$A:$A,0)),""))</f>
        <v/>
      </c>
      <c r="G1346" s="53">
        <f>IF(B1346="","",IFERROR(INDEX(Client_List!$K:$K,MATCH(VALUE(B1346),Client_List!$A:$A,0)),""))</f>
        <v/>
      </c>
      <c r="H1346" s="32">
        <f>IF(B1346="","",IFERROR(INDEX(Client_List!$J:$J,MATCH(VALUE(B1346),Client_List!$A:$A,0)),""))</f>
        <v/>
      </c>
      <c r="I1346" s="70">
        <f>IF(B1346="","",IFERROR(A1346-LOOKUP(2,1/($B$4:$B1345=B1346),$A$4:$A1345),""))</f>
        <v/>
      </c>
      <c r="J1346" s="32">
        <f>IF(B1346="","",IFERROR(D1346/I1346,""))</f>
        <v/>
      </c>
      <c r="K1346" s="71">
        <f>IF(B1346="","",IFERROR(AVERAGEIFS($J$4:$J1346,$B$4:$B1346,B1346,$J$4:$J1346,"&gt;"&amp;0),""))</f>
        <v/>
      </c>
      <c r="L1346" s="11" t="n"/>
    </row>
    <row r="1347" ht="14" customHeight="1" s="72">
      <c r="A1347" s="75" t="n">
        <v>46133</v>
      </c>
      <c r="B1347" s="76" t="n">
        <v>16004</v>
      </c>
      <c r="C1347" s="69">
        <f>IF(B1347="","",IFERROR(INDEX(Client_List!$B:$B,MATCH(B1347,Client_List!$A:$A,0)),"⚠ NOT FOUND"))</f>
        <v/>
      </c>
      <c r="D1347" s="43" t="n">
        <v>630</v>
      </c>
      <c r="E1347" s="32">
        <f>IF(B1347="","",IFERROR(INDEX(Client_List!$C:$C,MATCH(VALUE(B1347),Client_List!$A:$A,0)),""))</f>
        <v/>
      </c>
      <c r="F1347" s="53">
        <f>IF(B1347="","",IFERROR(INDEX(Client_List!$D:$D,MATCH(VALUE(B1347),Client_List!$A:$A,0)),""))</f>
        <v/>
      </c>
      <c r="G1347" s="53">
        <f>IF(B1347="","",IFERROR(INDEX(Client_List!$K:$K,MATCH(VALUE(B1347),Client_List!$A:$A,0)),""))</f>
        <v/>
      </c>
      <c r="H1347" s="32">
        <f>IF(B1347="","",IFERROR(INDEX(Client_List!$J:$J,MATCH(VALUE(B1347),Client_List!$A:$A,0)),""))</f>
        <v/>
      </c>
      <c r="I1347" s="70">
        <f>IF(B1347="","",IFERROR(A1347-LOOKUP(2,1/($B$4:$B1346=B1347),$A$4:$A1346),""))</f>
        <v/>
      </c>
      <c r="J1347" s="32">
        <f>IF(B1347="","",IFERROR(D1347/I1347,""))</f>
        <v/>
      </c>
      <c r="K1347" s="71">
        <f>IF(B1347="","",IFERROR(AVERAGEIFS($J$4:$J1347,$B$4:$B1347,B1347,$J$4:$J1347,"&gt;"&amp;0),""))</f>
        <v/>
      </c>
      <c r="L1347" s="11" t="n"/>
    </row>
    <row r="1348" ht="14" customHeight="1" s="72">
      <c r="A1348" s="75" t="n">
        <v>46133</v>
      </c>
      <c r="B1348" s="76" t="n">
        <v>16006</v>
      </c>
      <c r="C1348" s="69">
        <f>IF(B1348="","",IFERROR(INDEX(Client_List!$B:$B,MATCH(B1348,Client_List!$A:$A,0)),"⚠ NOT FOUND"))</f>
        <v/>
      </c>
      <c r="D1348" s="43" t="n">
        <v>694</v>
      </c>
      <c r="E1348" s="32">
        <f>IF(B1348="","",IFERROR(INDEX(Client_List!$C:$C,MATCH(VALUE(B1348),Client_List!$A:$A,0)),""))</f>
        <v/>
      </c>
      <c r="F1348" s="53">
        <f>IF(B1348="","",IFERROR(INDEX(Client_List!$D:$D,MATCH(VALUE(B1348),Client_List!$A:$A,0)),""))</f>
        <v/>
      </c>
      <c r="G1348" s="53">
        <f>IF(B1348="","",IFERROR(INDEX(Client_List!$K:$K,MATCH(VALUE(B1348),Client_List!$A:$A,0)),""))</f>
        <v/>
      </c>
      <c r="H1348" s="32">
        <f>IF(B1348="","",IFERROR(INDEX(Client_List!$J:$J,MATCH(VALUE(B1348),Client_List!$A:$A,0)),""))</f>
        <v/>
      </c>
      <c r="I1348" s="70">
        <f>IF(B1348="","",IFERROR(A1348-LOOKUP(2,1/($B$4:$B1347=B1348),$A$4:$A1347),""))</f>
        <v/>
      </c>
      <c r="J1348" s="32">
        <f>IF(B1348="","",IFERROR(D1348/I1348,""))</f>
        <v/>
      </c>
      <c r="K1348" s="71">
        <f>IF(B1348="","",IFERROR(AVERAGEIFS($J$4:$J1348,$B$4:$B1348,B1348,$J$4:$J1348,"&gt;"&amp;0),""))</f>
        <v/>
      </c>
      <c r="L1348" s="11" t="n"/>
    </row>
    <row r="1349" ht="14" customHeight="1" s="72">
      <c r="A1349" s="75" t="n">
        <v>46133</v>
      </c>
      <c r="B1349" s="76" t="n">
        <v>16010</v>
      </c>
      <c r="C1349" s="69">
        <f>IF(B1349="","",IFERROR(INDEX(Client_List!$B:$B,MATCH(B1349,Client_List!$A:$A,0)),"⚠ NOT FOUND"))</f>
        <v/>
      </c>
      <c r="D1349" s="43" t="n">
        <v>1304</v>
      </c>
      <c r="E1349" s="32">
        <f>IF(B1349="","",IFERROR(INDEX(Client_List!$C:$C,MATCH(VALUE(B1349),Client_List!$A:$A,0)),""))</f>
        <v/>
      </c>
      <c r="F1349" s="53">
        <f>IF(B1349="","",IFERROR(INDEX(Client_List!$D:$D,MATCH(VALUE(B1349),Client_List!$A:$A,0)),""))</f>
        <v/>
      </c>
      <c r="G1349" s="53">
        <f>IF(B1349="","",IFERROR(INDEX(Client_List!$K:$K,MATCH(VALUE(B1349),Client_List!$A:$A,0)),""))</f>
        <v/>
      </c>
      <c r="H1349" s="32">
        <f>IF(B1349="","",IFERROR(INDEX(Client_List!$J:$J,MATCH(VALUE(B1349),Client_List!$A:$A,0)),""))</f>
        <v/>
      </c>
      <c r="I1349" s="70">
        <f>IF(B1349="","",IFERROR(A1349-LOOKUP(2,1/($B$4:$B1348=B1349),$A$4:$A1348),""))</f>
        <v/>
      </c>
      <c r="J1349" s="32">
        <f>IF(B1349="","",IFERROR(D1349/I1349,""))</f>
        <v/>
      </c>
      <c r="K1349" s="71">
        <f>IF(B1349="","",IFERROR(AVERAGEIFS($J$4:$J1349,$B$4:$B1349,B1349,$J$4:$J1349,"&gt;"&amp;0),""))</f>
        <v/>
      </c>
      <c r="L1349" s="11" t="n"/>
    </row>
    <row r="1350" ht="14" customHeight="1" s="72">
      <c r="A1350" s="75" t="n">
        <v>46133</v>
      </c>
      <c r="B1350" s="76" t="n">
        <v>16018</v>
      </c>
      <c r="C1350" s="69">
        <f>IF(B1350="","",IFERROR(INDEX(Client_List!$B:$B,MATCH(B1350,Client_List!$A:$A,0)),"⚠ NOT FOUND"))</f>
        <v/>
      </c>
      <c r="D1350" s="43" t="n">
        <v>566</v>
      </c>
      <c r="E1350" s="32">
        <f>IF(B1350="","",IFERROR(INDEX(Client_List!$C:$C,MATCH(VALUE(B1350),Client_List!$A:$A,0)),""))</f>
        <v/>
      </c>
      <c r="F1350" s="53">
        <f>IF(B1350="","",IFERROR(INDEX(Client_List!$D:$D,MATCH(VALUE(B1350),Client_List!$A:$A,0)),""))</f>
        <v/>
      </c>
      <c r="G1350" s="53">
        <f>IF(B1350="","",IFERROR(INDEX(Client_List!$K:$K,MATCH(VALUE(B1350),Client_List!$A:$A,0)),""))</f>
        <v/>
      </c>
      <c r="H1350" s="32">
        <f>IF(B1350="","",IFERROR(INDEX(Client_List!$J:$J,MATCH(VALUE(B1350),Client_List!$A:$A,0)),""))</f>
        <v/>
      </c>
      <c r="I1350" s="70">
        <f>IF(B1350="","",IFERROR(A1350-LOOKUP(2,1/($B$4:$B1349=B1350),$A$4:$A1349),""))</f>
        <v/>
      </c>
      <c r="J1350" s="32">
        <f>IF(B1350="","",IFERROR(D1350/I1350,""))</f>
        <v/>
      </c>
      <c r="K1350" s="71">
        <f>IF(B1350="","",IFERROR(AVERAGEIFS($J$4:$J1350,$B$4:$B1350,B1350,$J$4:$J1350,"&gt;"&amp;0),""))</f>
        <v/>
      </c>
      <c r="L1350" s="11" t="n"/>
    </row>
    <row r="1351" ht="14" customHeight="1" s="72">
      <c r="A1351" s="75" t="n">
        <v>46133</v>
      </c>
      <c r="B1351" s="76" t="n">
        <v>19077</v>
      </c>
      <c r="C1351" s="69">
        <f>IF(B1351="","",IFERROR(INDEX(Client_List!$B:$B,MATCH(B1351,Client_List!$A:$A,0)),"⚠ NOT FOUND"))</f>
        <v/>
      </c>
      <c r="D1351" s="43" t="n">
        <v>1100</v>
      </c>
      <c r="E1351" s="32">
        <f>IF(B1351="","",IFERROR(INDEX(Client_List!$C:$C,MATCH(VALUE(B1351),Client_List!$A:$A,0)),""))</f>
        <v/>
      </c>
      <c r="F1351" s="53">
        <f>IF(B1351="","",IFERROR(INDEX(Client_List!$D:$D,MATCH(VALUE(B1351),Client_List!$A:$A,0)),""))</f>
        <v/>
      </c>
      <c r="G1351" s="53">
        <f>IF(B1351="","",IFERROR(INDEX(Client_List!$K:$K,MATCH(VALUE(B1351),Client_List!$A:$A,0)),""))</f>
        <v/>
      </c>
      <c r="H1351" s="32">
        <f>IF(B1351="","",IFERROR(INDEX(Client_List!$J:$J,MATCH(VALUE(B1351),Client_List!$A:$A,0)),""))</f>
        <v/>
      </c>
      <c r="I1351" s="70">
        <f>IF(B1351="","",IFERROR(A1351-LOOKUP(2,1/($B$4:$B1350=B1351),$A$4:$A1350),""))</f>
        <v/>
      </c>
      <c r="J1351" s="32">
        <f>IF(B1351="","",IFERROR(D1351/I1351,""))</f>
        <v/>
      </c>
      <c r="K1351" s="71">
        <f>IF(B1351="","",IFERROR(AVERAGEIFS($J$4:$J1351,$B$4:$B1351,B1351,$J$4:$J1351,"&gt;"&amp;0),""))</f>
        <v/>
      </c>
      <c r="L1351" s="11" t="n"/>
    </row>
    <row r="1352" ht="14" customHeight="1" s="72">
      <c r="A1352" s="75" t="n">
        <v>46133</v>
      </c>
      <c r="B1352" s="76" t="n">
        <v>19082</v>
      </c>
      <c r="C1352" s="69">
        <f>IF(B1352="","",IFERROR(INDEX(Client_List!$B:$B,MATCH(B1352,Client_List!$A:$A,0)),"⚠ NOT FOUND"))</f>
        <v/>
      </c>
      <c r="D1352" s="43" t="n">
        <v>619</v>
      </c>
      <c r="E1352" s="32">
        <f>IF(B1352="","",IFERROR(INDEX(Client_List!$C:$C,MATCH(VALUE(B1352),Client_List!$A:$A,0)),""))</f>
        <v/>
      </c>
      <c r="F1352" s="53">
        <f>IF(B1352="","",IFERROR(INDEX(Client_List!$D:$D,MATCH(VALUE(B1352),Client_List!$A:$A,0)),""))</f>
        <v/>
      </c>
      <c r="G1352" s="53">
        <f>IF(B1352="","",IFERROR(INDEX(Client_List!$K:$K,MATCH(VALUE(B1352),Client_List!$A:$A,0)),""))</f>
        <v/>
      </c>
      <c r="H1352" s="32">
        <f>IF(B1352="","",IFERROR(INDEX(Client_List!$J:$J,MATCH(VALUE(B1352),Client_List!$A:$A,0)),""))</f>
        <v/>
      </c>
      <c r="I1352" s="70">
        <f>IF(B1352="","",IFERROR(A1352-LOOKUP(2,1/($B$4:$B1351=B1352),$A$4:$A1351),""))</f>
        <v/>
      </c>
      <c r="J1352" s="32">
        <f>IF(B1352="","",IFERROR(D1352/I1352,""))</f>
        <v/>
      </c>
      <c r="K1352" s="71">
        <f>IF(B1352="","",IFERROR(AVERAGEIFS($J$4:$J1352,$B$4:$B1352,B1352,$J$4:$J1352,"&gt;"&amp;0),""))</f>
        <v/>
      </c>
      <c r="L1352" s="11" t="n"/>
    </row>
    <row r="1353" ht="14" customHeight="1" s="72">
      <c r="A1353" s="75" t="n">
        <v>46133</v>
      </c>
      <c r="B1353" s="76" t="n">
        <v>20021</v>
      </c>
      <c r="C1353" s="69">
        <f>IF(B1353="","",IFERROR(INDEX(Client_List!$B:$B,MATCH(B1353,Client_List!$A:$A,0)),"⚠ NOT FOUND"))</f>
        <v/>
      </c>
      <c r="D1353" s="43" t="n">
        <v>852</v>
      </c>
      <c r="E1353" s="32">
        <f>IF(B1353="","",IFERROR(INDEX(Client_List!$C:$C,MATCH(VALUE(B1353),Client_List!$A:$A,0)),""))</f>
        <v/>
      </c>
      <c r="F1353" s="53">
        <f>IF(B1353="","",IFERROR(INDEX(Client_List!$D:$D,MATCH(VALUE(B1353),Client_List!$A:$A,0)),""))</f>
        <v/>
      </c>
      <c r="G1353" s="53">
        <f>IF(B1353="","",IFERROR(INDEX(Client_List!$K:$K,MATCH(VALUE(B1353),Client_List!$A:$A,0)),""))</f>
        <v/>
      </c>
      <c r="H1353" s="32">
        <f>IF(B1353="","",IFERROR(INDEX(Client_List!$J:$J,MATCH(VALUE(B1353),Client_List!$A:$A,0)),""))</f>
        <v/>
      </c>
      <c r="I1353" s="70">
        <f>IF(B1353="","",IFERROR(A1353-LOOKUP(2,1/($B$4:$B1352=B1353),$A$4:$A1352),""))</f>
        <v/>
      </c>
      <c r="J1353" s="32">
        <f>IF(B1353="","",IFERROR(D1353/I1353,""))</f>
        <v/>
      </c>
      <c r="K1353" s="71">
        <f>IF(B1353="","",IFERROR(AVERAGEIFS($J$4:$J1353,$B$4:$B1353,B1353,$J$4:$J1353,"&gt;"&amp;0),""))</f>
        <v/>
      </c>
      <c r="L1353" s="11" t="n"/>
    </row>
    <row r="1354" ht="14" customHeight="1" s="72">
      <c r="A1354" s="75" t="n">
        <v>46133</v>
      </c>
      <c r="B1354" s="76" t="n">
        <v>20097</v>
      </c>
      <c r="C1354" s="69">
        <f>IF(B1354="","",IFERROR(INDEX(Client_List!$B:$B,MATCH(B1354,Client_List!$A:$A,0)),"⚠ NOT FOUND"))</f>
        <v/>
      </c>
      <c r="D1354" s="43" t="n">
        <v>933</v>
      </c>
      <c r="E1354" s="32">
        <f>IF(B1354="","",IFERROR(INDEX(Client_List!$C:$C,MATCH(VALUE(B1354),Client_List!$A:$A,0)),""))</f>
        <v/>
      </c>
      <c r="F1354" s="53">
        <f>IF(B1354="","",IFERROR(INDEX(Client_List!$D:$D,MATCH(VALUE(B1354),Client_List!$A:$A,0)),""))</f>
        <v/>
      </c>
      <c r="G1354" s="53">
        <f>IF(B1354="","",IFERROR(INDEX(Client_List!$K:$K,MATCH(VALUE(B1354),Client_List!$A:$A,0)),""))</f>
        <v/>
      </c>
      <c r="H1354" s="32">
        <f>IF(B1354="","",IFERROR(INDEX(Client_List!$J:$J,MATCH(VALUE(B1354),Client_List!$A:$A,0)),""))</f>
        <v/>
      </c>
      <c r="I1354" s="70">
        <f>IF(B1354="","",IFERROR(A1354-LOOKUP(2,1/($B$4:$B1353=B1354),$A$4:$A1353),""))</f>
        <v/>
      </c>
      <c r="J1354" s="32">
        <f>IF(B1354="","",IFERROR(D1354/I1354,""))</f>
        <v/>
      </c>
      <c r="K1354" s="71">
        <f>IF(B1354="","",IFERROR(AVERAGEIFS($J$4:$J1354,$B$4:$B1354,B1354,$J$4:$J1354,"&gt;"&amp;0),""))</f>
        <v/>
      </c>
      <c r="L1354" s="11" t="n"/>
    </row>
    <row r="1355" ht="14" customHeight="1" s="72">
      <c r="A1355" s="75" t="n">
        <v>46134</v>
      </c>
      <c r="B1355" s="76" t="n">
        <v>1011</v>
      </c>
      <c r="C1355" s="69">
        <f>IF(B1355="","",IFERROR(INDEX(Client_List!$B:$B,MATCH(B1355,Client_List!$A:$A,0)),"⚠ NOT FOUND"))</f>
        <v/>
      </c>
      <c r="D1355" s="43" t="n">
        <v>818</v>
      </c>
      <c r="E1355" s="32">
        <f>IF(B1355="","",IFERROR(INDEX(Client_List!$C:$C,MATCH(VALUE(B1355),Client_List!$A:$A,0)),""))</f>
        <v/>
      </c>
      <c r="F1355" s="53">
        <f>IF(B1355="","",IFERROR(INDEX(Client_List!$D:$D,MATCH(VALUE(B1355),Client_List!$A:$A,0)),""))</f>
        <v/>
      </c>
      <c r="G1355" s="53">
        <f>IF(B1355="","",IFERROR(INDEX(Client_List!$K:$K,MATCH(VALUE(B1355),Client_List!$A:$A,0)),""))</f>
        <v/>
      </c>
      <c r="H1355" s="32">
        <f>IF(B1355="","",IFERROR(INDEX(Client_List!$J:$J,MATCH(VALUE(B1355),Client_List!$A:$A,0)),""))</f>
        <v/>
      </c>
      <c r="I1355" s="70">
        <f>IF(B1355="","",IFERROR(A1355-LOOKUP(2,1/($B$4:$B1354=B1355),$A$4:$A1354),""))</f>
        <v/>
      </c>
      <c r="J1355" s="32">
        <f>IF(B1355="","",IFERROR(D1355/I1355,""))</f>
        <v/>
      </c>
      <c r="K1355" s="71">
        <f>IF(B1355="","",IFERROR(AVERAGEIFS($J$4:$J1355,$B$4:$B1355,B1355,$J$4:$J1355,"&gt;"&amp;0),""))</f>
        <v/>
      </c>
      <c r="L1355" s="11" t="n"/>
    </row>
    <row r="1356" ht="14" customHeight="1" s="72">
      <c r="A1356" s="75" t="n">
        <v>46134</v>
      </c>
      <c r="B1356" s="76" t="n">
        <v>1081</v>
      </c>
      <c r="C1356" s="69">
        <f>IF(B1356="","",IFERROR(INDEX(Client_List!$B:$B,MATCH(B1356,Client_List!$A:$A,0)),"⚠ NOT FOUND"))</f>
        <v/>
      </c>
      <c r="D1356" s="43" t="n">
        <v>291</v>
      </c>
      <c r="E1356" s="32">
        <f>IF(B1356="","",IFERROR(INDEX(Client_List!$C:$C,MATCH(VALUE(B1356),Client_List!$A:$A,0)),""))</f>
        <v/>
      </c>
      <c r="F1356" s="53">
        <f>IF(B1356="","",IFERROR(INDEX(Client_List!$D:$D,MATCH(VALUE(B1356),Client_List!$A:$A,0)),""))</f>
        <v/>
      </c>
      <c r="G1356" s="53">
        <f>IF(B1356="","",IFERROR(INDEX(Client_List!$K:$K,MATCH(VALUE(B1356),Client_List!$A:$A,0)),""))</f>
        <v/>
      </c>
      <c r="H1356" s="32">
        <f>IF(B1356="","",IFERROR(INDEX(Client_List!$J:$J,MATCH(VALUE(B1356),Client_List!$A:$A,0)),""))</f>
        <v/>
      </c>
      <c r="I1356" s="70">
        <f>IF(B1356="","",IFERROR(A1356-LOOKUP(2,1/($B$4:$B1355=B1356),$A$4:$A1355),""))</f>
        <v/>
      </c>
      <c r="J1356" s="32">
        <f>IF(B1356="","",IFERROR(D1356/I1356,""))</f>
        <v/>
      </c>
      <c r="K1356" s="71">
        <f>IF(B1356="","",IFERROR(AVERAGEIFS($J$4:$J1356,$B$4:$B1356,B1356,$J$4:$J1356,"&gt;"&amp;0),""))</f>
        <v/>
      </c>
      <c r="L1356" s="11" t="n"/>
    </row>
    <row r="1357" ht="14" customHeight="1" s="72">
      <c r="A1357" s="75" t="n">
        <v>46134</v>
      </c>
      <c r="B1357" s="76" t="n">
        <v>3069</v>
      </c>
      <c r="C1357" s="69">
        <f>IF(B1357="","",IFERROR(INDEX(Client_List!$B:$B,MATCH(B1357,Client_List!$A:$A,0)),"⚠ NOT FOUND"))</f>
        <v/>
      </c>
      <c r="D1357" s="43" t="n">
        <v>903</v>
      </c>
      <c r="E1357" s="32">
        <f>IF(B1357="","",IFERROR(INDEX(Client_List!$C:$C,MATCH(VALUE(B1357),Client_List!$A:$A,0)),""))</f>
        <v/>
      </c>
      <c r="F1357" s="53">
        <f>IF(B1357="","",IFERROR(INDEX(Client_List!$D:$D,MATCH(VALUE(B1357),Client_List!$A:$A,0)),""))</f>
        <v/>
      </c>
      <c r="G1357" s="53">
        <f>IF(B1357="","",IFERROR(INDEX(Client_List!$K:$K,MATCH(VALUE(B1357),Client_List!$A:$A,0)),""))</f>
        <v/>
      </c>
      <c r="H1357" s="32">
        <f>IF(B1357="","",IFERROR(INDEX(Client_List!$J:$J,MATCH(VALUE(B1357),Client_List!$A:$A,0)),""))</f>
        <v/>
      </c>
      <c r="I1357" s="70">
        <f>IF(B1357="","",IFERROR(A1357-LOOKUP(2,1/($B$4:$B1356=B1357),$A$4:$A1356),""))</f>
        <v/>
      </c>
      <c r="J1357" s="32">
        <f>IF(B1357="","",IFERROR(D1357/I1357,""))</f>
        <v/>
      </c>
      <c r="K1357" s="71">
        <f>IF(B1357="","",IFERROR(AVERAGEIFS($J$4:$J1357,$B$4:$B1357,B1357,$J$4:$J1357,"&gt;"&amp;0),""))</f>
        <v/>
      </c>
      <c r="L1357" s="11" t="n"/>
    </row>
    <row r="1358" ht="14" customHeight="1" s="72">
      <c r="A1358" s="75" t="n">
        <v>46134</v>
      </c>
      <c r="B1358" s="76" t="n">
        <v>4010</v>
      </c>
      <c r="C1358" s="69">
        <f>IF(B1358="","",IFERROR(INDEX(Client_List!$B:$B,MATCH(B1358,Client_List!$A:$A,0)),"⚠ NOT FOUND"))</f>
        <v/>
      </c>
      <c r="D1358" s="43" t="n">
        <v>418</v>
      </c>
      <c r="E1358" s="32">
        <f>IF(B1358="","",IFERROR(INDEX(Client_List!$C:$C,MATCH(VALUE(B1358),Client_List!$A:$A,0)),""))</f>
        <v/>
      </c>
      <c r="F1358" s="53">
        <f>IF(B1358="","",IFERROR(INDEX(Client_List!$D:$D,MATCH(VALUE(B1358),Client_List!$A:$A,0)),""))</f>
        <v/>
      </c>
      <c r="G1358" s="53">
        <f>IF(B1358="","",IFERROR(INDEX(Client_List!$K:$K,MATCH(VALUE(B1358),Client_List!$A:$A,0)),""))</f>
        <v/>
      </c>
      <c r="H1358" s="32">
        <f>IF(B1358="","",IFERROR(INDEX(Client_List!$J:$J,MATCH(VALUE(B1358),Client_List!$A:$A,0)),""))</f>
        <v/>
      </c>
      <c r="I1358" s="70">
        <f>IF(B1358="","",IFERROR(A1358-LOOKUP(2,1/($B$4:$B1357=B1358),$A$4:$A1357),""))</f>
        <v/>
      </c>
      <c r="J1358" s="32">
        <f>IF(B1358="","",IFERROR(D1358/I1358,""))</f>
        <v/>
      </c>
      <c r="K1358" s="71">
        <f>IF(B1358="","",IFERROR(AVERAGEIFS($J$4:$J1358,$B$4:$B1358,B1358,$J$4:$J1358,"&gt;"&amp;0),""))</f>
        <v/>
      </c>
      <c r="L1358" s="11" t="n"/>
    </row>
    <row r="1359" ht="14" customHeight="1" s="72">
      <c r="A1359" s="75" t="n">
        <v>46134</v>
      </c>
      <c r="B1359" s="76" t="n">
        <v>4026</v>
      </c>
      <c r="C1359" s="69">
        <f>IF(B1359="","",IFERROR(INDEX(Client_List!$B:$B,MATCH(B1359,Client_List!$A:$A,0)),"⚠ NOT FOUND"))</f>
        <v/>
      </c>
      <c r="D1359" s="43" t="n">
        <v>225</v>
      </c>
      <c r="E1359" s="32">
        <f>IF(B1359="","",IFERROR(INDEX(Client_List!$C:$C,MATCH(VALUE(B1359),Client_List!$A:$A,0)),""))</f>
        <v/>
      </c>
      <c r="F1359" s="53">
        <f>IF(B1359="","",IFERROR(INDEX(Client_List!$D:$D,MATCH(VALUE(B1359),Client_List!$A:$A,0)),""))</f>
        <v/>
      </c>
      <c r="G1359" s="53">
        <f>IF(B1359="","",IFERROR(INDEX(Client_List!$K:$K,MATCH(VALUE(B1359),Client_List!$A:$A,0)),""))</f>
        <v/>
      </c>
      <c r="H1359" s="32">
        <f>IF(B1359="","",IFERROR(INDEX(Client_List!$J:$J,MATCH(VALUE(B1359),Client_List!$A:$A,0)),""))</f>
        <v/>
      </c>
      <c r="I1359" s="70">
        <f>IF(B1359="","",IFERROR(A1359-LOOKUP(2,1/($B$4:$B1358=B1359),$A$4:$A1358),""))</f>
        <v/>
      </c>
      <c r="J1359" s="32">
        <f>IF(B1359="","",IFERROR(D1359/I1359,""))</f>
        <v/>
      </c>
      <c r="K1359" s="71">
        <f>IF(B1359="","",IFERROR(AVERAGEIFS($J$4:$J1359,$B$4:$B1359,B1359,$J$4:$J1359,"&gt;"&amp;0),""))</f>
        <v/>
      </c>
      <c r="L1359" s="11" t="n"/>
    </row>
    <row r="1360" ht="14" customHeight="1" s="72">
      <c r="A1360" s="75" t="n">
        <v>46134</v>
      </c>
      <c r="B1360" s="76" t="n">
        <v>7053</v>
      </c>
      <c r="C1360" s="69">
        <f>IF(B1360="","",IFERROR(INDEX(Client_List!$B:$B,MATCH(B1360,Client_List!$A:$A,0)),"⚠ NOT FOUND"))</f>
        <v/>
      </c>
      <c r="D1360" s="43" t="n">
        <v>271</v>
      </c>
      <c r="E1360" s="32">
        <f>IF(B1360="","",IFERROR(INDEX(Client_List!$C:$C,MATCH(VALUE(B1360),Client_List!$A:$A,0)),""))</f>
        <v/>
      </c>
      <c r="F1360" s="53">
        <f>IF(B1360="","",IFERROR(INDEX(Client_List!$D:$D,MATCH(VALUE(B1360),Client_List!$A:$A,0)),""))</f>
        <v/>
      </c>
      <c r="G1360" s="53">
        <f>IF(B1360="","",IFERROR(INDEX(Client_List!$K:$K,MATCH(VALUE(B1360),Client_List!$A:$A,0)),""))</f>
        <v/>
      </c>
      <c r="H1360" s="32">
        <f>IF(B1360="","",IFERROR(INDEX(Client_List!$J:$J,MATCH(VALUE(B1360),Client_List!$A:$A,0)),""))</f>
        <v/>
      </c>
      <c r="I1360" s="70">
        <f>IF(B1360="","",IFERROR(A1360-LOOKUP(2,1/($B$4:$B1359=B1360),$A$4:$A1359),""))</f>
        <v/>
      </c>
      <c r="J1360" s="32">
        <f>IF(B1360="","",IFERROR(D1360/I1360,""))</f>
        <v/>
      </c>
      <c r="K1360" s="71">
        <f>IF(B1360="","",IFERROR(AVERAGEIFS($J$4:$J1360,$B$4:$B1360,B1360,$J$4:$J1360,"&gt;"&amp;0),""))</f>
        <v/>
      </c>
      <c r="L1360" s="11" t="n"/>
    </row>
    <row r="1361" ht="14" customHeight="1" s="72">
      <c r="A1361" s="75" t="n">
        <v>46134</v>
      </c>
      <c r="B1361" s="76" t="n">
        <v>11014</v>
      </c>
      <c r="C1361" s="69">
        <f>IF(B1361="","",IFERROR(INDEX(Client_List!$B:$B,MATCH(B1361,Client_List!$A:$A,0)),"⚠ NOT FOUND"))</f>
        <v/>
      </c>
      <c r="D1361" s="43" t="n">
        <v>450</v>
      </c>
      <c r="E1361" s="32">
        <f>IF(B1361="","",IFERROR(INDEX(Client_List!$C:$C,MATCH(VALUE(B1361),Client_List!$A:$A,0)),""))</f>
        <v/>
      </c>
      <c r="F1361" s="53">
        <f>IF(B1361="","",IFERROR(INDEX(Client_List!$D:$D,MATCH(VALUE(B1361),Client_List!$A:$A,0)),""))</f>
        <v/>
      </c>
      <c r="G1361" s="53">
        <f>IF(B1361="","",IFERROR(INDEX(Client_List!$K:$K,MATCH(VALUE(B1361),Client_List!$A:$A,0)),""))</f>
        <v/>
      </c>
      <c r="H1361" s="32">
        <f>IF(B1361="","",IFERROR(INDEX(Client_List!$J:$J,MATCH(VALUE(B1361),Client_List!$A:$A,0)),""))</f>
        <v/>
      </c>
      <c r="I1361" s="70">
        <f>IF(B1361="","",IFERROR(A1361-LOOKUP(2,1/($B$4:$B1360=B1361),$A$4:$A1360),""))</f>
        <v/>
      </c>
      <c r="J1361" s="32">
        <f>IF(B1361="","",IFERROR(D1361/I1361,""))</f>
        <v/>
      </c>
      <c r="K1361" s="71">
        <f>IF(B1361="","",IFERROR(AVERAGEIFS($J$4:$J1361,$B$4:$B1361,B1361,$J$4:$J1361,"&gt;"&amp;0),""))</f>
        <v/>
      </c>
      <c r="L1361" s="11" t="n"/>
    </row>
    <row r="1362" ht="14" customHeight="1" s="72">
      <c r="A1362" s="75" t="n">
        <v>46134</v>
      </c>
      <c r="B1362" s="76" t="n">
        <v>13013</v>
      </c>
      <c r="C1362" s="69">
        <f>IF(B1362="","",IFERROR(INDEX(Client_List!$B:$B,MATCH(B1362,Client_List!$A:$A,0)),"⚠ NOT FOUND"))</f>
        <v/>
      </c>
      <c r="D1362" s="43" t="n">
        <v>822</v>
      </c>
      <c r="E1362" s="32">
        <f>IF(B1362="","",IFERROR(INDEX(Client_List!$C:$C,MATCH(VALUE(B1362),Client_List!$A:$A,0)),""))</f>
        <v/>
      </c>
      <c r="F1362" s="53">
        <f>IF(B1362="","",IFERROR(INDEX(Client_List!$D:$D,MATCH(VALUE(B1362),Client_List!$A:$A,0)),""))</f>
        <v/>
      </c>
      <c r="G1362" s="53">
        <f>IF(B1362="","",IFERROR(INDEX(Client_List!$K:$K,MATCH(VALUE(B1362),Client_List!$A:$A,0)),""))</f>
        <v/>
      </c>
      <c r="H1362" s="32">
        <f>IF(B1362="","",IFERROR(INDEX(Client_List!$J:$J,MATCH(VALUE(B1362),Client_List!$A:$A,0)),""))</f>
        <v/>
      </c>
      <c r="I1362" s="70">
        <f>IF(B1362="","",IFERROR(A1362-LOOKUP(2,1/($B$4:$B1361=B1362),$A$4:$A1361),""))</f>
        <v/>
      </c>
      <c r="J1362" s="32">
        <f>IF(B1362="","",IFERROR(D1362/I1362,""))</f>
        <v/>
      </c>
      <c r="K1362" s="71">
        <f>IF(B1362="","",IFERROR(AVERAGEIFS($J$4:$J1362,$B$4:$B1362,B1362,$J$4:$J1362,"&gt;"&amp;0),""))</f>
        <v/>
      </c>
      <c r="L1362" s="11" t="n"/>
    </row>
    <row r="1363" ht="14" customHeight="1" s="72">
      <c r="A1363" s="75" t="n">
        <v>46134</v>
      </c>
      <c r="B1363" s="76" t="n">
        <v>18031</v>
      </c>
      <c r="C1363" s="69">
        <f>IF(B1363="","",IFERROR(INDEX(Client_List!$B:$B,MATCH(B1363,Client_List!$A:$A,0)),"⚠ NOT FOUND"))</f>
        <v/>
      </c>
      <c r="D1363" s="43" t="n">
        <v>663</v>
      </c>
      <c r="E1363" s="32">
        <f>IF(B1363="","",IFERROR(INDEX(Client_List!$C:$C,MATCH(VALUE(B1363),Client_List!$A:$A,0)),""))</f>
        <v/>
      </c>
      <c r="F1363" s="53">
        <f>IF(B1363="","",IFERROR(INDEX(Client_List!$D:$D,MATCH(VALUE(B1363),Client_List!$A:$A,0)),""))</f>
        <v/>
      </c>
      <c r="G1363" s="53">
        <f>IF(B1363="","",IFERROR(INDEX(Client_List!$K:$K,MATCH(VALUE(B1363),Client_List!$A:$A,0)),""))</f>
        <v/>
      </c>
      <c r="H1363" s="32">
        <f>IF(B1363="","",IFERROR(INDEX(Client_List!$J:$J,MATCH(VALUE(B1363),Client_List!$A:$A,0)),""))</f>
        <v/>
      </c>
      <c r="I1363" s="70">
        <f>IF(B1363="","",IFERROR(A1363-LOOKUP(2,1/($B$4:$B1362=B1363),$A$4:$A1362),""))</f>
        <v/>
      </c>
      <c r="J1363" s="32">
        <f>IF(B1363="","",IFERROR(D1363/I1363,""))</f>
        <v/>
      </c>
      <c r="K1363" s="71">
        <f>IF(B1363="","",IFERROR(AVERAGEIFS($J$4:$J1363,$B$4:$B1363,B1363,$J$4:$J1363,"&gt;"&amp;0),""))</f>
        <v/>
      </c>
      <c r="L1363" s="11" t="n"/>
    </row>
    <row r="1364" ht="14" customHeight="1" s="72">
      <c r="A1364" s="75" t="n">
        <v>46134</v>
      </c>
      <c r="B1364" s="76" t="n">
        <v>19035</v>
      </c>
      <c r="C1364" s="69">
        <f>IF(B1364="","",IFERROR(INDEX(Client_List!$B:$B,MATCH(B1364,Client_List!$A:$A,0)),"⚠ NOT FOUND"))</f>
        <v/>
      </c>
      <c r="D1364" s="43" t="n">
        <v>200</v>
      </c>
      <c r="E1364" s="32">
        <f>IF(B1364="","",IFERROR(INDEX(Client_List!$C:$C,MATCH(VALUE(B1364),Client_List!$A:$A,0)),""))</f>
        <v/>
      </c>
      <c r="F1364" s="53">
        <f>IF(B1364="","",IFERROR(INDEX(Client_List!$D:$D,MATCH(VALUE(B1364),Client_List!$A:$A,0)),""))</f>
        <v/>
      </c>
      <c r="G1364" s="53">
        <f>IF(B1364="","",IFERROR(INDEX(Client_List!$K:$K,MATCH(VALUE(B1364),Client_List!$A:$A,0)),""))</f>
        <v/>
      </c>
      <c r="H1364" s="32">
        <f>IF(B1364="","",IFERROR(INDEX(Client_List!$J:$J,MATCH(VALUE(B1364),Client_List!$A:$A,0)),""))</f>
        <v/>
      </c>
      <c r="I1364" s="70">
        <f>IF(B1364="","",IFERROR(A1364-LOOKUP(2,1/($B$4:$B1363=B1364),$A$4:$A1363),""))</f>
        <v/>
      </c>
      <c r="J1364" s="32">
        <f>IF(B1364="","",IFERROR(D1364/I1364,""))</f>
        <v/>
      </c>
      <c r="K1364" s="71">
        <f>IF(B1364="","",IFERROR(AVERAGEIFS($J$4:$J1364,$B$4:$B1364,B1364,$J$4:$J1364,"&gt;"&amp;0),""))</f>
        <v/>
      </c>
      <c r="L1364" s="11" t="n"/>
    </row>
    <row r="1365" ht="14" customHeight="1" s="72">
      <c r="A1365" s="75" t="n">
        <v>46134</v>
      </c>
      <c r="B1365" s="76" t="n">
        <v>20051</v>
      </c>
      <c r="C1365" s="69">
        <f>IF(B1365="","",IFERROR(INDEX(Client_List!$B:$B,MATCH(B1365,Client_List!$A:$A,0)),"⚠ NOT FOUND"))</f>
        <v/>
      </c>
      <c r="D1365" s="43" t="n">
        <v>220</v>
      </c>
      <c r="E1365" s="32">
        <f>IF(B1365="","",IFERROR(INDEX(Client_List!$C:$C,MATCH(VALUE(B1365),Client_List!$A:$A,0)),""))</f>
        <v/>
      </c>
      <c r="F1365" s="53">
        <f>IF(B1365="","",IFERROR(INDEX(Client_List!$D:$D,MATCH(VALUE(B1365),Client_List!$A:$A,0)),""))</f>
        <v/>
      </c>
      <c r="G1365" s="53">
        <f>IF(B1365="","",IFERROR(INDEX(Client_List!$K:$K,MATCH(VALUE(B1365),Client_List!$A:$A,0)),""))</f>
        <v/>
      </c>
      <c r="H1365" s="32">
        <f>IF(B1365="","",IFERROR(INDEX(Client_List!$J:$J,MATCH(VALUE(B1365),Client_List!$A:$A,0)),""))</f>
        <v/>
      </c>
      <c r="I1365" s="70">
        <f>IF(B1365="","",IFERROR(A1365-LOOKUP(2,1/($B$4:$B1364=B1365),$A$4:$A1364),""))</f>
        <v/>
      </c>
      <c r="J1365" s="32">
        <f>IF(B1365="","",IFERROR(D1365/I1365,""))</f>
        <v/>
      </c>
      <c r="K1365" s="71">
        <f>IF(B1365="","",IFERROR(AVERAGEIFS($J$4:$J1365,$B$4:$B1365,B1365,$J$4:$J1365,"&gt;"&amp;0),""))</f>
        <v/>
      </c>
      <c r="L1365" s="11" t="n"/>
    </row>
    <row r="1366" ht="14" customHeight="1" s="72">
      <c r="A1366" s="75" t="n">
        <v>46134</v>
      </c>
      <c r="B1366" s="76" t="n">
        <v>21002</v>
      </c>
      <c r="C1366" s="69">
        <f>IF(B1366="","",IFERROR(INDEX(Client_List!$B:$B,MATCH(B1366,Client_List!$A:$A,0)),"⚠ NOT FOUND"))</f>
        <v/>
      </c>
      <c r="D1366" s="43" t="n">
        <v>1158</v>
      </c>
      <c r="E1366" s="32">
        <f>IF(B1366="","",IFERROR(INDEX(Client_List!$C:$C,MATCH(VALUE(B1366),Client_List!$A:$A,0)),""))</f>
        <v/>
      </c>
      <c r="F1366" s="53">
        <f>IF(B1366="","",IFERROR(INDEX(Client_List!$D:$D,MATCH(VALUE(B1366),Client_List!$A:$A,0)),""))</f>
        <v/>
      </c>
      <c r="G1366" s="53">
        <f>IF(B1366="","",IFERROR(INDEX(Client_List!$K:$K,MATCH(VALUE(B1366),Client_List!$A:$A,0)),""))</f>
        <v/>
      </c>
      <c r="H1366" s="32">
        <f>IF(B1366="","",IFERROR(INDEX(Client_List!$J:$J,MATCH(VALUE(B1366),Client_List!$A:$A,0)),""))</f>
        <v/>
      </c>
      <c r="I1366" s="70">
        <f>IF(B1366="","",IFERROR(A1366-LOOKUP(2,1/($B$4:$B1365=B1366),$A$4:$A1365),""))</f>
        <v/>
      </c>
      <c r="J1366" s="32">
        <f>IF(B1366="","",IFERROR(D1366/I1366,""))</f>
        <v/>
      </c>
      <c r="K1366" s="71">
        <f>IF(B1366="","",IFERROR(AVERAGEIFS($J$4:$J1366,$B$4:$B1366,B1366,$J$4:$J1366,"&gt;"&amp;0),""))</f>
        <v/>
      </c>
      <c r="L1366" s="11" t="n"/>
    </row>
    <row r="1367" ht="14" customHeight="1" s="72">
      <c r="A1367" s="75" t="n">
        <v>46135</v>
      </c>
      <c r="B1367" s="76" t="n">
        <v>3056</v>
      </c>
      <c r="C1367" s="69">
        <f>IF(B1367="","",IFERROR(INDEX(Client_List!$B:$B,MATCH(B1367,Client_List!$A:$A,0)),"⚠ NOT FOUND"))</f>
        <v/>
      </c>
      <c r="D1367" s="43" t="n">
        <v>244</v>
      </c>
      <c r="E1367" s="32">
        <f>IF(B1367="","",IFERROR(INDEX(Client_List!$C:$C,MATCH(VALUE(B1367),Client_List!$A:$A,0)),""))</f>
        <v/>
      </c>
      <c r="F1367" s="53">
        <f>IF(B1367="","",IFERROR(INDEX(Client_List!$D:$D,MATCH(VALUE(B1367),Client_List!$A:$A,0)),""))</f>
        <v/>
      </c>
      <c r="G1367" s="53">
        <f>IF(B1367="","",IFERROR(INDEX(Client_List!$K:$K,MATCH(VALUE(B1367),Client_List!$A:$A,0)),""))</f>
        <v/>
      </c>
      <c r="H1367" s="32">
        <f>IF(B1367="","",IFERROR(INDEX(Client_List!$J:$J,MATCH(VALUE(B1367),Client_List!$A:$A,0)),""))</f>
        <v/>
      </c>
      <c r="I1367" s="70">
        <f>IF(B1367="","",IFERROR(A1367-LOOKUP(2,1/($B$4:$B1366=B1367),$A$4:$A1366),""))</f>
        <v/>
      </c>
      <c r="J1367" s="32">
        <f>IF(B1367="","",IFERROR(D1367/I1367,""))</f>
        <v/>
      </c>
      <c r="K1367" s="71">
        <f>IF(B1367="","",IFERROR(AVERAGEIFS($J$4:$J1367,$B$4:$B1367,B1367,$J$4:$J1367,"&gt;"&amp;0),""))</f>
        <v/>
      </c>
      <c r="L1367" s="11" t="n"/>
    </row>
    <row r="1368" ht="14" customHeight="1" s="72">
      <c r="A1368" s="75" t="n">
        <v>46135</v>
      </c>
      <c r="B1368" s="76" t="n">
        <v>3065</v>
      </c>
      <c r="C1368" s="69">
        <f>IF(B1368="","",IFERROR(INDEX(Client_List!$B:$B,MATCH(B1368,Client_List!$A:$A,0)),"⚠ NOT FOUND"))</f>
        <v/>
      </c>
      <c r="D1368" s="43" t="n">
        <v>375</v>
      </c>
      <c r="E1368" s="32">
        <f>IF(B1368="","",IFERROR(INDEX(Client_List!$C:$C,MATCH(VALUE(B1368),Client_List!$A:$A,0)),""))</f>
        <v/>
      </c>
      <c r="F1368" s="53">
        <f>IF(B1368="","",IFERROR(INDEX(Client_List!$D:$D,MATCH(VALUE(B1368),Client_List!$A:$A,0)),""))</f>
        <v/>
      </c>
      <c r="G1368" s="53">
        <f>IF(B1368="","",IFERROR(INDEX(Client_List!$K:$K,MATCH(VALUE(B1368),Client_List!$A:$A,0)),""))</f>
        <v/>
      </c>
      <c r="H1368" s="32">
        <f>IF(B1368="","",IFERROR(INDEX(Client_List!$J:$J,MATCH(VALUE(B1368),Client_List!$A:$A,0)),""))</f>
        <v/>
      </c>
      <c r="I1368" s="70">
        <f>IF(B1368="","",IFERROR(A1368-LOOKUP(2,1/($B$4:$B1367=B1368),$A$4:$A1367),""))</f>
        <v/>
      </c>
      <c r="J1368" s="32">
        <f>IF(B1368="","",IFERROR(D1368/I1368,""))</f>
        <v/>
      </c>
      <c r="K1368" s="71">
        <f>IF(B1368="","",IFERROR(AVERAGEIFS($J$4:$J1368,$B$4:$B1368,B1368,$J$4:$J1368,"&gt;"&amp;0),""))</f>
        <v/>
      </c>
      <c r="L1368" s="11" t="n"/>
    </row>
    <row r="1369" ht="14" customHeight="1" s="72">
      <c r="A1369" s="75" t="n">
        <v>46135</v>
      </c>
      <c r="B1369" s="76" t="n">
        <v>4014</v>
      </c>
      <c r="C1369" s="69">
        <f>IF(B1369="","",IFERROR(INDEX(Client_List!$B:$B,MATCH(B1369,Client_List!$A:$A,0)),"⚠ NOT FOUND"))</f>
        <v/>
      </c>
      <c r="D1369" s="43" t="n">
        <v>292</v>
      </c>
      <c r="E1369" s="32">
        <f>IF(B1369="","",IFERROR(INDEX(Client_List!$C:$C,MATCH(VALUE(B1369),Client_List!$A:$A,0)),""))</f>
        <v/>
      </c>
      <c r="F1369" s="53">
        <f>IF(B1369="","",IFERROR(INDEX(Client_List!$D:$D,MATCH(VALUE(B1369),Client_List!$A:$A,0)),""))</f>
        <v/>
      </c>
      <c r="G1369" s="53">
        <f>IF(B1369="","",IFERROR(INDEX(Client_List!$K:$K,MATCH(VALUE(B1369),Client_List!$A:$A,0)),""))</f>
        <v/>
      </c>
      <c r="H1369" s="32">
        <f>IF(B1369="","",IFERROR(INDEX(Client_List!$J:$J,MATCH(VALUE(B1369),Client_List!$A:$A,0)),""))</f>
        <v/>
      </c>
      <c r="I1369" s="70">
        <f>IF(B1369="","",IFERROR(A1369-LOOKUP(2,1/($B$4:$B1368=B1369),$A$4:$A1368),""))</f>
        <v/>
      </c>
      <c r="J1369" s="32">
        <f>IF(B1369="","",IFERROR(D1369/I1369,""))</f>
        <v/>
      </c>
      <c r="K1369" s="71">
        <f>IF(B1369="","",IFERROR(AVERAGEIFS($J$4:$J1369,$B$4:$B1369,B1369,$J$4:$J1369,"&gt;"&amp;0),""))</f>
        <v/>
      </c>
      <c r="L1369" s="11" t="n"/>
    </row>
    <row r="1370" ht="14" customHeight="1" s="72">
      <c r="A1370" s="75" t="n">
        <v>46135</v>
      </c>
      <c r="B1370" s="76" t="inlineStr">
        <is>
          <t>4015A</t>
        </is>
      </c>
      <c r="C1370" s="69">
        <f>IF(B1370="","",IFERROR(INDEX(Client_List!$B:$B,MATCH(B1370,Client_List!$A:$A,0)),"⚠ NOT FOUND"))</f>
        <v/>
      </c>
      <c r="D1370" s="43" t="n">
        <v>312</v>
      </c>
      <c r="E1370" s="32">
        <f>IF(B1370="","",IFERROR(INDEX(Client_List!$C:$C,MATCH(VALUE(B1370),Client_List!$A:$A,0)),""))</f>
        <v/>
      </c>
      <c r="F1370" s="53">
        <f>IF(B1370="","",IFERROR(INDEX(Client_List!$D:$D,MATCH(VALUE(B1370),Client_List!$A:$A,0)),""))</f>
        <v/>
      </c>
      <c r="G1370" s="53">
        <f>IF(B1370="","",IFERROR(INDEX(Client_List!$K:$K,MATCH(VALUE(B1370),Client_List!$A:$A,0)),""))</f>
        <v/>
      </c>
      <c r="H1370" s="32">
        <f>IF(B1370="","",IFERROR(INDEX(Client_List!$J:$J,MATCH(VALUE(B1370),Client_List!$A:$A,0)),""))</f>
        <v/>
      </c>
      <c r="I1370" s="70">
        <f>IF(B1370="","",IFERROR(A1370-LOOKUP(2,1/($B$4:$B1369=B1370),$A$4:$A1369),""))</f>
        <v/>
      </c>
      <c r="J1370" s="32">
        <f>IF(B1370="","",IFERROR(D1370/I1370,""))</f>
        <v/>
      </c>
      <c r="K1370" s="71">
        <f>IF(B1370="","",IFERROR(AVERAGEIFS($J$4:$J1370,$B$4:$B1370,B1370,$J$4:$J1370,"&gt;"&amp;0),""))</f>
        <v/>
      </c>
      <c r="L1370" s="11" t="n"/>
    </row>
    <row r="1371" ht="14" customHeight="1" s="72">
      <c r="A1371" s="75" t="n">
        <v>46135</v>
      </c>
      <c r="B1371" s="76" t="n">
        <v>6101</v>
      </c>
      <c r="C1371" s="69">
        <f>IF(B1371="","",IFERROR(INDEX(Client_List!$B:$B,MATCH(B1371,Client_List!$A:$A,0)),"⚠ NOT FOUND"))</f>
        <v/>
      </c>
      <c r="D1371" s="43" t="n">
        <v>571</v>
      </c>
      <c r="E1371" s="32">
        <f>IF(B1371="","",IFERROR(INDEX(Client_List!$C:$C,MATCH(VALUE(B1371),Client_List!$A:$A,0)),""))</f>
        <v/>
      </c>
      <c r="F1371" s="53">
        <f>IF(B1371="","",IFERROR(INDEX(Client_List!$D:$D,MATCH(VALUE(B1371),Client_List!$A:$A,0)),""))</f>
        <v/>
      </c>
      <c r="G1371" s="53">
        <f>IF(B1371="","",IFERROR(INDEX(Client_List!$K:$K,MATCH(VALUE(B1371),Client_List!$A:$A,0)),""))</f>
        <v/>
      </c>
      <c r="H1371" s="32">
        <f>IF(B1371="","",IFERROR(INDEX(Client_List!$J:$J,MATCH(VALUE(B1371),Client_List!$A:$A,0)),""))</f>
        <v/>
      </c>
      <c r="I1371" s="70">
        <f>IF(B1371="","",IFERROR(A1371-LOOKUP(2,1/($B$4:$B1370=B1371),$A$4:$A1370),""))</f>
        <v/>
      </c>
      <c r="J1371" s="32">
        <f>IF(B1371="","",IFERROR(D1371/I1371,""))</f>
        <v/>
      </c>
      <c r="K1371" s="71">
        <f>IF(B1371="","",IFERROR(AVERAGEIFS($J$4:$J1371,$B$4:$B1371,B1371,$J$4:$J1371,"&gt;"&amp;0),""))</f>
        <v/>
      </c>
      <c r="L1371" s="11" t="n"/>
    </row>
    <row r="1372" ht="14" customHeight="1" s="72">
      <c r="A1372" s="75" t="n">
        <v>46135</v>
      </c>
      <c r="B1372" s="76" t="n">
        <v>7002</v>
      </c>
      <c r="C1372" s="69">
        <f>IF(B1372="","",IFERROR(INDEX(Client_List!$B:$B,MATCH(B1372,Client_List!$A:$A,0)),"⚠ NOT FOUND"))</f>
        <v/>
      </c>
      <c r="D1372" s="43" t="n">
        <v>398</v>
      </c>
      <c r="E1372" s="32">
        <f>IF(B1372="","",IFERROR(INDEX(Client_List!$C:$C,MATCH(VALUE(B1372),Client_List!$A:$A,0)),""))</f>
        <v/>
      </c>
      <c r="F1372" s="53">
        <f>IF(B1372="","",IFERROR(INDEX(Client_List!$D:$D,MATCH(VALUE(B1372),Client_List!$A:$A,0)),""))</f>
        <v/>
      </c>
      <c r="G1372" s="53">
        <f>IF(B1372="","",IFERROR(INDEX(Client_List!$K:$K,MATCH(VALUE(B1372),Client_List!$A:$A,0)),""))</f>
        <v/>
      </c>
      <c r="H1372" s="32">
        <f>IF(B1372="","",IFERROR(INDEX(Client_List!$J:$J,MATCH(VALUE(B1372),Client_List!$A:$A,0)),""))</f>
        <v/>
      </c>
      <c r="I1372" s="70">
        <f>IF(B1372="","",IFERROR(A1372-LOOKUP(2,1/($B$4:$B1371=B1372),$A$4:$A1371),""))</f>
        <v/>
      </c>
      <c r="J1372" s="32">
        <f>IF(B1372="","",IFERROR(D1372/I1372,""))</f>
        <v/>
      </c>
      <c r="K1372" s="71">
        <f>IF(B1372="","",IFERROR(AVERAGEIFS($J$4:$J1372,$B$4:$B1372,B1372,$J$4:$J1372,"&gt;"&amp;0),""))</f>
        <v/>
      </c>
      <c r="L1372" s="11" t="n"/>
    </row>
    <row r="1373" ht="14" customHeight="1" s="72">
      <c r="A1373" s="75" t="n">
        <v>46135</v>
      </c>
      <c r="B1373" s="76" t="n">
        <v>7052</v>
      </c>
      <c r="C1373" s="69">
        <f>IF(B1373="","",IFERROR(INDEX(Client_List!$B:$B,MATCH(B1373,Client_List!$A:$A,0)),"⚠ NOT FOUND"))</f>
        <v/>
      </c>
      <c r="D1373" s="43" t="n">
        <v>100</v>
      </c>
      <c r="E1373" s="32">
        <f>IF(B1373="","",IFERROR(INDEX(Client_List!$C:$C,MATCH(VALUE(B1373),Client_List!$A:$A,0)),""))</f>
        <v/>
      </c>
      <c r="F1373" s="53">
        <f>IF(B1373="","",IFERROR(INDEX(Client_List!$D:$D,MATCH(VALUE(B1373),Client_List!$A:$A,0)),""))</f>
        <v/>
      </c>
      <c r="G1373" s="53">
        <f>IF(B1373="","",IFERROR(INDEX(Client_List!$K:$K,MATCH(VALUE(B1373),Client_List!$A:$A,0)),""))</f>
        <v/>
      </c>
      <c r="H1373" s="32">
        <f>IF(B1373="","",IFERROR(INDEX(Client_List!$J:$J,MATCH(VALUE(B1373),Client_List!$A:$A,0)),""))</f>
        <v/>
      </c>
      <c r="I1373" s="70">
        <f>IF(B1373="","",IFERROR(A1373-LOOKUP(2,1/($B$4:$B1372=B1373),$A$4:$A1372),""))</f>
        <v/>
      </c>
      <c r="J1373" s="32">
        <f>IF(B1373="","",IFERROR(D1373/I1373,""))</f>
        <v/>
      </c>
      <c r="K1373" s="71">
        <f>IF(B1373="","",IFERROR(AVERAGEIFS($J$4:$J1373,$B$4:$B1373,B1373,$J$4:$J1373,"&gt;"&amp;0),""))</f>
        <v/>
      </c>
      <c r="L1373" s="11" t="n"/>
    </row>
    <row r="1374" ht="14" customHeight="1" s="72">
      <c r="A1374" s="75" t="n">
        <v>46135</v>
      </c>
      <c r="B1374" s="76" t="n">
        <v>8031</v>
      </c>
      <c r="C1374" s="69">
        <f>IF(B1374="","",IFERROR(INDEX(Client_List!$B:$B,MATCH(B1374,Client_List!$A:$A,0)),"⚠ NOT FOUND"))</f>
        <v/>
      </c>
      <c r="D1374" s="43" t="n">
        <v>809</v>
      </c>
      <c r="E1374" s="32">
        <f>IF(B1374="","",IFERROR(INDEX(Client_List!$C:$C,MATCH(VALUE(B1374),Client_List!$A:$A,0)),""))</f>
        <v/>
      </c>
      <c r="F1374" s="53">
        <f>IF(B1374="","",IFERROR(INDEX(Client_List!$D:$D,MATCH(VALUE(B1374),Client_List!$A:$A,0)),""))</f>
        <v/>
      </c>
      <c r="G1374" s="53">
        <f>IF(B1374="","",IFERROR(INDEX(Client_List!$K:$K,MATCH(VALUE(B1374),Client_List!$A:$A,0)),""))</f>
        <v/>
      </c>
      <c r="H1374" s="32">
        <f>IF(B1374="","",IFERROR(INDEX(Client_List!$J:$J,MATCH(VALUE(B1374),Client_List!$A:$A,0)),""))</f>
        <v/>
      </c>
      <c r="I1374" s="70">
        <f>IF(B1374="","",IFERROR(A1374-LOOKUP(2,1/($B$4:$B1373=B1374),$A$4:$A1373),""))</f>
        <v/>
      </c>
      <c r="J1374" s="32">
        <f>IF(B1374="","",IFERROR(D1374/I1374,""))</f>
        <v/>
      </c>
      <c r="K1374" s="71">
        <f>IF(B1374="","",IFERROR(AVERAGEIFS($J$4:$J1374,$B$4:$B1374,B1374,$J$4:$J1374,"&gt;"&amp;0),""))</f>
        <v/>
      </c>
      <c r="L1374" s="11" t="n"/>
    </row>
    <row r="1375" ht="14" customHeight="1" s="72">
      <c r="A1375" s="75" t="n">
        <v>46135</v>
      </c>
      <c r="B1375" s="76" t="n">
        <v>8034</v>
      </c>
      <c r="C1375" s="69">
        <f>IF(B1375="","",IFERROR(INDEX(Client_List!$B:$B,MATCH(B1375,Client_List!$A:$A,0)),"⚠ NOT FOUND"))</f>
        <v/>
      </c>
      <c r="D1375" s="43" t="n">
        <v>533</v>
      </c>
      <c r="E1375" s="32">
        <f>IF(B1375="","",IFERROR(INDEX(Client_List!$C:$C,MATCH(VALUE(B1375),Client_List!$A:$A,0)),""))</f>
        <v/>
      </c>
      <c r="F1375" s="53">
        <f>IF(B1375="","",IFERROR(INDEX(Client_List!$D:$D,MATCH(VALUE(B1375),Client_List!$A:$A,0)),""))</f>
        <v/>
      </c>
      <c r="G1375" s="53">
        <f>IF(B1375="","",IFERROR(INDEX(Client_List!$K:$K,MATCH(VALUE(B1375),Client_List!$A:$A,0)),""))</f>
        <v/>
      </c>
      <c r="H1375" s="32">
        <f>IF(B1375="","",IFERROR(INDEX(Client_List!$J:$J,MATCH(VALUE(B1375),Client_List!$A:$A,0)),""))</f>
        <v/>
      </c>
      <c r="I1375" s="70">
        <f>IF(B1375="","",IFERROR(A1375-LOOKUP(2,1/($B$4:$B1374=B1375),$A$4:$A1374),""))</f>
        <v/>
      </c>
      <c r="J1375" s="32">
        <f>IF(B1375="","",IFERROR(D1375/I1375,""))</f>
        <v/>
      </c>
      <c r="K1375" s="71">
        <f>IF(B1375="","",IFERROR(AVERAGEIFS($J$4:$J1375,$B$4:$B1375,B1375,$J$4:$J1375,"&gt;"&amp;0),""))</f>
        <v/>
      </c>
      <c r="L1375" s="11" t="n"/>
    </row>
    <row r="1376" ht="14" customHeight="1" s="72">
      <c r="A1376" s="75" t="n">
        <v>46135</v>
      </c>
      <c r="B1376" s="76" t="n">
        <v>10001</v>
      </c>
      <c r="C1376" s="69">
        <f>IF(B1376="","",IFERROR(INDEX(Client_List!$B:$B,MATCH(B1376,Client_List!$A:$A,0)),"⚠ NOT FOUND"))</f>
        <v/>
      </c>
      <c r="D1376" s="43" t="n">
        <v>573</v>
      </c>
      <c r="E1376" s="32">
        <f>IF(B1376="","",IFERROR(INDEX(Client_List!$C:$C,MATCH(VALUE(B1376),Client_List!$A:$A,0)),""))</f>
        <v/>
      </c>
      <c r="F1376" s="53">
        <f>IF(B1376="","",IFERROR(INDEX(Client_List!$D:$D,MATCH(VALUE(B1376),Client_List!$A:$A,0)),""))</f>
        <v/>
      </c>
      <c r="G1376" s="53">
        <f>IF(B1376="","",IFERROR(INDEX(Client_List!$K:$K,MATCH(VALUE(B1376),Client_List!$A:$A,0)),""))</f>
        <v/>
      </c>
      <c r="H1376" s="32">
        <f>IF(B1376="","",IFERROR(INDEX(Client_List!$J:$J,MATCH(VALUE(B1376),Client_List!$A:$A,0)),""))</f>
        <v/>
      </c>
      <c r="I1376" s="70">
        <f>IF(B1376="","",IFERROR(A1376-LOOKUP(2,1/($B$4:$B1375=B1376),$A$4:$A1375),""))</f>
        <v/>
      </c>
      <c r="J1376" s="32">
        <f>IF(B1376="","",IFERROR(D1376/I1376,""))</f>
        <v/>
      </c>
      <c r="K1376" s="71">
        <f>IF(B1376="","",IFERROR(AVERAGEIFS($J$4:$J1376,$B$4:$B1376,B1376,$J$4:$J1376,"&gt;"&amp;0),""))</f>
        <v/>
      </c>
      <c r="L1376" s="11" t="n"/>
    </row>
    <row r="1377" ht="14" customHeight="1" s="72">
      <c r="A1377" s="75" t="n">
        <v>46135</v>
      </c>
      <c r="B1377" s="76" t="n">
        <v>11013</v>
      </c>
      <c r="C1377" s="69">
        <f>IF(B1377="","",IFERROR(INDEX(Client_List!$B:$B,MATCH(B1377,Client_List!$A:$A,0)),"⚠ NOT FOUND"))</f>
        <v/>
      </c>
      <c r="D1377" s="43" t="n">
        <v>925</v>
      </c>
      <c r="E1377" s="32">
        <f>IF(B1377="","",IFERROR(INDEX(Client_List!$C:$C,MATCH(VALUE(B1377),Client_List!$A:$A,0)),""))</f>
        <v/>
      </c>
      <c r="F1377" s="53">
        <f>IF(B1377="","",IFERROR(INDEX(Client_List!$D:$D,MATCH(VALUE(B1377),Client_List!$A:$A,0)),""))</f>
        <v/>
      </c>
      <c r="G1377" s="53">
        <f>IF(B1377="","",IFERROR(INDEX(Client_List!$K:$K,MATCH(VALUE(B1377),Client_List!$A:$A,0)),""))</f>
        <v/>
      </c>
      <c r="H1377" s="32">
        <f>IF(B1377="","",IFERROR(INDEX(Client_List!$J:$J,MATCH(VALUE(B1377),Client_List!$A:$A,0)),""))</f>
        <v/>
      </c>
      <c r="I1377" s="70">
        <f>IF(B1377="","",IFERROR(A1377-LOOKUP(2,1/($B$4:$B1376=B1377),$A$4:$A1376),""))</f>
        <v/>
      </c>
      <c r="J1377" s="32">
        <f>IF(B1377="","",IFERROR(D1377/I1377,""))</f>
        <v/>
      </c>
      <c r="K1377" s="71">
        <f>IF(B1377="","",IFERROR(AVERAGEIFS($J$4:$J1377,$B$4:$B1377,B1377,$J$4:$J1377,"&gt;"&amp;0),""))</f>
        <v/>
      </c>
      <c r="L1377" s="11" t="n"/>
    </row>
    <row r="1378" ht="14" customHeight="1" s="72">
      <c r="A1378" s="75" t="n">
        <v>46135</v>
      </c>
      <c r="B1378" s="76" t="n">
        <v>15003</v>
      </c>
      <c r="C1378" s="69">
        <f>IF(B1378="","",IFERROR(INDEX(Client_List!$B:$B,MATCH(B1378,Client_List!$A:$A,0)),"⚠ NOT FOUND"))</f>
        <v/>
      </c>
      <c r="D1378" s="43" t="n">
        <v>990</v>
      </c>
      <c r="E1378" s="32">
        <f>IF(B1378="","",IFERROR(INDEX(Client_List!$C:$C,MATCH(VALUE(B1378),Client_List!$A:$A,0)),""))</f>
        <v/>
      </c>
      <c r="F1378" s="53">
        <f>IF(B1378="","",IFERROR(INDEX(Client_List!$D:$D,MATCH(VALUE(B1378),Client_List!$A:$A,0)),""))</f>
        <v/>
      </c>
      <c r="G1378" s="53">
        <f>IF(B1378="","",IFERROR(INDEX(Client_List!$K:$K,MATCH(VALUE(B1378),Client_List!$A:$A,0)),""))</f>
        <v/>
      </c>
      <c r="H1378" s="32">
        <f>IF(B1378="","",IFERROR(INDEX(Client_List!$J:$J,MATCH(VALUE(B1378),Client_List!$A:$A,0)),""))</f>
        <v/>
      </c>
      <c r="I1378" s="70">
        <f>IF(B1378="","",IFERROR(A1378-LOOKUP(2,1/($B$4:$B1377=B1378),$A$4:$A1377),""))</f>
        <v/>
      </c>
      <c r="J1378" s="32">
        <f>IF(B1378="","",IFERROR(D1378/I1378,""))</f>
        <v/>
      </c>
      <c r="K1378" s="71">
        <f>IF(B1378="","",IFERROR(AVERAGEIFS($J$4:$J1378,$B$4:$B1378,B1378,$J$4:$J1378,"&gt;"&amp;0),""))</f>
        <v/>
      </c>
      <c r="L1378" s="11" t="n"/>
    </row>
    <row r="1379" ht="14" customHeight="1" s="72">
      <c r="A1379" s="75" t="n">
        <v>46135</v>
      </c>
      <c r="B1379" s="76" t="n">
        <v>15009</v>
      </c>
      <c r="C1379" s="69">
        <f>IF(B1379="","",IFERROR(INDEX(Client_List!$B:$B,MATCH(B1379,Client_List!$A:$A,0)),"⚠ NOT FOUND"))</f>
        <v/>
      </c>
      <c r="D1379" s="43" t="n">
        <v>409</v>
      </c>
      <c r="E1379" s="32">
        <f>IF(B1379="","",IFERROR(INDEX(Client_List!$C:$C,MATCH(VALUE(B1379),Client_List!$A:$A,0)),""))</f>
        <v/>
      </c>
      <c r="F1379" s="53">
        <f>IF(B1379="","",IFERROR(INDEX(Client_List!$D:$D,MATCH(VALUE(B1379),Client_List!$A:$A,0)),""))</f>
        <v/>
      </c>
      <c r="G1379" s="53">
        <f>IF(B1379="","",IFERROR(INDEX(Client_List!$K:$K,MATCH(VALUE(B1379),Client_List!$A:$A,0)),""))</f>
        <v/>
      </c>
      <c r="H1379" s="32">
        <f>IF(B1379="","",IFERROR(INDEX(Client_List!$J:$J,MATCH(VALUE(B1379),Client_List!$A:$A,0)),""))</f>
        <v/>
      </c>
      <c r="I1379" s="70">
        <f>IF(B1379="","",IFERROR(A1379-LOOKUP(2,1/($B$4:$B1378=B1379),$A$4:$A1378),""))</f>
        <v/>
      </c>
      <c r="J1379" s="32">
        <f>IF(B1379="","",IFERROR(D1379/I1379,""))</f>
        <v/>
      </c>
      <c r="K1379" s="71">
        <f>IF(B1379="","",IFERROR(AVERAGEIFS($J$4:$J1379,$B$4:$B1379,B1379,$J$4:$J1379,"&gt;"&amp;0),""))</f>
        <v/>
      </c>
      <c r="L1379" s="11" t="n"/>
    </row>
    <row r="1380" ht="14" customHeight="1" s="72">
      <c r="A1380" s="75" t="n">
        <v>46135</v>
      </c>
      <c r="B1380" s="76" t="n">
        <v>15015</v>
      </c>
      <c r="C1380" s="69">
        <f>IF(B1380="","",IFERROR(INDEX(Client_List!$B:$B,MATCH(B1380,Client_List!$A:$A,0)),"⚠ NOT FOUND"))</f>
        <v/>
      </c>
      <c r="D1380" s="43" t="n">
        <v>447</v>
      </c>
      <c r="E1380" s="32">
        <f>IF(B1380="","",IFERROR(INDEX(Client_List!$C:$C,MATCH(VALUE(B1380),Client_List!$A:$A,0)),""))</f>
        <v/>
      </c>
      <c r="F1380" s="53">
        <f>IF(B1380="","",IFERROR(INDEX(Client_List!$D:$D,MATCH(VALUE(B1380),Client_List!$A:$A,0)),""))</f>
        <v/>
      </c>
      <c r="G1380" s="53">
        <f>IF(B1380="","",IFERROR(INDEX(Client_List!$K:$K,MATCH(VALUE(B1380),Client_List!$A:$A,0)),""))</f>
        <v/>
      </c>
      <c r="H1380" s="32">
        <f>IF(B1380="","",IFERROR(INDEX(Client_List!$J:$J,MATCH(VALUE(B1380),Client_List!$A:$A,0)),""))</f>
        <v/>
      </c>
      <c r="I1380" s="70">
        <f>IF(B1380="","",IFERROR(A1380-LOOKUP(2,1/($B$4:$B1379=B1380),$A$4:$A1379),""))</f>
        <v/>
      </c>
      <c r="J1380" s="32">
        <f>IF(B1380="","",IFERROR(D1380/I1380,""))</f>
        <v/>
      </c>
      <c r="K1380" s="71">
        <f>IF(B1380="","",IFERROR(AVERAGEIFS($J$4:$J1380,$B$4:$B1380,B1380,$J$4:$J1380,"&gt;"&amp;0),""))</f>
        <v/>
      </c>
      <c r="L1380" s="11" t="n"/>
    </row>
    <row r="1381" ht="14" customHeight="1" s="72">
      <c r="A1381" s="75" t="n">
        <v>46135</v>
      </c>
      <c r="B1381" s="76" t="n">
        <v>15024</v>
      </c>
      <c r="C1381" s="69">
        <f>IF(B1381="","",IFERROR(INDEX(Client_List!$B:$B,MATCH(B1381,Client_List!$A:$A,0)),"⚠ NOT FOUND"))</f>
        <v/>
      </c>
      <c r="D1381" s="43" t="n">
        <v>270</v>
      </c>
      <c r="E1381" s="32">
        <f>IF(B1381="","",IFERROR(INDEX(Client_List!$C:$C,MATCH(VALUE(B1381),Client_List!$A:$A,0)),""))</f>
        <v/>
      </c>
      <c r="F1381" s="53">
        <f>IF(B1381="","",IFERROR(INDEX(Client_List!$D:$D,MATCH(VALUE(B1381),Client_List!$A:$A,0)),""))</f>
        <v/>
      </c>
      <c r="G1381" s="53">
        <f>IF(B1381="","",IFERROR(INDEX(Client_List!$K:$K,MATCH(VALUE(B1381),Client_List!$A:$A,0)),""))</f>
        <v/>
      </c>
      <c r="H1381" s="32">
        <f>IF(B1381="","",IFERROR(INDEX(Client_List!$J:$J,MATCH(VALUE(B1381),Client_List!$A:$A,0)),""))</f>
        <v/>
      </c>
      <c r="I1381" s="70">
        <f>IF(B1381="","",IFERROR(A1381-LOOKUP(2,1/($B$4:$B1380=B1381),$A$4:$A1380),""))</f>
        <v/>
      </c>
      <c r="J1381" s="32">
        <f>IF(B1381="","",IFERROR(D1381/I1381,""))</f>
        <v/>
      </c>
      <c r="K1381" s="71">
        <f>IF(B1381="","",IFERROR(AVERAGEIFS($J$4:$J1381,$B$4:$B1381,B1381,$J$4:$J1381,"&gt;"&amp;0),""))</f>
        <v/>
      </c>
      <c r="L1381" s="11" t="n"/>
    </row>
    <row r="1382" ht="14" customHeight="1" s="72">
      <c r="A1382" s="75" t="n">
        <v>46135</v>
      </c>
      <c r="B1382" s="76" t="n">
        <v>15035</v>
      </c>
      <c r="C1382" s="69">
        <f>IF(B1382="","",IFERROR(INDEX(Client_List!$B:$B,MATCH(B1382,Client_List!$A:$A,0)),"⚠ NOT FOUND"))</f>
        <v/>
      </c>
      <c r="D1382" s="43" t="n">
        <v>1516</v>
      </c>
      <c r="E1382" s="32">
        <f>IF(B1382="","",IFERROR(INDEX(Client_List!$C:$C,MATCH(VALUE(B1382),Client_List!$A:$A,0)),""))</f>
        <v/>
      </c>
      <c r="F1382" s="53">
        <f>IF(B1382="","",IFERROR(INDEX(Client_List!$D:$D,MATCH(VALUE(B1382),Client_List!$A:$A,0)),""))</f>
        <v/>
      </c>
      <c r="G1382" s="53">
        <f>IF(B1382="","",IFERROR(INDEX(Client_List!$K:$K,MATCH(VALUE(B1382),Client_List!$A:$A,0)),""))</f>
        <v/>
      </c>
      <c r="H1382" s="32">
        <f>IF(B1382="","",IFERROR(INDEX(Client_List!$J:$J,MATCH(VALUE(B1382),Client_List!$A:$A,0)),""))</f>
        <v/>
      </c>
      <c r="I1382" s="70">
        <f>IF(B1382="","",IFERROR(A1382-LOOKUP(2,1/($B$4:$B1381=B1382),$A$4:$A1381),""))</f>
        <v/>
      </c>
      <c r="J1382" s="32">
        <f>IF(B1382="","",IFERROR(D1382/I1382,""))</f>
        <v/>
      </c>
      <c r="K1382" s="71">
        <f>IF(B1382="","",IFERROR(AVERAGEIFS($J$4:$J1382,$B$4:$B1382,B1382,$J$4:$J1382,"&gt;"&amp;0),""))</f>
        <v/>
      </c>
      <c r="L1382" s="11" t="n"/>
    </row>
    <row r="1383" ht="14" customHeight="1" s="72">
      <c r="A1383" s="75" t="n">
        <v>46135</v>
      </c>
      <c r="B1383" s="76" t="n">
        <v>15051</v>
      </c>
      <c r="C1383" s="69">
        <f>IF(B1383="","",IFERROR(INDEX(Client_List!$B:$B,MATCH(B1383,Client_List!$A:$A,0)),"⚠ NOT FOUND"))</f>
        <v/>
      </c>
      <c r="D1383" s="43" t="n">
        <v>355</v>
      </c>
      <c r="E1383" s="32">
        <f>IF(B1383="","",IFERROR(INDEX(Client_List!$C:$C,MATCH(VALUE(B1383),Client_List!$A:$A,0)),""))</f>
        <v/>
      </c>
      <c r="F1383" s="53">
        <f>IF(B1383="","",IFERROR(INDEX(Client_List!$D:$D,MATCH(VALUE(B1383),Client_List!$A:$A,0)),""))</f>
        <v/>
      </c>
      <c r="G1383" s="53">
        <f>IF(B1383="","",IFERROR(INDEX(Client_List!$K:$K,MATCH(VALUE(B1383),Client_List!$A:$A,0)),""))</f>
        <v/>
      </c>
      <c r="H1383" s="32">
        <f>IF(B1383="","",IFERROR(INDEX(Client_List!$J:$J,MATCH(VALUE(B1383),Client_List!$A:$A,0)),""))</f>
        <v/>
      </c>
      <c r="I1383" s="70">
        <f>IF(B1383="","",IFERROR(A1383-LOOKUP(2,1/($B$4:$B1382=B1383),$A$4:$A1382),""))</f>
        <v/>
      </c>
      <c r="J1383" s="32">
        <f>IF(B1383="","",IFERROR(D1383/I1383,""))</f>
        <v/>
      </c>
      <c r="K1383" s="71">
        <f>IF(B1383="","",IFERROR(AVERAGEIFS($J$4:$J1383,$B$4:$B1383,B1383,$J$4:$J1383,"&gt;"&amp;0),""))</f>
        <v/>
      </c>
      <c r="L1383" s="11" t="n"/>
    </row>
    <row r="1384" ht="14" customHeight="1" s="72">
      <c r="A1384" s="75" t="n">
        <v>46135</v>
      </c>
      <c r="B1384" s="76" t="n">
        <v>16008</v>
      </c>
      <c r="C1384" s="69">
        <f>IF(B1384="","",IFERROR(INDEX(Client_List!$B:$B,MATCH(B1384,Client_List!$A:$A,0)),"⚠ NOT FOUND"))</f>
        <v/>
      </c>
      <c r="D1384" s="43" t="n">
        <v>896</v>
      </c>
      <c r="E1384" s="32">
        <f>IF(B1384="","",IFERROR(INDEX(Client_List!$C:$C,MATCH(VALUE(B1384),Client_List!$A:$A,0)),""))</f>
        <v/>
      </c>
      <c r="F1384" s="53">
        <f>IF(B1384="","",IFERROR(INDEX(Client_List!$D:$D,MATCH(VALUE(B1384),Client_List!$A:$A,0)),""))</f>
        <v/>
      </c>
      <c r="G1384" s="53">
        <f>IF(B1384="","",IFERROR(INDEX(Client_List!$K:$K,MATCH(VALUE(B1384),Client_List!$A:$A,0)),""))</f>
        <v/>
      </c>
      <c r="H1384" s="32">
        <f>IF(B1384="","",IFERROR(INDEX(Client_List!$J:$J,MATCH(VALUE(B1384),Client_List!$A:$A,0)),""))</f>
        <v/>
      </c>
      <c r="I1384" s="70">
        <f>IF(B1384="","",IFERROR(A1384-LOOKUP(2,1/($B$4:$B1383=B1384),$A$4:$A1383),""))</f>
        <v/>
      </c>
      <c r="J1384" s="32">
        <f>IF(B1384="","",IFERROR(D1384/I1384,""))</f>
        <v/>
      </c>
      <c r="K1384" s="71">
        <f>IF(B1384="","",IFERROR(AVERAGEIFS($J$4:$J1384,$B$4:$B1384,B1384,$J$4:$J1384,"&gt;"&amp;0),""))</f>
        <v/>
      </c>
      <c r="L1384" s="11" t="n"/>
    </row>
    <row r="1385" ht="14" customHeight="1" s="72">
      <c r="A1385" s="75" t="n">
        <v>46135</v>
      </c>
      <c r="B1385" s="76" t="n">
        <v>18001</v>
      </c>
      <c r="C1385" s="69">
        <f>IF(B1385="","",IFERROR(INDEX(Client_List!$B:$B,MATCH(B1385,Client_List!$A:$A,0)),"⚠ NOT FOUND"))</f>
        <v/>
      </c>
      <c r="D1385" s="43" t="n">
        <v>582</v>
      </c>
      <c r="E1385" s="32">
        <f>IF(B1385="","",IFERROR(INDEX(Client_List!$C:$C,MATCH(VALUE(B1385),Client_List!$A:$A,0)),""))</f>
        <v/>
      </c>
      <c r="F1385" s="53">
        <f>IF(B1385="","",IFERROR(INDEX(Client_List!$D:$D,MATCH(VALUE(B1385),Client_List!$A:$A,0)),""))</f>
        <v/>
      </c>
      <c r="G1385" s="53">
        <f>IF(B1385="","",IFERROR(INDEX(Client_List!$K:$K,MATCH(VALUE(B1385),Client_List!$A:$A,0)),""))</f>
        <v/>
      </c>
      <c r="H1385" s="32">
        <f>IF(B1385="","",IFERROR(INDEX(Client_List!$J:$J,MATCH(VALUE(B1385),Client_List!$A:$A,0)),""))</f>
        <v/>
      </c>
      <c r="I1385" s="70">
        <f>IF(B1385="","",IFERROR(A1385-LOOKUP(2,1/($B$4:$B1384=B1385),$A$4:$A1384),""))</f>
        <v/>
      </c>
      <c r="J1385" s="32">
        <f>IF(B1385="","",IFERROR(D1385/I1385,""))</f>
        <v/>
      </c>
      <c r="K1385" s="71">
        <f>IF(B1385="","",IFERROR(AVERAGEIFS($J$4:$J1385,$B$4:$B1385,B1385,$J$4:$J1385,"&gt;"&amp;0),""))</f>
        <v/>
      </c>
      <c r="L1385" s="12" t="n"/>
    </row>
    <row r="1386" ht="14" customHeight="1" s="72">
      <c r="A1386" s="75" t="n">
        <v>46135</v>
      </c>
      <c r="B1386" s="76" t="n">
        <v>18003</v>
      </c>
      <c r="C1386" s="69">
        <f>IF(B1386="","",IFERROR(INDEX(Client_List!$B:$B,MATCH(B1386,Client_List!$A:$A,0)),"⚠ NOT FOUND"))</f>
        <v/>
      </c>
      <c r="D1386" s="43" t="n">
        <v>230</v>
      </c>
      <c r="E1386" s="32">
        <f>IF(B1386="","",IFERROR(INDEX(Client_List!$C:$C,MATCH(VALUE(B1386),Client_List!$A:$A,0)),""))</f>
        <v/>
      </c>
      <c r="F1386" s="53">
        <f>IF(B1386="","",IFERROR(INDEX(Client_List!$D:$D,MATCH(VALUE(B1386),Client_List!$A:$A,0)),""))</f>
        <v/>
      </c>
      <c r="G1386" s="53">
        <f>IF(B1386="","",IFERROR(INDEX(Client_List!$K:$K,MATCH(VALUE(B1386),Client_List!$A:$A,0)),""))</f>
        <v/>
      </c>
      <c r="H1386" s="32">
        <f>IF(B1386="","",IFERROR(INDEX(Client_List!$J:$J,MATCH(VALUE(B1386),Client_List!$A:$A,0)),""))</f>
        <v/>
      </c>
      <c r="I1386" s="70">
        <f>IF(B1386="","",IFERROR(A1386-LOOKUP(2,1/($B$4:$B1385=B1386),$A$4:$A1385),""))</f>
        <v/>
      </c>
      <c r="J1386" s="32">
        <f>IF(B1386="","",IFERROR(D1386/I1386,""))</f>
        <v/>
      </c>
      <c r="K1386" s="71">
        <f>IF(B1386="","",IFERROR(AVERAGEIFS($J$4:$J1386,$B$4:$B1386,B1386,$J$4:$J1386,"&gt;"&amp;0),""))</f>
        <v/>
      </c>
      <c r="L1386" s="11" t="n"/>
    </row>
    <row r="1387" ht="14" customHeight="1" s="72">
      <c r="A1387" s="75" t="n">
        <v>46135</v>
      </c>
      <c r="B1387" s="76" t="n">
        <v>21001</v>
      </c>
      <c r="C1387" s="69">
        <f>IF(B1387="","",IFERROR(INDEX(Client_List!$B:$B,MATCH(B1387,Client_List!$A:$A,0)),"⚠ NOT FOUND"))</f>
        <v/>
      </c>
      <c r="D1387" s="43" t="n">
        <v>738</v>
      </c>
      <c r="E1387" s="32">
        <f>IF(B1387="","",IFERROR(INDEX(Client_List!$C:$C,MATCH(VALUE(B1387),Client_List!$A:$A,0)),""))</f>
        <v/>
      </c>
      <c r="F1387" s="53">
        <f>IF(B1387="","",IFERROR(INDEX(Client_List!$D:$D,MATCH(VALUE(B1387),Client_List!$A:$A,0)),""))</f>
        <v/>
      </c>
      <c r="G1387" s="53">
        <f>IF(B1387="","",IFERROR(INDEX(Client_List!$K:$K,MATCH(VALUE(B1387),Client_List!$A:$A,0)),""))</f>
        <v/>
      </c>
      <c r="H1387" s="32">
        <f>IF(B1387="","",IFERROR(INDEX(Client_List!$J:$J,MATCH(VALUE(B1387),Client_List!$A:$A,0)),""))</f>
        <v/>
      </c>
      <c r="I1387" s="70">
        <f>IF(B1387="","",IFERROR(A1387-LOOKUP(2,1/($B$4:$B1386=B1387),$A$4:$A1386),""))</f>
        <v/>
      </c>
      <c r="J1387" s="32">
        <f>IF(B1387="","",IFERROR(D1387/I1387,""))</f>
        <v/>
      </c>
      <c r="K1387" s="71">
        <f>IF(B1387="","",IFERROR(AVERAGEIFS($J$4:$J1387,$B$4:$B1387,B1387,$J$4:$J1387,"&gt;"&amp;0),""))</f>
        <v/>
      </c>
      <c r="L1387" s="12" t="n"/>
    </row>
    <row r="1388" ht="14" customHeight="1" s="72">
      <c r="A1388" s="75" t="n">
        <v>46136</v>
      </c>
      <c r="B1388" s="76" t="n">
        <v>2017</v>
      </c>
      <c r="C1388" s="69">
        <f>IF(B1388="","",IFERROR(INDEX(Client_List!$B:$B,MATCH(B1388,Client_List!$A:$A,0)),"⚠ NOT FOUND"))</f>
        <v/>
      </c>
      <c r="D1388" s="43" t="n">
        <v>457</v>
      </c>
      <c r="E1388" s="32">
        <f>IF(B1388="","",IFERROR(INDEX(Client_List!$C:$C,MATCH(VALUE(B1388),Client_List!$A:$A,0)),""))</f>
        <v/>
      </c>
      <c r="F1388" s="53">
        <f>IF(B1388="","",IFERROR(INDEX(Client_List!$D:$D,MATCH(VALUE(B1388),Client_List!$A:$A,0)),""))</f>
        <v/>
      </c>
      <c r="G1388" s="53">
        <f>IF(B1388="","",IFERROR(INDEX(Client_List!$K:$K,MATCH(VALUE(B1388),Client_List!$A:$A,0)),""))</f>
        <v/>
      </c>
      <c r="H1388" s="32">
        <f>IF(B1388="","",IFERROR(INDEX(Client_List!$J:$J,MATCH(VALUE(B1388),Client_List!$A:$A,0)),""))</f>
        <v/>
      </c>
      <c r="I1388" s="70">
        <f>IF(B1388="","",IFERROR(A1388-LOOKUP(2,1/($B$4:$B1387=B1388),$A$4:$A1387),""))</f>
        <v/>
      </c>
      <c r="J1388" s="32">
        <f>IF(B1388="","",IFERROR(D1388/I1388,""))</f>
        <v/>
      </c>
      <c r="K1388" s="71">
        <f>IF(B1388="","",IFERROR(AVERAGEIFS($J$4:$J1388,$B$4:$B1388,B1388,$J$4:$J1388,"&gt;"&amp;0),""))</f>
        <v/>
      </c>
      <c r="L1388" s="11" t="n"/>
    </row>
    <row r="1389" ht="14" customHeight="1" s="72">
      <c r="A1389" s="75" t="n">
        <v>46136</v>
      </c>
      <c r="B1389" s="76" t="n">
        <v>3028</v>
      </c>
      <c r="C1389" s="69">
        <f>IF(B1389="","",IFERROR(INDEX(Client_List!$B:$B,MATCH(B1389,Client_List!$A:$A,0)),"⚠ NOT FOUND"))</f>
        <v/>
      </c>
      <c r="D1389" s="43" t="n">
        <v>620</v>
      </c>
      <c r="E1389" s="32">
        <f>IF(B1389="","",IFERROR(INDEX(Client_List!$C:$C,MATCH(VALUE(B1389),Client_List!$A:$A,0)),""))</f>
        <v/>
      </c>
      <c r="F1389" s="53">
        <f>IF(B1389="","",IFERROR(INDEX(Client_List!$D:$D,MATCH(VALUE(B1389),Client_List!$A:$A,0)),""))</f>
        <v/>
      </c>
      <c r="G1389" s="53">
        <f>IF(B1389="","",IFERROR(INDEX(Client_List!$K:$K,MATCH(VALUE(B1389),Client_List!$A:$A,0)),""))</f>
        <v/>
      </c>
      <c r="H1389" s="32">
        <f>IF(B1389="","",IFERROR(INDEX(Client_List!$J:$J,MATCH(VALUE(B1389),Client_List!$A:$A,0)),""))</f>
        <v/>
      </c>
      <c r="I1389" s="70">
        <f>IF(B1389="","",IFERROR(A1389-LOOKUP(2,1/($B$4:$B1388=B1389),$A$4:$A1388),""))</f>
        <v/>
      </c>
      <c r="J1389" s="32">
        <f>IF(B1389="","",IFERROR(D1389/I1389,""))</f>
        <v/>
      </c>
      <c r="K1389" s="71">
        <f>IF(B1389="","",IFERROR(AVERAGEIFS($J$4:$J1389,$B$4:$B1389,B1389,$J$4:$J1389,"&gt;"&amp;0),""))</f>
        <v/>
      </c>
      <c r="L1389" s="12" t="n"/>
    </row>
    <row r="1390" ht="14" customHeight="1" s="72">
      <c r="A1390" s="75" t="n">
        <v>46136</v>
      </c>
      <c r="B1390" s="76" t="n">
        <v>4009</v>
      </c>
      <c r="C1390" s="69">
        <f>IF(B1390="","",IFERROR(INDEX(Client_List!$B:$B,MATCH(B1390,Client_List!$A:$A,0)),"⚠ NOT FOUND"))</f>
        <v/>
      </c>
      <c r="D1390" s="43" t="n">
        <v>719</v>
      </c>
      <c r="E1390" s="32">
        <f>IF(B1390="","",IFERROR(INDEX(Client_List!$C:$C,MATCH(VALUE(B1390),Client_List!$A:$A,0)),""))</f>
        <v/>
      </c>
      <c r="F1390" s="53">
        <f>IF(B1390="","",IFERROR(INDEX(Client_List!$D:$D,MATCH(VALUE(B1390),Client_List!$A:$A,0)),""))</f>
        <v/>
      </c>
      <c r="G1390" s="53">
        <f>IF(B1390="","",IFERROR(INDEX(Client_List!$K:$K,MATCH(VALUE(B1390),Client_List!$A:$A,0)),""))</f>
        <v/>
      </c>
      <c r="H1390" s="32">
        <f>IF(B1390="","",IFERROR(INDEX(Client_List!$J:$J,MATCH(VALUE(B1390),Client_List!$A:$A,0)),""))</f>
        <v/>
      </c>
      <c r="I1390" s="70">
        <f>IF(B1390="","",IFERROR(A1390-LOOKUP(2,1/($B$4:$B1389=B1390),$A$4:$A1389),""))</f>
        <v/>
      </c>
      <c r="J1390" s="32">
        <f>IF(B1390="","",IFERROR(D1390/I1390,""))</f>
        <v/>
      </c>
      <c r="K1390" s="71">
        <f>IF(B1390="","",IFERROR(AVERAGEIFS($J$4:$J1390,$B$4:$B1390,B1390,$J$4:$J1390,"&gt;"&amp;0),""))</f>
        <v/>
      </c>
      <c r="L1390" s="11" t="n"/>
    </row>
    <row r="1391" ht="14" customHeight="1" s="72">
      <c r="A1391" s="75" t="n">
        <v>46136</v>
      </c>
      <c r="B1391" s="76" t="n">
        <v>4025</v>
      </c>
      <c r="C1391" s="69">
        <f>IF(B1391="","",IFERROR(INDEX(Client_List!$B:$B,MATCH(B1391,Client_List!$A:$A,0)),"⚠ NOT FOUND"))</f>
        <v/>
      </c>
      <c r="D1391" s="43" t="n">
        <v>811</v>
      </c>
      <c r="E1391" s="32">
        <f>IF(B1391="","",IFERROR(INDEX(Client_List!$C:$C,MATCH(VALUE(B1391),Client_List!$A:$A,0)),""))</f>
        <v/>
      </c>
      <c r="F1391" s="53">
        <f>IF(B1391="","",IFERROR(INDEX(Client_List!$D:$D,MATCH(VALUE(B1391),Client_List!$A:$A,0)),""))</f>
        <v/>
      </c>
      <c r="G1391" s="53">
        <f>IF(B1391="","",IFERROR(INDEX(Client_List!$K:$K,MATCH(VALUE(B1391),Client_List!$A:$A,0)),""))</f>
        <v/>
      </c>
      <c r="H1391" s="32">
        <f>IF(B1391="","",IFERROR(INDEX(Client_List!$J:$J,MATCH(VALUE(B1391),Client_List!$A:$A,0)),""))</f>
        <v/>
      </c>
      <c r="I1391" s="70">
        <f>IF(B1391="","",IFERROR(A1391-LOOKUP(2,1/($B$4:$B1390=B1391),$A$4:$A1390),""))</f>
        <v/>
      </c>
      <c r="J1391" s="32">
        <f>IF(B1391="","",IFERROR(D1391/I1391,""))</f>
        <v/>
      </c>
      <c r="K1391" s="71">
        <f>IF(B1391="","",IFERROR(AVERAGEIFS($J$4:$J1391,$B$4:$B1391,B1391,$J$4:$J1391,"&gt;"&amp;0),""))</f>
        <v/>
      </c>
      <c r="L1391" s="12" t="n"/>
    </row>
    <row r="1392" ht="14" customHeight="1" s="72">
      <c r="A1392" s="75" t="n">
        <v>46136</v>
      </c>
      <c r="B1392" s="76" t="n">
        <v>5004</v>
      </c>
      <c r="C1392" s="69">
        <f>IF(B1392="","",IFERROR(INDEX(Client_List!$B:$B,MATCH(B1392,Client_List!$A:$A,0)),"⚠ NOT FOUND"))</f>
        <v/>
      </c>
      <c r="D1392" s="43" t="n">
        <v>451</v>
      </c>
      <c r="E1392" s="32">
        <f>IF(B1392="","",IFERROR(INDEX(Client_List!$C:$C,MATCH(VALUE(B1392),Client_List!$A:$A,0)),""))</f>
        <v/>
      </c>
      <c r="F1392" s="53">
        <f>IF(B1392="","",IFERROR(INDEX(Client_List!$D:$D,MATCH(VALUE(B1392),Client_List!$A:$A,0)),""))</f>
        <v/>
      </c>
      <c r="G1392" s="53">
        <f>IF(B1392="","",IFERROR(INDEX(Client_List!$K:$K,MATCH(VALUE(B1392),Client_List!$A:$A,0)),""))</f>
        <v/>
      </c>
      <c r="H1392" s="32">
        <f>IF(B1392="","",IFERROR(INDEX(Client_List!$J:$J,MATCH(VALUE(B1392),Client_List!$A:$A,0)),""))</f>
        <v/>
      </c>
      <c r="I1392" s="70">
        <f>IF(B1392="","",IFERROR(A1392-LOOKUP(2,1/($B$4:$B1391=B1392),$A$4:$A1391),""))</f>
        <v/>
      </c>
      <c r="J1392" s="32">
        <f>IF(B1392="","",IFERROR(D1392/I1392,""))</f>
        <v/>
      </c>
      <c r="K1392" s="71">
        <f>IF(B1392="","",IFERROR(AVERAGEIFS($J$4:$J1392,$B$4:$B1392,B1392,$J$4:$J1392,"&gt;"&amp;0),""))</f>
        <v/>
      </c>
      <c r="L1392" s="11" t="n"/>
    </row>
    <row r="1393" ht="14" customHeight="1" s="72">
      <c r="A1393" s="75" t="n">
        <v>46136</v>
      </c>
      <c r="B1393" s="76" t="n">
        <v>6101</v>
      </c>
      <c r="C1393" s="69">
        <f>IF(B1393="","",IFERROR(INDEX(Client_List!$B:$B,MATCH(B1393,Client_List!$A:$A,0)),"⚠ NOT FOUND"))</f>
        <v/>
      </c>
      <c r="D1393" s="43" t="n">
        <v>571</v>
      </c>
      <c r="E1393" s="32">
        <f>IF(B1393="","",IFERROR(INDEX(Client_List!$C:$C,MATCH(VALUE(B1393),Client_List!$A:$A,0)),""))</f>
        <v/>
      </c>
      <c r="F1393" s="53">
        <f>IF(B1393="","",IFERROR(INDEX(Client_List!$D:$D,MATCH(VALUE(B1393),Client_List!$A:$A,0)),""))</f>
        <v/>
      </c>
      <c r="G1393" s="53">
        <f>IF(B1393="","",IFERROR(INDEX(Client_List!$K:$K,MATCH(VALUE(B1393),Client_List!$A:$A,0)),""))</f>
        <v/>
      </c>
      <c r="H1393" s="32">
        <f>IF(B1393="","",IFERROR(INDEX(Client_List!$J:$J,MATCH(VALUE(B1393),Client_List!$A:$A,0)),""))</f>
        <v/>
      </c>
      <c r="I1393" s="70">
        <f>IF(B1393="","",IFERROR(A1393-LOOKUP(2,1/($B$4:$B1392=B1393),$A$4:$A1392),""))</f>
        <v/>
      </c>
      <c r="J1393" s="32">
        <f>IF(B1393="","",IFERROR(D1393/I1393,""))</f>
        <v/>
      </c>
      <c r="K1393" s="71">
        <f>IF(B1393="","",IFERROR(AVERAGEIFS($J$4:$J1393,$B$4:$B1393,B1393,$J$4:$J1393,"&gt;"&amp;0),""))</f>
        <v/>
      </c>
      <c r="L1393" s="12" t="n"/>
    </row>
    <row r="1394" ht="14" customHeight="1" s="72">
      <c r="A1394" s="75" t="n">
        <v>46136</v>
      </c>
      <c r="B1394" s="76" t="n">
        <v>10011</v>
      </c>
      <c r="C1394" s="69">
        <f>IF(B1394="","",IFERROR(INDEX(Client_List!$B:$B,MATCH(B1394,Client_List!$A:$A,0)),"⚠ NOT FOUND"))</f>
        <v/>
      </c>
      <c r="D1394" s="43" t="n">
        <v>541</v>
      </c>
      <c r="E1394" s="32">
        <f>IF(B1394="","",IFERROR(INDEX(Client_List!$C:$C,MATCH(VALUE(B1394),Client_List!$A:$A,0)),""))</f>
        <v/>
      </c>
      <c r="F1394" s="53">
        <f>IF(B1394="","",IFERROR(INDEX(Client_List!$D:$D,MATCH(VALUE(B1394),Client_List!$A:$A,0)),""))</f>
        <v/>
      </c>
      <c r="G1394" s="53">
        <f>IF(B1394="","",IFERROR(INDEX(Client_List!$K:$K,MATCH(VALUE(B1394),Client_List!$A:$A,0)),""))</f>
        <v/>
      </c>
      <c r="H1394" s="32">
        <f>IF(B1394="","",IFERROR(INDEX(Client_List!$J:$J,MATCH(VALUE(B1394),Client_List!$A:$A,0)),""))</f>
        <v/>
      </c>
      <c r="I1394" s="70">
        <f>IF(B1394="","",IFERROR(A1394-LOOKUP(2,1/($B$4:$B1393=B1394),$A$4:$A1393),""))</f>
        <v/>
      </c>
      <c r="J1394" s="32">
        <f>IF(B1394="","",IFERROR(D1394/I1394,""))</f>
        <v/>
      </c>
      <c r="K1394" s="71">
        <f>IF(B1394="","",IFERROR(AVERAGEIFS($J$4:$J1394,$B$4:$B1394,B1394,$J$4:$J1394,"&gt;"&amp;0),""))</f>
        <v/>
      </c>
      <c r="L1394" s="11" t="n"/>
    </row>
    <row r="1395" ht="14" customHeight="1" s="72">
      <c r="A1395" s="75" t="n">
        <v>46136</v>
      </c>
      <c r="B1395" s="76" t="n">
        <v>12051</v>
      </c>
      <c r="C1395" s="69">
        <f>IF(B1395="","",IFERROR(INDEX(Client_List!$B:$B,MATCH(B1395,Client_List!$A:$A,0)),"⚠ NOT FOUND"))</f>
        <v/>
      </c>
      <c r="D1395" s="43" t="n">
        <v>856</v>
      </c>
      <c r="E1395" s="32">
        <f>IF(B1395="","",IFERROR(INDEX(Client_List!$C:$C,MATCH(VALUE(B1395),Client_List!$A:$A,0)),""))</f>
        <v/>
      </c>
      <c r="F1395" s="53">
        <f>IF(B1395="","",IFERROR(INDEX(Client_List!$D:$D,MATCH(VALUE(B1395),Client_List!$A:$A,0)),""))</f>
        <v/>
      </c>
      <c r="G1395" s="53">
        <f>IF(B1395="","",IFERROR(INDEX(Client_List!$K:$K,MATCH(VALUE(B1395),Client_List!$A:$A,0)),""))</f>
        <v/>
      </c>
      <c r="H1395" s="32">
        <f>IF(B1395="","",IFERROR(INDEX(Client_List!$J:$J,MATCH(VALUE(B1395),Client_List!$A:$A,0)),""))</f>
        <v/>
      </c>
      <c r="I1395" s="70">
        <f>IF(B1395="","",IFERROR(A1395-LOOKUP(2,1/($B$4:$B1394=B1395),$A$4:$A1394),""))</f>
        <v/>
      </c>
      <c r="J1395" s="32">
        <f>IF(B1395="","",IFERROR(D1395/I1395,""))</f>
        <v/>
      </c>
      <c r="K1395" s="71">
        <f>IF(B1395="","",IFERROR(AVERAGEIFS($J$4:$J1395,$B$4:$B1395,B1395,$J$4:$J1395,"&gt;"&amp;0),""))</f>
        <v/>
      </c>
      <c r="L1395" s="12" t="n"/>
    </row>
    <row r="1396" ht="14" customHeight="1" s="72">
      <c r="A1396" s="75" t="n">
        <v>46136</v>
      </c>
      <c r="B1396" s="76" t="n">
        <v>13011</v>
      </c>
      <c r="C1396" s="69">
        <f>IF(B1396="","",IFERROR(INDEX(Client_List!$B:$B,MATCH(B1396,Client_List!$A:$A,0)),"⚠ NOT FOUND"))</f>
        <v/>
      </c>
      <c r="D1396" s="43" t="n">
        <v>945</v>
      </c>
      <c r="E1396" s="32">
        <f>IF(B1396="","",IFERROR(INDEX(Client_List!$C:$C,MATCH(VALUE(B1396),Client_List!$A:$A,0)),""))</f>
        <v/>
      </c>
      <c r="F1396" s="53">
        <f>IF(B1396="","",IFERROR(INDEX(Client_List!$D:$D,MATCH(VALUE(B1396),Client_List!$A:$A,0)),""))</f>
        <v/>
      </c>
      <c r="G1396" s="53">
        <f>IF(B1396="","",IFERROR(INDEX(Client_List!$K:$K,MATCH(VALUE(B1396),Client_List!$A:$A,0)),""))</f>
        <v/>
      </c>
      <c r="H1396" s="32">
        <f>IF(B1396="","",IFERROR(INDEX(Client_List!$J:$J,MATCH(VALUE(B1396),Client_List!$A:$A,0)),""))</f>
        <v/>
      </c>
      <c r="I1396" s="70">
        <f>IF(B1396="","",IFERROR(A1396-LOOKUP(2,1/($B$4:$B1395=B1396),$A$4:$A1395),""))</f>
        <v/>
      </c>
      <c r="J1396" s="32">
        <f>IF(B1396="","",IFERROR(D1396/I1396,""))</f>
        <v/>
      </c>
      <c r="K1396" s="71">
        <f>IF(B1396="","",IFERROR(AVERAGEIFS($J$4:$J1396,$B$4:$B1396,B1396,$J$4:$J1396,"&gt;"&amp;0),""))</f>
        <v/>
      </c>
      <c r="L1396" s="11" t="n"/>
    </row>
    <row r="1397" ht="14" customHeight="1" s="72">
      <c r="A1397" s="75" t="n">
        <v>46136</v>
      </c>
      <c r="B1397" s="76" t="n">
        <v>13012</v>
      </c>
      <c r="C1397" s="69">
        <f>IF(B1397="","",IFERROR(INDEX(Client_List!$B:$B,MATCH(B1397,Client_List!$A:$A,0)),"⚠ NOT FOUND"))</f>
        <v/>
      </c>
      <c r="D1397" s="43" t="n">
        <v>763</v>
      </c>
      <c r="E1397" s="32">
        <f>IF(B1397="","",IFERROR(INDEX(Client_List!$C:$C,MATCH(VALUE(B1397),Client_List!$A:$A,0)),""))</f>
        <v/>
      </c>
      <c r="F1397" s="53">
        <f>IF(B1397="","",IFERROR(INDEX(Client_List!$D:$D,MATCH(VALUE(B1397),Client_List!$A:$A,0)),""))</f>
        <v/>
      </c>
      <c r="G1397" s="53">
        <f>IF(B1397="","",IFERROR(INDEX(Client_List!$K:$K,MATCH(VALUE(B1397),Client_List!$A:$A,0)),""))</f>
        <v/>
      </c>
      <c r="H1397" s="32">
        <f>IF(B1397="","",IFERROR(INDEX(Client_List!$J:$J,MATCH(VALUE(B1397),Client_List!$A:$A,0)),""))</f>
        <v/>
      </c>
      <c r="I1397" s="70">
        <f>IF(B1397="","",IFERROR(A1397-LOOKUP(2,1/($B$4:$B1396=B1397),$A$4:$A1396),""))</f>
        <v/>
      </c>
      <c r="J1397" s="32">
        <f>IF(B1397="","",IFERROR(D1397/I1397,""))</f>
        <v/>
      </c>
      <c r="K1397" s="71">
        <f>IF(B1397="","",IFERROR(AVERAGEIFS($J$4:$J1397,$B$4:$B1397,B1397,$J$4:$J1397,"&gt;"&amp;0),""))</f>
        <v/>
      </c>
      <c r="L1397" s="12" t="n"/>
    </row>
    <row r="1398" ht="14" customHeight="1" s="72">
      <c r="A1398" s="75" t="n">
        <v>46136</v>
      </c>
      <c r="B1398" s="76" t="n">
        <v>13015</v>
      </c>
      <c r="C1398" s="69">
        <f>IF(B1398="","",IFERROR(INDEX(Client_List!$B:$B,MATCH(B1398,Client_List!$A:$A,0)),"⚠ NOT FOUND"))</f>
        <v/>
      </c>
      <c r="D1398" s="43" t="n">
        <v>902</v>
      </c>
      <c r="E1398" s="32">
        <f>IF(B1398="","",IFERROR(INDEX(Client_List!$C:$C,MATCH(VALUE(B1398),Client_List!$A:$A,0)),""))</f>
        <v/>
      </c>
      <c r="F1398" s="53">
        <f>IF(B1398="","",IFERROR(INDEX(Client_List!$D:$D,MATCH(VALUE(B1398),Client_List!$A:$A,0)),""))</f>
        <v/>
      </c>
      <c r="G1398" s="53">
        <f>IF(B1398="","",IFERROR(INDEX(Client_List!$K:$K,MATCH(VALUE(B1398),Client_List!$A:$A,0)),""))</f>
        <v/>
      </c>
      <c r="H1398" s="32">
        <f>IF(B1398="","",IFERROR(INDEX(Client_List!$J:$J,MATCH(VALUE(B1398),Client_List!$A:$A,0)),""))</f>
        <v/>
      </c>
      <c r="I1398" s="70">
        <f>IF(B1398="","",IFERROR(A1398-LOOKUP(2,1/($B$4:$B1397=B1398),$A$4:$A1397),""))</f>
        <v/>
      </c>
      <c r="J1398" s="32">
        <f>IF(B1398="","",IFERROR(D1398/I1398,""))</f>
        <v/>
      </c>
      <c r="K1398" s="71">
        <f>IF(B1398="","",IFERROR(AVERAGEIFS($J$4:$J1398,$B$4:$B1398,B1398,$J$4:$J1398,"&gt;"&amp;0),""))</f>
        <v/>
      </c>
      <c r="L1398" s="12" t="n"/>
    </row>
    <row r="1399" ht="14" customHeight="1" s="72">
      <c r="A1399" s="75" t="n">
        <v>46136</v>
      </c>
      <c r="B1399" s="76" t="n">
        <v>15016</v>
      </c>
      <c r="C1399" s="69">
        <f>IF(B1399="","",IFERROR(INDEX(Client_List!$B:$B,MATCH(B1399,Client_List!$A:$A,0)),"⚠ NOT FOUND"))</f>
        <v/>
      </c>
      <c r="D1399" s="43" t="n">
        <v>357</v>
      </c>
      <c r="E1399" s="32">
        <f>IF(B1399="","",IFERROR(INDEX(Client_List!$C:$C,MATCH(VALUE(B1399),Client_List!$A:$A,0)),""))</f>
        <v/>
      </c>
      <c r="F1399" s="53">
        <f>IF(B1399="","",IFERROR(INDEX(Client_List!$D:$D,MATCH(VALUE(B1399),Client_List!$A:$A,0)),""))</f>
        <v/>
      </c>
      <c r="G1399" s="53">
        <f>IF(B1399="","",IFERROR(INDEX(Client_List!$K:$K,MATCH(VALUE(B1399),Client_List!$A:$A,0)),""))</f>
        <v/>
      </c>
      <c r="H1399" s="32">
        <f>IF(B1399="","",IFERROR(INDEX(Client_List!$J:$J,MATCH(VALUE(B1399),Client_List!$A:$A,0)),""))</f>
        <v/>
      </c>
      <c r="I1399" s="70">
        <f>IF(B1399="","",IFERROR(A1399-LOOKUP(2,1/($B$4:$B1398=B1399),$A$4:$A1398),""))</f>
        <v/>
      </c>
      <c r="J1399" s="32">
        <f>IF(B1399="","",IFERROR(D1399/I1399,""))</f>
        <v/>
      </c>
      <c r="K1399" s="71">
        <f>IF(B1399="","",IFERROR(AVERAGEIFS($J$4:$J1399,$B$4:$B1399,B1399,$J$4:$J1399,"&gt;"&amp;0),""))</f>
        <v/>
      </c>
      <c r="L1399" s="11" t="n"/>
    </row>
    <row r="1400" ht="14" customHeight="1" s="72">
      <c r="A1400" s="75" t="n">
        <v>46136</v>
      </c>
      <c r="B1400" s="76" t="n">
        <v>16005</v>
      </c>
      <c r="C1400" s="69">
        <f>IF(B1400="","",IFERROR(INDEX(Client_List!$B:$B,MATCH(B1400,Client_List!$A:$A,0)),"⚠ NOT FOUND"))</f>
        <v/>
      </c>
      <c r="D1400" s="43" t="n">
        <v>860</v>
      </c>
      <c r="E1400" s="32">
        <f>IF(B1400="","",IFERROR(INDEX(Client_List!$C:$C,MATCH(VALUE(B1400),Client_List!$A:$A,0)),""))</f>
        <v/>
      </c>
      <c r="F1400" s="53">
        <f>IF(B1400="","",IFERROR(INDEX(Client_List!$D:$D,MATCH(VALUE(B1400),Client_List!$A:$A,0)),""))</f>
        <v/>
      </c>
      <c r="G1400" s="53">
        <f>IF(B1400="","",IFERROR(INDEX(Client_List!$K:$K,MATCH(VALUE(B1400),Client_List!$A:$A,0)),""))</f>
        <v/>
      </c>
      <c r="H1400" s="32">
        <f>IF(B1400="","",IFERROR(INDEX(Client_List!$J:$J,MATCH(VALUE(B1400),Client_List!$A:$A,0)),""))</f>
        <v/>
      </c>
      <c r="I1400" s="70">
        <f>IF(B1400="","",IFERROR(A1400-LOOKUP(2,1/($B$4:$B1399=B1400),$A$4:$A1399),""))</f>
        <v/>
      </c>
      <c r="J1400" s="32">
        <f>IF(B1400="","",IFERROR(D1400/I1400,""))</f>
        <v/>
      </c>
      <c r="K1400" s="71">
        <f>IF(B1400="","",IFERROR(AVERAGEIFS($J$4:$J1400,$B$4:$B1400,B1400,$J$4:$J1400,"&gt;"&amp;0),""))</f>
        <v/>
      </c>
      <c r="L1400" s="12" t="n"/>
    </row>
    <row r="1401" ht="14" customHeight="1" s="72">
      <c r="A1401" s="75" t="n">
        <v>46136</v>
      </c>
      <c r="B1401" s="76" t="n">
        <v>16015</v>
      </c>
      <c r="C1401" s="69">
        <f>IF(B1401="","",IFERROR(INDEX(Client_List!$B:$B,MATCH(B1401,Client_List!$A:$A,0)),"⚠ NOT FOUND"))</f>
        <v/>
      </c>
      <c r="D1401" s="43" t="n">
        <v>1165</v>
      </c>
      <c r="E1401" s="32">
        <f>IF(B1401="","",IFERROR(INDEX(Client_List!$C:$C,MATCH(VALUE(B1401),Client_List!$A:$A,0)),""))</f>
        <v/>
      </c>
      <c r="F1401" s="53">
        <f>IF(B1401="","",IFERROR(INDEX(Client_List!$D:$D,MATCH(VALUE(B1401),Client_List!$A:$A,0)),""))</f>
        <v/>
      </c>
      <c r="G1401" s="53">
        <f>IF(B1401="","",IFERROR(INDEX(Client_List!$K:$K,MATCH(VALUE(B1401),Client_List!$A:$A,0)),""))</f>
        <v/>
      </c>
      <c r="H1401" s="32">
        <f>IF(B1401="","",IFERROR(INDEX(Client_List!$J:$J,MATCH(VALUE(B1401),Client_List!$A:$A,0)),""))</f>
        <v/>
      </c>
      <c r="I1401" s="70">
        <f>IF(B1401="","",IFERROR(A1401-LOOKUP(2,1/($B$4:$B1400=B1401),$A$4:$A1400),""))</f>
        <v/>
      </c>
      <c r="J1401" s="32">
        <f>IF(B1401="","",IFERROR(D1401/I1401,""))</f>
        <v/>
      </c>
      <c r="K1401" s="71">
        <f>IF(B1401="","",IFERROR(AVERAGEIFS($J$4:$J1401,$B$4:$B1401,B1401,$J$4:$J1401,"&gt;"&amp;0),""))</f>
        <v/>
      </c>
      <c r="L1401" s="11" t="n"/>
    </row>
    <row r="1402" ht="14" customHeight="1" s="72">
      <c r="A1402" s="75" t="n">
        <v>46136</v>
      </c>
      <c r="B1402" s="76" t="n">
        <v>16051</v>
      </c>
      <c r="C1402" s="69">
        <f>IF(B1402="","",IFERROR(INDEX(Client_List!$B:$B,MATCH(B1402,Client_List!$A:$A,0)),"⚠ NOT FOUND"))</f>
        <v/>
      </c>
      <c r="D1402" s="43" t="n">
        <v>1640</v>
      </c>
      <c r="E1402" s="32">
        <f>IF(B1402="","",IFERROR(INDEX(Client_List!$C:$C,MATCH(VALUE(B1402),Client_List!$A:$A,0)),""))</f>
        <v/>
      </c>
      <c r="F1402" s="53">
        <f>IF(B1402="","",IFERROR(INDEX(Client_List!$D:$D,MATCH(VALUE(B1402),Client_List!$A:$A,0)),""))</f>
        <v/>
      </c>
      <c r="G1402" s="53">
        <f>IF(B1402="","",IFERROR(INDEX(Client_List!$K:$K,MATCH(VALUE(B1402),Client_List!$A:$A,0)),""))</f>
        <v/>
      </c>
      <c r="H1402" s="32">
        <f>IF(B1402="","",IFERROR(INDEX(Client_List!$J:$J,MATCH(VALUE(B1402),Client_List!$A:$A,0)),""))</f>
        <v/>
      </c>
      <c r="I1402" s="70">
        <f>IF(B1402="","",IFERROR(A1402-LOOKUP(2,1/($B$4:$B1401=B1402),$A$4:$A1401),""))</f>
        <v/>
      </c>
      <c r="J1402" s="32">
        <f>IF(B1402="","",IFERROR(D1402/I1402,""))</f>
        <v/>
      </c>
      <c r="K1402" s="71">
        <f>IF(B1402="","",IFERROR(AVERAGEIFS($J$4:$J1402,$B$4:$B1402,B1402,$J$4:$J1402,"&gt;"&amp;0),""))</f>
        <v/>
      </c>
      <c r="L1402" s="12" t="n"/>
    </row>
    <row r="1403" ht="14" customHeight="1" s="72">
      <c r="A1403" s="75" t="n">
        <v>46136</v>
      </c>
      <c r="B1403" s="76" t="n">
        <v>18042</v>
      </c>
      <c r="C1403" s="69">
        <f>IF(B1403="","",IFERROR(INDEX(Client_List!$B:$B,MATCH(B1403,Client_List!$A:$A,0)),"⚠ NOT FOUND"))</f>
        <v/>
      </c>
      <c r="D1403" s="43" t="n">
        <v>1584</v>
      </c>
      <c r="E1403" s="32">
        <f>IF(B1403="","",IFERROR(INDEX(Client_List!$C:$C,MATCH(VALUE(B1403),Client_List!$A:$A,0)),""))</f>
        <v/>
      </c>
      <c r="F1403" s="53">
        <f>IF(B1403="","",IFERROR(INDEX(Client_List!$D:$D,MATCH(VALUE(B1403),Client_List!$A:$A,0)),""))</f>
        <v/>
      </c>
      <c r="G1403" s="53">
        <f>IF(B1403="","",IFERROR(INDEX(Client_List!$K:$K,MATCH(VALUE(B1403),Client_List!$A:$A,0)),""))</f>
        <v/>
      </c>
      <c r="H1403" s="32">
        <f>IF(B1403="","",IFERROR(INDEX(Client_List!$J:$J,MATCH(VALUE(B1403),Client_List!$A:$A,0)),""))</f>
        <v/>
      </c>
      <c r="I1403" s="70">
        <f>IF(B1403="","",IFERROR(A1403-LOOKUP(2,1/($B$4:$B1402=B1403),$A$4:$A1402),""))</f>
        <v/>
      </c>
      <c r="J1403" s="32">
        <f>IF(B1403="","",IFERROR(D1403/I1403,""))</f>
        <v/>
      </c>
      <c r="K1403" s="71">
        <f>IF(B1403="","",IFERROR(AVERAGEIFS($J$4:$J1403,$B$4:$B1403,B1403,$J$4:$J1403,"&gt;"&amp;0),""))</f>
        <v/>
      </c>
      <c r="L1403" s="11" t="n"/>
    </row>
    <row r="1404" ht="14" customHeight="1" s="72">
      <c r="A1404" s="75" t="n">
        <v>46136</v>
      </c>
      <c r="B1404" s="76" t="n">
        <v>19022</v>
      </c>
      <c r="C1404" s="69">
        <f>IF(B1404="","",IFERROR(INDEX(Client_List!$B:$B,MATCH(B1404,Client_List!$A:$A,0)),"⚠ NOT FOUND"))</f>
        <v/>
      </c>
      <c r="D1404" s="43" t="n">
        <v>715</v>
      </c>
      <c r="E1404" s="32">
        <f>IF(B1404="","",IFERROR(INDEX(Client_List!$C:$C,MATCH(VALUE(B1404),Client_List!$A:$A,0)),""))</f>
        <v/>
      </c>
      <c r="F1404" s="53">
        <f>IF(B1404="","",IFERROR(INDEX(Client_List!$D:$D,MATCH(VALUE(B1404),Client_List!$A:$A,0)),""))</f>
        <v/>
      </c>
      <c r="G1404" s="53">
        <f>IF(B1404="","",IFERROR(INDEX(Client_List!$K:$K,MATCH(VALUE(B1404),Client_List!$A:$A,0)),""))</f>
        <v/>
      </c>
      <c r="H1404" s="32">
        <f>IF(B1404="","",IFERROR(INDEX(Client_List!$J:$J,MATCH(VALUE(B1404),Client_List!$A:$A,0)),""))</f>
        <v/>
      </c>
      <c r="I1404" s="70">
        <f>IF(B1404="","",IFERROR(A1404-LOOKUP(2,1/($B$4:$B1403=B1404),$A$4:$A1403),""))</f>
        <v/>
      </c>
      <c r="J1404" s="32">
        <f>IF(B1404="","",IFERROR(D1404/I1404,""))</f>
        <v/>
      </c>
      <c r="K1404" s="71">
        <f>IF(B1404="","",IFERROR(AVERAGEIFS($J$4:$J1404,$B$4:$B1404,B1404,$J$4:$J1404,"&gt;"&amp;0),""))</f>
        <v/>
      </c>
      <c r="L1404" s="12" t="n"/>
    </row>
    <row r="1405" ht="14" customHeight="1" s="72">
      <c r="A1405" s="75" t="n">
        <v>46136</v>
      </c>
      <c r="B1405" s="76" t="n">
        <v>19110</v>
      </c>
      <c r="C1405" s="69">
        <f>IF(B1405="","",IFERROR(INDEX(Client_List!$B:$B,MATCH(B1405,Client_List!$A:$A,0)),"⚠ NOT FOUND"))</f>
        <v/>
      </c>
      <c r="D1405" s="43" t="n">
        <v>464</v>
      </c>
      <c r="E1405" s="32">
        <f>IF(B1405="","",IFERROR(INDEX(Client_List!$C:$C,MATCH(VALUE(B1405),Client_List!$A:$A,0)),""))</f>
        <v/>
      </c>
      <c r="F1405" s="53">
        <f>IF(B1405="","",IFERROR(INDEX(Client_List!$D:$D,MATCH(VALUE(B1405),Client_List!$A:$A,0)),""))</f>
        <v/>
      </c>
      <c r="G1405" s="53">
        <f>IF(B1405="","",IFERROR(INDEX(Client_List!$K:$K,MATCH(VALUE(B1405),Client_List!$A:$A,0)),""))</f>
        <v/>
      </c>
      <c r="H1405" s="32">
        <f>IF(B1405="","",IFERROR(INDEX(Client_List!$J:$J,MATCH(VALUE(B1405),Client_List!$A:$A,0)),""))</f>
        <v/>
      </c>
      <c r="I1405" s="70">
        <f>IF(B1405="","",IFERROR(A1405-LOOKUP(2,1/($B$4:$B1404=B1405),$A$4:$A1404),""))</f>
        <v/>
      </c>
      <c r="J1405" s="32">
        <f>IF(B1405="","",IFERROR(D1405/I1405,""))</f>
        <v/>
      </c>
      <c r="K1405" s="71">
        <f>IF(B1405="","",IFERROR(AVERAGEIFS($J$4:$J1405,$B$4:$B1405,B1405,$J$4:$J1405,"&gt;"&amp;0),""))</f>
        <v/>
      </c>
      <c r="L1405" s="11" t="n"/>
    </row>
    <row r="1406" ht="14" customHeight="1" s="72">
      <c r="A1406" s="75" t="n">
        <v>46136</v>
      </c>
      <c r="B1406" s="76" t="n">
        <v>19123</v>
      </c>
      <c r="C1406" s="69">
        <f>IF(B1406="","",IFERROR(INDEX(Client_List!$B:$B,MATCH(B1406,Client_List!$A:$A,0)),"⚠ NOT FOUND"))</f>
        <v/>
      </c>
      <c r="D1406" s="43" t="n">
        <v>464</v>
      </c>
      <c r="E1406" s="32">
        <f>IF(B1406="","",IFERROR(INDEX(Client_List!$C:$C,MATCH(VALUE(B1406),Client_List!$A:$A,0)),""))</f>
        <v/>
      </c>
      <c r="F1406" s="53">
        <f>IF(B1406="","",IFERROR(INDEX(Client_List!$D:$D,MATCH(VALUE(B1406),Client_List!$A:$A,0)),""))</f>
        <v/>
      </c>
      <c r="G1406" s="53">
        <f>IF(B1406="","",IFERROR(INDEX(Client_List!$K:$K,MATCH(VALUE(B1406),Client_List!$A:$A,0)),""))</f>
        <v/>
      </c>
      <c r="H1406" s="32">
        <f>IF(B1406="","",IFERROR(INDEX(Client_List!$J:$J,MATCH(VALUE(B1406),Client_List!$A:$A,0)),""))</f>
        <v/>
      </c>
      <c r="I1406" s="70">
        <f>IF(B1406="","",IFERROR(A1406-LOOKUP(2,1/($B$4:$B1405=B1406),$A$4:$A1405),""))</f>
        <v/>
      </c>
      <c r="J1406" s="32">
        <f>IF(B1406="","",IFERROR(D1406/I1406,""))</f>
        <v/>
      </c>
      <c r="K1406" s="71">
        <f>IF(B1406="","",IFERROR(AVERAGEIFS($J$4:$J1406,$B$4:$B1406,B1406,$J$4:$J1406,"&gt;"&amp;0),""))</f>
        <v/>
      </c>
      <c r="L1406" s="12" t="n"/>
    </row>
    <row r="1407" ht="14" customHeight="1" s="72">
      <c r="A1407" s="75" t="n">
        <v>46136</v>
      </c>
      <c r="B1407" s="76" t="n">
        <v>20014</v>
      </c>
      <c r="C1407" s="69">
        <f>IF(B1407="","",IFERROR(INDEX(Client_List!$B:$B,MATCH(B1407,Client_List!$A:$A,0)),"⚠ NOT FOUND"))</f>
        <v/>
      </c>
      <c r="D1407" s="43" t="n">
        <v>972</v>
      </c>
      <c r="E1407" s="32">
        <f>IF(B1407="","",IFERROR(INDEX(Client_List!$C:$C,MATCH(VALUE(B1407),Client_List!$A:$A,0)),""))</f>
        <v/>
      </c>
      <c r="F1407" s="53">
        <f>IF(B1407="","",IFERROR(INDEX(Client_List!$D:$D,MATCH(VALUE(B1407),Client_List!$A:$A,0)),""))</f>
        <v/>
      </c>
      <c r="G1407" s="53">
        <f>IF(B1407="","",IFERROR(INDEX(Client_List!$K:$K,MATCH(VALUE(B1407),Client_List!$A:$A,0)),""))</f>
        <v/>
      </c>
      <c r="H1407" s="32">
        <f>IF(B1407="","",IFERROR(INDEX(Client_List!$J:$J,MATCH(VALUE(B1407),Client_List!$A:$A,0)),""))</f>
        <v/>
      </c>
      <c r="I1407" s="70">
        <f>IF(B1407="","",IFERROR(A1407-LOOKUP(2,1/($B$4:$B1406=B1407),$A$4:$A1406),""))</f>
        <v/>
      </c>
      <c r="J1407" s="32">
        <f>IF(B1407="","",IFERROR(D1407/I1407,""))</f>
        <v/>
      </c>
      <c r="K1407" s="71">
        <f>IF(B1407="","",IFERROR(AVERAGEIFS($J$4:$J1407,$B$4:$B1407,B1407,$J$4:$J1407,"&gt;"&amp;0),""))</f>
        <v/>
      </c>
      <c r="L1407" s="11" t="n"/>
    </row>
    <row r="1408" ht="14" customHeight="1" s="72">
      <c r="A1408" s="75" t="n">
        <v>46136</v>
      </c>
      <c r="B1408" s="76" t="n">
        <v>20094</v>
      </c>
      <c r="C1408" s="69">
        <f>IF(B1408="","",IFERROR(INDEX(Client_List!$B:$B,MATCH(B1408,Client_List!$A:$A,0)),"⚠ NOT FOUND"))</f>
        <v/>
      </c>
      <c r="D1408" s="43" t="n">
        <v>885</v>
      </c>
      <c r="E1408" s="32">
        <f>IF(B1408="","",IFERROR(INDEX(Client_List!$C:$C,MATCH(VALUE(B1408),Client_List!$A:$A,0)),""))</f>
        <v/>
      </c>
      <c r="F1408" s="53">
        <f>IF(B1408="","",IFERROR(INDEX(Client_List!$D:$D,MATCH(VALUE(B1408),Client_List!$A:$A,0)),""))</f>
        <v/>
      </c>
      <c r="G1408" s="53">
        <f>IF(B1408="","",IFERROR(INDEX(Client_List!$K:$K,MATCH(VALUE(B1408),Client_List!$A:$A,0)),""))</f>
        <v/>
      </c>
      <c r="H1408" s="32">
        <f>IF(B1408="","",IFERROR(INDEX(Client_List!$J:$J,MATCH(VALUE(B1408),Client_List!$A:$A,0)),""))</f>
        <v/>
      </c>
      <c r="I1408" s="70">
        <f>IF(B1408="","",IFERROR(A1408-LOOKUP(2,1/($B$4:$B1407=B1408),$A$4:$A1407),""))</f>
        <v/>
      </c>
      <c r="J1408" s="32">
        <f>IF(B1408="","",IFERROR(D1408/I1408,""))</f>
        <v/>
      </c>
      <c r="K1408" s="71">
        <f>IF(B1408="","",IFERROR(AVERAGEIFS($J$4:$J1408,$B$4:$B1408,B1408,$J$4:$J1408,"&gt;"&amp;0),""))</f>
        <v/>
      </c>
      <c r="L1408" s="12" t="n"/>
    </row>
    <row r="1409" ht="14" customHeight="1" s="72">
      <c r="A1409" s="75" t="n">
        <v>46137</v>
      </c>
      <c r="B1409" s="76" t="n">
        <v>1057</v>
      </c>
      <c r="C1409" s="69">
        <f>IF(B1409="","",IFERROR(INDEX(Client_List!$B:$B,MATCH(B1409,Client_List!$A:$A,0)),"⚠ NOT FOUND"))</f>
        <v/>
      </c>
      <c r="D1409" s="43" t="n">
        <v>690</v>
      </c>
      <c r="E1409" s="32">
        <f>IF(B1409="","",IFERROR(INDEX(Client_List!$C:$C,MATCH(VALUE(B1409),Client_List!$A:$A,0)),""))</f>
        <v/>
      </c>
      <c r="F1409" s="53">
        <f>IF(B1409="","",IFERROR(INDEX(Client_List!$D:$D,MATCH(VALUE(B1409),Client_List!$A:$A,0)),""))</f>
        <v/>
      </c>
      <c r="G1409" s="53">
        <f>IF(B1409="","",IFERROR(INDEX(Client_List!$K:$K,MATCH(VALUE(B1409),Client_List!$A:$A,0)),""))</f>
        <v/>
      </c>
      <c r="H1409" s="32">
        <f>IF(B1409="","",IFERROR(INDEX(Client_List!$J:$J,MATCH(VALUE(B1409),Client_List!$A:$A,0)),""))</f>
        <v/>
      </c>
      <c r="I1409" s="70">
        <f>IF(B1409="","",IFERROR(A1409-LOOKUP(2,1/($B$4:$B1408=B1409),$A$4:$A1408),""))</f>
        <v/>
      </c>
      <c r="J1409" s="32">
        <f>IF(B1409="","",IFERROR(D1409/I1409,""))</f>
        <v/>
      </c>
      <c r="K1409" s="71">
        <f>IF(B1409="","",IFERROR(AVERAGEIFS($J$4:$J1409,$B$4:$B1409,B1409,$J$4:$J1409,"&gt;"&amp;0),""))</f>
        <v/>
      </c>
      <c r="L1409" s="11" t="n"/>
    </row>
    <row r="1410" ht="14" customHeight="1" s="72">
      <c r="A1410" s="75" t="n">
        <v>46137</v>
      </c>
      <c r="B1410" s="76" t="n">
        <v>2067</v>
      </c>
      <c r="C1410" s="69">
        <f>IF(B1410="","",IFERROR(INDEX(Client_List!$B:$B,MATCH(B1410,Client_List!$A:$A,0)),"⚠ NOT FOUND"))</f>
        <v/>
      </c>
      <c r="D1410" s="43" t="n">
        <v>773</v>
      </c>
      <c r="E1410" s="32">
        <f>IF(B1410="","",IFERROR(INDEX(Client_List!$C:$C,MATCH(VALUE(B1410),Client_List!$A:$A,0)),""))</f>
        <v/>
      </c>
      <c r="F1410" s="53">
        <f>IF(B1410="","",IFERROR(INDEX(Client_List!$D:$D,MATCH(VALUE(B1410),Client_List!$A:$A,0)),""))</f>
        <v/>
      </c>
      <c r="G1410" s="53">
        <f>IF(B1410="","",IFERROR(INDEX(Client_List!$K:$K,MATCH(VALUE(B1410),Client_List!$A:$A,0)),""))</f>
        <v/>
      </c>
      <c r="H1410" s="32">
        <f>IF(B1410="","",IFERROR(INDEX(Client_List!$J:$J,MATCH(VALUE(B1410),Client_List!$A:$A,0)),""))</f>
        <v/>
      </c>
      <c r="I1410" s="70">
        <f>IF(B1410="","",IFERROR(A1410-LOOKUP(2,1/($B$4:$B1409=B1410),$A$4:$A1409),""))</f>
        <v/>
      </c>
      <c r="J1410" s="32">
        <f>IF(B1410="","",IFERROR(D1410/I1410,""))</f>
        <v/>
      </c>
      <c r="K1410" s="71">
        <f>IF(B1410="","",IFERROR(AVERAGEIFS($J$4:$J1410,$B$4:$B1410,B1410,$J$4:$J1410,"&gt;"&amp;0),""))</f>
        <v/>
      </c>
      <c r="L1410" s="12" t="n"/>
    </row>
    <row r="1411" ht="14" customHeight="1" s="72">
      <c r="A1411" s="75" t="n">
        <v>46137</v>
      </c>
      <c r="B1411" s="76" t="n">
        <v>4037</v>
      </c>
      <c r="C1411" s="69">
        <f>IF(B1411="","",IFERROR(INDEX(Client_List!$B:$B,MATCH(B1411,Client_List!$A:$A,0)),"⚠ NOT FOUND"))</f>
        <v/>
      </c>
      <c r="D1411" s="43" t="n">
        <v>216</v>
      </c>
      <c r="E1411" s="32">
        <f>IF(B1411="","",IFERROR(INDEX(Client_List!$C:$C,MATCH(VALUE(B1411),Client_List!$A:$A,0)),""))</f>
        <v/>
      </c>
      <c r="F1411" s="53">
        <f>IF(B1411="","",IFERROR(INDEX(Client_List!$D:$D,MATCH(VALUE(B1411),Client_List!$A:$A,0)),""))</f>
        <v/>
      </c>
      <c r="G1411" s="53">
        <f>IF(B1411="","",IFERROR(INDEX(Client_List!$K:$K,MATCH(VALUE(B1411),Client_List!$A:$A,0)),""))</f>
        <v/>
      </c>
      <c r="H1411" s="32">
        <f>IF(B1411="","",IFERROR(INDEX(Client_List!$J:$J,MATCH(VALUE(B1411),Client_List!$A:$A,0)),""))</f>
        <v/>
      </c>
      <c r="I1411" s="70">
        <f>IF(B1411="","",IFERROR(A1411-LOOKUP(2,1/($B$4:$B1410=B1411),$A$4:$A1410),""))</f>
        <v/>
      </c>
      <c r="J1411" s="32">
        <f>IF(B1411="","",IFERROR(D1411/I1411,""))</f>
        <v/>
      </c>
      <c r="K1411" s="71">
        <f>IF(B1411="","",IFERROR(AVERAGEIFS($J$4:$J1411,$B$4:$B1411,B1411,$J$4:$J1411,"&gt;"&amp;0),""))</f>
        <v/>
      </c>
      <c r="L1411" s="11" t="n"/>
    </row>
    <row r="1412" ht="14" customHeight="1" s="72">
      <c r="A1412" s="75" t="n">
        <v>46137</v>
      </c>
      <c r="B1412" s="76" t="n">
        <v>13014</v>
      </c>
      <c r="C1412" s="69">
        <f>IF(B1412="","",IFERROR(INDEX(Client_List!$B:$B,MATCH(B1412,Client_List!$A:$A,0)),"⚠ NOT FOUND"))</f>
        <v/>
      </c>
      <c r="D1412" s="43" t="n">
        <v>821</v>
      </c>
      <c r="E1412" s="32">
        <f>IF(B1412="","",IFERROR(INDEX(Client_List!$C:$C,MATCH(VALUE(B1412),Client_List!$A:$A,0)),""))</f>
        <v/>
      </c>
      <c r="F1412" s="53">
        <f>IF(B1412="","",IFERROR(INDEX(Client_List!$D:$D,MATCH(VALUE(B1412),Client_List!$A:$A,0)),""))</f>
        <v/>
      </c>
      <c r="G1412" s="53">
        <f>IF(B1412="","",IFERROR(INDEX(Client_List!$K:$K,MATCH(VALUE(B1412),Client_List!$A:$A,0)),""))</f>
        <v/>
      </c>
      <c r="H1412" s="32">
        <f>IF(B1412="","",IFERROR(INDEX(Client_List!$J:$J,MATCH(VALUE(B1412),Client_List!$A:$A,0)),""))</f>
        <v/>
      </c>
      <c r="I1412" s="70">
        <f>IF(B1412="","",IFERROR(A1412-LOOKUP(2,1/($B$4:$B1411=B1412),$A$4:$A1411),""))</f>
        <v/>
      </c>
      <c r="J1412" s="32">
        <f>IF(B1412="","",IFERROR(D1412/I1412,""))</f>
        <v/>
      </c>
      <c r="K1412" s="71">
        <f>IF(B1412="","",IFERROR(AVERAGEIFS($J$4:$J1412,$B$4:$B1412,B1412,$J$4:$J1412,"&gt;"&amp;0),""))</f>
        <v/>
      </c>
      <c r="L1412" s="12" t="n"/>
    </row>
    <row r="1413" ht="14" customHeight="1" s="72">
      <c r="A1413" s="75" t="n">
        <v>46137</v>
      </c>
      <c r="B1413" s="76" t="n">
        <v>15000</v>
      </c>
      <c r="C1413" s="69">
        <f>IF(B1413="","",IFERROR(INDEX(Client_List!$B:$B,MATCH(B1413,Client_List!$A:$A,0)),"⚠ NOT FOUND"))</f>
        <v/>
      </c>
      <c r="D1413" s="43" t="n">
        <v>828</v>
      </c>
      <c r="E1413" s="32">
        <f>IF(B1413="","",IFERROR(INDEX(Client_List!$C:$C,MATCH(VALUE(B1413),Client_List!$A:$A,0)),""))</f>
        <v/>
      </c>
      <c r="F1413" s="53">
        <f>IF(B1413="","",IFERROR(INDEX(Client_List!$D:$D,MATCH(VALUE(B1413),Client_List!$A:$A,0)),""))</f>
        <v/>
      </c>
      <c r="G1413" s="53">
        <f>IF(B1413="","",IFERROR(INDEX(Client_List!$K:$K,MATCH(VALUE(B1413),Client_List!$A:$A,0)),""))</f>
        <v/>
      </c>
      <c r="H1413" s="32">
        <f>IF(B1413="","",IFERROR(INDEX(Client_List!$J:$J,MATCH(VALUE(B1413),Client_List!$A:$A,0)),""))</f>
        <v/>
      </c>
      <c r="I1413" s="70">
        <f>IF(B1413="","",IFERROR(A1413-LOOKUP(2,1/($B$4:$B1412=B1413),$A$4:$A1412),""))</f>
        <v/>
      </c>
      <c r="J1413" s="32">
        <f>IF(B1413="","",IFERROR(D1413/I1413,""))</f>
        <v/>
      </c>
      <c r="K1413" s="71">
        <f>IF(B1413="","",IFERROR(AVERAGEIFS($J$4:$J1413,$B$4:$B1413,B1413,$J$4:$J1413,"&gt;"&amp;0),""))</f>
        <v/>
      </c>
      <c r="L1413" s="11" t="n"/>
    </row>
    <row r="1414" ht="14" customHeight="1" s="72">
      <c r="A1414" s="75" t="n">
        <v>46137</v>
      </c>
      <c r="B1414" s="76" t="n">
        <v>15021</v>
      </c>
      <c r="C1414" s="69">
        <f>IF(B1414="","",IFERROR(INDEX(Client_List!$B:$B,MATCH(B1414,Client_List!$A:$A,0)),"⚠ NOT FOUND"))</f>
        <v/>
      </c>
      <c r="D1414" s="43" t="n">
        <v>347</v>
      </c>
      <c r="E1414" s="32">
        <f>IF(B1414="","",IFERROR(INDEX(Client_List!$C:$C,MATCH(VALUE(B1414),Client_List!$A:$A,0)),""))</f>
        <v/>
      </c>
      <c r="F1414" s="53">
        <f>IF(B1414="","",IFERROR(INDEX(Client_List!$D:$D,MATCH(VALUE(B1414),Client_List!$A:$A,0)),""))</f>
        <v/>
      </c>
      <c r="G1414" s="53">
        <f>IF(B1414="","",IFERROR(INDEX(Client_List!$K:$K,MATCH(VALUE(B1414),Client_List!$A:$A,0)),""))</f>
        <v/>
      </c>
      <c r="H1414" s="32">
        <f>IF(B1414="","",IFERROR(INDEX(Client_List!$J:$J,MATCH(VALUE(B1414),Client_List!$A:$A,0)),""))</f>
        <v/>
      </c>
      <c r="I1414" s="70">
        <f>IF(B1414="","",IFERROR(A1414-LOOKUP(2,1/($B$4:$B1413=B1414),$A$4:$A1413),""))</f>
        <v/>
      </c>
      <c r="J1414" s="32">
        <f>IF(B1414="","",IFERROR(D1414/I1414,""))</f>
        <v/>
      </c>
      <c r="K1414" s="71">
        <f>IF(B1414="","",IFERROR(AVERAGEIFS($J$4:$J1414,$B$4:$B1414,B1414,$J$4:$J1414,"&gt;"&amp;0),""))</f>
        <v/>
      </c>
      <c r="L1414" s="12" t="n"/>
    </row>
    <row r="1415" ht="14" customHeight="1" s="72">
      <c r="A1415" s="75" t="n">
        <v>46137</v>
      </c>
      <c r="B1415" s="76" t="n">
        <v>15028</v>
      </c>
      <c r="C1415" s="69">
        <f>IF(B1415="","",IFERROR(INDEX(Client_List!$B:$B,MATCH(B1415,Client_List!$A:$A,0)),"⚠ NOT FOUND"))</f>
        <v/>
      </c>
      <c r="D1415" s="43" t="n">
        <v>563</v>
      </c>
      <c r="E1415" s="32">
        <f>IF(B1415="","",IFERROR(INDEX(Client_List!$C:$C,MATCH(VALUE(B1415),Client_List!$A:$A,0)),""))</f>
        <v/>
      </c>
      <c r="F1415" s="53">
        <f>IF(B1415="","",IFERROR(INDEX(Client_List!$D:$D,MATCH(VALUE(B1415),Client_List!$A:$A,0)),""))</f>
        <v/>
      </c>
      <c r="G1415" s="53">
        <f>IF(B1415="","",IFERROR(INDEX(Client_List!$K:$K,MATCH(VALUE(B1415),Client_List!$A:$A,0)),""))</f>
        <v/>
      </c>
      <c r="H1415" s="32">
        <f>IF(B1415="","",IFERROR(INDEX(Client_List!$J:$J,MATCH(VALUE(B1415),Client_List!$A:$A,0)),""))</f>
        <v/>
      </c>
      <c r="I1415" s="70">
        <f>IF(B1415="","",IFERROR(A1415-LOOKUP(2,1/($B$4:$B1414=B1415),$A$4:$A1414),""))</f>
        <v/>
      </c>
      <c r="J1415" s="32">
        <f>IF(B1415="","",IFERROR(D1415/I1415,""))</f>
        <v/>
      </c>
      <c r="K1415" s="71">
        <f>IF(B1415="","",IFERROR(AVERAGEIFS($J$4:$J1415,$B$4:$B1415,B1415,$J$4:$J1415,"&gt;"&amp;0),""))</f>
        <v/>
      </c>
      <c r="L1415" s="11" t="n"/>
    </row>
    <row r="1416" ht="14" customHeight="1" s="72">
      <c r="A1416" s="75" t="n">
        <v>46137</v>
      </c>
      <c r="B1416" s="76" t="n">
        <v>15033</v>
      </c>
      <c r="C1416" s="69">
        <f>IF(B1416="","",IFERROR(INDEX(Client_List!$B:$B,MATCH(B1416,Client_List!$A:$A,0)),"⚠ NOT FOUND"))</f>
        <v/>
      </c>
      <c r="D1416" s="43" t="n">
        <v>505</v>
      </c>
      <c r="E1416" s="32">
        <f>IF(B1416="","",IFERROR(INDEX(Client_List!$C:$C,MATCH(VALUE(B1416),Client_List!$A:$A,0)),""))</f>
        <v/>
      </c>
      <c r="F1416" s="53">
        <f>IF(B1416="","",IFERROR(INDEX(Client_List!$D:$D,MATCH(VALUE(B1416),Client_List!$A:$A,0)),""))</f>
        <v/>
      </c>
      <c r="G1416" s="53">
        <f>IF(B1416="","",IFERROR(INDEX(Client_List!$K:$K,MATCH(VALUE(B1416),Client_List!$A:$A,0)),""))</f>
        <v/>
      </c>
      <c r="H1416" s="32">
        <f>IF(B1416="","",IFERROR(INDEX(Client_List!$J:$J,MATCH(VALUE(B1416),Client_List!$A:$A,0)),""))</f>
        <v/>
      </c>
      <c r="I1416" s="70">
        <f>IF(B1416="","",IFERROR(A1416-LOOKUP(2,1/($B$4:$B1415=B1416),$A$4:$A1415),""))</f>
        <v/>
      </c>
      <c r="J1416" s="32">
        <f>IF(B1416="","",IFERROR(D1416/I1416,""))</f>
        <v/>
      </c>
      <c r="K1416" s="71">
        <f>IF(B1416="","",IFERROR(AVERAGEIFS($J$4:$J1416,$B$4:$B1416,B1416,$J$4:$J1416,"&gt;"&amp;0),""))</f>
        <v/>
      </c>
      <c r="L1416" s="12" t="n"/>
    </row>
    <row r="1417" ht="14" customHeight="1" s="72">
      <c r="A1417" s="75" t="n">
        <v>46137</v>
      </c>
      <c r="B1417" s="76" t="n">
        <v>16019</v>
      </c>
      <c r="C1417" s="69">
        <f>IF(B1417="","",IFERROR(INDEX(Client_List!$B:$B,MATCH(B1417,Client_List!$A:$A,0)),"⚠ NOT FOUND"))</f>
        <v/>
      </c>
      <c r="D1417" s="43" t="n">
        <v>877</v>
      </c>
      <c r="E1417" s="32">
        <f>IF(B1417="","",IFERROR(INDEX(Client_List!$C:$C,MATCH(VALUE(B1417),Client_List!$A:$A,0)),""))</f>
        <v/>
      </c>
      <c r="F1417" s="53">
        <f>IF(B1417="","",IFERROR(INDEX(Client_List!$D:$D,MATCH(VALUE(B1417),Client_List!$A:$A,0)),""))</f>
        <v/>
      </c>
      <c r="G1417" s="53">
        <f>IF(B1417="","",IFERROR(INDEX(Client_List!$K:$K,MATCH(VALUE(B1417),Client_List!$A:$A,0)),""))</f>
        <v/>
      </c>
      <c r="H1417" s="32">
        <f>IF(B1417="","",IFERROR(INDEX(Client_List!$J:$J,MATCH(VALUE(B1417),Client_List!$A:$A,0)),""))</f>
        <v/>
      </c>
      <c r="I1417" s="70">
        <f>IF(B1417="","",IFERROR(A1417-LOOKUP(2,1/($B$4:$B1416=B1417),$A$4:$A1416),""))</f>
        <v/>
      </c>
      <c r="J1417" s="32">
        <f>IF(B1417="","",IFERROR(D1417/I1417,""))</f>
        <v/>
      </c>
      <c r="K1417" s="71">
        <f>IF(B1417="","",IFERROR(AVERAGEIFS($J$4:$J1417,$B$4:$B1417,B1417,$J$4:$J1417,"&gt;"&amp;0),""))</f>
        <v/>
      </c>
      <c r="L1417" s="11" t="n"/>
    </row>
    <row r="1418" ht="14" customHeight="1" s="72">
      <c r="A1418" s="75" t="n">
        <v>46137</v>
      </c>
      <c r="B1418" s="76" t="n">
        <v>16027</v>
      </c>
      <c r="C1418" s="69">
        <f>IF(B1418="","",IFERROR(INDEX(Client_List!$B:$B,MATCH(B1418,Client_List!$A:$A,0)),"⚠ NOT FOUND"))</f>
        <v/>
      </c>
      <c r="D1418" s="43" t="n">
        <v>1087</v>
      </c>
      <c r="E1418" s="32">
        <f>IF(B1418="","",IFERROR(INDEX(Client_List!$C:$C,MATCH(VALUE(B1418),Client_List!$A:$A,0)),""))</f>
        <v/>
      </c>
      <c r="F1418" s="53">
        <f>IF(B1418="","",IFERROR(INDEX(Client_List!$D:$D,MATCH(VALUE(B1418),Client_List!$A:$A,0)),""))</f>
        <v/>
      </c>
      <c r="G1418" s="53">
        <f>IF(B1418="","",IFERROR(INDEX(Client_List!$K:$K,MATCH(VALUE(B1418),Client_List!$A:$A,0)),""))</f>
        <v/>
      </c>
      <c r="H1418" s="32">
        <f>IF(B1418="","",IFERROR(INDEX(Client_List!$J:$J,MATCH(VALUE(B1418),Client_List!$A:$A,0)),""))</f>
        <v/>
      </c>
      <c r="I1418" s="70">
        <f>IF(B1418="","",IFERROR(A1418-LOOKUP(2,1/($B$4:$B1417=B1418),$A$4:$A1417),""))</f>
        <v/>
      </c>
      <c r="J1418" s="32">
        <f>IF(B1418="","",IFERROR(D1418/I1418,""))</f>
        <v/>
      </c>
      <c r="K1418" s="71">
        <f>IF(B1418="","",IFERROR(AVERAGEIFS($J$4:$J1418,$B$4:$B1418,B1418,$J$4:$J1418,"&gt;"&amp;0),""))</f>
        <v/>
      </c>
      <c r="L1418" s="12" t="n"/>
    </row>
    <row r="1419" ht="14" customHeight="1" s="72">
      <c r="A1419" s="75" t="n">
        <v>46137</v>
      </c>
      <c r="B1419" s="76" t="n">
        <v>19039</v>
      </c>
      <c r="C1419" s="69">
        <f>IF(B1419="","",IFERROR(INDEX(Client_List!$B:$B,MATCH(B1419,Client_List!$A:$A,0)),"⚠ NOT FOUND"))</f>
        <v/>
      </c>
      <c r="D1419" s="43" t="n">
        <v>740</v>
      </c>
      <c r="E1419" s="32">
        <f>IF(B1419="","",IFERROR(INDEX(Client_List!$C:$C,MATCH(VALUE(B1419),Client_List!$A:$A,0)),""))</f>
        <v/>
      </c>
      <c r="F1419" s="53">
        <f>IF(B1419="","",IFERROR(INDEX(Client_List!$D:$D,MATCH(VALUE(B1419),Client_List!$A:$A,0)),""))</f>
        <v/>
      </c>
      <c r="G1419" s="53">
        <f>IF(B1419="","",IFERROR(INDEX(Client_List!$K:$K,MATCH(VALUE(B1419),Client_List!$A:$A,0)),""))</f>
        <v/>
      </c>
      <c r="H1419" s="32">
        <f>IF(B1419="","",IFERROR(INDEX(Client_List!$J:$J,MATCH(VALUE(B1419),Client_List!$A:$A,0)),""))</f>
        <v/>
      </c>
      <c r="I1419" s="70">
        <f>IF(B1419="","",IFERROR(A1419-LOOKUP(2,1/($B$4:$B1418=B1419),$A$4:$A1418),""))</f>
        <v/>
      </c>
      <c r="J1419" s="32">
        <f>IF(B1419="","",IFERROR(D1419/I1419,""))</f>
        <v/>
      </c>
      <c r="K1419" s="71">
        <f>IF(B1419="","",IFERROR(AVERAGEIFS($J$4:$J1419,$B$4:$B1419,B1419,$J$4:$J1419,"&gt;"&amp;0),""))</f>
        <v/>
      </c>
      <c r="L1419" s="11" t="n"/>
    </row>
    <row r="1420" ht="14" customHeight="1" s="72">
      <c r="A1420" s="75" t="n">
        <v>46140</v>
      </c>
      <c r="B1420" s="76" t="n">
        <v>1001</v>
      </c>
      <c r="C1420" s="69">
        <f>IF(B1420="","",IFERROR(INDEX(Client_List!$B:$B,MATCH(B1420,Client_List!$A:$A,0)),"⚠ NOT FOUND"))</f>
        <v/>
      </c>
      <c r="D1420" s="43" t="n">
        <v>720</v>
      </c>
      <c r="E1420" s="32">
        <f>IF(B1420="","",IFERROR(INDEX(Client_List!$C:$C,MATCH(VALUE(B1420),Client_List!$A:$A,0)),""))</f>
        <v/>
      </c>
      <c r="F1420" s="53">
        <f>IF(B1420="","",IFERROR(INDEX(Client_List!$D:$D,MATCH(VALUE(B1420),Client_List!$A:$A,0)),""))</f>
        <v/>
      </c>
      <c r="G1420" s="53">
        <f>IF(B1420="","",IFERROR(INDEX(Client_List!$K:$K,MATCH(VALUE(B1420),Client_List!$A:$A,0)),""))</f>
        <v/>
      </c>
      <c r="H1420" s="32">
        <f>IF(B1420="","",IFERROR(INDEX(Client_List!$J:$J,MATCH(VALUE(B1420),Client_List!$A:$A,0)),""))</f>
        <v/>
      </c>
      <c r="I1420" s="70">
        <f>IF(B1420="","",IFERROR(A1420-LOOKUP(2,1/($B$4:$B1419=B1420),$A$4:$A1419),""))</f>
        <v/>
      </c>
      <c r="J1420" s="32">
        <f>IF(B1420="","",IFERROR(D1420/I1420,""))</f>
        <v/>
      </c>
      <c r="K1420" s="71">
        <f>IF(B1420="","",IFERROR(AVERAGEIFS($J$4:$J1420,$B$4:$B1420,B1420,$J$4:$J1420,"&gt;"&amp;0),""))</f>
        <v/>
      </c>
      <c r="L1420" s="12" t="n"/>
    </row>
    <row r="1421" ht="14" customHeight="1" s="72">
      <c r="A1421" s="75" t="n">
        <v>46140</v>
      </c>
      <c r="B1421" s="76" t="n">
        <v>1083</v>
      </c>
      <c r="C1421" s="69">
        <f>IF(B1421="","",IFERROR(INDEX(Client_List!$B:$B,MATCH(B1421,Client_List!$A:$A,0)),"⚠ NOT FOUND"))</f>
        <v/>
      </c>
      <c r="D1421" s="43" t="n">
        <v>237</v>
      </c>
      <c r="E1421" s="32">
        <f>IF(B1421="","",IFERROR(INDEX(Client_List!$C:$C,MATCH(VALUE(B1421),Client_List!$A:$A,0)),""))</f>
        <v/>
      </c>
      <c r="F1421" s="53">
        <f>IF(B1421="","",IFERROR(INDEX(Client_List!$D:$D,MATCH(VALUE(B1421),Client_List!$A:$A,0)),""))</f>
        <v/>
      </c>
      <c r="G1421" s="53">
        <f>IF(B1421="","",IFERROR(INDEX(Client_List!$K:$K,MATCH(VALUE(B1421),Client_List!$A:$A,0)),""))</f>
        <v/>
      </c>
      <c r="H1421" s="32">
        <f>IF(B1421="","",IFERROR(INDEX(Client_List!$J:$J,MATCH(VALUE(B1421),Client_List!$A:$A,0)),""))</f>
        <v/>
      </c>
      <c r="I1421" s="70">
        <f>IF(B1421="","",IFERROR(A1421-LOOKUP(2,1/($B$4:$B1420=B1421),$A$4:$A1420),""))</f>
        <v/>
      </c>
      <c r="J1421" s="32">
        <f>IF(B1421="","",IFERROR(D1421/I1421,""))</f>
        <v/>
      </c>
      <c r="K1421" s="71">
        <f>IF(B1421="","",IFERROR(AVERAGEIFS($J$4:$J1421,$B$4:$B1421,B1421,$J$4:$J1421,"&gt;"&amp;0),""))</f>
        <v/>
      </c>
      <c r="L1421" s="11" t="n"/>
    </row>
    <row r="1422" ht="14" customHeight="1" s="72">
      <c r="A1422" s="75" t="n">
        <v>46140</v>
      </c>
      <c r="B1422" s="76" t="n">
        <v>2016</v>
      </c>
      <c r="C1422" s="69">
        <f>IF(B1422="","",IFERROR(INDEX(Client_List!$B:$B,MATCH(B1422,Client_List!$A:$A,0)),"⚠ NOT FOUND"))</f>
        <v/>
      </c>
      <c r="D1422" s="43" t="n">
        <v>554</v>
      </c>
      <c r="E1422" s="32">
        <f>IF(B1422="","",IFERROR(INDEX(Client_List!$C:$C,MATCH(VALUE(B1422),Client_List!$A:$A,0)),""))</f>
        <v/>
      </c>
      <c r="F1422" s="53">
        <f>IF(B1422="","",IFERROR(INDEX(Client_List!$D:$D,MATCH(VALUE(B1422),Client_List!$A:$A,0)),""))</f>
        <v/>
      </c>
      <c r="G1422" s="53">
        <f>IF(B1422="","",IFERROR(INDEX(Client_List!$K:$K,MATCH(VALUE(B1422),Client_List!$A:$A,0)),""))</f>
        <v/>
      </c>
      <c r="H1422" s="32">
        <f>IF(B1422="","",IFERROR(INDEX(Client_List!$J:$J,MATCH(VALUE(B1422),Client_List!$A:$A,0)),""))</f>
        <v/>
      </c>
      <c r="I1422" s="70">
        <f>IF(B1422="","",IFERROR(A1422-LOOKUP(2,1/($B$4:$B1421=B1422),$A$4:$A1421),""))</f>
        <v/>
      </c>
      <c r="J1422" s="32">
        <f>IF(B1422="","",IFERROR(D1422/I1422,""))</f>
        <v/>
      </c>
      <c r="K1422" s="71">
        <f>IF(B1422="","",IFERROR(AVERAGEIFS($J$4:$J1422,$B$4:$B1422,B1422,$J$4:$J1422,"&gt;"&amp;0),""))</f>
        <v/>
      </c>
      <c r="L1422" s="12" t="n"/>
    </row>
    <row r="1423" ht="14" customHeight="1" s="72">
      <c r="A1423" s="75" t="n">
        <v>46140</v>
      </c>
      <c r="B1423" s="76" t="n">
        <v>2021</v>
      </c>
      <c r="C1423" s="69">
        <f>IF(B1423="","",IFERROR(INDEX(Client_List!$B:$B,MATCH(B1423,Client_List!$A:$A,0)),"⚠ NOT FOUND"))</f>
        <v/>
      </c>
      <c r="D1423" s="43" t="n">
        <v>403</v>
      </c>
      <c r="E1423" s="32">
        <f>IF(B1423="","",IFERROR(INDEX(Client_List!$C:$C,MATCH(VALUE(B1423),Client_List!$A:$A,0)),""))</f>
        <v/>
      </c>
      <c r="F1423" s="53">
        <f>IF(B1423="","",IFERROR(INDEX(Client_List!$D:$D,MATCH(VALUE(B1423),Client_List!$A:$A,0)),""))</f>
        <v/>
      </c>
      <c r="G1423" s="53">
        <f>IF(B1423="","",IFERROR(INDEX(Client_List!$K:$K,MATCH(VALUE(B1423),Client_List!$A:$A,0)),""))</f>
        <v/>
      </c>
      <c r="H1423" s="32">
        <f>IF(B1423="","",IFERROR(INDEX(Client_List!$J:$J,MATCH(VALUE(B1423),Client_List!$A:$A,0)),""))</f>
        <v/>
      </c>
      <c r="I1423" s="70">
        <f>IF(B1423="","",IFERROR(A1423-LOOKUP(2,1/($B$4:$B1422=B1423),$A$4:$A1422),""))</f>
        <v/>
      </c>
      <c r="J1423" s="32">
        <f>IF(B1423="","",IFERROR(D1423/I1423,""))</f>
        <v/>
      </c>
      <c r="K1423" s="71">
        <f>IF(B1423="","",IFERROR(AVERAGEIFS($J$4:$J1423,$B$4:$B1423,B1423,$J$4:$J1423,"&gt;"&amp;0),""))</f>
        <v/>
      </c>
      <c r="L1423" s="11" t="n"/>
    </row>
    <row r="1424" ht="14" customHeight="1" s="72">
      <c r="A1424" s="75" t="n">
        <v>46140</v>
      </c>
      <c r="B1424" s="76" t="n">
        <v>3021</v>
      </c>
      <c r="C1424" s="69">
        <f>IF(B1424="","",IFERROR(INDEX(Client_List!$B:$B,MATCH(B1424,Client_List!$A:$A,0)),"⚠ NOT FOUND"))</f>
        <v/>
      </c>
      <c r="D1424" s="43" t="n">
        <v>413</v>
      </c>
      <c r="E1424" s="32">
        <f>IF(B1424="","",IFERROR(INDEX(Client_List!$C:$C,MATCH(VALUE(B1424),Client_List!$A:$A,0)),""))</f>
        <v/>
      </c>
      <c r="F1424" s="53">
        <f>IF(B1424="","",IFERROR(INDEX(Client_List!$D:$D,MATCH(VALUE(B1424),Client_List!$A:$A,0)),""))</f>
        <v/>
      </c>
      <c r="G1424" s="53">
        <f>IF(B1424="","",IFERROR(INDEX(Client_List!$K:$K,MATCH(VALUE(B1424),Client_List!$A:$A,0)),""))</f>
        <v/>
      </c>
      <c r="H1424" s="32">
        <f>IF(B1424="","",IFERROR(INDEX(Client_List!$J:$J,MATCH(VALUE(B1424),Client_List!$A:$A,0)),""))</f>
        <v/>
      </c>
      <c r="I1424" s="70">
        <f>IF(B1424="","",IFERROR(A1424-LOOKUP(2,1/($B$4:$B1423=B1424),$A$4:$A1423),""))</f>
        <v/>
      </c>
      <c r="J1424" s="32">
        <f>IF(B1424="","",IFERROR(D1424/I1424,""))</f>
        <v/>
      </c>
      <c r="K1424" s="71">
        <f>IF(B1424="","",IFERROR(AVERAGEIFS($J$4:$J1424,$B$4:$B1424,B1424,$J$4:$J1424,"&gt;"&amp;0),""))</f>
        <v/>
      </c>
      <c r="L1424" s="12" t="n"/>
    </row>
    <row r="1425" ht="14" customHeight="1" s="72">
      <c r="A1425" s="75" t="n">
        <v>46140</v>
      </c>
      <c r="B1425" s="76" t="n">
        <v>6109</v>
      </c>
      <c r="C1425" s="69">
        <f>IF(B1425="","",IFERROR(INDEX(Client_List!$B:$B,MATCH(B1425,Client_List!$A:$A,0)),"⚠ NOT FOUND"))</f>
        <v/>
      </c>
      <c r="D1425" s="43" t="n">
        <v>591</v>
      </c>
      <c r="E1425" s="32">
        <f>IF(B1425="","",IFERROR(INDEX(Client_List!$C:$C,MATCH(VALUE(B1425),Client_List!$A:$A,0)),""))</f>
        <v/>
      </c>
      <c r="F1425" s="53">
        <f>IF(B1425="","",IFERROR(INDEX(Client_List!$D:$D,MATCH(VALUE(B1425),Client_List!$A:$A,0)),""))</f>
        <v/>
      </c>
      <c r="G1425" s="53">
        <f>IF(B1425="","",IFERROR(INDEX(Client_List!$K:$K,MATCH(VALUE(B1425),Client_List!$A:$A,0)),""))</f>
        <v/>
      </c>
      <c r="H1425" s="32">
        <f>IF(B1425="","",IFERROR(INDEX(Client_List!$J:$J,MATCH(VALUE(B1425),Client_List!$A:$A,0)),""))</f>
        <v/>
      </c>
      <c r="I1425" s="70">
        <f>IF(B1425="","",IFERROR(A1425-LOOKUP(2,1/($B$4:$B1424=B1425),$A$4:$A1424),""))</f>
        <v/>
      </c>
      <c r="J1425" s="32">
        <f>IF(B1425="","",IFERROR(D1425/I1425,""))</f>
        <v/>
      </c>
      <c r="K1425" s="71">
        <f>IF(B1425="","",IFERROR(AVERAGEIFS($J$4:$J1425,$B$4:$B1425,B1425,$J$4:$J1425,"&gt;"&amp;0),""))</f>
        <v/>
      </c>
      <c r="L1425" s="11" t="n"/>
    </row>
    <row r="1426" ht="14" customHeight="1" s="72">
      <c r="A1426" s="75" t="n">
        <v>46140</v>
      </c>
      <c r="B1426" s="76" t="n">
        <v>8031</v>
      </c>
      <c r="C1426" s="69">
        <f>IF(B1426="","",IFERROR(INDEX(Client_List!$B:$B,MATCH(B1426,Client_List!$A:$A,0)),"⚠ NOT FOUND"))</f>
        <v/>
      </c>
      <c r="D1426" s="43" t="n">
        <v>841</v>
      </c>
      <c r="E1426" s="32">
        <f>IF(B1426="","",IFERROR(INDEX(Client_List!$C:$C,MATCH(VALUE(B1426),Client_List!$A:$A,0)),""))</f>
        <v/>
      </c>
      <c r="F1426" s="53">
        <f>IF(B1426="","",IFERROR(INDEX(Client_List!$D:$D,MATCH(VALUE(B1426),Client_List!$A:$A,0)),""))</f>
        <v/>
      </c>
      <c r="G1426" s="53">
        <f>IF(B1426="","",IFERROR(INDEX(Client_List!$K:$K,MATCH(VALUE(B1426),Client_List!$A:$A,0)),""))</f>
        <v/>
      </c>
      <c r="H1426" s="32">
        <f>IF(B1426="","",IFERROR(INDEX(Client_List!$J:$J,MATCH(VALUE(B1426),Client_List!$A:$A,0)),""))</f>
        <v/>
      </c>
      <c r="I1426" s="70">
        <f>IF(B1426="","",IFERROR(A1426-LOOKUP(2,1/($B$4:$B1425=B1426),$A$4:$A1425),""))</f>
        <v/>
      </c>
      <c r="J1426" s="32">
        <f>IF(B1426="","",IFERROR(D1426/I1426,""))</f>
        <v/>
      </c>
      <c r="K1426" s="71">
        <f>IF(B1426="","",IFERROR(AVERAGEIFS($J$4:$J1426,$B$4:$B1426,B1426,$J$4:$J1426,"&gt;"&amp;0),""))</f>
        <v/>
      </c>
      <c r="L1426" s="12" t="n"/>
    </row>
    <row r="1427" ht="14" customHeight="1" s="72">
      <c r="A1427" s="75" t="n">
        <v>46140</v>
      </c>
      <c r="B1427" s="76" t="n">
        <v>12047</v>
      </c>
      <c r="C1427" s="69">
        <f>IF(B1427="","",IFERROR(INDEX(Client_List!$B:$B,MATCH(B1427,Client_List!$A:$A,0)),"⚠ NOT FOUND"))</f>
        <v/>
      </c>
      <c r="D1427" s="43" t="n">
        <v>652</v>
      </c>
      <c r="E1427" s="32">
        <f>IF(B1427="","",IFERROR(INDEX(Client_List!$C:$C,MATCH(VALUE(B1427),Client_List!$A:$A,0)),""))</f>
        <v/>
      </c>
      <c r="F1427" s="53">
        <f>IF(B1427="","",IFERROR(INDEX(Client_List!$D:$D,MATCH(VALUE(B1427),Client_List!$A:$A,0)),""))</f>
        <v/>
      </c>
      <c r="G1427" s="53">
        <f>IF(B1427="","",IFERROR(INDEX(Client_List!$K:$K,MATCH(VALUE(B1427),Client_List!$A:$A,0)),""))</f>
        <v/>
      </c>
      <c r="H1427" s="32">
        <f>IF(B1427="","",IFERROR(INDEX(Client_List!$J:$J,MATCH(VALUE(B1427),Client_List!$A:$A,0)),""))</f>
        <v/>
      </c>
      <c r="I1427" s="70">
        <f>IF(B1427="","",IFERROR(A1427-LOOKUP(2,1/($B$4:$B1426=B1427),$A$4:$A1426),""))</f>
        <v/>
      </c>
      <c r="J1427" s="32">
        <f>IF(B1427="","",IFERROR(D1427/I1427,""))</f>
        <v/>
      </c>
      <c r="K1427" s="71">
        <f>IF(B1427="","",IFERROR(AVERAGEIFS($J$4:$J1427,$B$4:$B1427,B1427,$J$4:$J1427,"&gt;"&amp;0),""))</f>
        <v/>
      </c>
      <c r="L1427" s="11" t="n"/>
    </row>
    <row r="1428" ht="14" customHeight="1" s="72">
      <c r="A1428" s="75" t="n">
        <v>46140</v>
      </c>
      <c r="B1428" s="76" t="n">
        <v>13069</v>
      </c>
      <c r="C1428" s="69">
        <f>IF(B1428="","",IFERROR(INDEX(Client_List!$B:$B,MATCH(B1428,Client_List!$A:$A,0)),"⚠ NOT FOUND"))</f>
        <v/>
      </c>
      <c r="D1428" s="43" t="n">
        <v>1002</v>
      </c>
      <c r="E1428" s="32">
        <f>IF(B1428="","",IFERROR(INDEX(Client_List!$C:$C,MATCH(VALUE(B1428),Client_List!$A:$A,0)),""))</f>
        <v/>
      </c>
      <c r="F1428" s="53">
        <f>IF(B1428="","",IFERROR(INDEX(Client_List!$D:$D,MATCH(VALUE(B1428),Client_List!$A:$A,0)),""))</f>
        <v/>
      </c>
      <c r="G1428" s="53">
        <f>IF(B1428="","",IFERROR(INDEX(Client_List!$K:$K,MATCH(VALUE(B1428),Client_List!$A:$A,0)),""))</f>
        <v/>
      </c>
      <c r="H1428" s="32">
        <f>IF(B1428="","",IFERROR(INDEX(Client_List!$J:$J,MATCH(VALUE(B1428),Client_List!$A:$A,0)),""))</f>
        <v/>
      </c>
      <c r="I1428" s="70">
        <f>IF(B1428="","",IFERROR(A1428-LOOKUP(2,1/($B$4:$B1427=B1428),$A$4:$A1427),""))</f>
        <v/>
      </c>
      <c r="J1428" s="32">
        <f>IF(B1428="","",IFERROR(D1428/I1428,""))</f>
        <v/>
      </c>
      <c r="K1428" s="71">
        <f>IF(B1428="","",IFERROR(AVERAGEIFS($J$4:$J1428,$B$4:$B1428,B1428,$J$4:$J1428,"&gt;"&amp;0),""))</f>
        <v/>
      </c>
      <c r="L1428" s="12" t="n"/>
    </row>
    <row r="1429" ht="14" customHeight="1" s="72">
      <c r="A1429" s="75" t="n">
        <v>46140</v>
      </c>
      <c r="B1429" s="76" t="n">
        <v>18004</v>
      </c>
      <c r="C1429" s="69">
        <f>IF(B1429="","",IFERROR(INDEX(Client_List!$B:$B,MATCH(B1429,Client_List!$A:$A,0)),"⚠ NOT FOUND"))</f>
        <v/>
      </c>
      <c r="D1429" s="43" t="n">
        <v>764</v>
      </c>
      <c r="E1429" s="32">
        <f>IF(B1429="","",IFERROR(INDEX(Client_List!$C:$C,MATCH(VALUE(B1429),Client_List!$A:$A,0)),""))</f>
        <v/>
      </c>
      <c r="F1429" s="53">
        <f>IF(B1429="","",IFERROR(INDEX(Client_List!$D:$D,MATCH(VALUE(B1429),Client_List!$A:$A,0)),""))</f>
        <v/>
      </c>
      <c r="G1429" s="53">
        <f>IF(B1429="","",IFERROR(INDEX(Client_List!$K:$K,MATCH(VALUE(B1429),Client_List!$A:$A,0)),""))</f>
        <v/>
      </c>
      <c r="H1429" s="32">
        <f>IF(B1429="","",IFERROR(INDEX(Client_List!$J:$J,MATCH(VALUE(B1429),Client_List!$A:$A,0)),""))</f>
        <v/>
      </c>
      <c r="I1429" s="70">
        <f>IF(B1429="","",IFERROR(A1429-LOOKUP(2,1/($B$4:$B1428=B1429),$A$4:$A1428),""))</f>
        <v/>
      </c>
      <c r="J1429" s="32">
        <f>IF(B1429="","",IFERROR(D1429/I1429,""))</f>
        <v/>
      </c>
      <c r="K1429" s="71">
        <f>IF(B1429="","",IFERROR(AVERAGEIFS($J$4:$J1429,$B$4:$B1429,B1429,$J$4:$J1429,"&gt;"&amp;0),""))</f>
        <v/>
      </c>
      <c r="L1429" s="11" t="n"/>
    </row>
    <row r="1430" ht="14" customHeight="1" s="72">
      <c r="A1430" s="75" t="n">
        <v>46140</v>
      </c>
      <c r="B1430" s="76" t="n">
        <v>19035</v>
      </c>
      <c r="C1430" s="69">
        <f>IF(B1430="","",IFERROR(INDEX(Client_List!$B:$B,MATCH(B1430,Client_List!$A:$A,0)),"⚠ NOT FOUND"))</f>
        <v/>
      </c>
      <c r="D1430" s="43" t="n">
        <v>300</v>
      </c>
      <c r="E1430" s="32">
        <f>IF(B1430="","",IFERROR(INDEX(Client_List!$C:$C,MATCH(VALUE(B1430),Client_List!$A:$A,0)),""))</f>
        <v/>
      </c>
      <c r="F1430" s="53">
        <f>IF(B1430="","",IFERROR(INDEX(Client_List!$D:$D,MATCH(VALUE(B1430),Client_List!$A:$A,0)),""))</f>
        <v/>
      </c>
      <c r="G1430" s="53">
        <f>IF(B1430="","",IFERROR(INDEX(Client_List!$K:$K,MATCH(VALUE(B1430),Client_List!$A:$A,0)),""))</f>
        <v/>
      </c>
      <c r="H1430" s="32">
        <f>IF(B1430="","",IFERROR(INDEX(Client_List!$J:$J,MATCH(VALUE(B1430),Client_List!$A:$A,0)),""))</f>
        <v/>
      </c>
      <c r="I1430" s="70">
        <f>IF(B1430="","",IFERROR(A1430-LOOKUP(2,1/($B$4:$B1429=B1430),$A$4:$A1429),""))</f>
        <v/>
      </c>
      <c r="J1430" s="32">
        <f>IF(B1430="","",IFERROR(D1430/I1430,""))</f>
        <v/>
      </c>
      <c r="K1430" s="71">
        <f>IF(B1430="","",IFERROR(AVERAGEIFS($J$4:$J1430,$B$4:$B1430,B1430,$J$4:$J1430,"&gt;"&amp;0),""))</f>
        <v/>
      </c>
      <c r="L1430" s="12" t="n"/>
    </row>
    <row r="1431" ht="14" customHeight="1" s="72">
      <c r="A1431" s="75" t="n">
        <v>46140</v>
      </c>
      <c r="B1431" s="76" t="n">
        <v>20077</v>
      </c>
      <c r="C1431" s="69">
        <f>IF(B1431="","",IFERROR(INDEX(Client_List!$B:$B,MATCH(B1431,Client_List!$A:$A,0)),"⚠ NOT FOUND"))</f>
        <v/>
      </c>
      <c r="D1431" s="43" t="n">
        <v>631</v>
      </c>
      <c r="E1431" s="32">
        <f>IF(B1431="","",IFERROR(INDEX(Client_List!$C:$C,MATCH(VALUE(B1431),Client_List!$A:$A,0)),""))</f>
        <v/>
      </c>
      <c r="F1431" s="53">
        <f>IF(B1431="","",IFERROR(INDEX(Client_List!$D:$D,MATCH(VALUE(B1431),Client_List!$A:$A,0)),""))</f>
        <v/>
      </c>
      <c r="G1431" s="53">
        <f>IF(B1431="","",IFERROR(INDEX(Client_List!$K:$K,MATCH(VALUE(B1431),Client_List!$A:$A,0)),""))</f>
        <v/>
      </c>
      <c r="H1431" s="32">
        <f>IF(B1431="","",IFERROR(INDEX(Client_List!$J:$J,MATCH(VALUE(B1431),Client_List!$A:$A,0)),""))</f>
        <v/>
      </c>
      <c r="I1431" s="70">
        <f>IF(B1431="","",IFERROR(A1431-LOOKUP(2,1/($B$4:$B1430=B1431),$A$4:$A1430),""))</f>
        <v/>
      </c>
      <c r="J1431" s="32">
        <f>IF(B1431="","",IFERROR(D1431/I1431,""))</f>
        <v/>
      </c>
      <c r="K1431" s="71">
        <f>IF(B1431="","",IFERROR(AVERAGEIFS($J$4:$J1431,$B$4:$B1431,B1431,$J$4:$J1431,"&gt;"&amp;0),""))</f>
        <v/>
      </c>
      <c r="L1431" s="11" t="n"/>
    </row>
    <row r="1432" ht="14" customHeight="1" s="72">
      <c r="A1432" s="75" t="n">
        <v>46140</v>
      </c>
      <c r="B1432" s="76" t="n">
        <v>20088</v>
      </c>
      <c r="C1432" s="69">
        <f>IF(B1432="","",IFERROR(INDEX(Client_List!$B:$B,MATCH(B1432,Client_List!$A:$A,0)),"⚠ NOT FOUND"))</f>
        <v/>
      </c>
      <c r="D1432" s="43" t="n">
        <v>1039</v>
      </c>
      <c r="E1432" s="32">
        <f>IF(B1432="","",IFERROR(INDEX(Client_List!$C:$C,MATCH(VALUE(B1432),Client_List!$A:$A,0)),""))</f>
        <v/>
      </c>
      <c r="F1432" s="53">
        <f>IF(B1432="","",IFERROR(INDEX(Client_List!$D:$D,MATCH(VALUE(B1432),Client_List!$A:$A,0)),""))</f>
        <v/>
      </c>
      <c r="G1432" s="53">
        <f>IF(B1432="","",IFERROR(INDEX(Client_List!$K:$K,MATCH(VALUE(B1432),Client_List!$A:$A,0)),""))</f>
        <v/>
      </c>
      <c r="H1432" s="32">
        <f>IF(B1432="","",IFERROR(INDEX(Client_List!$J:$J,MATCH(VALUE(B1432),Client_List!$A:$A,0)),""))</f>
        <v/>
      </c>
      <c r="I1432" s="70">
        <f>IF(B1432="","",IFERROR(A1432-LOOKUP(2,1/($B$4:$B1431=B1432),$A$4:$A1431),""))</f>
        <v/>
      </c>
      <c r="J1432" s="32">
        <f>IF(B1432="","",IFERROR(D1432/I1432,""))</f>
        <v/>
      </c>
      <c r="K1432" s="71">
        <f>IF(B1432="","",IFERROR(AVERAGEIFS($J$4:$J1432,$B$4:$B1432,B1432,$J$4:$J1432,"&gt;"&amp;0),""))</f>
        <v/>
      </c>
      <c r="L1432" s="12" t="n"/>
    </row>
    <row r="1433" ht="14" customHeight="1" s="72">
      <c r="A1433" s="75" t="n">
        <v>46141</v>
      </c>
      <c r="B1433" s="76" t="n">
        <v>1013</v>
      </c>
      <c r="C1433" s="69">
        <f>IF(B1433="","",IFERROR(INDEX(Client_List!$B:$B,MATCH(B1433,Client_List!$A:$A,0)),"⚠ NOT FOUND"))</f>
        <v/>
      </c>
      <c r="D1433" s="43" t="n">
        <v>640</v>
      </c>
      <c r="E1433" s="32">
        <f>IF(B1433="","",IFERROR(INDEX(Client_List!$C:$C,MATCH(VALUE(B1433),Client_List!$A:$A,0)),""))</f>
        <v/>
      </c>
      <c r="F1433" s="53">
        <f>IF(B1433="","",IFERROR(INDEX(Client_List!$D:$D,MATCH(VALUE(B1433),Client_List!$A:$A,0)),""))</f>
        <v/>
      </c>
      <c r="G1433" s="53">
        <f>IF(B1433="","",IFERROR(INDEX(Client_List!$K:$K,MATCH(VALUE(B1433),Client_List!$A:$A,0)),""))</f>
        <v/>
      </c>
      <c r="H1433" s="32">
        <f>IF(B1433="","",IFERROR(INDEX(Client_List!$J:$J,MATCH(VALUE(B1433),Client_List!$A:$A,0)),""))</f>
        <v/>
      </c>
      <c r="I1433" s="70">
        <f>IF(B1433="","",IFERROR(A1433-LOOKUP(2,1/($B$4:$B1432=B1433),$A$4:$A1432),""))</f>
        <v/>
      </c>
      <c r="J1433" s="32">
        <f>IF(B1433="","",IFERROR(D1433/I1433,""))</f>
        <v/>
      </c>
      <c r="K1433" s="71">
        <f>IF(B1433="","",IFERROR(AVERAGEIFS($J$4:$J1433,$B$4:$B1433,B1433,$J$4:$J1433,"&gt;"&amp;0),""))</f>
        <v/>
      </c>
      <c r="L1433" s="11" t="n"/>
    </row>
    <row r="1434" ht="14" customHeight="1" s="72">
      <c r="A1434" s="75" t="n">
        <v>46141</v>
      </c>
      <c r="B1434" s="76" t="n">
        <v>1018</v>
      </c>
      <c r="C1434" s="69">
        <f>IF(B1434="","",IFERROR(INDEX(Client_List!$B:$B,MATCH(B1434,Client_List!$A:$A,0)),"⚠ NOT FOUND"))</f>
        <v/>
      </c>
      <c r="D1434" s="43" t="n">
        <v>1004</v>
      </c>
      <c r="E1434" s="32">
        <f>IF(B1434="","",IFERROR(INDEX(Client_List!$C:$C,MATCH(VALUE(B1434),Client_List!$A:$A,0)),""))</f>
        <v/>
      </c>
      <c r="F1434" s="53">
        <f>IF(B1434="","",IFERROR(INDEX(Client_List!$D:$D,MATCH(VALUE(B1434),Client_List!$A:$A,0)),""))</f>
        <v/>
      </c>
      <c r="G1434" s="53">
        <f>IF(B1434="","",IFERROR(INDEX(Client_List!$K:$K,MATCH(VALUE(B1434),Client_List!$A:$A,0)),""))</f>
        <v/>
      </c>
      <c r="H1434" s="32">
        <f>IF(B1434="","",IFERROR(INDEX(Client_List!$J:$J,MATCH(VALUE(B1434),Client_List!$A:$A,0)),""))</f>
        <v/>
      </c>
      <c r="I1434" s="70">
        <f>IF(B1434="","",IFERROR(A1434-LOOKUP(2,1/($B$4:$B1433=B1434),$A$4:$A1433),""))</f>
        <v/>
      </c>
      <c r="J1434" s="32">
        <f>IF(B1434="","",IFERROR(D1434/I1434,""))</f>
        <v/>
      </c>
      <c r="K1434" s="71">
        <f>IF(B1434="","",IFERROR(AVERAGEIFS($J$4:$J1434,$B$4:$B1434,B1434,$J$4:$J1434,"&gt;"&amp;0),""))</f>
        <v/>
      </c>
      <c r="L1434" s="12" t="n"/>
    </row>
    <row r="1435" ht="14" customHeight="1" s="72">
      <c r="A1435" s="75" t="n">
        <v>46141</v>
      </c>
      <c r="B1435" s="76" t="n">
        <v>1054</v>
      </c>
      <c r="C1435" s="69">
        <f>IF(B1435="","",IFERROR(INDEX(Client_List!$B:$B,MATCH(B1435,Client_List!$A:$A,0)),"⚠ NOT FOUND"))</f>
        <v/>
      </c>
      <c r="D1435" s="43" t="n">
        <v>466</v>
      </c>
      <c r="E1435" s="32">
        <f>IF(B1435="","",IFERROR(INDEX(Client_List!$C:$C,MATCH(VALUE(B1435),Client_List!$A:$A,0)),""))</f>
        <v/>
      </c>
      <c r="F1435" s="53">
        <f>IF(B1435="","",IFERROR(INDEX(Client_List!$D:$D,MATCH(VALUE(B1435),Client_List!$A:$A,0)),""))</f>
        <v/>
      </c>
      <c r="G1435" s="53">
        <f>IF(B1435="","",IFERROR(INDEX(Client_List!$K:$K,MATCH(VALUE(B1435),Client_List!$A:$A,0)),""))</f>
        <v/>
      </c>
      <c r="H1435" s="32">
        <f>IF(B1435="","",IFERROR(INDEX(Client_List!$J:$J,MATCH(VALUE(B1435),Client_List!$A:$A,0)),""))</f>
        <v/>
      </c>
      <c r="I1435" s="70">
        <f>IF(B1435="","",IFERROR(A1435-LOOKUP(2,1/($B$4:$B1434=B1435),$A$4:$A1434),""))</f>
        <v/>
      </c>
      <c r="J1435" s="32">
        <f>IF(B1435="","",IFERROR(D1435/I1435,""))</f>
        <v/>
      </c>
      <c r="K1435" s="71">
        <f>IF(B1435="","",IFERROR(AVERAGEIFS($J$4:$J1435,$B$4:$B1435,B1435,$J$4:$J1435,"&gt;"&amp;0),""))</f>
        <v/>
      </c>
      <c r="L1435" s="11" t="n"/>
    </row>
    <row r="1436" ht="14" customHeight="1" s="72">
      <c r="A1436" s="75" t="n">
        <v>46141</v>
      </c>
      <c r="B1436" s="76" t="n">
        <v>1081</v>
      </c>
      <c r="C1436" s="69">
        <f>IF(B1436="","",IFERROR(INDEX(Client_List!$B:$B,MATCH(B1436,Client_List!$A:$A,0)),"⚠ NOT FOUND"))</f>
        <v/>
      </c>
      <c r="D1436" s="43" t="n">
        <v>181</v>
      </c>
      <c r="E1436" s="32">
        <f>IF(B1436="","",IFERROR(INDEX(Client_List!$C:$C,MATCH(VALUE(B1436),Client_List!$A:$A,0)),""))</f>
        <v/>
      </c>
      <c r="F1436" s="53">
        <f>IF(B1436="","",IFERROR(INDEX(Client_List!$D:$D,MATCH(VALUE(B1436),Client_List!$A:$A,0)),""))</f>
        <v/>
      </c>
      <c r="G1436" s="53">
        <f>IF(B1436="","",IFERROR(INDEX(Client_List!$K:$K,MATCH(VALUE(B1436),Client_List!$A:$A,0)),""))</f>
        <v/>
      </c>
      <c r="H1436" s="32">
        <f>IF(B1436="","",IFERROR(INDEX(Client_List!$J:$J,MATCH(VALUE(B1436),Client_List!$A:$A,0)),""))</f>
        <v/>
      </c>
      <c r="I1436" s="70">
        <f>IF(B1436="","",IFERROR(A1436-LOOKUP(2,1/($B$4:$B1435=B1436),$A$4:$A1435),""))</f>
        <v/>
      </c>
      <c r="J1436" s="32">
        <f>IF(B1436="","",IFERROR(D1436/I1436,""))</f>
        <v/>
      </c>
      <c r="K1436" s="71">
        <f>IF(B1436="","",IFERROR(AVERAGEIFS($J$4:$J1436,$B$4:$B1436,B1436,$J$4:$J1436,"&gt;"&amp;0),""))</f>
        <v/>
      </c>
      <c r="L1436" s="12" t="n"/>
    </row>
    <row r="1437" ht="14" customHeight="1" s="72">
      <c r="A1437" s="75" t="n">
        <v>46141</v>
      </c>
      <c r="B1437" s="76" t="n">
        <v>2023</v>
      </c>
      <c r="C1437" s="69">
        <f>IF(B1437="","",IFERROR(INDEX(Client_List!$B:$B,MATCH(B1437,Client_List!$A:$A,0)),"⚠ NOT FOUND"))</f>
        <v/>
      </c>
      <c r="D1437" s="43" t="n">
        <v>545</v>
      </c>
      <c r="E1437" s="32">
        <f>IF(B1437="","",IFERROR(INDEX(Client_List!$C:$C,MATCH(VALUE(B1437),Client_List!$A:$A,0)),""))</f>
        <v/>
      </c>
      <c r="F1437" s="53">
        <f>IF(B1437="","",IFERROR(INDEX(Client_List!$D:$D,MATCH(VALUE(B1437),Client_List!$A:$A,0)),""))</f>
        <v/>
      </c>
      <c r="G1437" s="53">
        <f>IF(B1437="","",IFERROR(INDEX(Client_List!$K:$K,MATCH(VALUE(B1437),Client_List!$A:$A,0)),""))</f>
        <v/>
      </c>
      <c r="H1437" s="32">
        <f>IF(B1437="","",IFERROR(INDEX(Client_List!$J:$J,MATCH(VALUE(B1437),Client_List!$A:$A,0)),""))</f>
        <v/>
      </c>
      <c r="I1437" s="70">
        <f>IF(B1437="","",IFERROR(A1437-LOOKUP(2,1/($B$4:$B1436=B1437),$A$4:$A1436),""))</f>
        <v/>
      </c>
      <c r="J1437" s="32">
        <f>IF(B1437="","",IFERROR(D1437/I1437,""))</f>
        <v/>
      </c>
      <c r="K1437" s="71">
        <f>IF(B1437="","",IFERROR(AVERAGEIFS($J$4:$J1437,$B$4:$B1437,B1437,$J$4:$J1437,"&gt;"&amp;0),""))</f>
        <v/>
      </c>
      <c r="L1437" s="11" t="n"/>
    </row>
    <row r="1438" ht="14" customHeight="1" s="72">
      <c r="A1438" s="75" t="n">
        <v>46141</v>
      </c>
      <c r="B1438" s="76" t="n">
        <v>2073</v>
      </c>
      <c r="C1438" s="69">
        <f>IF(B1438="","",IFERROR(INDEX(Client_List!$B:$B,MATCH(B1438,Client_List!$A:$A,0)),"⚠ NOT FOUND"))</f>
        <v/>
      </c>
      <c r="D1438" s="43" t="n">
        <v>286</v>
      </c>
      <c r="E1438" s="32">
        <f>IF(B1438="","",IFERROR(INDEX(Client_List!$C:$C,MATCH(VALUE(B1438),Client_List!$A:$A,0)),""))</f>
        <v/>
      </c>
      <c r="F1438" s="53">
        <f>IF(B1438="","",IFERROR(INDEX(Client_List!$D:$D,MATCH(VALUE(B1438),Client_List!$A:$A,0)),""))</f>
        <v/>
      </c>
      <c r="G1438" s="53">
        <f>IF(B1438="","",IFERROR(INDEX(Client_List!$K:$K,MATCH(VALUE(B1438),Client_List!$A:$A,0)),""))</f>
        <v/>
      </c>
      <c r="H1438" s="32">
        <f>IF(B1438="","",IFERROR(INDEX(Client_List!$J:$J,MATCH(VALUE(B1438),Client_List!$A:$A,0)),""))</f>
        <v/>
      </c>
      <c r="I1438" s="70">
        <f>IF(B1438="","",IFERROR(A1438-LOOKUP(2,1/($B$4:$B1437=B1438),$A$4:$A1437),""))</f>
        <v/>
      </c>
      <c r="J1438" s="32">
        <f>IF(B1438="","",IFERROR(D1438/I1438,""))</f>
        <v/>
      </c>
      <c r="K1438" s="71">
        <f>IF(B1438="","",IFERROR(AVERAGEIFS($J$4:$J1438,$B$4:$B1438,B1438,$J$4:$J1438,"&gt;"&amp;0),""))</f>
        <v/>
      </c>
      <c r="L1438" s="12" t="n"/>
    </row>
    <row r="1439" ht="14" customHeight="1" s="72">
      <c r="A1439" s="75" t="n">
        <v>46141</v>
      </c>
      <c r="B1439" s="76" t="n">
        <v>7053</v>
      </c>
      <c r="C1439" s="69">
        <f>IF(B1439="","",IFERROR(INDEX(Client_List!$B:$B,MATCH(B1439,Client_List!$A:$A,0)),"⚠ NOT FOUND"))</f>
        <v/>
      </c>
      <c r="D1439" s="43" t="n">
        <v>254</v>
      </c>
      <c r="E1439" s="32">
        <f>IF(B1439="","",IFERROR(INDEX(Client_List!$C:$C,MATCH(VALUE(B1439),Client_List!$A:$A,0)),""))</f>
        <v/>
      </c>
      <c r="F1439" s="53">
        <f>IF(B1439="","",IFERROR(INDEX(Client_List!$D:$D,MATCH(VALUE(B1439),Client_List!$A:$A,0)),""))</f>
        <v/>
      </c>
      <c r="G1439" s="53">
        <f>IF(B1439="","",IFERROR(INDEX(Client_List!$K:$K,MATCH(VALUE(B1439),Client_List!$A:$A,0)),""))</f>
        <v/>
      </c>
      <c r="H1439" s="32">
        <f>IF(B1439="","",IFERROR(INDEX(Client_List!$J:$J,MATCH(VALUE(B1439),Client_List!$A:$A,0)),""))</f>
        <v/>
      </c>
      <c r="I1439" s="70">
        <f>IF(B1439="","",IFERROR(A1439-LOOKUP(2,1/($B$4:$B1438=B1439),$A$4:$A1438),""))</f>
        <v/>
      </c>
      <c r="J1439" s="32">
        <f>IF(B1439="","",IFERROR(D1439/I1439,""))</f>
        <v/>
      </c>
      <c r="K1439" s="71">
        <f>IF(B1439="","",IFERROR(AVERAGEIFS($J$4:$J1439,$B$4:$B1439,B1439,$J$4:$J1439,"&gt;"&amp;0),""))</f>
        <v/>
      </c>
      <c r="L1439" s="11" t="n"/>
    </row>
    <row r="1440" ht="14" customHeight="1" s="72">
      <c r="A1440" s="75" t="n">
        <v>46141</v>
      </c>
      <c r="B1440" s="76" t="n">
        <v>12050</v>
      </c>
      <c r="C1440" s="69">
        <f>IF(B1440="","",IFERROR(INDEX(Client_List!$B:$B,MATCH(B1440,Client_List!$A:$A,0)),"⚠ NOT FOUND"))</f>
        <v/>
      </c>
      <c r="D1440" s="43" t="n">
        <v>995</v>
      </c>
      <c r="E1440" s="32">
        <f>IF(B1440="","",IFERROR(INDEX(Client_List!$C:$C,MATCH(VALUE(B1440),Client_List!$A:$A,0)),""))</f>
        <v/>
      </c>
      <c r="F1440" s="53">
        <f>IF(B1440="","",IFERROR(INDEX(Client_List!$D:$D,MATCH(VALUE(B1440),Client_List!$A:$A,0)),""))</f>
        <v/>
      </c>
      <c r="G1440" s="53">
        <f>IF(B1440="","",IFERROR(INDEX(Client_List!$K:$K,MATCH(VALUE(B1440),Client_List!$A:$A,0)),""))</f>
        <v/>
      </c>
      <c r="H1440" s="32">
        <f>IF(B1440="","",IFERROR(INDEX(Client_List!$J:$J,MATCH(VALUE(B1440),Client_List!$A:$A,0)),""))</f>
        <v/>
      </c>
      <c r="I1440" s="70">
        <f>IF(B1440="","",IFERROR(A1440-LOOKUP(2,1/($B$4:$B1439=B1440),$A$4:$A1439),""))</f>
        <v/>
      </c>
      <c r="J1440" s="32">
        <f>IF(B1440="","",IFERROR(D1440/I1440,""))</f>
        <v/>
      </c>
      <c r="K1440" s="71">
        <f>IF(B1440="","",IFERROR(AVERAGEIFS($J$4:$J1440,$B$4:$B1440,B1440,$J$4:$J1440,"&gt;"&amp;0),""))</f>
        <v/>
      </c>
      <c r="L1440" s="12" t="n"/>
    </row>
    <row r="1441" ht="14" customHeight="1" s="72">
      <c r="A1441" s="75" t="n">
        <v>46141</v>
      </c>
      <c r="B1441" s="76" t="n">
        <v>13009</v>
      </c>
      <c r="C1441" s="69">
        <f>IF(B1441="","",IFERROR(INDEX(Client_List!$B:$B,MATCH(B1441,Client_List!$A:$A,0)),"⚠ NOT FOUND"))</f>
        <v/>
      </c>
      <c r="D1441" s="43" t="n">
        <v>1005</v>
      </c>
      <c r="E1441" s="32">
        <f>IF(B1441="","",IFERROR(INDEX(Client_List!$C:$C,MATCH(VALUE(B1441),Client_List!$A:$A,0)),""))</f>
        <v/>
      </c>
      <c r="F1441" s="53">
        <f>IF(B1441="","",IFERROR(INDEX(Client_List!$D:$D,MATCH(VALUE(B1441),Client_List!$A:$A,0)),""))</f>
        <v/>
      </c>
      <c r="G1441" s="53">
        <f>IF(B1441="","",IFERROR(INDEX(Client_List!$K:$K,MATCH(VALUE(B1441),Client_List!$A:$A,0)),""))</f>
        <v/>
      </c>
      <c r="H1441" s="32">
        <f>IF(B1441="","",IFERROR(INDEX(Client_List!$J:$J,MATCH(VALUE(B1441),Client_List!$A:$A,0)),""))</f>
        <v/>
      </c>
      <c r="I1441" s="70">
        <f>IF(B1441="","",IFERROR(A1441-LOOKUP(2,1/($B$4:$B1440=B1441),$A$4:$A1440),""))</f>
        <v/>
      </c>
      <c r="J1441" s="32">
        <f>IF(B1441="","",IFERROR(D1441/I1441,""))</f>
        <v/>
      </c>
      <c r="K1441" s="71">
        <f>IF(B1441="","",IFERROR(AVERAGEIFS($J$4:$J1441,$B$4:$B1441,B1441,$J$4:$J1441,"&gt;"&amp;0),""))</f>
        <v/>
      </c>
      <c r="L1441" s="11" t="n"/>
    </row>
    <row r="1442" ht="14" customHeight="1" s="72">
      <c r="A1442" s="75" t="n">
        <v>46141</v>
      </c>
      <c r="B1442" s="76" t="n">
        <v>13013</v>
      </c>
      <c r="C1442" s="69">
        <f>IF(B1442="","",IFERROR(INDEX(Client_List!$B:$B,MATCH(B1442,Client_List!$A:$A,0)),"⚠ NOT FOUND"))</f>
        <v/>
      </c>
      <c r="D1442" s="43" t="n">
        <v>981</v>
      </c>
      <c r="E1442" s="32">
        <f>IF(B1442="","",IFERROR(INDEX(Client_List!$C:$C,MATCH(VALUE(B1442),Client_List!$A:$A,0)),""))</f>
        <v/>
      </c>
      <c r="F1442" s="53">
        <f>IF(B1442="","",IFERROR(INDEX(Client_List!$D:$D,MATCH(VALUE(B1442),Client_List!$A:$A,0)),""))</f>
        <v/>
      </c>
      <c r="G1442" s="53">
        <f>IF(B1442="","",IFERROR(INDEX(Client_List!$K:$K,MATCH(VALUE(B1442),Client_List!$A:$A,0)),""))</f>
        <v/>
      </c>
      <c r="H1442" s="32">
        <f>IF(B1442="","",IFERROR(INDEX(Client_List!$J:$J,MATCH(VALUE(B1442),Client_List!$A:$A,0)),""))</f>
        <v/>
      </c>
      <c r="I1442" s="70">
        <f>IF(B1442="","",IFERROR(A1442-LOOKUP(2,1/($B$4:$B1441=B1442),$A$4:$A1441),""))</f>
        <v/>
      </c>
      <c r="J1442" s="32">
        <f>IF(B1442="","",IFERROR(D1442/I1442,""))</f>
        <v/>
      </c>
      <c r="K1442" s="71">
        <f>IF(B1442="","",IFERROR(AVERAGEIFS($J$4:$J1442,$B$4:$B1442,B1442,$J$4:$J1442,"&gt;"&amp;0),""))</f>
        <v/>
      </c>
      <c r="L1442" s="12" t="n"/>
    </row>
    <row r="1443" ht="14" customHeight="1" s="72">
      <c r="A1443" s="75" t="n">
        <v>46141</v>
      </c>
      <c r="B1443" s="76" t="n">
        <v>13086</v>
      </c>
      <c r="C1443" s="69">
        <f>IF(B1443="","",IFERROR(INDEX(Client_List!$B:$B,MATCH(B1443,Client_List!$A:$A,0)),"⚠ NOT FOUND"))</f>
        <v/>
      </c>
      <c r="D1443" s="43" t="n">
        <v>351</v>
      </c>
      <c r="E1443" s="32">
        <f>IF(B1443="","",IFERROR(INDEX(Client_List!$C:$C,MATCH(VALUE(B1443),Client_List!$A:$A,0)),""))</f>
        <v/>
      </c>
      <c r="F1443" s="53">
        <f>IF(B1443="","",IFERROR(INDEX(Client_List!$D:$D,MATCH(VALUE(B1443),Client_List!$A:$A,0)),""))</f>
        <v/>
      </c>
      <c r="G1443" s="53">
        <f>IF(B1443="","",IFERROR(INDEX(Client_List!$K:$K,MATCH(VALUE(B1443),Client_List!$A:$A,0)),""))</f>
        <v/>
      </c>
      <c r="H1443" s="32">
        <f>IF(B1443="","",IFERROR(INDEX(Client_List!$J:$J,MATCH(VALUE(B1443),Client_List!$A:$A,0)),""))</f>
        <v/>
      </c>
      <c r="I1443" s="70">
        <f>IF(B1443="","",IFERROR(A1443-LOOKUP(2,1/($B$4:$B1442=B1443),$A$4:$A1442),""))</f>
        <v/>
      </c>
      <c r="J1443" s="32">
        <f>IF(B1443="","",IFERROR(D1443/I1443,""))</f>
        <v/>
      </c>
      <c r="K1443" s="71">
        <f>IF(B1443="","",IFERROR(AVERAGEIFS($J$4:$J1443,$B$4:$B1443,B1443,$J$4:$J1443,"&gt;"&amp;0),""))</f>
        <v/>
      </c>
      <c r="L1443" s="11" t="n"/>
    </row>
    <row r="1444" ht="14" customHeight="1" s="72">
      <c r="A1444" s="75" t="n">
        <v>46141</v>
      </c>
      <c r="B1444" s="76" t="n">
        <v>15001</v>
      </c>
      <c r="C1444" s="69">
        <f>IF(B1444="","",IFERROR(INDEX(Client_List!$B:$B,MATCH(B1444,Client_List!$A:$A,0)),"⚠ NOT FOUND"))</f>
        <v/>
      </c>
      <c r="D1444" s="43" t="n">
        <v>1061</v>
      </c>
      <c r="E1444" s="32">
        <f>IF(B1444="","",IFERROR(INDEX(Client_List!$C:$C,MATCH(VALUE(B1444),Client_List!$A:$A,0)),""))</f>
        <v/>
      </c>
      <c r="F1444" s="53">
        <f>IF(B1444="","",IFERROR(INDEX(Client_List!$D:$D,MATCH(VALUE(B1444),Client_List!$A:$A,0)),""))</f>
        <v/>
      </c>
      <c r="G1444" s="53">
        <f>IF(B1444="","",IFERROR(INDEX(Client_List!$K:$K,MATCH(VALUE(B1444),Client_List!$A:$A,0)),""))</f>
        <v/>
      </c>
      <c r="H1444" s="32">
        <f>IF(B1444="","",IFERROR(INDEX(Client_List!$J:$J,MATCH(VALUE(B1444),Client_List!$A:$A,0)),""))</f>
        <v/>
      </c>
      <c r="I1444" s="70">
        <f>IF(B1444="","",IFERROR(A1444-LOOKUP(2,1/($B$4:$B1443=B1444),$A$4:$A1443),""))</f>
        <v/>
      </c>
      <c r="J1444" s="32">
        <f>IF(B1444="","",IFERROR(D1444/I1444,""))</f>
        <v/>
      </c>
      <c r="K1444" s="71">
        <f>IF(B1444="","",IFERROR(AVERAGEIFS($J$4:$J1444,$B$4:$B1444,B1444,$J$4:$J1444,"&gt;"&amp;0),""))</f>
        <v/>
      </c>
      <c r="L1444" s="12" t="n"/>
    </row>
    <row r="1445" ht="14" customHeight="1" s="72">
      <c r="A1445" s="75" t="n">
        <v>46141</v>
      </c>
      <c r="B1445" s="76" t="n">
        <v>15035</v>
      </c>
      <c r="C1445" s="69">
        <f>IF(B1445="","",IFERROR(INDEX(Client_List!$B:$B,MATCH(B1445,Client_List!$A:$A,0)),"⚠ NOT FOUND"))</f>
        <v/>
      </c>
      <c r="D1445" s="43" t="n">
        <v>1285</v>
      </c>
      <c r="E1445" s="32">
        <f>IF(B1445="","",IFERROR(INDEX(Client_List!$C:$C,MATCH(VALUE(B1445),Client_List!$A:$A,0)),""))</f>
        <v/>
      </c>
      <c r="F1445" s="53">
        <f>IF(B1445="","",IFERROR(INDEX(Client_List!$D:$D,MATCH(VALUE(B1445),Client_List!$A:$A,0)),""))</f>
        <v/>
      </c>
      <c r="G1445" s="53">
        <f>IF(B1445="","",IFERROR(INDEX(Client_List!$K:$K,MATCH(VALUE(B1445),Client_List!$A:$A,0)),""))</f>
        <v/>
      </c>
      <c r="H1445" s="32">
        <f>IF(B1445="","",IFERROR(INDEX(Client_List!$J:$J,MATCH(VALUE(B1445),Client_List!$A:$A,0)),""))</f>
        <v/>
      </c>
      <c r="I1445" s="70">
        <f>IF(B1445="","",IFERROR(A1445-LOOKUP(2,1/($B$4:$B1444=B1445),$A$4:$A1444),""))</f>
        <v/>
      </c>
      <c r="J1445" s="32">
        <f>IF(B1445="","",IFERROR(D1445/I1445,""))</f>
        <v/>
      </c>
      <c r="K1445" s="71">
        <f>IF(B1445="","",IFERROR(AVERAGEIFS($J$4:$J1445,$B$4:$B1445,B1445,$J$4:$J1445,"&gt;"&amp;0),""))</f>
        <v/>
      </c>
      <c r="L1445" s="11" t="n"/>
    </row>
    <row r="1446" ht="14" customHeight="1" s="72">
      <c r="A1446" s="75" t="n">
        <v>46141</v>
      </c>
      <c r="B1446" s="76" t="n">
        <v>16004</v>
      </c>
      <c r="C1446" s="69">
        <f>IF(B1446="","",IFERROR(INDEX(Client_List!$B:$B,MATCH(B1446,Client_List!$A:$A,0)),"⚠ NOT FOUND"))</f>
        <v/>
      </c>
      <c r="D1446" s="43" t="n">
        <v>550</v>
      </c>
      <c r="E1446" s="32">
        <f>IF(B1446="","",IFERROR(INDEX(Client_List!$C:$C,MATCH(VALUE(B1446),Client_List!$A:$A,0)),""))</f>
        <v/>
      </c>
      <c r="F1446" s="53">
        <f>IF(B1446="","",IFERROR(INDEX(Client_List!$D:$D,MATCH(VALUE(B1446),Client_List!$A:$A,0)),""))</f>
        <v/>
      </c>
      <c r="G1446" s="53">
        <f>IF(B1446="","",IFERROR(INDEX(Client_List!$K:$K,MATCH(VALUE(B1446),Client_List!$A:$A,0)),""))</f>
        <v/>
      </c>
      <c r="H1446" s="32">
        <f>IF(B1446="","",IFERROR(INDEX(Client_List!$J:$J,MATCH(VALUE(B1446),Client_List!$A:$A,0)),""))</f>
        <v/>
      </c>
      <c r="I1446" s="70">
        <f>IF(B1446="","",IFERROR(A1446-LOOKUP(2,1/($B$4:$B1445=B1446),$A$4:$A1445),""))</f>
        <v/>
      </c>
      <c r="J1446" s="32">
        <f>IF(B1446="","",IFERROR(D1446/I1446,""))</f>
        <v/>
      </c>
      <c r="K1446" s="71">
        <f>IF(B1446="","",IFERROR(AVERAGEIFS($J$4:$J1446,$B$4:$B1446,B1446,$J$4:$J1446,"&gt;"&amp;0),""))</f>
        <v/>
      </c>
      <c r="L1446" s="12" t="n"/>
    </row>
    <row r="1447" ht="14" customHeight="1" s="72">
      <c r="A1447" s="75" t="n">
        <v>46141</v>
      </c>
      <c r="B1447" s="76" t="n">
        <v>16008</v>
      </c>
      <c r="C1447" s="69">
        <f>IF(B1447="","",IFERROR(INDEX(Client_List!$B:$B,MATCH(B1447,Client_List!$A:$A,0)),"⚠ NOT FOUND"))</f>
        <v/>
      </c>
      <c r="D1447" s="43" t="n">
        <v>588</v>
      </c>
      <c r="E1447" s="32">
        <f>IF(B1447="","",IFERROR(INDEX(Client_List!$C:$C,MATCH(VALUE(B1447),Client_List!$A:$A,0)),""))</f>
        <v/>
      </c>
      <c r="F1447" s="53">
        <f>IF(B1447="","",IFERROR(INDEX(Client_List!$D:$D,MATCH(VALUE(B1447),Client_List!$A:$A,0)),""))</f>
        <v/>
      </c>
      <c r="G1447" s="53">
        <f>IF(B1447="","",IFERROR(INDEX(Client_List!$K:$K,MATCH(VALUE(B1447),Client_List!$A:$A,0)),""))</f>
        <v/>
      </c>
      <c r="H1447" s="32">
        <f>IF(B1447="","",IFERROR(INDEX(Client_List!$J:$J,MATCH(VALUE(B1447),Client_List!$A:$A,0)),""))</f>
        <v/>
      </c>
      <c r="I1447" s="70">
        <f>IF(B1447="","",IFERROR(A1447-LOOKUP(2,1/($B$4:$B1446=B1447),$A$4:$A1446),""))</f>
        <v/>
      </c>
      <c r="J1447" s="32">
        <f>IF(B1447="","",IFERROR(D1447/I1447,""))</f>
        <v/>
      </c>
      <c r="K1447" s="71">
        <f>IF(B1447="","",IFERROR(AVERAGEIFS($J$4:$J1447,$B$4:$B1447,B1447,$J$4:$J1447,"&gt;"&amp;0),""))</f>
        <v/>
      </c>
      <c r="L1447" s="11" t="n"/>
    </row>
    <row r="1448" ht="14" customHeight="1" s="72">
      <c r="A1448" s="75" t="n">
        <v>46141</v>
      </c>
      <c r="B1448" s="76" t="n">
        <v>16009</v>
      </c>
      <c r="C1448" s="69">
        <f>IF(B1448="","",IFERROR(INDEX(Client_List!$B:$B,MATCH(B1448,Client_List!$A:$A,0)),"⚠ NOT FOUND"))</f>
        <v/>
      </c>
      <c r="D1448" s="43" t="n">
        <v>1376</v>
      </c>
      <c r="E1448" s="32">
        <f>IF(B1448="","",IFERROR(INDEX(Client_List!$C:$C,MATCH(VALUE(B1448),Client_List!$A:$A,0)),""))</f>
        <v/>
      </c>
      <c r="F1448" s="53">
        <f>IF(B1448="","",IFERROR(INDEX(Client_List!$D:$D,MATCH(VALUE(B1448),Client_List!$A:$A,0)),""))</f>
        <v/>
      </c>
      <c r="G1448" s="53">
        <f>IF(B1448="","",IFERROR(INDEX(Client_List!$K:$K,MATCH(VALUE(B1448),Client_List!$A:$A,0)),""))</f>
        <v/>
      </c>
      <c r="H1448" s="32">
        <f>IF(B1448="","",IFERROR(INDEX(Client_List!$J:$J,MATCH(VALUE(B1448),Client_List!$A:$A,0)),""))</f>
        <v/>
      </c>
      <c r="I1448" s="70">
        <f>IF(B1448="","",IFERROR(A1448-LOOKUP(2,1/($B$4:$B1447=B1448),$A$4:$A1447),""))</f>
        <v/>
      </c>
      <c r="J1448" s="32">
        <f>IF(B1448="","",IFERROR(D1448/I1448,""))</f>
        <v/>
      </c>
      <c r="K1448" s="71">
        <f>IF(B1448="","",IFERROR(AVERAGEIFS($J$4:$J1448,$B$4:$B1448,B1448,$J$4:$J1448,"&gt;"&amp;0),""))</f>
        <v/>
      </c>
      <c r="L1448" s="12" t="n"/>
    </row>
    <row r="1449" ht="14" customHeight="1" s="72">
      <c r="A1449" s="75" t="n">
        <v>46141</v>
      </c>
      <c r="B1449" s="76" t="n">
        <v>19033</v>
      </c>
      <c r="C1449" s="69">
        <f>IF(B1449="","",IFERROR(INDEX(Client_List!$B:$B,MATCH(B1449,Client_List!$A:$A,0)),"⚠ NOT FOUND"))</f>
        <v/>
      </c>
      <c r="D1449" s="43" t="n">
        <v>301</v>
      </c>
      <c r="E1449" s="32">
        <f>IF(B1449="","",IFERROR(INDEX(Client_List!$C:$C,MATCH(VALUE(B1449),Client_List!$A:$A,0)),""))</f>
        <v/>
      </c>
      <c r="F1449" s="53">
        <f>IF(B1449="","",IFERROR(INDEX(Client_List!$D:$D,MATCH(VALUE(B1449),Client_List!$A:$A,0)),""))</f>
        <v/>
      </c>
      <c r="G1449" s="53">
        <f>IF(B1449="","",IFERROR(INDEX(Client_List!$K:$K,MATCH(VALUE(B1449),Client_List!$A:$A,0)),""))</f>
        <v/>
      </c>
      <c r="H1449" s="32">
        <f>IF(B1449="","",IFERROR(INDEX(Client_List!$J:$J,MATCH(VALUE(B1449),Client_List!$A:$A,0)),""))</f>
        <v/>
      </c>
      <c r="I1449" s="70">
        <f>IF(B1449="","",IFERROR(A1449-LOOKUP(2,1/($B$4:$B1448=B1449),$A$4:$A1448),""))</f>
        <v/>
      </c>
      <c r="J1449" s="32">
        <f>IF(B1449="","",IFERROR(D1449/I1449,""))</f>
        <v/>
      </c>
      <c r="K1449" s="71">
        <f>IF(B1449="","",IFERROR(AVERAGEIFS($J$4:$J1449,$B$4:$B1449,B1449,$J$4:$J1449,"&gt;"&amp;0),""))</f>
        <v/>
      </c>
      <c r="L1449" s="11" t="n"/>
    </row>
    <row r="1450" ht="14" customHeight="1" s="72">
      <c r="A1450" s="75" t="n">
        <v>46141</v>
      </c>
      <c r="B1450" s="76" t="n">
        <v>19077</v>
      </c>
      <c r="C1450" s="69">
        <f>IF(B1450="","",IFERROR(INDEX(Client_List!$B:$B,MATCH(B1450,Client_List!$A:$A,0)),"⚠ NOT FOUND"))</f>
        <v/>
      </c>
      <c r="D1450" s="43" t="n">
        <v>913</v>
      </c>
      <c r="E1450" s="32">
        <f>IF(B1450="","",IFERROR(INDEX(Client_List!$C:$C,MATCH(VALUE(B1450),Client_List!$A:$A,0)),""))</f>
        <v/>
      </c>
      <c r="F1450" s="53">
        <f>IF(B1450="","",IFERROR(INDEX(Client_List!$D:$D,MATCH(VALUE(B1450),Client_List!$A:$A,0)),""))</f>
        <v/>
      </c>
      <c r="G1450" s="53">
        <f>IF(B1450="","",IFERROR(INDEX(Client_List!$K:$K,MATCH(VALUE(B1450),Client_List!$A:$A,0)),""))</f>
        <v/>
      </c>
      <c r="H1450" s="32">
        <f>IF(B1450="","",IFERROR(INDEX(Client_List!$J:$J,MATCH(VALUE(B1450),Client_List!$A:$A,0)),""))</f>
        <v/>
      </c>
      <c r="I1450" s="70">
        <f>IF(B1450="","",IFERROR(A1450-LOOKUP(2,1/($B$4:$B1449=B1450),$A$4:$A1449),""))</f>
        <v/>
      </c>
      <c r="J1450" s="32">
        <f>IF(B1450="","",IFERROR(D1450/I1450,""))</f>
        <v/>
      </c>
      <c r="K1450" s="71">
        <f>IF(B1450="","",IFERROR(AVERAGEIFS($J$4:$J1450,$B$4:$B1450,B1450,$J$4:$J1450,"&gt;"&amp;0),""))</f>
        <v/>
      </c>
      <c r="L1450" s="12" t="n"/>
    </row>
    <row r="1451" ht="14" customHeight="1" s="72">
      <c r="A1451" s="75" t="n">
        <v>46141</v>
      </c>
      <c r="B1451" s="76" t="n">
        <v>19089</v>
      </c>
      <c r="C1451" s="69">
        <f>IF(B1451="","",IFERROR(INDEX(Client_List!$B:$B,MATCH(B1451,Client_List!$A:$A,0)),"⚠ NOT FOUND"))</f>
        <v/>
      </c>
      <c r="D1451" s="43" t="n">
        <v>304</v>
      </c>
      <c r="E1451" s="32">
        <f>IF(B1451="","",IFERROR(INDEX(Client_List!$C:$C,MATCH(VALUE(B1451),Client_List!$A:$A,0)),""))</f>
        <v/>
      </c>
      <c r="F1451" s="53">
        <f>IF(B1451="","",IFERROR(INDEX(Client_List!$D:$D,MATCH(VALUE(B1451),Client_List!$A:$A,0)),""))</f>
        <v/>
      </c>
      <c r="G1451" s="53">
        <f>IF(B1451="","",IFERROR(INDEX(Client_List!$K:$K,MATCH(VALUE(B1451),Client_List!$A:$A,0)),""))</f>
        <v/>
      </c>
      <c r="H1451" s="32">
        <f>IF(B1451="","",IFERROR(INDEX(Client_List!$J:$J,MATCH(VALUE(B1451),Client_List!$A:$A,0)),""))</f>
        <v/>
      </c>
      <c r="I1451" s="70">
        <f>IF(B1451="","",IFERROR(A1451-LOOKUP(2,1/($B$4:$B1450=B1451),$A$4:$A1450),""))</f>
        <v/>
      </c>
      <c r="J1451" s="32">
        <f>IF(B1451="","",IFERROR(D1451/I1451,""))</f>
        <v/>
      </c>
      <c r="K1451" s="71">
        <f>IF(B1451="","",IFERROR(AVERAGEIFS($J$4:$J1451,$B$4:$B1451,B1451,$J$4:$J1451,"&gt;"&amp;0),""))</f>
        <v/>
      </c>
      <c r="L1451" s="11" t="n"/>
    </row>
    <row r="1452" ht="14" customHeight="1" s="72">
      <c r="A1452" s="75" t="n">
        <v>46141</v>
      </c>
      <c r="B1452" s="76" t="n">
        <v>20081</v>
      </c>
      <c r="C1452" s="69">
        <f>IF(B1452="","",IFERROR(INDEX(Client_List!$B:$B,MATCH(B1452,Client_List!$A:$A,0)),"⚠ NOT FOUND"))</f>
        <v/>
      </c>
      <c r="D1452" s="43" t="n">
        <v>919</v>
      </c>
      <c r="E1452" s="32">
        <f>IF(B1452="","",IFERROR(INDEX(Client_List!$C:$C,MATCH(VALUE(B1452),Client_List!$A:$A,0)),""))</f>
        <v/>
      </c>
      <c r="F1452" s="53">
        <f>IF(B1452="","",IFERROR(INDEX(Client_List!$D:$D,MATCH(VALUE(B1452),Client_List!$A:$A,0)),""))</f>
        <v/>
      </c>
      <c r="G1452" s="53">
        <f>IF(B1452="","",IFERROR(INDEX(Client_List!$K:$K,MATCH(VALUE(B1452),Client_List!$A:$A,0)),""))</f>
        <v/>
      </c>
      <c r="H1452" s="32">
        <f>IF(B1452="","",IFERROR(INDEX(Client_List!$J:$J,MATCH(VALUE(B1452),Client_List!$A:$A,0)),""))</f>
        <v/>
      </c>
      <c r="I1452" s="70">
        <f>IF(B1452="","",IFERROR(A1452-LOOKUP(2,1/($B$4:$B1451=B1452),$A$4:$A1451),""))</f>
        <v/>
      </c>
      <c r="J1452" s="32">
        <f>IF(B1452="","",IFERROR(D1452/I1452,""))</f>
        <v/>
      </c>
      <c r="K1452" s="71">
        <f>IF(B1452="","",IFERROR(AVERAGEIFS($J$4:$J1452,$B$4:$B1452,B1452,$J$4:$J1452,"&gt;"&amp;0),""))</f>
        <v/>
      </c>
      <c r="L1452" s="12" t="n"/>
    </row>
    <row r="1453" ht="14" customHeight="1" s="72">
      <c r="A1453" s="75" t="n">
        <v>46141</v>
      </c>
      <c r="B1453" s="76" t="n">
        <v>20092</v>
      </c>
      <c r="C1453" s="69">
        <f>IF(B1453="","",IFERROR(INDEX(Client_List!$B:$B,MATCH(B1453,Client_List!$A:$A,0)),"⚠ NOT FOUND"))</f>
        <v/>
      </c>
      <c r="D1453" s="43" t="n">
        <v>909</v>
      </c>
      <c r="E1453" s="32">
        <f>IF(B1453="","",IFERROR(INDEX(Client_List!$C:$C,MATCH(VALUE(B1453),Client_List!$A:$A,0)),""))</f>
        <v/>
      </c>
      <c r="F1453" s="53">
        <f>IF(B1453="","",IFERROR(INDEX(Client_List!$D:$D,MATCH(VALUE(B1453),Client_List!$A:$A,0)),""))</f>
        <v/>
      </c>
      <c r="G1453" s="53">
        <f>IF(B1453="","",IFERROR(INDEX(Client_List!$K:$K,MATCH(VALUE(B1453),Client_List!$A:$A,0)),""))</f>
        <v/>
      </c>
      <c r="H1453" s="32">
        <f>IF(B1453="","",IFERROR(INDEX(Client_List!$J:$J,MATCH(VALUE(B1453),Client_List!$A:$A,0)),""))</f>
        <v/>
      </c>
      <c r="I1453" s="70">
        <f>IF(B1453="","",IFERROR(A1453-LOOKUP(2,1/($B$4:$B1452=B1453),$A$4:$A1452),""))</f>
        <v/>
      </c>
      <c r="J1453" s="32">
        <f>IF(B1453="","",IFERROR(D1453/I1453,""))</f>
        <v/>
      </c>
      <c r="K1453" s="71">
        <f>IF(B1453="","",IFERROR(AVERAGEIFS($J$4:$J1453,$B$4:$B1453,B1453,$J$4:$J1453,"&gt;"&amp;0),""))</f>
        <v/>
      </c>
      <c r="L1453" s="11" t="n"/>
    </row>
    <row r="1454" ht="14" customHeight="1" s="72">
      <c r="A1454" s="75" t="n">
        <v>46141</v>
      </c>
      <c r="B1454" s="76" t="n">
        <v>20095</v>
      </c>
      <c r="C1454" s="69">
        <f>IF(B1454="","",IFERROR(INDEX(Client_List!$B:$B,MATCH(B1454,Client_List!$A:$A,0)),"⚠ NOT FOUND"))</f>
        <v/>
      </c>
      <c r="D1454" s="43" t="n">
        <v>937</v>
      </c>
      <c r="E1454" s="32">
        <f>IF(B1454="","",IFERROR(INDEX(Client_List!$C:$C,MATCH(VALUE(B1454),Client_List!$A:$A,0)),""))</f>
        <v/>
      </c>
      <c r="F1454" s="53">
        <f>IF(B1454="","",IFERROR(INDEX(Client_List!$D:$D,MATCH(VALUE(B1454),Client_List!$A:$A,0)),""))</f>
        <v/>
      </c>
      <c r="G1454" s="53">
        <f>IF(B1454="","",IFERROR(INDEX(Client_List!$K:$K,MATCH(VALUE(B1454),Client_List!$A:$A,0)),""))</f>
        <v/>
      </c>
      <c r="H1454" s="32">
        <f>IF(B1454="","",IFERROR(INDEX(Client_List!$J:$J,MATCH(VALUE(B1454),Client_List!$A:$A,0)),""))</f>
        <v/>
      </c>
      <c r="I1454" s="70">
        <f>IF(B1454="","",IFERROR(A1454-LOOKUP(2,1/($B$4:$B1453=B1454),$A$4:$A1453),""))</f>
        <v/>
      </c>
      <c r="J1454" s="32">
        <f>IF(B1454="","",IFERROR(D1454/I1454,""))</f>
        <v/>
      </c>
      <c r="K1454" s="71">
        <f>IF(B1454="","",IFERROR(AVERAGEIFS($J$4:$J1454,$B$4:$B1454,B1454,$J$4:$J1454,"&gt;"&amp;0),""))</f>
        <v/>
      </c>
      <c r="L1454" s="12" t="n"/>
    </row>
    <row r="1455" ht="14" customHeight="1" s="72">
      <c r="A1455" s="75" t="n">
        <v>46142</v>
      </c>
      <c r="B1455" s="76" t="n">
        <v>1014</v>
      </c>
      <c r="C1455" s="69">
        <f>IF(B1455="","",IFERROR(INDEX(Client_List!$B:$B,MATCH(B1455,Client_List!$A:$A,0)),"⚠ NOT FOUND"))</f>
        <v/>
      </c>
      <c r="D1455" s="54" t="n">
        <v>200</v>
      </c>
      <c r="E1455" s="32">
        <f>IF(B1455="","",IFERROR(INDEX(Client_List!$C:$C,MATCH(VALUE(B1455),Client_List!$A:$A,0)),""))</f>
        <v/>
      </c>
      <c r="F1455" s="53">
        <f>IF(B1455="","",IFERROR(INDEX(Client_List!$D:$D,MATCH(VALUE(B1455),Client_List!$A:$A,0)),""))</f>
        <v/>
      </c>
      <c r="G1455" s="53">
        <f>IF(B1455="","",IFERROR(INDEX(Client_List!$K:$K,MATCH(VALUE(B1455),Client_List!$A:$A,0)),""))</f>
        <v/>
      </c>
      <c r="H1455" s="32">
        <f>IF(B1455="","",IFERROR(INDEX(Client_List!$J:$J,MATCH(VALUE(B1455),Client_List!$A:$A,0)),""))</f>
        <v/>
      </c>
      <c r="I1455" s="70">
        <f>IF(B1455="","",IFERROR(A1455-LOOKUP(2,1/($B$4:$B1454=B1455),$A$4:$A1454),""))</f>
        <v/>
      </c>
      <c r="J1455" s="32">
        <f>IF(B1455="","",IFERROR(D1455/I1455,""))</f>
        <v/>
      </c>
      <c r="K1455" s="71">
        <f>IF(B1455="","",IFERROR(AVERAGEIFS($J$4:$J1455,$B$4:$B1455,B1455,$J$4:$J1455,"&gt;"&amp;0),""))</f>
        <v/>
      </c>
      <c r="L1455" s="11" t="n"/>
    </row>
    <row r="1456" ht="14" customHeight="1" s="72">
      <c r="A1456" s="75" t="n">
        <v>46142</v>
      </c>
      <c r="B1456" s="76" t="n">
        <v>2045</v>
      </c>
      <c r="C1456" s="69">
        <f>IF(B1456="","",IFERROR(INDEX(Client_List!$B:$B,MATCH(B1456,Client_List!$A:$A,0)),"⚠ NOT FOUND"))</f>
        <v/>
      </c>
      <c r="D1456" s="54" t="n">
        <v>200</v>
      </c>
      <c r="E1456" s="32">
        <f>IF(B1456="","",IFERROR(INDEX(Client_List!$C:$C,MATCH(VALUE(B1456),Client_List!$A:$A,0)),""))</f>
        <v/>
      </c>
      <c r="F1456" s="53">
        <f>IF(B1456="","",IFERROR(INDEX(Client_List!$D:$D,MATCH(VALUE(B1456),Client_List!$A:$A,0)),""))</f>
        <v/>
      </c>
      <c r="G1456" s="53">
        <f>IF(B1456="","",IFERROR(INDEX(Client_List!$K:$K,MATCH(VALUE(B1456),Client_List!$A:$A,0)),""))</f>
        <v/>
      </c>
      <c r="H1456" s="32">
        <f>IF(B1456="","",IFERROR(INDEX(Client_List!$J:$J,MATCH(VALUE(B1456),Client_List!$A:$A,0)),""))</f>
        <v/>
      </c>
      <c r="I1456" s="70">
        <f>IF(B1456="","",IFERROR(A1456-LOOKUP(2,1/($B$4:$B1455=B1456),$A$4:$A1455),""))</f>
        <v/>
      </c>
      <c r="J1456" s="32">
        <f>IF(B1456="","",IFERROR(D1456/I1456,""))</f>
        <v/>
      </c>
      <c r="K1456" s="71">
        <f>IF(B1456="","",IFERROR(AVERAGEIFS($J$4:$J1456,$B$4:$B1456,B1456,$J$4:$J1456,"&gt;"&amp;0),""))</f>
        <v/>
      </c>
      <c r="L1456" s="12" t="n"/>
    </row>
    <row r="1457" ht="14" customHeight="1" s="72">
      <c r="A1457" s="75" t="n">
        <v>46142</v>
      </c>
      <c r="B1457" s="76" t="n">
        <v>3064</v>
      </c>
      <c r="C1457" s="69">
        <f>IF(B1457="","",IFERROR(INDEX(Client_List!$B:$B,MATCH(B1457,Client_List!$A:$A,0)),"⚠ NOT FOUND"))</f>
        <v/>
      </c>
      <c r="D1457" s="54" t="n">
        <v>200</v>
      </c>
      <c r="E1457" s="32">
        <f>IF(B1457="","",IFERROR(INDEX(Client_List!$C:$C,MATCH(VALUE(B1457),Client_List!$A:$A,0)),""))</f>
        <v/>
      </c>
      <c r="F1457" s="53">
        <f>IF(B1457="","",IFERROR(INDEX(Client_List!$D:$D,MATCH(VALUE(B1457),Client_List!$A:$A,0)),""))</f>
        <v/>
      </c>
      <c r="G1457" s="53">
        <f>IF(B1457="","",IFERROR(INDEX(Client_List!$K:$K,MATCH(VALUE(B1457),Client_List!$A:$A,0)),""))</f>
        <v/>
      </c>
      <c r="H1457" s="32">
        <f>IF(B1457="","",IFERROR(INDEX(Client_List!$J:$J,MATCH(VALUE(B1457),Client_List!$A:$A,0)),""))</f>
        <v/>
      </c>
      <c r="I1457" s="70">
        <f>IF(B1457="","",IFERROR(A1457-LOOKUP(2,1/($B$4:$B1456=B1457),$A$4:$A1456),""))</f>
        <v/>
      </c>
      <c r="J1457" s="32">
        <f>IF(B1457="","",IFERROR(D1457/I1457,""))</f>
        <v/>
      </c>
      <c r="K1457" s="71">
        <f>IF(B1457="","",IFERROR(AVERAGEIFS($J$4:$J1457,$B$4:$B1457,B1457,$J$4:$J1457,"&gt;"&amp;0),""))</f>
        <v/>
      </c>
      <c r="L1457" s="11" t="n"/>
    </row>
    <row r="1458" ht="14" customHeight="1" s="72">
      <c r="A1458" s="75" t="n">
        <v>46142</v>
      </c>
      <c r="B1458" s="76" t="n">
        <v>12009</v>
      </c>
      <c r="C1458" s="69">
        <f>IF(B1458="","",IFERROR(INDEX(Client_List!$B:$B,MATCH(B1458,Client_List!$A:$A,0)),"⚠ NOT FOUND"))</f>
        <v/>
      </c>
      <c r="D1458" s="54" t="n">
        <v>200</v>
      </c>
      <c r="E1458" s="32">
        <f>IF(B1458="","",IFERROR(INDEX(Client_List!$C:$C,MATCH(VALUE(B1458),Client_List!$A:$A,0)),""))</f>
        <v/>
      </c>
      <c r="F1458" s="53">
        <f>IF(B1458="","",IFERROR(INDEX(Client_List!$D:$D,MATCH(VALUE(B1458),Client_List!$A:$A,0)),""))</f>
        <v/>
      </c>
      <c r="G1458" s="53">
        <f>IF(B1458="","",IFERROR(INDEX(Client_List!$K:$K,MATCH(VALUE(B1458),Client_List!$A:$A,0)),""))</f>
        <v/>
      </c>
      <c r="H1458" s="32">
        <f>IF(B1458="","",IFERROR(INDEX(Client_List!$J:$J,MATCH(VALUE(B1458),Client_List!$A:$A,0)),""))</f>
        <v/>
      </c>
      <c r="I1458" s="70">
        <f>IF(B1458="","",IFERROR(A1458-LOOKUP(2,1/($B$4:$B1457=B1458),$A$4:$A1457),""))</f>
        <v/>
      </c>
      <c r="J1458" s="32">
        <f>IF(B1458="","",IFERROR(D1458/I1458,""))</f>
        <v/>
      </c>
      <c r="K1458" s="71">
        <f>IF(B1458="","",IFERROR(AVERAGEIFS($J$4:$J1458,$B$4:$B1458,B1458,$J$4:$J1458,"&gt;"&amp;0),""))</f>
        <v/>
      </c>
      <c r="L1458" s="12" t="n"/>
    </row>
    <row r="1459" ht="14" customHeight="1" s="72">
      <c r="A1459" s="75" t="n">
        <v>46142</v>
      </c>
      <c r="B1459" s="76" t="n">
        <v>13057</v>
      </c>
      <c r="C1459" s="69">
        <f>IF(B1459="","",IFERROR(INDEX(Client_List!$B:$B,MATCH(B1459,Client_List!$A:$A,0)),"⚠ NOT FOUND"))</f>
        <v/>
      </c>
      <c r="D1459" s="54" t="n">
        <v>200</v>
      </c>
      <c r="E1459" s="32">
        <f>IF(B1459="","",IFERROR(INDEX(Client_List!$C:$C,MATCH(VALUE(B1459),Client_List!$A:$A,0)),""))</f>
        <v/>
      </c>
      <c r="F1459" s="53">
        <f>IF(B1459="","",IFERROR(INDEX(Client_List!$D:$D,MATCH(VALUE(B1459),Client_List!$A:$A,0)),""))</f>
        <v/>
      </c>
      <c r="G1459" s="53">
        <f>IF(B1459="","",IFERROR(INDEX(Client_List!$K:$K,MATCH(VALUE(B1459),Client_List!$A:$A,0)),""))</f>
        <v/>
      </c>
      <c r="H1459" s="32">
        <f>IF(B1459="","",IFERROR(INDEX(Client_List!$J:$J,MATCH(VALUE(B1459),Client_List!$A:$A,0)),""))</f>
        <v/>
      </c>
      <c r="I1459" s="70">
        <f>IF(B1459="","",IFERROR(A1459-LOOKUP(2,1/($B$4:$B1458=B1459),$A$4:$A1458),""))</f>
        <v/>
      </c>
      <c r="J1459" s="32">
        <f>IF(B1459="","",IFERROR(D1459/I1459,""))</f>
        <v/>
      </c>
      <c r="K1459" s="71">
        <f>IF(B1459="","",IFERROR(AVERAGEIFS($J$4:$J1459,$B$4:$B1459,B1459,$J$4:$J1459,"&gt;"&amp;0),""))</f>
        <v/>
      </c>
      <c r="L1459" s="11" t="n"/>
    </row>
    <row r="1460" ht="14" customHeight="1" s="72">
      <c r="A1460" s="75" t="n">
        <v>46142</v>
      </c>
      <c r="B1460" s="76" t="n">
        <v>15007</v>
      </c>
      <c r="C1460" s="69">
        <f>IF(B1460="","",IFERROR(INDEX(Client_List!$B:$B,MATCH(B1460,Client_List!$A:$A,0)),"⚠ NOT FOUND"))</f>
        <v/>
      </c>
      <c r="D1460" s="54" t="n">
        <v>200</v>
      </c>
      <c r="E1460" s="32">
        <f>IF(B1460="","",IFERROR(INDEX(Client_List!$C:$C,MATCH(VALUE(B1460),Client_List!$A:$A,0)),""))</f>
        <v/>
      </c>
      <c r="F1460" s="53">
        <f>IF(B1460="","",IFERROR(INDEX(Client_List!$D:$D,MATCH(VALUE(B1460),Client_List!$A:$A,0)),""))</f>
        <v/>
      </c>
      <c r="G1460" s="53">
        <f>IF(B1460="","",IFERROR(INDEX(Client_List!$K:$K,MATCH(VALUE(B1460),Client_List!$A:$A,0)),""))</f>
        <v/>
      </c>
      <c r="H1460" s="32">
        <f>IF(B1460="","",IFERROR(INDEX(Client_List!$J:$J,MATCH(VALUE(B1460),Client_List!$A:$A,0)),""))</f>
        <v/>
      </c>
      <c r="I1460" s="70">
        <f>IF(B1460="","",IFERROR(A1460-LOOKUP(2,1/($B$4:$B1459=B1460),$A$4:$A1459),""))</f>
        <v/>
      </c>
      <c r="J1460" s="32">
        <f>IF(B1460="","",IFERROR(D1460/I1460,""))</f>
        <v/>
      </c>
      <c r="K1460" s="71">
        <f>IF(B1460="","",IFERROR(AVERAGEIFS($J$4:$J1460,$B$4:$B1460,B1460,$J$4:$J1460,"&gt;"&amp;0),""))</f>
        <v/>
      </c>
      <c r="L1460" s="12" t="n"/>
    </row>
    <row r="1461" ht="14" customHeight="1" s="72">
      <c r="A1461" s="75" t="n">
        <v>46142</v>
      </c>
      <c r="B1461" s="76" t="n">
        <v>16014</v>
      </c>
      <c r="C1461" s="69">
        <f>IF(B1461="","",IFERROR(INDEX(Client_List!$B:$B,MATCH(B1461,Client_List!$A:$A,0)),"⚠ NOT FOUND"))</f>
        <v/>
      </c>
      <c r="D1461" s="54" t="n">
        <v>200</v>
      </c>
      <c r="E1461" s="32">
        <f>IF(B1461="","",IFERROR(INDEX(Client_List!$C:$C,MATCH(VALUE(B1461),Client_List!$A:$A,0)),""))</f>
        <v/>
      </c>
      <c r="F1461" s="53">
        <f>IF(B1461="","",IFERROR(INDEX(Client_List!$D:$D,MATCH(VALUE(B1461),Client_List!$A:$A,0)),""))</f>
        <v/>
      </c>
      <c r="G1461" s="53">
        <f>IF(B1461="","",IFERROR(INDEX(Client_List!$K:$K,MATCH(VALUE(B1461),Client_List!$A:$A,0)),""))</f>
        <v/>
      </c>
      <c r="H1461" s="32">
        <f>IF(B1461="","",IFERROR(INDEX(Client_List!$J:$J,MATCH(VALUE(B1461),Client_List!$A:$A,0)),""))</f>
        <v/>
      </c>
      <c r="I1461" s="70">
        <f>IF(B1461="","",IFERROR(A1461-LOOKUP(2,1/($B$4:$B1460=B1461),$A$4:$A1460),""))</f>
        <v/>
      </c>
      <c r="J1461" s="32">
        <f>IF(B1461="","",IFERROR(D1461/I1461,""))</f>
        <v/>
      </c>
      <c r="K1461" s="71">
        <f>IF(B1461="","",IFERROR(AVERAGEIFS($J$4:$J1461,$B$4:$B1461,B1461,$J$4:$J1461,"&gt;"&amp;0),""))</f>
        <v/>
      </c>
      <c r="L1461" s="11" t="n"/>
    </row>
    <row r="1462" ht="14" customHeight="1" s="72">
      <c r="A1462" s="75" t="n">
        <v>46142</v>
      </c>
      <c r="B1462" s="76" t="n">
        <v>16058</v>
      </c>
      <c r="C1462" s="69">
        <f>IF(B1462="","",IFERROR(INDEX(Client_List!$B:$B,MATCH(B1462,Client_List!$A:$A,0)),"⚠ NOT FOUND"))</f>
        <v/>
      </c>
      <c r="D1462" s="54" t="n">
        <v>200</v>
      </c>
      <c r="E1462" s="32">
        <f>IF(B1462="","",IFERROR(INDEX(Client_List!$C:$C,MATCH(VALUE(B1462),Client_List!$A:$A,0)),""))</f>
        <v/>
      </c>
      <c r="F1462" s="53">
        <f>IF(B1462="","",IFERROR(INDEX(Client_List!$D:$D,MATCH(VALUE(B1462),Client_List!$A:$A,0)),""))</f>
        <v/>
      </c>
      <c r="G1462" s="53">
        <f>IF(B1462="","",IFERROR(INDEX(Client_List!$K:$K,MATCH(VALUE(B1462),Client_List!$A:$A,0)),""))</f>
        <v/>
      </c>
      <c r="H1462" s="32">
        <f>IF(B1462="","",IFERROR(INDEX(Client_List!$J:$J,MATCH(VALUE(B1462),Client_List!$A:$A,0)),""))</f>
        <v/>
      </c>
      <c r="I1462" s="70">
        <f>IF(B1462="","",IFERROR(A1462-LOOKUP(2,1/($B$4:$B1461=B1462),$A$4:$A1461),""))</f>
        <v/>
      </c>
      <c r="J1462" s="32">
        <f>IF(B1462="","",IFERROR(D1462/I1462,""))</f>
        <v/>
      </c>
      <c r="K1462" s="71">
        <f>IF(B1462="","",IFERROR(AVERAGEIFS($J$4:$J1462,$B$4:$B1462,B1462,$J$4:$J1462,"&gt;"&amp;0),""))</f>
        <v/>
      </c>
      <c r="L1462" s="12" t="n"/>
    </row>
    <row r="1463" ht="14" customHeight="1" s="72">
      <c r="A1463" s="75" t="n">
        <v>46142</v>
      </c>
      <c r="B1463" s="76" t="n">
        <v>19082</v>
      </c>
      <c r="C1463" s="69">
        <f>IF(B1463="","",IFERROR(INDEX(Client_List!$B:$B,MATCH(B1463,Client_List!$A:$A,0)),"⚠ NOT FOUND"))</f>
        <v/>
      </c>
      <c r="D1463" s="54" t="n">
        <v>200</v>
      </c>
      <c r="E1463" s="32">
        <f>IF(B1463="","",IFERROR(INDEX(Client_List!$C:$C,MATCH(VALUE(B1463),Client_List!$A:$A,0)),""))</f>
        <v/>
      </c>
      <c r="F1463" s="53">
        <f>IF(B1463="","",IFERROR(INDEX(Client_List!$D:$D,MATCH(VALUE(B1463),Client_List!$A:$A,0)),""))</f>
        <v/>
      </c>
      <c r="G1463" s="53">
        <f>IF(B1463="","",IFERROR(INDEX(Client_List!$K:$K,MATCH(VALUE(B1463),Client_List!$A:$A,0)),""))</f>
        <v/>
      </c>
      <c r="H1463" s="32">
        <f>IF(B1463="","",IFERROR(INDEX(Client_List!$J:$J,MATCH(VALUE(B1463),Client_List!$A:$A,0)),""))</f>
        <v/>
      </c>
      <c r="I1463" s="70">
        <f>IF(B1463="","",IFERROR(A1463-LOOKUP(2,1/($B$4:$B1462=B1463),$A$4:$A1462),""))</f>
        <v/>
      </c>
      <c r="J1463" s="32">
        <f>IF(B1463="","",IFERROR(D1463/I1463,""))</f>
        <v/>
      </c>
      <c r="K1463" s="71">
        <f>IF(B1463="","",IFERROR(AVERAGEIFS($J$4:$J1463,$B$4:$B1463,B1463,$J$4:$J1463,"&gt;"&amp;0),""))</f>
        <v/>
      </c>
      <c r="L1463" s="11" t="n"/>
    </row>
    <row r="1464" ht="14" customHeight="1" s="72">
      <c r="A1464" s="75" t="n">
        <v>46142</v>
      </c>
      <c r="B1464" s="76" t="n">
        <v>20033</v>
      </c>
      <c r="C1464" s="69">
        <f>IF(B1464="","",IFERROR(INDEX(Client_List!$B:$B,MATCH(B1464,Client_List!$A:$A,0)),"⚠ NOT FOUND"))</f>
        <v/>
      </c>
      <c r="D1464" s="54" t="n">
        <v>200</v>
      </c>
      <c r="E1464" s="32">
        <f>IF(B1464="","",IFERROR(INDEX(Client_List!$C:$C,MATCH(VALUE(B1464),Client_List!$A:$A,0)),""))</f>
        <v/>
      </c>
      <c r="F1464" s="53">
        <f>IF(B1464="","",IFERROR(INDEX(Client_List!$D:$D,MATCH(VALUE(B1464),Client_List!$A:$A,0)),""))</f>
        <v/>
      </c>
      <c r="G1464" s="53">
        <f>IF(B1464="","",IFERROR(INDEX(Client_List!$K:$K,MATCH(VALUE(B1464),Client_List!$A:$A,0)),""))</f>
        <v/>
      </c>
      <c r="H1464" s="32">
        <f>IF(B1464="","",IFERROR(INDEX(Client_List!$J:$J,MATCH(VALUE(B1464),Client_List!$A:$A,0)),""))</f>
        <v/>
      </c>
      <c r="I1464" s="70">
        <f>IF(B1464="","",IFERROR(A1464-LOOKUP(2,1/($B$4:$B1463=B1464),$A$4:$A1463),""))</f>
        <v/>
      </c>
      <c r="J1464" s="32">
        <f>IF(B1464="","",IFERROR(D1464/I1464,""))</f>
        <v/>
      </c>
      <c r="K1464" s="71">
        <f>IF(B1464="","",IFERROR(AVERAGEIFS($J$4:$J1464,$B$4:$B1464,B1464,$J$4:$J1464,"&gt;"&amp;0),""))</f>
        <v/>
      </c>
      <c r="L1464" s="12" t="n"/>
    </row>
    <row r="1465" ht="14" customHeight="1" s="72">
      <c r="A1465" s="78" t="n"/>
      <c r="B1465" s="79" t="n"/>
      <c r="C1465" s="69">
        <f>IF(B1465="","",IFERROR(INDEX(Client_List!$B:$B,MATCH(B1465,Client_List!$A:$A,0)),"⚠ NOT FOUND"))</f>
        <v/>
      </c>
      <c r="D1465" s="44" t="n"/>
      <c r="E1465" s="32">
        <f>IF(B1465="","",IFERROR(INDEX(Client_List!$C:$C,MATCH(VALUE(B1465),Client_List!$A:$A,0)),""))</f>
        <v/>
      </c>
      <c r="F1465" s="53">
        <f>IF(B1465="","",IFERROR(INDEX(Client_List!$D:$D,MATCH(VALUE(B1465),Client_List!$A:$A,0)),""))</f>
        <v/>
      </c>
      <c r="G1465" s="53">
        <f>IF(B1465="","",IFERROR(INDEX(Client_List!$K:$K,MATCH(VALUE(B1465),Client_List!$A:$A,0)),""))</f>
        <v/>
      </c>
      <c r="H1465" s="32">
        <f>IF(B1465="","",IFERROR(INDEX(Client_List!$J:$J,MATCH(VALUE(B1465),Client_List!$A:$A,0)),""))</f>
        <v/>
      </c>
      <c r="I1465" s="70">
        <f>IF(B1465="","",IFERROR(A1465-LOOKUP(2,1/($B$4:$B1464=B1465),$A$4:$A1464),""))</f>
        <v/>
      </c>
      <c r="J1465" s="32">
        <f>IF(B1465="","",IFERROR(D1465/I1465,""))</f>
        <v/>
      </c>
      <c r="K1465" s="71">
        <f>IF(B1465="","",IFERROR(AVERAGEIFS($J$4:$J1465,$B$4:$B1465,B1465,$J$4:$J1465,"&gt;"&amp;0),""))</f>
        <v/>
      </c>
      <c r="L1465" s="11" t="n"/>
    </row>
    <row r="1466" ht="14" customHeight="1" s="72">
      <c r="A1466" s="80" t="n"/>
      <c r="B1466" s="81" t="n"/>
      <c r="C1466" s="69">
        <f>IF(B1466="","",IFERROR(INDEX(Client_List!$B:$B,MATCH(B1466,Client_List!$A:$A,0)),"⚠ NOT FOUND"))</f>
        <v/>
      </c>
      <c r="D1466" s="45" t="n"/>
      <c r="E1466" s="32">
        <f>IF(B1466="","",IFERROR(INDEX(Client_List!$C:$C,MATCH(VALUE(B1466),Client_List!$A:$A,0)),""))</f>
        <v/>
      </c>
      <c r="F1466" s="53">
        <f>IF(B1466="","",IFERROR(INDEX(Client_List!$D:$D,MATCH(VALUE(B1466),Client_List!$A:$A,0)),""))</f>
        <v/>
      </c>
      <c r="G1466" s="53">
        <f>IF(B1466="","",IFERROR(INDEX(Client_List!$K:$K,MATCH(VALUE(B1466),Client_List!$A:$A,0)),""))</f>
        <v/>
      </c>
      <c r="H1466" s="32">
        <f>IF(B1466="","",IFERROR(INDEX(Client_List!$J:$J,MATCH(VALUE(B1466),Client_List!$A:$A,0)),""))</f>
        <v/>
      </c>
      <c r="I1466" s="70">
        <f>IF(B1466="","",IFERROR(A1466-LOOKUP(2,1/($B$4:$B1465=B1466),$A$4:$A1465),""))</f>
        <v/>
      </c>
      <c r="J1466" s="32">
        <f>IF(B1466="","",IFERROR(D1466/I1466,""))</f>
        <v/>
      </c>
      <c r="K1466" s="71">
        <f>IF(B1466="","",IFERROR(AVERAGEIFS($J$4:$J1466,$B$4:$B1466,B1466,$J$4:$J1466,"&gt;"&amp;0),""))</f>
        <v/>
      </c>
      <c r="L1466" s="12" t="n"/>
    </row>
    <row r="1467" ht="14" customHeight="1" s="72">
      <c r="A1467" s="78" t="n"/>
      <c r="B1467" s="79" t="n"/>
      <c r="C1467" s="69">
        <f>IF(B1467="","",IFERROR(INDEX(Client_List!$B:$B,MATCH(B1467,Client_List!$A:$A,0)),"⚠ NOT FOUND"))</f>
        <v/>
      </c>
      <c r="D1467" s="44" t="n"/>
      <c r="E1467" s="32">
        <f>IF(B1467="","",IFERROR(INDEX(Client_List!$C:$C,MATCH(VALUE(B1467),Client_List!$A:$A,0)),""))</f>
        <v/>
      </c>
      <c r="F1467" s="53">
        <f>IF(B1467="","",IFERROR(INDEX(Client_List!$D:$D,MATCH(VALUE(B1467),Client_List!$A:$A,0)),""))</f>
        <v/>
      </c>
      <c r="G1467" s="53">
        <f>IF(B1467="","",IFERROR(INDEX(Client_List!$K:$K,MATCH(VALUE(B1467),Client_List!$A:$A,0)),""))</f>
        <v/>
      </c>
      <c r="H1467" s="32">
        <f>IF(B1467="","",IFERROR(INDEX(Client_List!$J:$J,MATCH(VALUE(B1467),Client_List!$A:$A,0)),""))</f>
        <v/>
      </c>
      <c r="I1467" s="70">
        <f>IF(B1467="","",IFERROR(A1467-LOOKUP(2,1/($B$4:$B1466=B1467),$A$4:$A1466),""))</f>
        <v/>
      </c>
      <c r="J1467" s="32">
        <f>IF(B1467="","",IFERROR(D1467/I1467,""))</f>
        <v/>
      </c>
      <c r="K1467" s="71">
        <f>IF(B1467="","",IFERROR(AVERAGEIFS($J$4:$J1467,$B$4:$B1467,B1467,$J$4:$J1467,"&gt;"&amp;0),""))</f>
        <v/>
      </c>
      <c r="L1467" s="11" t="n"/>
    </row>
    <row r="1468" ht="14" customHeight="1" s="72">
      <c r="A1468" s="80" t="n"/>
      <c r="B1468" s="81" t="n"/>
      <c r="C1468" s="69">
        <f>IF(B1468="","",IFERROR(INDEX(Client_List!$B:$B,MATCH(B1468,Client_List!$A:$A,0)),"⚠ NOT FOUND"))</f>
        <v/>
      </c>
      <c r="D1468" s="45" t="n"/>
      <c r="E1468" s="32">
        <f>IF(B1468="","",IFERROR(INDEX(Client_List!$C:$C,MATCH(VALUE(B1468),Client_List!$A:$A,0)),""))</f>
        <v/>
      </c>
      <c r="F1468" s="53">
        <f>IF(B1468="","",IFERROR(INDEX(Client_List!$D:$D,MATCH(VALUE(B1468),Client_List!$A:$A,0)),""))</f>
        <v/>
      </c>
      <c r="G1468" s="53">
        <f>IF(B1468="","",IFERROR(INDEX(Client_List!$K:$K,MATCH(VALUE(B1468),Client_List!$A:$A,0)),""))</f>
        <v/>
      </c>
      <c r="H1468" s="32">
        <f>IF(B1468="","",IFERROR(INDEX(Client_List!$J:$J,MATCH(VALUE(B1468),Client_List!$A:$A,0)),""))</f>
        <v/>
      </c>
      <c r="I1468" s="70">
        <f>IF(B1468="","",IFERROR(A1468-LOOKUP(2,1/($B$4:$B1467=B1468),$A$4:$A1467),""))</f>
        <v/>
      </c>
      <c r="J1468" s="32">
        <f>IF(B1468="","",IFERROR(D1468/I1468,""))</f>
        <v/>
      </c>
      <c r="K1468" s="71">
        <f>IF(B1468="","",IFERROR(AVERAGEIFS($J$4:$J1468,$B$4:$B1468,B1468,$J$4:$J1468,"&gt;"&amp;0),""))</f>
        <v/>
      </c>
      <c r="L1468" s="12" t="n"/>
    </row>
    <row r="1469" ht="14" customHeight="1" s="72">
      <c r="A1469" s="78" t="n"/>
      <c r="B1469" s="79" t="n"/>
      <c r="C1469" s="69">
        <f>IF(B1469="","",IFERROR(INDEX(Client_List!$B:$B,MATCH(B1469,Client_List!$A:$A,0)),"⚠ NOT FOUND"))</f>
        <v/>
      </c>
      <c r="D1469" s="44" t="n"/>
      <c r="E1469" s="32">
        <f>IF(B1469="","",IFERROR(INDEX(Client_List!$C:$C,MATCH(VALUE(B1469),Client_List!$A:$A,0)),""))</f>
        <v/>
      </c>
      <c r="F1469" s="53">
        <f>IF(B1469="","",IFERROR(INDEX(Client_List!$D:$D,MATCH(VALUE(B1469),Client_List!$A:$A,0)),""))</f>
        <v/>
      </c>
      <c r="G1469" s="53">
        <f>IF(B1469="","",IFERROR(INDEX(Client_List!$K:$K,MATCH(VALUE(B1469),Client_List!$A:$A,0)),""))</f>
        <v/>
      </c>
      <c r="H1469" s="32">
        <f>IF(B1469="","",IFERROR(INDEX(Client_List!$J:$J,MATCH(VALUE(B1469),Client_List!$A:$A,0)),""))</f>
        <v/>
      </c>
      <c r="I1469" s="70">
        <f>IF(B1469="","",IFERROR(A1469-LOOKUP(2,1/($B$4:$B1468=B1469),$A$4:$A1468),""))</f>
        <v/>
      </c>
      <c r="J1469" s="32">
        <f>IF(B1469="","",IFERROR(D1469/I1469,""))</f>
        <v/>
      </c>
      <c r="K1469" s="71">
        <f>IF(B1469="","",IFERROR(AVERAGEIFS($J$4:$J1469,$B$4:$B1469,B1469,$J$4:$J1469,"&gt;"&amp;0),""))</f>
        <v/>
      </c>
      <c r="L1469" s="11" t="n"/>
    </row>
    <row r="1470" ht="14" customHeight="1" s="72">
      <c r="A1470" s="80" t="n"/>
      <c r="B1470" s="81" t="n"/>
      <c r="C1470" s="69">
        <f>IF(B1470="","",IFERROR(INDEX(Client_List!$B:$B,MATCH(B1470,Client_List!$A:$A,0)),"⚠ NOT FOUND"))</f>
        <v/>
      </c>
      <c r="D1470" s="45" t="n"/>
      <c r="E1470" s="32">
        <f>IF(B1470="","",IFERROR(INDEX(Client_List!$C:$C,MATCH(VALUE(B1470),Client_List!$A:$A,0)),""))</f>
        <v/>
      </c>
      <c r="F1470" s="53">
        <f>IF(B1470="","",IFERROR(INDEX(Client_List!$D:$D,MATCH(VALUE(B1470),Client_List!$A:$A,0)),""))</f>
        <v/>
      </c>
      <c r="G1470" s="53">
        <f>IF(B1470="","",IFERROR(INDEX(Client_List!$K:$K,MATCH(VALUE(B1470),Client_List!$A:$A,0)),""))</f>
        <v/>
      </c>
      <c r="H1470" s="32">
        <f>IF(B1470="","",IFERROR(INDEX(Client_List!$J:$J,MATCH(VALUE(B1470),Client_List!$A:$A,0)),""))</f>
        <v/>
      </c>
      <c r="I1470" s="70">
        <f>IF(B1470="","",IFERROR(A1470-LOOKUP(2,1/($B$4:$B1469=B1470),$A$4:$A1469),""))</f>
        <v/>
      </c>
      <c r="J1470" s="32">
        <f>IF(B1470="","",IFERROR(D1470/I1470,""))</f>
        <v/>
      </c>
      <c r="K1470" s="71">
        <f>IF(B1470="","",IFERROR(AVERAGEIFS($J$4:$J1470,$B$4:$B1470,B1470,$J$4:$J1470,"&gt;"&amp;0),""))</f>
        <v/>
      </c>
      <c r="L1470" s="12" t="n"/>
    </row>
    <row r="1471" ht="14" customHeight="1" s="72">
      <c r="A1471" s="78" t="n"/>
      <c r="B1471" s="79" t="n"/>
      <c r="C1471" s="69">
        <f>IF(B1471="","",IFERROR(INDEX(Client_List!$B:$B,MATCH(B1471,Client_List!$A:$A,0)),"⚠ NOT FOUND"))</f>
        <v/>
      </c>
      <c r="D1471" s="44" t="n"/>
      <c r="E1471" s="32">
        <f>IF(B1471="","",IFERROR(INDEX(Client_List!$C:$C,MATCH(VALUE(B1471),Client_List!$A:$A,0)),""))</f>
        <v/>
      </c>
      <c r="F1471" s="53">
        <f>IF(B1471="","",IFERROR(INDEX(Client_List!$D:$D,MATCH(VALUE(B1471),Client_List!$A:$A,0)),""))</f>
        <v/>
      </c>
      <c r="G1471" s="53">
        <f>IF(B1471="","",IFERROR(INDEX(Client_List!$K:$K,MATCH(VALUE(B1471),Client_List!$A:$A,0)),""))</f>
        <v/>
      </c>
      <c r="H1471" s="32">
        <f>IF(B1471="","",IFERROR(INDEX(Client_List!$J:$J,MATCH(VALUE(B1471),Client_List!$A:$A,0)),""))</f>
        <v/>
      </c>
      <c r="I1471" s="70">
        <f>IF(B1471="","",IFERROR(A1471-LOOKUP(2,1/($B$4:$B1470=B1471),$A$4:$A1470),""))</f>
        <v/>
      </c>
      <c r="J1471" s="32">
        <f>IF(B1471="","",IFERROR(D1471/I1471,""))</f>
        <v/>
      </c>
      <c r="K1471" s="71">
        <f>IF(B1471="","",IFERROR(AVERAGEIFS($J$4:$J1471,$B$4:$B1471,B1471,$J$4:$J1471,"&gt;"&amp;0),""))</f>
        <v/>
      </c>
      <c r="L1471" s="11" t="n"/>
    </row>
    <row r="1472" ht="14" customHeight="1" s="72">
      <c r="A1472" s="80" t="n"/>
      <c r="B1472" s="81" t="n"/>
      <c r="C1472" s="69">
        <f>IF(B1472="","",IFERROR(INDEX(Client_List!$B:$B,MATCH(B1472,Client_List!$A:$A,0)),"⚠ NOT FOUND"))</f>
        <v/>
      </c>
      <c r="D1472" s="45" t="n"/>
      <c r="E1472" s="32">
        <f>IF(B1472="","",IFERROR(INDEX(Client_List!$C:$C,MATCH(VALUE(B1472),Client_List!$A:$A,0)),""))</f>
        <v/>
      </c>
      <c r="F1472" s="53">
        <f>IF(B1472="","",IFERROR(INDEX(Client_List!$D:$D,MATCH(VALUE(B1472),Client_List!$A:$A,0)),""))</f>
        <v/>
      </c>
      <c r="G1472" s="53">
        <f>IF(B1472="","",IFERROR(INDEX(Client_List!$K:$K,MATCH(VALUE(B1472),Client_List!$A:$A,0)),""))</f>
        <v/>
      </c>
      <c r="H1472" s="32">
        <f>IF(B1472="","",IFERROR(INDEX(Client_List!$J:$J,MATCH(VALUE(B1472),Client_List!$A:$A,0)),""))</f>
        <v/>
      </c>
      <c r="I1472" s="70">
        <f>IF(B1472="","",IFERROR(A1472-LOOKUP(2,1/($B$4:$B1471=B1472),$A$4:$A1471),""))</f>
        <v/>
      </c>
      <c r="J1472" s="32">
        <f>IF(B1472="","",IFERROR(D1472/I1472,""))</f>
        <v/>
      </c>
      <c r="K1472" s="71">
        <f>IF(B1472="","",IFERROR(AVERAGEIFS($J$4:$J1472,$B$4:$B1472,B1472,$J$4:$J1472,"&gt;"&amp;0),""))</f>
        <v/>
      </c>
      <c r="L1472" s="12" t="n"/>
    </row>
    <row r="1473" ht="14" customHeight="1" s="72">
      <c r="A1473" s="78" t="n"/>
      <c r="B1473" s="79" t="n"/>
      <c r="C1473" s="69">
        <f>IF(B1473="","",IFERROR(INDEX(Client_List!$B:$B,MATCH(B1473,Client_List!$A:$A,0)),"⚠ NOT FOUND"))</f>
        <v/>
      </c>
      <c r="D1473" s="44" t="n"/>
      <c r="E1473" s="32">
        <f>IF(B1473="","",IFERROR(INDEX(Client_List!$C:$C,MATCH(VALUE(B1473),Client_List!$A:$A,0)),""))</f>
        <v/>
      </c>
      <c r="F1473" s="53">
        <f>IF(B1473="","",IFERROR(INDEX(Client_List!$D:$D,MATCH(VALUE(B1473),Client_List!$A:$A,0)),""))</f>
        <v/>
      </c>
      <c r="G1473" s="53">
        <f>IF(B1473="","",IFERROR(INDEX(Client_List!$K:$K,MATCH(VALUE(B1473),Client_List!$A:$A,0)),""))</f>
        <v/>
      </c>
      <c r="H1473" s="32">
        <f>IF(B1473="","",IFERROR(INDEX(Client_List!$J:$J,MATCH(VALUE(B1473),Client_List!$A:$A,0)),""))</f>
        <v/>
      </c>
      <c r="I1473" s="70">
        <f>IF(B1473="","",IFERROR(A1473-LOOKUP(2,1/($B$4:$B1472=B1473),$A$4:$A1472),""))</f>
        <v/>
      </c>
      <c r="J1473" s="32">
        <f>IF(B1473="","",IFERROR(D1473/I1473,""))</f>
        <v/>
      </c>
      <c r="K1473" s="71">
        <f>IF(B1473="","",IFERROR(AVERAGEIFS($J$4:$J1473,$B$4:$B1473,B1473,$J$4:$J1473,"&gt;"&amp;0),""))</f>
        <v/>
      </c>
      <c r="L1473" s="11" t="n"/>
    </row>
    <row r="1474" ht="14" customHeight="1" s="72">
      <c r="A1474" s="80" t="n"/>
      <c r="B1474" s="81" t="n"/>
      <c r="C1474" s="69">
        <f>IF(B1474="","",IFERROR(INDEX(Client_List!$B:$B,MATCH(B1474,Client_List!$A:$A,0)),"⚠ NOT FOUND"))</f>
        <v/>
      </c>
      <c r="D1474" s="45" t="n"/>
      <c r="E1474" s="32">
        <f>IF(B1474="","",IFERROR(INDEX(Client_List!$C:$C,MATCH(VALUE(B1474),Client_List!$A:$A,0)),""))</f>
        <v/>
      </c>
      <c r="F1474" s="53">
        <f>IF(B1474="","",IFERROR(INDEX(Client_List!$D:$D,MATCH(VALUE(B1474),Client_List!$A:$A,0)),""))</f>
        <v/>
      </c>
      <c r="G1474" s="53">
        <f>IF(B1474="","",IFERROR(INDEX(Client_List!$K:$K,MATCH(VALUE(B1474),Client_List!$A:$A,0)),""))</f>
        <v/>
      </c>
      <c r="H1474" s="32">
        <f>IF(B1474="","",IFERROR(INDEX(Client_List!$J:$J,MATCH(VALUE(B1474),Client_List!$A:$A,0)),""))</f>
        <v/>
      </c>
      <c r="I1474" s="70">
        <f>IF(B1474="","",IFERROR(A1474-LOOKUP(2,1/($B$4:$B1473=B1474),$A$4:$A1473),""))</f>
        <v/>
      </c>
      <c r="J1474" s="32">
        <f>IF(B1474="","",IFERROR(D1474/I1474,""))</f>
        <v/>
      </c>
      <c r="K1474" s="71">
        <f>IF(B1474="","",IFERROR(AVERAGEIFS($J$4:$J1474,$B$4:$B1474,B1474,$J$4:$J1474,"&gt;"&amp;0),""))</f>
        <v/>
      </c>
      <c r="L1474" s="12" t="n"/>
    </row>
    <row r="1475" ht="14" customHeight="1" s="72">
      <c r="A1475" s="78" t="n"/>
      <c r="B1475" s="79" t="n"/>
      <c r="C1475" s="69">
        <f>IF(B1475="","",IFERROR(INDEX(Client_List!$B:$B,MATCH(B1475,Client_List!$A:$A,0)),"⚠ NOT FOUND"))</f>
        <v/>
      </c>
      <c r="D1475" s="44" t="n"/>
      <c r="E1475" s="32">
        <f>IF(B1475="","",IFERROR(INDEX(Client_List!$C:$C,MATCH(VALUE(B1475),Client_List!$A:$A,0)),""))</f>
        <v/>
      </c>
      <c r="F1475" s="53">
        <f>IF(B1475="","",IFERROR(INDEX(Client_List!$D:$D,MATCH(VALUE(B1475),Client_List!$A:$A,0)),""))</f>
        <v/>
      </c>
      <c r="G1475" s="53">
        <f>IF(B1475="","",IFERROR(INDEX(Client_List!$K:$K,MATCH(VALUE(B1475),Client_List!$A:$A,0)),""))</f>
        <v/>
      </c>
      <c r="H1475" s="32">
        <f>IF(B1475="","",IFERROR(INDEX(Client_List!$J:$J,MATCH(VALUE(B1475),Client_List!$A:$A,0)),""))</f>
        <v/>
      </c>
      <c r="I1475" s="70">
        <f>IF(B1475="","",IFERROR(A1475-LOOKUP(2,1/($B$4:$B1474=B1475),$A$4:$A1474),""))</f>
        <v/>
      </c>
      <c r="J1475" s="32">
        <f>IF(B1475="","",IFERROR(D1475/I1475,""))</f>
        <v/>
      </c>
      <c r="K1475" s="71">
        <f>IF(B1475="","",IFERROR(AVERAGEIFS($J$4:$J1475,$B$4:$B1475,B1475,$J$4:$J1475,"&gt;"&amp;0),""))</f>
        <v/>
      </c>
      <c r="L1475" s="11" t="n"/>
    </row>
    <row r="1476" ht="14" customHeight="1" s="72">
      <c r="A1476" s="80" t="n"/>
      <c r="B1476" s="81" t="n"/>
      <c r="C1476" s="69">
        <f>IF(B1476="","",IFERROR(INDEX(Client_List!$B:$B,MATCH(B1476,Client_List!$A:$A,0)),"⚠ NOT FOUND"))</f>
        <v/>
      </c>
      <c r="D1476" s="45" t="n"/>
      <c r="E1476" s="32">
        <f>IF(B1476="","",IFERROR(INDEX(Client_List!$C:$C,MATCH(VALUE(B1476),Client_List!$A:$A,0)),""))</f>
        <v/>
      </c>
      <c r="F1476" s="53">
        <f>IF(B1476="","",IFERROR(INDEX(Client_List!$D:$D,MATCH(VALUE(B1476),Client_List!$A:$A,0)),""))</f>
        <v/>
      </c>
      <c r="G1476" s="53">
        <f>IF(B1476="","",IFERROR(INDEX(Client_List!$K:$K,MATCH(VALUE(B1476),Client_List!$A:$A,0)),""))</f>
        <v/>
      </c>
      <c r="H1476" s="32">
        <f>IF(B1476="","",IFERROR(INDEX(Client_List!$J:$J,MATCH(VALUE(B1476),Client_List!$A:$A,0)),""))</f>
        <v/>
      </c>
      <c r="I1476" s="70">
        <f>IF(B1476="","",IFERROR(A1476-LOOKUP(2,1/($B$4:$B1475=B1476),$A$4:$A1475),""))</f>
        <v/>
      </c>
      <c r="J1476" s="32">
        <f>IF(B1476="","",IFERROR(D1476/I1476,""))</f>
        <v/>
      </c>
      <c r="K1476" s="71">
        <f>IF(B1476="","",IFERROR(AVERAGEIFS($J$4:$J1476,$B$4:$B1476,B1476,$J$4:$J1476,"&gt;"&amp;0),""))</f>
        <v/>
      </c>
      <c r="L1476" s="12" t="n"/>
    </row>
    <row r="1477" ht="14" customHeight="1" s="72">
      <c r="A1477" s="78" t="n"/>
      <c r="B1477" s="79" t="n"/>
      <c r="C1477" s="69">
        <f>IF(B1477="","",IFERROR(INDEX(Client_List!$B:$B,MATCH(B1477,Client_List!$A:$A,0)),"⚠ NOT FOUND"))</f>
        <v/>
      </c>
      <c r="D1477" s="44" t="n"/>
      <c r="E1477" s="32">
        <f>IF(B1477="","",IFERROR(INDEX(Client_List!$C:$C,MATCH(VALUE(B1477),Client_List!$A:$A,0)),""))</f>
        <v/>
      </c>
      <c r="F1477" s="53">
        <f>IF(B1477="","",IFERROR(INDEX(Client_List!$D:$D,MATCH(VALUE(B1477),Client_List!$A:$A,0)),""))</f>
        <v/>
      </c>
      <c r="G1477" s="53">
        <f>IF(B1477="","",IFERROR(INDEX(Client_List!$K:$K,MATCH(VALUE(B1477),Client_List!$A:$A,0)),""))</f>
        <v/>
      </c>
      <c r="H1477" s="32">
        <f>IF(B1477="","",IFERROR(INDEX(Client_List!$J:$J,MATCH(VALUE(B1477),Client_List!$A:$A,0)),""))</f>
        <v/>
      </c>
      <c r="I1477" s="70">
        <f>IF(B1477="","",IFERROR(A1477-LOOKUP(2,1/($B$4:$B1476=B1477),$A$4:$A1476),""))</f>
        <v/>
      </c>
      <c r="J1477" s="32">
        <f>IF(B1477="","",IFERROR(D1477/I1477,""))</f>
        <v/>
      </c>
      <c r="K1477" s="71">
        <f>IF(B1477="","",IFERROR(AVERAGEIFS($J$4:$J1477,$B$4:$B1477,B1477,$J$4:$J1477,"&gt;"&amp;0),""))</f>
        <v/>
      </c>
      <c r="L1477" s="11" t="n"/>
    </row>
    <row r="1478" ht="14" customHeight="1" s="72">
      <c r="A1478" s="80" t="n"/>
      <c r="B1478" s="81" t="n"/>
      <c r="C1478" s="69">
        <f>IF(B1478="","",IFERROR(INDEX(Client_List!$B:$B,MATCH(B1478,Client_List!$A:$A,0)),"⚠ NOT FOUND"))</f>
        <v/>
      </c>
      <c r="D1478" s="45" t="n"/>
      <c r="E1478" s="32">
        <f>IF(B1478="","",IFERROR(INDEX(Client_List!$C:$C,MATCH(VALUE(B1478),Client_List!$A:$A,0)),""))</f>
        <v/>
      </c>
      <c r="F1478" s="53">
        <f>IF(B1478="","",IFERROR(INDEX(Client_List!$D:$D,MATCH(VALUE(B1478),Client_List!$A:$A,0)),""))</f>
        <v/>
      </c>
      <c r="G1478" s="53">
        <f>IF(B1478="","",IFERROR(INDEX(Client_List!$K:$K,MATCH(VALUE(B1478),Client_List!$A:$A,0)),""))</f>
        <v/>
      </c>
      <c r="H1478" s="32">
        <f>IF(B1478="","",IFERROR(INDEX(Client_List!$J:$J,MATCH(VALUE(B1478),Client_List!$A:$A,0)),""))</f>
        <v/>
      </c>
      <c r="I1478" s="70">
        <f>IF(B1478="","",IFERROR(A1478-LOOKUP(2,1/($B$4:$B1477=B1478),$A$4:$A1477),""))</f>
        <v/>
      </c>
      <c r="J1478" s="32">
        <f>IF(B1478="","",IFERROR(D1478/I1478,""))</f>
        <v/>
      </c>
      <c r="K1478" s="71">
        <f>IF(B1478="","",IFERROR(AVERAGEIFS($J$4:$J1478,$B$4:$B1478,B1478,$J$4:$J1478,"&gt;"&amp;0),""))</f>
        <v/>
      </c>
      <c r="L1478" s="12" t="n"/>
    </row>
    <row r="1479" ht="14" customHeight="1" s="72">
      <c r="A1479" s="78" t="n"/>
      <c r="B1479" s="79" t="n"/>
      <c r="C1479" s="69">
        <f>IF(B1479="","",IFERROR(INDEX(Client_List!$B:$B,MATCH(B1479,Client_List!$A:$A,0)),"⚠ NOT FOUND"))</f>
        <v/>
      </c>
      <c r="D1479" s="44" t="n"/>
      <c r="E1479" s="32">
        <f>IF(B1479="","",IFERROR(INDEX(Client_List!$C:$C,MATCH(VALUE(B1479),Client_List!$A:$A,0)),""))</f>
        <v/>
      </c>
      <c r="F1479" s="53">
        <f>IF(B1479="","",IFERROR(INDEX(Client_List!$D:$D,MATCH(VALUE(B1479),Client_List!$A:$A,0)),""))</f>
        <v/>
      </c>
      <c r="G1479" s="53">
        <f>IF(B1479="","",IFERROR(INDEX(Client_List!$K:$K,MATCH(VALUE(B1479),Client_List!$A:$A,0)),""))</f>
        <v/>
      </c>
      <c r="H1479" s="32">
        <f>IF(B1479="","",IFERROR(INDEX(Client_List!$J:$J,MATCH(VALUE(B1479),Client_List!$A:$A,0)),""))</f>
        <v/>
      </c>
      <c r="I1479" s="70">
        <f>IF(B1479="","",IFERROR(A1479-LOOKUP(2,1/($B$4:$B1478=B1479),$A$4:$A1478),""))</f>
        <v/>
      </c>
      <c r="J1479" s="32">
        <f>IF(B1479="","",IFERROR(D1479/I1479,""))</f>
        <v/>
      </c>
      <c r="K1479" s="71">
        <f>IF(B1479="","",IFERROR(AVERAGEIFS($J$4:$J1479,$B$4:$B1479,B1479,$J$4:$J1479,"&gt;"&amp;0),""))</f>
        <v/>
      </c>
      <c r="L1479" s="11" t="n"/>
    </row>
    <row r="1480" ht="14" customHeight="1" s="72">
      <c r="A1480" s="80" t="n"/>
      <c r="B1480" s="81" t="n"/>
      <c r="C1480" s="69">
        <f>IF(B1480="","",IFERROR(INDEX(Client_List!$B:$B,MATCH(B1480,Client_List!$A:$A,0)),"⚠ NOT FOUND"))</f>
        <v/>
      </c>
      <c r="D1480" s="45" t="n"/>
      <c r="E1480" s="32">
        <f>IF(B1480="","",IFERROR(INDEX(Client_List!$C:$C,MATCH(VALUE(B1480),Client_List!$A:$A,0)),""))</f>
        <v/>
      </c>
      <c r="F1480" s="53">
        <f>IF(B1480="","",IFERROR(INDEX(Client_List!$D:$D,MATCH(VALUE(B1480),Client_List!$A:$A,0)),""))</f>
        <v/>
      </c>
      <c r="G1480" s="53">
        <f>IF(B1480="","",IFERROR(INDEX(Client_List!$K:$K,MATCH(VALUE(B1480),Client_List!$A:$A,0)),""))</f>
        <v/>
      </c>
      <c r="H1480" s="32">
        <f>IF(B1480="","",IFERROR(INDEX(Client_List!$J:$J,MATCH(VALUE(B1480),Client_List!$A:$A,0)),""))</f>
        <v/>
      </c>
      <c r="I1480" s="70">
        <f>IF(B1480="","",IFERROR(A1480-LOOKUP(2,1/($B$4:$B1479=B1480),$A$4:$A1479),""))</f>
        <v/>
      </c>
      <c r="J1480" s="32">
        <f>IF(B1480="","",IFERROR(D1480/I1480,""))</f>
        <v/>
      </c>
      <c r="K1480" s="71">
        <f>IF(B1480="","",IFERROR(AVERAGEIFS($J$4:$J1480,$B$4:$B1480,B1480,$J$4:$J1480,"&gt;"&amp;0),""))</f>
        <v/>
      </c>
      <c r="L1480" s="12" t="n"/>
    </row>
    <row r="1481" ht="14" customHeight="1" s="72">
      <c r="A1481" s="78" t="n"/>
      <c r="B1481" s="79" t="n"/>
      <c r="C1481" s="69">
        <f>IF(B1481="","",IFERROR(INDEX(Client_List!$B:$B,MATCH(B1481,Client_List!$A:$A,0)),"⚠ NOT FOUND"))</f>
        <v/>
      </c>
      <c r="D1481" s="44" t="n"/>
      <c r="E1481" s="32">
        <f>IF(B1481="","",IFERROR(INDEX(Client_List!$C:$C,MATCH(VALUE(B1481),Client_List!$A:$A,0)),""))</f>
        <v/>
      </c>
      <c r="F1481" s="53">
        <f>IF(B1481="","",IFERROR(INDEX(Client_List!$D:$D,MATCH(VALUE(B1481),Client_List!$A:$A,0)),""))</f>
        <v/>
      </c>
      <c r="G1481" s="53">
        <f>IF(B1481="","",IFERROR(INDEX(Client_List!$K:$K,MATCH(VALUE(B1481),Client_List!$A:$A,0)),""))</f>
        <v/>
      </c>
      <c r="H1481" s="32">
        <f>IF(B1481="","",IFERROR(INDEX(Client_List!$J:$J,MATCH(VALUE(B1481),Client_List!$A:$A,0)),""))</f>
        <v/>
      </c>
      <c r="I1481" s="70">
        <f>IF(B1481="","",IFERROR(A1481-LOOKUP(2,1/($B$4:$B1480=B1481),$A$4:$A1480),""))</f>
        <v/>
      </c>
      <c r="J1481" s="32">
        <f>IF(B1481="","",IFERROR(D1481/I1481,""))</f>
        <v/>
      </c>
      <c r="K1481" s="71">
        <f>IF(B1481="","",IFERROR(AVERAGEIFS($J$4:$J1481,$B$4:$B1481,B1481,$J$4:$J1481,"&gt;"&amp;0),""))</f>
        <v/>
      </c>
      <c r="L1481" s="11" t="n"/>
    </row>
    <row r="1482" ht="14" customHeight="1" s="72">
      <c r="A1482" s="80" t="n"/>
      <c r="B1482" s="81" t="n"/>
      <c r="C1482" s="69">
        <f>IF(B1482="","",IFERROR(INDEX(Client_List!$B:$B,MATCH(B1482,Client_List!$A:$A,0)),"⚠ NOT FOUND"))</f>
        <v/>
      </c>
      <c r="D1482" s="45" t="n"/>
      <c r="E1482" s="32">
        <f>IF(B1482="","",IFERROR(INDEX(Client_List!$C:$C,MATCH(VALUE(B1482),Client_List!$A:$A,0)),""))</f>
        <v/>
      </c>
      <c r="F1482" s="53">
        <f>IF(B1482="","",IFERROR(INDEX(Client_List!$D:$D,MATCH(VALUE(B1482),Client_List!$A:$A,0)),""))</f>
        <v/>
      </c>
      <c r="G1482" s="53">
        <f>IF(B1482="","",IFERROR(INDEX(Client_List!$K:$K,MATCH(VALUE(B1482),Client_List!$A:$A,0)),""))</f>
        <v/>
      </c>
      <c r="H1482" s="32">
        <f>IF(B1482="","",IFERROR(INDEX(Client_List!$J:$J,MATCH(VALUE(B1482),Client_List!$A:$A,0)),""))</f>
        <v/>
      </c>
      <c r="I1482" s="70">
        <f>IF(B1482="","",IFERROR(A1482-LOOKUP(2,1/($B$4:$B1481=B1482),$A$4:$A1481),""))</f>
        <v/>
      </c>
      <c r="J1482" s="32">
        <f>IF(B1482="","",IFERROR(D1482/I1482,""))</f>
        <v/>
      </c>
      <c r="K1482" s="71">
        <f>IF(B1482="","",IFERROR(AVERAGEIFS($J$4:$J1482,$B$4:$B1482,B1482,$J$4:$J1482,"&gt;"&amp;0),""))</f>
        <v/>
      </c>
      <c r="L1482" s="12" t="n"/>
    </row>
    <row r="1483" ht="14" customHeight="1" s="72">
      <c r="A1483" s="78" t="n"/>
      <c r="B1483" s="79" t="n"/>
      <c r="C1483" s="69">
        <f>IF(B1483="","",IFERROR(INDEX(Client_List!$B:$B,MATCH(B1483,Client_List!$A:$A,0)),"⚠ NOT FOUND"))</f>
        <v/>
      </c>
      <c r="D1483" s="44" t="n"/>
      <c r="E1483" s="32">
        <f>IF(B1483="","",IFERROR(INDEX(Client_List!$C:$C,MATCH(VALUE(B1483),Client_List!$A:$A,0)),""))</f>
        <v/>
      </c>
      <c r="F1483" s="53">
        <f>IF(B1483="","",IFERROR(INDEX(Client_List!$D:$D,MATCH(VALUE(B1483),Client_List!$A:$A,0)),""))</f>
        <v/>
      </c>
      <c r="G1483" s="53">
        <f>IF(B1483="","",IFERROR(INDEX(Client_List!$K:$K,MATCH(VALUE(B1483),Client_List!$A:$A,0)),""))</f>
        <v/>
      </c>
      <c r="H1483" s="32">
        <f>IF(B1483="","",IFERROR(INDEX(Client_List!$J:$J,MATCH(VALUE(B1483),Client_List!$A:$A,0)),""))</f>
        <v/>
      </c>
      <c r="I1483" s="70">
        <f>IF(B1483="","",IFERROR(A1483-LOOKUP(2,1/($B$4:$B1482=B1483),$A$4:$A1482),""))</f>
        <v/>
      </c>
      <c r="J1483" s="32">
        <f>IF(B1483="","",IFERROR(D1483/I1483,""))</f>
        <v/>
      </c>
      <c r="K1483" s="71">
        <f>IF(B1483="","",IFERROR(AVERAGEIFS($J$4:$J1483,$B$4:$B1483,B1483,$J$4:$J1483,"&gt;"&amp;0),""))</f>
        <v/>
      </c>
      <c r="L1483" s="11" t="n"/>
    </row>
    <row r="1484" ht="14" customHeight="1" s="72">
      <c r="A1484" s="80" t="n"/>
      <c r="B1484" s="81" t="n"/>
      <c r="C1484" s="69">
        <f>IF(B1484="","",IFERROR(INDEX(Client_List!$B:$B,MATCH(B1484,Client_List!$A:$A,0)),"⚠ NOT FOUND"))</f>
        <v/>
      </c>
      <c r="D1484" s="45" t="n"/>
      <c r="E1484" s="32">
        <f>IF(B1484="","",IFERROR(INDEX(Client_List!$C:$C,MATCH(VALUE(B1484),Client_List!$A:$A,0)),""))</f>
        <v/>
      </c>
      <c r="F1484" s="53">
        <f>IF(B1484="","",IFERROR(INDEX(Client_List!$D:$D,MATCH(VALUE(B1484),Client_List!$A:$A,0)),""))</f>
        <v/>
      </c>
      <c r="G1484" s="53">
        <f>IF(B1484="","",IFERROR(INDEX(Client_List!$K:$K,MATCH(VALUE(B1484),Client_List!$A:$A,0)),""))</f>
        <v/>
      </c>
      <c r="H1484" s="32">
        <f>IF(B1484="","",IFERROR(INDEX(Client_List!$J:$J,MATCH(VALUE(B1484),Client_List!$A:$A,0)),""))</f>
        <v/>
      </c>
      <c r="I1484" s="70">
        <f>IF(B1484="","",IFERROR(A1484-LOOKUP(2,1/($B$4:$B1483=B1484),$A$4:$A1483),""))</f>
        <v/>
      </c>
      <c r="J1484" s="32">
        <f>IF(B1484="","",IFERROR(D1484/I1484,""))</f>
        <v/>
      </c>
      <c r="K1484" s="71">
        <f>IF(B1484="","",IFERROR(AVERAGEIFS($J$4:$J1484,$B$4:$B1484,B1484,$J$4:$J1484,"&gt;"&amp;0),""))</f>
        <v/>
      </c>
      <c r="L1484" s="12" t="n"/>
    </row>
    <row r="1485" ht="14" customHeight="1" s="72">
      <c r="A1485" s="78" t="n"/>
      <c r="B1485" s="79" t="n"/>
      <c r="C1485" s="69">
        <f>IF(B1485="","",IFERROR(INDEX(Client_List!$B:$B,MATCH(B1485,Client_List!$A:$A,0)),"⚠ NOT FOUND"))</f>
        <v/>
      </c>
      <c r="D1485" s="44" t="n"/>
      <c r="E1485" s="32">
        <f>IF(B1485="","",IFERROR(INDEX(Client_List!$C:$C,MATCH(VALUE(B1485),Client_List!$A:$A,0)),""))</f>
        <v/>
      </c>
      <c r="F1485" s="53">
        <f>IF(B1485="","",IFERROR(INDEX(Client_List!$D:$D,MATCH(VALUE(B1485),Client_List!$A:$A,0)),""))</f>
        <v/>
      </c>
      <c r="G1485" s="53">
        <f>IF(B1485="","",IFERROR(INDEX(Client_List!$K:$K,MATCH(VALUE(B1485),Client_List!$A:$A,0)),""))</f>
        <v/>
      </c>
      <c r="H1485" s="32">
        <f>IF(B1485="","",IFERROR(INDEX(Client_List!$J:$J,MATCH(VALUE(B1485),Client_List!$A:$A,0)),""))</f>
        <v/>
      </c>
      <c r="I1485" s="70">
        <f>IF(B1485="","",IFERROR(A1485-LOOKUP(2,1/($B$4:$B1484=B1485),$A$4:$A1484),""))</f>
        <v/>
      </c>
      <c r="J1485" s="32">
        <f>IF(B1485="","",IFERROR(D1485/I1485,""))</f>
        <v/>
      </c>
      <c r="K1485" s="71">
        <f>IF(B1485="","",IFERROR(AVERAGEIFS($J$4:$J1485,$B$4:$B1485,B1485,$J$4:$J1485,"&gt;"&amp;0),""))</f>
        <v/>
      </c>
      <c r="L1485" s="11" t="n"/>
    </row>
    <row r="1486" ht="14" customHeight="1" s="72">
      <c r="A1486" s="80" t="n"/>
      <c r="B1486" s="81" t="n"/>
      <c r="C1486" s="69">
        <f>IF(B1486="","",IFERROR(INDEX(Client_List!$B:$B,MATCH(B1486,Client_List!$A:$A,0)),"⚠ NOT FOUND"))</f>
        <v/>
      </c>
      <c r="D1486" s="45" t="n"/>
      <c r="E1486" s="32">
        <f>IF(B1486="","",IFERROR(INDEX(Client_List!$C:$C,MATCH(VALUE(B1486),Client_List!$A:$A,0)),""))</f>
        <v/>
      </c>
      <c r="F1486" s="53">
        <f>IF(B1486="","",IFERROR(INDEX(Client_List!$D:$D,MATCH(VALUE(B1486),Client_List!$A:$A,0)),""))</f>
        <v/>
      </c>
      <c r="G1486" s="53">
        <f>IF(B1486="","",IFERROR(INDEX(Client_List!$K:$K,MATCH(VALUE(B1486),Client_List!$A:$A,0)),""))</f>
        <v/>
      </c>
      <c r="H1486" s="32">
        <f>IF(B1486="","",IFERROR(INDEX(Client_List!$J:$J,MATCH(VALUE(B1486),Client_List!$A:$A,0)),""))</f>
        <v/>
      </c>
      <c r="I1486" s="70">
        <f>IF(B1486="","",IFERROR(A1486-LOOKUP(2,1/($B$4:$B1485=B1486),$A$4:$A1485),""))</f>
        <v/>
      </c>
      <c r="J1486" s="32">
        <f>IF(B1486="","",IFERROR(D1486/I1486,""))</f>
        <v/>
      </c>
      <c r="K1486" s="71">
        <f>IF(B1486="","",IFERROR(AVERAGEIFS($J$4:$J1486,$B$4:$B1486,B1486,$J$4:$J1486,"&gt;"&amp;0),""))</f>
        <v/>
      </c>
      <c r="L1486" s="12" t="n"/>
    </row>
    <row r="1487" ht="14" customHeight="1" s="72">
      <c r="A1487" s="78" t="n"/>
      <c r="B1487" s="79" t="n"/>
      <c r="C1487" s="69">
        <f>IF(B1487="","",IFERROR(INDEX(Client_List!$B:$B,MATCH(B1487,Client_List!$A:$A,0)),"⚠ NOT FOUND"))</f>
        <v/>
      </c>
      <c r="D1487" s="44" t="n"/>
      <c r="E1487" s="32">
        <f>IF(B1487="","",IFERROR(INDEX(Client_List!$C:$C,MATCH(VALUE(B1487),Client_List!$A:$A,0)),""))</f>
        <v/>
      </c>
      <c r="F1487" s="53">
        <f>IF(B1487="","",IFERROR(INDEX(Client_List!$D:$D,MATCH(VALUE(B1487),Client_List!$A:$A,0)),""))</f>
        <v/>
      </c>
      <c r="G1487" s="53">
        <f>IF(B1487="","",IFERROR(INDEX(Client_List!$K:$K,MATCH(VALUE(B1487),Client_List!$A:$A,0)),""))</f>
        <v/>
      </c>
      <c r="H1487" s="32">
        <f>IF(B1487="","",IFERROR(INDEX(Client_List!$J:$J,MATCH(VALUE(B1487),Client_List!$A:$A,0)),""))</f>
        <v/>
      </c>
      <c r="I1487" s="70">
        <f>IF(B1487="","",IFERROR(A1487-LOOKUP(2,1/($B$4:$B1486=B1487),$A$4:$A1486),""))</f>
        <v/>
      </c>
      <c r="J1487" s="32">
        <f>IF(B1487="","",IFERROR(D1487/I1487,""))</f>
        <v/>
      </c>
      <c r="K1487" s="71">
        <f>IF(B1487="","",IFERROR(AVERAGEIFS($J$4:$J1487,$B$4:$B1487,B1487,$J$4:$J1487,"&gt;"&amp;0),""))</f>
        <v/>
      </c>
      <c r="L1487" s="11" t="n"/>
    </row>
    <row r="1488" ht="14" customHeight="1" s="72">
      <c r="A1488" s="80" t="n"/>
      <c r="B1488" s="81" t="n"/>
      <c r="C1488" s="69">
        <f>IF(B1488="","",IFERROR(INDEX(Client_List!$B:$B,MATCH(B1488,Client_List!$A:$A,0)),"⚠ NOT FOUND"))</f>
        <v/>
      </c>
      <c r="D1488" s="45" t="n"/>
      <c r="E1488" s="32">
        <f>IF(B1488="","",IFERROR(INDEX(Client_List!$C:$C,MATCH(VALUE(B1488),Client_List!$A:$A,0)),""))</f>
        <v/>
      </c>
      <c r="F1488" s="53">
        <f>IF(B1488="","",IFERROR(INDEX(Client_List!$D:$D,MATCH(VALUE(B1488),Client_List!$A:$A,0)),""))</f>
        <v/>
      </c>
      <c r="G1488" s="53">
        <f>IF(B1488="","",IFERROR(INDEX(Client_List!$K:$K,MATCH(VALUE(B1488),Client_List!$A:$A,0)),""))</f>
        <v/>
      </c>
      <c r="H1488" s="32">
        <f>IF(B1488="","",IFERROR(INDEX(Client_List!$J:$J,MATCH(VALUE(B1488),Client_List!$A:$A,0)),""))</f>
        <v/>
      </c>
      <c r="I1488" s="70">
        <f>IF(B1488="","",IFERROR(A1488-LOOKUP(2,1/($B$4:$B1487=B1488),$A$4:$A1487),""))</f>
        <v/>
      </c>
      <c r="J1488" s="32">
        <f>IF(B1488="","",IFERROR(D1488/I1488,""))</f>
        <v/>
      </c>
      <c r="K1488" s="71">
        <f>IF(B1488="","",IFERROR(AVERAGEIFS($J$4:$J1488,$B$4:$B1488,B1488,$J$4:$J1488,"&gt;"&amp;0),""))</f>
        <v/>
      </c>
      <c r="L1488" s="12" t="n"/>
    </row>
    <row r="1489" ht="14" customHeight="1" s="72">
      <c r="A1489" s="78" t="n"/>
      <c r="B1489" s="79" t="n"/>
      <c r="C1489" s="69">
        <f>IF(B1489="","",IFERROR(INDEX(Client_List!$B:$B,MATCH(B1489,Client_List!$A:$A,0)),"⚠ NOT FOUND"))</f>
        <v/>
      </c>
      <c r="D1489" s="44" t="n"/>
      <c r="E1489" s="32">
        <f>IF(B1489="","",IFERROR(INDEX(Client_List!$C:$C,MATCH(VALUE(B1489),Client_List!$A:$A,0)),""))</f>
        <v/>
      </c>
      <c r="F1489" s="53">
        <f>IF(B1489="","",IFERROR(INDEX(Client_List!$D:$D,MATCH(VALUE(B1489),Client_List!$A:$A,0)),""))</f>
        <v/>
      </c>
      <c r="G1489" s="53">
        <f>IF(B1489="","",IFERROR(INDEX(Client_List!$K:$K,MATCH(VALUE(B1489),Client_List!$A:$A,0)),""))</f>
        <v/>
      </c>
      <c r="H1489" s="32">
        <f>IF(B1489="","",IFERROR(INDEX(Client_List!$J:$J,MATCH(VALUE(B1489),Client_List!$A:$A,0)),""))</f>
        <v/>
      </c>
      <c r="I1489" s="70">
        <f>IF(B1489="","",IFERROR(A1489-LOOKUP(2,1/($B$4:$B1488=B1489),$A$4:$A1488),""))</f>
        <v/>
      </c>
      <c r="J1489" s="32">
        <f>IF(B1489="","",IFERROR(D1489/I1489,""))</f>
        <v/>
      </c>
      <c r="K1489" s="71">
        <f>IF(B1489="","",IFERROR(AVERAGEIFS($J$4:$J1489,$B$4:$B1489,B1489,$J$4:$J1489,"&gt;"&amp;0),""))</f>
        <v/>
      </c>
      <c r="L1489" s="11" t="n"/>
    </row>
    <row r="1490" ht="14" customHeight="1" s="72">
      <c r="A1490" s="80" t="n"/>
      <c r="B1490" s="81" t="n"/>
      <c r="C1490" s="69">
        <f>IF(B1490="","",IFERROR(INDEX(Client_List!$B:$B,MATCH(B1490,Client_List!$A:$A,0)),"⚠ NOT FOUND"))</f>
        <v/>
      </c>
      <c r="D1490" s="45" t="n"/>
      <c r="E1490" s="32">
        <f>IF(B1490="","",IFERROR(INDEX(Client_List!$C:$C,MATCH(VALUE(B1490),Client_List!$A:$A,0)),""))</f>
        <v/>
      </c>
      <c r="F1490" s="53">
        <f>IF(B1490="","",IFERROR(INDEX(Client_List!$D:$D,MATCH(VALUE(B1490),Client_List!$A:$A,0)),""))</f>
        <v/>
      </c>
      <c r="G1490" s="53">
        <f>IF(B1490="","",IFERROR(INDEX(Client_List!$K:$K,MATCH(VALUE(B1490),Client_List!$A:$A,0)),""))</f>
        <v/>
      </c>
      <c r="H1490" s="32">
        <f>IF(B1490="","",IFERROR(INDEX(Client_List!$J:$J,MATCH(VALUE(B1490),Client_List!$A:$A,0)),""))</f>
        <v/>
      </c>
      <c r="I1490" s="70">
        <f>IF(B1490="","",IFERROR(A1490-LOOKUP(2,1/($B$4:$B1489=B1490),$A$4:$A1489),""))</f>
        <v/>
      </c>
      <c r="J1490" s="32">
        <f>IF(B1490="","",IFERROR(D1490/I1490,""))</f>
        <v/>
      </c>
      <c r="K1490" s="71">
        <f>IF(B1490="","",IFERROR(AVERAGEIFS($J$4:$J1490,$B$4:$B1490,B1490,$J$4:$J1490,"&gt;"&amp;0),""))</f>
        <v/>
      </c>
      <c r="L1490" s="12" t="n"/>
    </row>
    <row r="1491" ht="14" customHeight="1" s="72">
      <c r="A1491" s="78" t="n"/>
      <c r="B1491" s="79" t="n"/>
      <c r="C1491" s="69">
        <f>IF(B1491="","",IFERROR(INDEX(Client_List!$B:$B,MATCH(B1491,Client_List!$A:$A,0)),"⚠ NOT FOUND"))</f>
        <v/>
      </c>
      <c r="D1491" s="44" t="n"/>
      <c r="E1491" s="32">
        <f>IF(B1491="","",IFERROR(INDEX(Client_List!$C:$C,MATCH(VALUE(B1491),Client_List!$A:$A,0)),""))</f>
        <v/>
      </c>
      <c r="F1491" s="53">
        <f>IF(B1491="","",IFERROR(INDEX(Client_List!$D:$D,MATCH(VALUE(B1491),Client_List!$A:$A,0)),""))</f>
        <v/>
      </c>
      <c r="G1491" s="53">
        <f>IF(B1491="","",IFERROR(INDEX(Client_List!$K:$K,MATCH(VALUE(B1491),Client_List!$A:$A,0)),""))</f>
        <v/>
      </c>
      <c r="H1491" s="32">
        <f>IF(B1491="","",IFERROR(INDEX(Client_List!$J:$J,MATCH(VALUE(B1491),Client_List!$A:$A,0)),""))</f>
        <v/>
      </c>
      <c r="I1491" s="70">
        <f>IF(B1491="","",IFERROR(A1491-LOOKUP(2,1/($B$4:$B1490=B1491),$A$4:$A1490),""))</f>
        <v/>
      </c>
      <c r="J1491" s="32">
        <f>IF(B1491="","",IFERROR(D1491/I1491,""))</f>
        <v/>
      </c>
      <c r="K1491" s="71">
        <f>IF(B1491="","",IFERROR(AVERAGEIFS($J$4:$J1491,$B$4:$B1491,B1491,$J$4:$J1491,"&gt;"&amp;0),""))</f>
        <v/>
      </c>
      <c r="L1491" s="11" t="n"/>
    </row>
    <row r="1492" ht="14" customHeight="1" s="72">
      <c r="A1492" s="80" t="n"/>
      <c r="B1492" s="81" t="n"/>
      <c r="C1492" s="69">
        <f>IF(B1492="","",IFERROR(INDEX(Client_List!$B:$B,MATCH(B1492,Client_List!$A:$A,0)),"⚠ NOT FOUND"))</f>
        <v/>
      </c>
      <c r="D1492" s="45" t="n"/>
      <c r="E1492" s="32">
        <f>IF(B1492="","",IFERROR(INDEX(Client_List!$C:$C,MATCH(VALUE(B1492),Client_List!$A:$A,0)),""))</f>
        <v/>
      </c>
      <c r="F1492" s="53">
        <f>IF(B1492="","",IFERROR(INDEX(Client_List!$D:$D,MATCH(VALUE(B1492),Client_List!$A:$A,0)),""))</f>
        <v/>
      </c>
      <c r="G1492" s="53">
        <f>IF(B1492="","",IFERROR(INDEX(Client_List!$K:$K,MATCH(VALUE(B1492),Client_List!$A:$A,0)),""))</f>
        <v/>
      </c>
      <c r="H1492" s="32">
        <f>IF(B1492="","",IFERROR(INDEX(Client_List!$J:$J,MATCH(VALUE(B1492),Client_List!$A:$A,0)),""))</f>
        <v/>
      </c>
      <c r="I1492" s="70">
        <f>IF(B1492="","",IFERROR(A1492-LOOKUP(2,1/($B$4:$B1491=B1492),$A$4:$A1491),""))</f>
        <v/>
      </c>
      <c r="J1492" s="32">
        <f>IF(B1492="","",IFERROR(D1492/I1492,""))</f>
        <v/>
      </c>
      <c r="K1492" s="71">
        <f>IF(B1492="","",IFERROR(AVERAGEIFS($J$4:$J1492,$B$4:$B1492,B1492,$J$4:$J1492,"&gt;"&amp;0),""))</f>
        <v/>
      </c>
      <c r="L1492" s="12" t="n"/>
    </row>
    <row r="1493" ht="14" customHeight="1" s="72">
      <c r="A1493" s="78" t="n"/>
      <c r="B1493" s="79" t="n"/>
      <c r="C1493" s="69">
        <f>IF(B1493="","",IFERROR(INDEX(Client_List!$B:$B,MATCH(B1493,Client_List!$A:$A,0)),"⚠ NOT FOUND"))</f>
        <v/>
      </c>
      <c r="D1493" s="44" t="n"/>
      <c r="E1493" s="32">
        <f>IF(B1493="","",IFERROR(INDEX(Client_List!$C:$C,MATCH(VALUE(B1493),Client_List!$A:$A,0)),""))</f>
        <v/>
      </c>
      <c r="F1493" s="53">
        <f>IF(B1493="","",IFERROR(INDEX(Client_List!$D:$D,MATCH(VALUE(B1493),Client_List!$A:$A,0)),""))</f>
        <v/>
      </c>
      <c r="G1493" s="53">
        <f>IF(B1493="","",IFERROR(INDEX(Client_List!$K:$K,MATCH(VALUE(B1493),Client_List!$A:$A,0)),""))</f>
        <v/>
      </c>
      <c r="H1493" s="32">
        <f>IF(B1493="","",IFERROR(INDEX(Client_List!$J:$J,MATCH(VALUE(B1493),Client_List!$A:$A,0)),""))</f>
        <v/>
      </c>
      <c r="I1493" s="70">
        <f>IF(B1493="","",IFERROR(A1493-LOOKUP(2,1/($B$4:$B1492=B1493),$A$4:$A1492),""))</f>
        <v/>
      </c>
      <c r="J1493" s="32">
        <f>IF(B1493="","",IFERROR(D1493/I1493,""))</f>
        <v/>
      </c>
      <c r="K1493" s="71">
        <f>IF(B1493="","",IFERROR(AVERAGEIFS($J$4:$J1493,$B$4:$B1493,B1493,$J$4:$J1493,"&gt;"&amp;0),""))</f>
        <v/>
      </c>
      <c r="L1493" s="11" t="n"/>
    </row>
    <row r="1494" ht="14" customHeight="1" s="72">
      <c r="A1494" s="80" t="n"/>
      <c r="B1494" s="81" t="n"/>
      <c r="C1494" s="69">
        <f>IF(B1494="","",IFERROR(INDEX(Client_List!$B:$B,MATCH(B1494,Client_List!$A:$A,0)),"⚠ NOT FOUND"))</f>
        <v/>
      </c>
      <c r="D1494" s="45" t="n"/>
      <c r="E1494" s="32">
        <f>IF(B1494="","",IFERROR(INDEX(Client_List!$C:$C,MATCH(VALUE(B1494),Client_List!$A:$A,0)),""))</f>
        <v/>
      </c>
      <c r="F1494" s="53">
        <f>IF(B1494="","",IFERROR(INDEX(Client_List!$D:$D,MATCH(VALUE(B1494),Client_List!$A:$A,0)),""))</f>
        <v/>
      </c>
      <c r="G1494" s="53">
        <f>IF(B1494="","",IFERROR(INDEX(Client_List!$K:$K,MATCH(VALUE(B1494),Client_List!$A:$A,0)),""))</f>
        <v/>
      </c>
      <c r="H1494" s="32">
        <f>IF(B1494="","",IFERROR(INDEX(Client_List!$J:$J,MATCH(VALUE(B1494),Client_List!$A:$A,0)),""))</f>
        <v/>
      </c>
      <c r="I1494" s="70">
        <f>IF(B1494="","",IFERROR(A1494-LOOKUP(2,1/($B$4:$B1493=B1494),$A$4:$A1493),""))</f>
        <v/>
      </c>
      <c r="J1494" s="32">
        <f>IF(B1494="","",IFERROR(D1494/I1494,""))</f>
        <v/>
      </c>
      <c r="K1494" s="71">
        <f>IF(B1494="","",IFERROR(AVERAGEIFS($J$4:$J1494,$B$4:$B1494,B1494,$J$4:$J1494,"&gt;"&amp;0),""))</f>
        <v/>
      </c>
      <c r="L1494" s="12" t="n"/>
    </row>
    <row r="1495" ht="14" customHeight="1" s="72">
      <c r="A1495" s="78" t="n"/>
      <c r="B1495" s="79" t="n"/>
      <c r="C1495" s="69">
        <f>IF(B1495="","",IFERROR(INDEX(Client_List!$B:$B,MATCH(B1495,Client_List!$A:$A,0)),"⚠ NOT FOUND"))</f>
        <v/>
      </c>
      <c r="D1495" s="44" t="n"/>
      <c r="E1495" s="32">
        <f>IF(B1495="","",IFERROR(INDEX(Client_List!$C:$C,MATCH(VALUE(B1495),Client_List!$A:$A,0)),""))</f>
        <v/>
      </c>
      <c r="F1495" s="53">
        <f>IF(B1495="","",IFERROR(INDEX(Client_List!$D:$D,MATCH(VALUE(B1495),Client_List!$A:$A,0)),""))</f>
        <v/>
      </c>
      <c r="G1495" s="53">
        <f>IF(B1495="","",IFERROR(INDEX(Client_List!$K:$K,MATCH(VALUE(B1495),Client_List!$A:$A,0)),""))</f>
        <v/>
      </c>
      <c r="H1495" s="32">
        <f>IF(B1495="","",IFERROR(INDEX(Client_List!$J:$J,MATCH(VALUE(B1495),Client_List!$A:$A,0)),""))</f>
        <v/>
      </c>
      <c r="I1495" s="70">
        <f>IF(B1495="","",IFERROR(A1495-LOOKUP(2,1/($B$4:$B1494=B1495),$A$4:$A1494),""))</f>
        <v/>
      </c>
      <c r="J1495" s="32">
        <f>IF(B1495="","",IFERROR(D1495/I1495,""))</f>
        <v/>
      </c>
      <c r="K1495" s="71">
        <f>IF(B1495="","",IFERROR(AVERAGEIFS($J$4:$J1495,$B$4:$B1495,B1495,$J$4:$J1495,"&gt;"&amp;0),""))</f>
        <v/>
      </c>
      <c r="L1495" s="11" t="n"/>
    </row>
    <row r="1496" ht="14" customHeight="1" s="72">
      <c r="A1496" s="80" t="n"/>
      <c r="B1496" s="81" t="n"/>
      <c r="C1496" s="69">
        <f>IF(B1496="","",IFERROR(INDEX(Client_List!$B:$B,MATCH(B1496,Client_List!$A:$A,0)),"⚠ NOT FOUND"))</f>
        <v/>
      </c>
      <c r="D1496" s="45" t="n"/>
      <c r="E1496" s="32">
        <f>IF(B1496="","",IFERROR(INDEX(Client_List!$C:$C,MATCH(VALUE(B1496),Client_List!$A:$A,0)),""))</f>
        <v/>
      </c>
      <c r="F1496" s="53">
        <f>IF(B1496="","",IFERROR(INDEX(Client_List!$D:$D,MATCH(VALUE(B1496),Client_List!$A:$A,0)),""))</f>
        <v/>
      </c>
      <c r="G1496" s="53">
        <f>IF(B1496="","",IFERROR(INDEX(Client_List!$K:$K,MATCH(VALUE(B1496),Client_List!$A:$A,0)),""))</f>
        <v/>
      </c>
      <c r="H1496" s="32">
        <f>IF(B1496="","",IFERROR(INDEX(Client_List!$J:$J,MATCH(VALUE(B1496),Client_List!$A:$A,0)),""))</f>
        <v/>
      </c>
      <c r="I1496" s="70">
        <f>IF(B1496="","",IFERROR(A1496-LOOKUP(2,1/($B$4:$B1495=B1496),$A$4:$A1495),""))</f>
        <v/>
      </c>
      <c r="J1496" s="32">
        <f>IF(B1496="","",IFERROR(D1496/I1496,""))</f>
        <v/>
      </c>
      <c r="K1496" s="71">
        <f>IF(B1496="","",IFERROR(AVERAGEIFS($J$4:$J1496,$B$4:$B1496,B1496,$J$4:$J1496,"&gt;"&amp;0),""))</f>
        <v/>
      </c>
      <c r="L1496" s="12" t="n"/>
    </row>
    <row r="1497" ht="14" customHeight="1" s="72">
      <c r="A1497" s="78" t="n"/>
      <c r="B1497" s="79" t="n"/>
      <c r="C1497" s="69">
        <f>IF(B1497="","",IFERROR(INDEX(Client_List!$B:$B,MATCH(B1497,Client_List!$A:$A,0)),"⚠ NOT FOUND"))</f>
        <v/>
      </c>
      <c r="D1497" s="44" t="n"/>
      <c r="E1497" s="32">
        <f>IF(B1497="","",IFERROR(INDEX(Client_List!$C:$C,MATCH(VALUE(B1497),Client_List!$A:$A,0)),""))</f>
        <v/>
      </c>
      <c r="F1497" s="53">
        <f>IF(B1497="","",IFERROR(INDEX(Client_List!$D:$D,MATCH(VALUE(B1497),Client_List!$A:$A,0)),""))</f>
        <v/>
      </c>
      <c r="G1497" s="53">
        <f>IF(B1497="","",IFERROR(INDEX(Client_List!$K:$K,MATCH(VALUE(B1497),Client_List!$A:$A,0)),""))</f>
        <v/>
      </c>
      <c r="H1497" s="32">
        <f>IF(B1497="","",IFERROR(INDEX(Client_List!$J:$J,MATCH(VALUE(B1497),Client_List!$A:$A,0)),""))</f>
        <v/>
      </c>
      <c r="I1497" s="70">
        <f>IF(B1497="","",IFERROR(A1497-LOOKUP(2,1/($B$4:$B1496=B1497),$A$4:$A1496),""))</f>
        <v/>
      </c>
      <c r="J1497" s="32">
        <f>IF(B1497="","",IFERROR(D1497/I1497,""))</f>
        <v/>
      </c>
      <c r="K1497" s="71">
        <f>IF(B1497="","",IFERROR(AVERAGEIFS($J$4:$J1497,$B$4:$B1497,B1497,$J$4:$J1497,"&gt;"&amp;0),""))</f>
        <v/>
      </c>
      <c r="L1497" s="11" t="n"/>
    </row>
    <row r="1498" ht="14" customHeight="1" s="72">
      <c r="A1498" s="80" t="n"/>
      <c r="B1498" s="81" t="n"/>
      <c r="C1498" s="69">
        <f>IF(B1498="","",IFERROR(INDEX(Client_List!$B:$B,MATCH(B1498,Client_List!$A:$A,0)),"⚠ NOT FOUND"))</f>
        <v/>
      </c>
      <c r="D1498" s="45" t="n"/>
      <c r="E1498" s="32">
        <f>IF(B1498="","",IFERROR(INDEX(Client_List!$C:$C,MATCH(VALUE(B1498),Client_List!$A:$A,0)),""))</f>
        <v/>
      </c>
      <c r="F1498" s="53">
        <f>IF(B1498="","",IFERROR(INDEX(Client_List!$D:$D,MATCH(VALUE(B1498),Client_List!$A:$A,0)),""))</f>
        <v/>
      </c>
      <c r="G1498" s="53">
        <f>IF(B1498="","",IFERROR(INDEX(Client_List!$K:$K,MATCH(VALUE(B1498),Client_List!$A:$A,0)),""))</f>
        <v/>
      </c>
      <c r="H1498" s="32">
        <f>IF(B1498="","",IFERROR(INDEX(Client_List!$J:$J,MATCH(VALUE(B1498),Client_List!$A:$A,0)),""))</f>
        <v/>
      </c>
      <c r="I1498" s="70">
        <f>IF(B1498="","",IFERROR(A1498-LOOKUP(2,1/($B$4:$B1497=B1498),$A$4:$A1497),""))</f>
        <v/>
      </c>
      <c r="J1498" s="32">
        <f>IF(B1498="","",IFERROR(D1498/I1498,""))</f>
        <v/>
      </c>
      <c r="K1498" s="71">
        <f>IF(B1498="","",IFERROR(AVERAGEIFS($J$4:$J1498,$B$4:$B1498,B1498,$J$4:$J1498,"&gt;"&amp;0),""))</f>
        <v/>
      </c>
      <c r="L1498" s="12" t="n"/>
    </row>
    <row r="1499" ht="14" customHeight="1" s="72">
      <c r="A1499" s="78" t="n"/>
      <c r="B1499" s="79" t="n"/>
      <c r="C1499" s="69">
        <f>IF(B1499="","",IFERROR(INDEX(Client_List!$B:$B,MATCH(B1499,Client_List!$A:$A,0)),"⚠ NOT FOUND"))</f>
        <v/>
      </c>
      <c r="D1499" s="44" t="n"/>
      <c r="E1499" s="32">
        <f>IF(B1499="","",IFERROR(INDEX(Client_List!$C:$C,MATCH(VALUE(B1499),Client_List!$A:$A,0)),""))</f>
        <v/>
      </c>
      <c r="F1499" s="53">
        <f>IF(B1499="","",IFERROR(INDEX(Client_List!$D:$D,MATCH(VALUE(B1499),Client_List!$A:$A,0)),""))</f>
        <v/>
      </c>
      <c r="G1499" s="53">
        <f>IF(B1499="","",IFERROR(INDEX(Client_List!$K:$K,MATCH(VALUE(B1499),Client_List!$A:$A,0)),""))</f>
        <v/>
      </c>
      <c r="H1499" s="32">
        <f>IF(B1499="","",IFERROR(INDEX(Client_List!$J:$J,MATCH(VALUE(B1499),Client_List!$A:$A,0)),""))</f>
        <v/>
      </c>
      <c r="I1499" s="70">
        <f>IF(B1499="","",IFERROR(A1499-LOOKUP(2,1/($B$4:$B1498=B1499),$A$4:$A1498),""))</f>
        <v/>
      </c>
      <c r="J1499" s="32">
        <f>IF(B1499="","",IFERROR(D1499/I1499,""))</f>
        <v/>
      </c>
      <c r="K1499" s="71">
        <f>IF(B1499="","",IFERROR(AVERAGEIFS($J$4:$J1499,$B$4:$B1499,B1499,$J$4:$J1499,"&gt;"&amp;0),""))</f>
        <v/>
      </c>
      <c r="L1499" s="11" t="n"/>
    </row>
    <row r="1500" ht="14" customHeight="1" s="72">
      <c r="A1500" s="80" t="n"/>
      <c r="B1500" s="81" t="n"/>
      <c r="C1500" s="69">
        <f>IF(B1500="","",IFERROR(INDEX(Client_List!$B:$B,MATCH(B1500,Client_List!$A:$A,0)),"⚠ NOT FOUND"))</f>
        <v/>
      </c>
      <c r="D1500" s="45" t="n"/>
      <c r="E1500" s="32">
        <f>IF(B1500="","",IFERROR(INDEX(Client_List!$C:$C,MATCH(VALUE(B1500),Client_List!$A:$A,0)),""))</f>
        <v/>
      </c>
      <c r="F1500" s="53">
        <f>IF(B1500="","",IFERROR(INDEX(Client_List!$D:$D,MATCH(VALUE(B1500),Client_List!$A:$A,0)),""))</f>
        <v/>
      </c>
      <c r="G1500" s="53">
        <f>IF(B1500="","",IFERROR(INDEX(Client_List!$K:$K,MATCH(VALUE(B1500),Client_List!$A:$A,0)),""))</f>
        <v/>
      </c>
      <c r="H1500" s="32">
        <f>IF(B1500="","",IFERROR(INDEX(Client_List!$J:$J,MATCH(VALUE(B1500),Client_List!$A:$A,0)),""))</f>
        <v/>
      </c>
      <c r="I1500" s="70">
        <f>IF(B1500="","",IFERROR(A1500-LOOKUP(2,1/($B$4:$B1499=B1500),$A$4:$A1499),""))</f>
        <v/>
      </c>
      <c r="J1500" s="32">
        <f>IF(B1500="","",IFERROR(D1500/I1500,""))</f>
        <v/>
      </c>
      <c r="K1500" s="71">
        <f>IF(B1500="","",IFERROR(AVERAGEIFS($J$4:$J1500,$B$4:$B1500,B1500,$J$4:$J1500,"&gt;"&amp;0),""))</f>
        <v/>
      </c>
      <c r="L1500" s="12" t="n"/>
    </row>
    <row r="1501" ht="14" customHeight="1" s="72">
      <c r="A1501" s="78" t="n"/>
      <c r="B1501" s="79" t="n"/>
      <c r="C1501" s="69">
        <f>IF(B1501="","",IFERROR(INDEX(Client_List!$B:$B,MATCH(B1501,Client_List!$A:$A,0)),"⚠ NOT FOUND"))</f>
        <v/>
      </c>
      <c r="D1501" s="44" t="n"/>
      <c r="E1501" s="32">
        <f>IF(B1501="","",IFERROR(INDEX(Client_List!$C:$C,MATCH(VALUE(B1501),Client_List!$A:$A,0)),""))</f>
        <v/>
      </c>
      <c r="F1501" s="53">
        <f>IF(B1501="","",IFERROR(INDEX(Client_List!$D:$D,MATCH(VALUE(B1501),Client_List!$A:$A,0)),""))</f>
        <v/>
      </c>
      <c r="G1501" s="53">
        <f>IF(B1501="","",IFERROR(INDEX(Client_List!$K:$K,MATCH(VALUE(B1501),Client_List!$A:$A,0)),""))</f>
        <v/>
      </c>
      <c r="H1501" s="32">
        <f>IF(B1501="","",IFERROR(INDEX(Client_List!$J:$J,MATCH(VALUE(B1501),Client_List!$A:$A,0)),""))</f>
        <v/>
      </c>
      <c r="I1501" s="70">
        <f>IF(B1501="","",IFERROR(A1501-LOOKUP(2,1/($B$4:$B1500=B1501),$A$4:$A1500),""))</f>
        <v/>
      </c>
      <c r="J1501" s="32">
        <f>IF(B1501="","",IFERROR(D1501/I1501,""))</f>
        <v/>
      </c>
      <c r="K1501" s="71">
        <f>IF(B1501="","",IFERROR(AVERAGEIFS($J$4:$J1501,$B$4:$B1501,B1501,$J$4:$J1501,"&gt;"&amp;0),""))</f>
        <v/>
      </c>
      <c r="L1501" s="11" t="n"/>
    </row>
    <row r="1502" ht="14" customHeight="1" s="72">
      <c r="A1502" s="80" t="n"/>
      <c r="B1502" s="81" t="n"/>
      <c r="C1502" s="69">
        <f>IF(B1502="","",IFERROR(INDEX(Client_List!$B:$B,MATCH(B1502,Client_List!$A:$A,0)),"⚠ NOT FOUND"))</f>
        <v/>
      </c>
      <c r="D1502" s="45" t="n"/>
      <c r="E1502" s="32">
        <f>IF(B1502="","",IFERROR(INDEX(Client_List!$C:$C,MATCH(VALUE(B1502),Client_List!$A:$A,0)),""))</f>
        <v/>
      </c>
      <c r="F1502" s="53">
        <f>IF(B1502="","",IFERROR(INDEX(Client_List!$D:$D,MATCH(VALUE(B1502),Client_List!$A:$A,0)),""))</f>
        <v/>
      </c>
      <c r="G1502" s="53">
        <f>IF(B1502="","",IFERROR(INDEX(Client_List!$K:$K,MATCH(VALUE(B1502),Client_List!$A:$A,0)),""))</f>
        <v/>
      </c>
      <c r="H1502" s="32">
        <f>IF(B1502="","",IFERROR(INDEX(Client_List!$J:$J,MATCH(VALUE(B1502),Client_List!$A:$A,0)),""))</f>
        <v/>
      </c>
      <c r="I1502" s="70">
        <f>IF(B1502="","",IFERROR(A1502-LOOKUP(2,1/($B$4:$B1501=B1502),$A$4:$A1501),""))</f>
        <v/>
      </c>
      <c r="J1502" s="32">
        <f>IF(B1502="","",IFERROR(D1502/I1502,""))</f>
        <v/>
      </c>
      <c r="K1502" s="71">
        <f>IF(B1502="","",IFERROR(AVERAGEIFS($J$4:$J1502,$B$4:$B1502,B1502,$J$4:$J1502,"&gt;"&amp;0),""))</f>
        <v/>
      </c>
      <c r="L1502" s="12" t="n"/>
    </row>
    <row r="1503" ht="14" customHeight="1" s="72">
      <c r="A1503" s="78" t="n"/>
      <c r="B1503" s="79" t="n"/>
      <c r="C1503" s="69">
        <f>IF(B1503="","",IFERROR(INDEX(Client_List!$B:$B,MATCH(B1503,Client_List!$A:$A,0)),"⚠ NOT FOUND"))</f>
        <v/>
      </c>
      <c r="D1503" s="44" t="n"/>
      <c r="E1503" s="32">
        <f>IF(B1503="","",IFERROR(INDEX(Client_List!$C:$C,MATCH(VALUE(B1503),Client_List!$A:$A,0)),""))</f>
        <v/>
      </c>
      <c r="F1503" s="53">
        <f>IF(B1503="","",IFERROR(INDEX(Client_List!$D:$D,MATCH(VALUE(B1503),Client_List!$A:$A,0)),""))</f>
        <v/>
      </c>
      <c r="G1503" s="53">
        <f>IF(B1503="","",IFERROR(INDEX(Client_List!$K:$K,MATCH(VALUE(B1503),Client_List!$A:$A,0)),""))</f>
        <v/>
      </c>
      <c r="H1503" s="32">
        <f>IF(B1503="","",IFERROR(INDEX(Client_List!$J:$J,MATCH(VALUE(B1503),Client_List!$A:$A,0)),""))</f>
        <v/>
      </c>
      <c r="I1503" s="70">
        <f>IF(B1503="","",IFERROR(A1503-LOOKUP(2,1/($B$4:$B1502=B1503),$A$4:$A1502),""))</f>
        <v/>
      </c>
      <c r="J1503" s="32">
        <f>IF(B1503="","",IFERROR(D1503/I1503,""))</f>
        <v/>
      </c>
      <c r="K1503" s="71">
        <f>IF(B1503="","",IFERROR(AVERAGEIFS($J$4:$J1503,$B$4:$B1503,B1503,$J$4:$J1503,"&gt;"&amp;0),""))</f>
        <v/>
      </c>
      <c r="L1503" s="11" t="n"/>
    </row>
    <row r="1504" ht="14" customHeight="1" s="72">
      <c r="A1504" s="80" t="n"/>
      <c r="B1504" s="81" t="n"/>
      <c r="C1504" s="69">
        <f>IF(B1504="","",IFERROR(INDEX(Client_List!$B:$B,MATCH(B1504,Client_List!$A:$A,0)),"⚠ NOT FOUND"))</f>
        <v/>
      </c>
      <c r="D1504" s="45" t="n"/>
      <c r="E1504" s="32">
        <f>IF(B1504="","",IFERROR(INDEX(Client_List!$C:$C,MATCH(VALUE(B1504),Client_List!$A:$A,0)),""))</f>
        <v/>
      </c>
      <c r="F1504" s="53">
        <f>IF(B1504="","",IFERROR(INDEX(Client_List!$D:$D,MATCH(VALUE(B1504),Client_List!$A:$A,0)),""))</f>
        <v/>
      </c>
      <c r="G1504" s="53">
        <f>IF(B1504="","",IFERROR(INDEX(Client_List!$K:$K,MATCH(VALUE(B1504),Client_List!$A:$A,0)),""))</f>
        <v/>
      </c>
      <c r="H1504" s="32">
        <f>IF(B1504="","",IFERROR(INDEX(Client_List!$J:$J,MATCH(VALUE(B1504),Client_List!$A:$A,0)),""))</f>
        <v/>
      </c>
      <c r="I1504" s="70">
        <f>IF(B1504="","",IFERROR(A1504-LOOKUP(2,1/($B$4:$B1503=B1504),$A$4:$A1503),""))</f>
        <v/>
      </c>
      <c r="J1504" s="32">
        <f>IF(B1504="","",IFERROR(D1504/I1504,""))</f>
        <v/>
      </c>
      <c r="K1504" s="71">
        <f>IF(B1504="","",IFERROR(AVERAGEIFS($J$4:$J1504,$B$4:$B1504,B1504,$J$4:$J1504,"&gt;"&amp;0),""))</f>
        <v/>
      </c>
      <c r="L1504" s="12" t="n"/>
    </row>
    <row r="1505" ht="14" customHeight="1" s="72">
      <c r="A1505" s="78" t="n"/>
      <c r="B1505" s="79" t="n"/>
      <c r="C1505" s="69">
        <f>IF(B1505="","",IFERROR(INDEX(Client_List!$B:$B,MATCH(B1505,Client_List!$A:$A,0)),"⚠ NOT FOUND"))</f>
        <v/>
      </c>
      <c r="D1505" s="44" t="n"/>
      <c r="E1505" s="32">
        <f>IF(B1505="","",IFERROR(INDEX(Client_List!$C:$C,MATCH(VALUE(B1505),Client_List!$A:$A,0)),""))</f>
        <v/>
      </c>
      <c r="F1505" s="53">
        <f>IF(B1505="","",IFERROR(INDEX(Client_List!$D:$D,MATCH(VALUE(B1505),Client_List!$A:$A,0)),""))</f>
        <v/>
      </c>
      <c r="G1505" s="53">
        <f>IF(B1505="","",IFERROR(INDEX(Client_List!$K:$K,MATCH(VALUE(B1505),Client_List!$A:$A,0)),""))</f>
        <v/>
      </c>
      <c r="H1505" s="32">
        <f>IF(B1505="","",IFERROR(INDEX(Client_List!$J:$J,MATCH(VALUE(B1505),Client_List!$A:$A,0)),""))</f>
        <v/>
      </c>
      <c r="I1505" s="70">
        <f>IF(B1505="","",IFERROR(A1505-LOOKUP(2,1/($B$4:$B1504=B1505),$A$4:$A1504),""))</f>
        <v/>
      </c>
      <c r="J1505" s="32">
        <f>IF(B1505="","",IFERROR(D1505/I1505,""))</f>
        <v/>
      </c>
      <c r="K1505" s="71">
        <f>IF(B1505="","",IFERROR(AVERAGEIFS($J$4:$J1505,$B$4:$B1505,B1505,$J$4:$J1505,"&gt;"&amp;0),""))</f>
        <v/>
      </c>
      <c r="L1505" s="11" t="n"/>
    </row>
    <row r="1506" ht="14" customHeight="1" s="72">
      <c r="A1506" s="80" t="n"/>
      <c r="B1506" s="81" t="n"/>
      <c r="C1506" s="69">
        <f>IF(B1506="","",IFERROR(INDEX(Client_List!$B:$B,MATCH(B1506,Client_List!$A:$A,0)),"⚠ NOT FOUND"))</f>
        <v/>
      </c>
      <c r="D1506" s="45" t="n"/>
      <c r="E1506" s="32">
        <f>IF(B1506="","",IFERROR(INDEX(Client_List!$C:$C,MATCH(VALUE(B1506),Client_List!$A:$A,0)),""))</f>
        <v/>
      </c>
      <c r="F1506" s="53">
        <f>IF(B1506="","",IFERROR(INDEX(Client_List!$D:$D,MATCH(VALUE(B1506),Client_List!$A:$A,0)),""))</f>
        <v/>
      </c>
      <c r="G1506" s="53">
        <f>IF(B1506="","",IFERROR(INDEX(Client_List!$K:$K,MATCH(VALUE(B1506),Client_List!$A:$A,0)),""))</f>
        <v/>
      </c>
      <c r="H1506" s="32">
        <f>IF(B1506="","",IFERROR(INDEX(Client_List!$J:$J,MATCH(VALUE(B1506),Client_List!$A:$A,0)),""))</f>
        <v/>
      </c>
      <c r="I1506" s="70">
        <f>IF(B1506="","",IFERROR(A1506-LOOKUP(2,1/($B$4:$B1505=B1506),$A$4:$A1505),""))</f>
        <v/>
      </c>
      <c r="J1506" s="32">
        <f>IF(B1506="","",IFERROR(D1506/I1506,""))</f>
        <v/>
      </c>
      <c r="K1506" s="71">
        <f>IF(B1506="","",IFERROR(AVERAGEIFS($J$4:$J1506,$B$4:$B1506,B1506,$J$4:$J1506,"&gt;"&amp;0),""))</f>
        <v/>
      </c>
      <c r="L1506" s="12" t="n"/>
    </row>
    <row r="1507" ht="14" customHeight="1" s="72">
      <c r="A1507" s="78" t="n"/>
      <c r="B1507" s="79" t="n"/>
      <c r="C1507" s="69">
        <f>IF(B1507="","",IFERROR(INDEX(Client_List!$B:$B,MATCH(B1507,Client_List!$A:$A,0)),"⚠ NOT FOUND"))</f>
        <v/>
      </c>
      <c r="D1507" s="44" t="n"/>
      <c r="E1507" s="32">
        <f>IF(B1507="","",IFERROR(INDEX(Client_List!$C:$C,MATCH(VALUE(B1507),Client_List!$A:$A,0)),""))</f>
        <v/>
      </c>
      <c r="F1507" s="53">
        <f>IF(B1507="","",IFERROR(INDEX(Client_List!$D:$D,MATCH(VALUE(B1507),Client_List!$A:$A,0)),""))</f>
        <v/>
      </c>
      <c r="G1507" s="53">
        <f>IF(B1507="","",IFERROR(INDEX(Client_List!$K:$K,MATCH(VALUE(B1507),Client_List!$A:$A,0)),""))</f>
        <v/>
      </c>
      <c r="H1507" s="32">
        <f>IF(B1507="","",IFERROR(INDEX(Client_List!$J:$J,MATCH(VALUE(B1507),Client_List!$A:$A,0)),""))</f>
        <v/>
      </c>
      <c r="I1507" s="70">
        <f>IF(B1507="","",IFERROR(A1507-LOOKUP(2,1/($B$4:$B1506=B1507),$A$4:$A1506),""))</f>
        <v/>
      </c>
      <c r="J1507" s="32">
        <f>IF(B1507="","",IFERROR(D1507/I1507,""))</f>
        <v/>
      </c>
      <c r="K1507" s="71">
        <f>IF(B1507="","",IFERROR(AVERAGEIFS($J$4:$J1507,$B$4:$B1507,B1507,$J$4:$J1507,"&gt;"&amp;0),""))</f>
        <v/>
      </c>
      <c r="L1507" s="11" t="n"/>
    </row>
    <row r="1508" ht="14" customHeight="1" s="72">
      <c r="A1508" s="80" t="n"/>
      <c r="B1508" s="81" t="n"/>
      <c r="C1508" s="69">
        <f>IF(B1508="","",IFERROR(INDEX(Client_List!$B:$B,MATCH(B1508,Client_List!$A:$A,0)),"⚠ NOT FOUND"))</f>
        <v/>
      </c>
      <c r="D1508" s="45" t="n"/>
      <c r="E1508" s="32">
        <f>IF(B1508="","",IFERROR(INDEX(Client_List!$C:$C,MATCH(VALUE(B1508),Client_List!$A:$A,0)),""))</f>
        <v/>
      </c>
      <c r="F1508" s="53">
        <f>IF(B1508="","",IFERROR(INDEX(Client_List!$D:$D,MATCH(VALUE(B1508),Client_List!$A:$A,0)),""))</f>
        <v/>
      </c>
      <c r="G1508" s="53">
        <f>IF(B1508="","",IFERROR(INDEX(Client_List!$K:$K,MATCH(VALUE(B1508),Client_List!$A:$A,0)),""))</f>
        <v/>
      </c>
      <c r="H1508" s="32">
        <f>IF(B1508="","",IFERROR(INDEX(Client_List!$J:$J,MATCH(VALUE(B1508),Client_List!$A:$A,0)),""))</f>
        <v/>
      </c>
      <c r="I1508" s="70">
        <f>IF(B1508="","",IFERROR(A1508-LOOKUP(2,1/($B$4:$B1507=B1508),$A$4:$A1507),""))</f>
        <v/>
      </c>
      <c r="J1508" s="32">
        <f>IF(B1508="","",IFERROR(D1508/I1508,""))</f>
        <v/>
      </c>
      <c r="K1508" s="71">
        <f>IF(B1508="","",IFERROR(AVERAGEIFS($J$4:$J1508,$B$4:$B1508,B1508,$J$4:$J1508,"&gt;"&amp;0),""))</f>
        <v/>
      </c>
      <c r="L1508" s="12" t="n"/>
    </row>
    <row r="1509" ht="14" customHeight="1" s="72">
      <c r="A1509" s="78" t="n"/>
      <c r="B1509" s="79" t="n"/>
      <c r="C1509" s="69">
        <f>IF(B1509="","",IFERROR(INDEX(Client_List!$B:$B,MATCH(B1509,Client_List!$A:$A,0)),"⚠ NOT FOUND"))</f>
        <v/>
      </c>
      <c r="D1509" s="44" t="n"/>
      <c r="E1509" s="32">
        <f>IF(B1509="","",IFERROR(INDEX(Client_List!$C:$C,MATCH(VALUE(B1509),Client_List!$A:$A,0)),""))</f>
        <v/>
      </c>
      <c r="F1509" s="53">
        <f>IF(B1509="","",IFERROR(INDEX(Client_List!$D:$D,MATCH(VALUE(B1509),Client_List!$A:$A,0)),""))</f>
        <v/>
      </c>
      <c r="G1509" s="53">
        <f>IF(B1509="","",IFERROR(INDEX(Client_List!$K:$K,MATCH(VALUE(B1509),Client_List!$A:$A,0)),""))</f>
        <v/>
      </c>
      <c r="H1509" s="32">
        <f>IF(B1509="","",IFERROR(INDEX(Client_List!$J:$J,MATCH(VALUE(B1509),Client_List!$A:$A,0)),""))</f>
        <v/>
      </c>
      <c r="I1509" s="70">
        <f>IF(B1509="","",IFERROR(A1509-LOOKUP(2,1/($B$4:$B1508=B1509),$A$4:$A1508),""))</f>
        <v/>
      </c>
      <c r="J1509" s="32">
        <f>IF(B1509="","",IFERROR(D1509/I1509,""))</f>
        <v/>
      </c>
      <c r="K1509" s="71">
        <f>IF(B1509="","",IFERROR(AVERAGEIFS($J$4:$J1509,$B$4:$B1509,B1509,$J$4:$J1509,"&gt;"&amp;0),""))</f>
        <v/>
      </c>
      <c r="L1509" s="11" t="n"/>
    </row>
    <row r="1510" ht="14" customHeight="1" s="72">
      <c r="A1510" s="80" t="n"/>
      <c r="B1510" s="81" t="n"/>
      <c r="C1510" s="69">
        <f>IF(B1510="","",IFERROR(INDEX(Client_List!$B:$B,MATCH(B1510,Client_List!$A:$A,0)),"⚠ NOT FOUND"))</f>
        <v/>
      </c>
      <c r="D1510" s="45" t="n"/>
      <c r="E1510" s="32">
        <f>IF(B1510="","",IFERROR(INDEX(Client_List!$C:$C,MATCH(VALUE(B1510),Client_List!$A:$A,0)),""))</f>
        <v/>
      </c>
      <c r="F1510" s="53">
        <f>IF(B1510="","",IFERROR(INDEX(Client_List!$D:$D,MATCH(VALUE(B1510),Client_List!$A:$A,0)),""))</f>
        <v/>
      </c>
      <c r="G1510" s="53">
        <f>IF(B1510="","",IFERROR(INDEX(Client_List!$K:$K,MATCH(VALUE(B1510),Client_List!$A:$A,0)),""))</f>
        <v/>
      </c>
      <c r="H1510" s="32">
        <f>IF(B1510="","",IFERROR(INDEX(Client_List!$J:$J,MATCH(VALUE(B1510),Client_List!$A:$A,0)),""))</f>
        <v/>
      </c>
      <c r="I1510" s="70">
        <f>IF(B1510="","",IFERROR(A1510-LOOKUP(2,1/($B$4:$B1509=B1510),$A$4:$A1509),""))</f>
        <v/>
      </c>
      <c r="J1510" s="32">
        <f>IF(B1510="","",IFERROR(D1510/I1510,""))</f>
        <v/>
      </c>
      <c r="K1510" s="71">
        <f>IF(B1510="","",IFERROR(AVERAGEIFS($J$4:$J1510,$B$4:$B1510,B1510,$J$4:$J1510,"&gt;"&amp;0),""))</f>
        <v/>
      </c>
      <c r="L1510" s="12" t="n"/>
    </row>
    <row r="1511" ht="14" customHeight="1" s="72">
      <c r="A1511" s="78" t="n"/>
      <c r="B1511" s="79" t="n"/>
      <c r="C1511" s="69">
        <f>IF(B1511="","",IFERROR(INDEX(Client_List!$B:$B,MATCH(B1511,Client_List!$A:$A,0)),"⚠ NOT FOUND"))</f>
        <v/>
      </c>
      <c r="D1511" s="44" t="n"/>
      <c r="E1511" s="32">
        <f>IF(B1511="","",IFERROR(INDEX(Client_List!$C:$C,MATCH(VALUE(B1511),Client_List!$A:$A,0)),""))</f>
        <v/>
      </c>
      <c r="F1511" s="53">
        <f>IF(B1511="","",IFERROR(INDEX(Client_List!$D:$D,MATCH(VALUE(B1511),Client_List!$A:$A,0)),""))</f>
        <v/>
      </c>
      <c r="G1511" s="53">
        <f>IF(B1511="","",IFERROR(INDEX(Client_List!$K:$K,MATCH(VALUE(B1511),Client_List!$A:$A,0)),""))</f>
        <v/>
      </c>
      <c r="H1511" s="32">
        <f>IF(B1511="","",IFERROR(INDEX(Client_List!$J:$J,MATCH(VALUE(B1511),Client_List!$A:$A,0)),""))</f>
        <v/>
      </c>
      <c r="I1511" s="70">
        <f>IF(B1511="","",IFERROR(A1511-LOOKUP(2,1/($B$4:$B1510=B1511),$A$4:$A1510),""))</f>
        <v/>
      </c>
      <c r="J1511" s="32">
        <f>IF(B1511="","",IFERROR(D1511/I1511,""))</f>
        <v/>
      </c>
      <c r="K1511" s="71">
        <f>IF(B1511="","",IFERROR(AVERAGEIFS($J$4:$J1511,$B$4:$B1511,B1511,$J$4:$J1511,"&gt;"&amp;0),""))</f>
        <v/>
      </c>
      <c r="L1511" s="11" t="n"/>
    </row>
    <row r="1512" ht="14" customHeight="1" s="72">
      <c r="A1512" s="80" t="n"/>
      <c r="B1512" s="81" t="n"/>
      <c r="C1512" s="69">
        <f>IF(B1512="","",IFERROR(INDEX(Client_List!$B:$B,MATCH(B1512,Client_List!$A:$A,0)),"⚠ NOT FOUND"))</f>
        <v/>
      </c>
      <c r="D1512" s="45" t="n"/>
      <c r="E1512" s="32">
        <f>IF(B1512="","",IFERROR(INDEX(Client_List!$C:$C,MATCH(VALUE(B1512),Client_List!$A:$A,0)),""))</f>
        <v/>
      </c>
      <c r="F1512" s="53">
        <f>IF(B1512="","",IFERROR(INDEX(Client_List!$D:$D,MATCH(VALUE(B1512),Client_List!$A:$A,0)),""))</f>
        <v/>
      </c>
      <c r="G1512" s="53">
        <f>IF(B1512="","",IFERROR(INDEX(Client_List!$K:$K,MATCH(VALUE(B1512),Client_List!$A:$A,0)),""))</f>
        <v/>
      </c>
      <c r="H1512" s="32">
        <f>IF(B1512="","",IFERROR(INDEX(Client_List!$J:$J,MATCH(VALUE(B1512),Client_List!$A:$A,0)),""))</f>
        <v/>
      </c>
      <c r="I1512" s="70">
        <f>IF(B1512="","",IFERROR(A1512-LOOKUP(2,1/($B$4:$B1511=B1512),$A$4:$A1511),""))</f>
        <v/>
      </c>
      <c r="J1512" s="32">
        <f>IF(B1512="","",IFERROR(D1512/I1512,""))</f>
        <v/>
      </c>
      <c r="K1512" s="71">
        <f>IF(B1512="","",IFERROR(AVERAGEIFS($J$4:$J1512,$B$4:$B1512,B1512,$J$4:$J1512,"&gt;"&amp;0),""))</f>
        <v/>
      </c>
      <c r="L1512" s="12" t="n"/>
    </row>
    <row r="1513" ht="14" customHeight="1" s="72">
      <c r="A1513" s="78" t="n"/>
      <c r="B1513" s="79" t="n"/>
      <c r="C1513" s="69">
        <f>IF(B1513="","",IFERROR(INDEX(Client_List!$B:$B,MATCH(B1513,Client_List!$A:$A,0)),"⚠ NOT FOUND"))</f>
        <v/>
      </c>
      <c r="D1513" s="44" t="n"/>
      <c r="E1513" s="32">
        <f>IF(B1513="","",IFERROR(INDEX(Client_List!$C:$C,MATCH(VALUE(B1513),Client_List!$A:$A,0)),""))</f>
        <v/>
      </c>
      <c r="F1513" s="53">
        <f>IF(B1513="","",IFERROR(INDEX(Client_List!$D:$D,MATCH(VALUE(B1513),Client_List!$A:$A,0)),""))</f>
        <v/>
      </c>
      <c r="G1513" s="53">
        <f>IF(B1513="","",IFERROR(INDEX(Client_List!$K:$K,MATCH(VALUE(B1513),Client_List!$A:$A,0)),""))</f>
        <v/>
      </c>
      <c r="H1513" s="32">
        <f>IF(B1513="","",IFERROR(INDEX(Client_List!$J:$J,MATCH(VALUE(B1513),Client_List!$A:$A,0)),""))</f>
        <v/>
      </c>
      <c r="I1513" s="70">
        <f>IF(B1513="","",IFERROR(A1513-LOOKUP(2,1/($B$4:$B1512=B1513),$A$4:$A1512),""))</f>
        <v/>
      </c>
      <c r="J1513" s="32">
        <f>IF(B1513="","",IFERROR(D1513/I1513,""))</f>
        <v/>
      </c>
      <c r="K1513" s="71">
        <f>IF(B1513="","",IFERROR(AVERAGEIFS($J$4:$J1513,$B$4:$B1513,B1513,$J$4:$J1513,"&gt;"&amp;0),""))</f>
        <v/>
      </c>
      <c r="L1513" s="11" t="n"/>
    </row>
    <row r="1514" ht="14" customHeight="1" s="72">
      <c r="A1514" s="80" t="n"/>
      <c r="B1514" s="81" t="n"/>
      <c r="C1514" s="69">
        <f>IF(B1514="","",IFERROR(INDEX(Client_List!$B:$B,MATCH(B1514,Client_List!$A:$A,0)),"⚠ NOT FOUND"))</f>
        <v/>
      </c>
      <c r="D1514" s="45" t="n"/>
      <c r="E1514" s="32">
        <f>IF(B1514="","",IFERROR(INDEX(Client_List!$C:$C,MATCH(VALUE(B1514),Client_List!$A:$A,0)),""))</f>
        <v/>
      </c>
      <c r="F1514" s="53">
        <f>IF(B1514="","",IFERROR(INDEX(Client_List!$D:$D,MATCH(VALUE(B1514),Client_List!$A:$A,0)),""))</f>
        <v/>
      </c>
      <c r="G1514" s="53">
        <f>IF(B1514="","",IFERROR(INDEX(Client_List!$K:$K,MATCH(VALUE(B1514),Client_List!$A:$A,0)),""))</f>
        <v/>
      </c>
      <c r="H1514" s="32">
        <f>IF(B1514="","",IFERROR(INDEX(Client_List!$J:$J,MATCH(VALUE(B1514),Client_List!$A:$A,0)),""))</f>
        <v/>
      </c>
      <c r="I1514" s="70">
        <f>IF(B1514="","",IFERROR(A1514-LOOKUP(2,1/($B$4:$B1513=B1514),$A$4:$A1513),""))</f>
        <v/>
      </c>
      <c r="J1514" s="32">
        <f>IF(B1514="","",IFERROR(D1514/I1514,""))</f>
        <v/>
      </c>
      <c r="K1514" s="71">
        <f>IF(B1514="","",IFERROR(AVERAGEIFS($J$4:$J1514,$B$4:$B1514,B1514,$J$4:$J1514,"&gt;"&amp;0),""))</f>
        <v/>
      </c>
      <c r="L1514" s="12" t="n"/>
    </row>
    <row r="1515" ht="14" customHeight="1" s="72">
      <c r="A1515" s="78" t="n"/>
      <c r="B1515" s="79" t="n"/>
      <c r="C1515" s="69">
        <f>IF(B1515="","",IFERROR(INDEX(Client_List!$B:$B,MATCH(B1515,Client_List!$A:$A,0)),"⚠ NOT FOUND"))</f>
        <v/>
      </c>
      <c r="D1515" s="44" t="n"/>
      <c r="E1515" s="32">
        <f>IF(B1515="","",IFERROR(INDEX(Client_List!$C:$C,MATCH(VALUE(B1515),Client_List!$A:$A,0)),""))</f>
        <v/>
      </c>
      <c r="F1515" s="53">
        <f>IF(B1515="","",IFERROR(INDEX(Client_List!$D:$D,MATCH(VALUE(B1515),Client_List!$A:$A,0)),""))</f>
        <v/>
      </c>
      <c r="G1515" s="53">
        <f>IF(B1515="","",IFERROR(INDEX(Client_List!$K:$K,MATCH(VALUE(B1515),Client_List!$A:$A,0)),""))</f>
        <v/>
      </c>
      <c r="H1515" s="32">
        <f>IF(B1515="","",IFERROR(INDEX(Client_List!$J:$J,MATCH(VALUE(B1515),Client_List!$A:$A,0)),""))</f>
        <v/>
      </c>
      <c r="I1515" s="70">
        <f>IF(B1515="","",IFERROR(A1515-LOOKUP(2,1/($B$4:$B1514=B1515),$A$4:$A1514),""))</f>
        <v/>
      </c>
      <c r="J1515" s="32">
        <f>IF(B1515="","",IFERROR(D1515/I1515,""))</f>
        <v/>
      </c>
      <c r="K1515" s="71">
        <f>IF(B1515="","",IFERROR(AVERAGEIFS($J$4:$J1515,$B$4:$B1515,B1515,$J$4:$J1515,"&gt;"&amp;0),""))</f>
        <v/>
      </c>
      <c r="L1515" s="11" t="n"/>
    </row>
    <row r="1516" ht="14" customHeight="1" s="72">
      <c r="A1516" s="80" t="n"/>
      <c r="B1516" s="81" t="n"/>
      <c r="C1516" s="69">
        <f>IF(B1516="","",IFERROR(INDEX(Client_List!$B:$B,MATCH(B1516,Client_List!$A:$A,0)),"⚠ NOT FOUND"))</f>
        <v/>
      </c>
      <c r="D1516" s="45" t="n"/>
      <c r="E1516" s="32">
        <f>IF(B1516="","",IFERROR(INDEX(Client_List!$C:$C,MATCH(VALUE(B1516),Client_List!$A:$A,0)),""))</f>
        <v/>
      </c>
      <c r="F1516" s="53">
        <f>IF(B1516="","",IFERROR(INDEX(Client_List!$D:$D,MATCH(VALUE(B1516),Client_List!$A:$A,0)),""))</f>
        <v/>
      </c>
      <c r="G1516" s="53">
        <f>IF(B1516="","",IFERROR(INDEX(Client_List!$K:$K,MATCH(VALUE(B1516),Client_List!$A:$A,0)),""))</f>
        <v/>
      </c>
      <c r="H1516" s="32">
        <f>IF(B1516="","",IFERROR(INDEX(Client_List!$J:$J,MATCH(VALUE(B1516),Client_List!$A:$A,0)),""))</f>
        <v/>
      </c>
      <c r="I1516" s="70">
        <f>IF(B1516="","",IFERROR(A1516-LOOKUP(2,1/($B$4:$B1515=B1516),$A$4:$A1515),""))</f>
        <v/>
      </c>
      <c r="J1516" s="32">
        <f>IF(B1516="","",IFERROR(D1516/I1516,""))</f>
        <v/>
      </c>
      <c r="K1516" s="71">
        <f>IF(B1516="","",IFERROR(AVERAGEIFS($J$4:$J1516,$B$4:$B1516,B1516,$J$4:$J1516,"&gt;"&amp;0),""))</f>
        <v/>
      </c>
      <c r="L1516" s="12" t="n"/>
    </row>
    <row r="1517" ht="14" customHeight="1" s="72">
      <c r="A1517" s="78" t="n"/>
      <c r="B1517" s="79" t="n"/>
      <c r="C1517" s="69">
        <f>IF(B1517="","",IFERROR(INDEX(Client_List!$B:$B,MATCH(B1517,Client_List!$A:$A,0)),"⚠ NOT FOUND"))</f>
        <v/>
      </c>
      <c r="D1517" s="44" t="n"/>
      <c r="E1517" s="32">
        <f>IF(B1517="","",IFERROR(INDEX(Client_List!$C:$C,MATCH(VALUE(B1517),Client_List!$A:$A,0)),""))</f>
        <v/>
      </c>
      <c r="F1517" s="53">
        <f>IF(B1517="","",IFERROR(INDEX(Client_List!$D:$D,MATCH(VALUE(B1517),Client_List!$A:$A,0)),""))</f>
        <v/>
      </c>
      <c r="G1517" s="53">
        <f>IF(B1517="","",IFERROR(INDEX(Client_List!$K:$K,MATCH(VALUE(B1517),Client_List!$A:$A,0)),""))</f>
        <v/>
      </c>
      <c r="H1517" s="32">
        <f>IF(B1517="","",IFERROR(INDEX(Client_List!$J:$J,MATCH(VALUE(B1517),Client_List!$A:$A,0)),""))</f>
        <v/>
      </c>
      <c r="I1517" s="70">
        <f>IF(B1517="","",IFERROR(A1517-LOOKUP(2,1/($B$4:$B1516=B1517),$A$4:$A1516),""))</f>
        <v/>
      </c>
      <c r="J1517" s="32">
        <f>IF(B1517="","",IFERROR(D1517/I1517,""))</f>
        <v/>
      </c>
      <c r="K1517" s="71">
        <f>IF(B1517="","",IFERROR(AVERAGEIFS($J$4:$J1517,$B$4:$B1517,B1517,$J$4:$J1517,"&gt;"&amp;0),""))</f>
        <v/>
      </c>
      <c r="L1517" s="11" t="n"/>
    </row>
    <row r="1518" ht="14" customHeight="1" s="72">
      <c r="A1518" s="80" t="n"/>
      <c r="B1518" s="81" t="n"/>
      <c r="C1518" s="69">
        <f>IF(B1518="","",IFERROR(INDEX(Client_List!$B:$B,MATCH(B1518,Client_List!$A:$A,0)),"⚠ NOT FOUND"))</f>
        <v/>
      </c>
      <c r="D1518" s="45" t="n"/>
      <c r="E1518" s="32">
        <f>IF(B1518="","",IFERROR(INDEX(Client_List!$C:$C,MATCH(VALUE(B1518),Client_List!$A:$A,0)),""))</f>
        <v/>
      </c>
      <c r="F1518" s="53">
        <f>IF(B1518="","",IFERROR(INDEX(Client_List!$D:$D,MATCH(VALUE(B1518),Client_List!$A:$A,0)),""))</f>
        <v/>
      </c>
      <c r="G1518" s="53">
        <f>IF(B1518="","",IFERROR(INDEX(Client_List!$K:$K,MATCH(VALUE(B1518),Client_List!$A:$A,0)),""))</f>
        <v/>
      </c>
      <c r="H1518" s="32">
        <f>IF(B1518="","",IFERROR(INDEX(Client_List!$J:$J,MATCH(VALUE(B1518),Client_List!$A:$A,0)),""))</f>
        <v/>
      </c>
      <c r="I1518" s="70">
        <f>IF(B1518="","",IFERROR(A1518-LOOKUP(2,1/($B$4:$B1517=B1518),$A$4:$A1517),""))</f>
        <v/>
      </c>
      <c r="J1518" s="32">
        <f>IF(B1518="","",IFERROR(D1518/I1518,""))</f>
        <v/>
      </c>
      <c r="K1518" s="71">
        <f>IF(B1518="","",IFERROR(AVERAGEIFS($J$4:$J1518,$B$4:$B1518,B1518,$J$4:$J1518,"&gt;"&amp;0),""))</f>
        <v/>
      </c>
      <c r="L1518" s="12" t="n"/>
    </row>
    <row r="1519" ht="14" customHeight="1" s="72">
      <c r="A1519" s="78" t="n"/>
      <c r="B1519" s="79" t="n"/>
      <c r="C1519" s="69">
        <f>IF(B1519="","",IFERROR(INDEX(Client_List!$B:$B,MATCH(B1519,Client_List!$A:$A,0)),"⚠ NOT FOUND"))</f>
        <v/>
      </c>
      <c r="D1519" s="44" t="n"/>
      <c r="E1519" s="32">
        <f>IF(B1519="","",IFERROR(INDEX(Client_List!$C:$C,MATCH(VALUE(B1519),Client_List!$A:$A,0)),""))</f>
        <v/>
      </c>
      <c r="F1519" s="53">
        <f>IF(B1519="","",IFERROR(INDEX(Client_List!$D:$D,MATCH(VALUE(B1519),Client_List!$A:$A,0)),""))</f>
        <v/>
      </c>
      <c r="G1519" s="53">
        <f>IF(B1519="","",IFERROR(INDEX(Client_List!$K:$K,MATCH(VALUE(B1519),Client_List!$A:$A,0)),""))</f>
        <v/>
      </c>
      <c r="H1519" s="32">
        <f>IF(B1519="","",IFERROR(INDEX(Client_List!$J:$J,MATCH(VALUE(B1519),Client_List!$A:$A,0)),""))</f>
        <v/>
      </c>
      <c r="I1519" s="70">
        <f>IF(B1519="","",IFERROR(A1519-LOOKUP(2,1/($B$4:$B1518=B1519),$A$4:$A1518),""))</f>
        <v/>
      </c>
      <c r="J1519" s="32">
        <f>IF(B1519="","",IFERROR(D1519/I1519,""))</f>
        <v/>
      </c>
      <c r="K1519" s="71">
        <f>IF(B1519="","",IFERROR(AVERAGEIFS($J$4:$J1519,$B$4:$B1519,B1519,$J$4:$J1519,"&gt;"&amp;0),""))</f>
        <v/>
      </c>
      <c r="L1519" s="11" t="n"/>
    </row>
    <row r="1520" ht="14" customHeight="1" s="72">
      <c r="A1520" s="80" t="n"/>
      <c r="B1520" s="81" t="n"/>
      <c r="C1520" s="69">
        <f>IF(B1520="","",IFERROR(INDEX(Client_List!$B:$B,MATCH(B1520,Client_List!$A:$A,0)),"⚠ NOT FOUND"))</f>
        <v/>
      </c>
      <c r="D1520" s="45" t="n"/>
      <c r="E1520" s="32">
        <f>IF(B1520="","",IFERROR(INDEX(Client_List!$C:$C,MATCH(VALUE(B1520),Client_List!$A:$A,0)),""))</f>
        <v/>
      </c>
      <c r="F1520" s="53">
        <f>IF(B1520="","",IFERROR(INDEX(Client_List!$D:$D,MATCH(VALUE(B1520),Client_List!$A:$A,0)),""))</f>
        <v/>
      </c>
      <c r="G1520" s="53">
        <f>IF(B1520="","",IFERROR(INDEX(Client_List!$K:$K,MATCH(VALUE(B1520),Client_List!$A:$A,0)),""))</f>
        <v/>
      </c>
      <c r="H1520" s="32">
        <f>IF(B1520="","",IFERROR(INDEX(Client_List!$J:$J,MATCH(VALUE(B1520),Client_List!$A:$A,0)),""))</f>
        <v/>
      </c>
      <c r="I1520" s="70">
        <f>IF(B1520="","",IFERROR(A1520-LOOKUP(2,1/($B$4:$B1519=B1520),$A$4:$A1519),""))</f>
        <v/>
      </c>
      <c r="J1520" s="32">
        <f>IF(B1520="","",IFERROR(D1520/I1520,""))</f>
        <v/>
      </c>
      <c r="K1520" s="71">
        <f>IF(B1520="","",IFERROR(AVERAGEIFS($J$4:$J1520,$B$4:$B1520,B1520,$J$4:$J1520,"&gt;"&amp;0),""))</f>
        <v/>
      </c>
      <c r="L1520" s="12" t="n"/>
    </row>
    <row r="1521" ht="14" customHeight="1" s="72">
      <c r="A1521" s="78" t="n"/>
      <c r="B1521" s="79" t="n"/>
      <c r="C1521" s="69">
        <f>IF(B1521="","",IFERROR(INDEX(Client_List!$B:$B,MATCH(B1521,Client_List!$A:$A,0)),"⚠ NOT FOUND"))</f>
        <v/>
      </c>
      <c r="D1521" s="44" t="n"/>
      <c r="E1521" s="32">
        <f>IF(B1521="","",IFERROR(INDEX(Client_List!$C:$C,MATCH(VALUE(B1521),Client_List!$A:$A,0)),""))</f>
        <v/>
      </c>
      <c r="F1521" s="53">
        <f>IF(B1521="","",IFERROR(INDEX(Client_List!$D:$D,MATCH(VALUE(B1521),Client_List!$A:$A,0)),""))</f>
        <v/>
      </c>
      <c r="G1521" s="53">
        <f>IF(B1521="","",IFERROR(INDEX(Client_List!$K:$K,MATCH(VALUE(B1521),Client_List!$A:$A,0)),""))</f>
        <v/>
      </c>
      <c r="H1521" s="32">
        <f>IF(B1521="","",IFERROR(INDEX(Client_List!$J:$J,MATCH(VALUE(B1521),Client_List!$A:$A,0)),""))</f>
        <v/>
      </c>
      <c r="I1521" s="70">
        <f>IF(B1521="","",IFERROR(A1521-LOOKUP(2,1/($B$4:$B1520=B1521),$A$4:$A1520),""))</f>
        <v/>
      </c>
      <c r="J1521" s="32">
        <f>IF(B1521="","",IFERROR(D1521/I1521,""))</f>
        <v/>
      </c>
      <c r="K1521" s="71">
        <f>IF(B1521="","",IFERROR(AVERAGEIFS($J$4:$J1521,$B$4:$B1521,B1521,$J$4:$J1521,"&gt;"&amp;0),""))</f>
        <v/>
      </c>
      <c r="L1521" s="11" t="n"/>
    </row>
    <row r="1522" ht="14" customHeight="1" s="72">
      <c r="A1522" s="80" t="n"/>
      <c r="B1522" s="81" t="n"/>
      <c r="C1522" s="69">
        <f>IF(B1522="","",IFERROR(INDEX(Client_List!$B:$B,MATCH(B1522,Client_List!$A:$A,0)),"⚠ NOT FOUND"))</f>
        <v/>
      </c>
      <c r="D1522" s="45" t="n"/>
      <c r="E1522" s="32">
        <f>IF(B1522="","",IFERROR(INDEX(Client_List!$C:$C,MATCH(VALUE(B1522),Client_List!$A:$A,0)),""))</f>
        <v/>
      </c>
      <c r="F1522" s="53">
        <f>IF(B1522="","",IFERROR(INDEX(Client_List!$D:$D,MATCH(VALUE(B1522),Client_List!$A:$A,0)),""))</f>
        <v/>
      </c>
      <c r="G1522" s="53">
        <f>IF(B1522="","",IFERROR(INDEX(Client_List!$K:$K,MATCH(VALUE(B1522),Client_List!$A:$A,0)),""))</f>
        <v/>
      </c>
      <c r="H1522" s="32">
        <f>IF(B1522="","",IFERROR(INDEX(Client_List!$J:$J,MATCH(VALUE(B1522),Client_List!$A:$A,0)),""))</f>
        <v/>
      </c>
      <c r="I1522" s="70">
        <f>IF(B1522="","",IFERROR(A1522-LOOKUP(2,1/($B$4:$B1521=B1522),$A$4:$A1521),""))</f>
        <v/>
      </c>
      <c r="J1522" s="32">
        <f>IF(B1522="","",IFERROR(D1522/I1522,""))</f>
        <v/>
      </c>
      <c r="K1522" s="71">
        <f>IF(B1522="","",IFERROR(AVERAGEIFS($J$4:$J1522,$B$4:$B1522,B1522,$J$4:$J1522,"&gt;"&amp;0),""))</f>
        <v/>
      </c>
      <c r="L1522" s="12" t="n"/>
    </row>
    <row r="1523" ht="14" customHeight="1" s="72">
      <c r="A1523" s="78" t="n"/>
      <c r="B1523" s="79" t="n"/>
      <c r="C1523" s="69">
        <f>IF(B1523="","",IFERROR(INDEX(Client_List!$B:$B,MATCH(B1523,Client_List!$A:$A,0)),"⚠ NOT FOUND"))</f>
        <v/>
      </c>
      <c r="D1523" s="44" t="n"/>
      <c r="E1523" s="32">
        <f>IF(B1523="","",IFERROR(INDEX(Client_List!$C:$C,MATCH(VALUE(B1523),Client_List!$A:$A,0)),""))</f>
        <v/>
      </c>
      <c r="F1523" s="53">
        <f>IF(B1523="","",IFERROR(INDEX(Client_List!$D:$D,MATCH(VALUE(B1523),Client_List!$A:$A,0)),""))</f>
        <v/>
      </c>
      <c r="G1523" s="53">
        <f>IF(B1523="","",IFERROR(INDEX(Client_List!$K:$K,MATCH(VALUE(B1523),Client_List!$A:$A,0)),""))</f>
        <v/>
      </c>
      <c r="H1523" s="32">
        <f>IF(B1523="","",IFERROR(INDEX(Client_List!$J:$J,MATCH(VALUE(B1523),Client_List!$A:$A,0)),""))</f>
        <v/>
      </c>
      <c r="I1523" s="70">
        <f>IF(B1523="","",IFERROR(A1523-LOOKUP(2,1/($B$4:$B1522=B1523),$A$4:$A1522),""))</f>
        <v/>
      </c>
      <c r="J1523" s="32">
        <f>IF(B1523="","",IFERROR(D1523/I1523,""))</f>
        <v/>
      </c>
      <c r="K1523" s="71">
        <f>IF(B1523="","",IFERROR(AVERAGEIFS($J$4:$J1523,$B$4:$B1523,B1523,$J$4:$J1523,"&gt;"&amp;0),""))</f>
        <v/>
      </c>
      <c r="L1523" s="11" t="n"/>
    </row>
    <row r="1524" ht="14" customHeight="1" s="72">
      <c r="A1524" s="80" t="n"/>
      <c r="B1524" s="81" t="n"/>
      <c r="C1524" s="69">
        <f>IF(B1524="","",IFERROR(INDEX(Client_List!$B:$B,MATCH(B1524,Client_List!$A:$A,0)),"⚠ NOT FOUND"))</f>
        <v/>
      </c>
      <c r="D1524" s="45" t="n"/>
      <c r="E1524" s="32">
        <f>IF(B1524="","",IFERROR(INDEX(Client_List!$C:$C,MATCH(VALUE(B1524),Client_List!$A:$A,0)),""))</f>
        <v/>
      </c>
      <c r="F1524" s="53">
        <f>IF(B1524="","",IFERROR(INDEX(Client_List!$D:$D,MATCH(VALUE(B1524),Client_List!$A:$A,0)),""))</f>
        <v/>
      </c>
      <c r="G1524" s="53">
        <f>IF(B1524="","",IFERROR(INDEX(Client_List!$K:$K,MATCH(VALUE(B1524),Client_List!$A:$A,0)),""))</f>
        <v/>
      </c>
      <c r="H1524" s="32">
        <f>IF(B1524="","",IFERROR(INDEX(Client_List!$J:$J,MATCH(VALUE(B1524),Client_List!$A:$A,0)),""))</f>
        <v/>
      </c>
      <c r="I1524" s="70">
        <f>IF(B1524="","",IFERROR(A1524-LOOKUP(2,1/($B$4:$B1523=B1524),$A$4:$A1523),""))</f>
        <v/>
      </c>
      <c r="J1524" s="32">
        <f>IF(B1524="","",IFERROR(D1524/I1524,""))</f>
        <v/>
      </c>
      <c r="K1524" s="71">
        <f>IF(B1524="","",IFERROR(AVERAGEIFS($J$4:$J1524,$B$4:$B1524,B1524,$J$4:$J1524,"&gt;"&amp;0),""))</f>
        <v/>
      </c>
      <c r="L1524" s="12" t="n"/>
    </row>
    <row r="1525" ht="14" customHeight="1" s="72">
      <c r="A1525" s="78" t="n"/>
      <c r="B1525" s="79" t="n"/>
      <c r="C1525" s="69">
        <f>IF(B1525="","",IFERROR(INDEX(Client_List!$B:$B,MATCH(B1525,Client_List!$A:$A,0)),"⚠ NOT FOUND"))</f>
        <v/>
      </c>
      <c r="D1525" s="44" t="n"/>
      <c r="E1525" s="32">
        <f>IF(B1525="","",IFERROR(INDEX(Client_List!$C:$C,MATCH(VALUE(B1525),Client_List!$A:$A,0)),""))</f>
        <v/>
      </c>
      <c r="F1525" s="53">
        <f>IF(B1525="","",IFERROR(INDEX(Client_List!$D:$D,MATCH(VALUE(B1525),Client_List!$A:$A,0)),""))</f>
        <v/>
      </c>
      <c r="G1525" s="53">
        <f>IF(B1525="","",IFERROR(INDEX(Client_List!$K:$K,MATCH(VALUE(B1525),Client_List!$A:$A,0)),""))</f>
        <v/>
      </c>
      <c r="H1525" s="32">
        <f>IF(B1525="","",IFERROR(INDEX(Client_List!$J:$J,MATCH(VALUE(B1525),Client_List!$A:$A,0)),""))</f>
        <v/>
      </c>
      <c r="I1525" s="70">
        <f>IF(B1525="","",IFERROR(A1525-LOOKUP(2,1/($B$4:$B1524=B1525),$A$4:$A1524),""))</f>
        <v/>
      </c>
      <c r="J1525" s="32">
        <f>IF(B1525="","",IFERROR(D1525/I1525,""))</f>
        <v/>
      </c>
      <c r="K1525" s="71">
        <f>IF(B1525="","",IFERROR(AVERAGEIFS($J$4:$J1525,$B$4:$B1525,B1525,$J$4:$J1525,"&gt;"&amp;0),""))</f>
        <v/>
      </c>
      <c r="L1525" s="11" t="n"/>
    </row>
    <row r="1526" ht="14" customHeight="1" s="72">
      <c r="A1526" s="80" t="n"/>
      <c r="B1526" s="81" t="n"/>
      <c r="C1526" s="69">
        <f>IF(B1526="","",IFERROR(INDEX(Client_List!$B:$B,MATCH(B1526,Client_List!$A:$A,0)),"⚠ NOT FOUND"))</f>
        <v/>
      </c>
      <c r="D1526" s="45" t="n"/>
      <c r="E1526" s="32">
        <f>IF(B1526="","",IFERROR(INDEX(Client_List!$C:$C,MATCH(VALUE(B1526),Client_List!$A:$A,0)),""))</f>
        <v/>
      </c>
      <c r="F1526" s="53">
        <f>IF(B1526="","",IFERROR(INDEX(Client_List!$D:$D,MATCH(VALUE(B1526),Client_List!$A:$A,0)),""))</f>
        <v/>
      </c>
      <c r="G1526" s="53">
        <f>IF(B1526="","",IFERROR(INDEX(Client_List!$K:$K,MATCH(VALUE(B1526),Client_List!$A:$A,0)),""))</f>
        <v/>
      </c>
      <c r="H1526" s="32">
        <f>IF(B1526="","",IFERROR(INDEX(Client_List!$J:$J,MATCH(VALUE(B1526),Client_List!$A:$A,0)),""))</f>
        <v/>
      </c>
      <c r="I1526" s="70">
        <f>IF(B1526="","",IFERROR(A1526-LOOKUP(2,1/($B$4:$B1525=B1526),$A$4:$A1525),""))</f>
        <v/>
      </c>
      <c r="J1526" s="32">
        <f>IF(B1526="","",IFERROR(D1526/I1526,""))</f>
        <v/>
      </c>
      <c r="K1526" s="71">
        <f>IF(B1526="","",IFERROR(AVERAGEIFS($J$4:$J1526,$B$4:$B1526,B1526,$J$4:$J1526,"&gt;"&amp;0),""))</f>
        <v/>
      </c>
      <c r="L1526" s="12" t="n"/>
    </row>
    <row r="1527" ht="14" customHeight="1" s="72">
      <c r="A1527" s="78" t="n"/>
      <c r="B1527" s="79" t="n"/>
      <c r="C1527" s="69">
        <f>IF(B1527="","",IFERROR(INDEX(Client_List!$B:$B,MATCH(B1527,Client_List!$A:$A,0)),"⚠ NOT FOUND"))</f>
        <v/>
      </c>
      <c r="D1527" s="44" t="n"/>
      <c r="E1527" s="32">
        <f>IF(B1527="","",IFERROR(INDEX(Client_List!$C:$C,MATCH(VALUE(B1527),Client_List!$A:$A,0)),""))</f>
        <v/>
      </c>
      <c r="F1527" s="53">
        <f>IF(B1527="","",IFERROR(INDEX(Client_List!$D:$D,MATCH(VALUE(B1527),Client_List!$A:$A,0)),""))</f>
        <v/>
      </c>
      <c r="G1527" s="53">
        <f>IF(B1527="","",IFERROR(INDEX(Client_List!$K:$K,MATCH(VALUE(B1527),Client_List!$A:$A,0)),""))</f>
        <v/>
      </c>
      <c r="H1527" s="32">
        <f>IF(B1527="","",IFERROR(INDEX(Client_List!$J:$J,MATCH(VALUE(B1527),Client_List!$A:$A,0)),""))</f>
        <v/>
      </c>
      <c r="I1527" s="70">
        <f>IF(B1527="","",IFERROR(A1527-LOOKUP(2,1/($B$4:$B1526=B1527),$A$4:$A1526),""))</f>
        <v/>
      </c>
      <c r="J1527" s="32">
        <f>IF(B1527="","",IFERROR(D1527/I1527,""))</f>
        <v/>
      </c>
      <c r="K1527" s="71">
        <f>IF(B1527="","",IFERROR(AVERAGEIFS($J$4:$J1527,$B$4:$B1527,B1527,$J$4:$J1527,"&gt;"&amp;0),""))</f>
        <v/>
      </c>
      <c r="L1527" s="11" t="n"/>
    </row>
    <row r="1528" ht="14" customHeight="1" s="72">
      <c r="A1528" s="80" t="n"/>
      <c r="B1528" s="81" t="n"/>
      <c r="C1528" s="69">
        <f>IF(B1528="","",IFERROR(INDEX(Client_List!$B:$B,MATCH(B1528,Client_List!$A:$A,0)),"⚠ NOT FOUND"))</f>
        <v/>
      </c>
      <c r="D1528" s="45" t="n"/>
      <c r="E1528" s="32">
        <f>IF(B1528="","",IFERROR(INDEX(Client_List!$C:$C,MATCH(VALUE(B1528),Client_List!$A:$A,0)),""))</f>
        <v/>
      </c>
      <c r="F1528" s="53">
        <f>IF(B1528="","",IFERROR(INDEX(Client_List!$D:$D,MATCH(VALUE(B1528),Client_List!$A:$A,0)),""))</f>
        <v/>
      </c>
      <c r="G1528" s="53">
        <f>IF(B1528="","",IFERROR(INDEX(Client_List!$K:$K,MATCH(VALUE(B1528),Client_List!$A:$A,0)),""))</f>
        <v/>
      </c>
      <c r="H1528" s="32">
        <f>IF(B1528="","",IFERROR(INDEX(Client_List!$J:$J,MATCH(VALUE(B1528),Client_List!$A:$A,0)),""))</f>
        <v/>
      </c>
      <c r="I1528" s="70">
        <f>IF(B1528="","",IFERROR(A1528-LOOKUP(2,1/($B$4:$B1527=B1528),$A$4:$A1527),""))</f>
        <v/>
      </c>
      <c r="J1528" s="32">
        <f>IF(B1528="","",IFERROR(D1528/I1528,""))</f>
        <v/>
      </c>
      <c r="K1528" s="71">
        <f>IF(B1528="","",IFERROR(AVERAGEIFS($J$4:$J1528,$B$4:$B1528,B1528,$J$4:$J1528,"&gt;"&amp;0),""))</f>
        <v/>
      </c>
      <c r="L1528" s="12" t="n"/>
    </row>
    <row r="1529" ht="14" customHeight="1" s="72">
      <c r="A1529" s="78" t="n"/>
      <c r="B1529" s="79" t="n"/>
      <c r="C1529" s="69">
        <f>IF(B1529="","",IFERROR(INDEX(Client_List!$B:$B,MATCH(B1529,Client_List!$A:$A,0)),"⚠ NOT FOUND"))</f>
        <v/>
      </c>
      <c r="D1529" s="44" t="n"/>
      <c r="E1529" s="32">
        <f>IF(B1529="","",IFERROR(INDEX(Client_List!$C:$C,MATCH(VALUE(B1529),Client_List!$A:$A,0)),""))</f>
        <v/>
      </c>
      <c r="F1529" s="53">
        <f>IF(B1529="","",IFERROR(INDEX(Client_List!$D:$D,MATCH(VALUE(B1529),Client_List!$A:$A,0)),""))</f>
        <v/>
      </c>
      <c r="G1529" s="53">
        <f>IF(B1529="","",IFERROR(INDEX(Client_List!$K:$K,MATCH(VALUE(B1529),Client_List!$A:$A,0)),""))</f>
        <v/>
      </c>
      <c r="H1529" s="32">
        <f>IF(B1529="","",IFERROR(INDEX(Client_List!$J:$J,MATCH(VALUE(B1529),Client_List!$A:$A,0)),""))</f>
        <v/>
      </c>
      <c r="I1529" s="70">
        <f>IF(B1529="","",IFERROR(A1529-LOOKUP(2,1/($B$4:$B1528=B1529),$A$4:$A1528),""))</f>
        <v/>
      </c>
      <c r="J1529" s="32">
        <f>IF(B1529="","",IFERROR(D1529/I1529,""))</f>
        <v/>
      </c>
      <c r="K1529" s="71">
        <f>IF(B1529="","",IFERROR(AVERAGEIFS($J$4:$J1529,$B$4:$B1529,B1529,$J$4:$J1529,"&gt;"&amp;0),""))</f>
        <v/>
      </c>
      <c r="L1529" s="11" t="n"/>
    </row>
    <row r="1530" ht="14" customHeight="1" s="72">
      <c r="A1530" s="80" t="n"/>
      <c r="B1530" s="81" t="n"/>
      <c r="C1530" s="69">
        <f>IF(B1530="","",IFERROR(INDEX(Client_List!$B:$B,MATCH(B1530,Client_List!$A:$A,0)),"⚠ NOT FOUND"))</f>
        <v/>
      </c>
      <c r="D1530" s="45" t="n"/>
      <c r="E1530" s="32">
        <f>IF(B1530="","",IFERROR(INDEX(Client_List!$C:$C,MATCH(VALUE(B1530),Client_List!$A:$A,0)),""))</f>
        <v/>
      </c>
      <c r="F1530" s="53">
        <f>IF(B1530="","",IFERROR(INDEX(Client_List!$D:$D,MATCH(VALUE(B1530),Client_List!$A:$A,0)),""))</f>
        <v/>
      </c>
      <c r="G1530" s="53">
        <f>IF(B1530="","",IFERROR(INDEX(Client_List!$K:$K,MATCH(VALUE(B1530),Client_List!$A:$A,0)),""))</f>
        <v/>
      </c>
      <c r="H1530" s="32">
        <f>IF(B1530="","",IFERROR(INDEX(Client_List!$J:$J,MATCH(VALUE(B1530),Client_List!$A:$A,0)),""))</f>
        <v/>
      </c>
      <c r="I1530" s="70">
        <f>IF(B1530="","",IFERROR(A1530-LOOKUP(2,1/($B$4:$B1529=B1530),$A$4:$A1529),""))</f>
        <v/>
      </c>
      <c r="J1530" s="32">
        <f>IF(B1530="","",IFERROR(D1530/I1530,""))</f>
        <v/>
      </c>
      <c r="K1530" s="71">
        <f>IF(B1530="","",IFERROR(AVERAGEIFS($J$4:$J1530,$B$4:$B1530,B1530,$J$4:$J1530,"&gt;"&amp;0),""))</f>
        <v/>
      </c>
      <c r="L1530" s="12" t="n"/>
    </row>
    <row r="1531" ht="14" customHeight="1" s="72">
      <c r="A1531" s="78" t="n"/>
      <c r="B1531" s="79" t="n"/>
      <c r="C1531" s="69">
        <f>IF(B1531="","",IFERROR(INDEX(Client_List!$B:$B,MATCH(B1531,Client_List!$A:$A,0)),"⚠ NOT FOUND"))</f>
        <v/>
      </c>
      <c r="D1531" s="44" t="n"/>
      <c r="E1531" s="32">
        <f>IF(B1531="","",IFERROR(INDEX(Client_List!$C:$C,MATCH(VALUE(B1531),Client_List!$A:$A,0)),""))</f>
        <v/>
      </c>
      <c r="F1531" s="53">
        <f>IF(B1531="","",IFERROR(INDEX(Client_List!$D:$D,MATCH(VALUE(B1531),Client_List!$A:$A,0)),""))</f>
        <v/>
      </c>
      <c r="G1531" s="53">
        <f>IF(B1531="","",IFERROR(INDEX(Client_List!$K:$K,MATCH(VALUE(B1531),Client_List!$A:$A,0)),""))</f>
        <v/>
      </c>
      <c r="H1531" s="32">
        <f>IF(B1531="","",IFERROR(INDEX(Client_List!$J:$J,MATCH(VALUE(B1531),Client_List!$A:$A,0)),""))</f>
        <v/>
      </c>
      <c r="I1531" s="70">
        <f>IF(B1531="","",IFERROR(A1531-LOOKUP(2,1/($B$4:$B1530=B1531),$A$4:$A1530),""))</f>
        <v/>
      </c>
      <c r="J1531" s="32">
        <f>IF(B1531="","",IFERROR(D1531/I1531,""))</f>
        <v/>
      </c>
      <c r="K1531" s="71">
        <f>IF(B1531="","",IFERROR(AVERAGEIFS($J$4:$J1531,$B$4:$B1531,B1531,$J$4:$J1531,"&gt;"&amp;0),""))</f>
        <v/>
      </c>
      <c r="L1531" s="11" t="n"/>
    </row>
    <row r="1532" ht="14" customHeight="1" s="72">
      <c r="A1532" s="80" t="n"/>
      <c r="B1532" s="81" t="n"/>
      <c r="C1532" s="69">
        <f>IF(B1532="","",IFERROR(INDEX(Client_List!$B:$B,MATCH(B1532,Client_List!$A:$A,0)),"⚠ NOT FOUND"))</f>
        <v/>
      </c>
      <c r="D1532" s="45" t="n"/>
      <c r="E1532" s="32">
        <f>IF(B1532="","",IFERROR(INDEX(Client_List!$C:$C,MATCH(VALUE(B1532),Client_List!$A:$A,0)),""))</f>
        <v/>
      </c>
      <c r="F1532" s="53">
        <f>IF(B1532="","",IFERROR(INDEX(Client_List!$D:$D,MATCH(VALUE(B1532),Client_List!$A:$A,0)),""))</f>
        <v/>
      </c>
      <c r="G1532" s="53">
        <f>IF(B1532="","",IFERROR(INDEX(Client_List!$K:$K,MATCH(VALUE(B1532),Client_List!$A:$A,0)),""))</f>
        <v/>
      </c>
      <c r="H1532" s="32">
        <f>IF(B1532="","",IFERROR(INDEX(Client_List!$J:$J,MATCH(VALUE(B1532),Client_List!$A:$A,0)),""))</f>
        <v/>
      </c>
      <c r="I1532" s="70">
        <f>IF(B1532="","",IFERROR(A1532-LOOKUP(2,1/($B$4:$B1531=B1532),$A$4:$A1531),""))</f>
        <v/>
      </c>
      <c r="J1532" s="32">
        <f>IF(B1532="","",IFERROR(D1532/I1532,""))</f>
        <v/>
      </c>
      <c r="K1532" s="71">
        <f>IF(B1532="","",IFERROR(AVERAGEIFS($J$4:$J1532,$B$4:$B1532,B1532,$J$4:$J1532,"&gt;"&amp;0),""))</f>
        <v/>
      </c>
      <c r="L1532" s="12" t="n"/>
    </row>
    <row r="1533" ht="14" customHeight="1" s="72">
      <c r="A1533" s="78" t="n"/>
      <c r="B1533" s="79" t="n"/>
      <c r="C1533" s="69">
        <f>IF(B1533="","",IFERROR(INDEX(Client_List!$B:$B,MATCH(B1533,Client_List!$A:$A,0)),"⚠ NOT FOUND"))</f>
        <v/>
      </c>
      <c r="D1533" s="44" t="n"/>
      <c r="E1533" s="32">
        <f>IF(B1533="","",IFERROR(INDEX(Client_List!$C:$C,MATCH(VALUE(B1533),Client_List!$A:$A,0)),""))</f>
        <v/>
      </c>
      <c r="F1533" s="53">
        <f>IF(B1533="","",IFERROR(INDEX(Client_List!$D:$D,MATCH(VALUE(B1533),Client_List!$A:$A,0)),""))</f>
        <v/>
      </c>
      <c r="G1533" s="53">
        <f>IF(B1533="","",IFERROR(INDEX(Client_List!$K:$K,MATCH(VALUE(B1533),Client_List!$A:$A,0)),""))</f>
        <v/>
      </c>
      <c r="H1533" s="32">
        <f>IF(B1533="","",IFERROR(INDEX(Client_List!$J:$J,MATCH(VALUE(B1533),Client_List!$A:$A,0)),""))</f>
        <v/>
      </c>
      <c r="I1533" s="70">
        <f>IF(B1533="","",IFERROR(A1533-LOOKUP(2,1/($B$4:$B1532=B1533),$A$4:$A1532),""))</f>
        <v/>
      </c>
      <c r="J1533" s="32">
        <f>IF(B1533="","",IFERROR(D1533/I1533,""))</f>
        <v/>
      </c>
      <c r="K1533" s="71">
        <f>IF(B1533="","",IFERROR(AVERAGEIFS($J$4:$J1533,$B$4:$B1533,B1533,$J$4:$J1533,"&gt;"&amp;0),""))</f>
        <v/>
      </c>
      <c r="L1533" s="11" t="n"/>
    </row>
    <row r="1534" ht="14" customHeight="1" s="72">
      <c r="A1534" s="80" t="n"/>
      <c r="B1534" s="81" t="n"/>
      <c r="C1534" s="69">
        <f>IF(B1534="","",IFERROR(INDEX(Client_List!$B:$B,MATCH(B1534,Client_List!$A:$A,0)),"⚠ NOT FOUND"))</f>
        <v/>
      </c>
      <c r="D1534" s="45" t="n"/>
      <c r="E1534" s="32">
        <f>IF(B1534="","",IFERROR(INDEX(Client_List!$C:$C,MATCH(VALUE(B1534),Client_List!$A:$A,0)),""))</f>
        <v/>
      </c>
      <c r="F1534" s="53">
        <f>IF(B1534="","",IFERROR(INDEX(Client_List!$D:$D,MATCH(VALUE(B1534),Client_List!$A:$A,0)),""))</f>
        <v/>
      </c>
      <c r="G1534" s="53">
        <f>IF(B1534="","",IFERROR(INDEX(Client_List!$K:$K,MATCH(VALUE(B1534),Client_List!$A:$A,0)),""))</f>
        <v/>
      </c>
      <c r="H1534" s="32">
        <f>IF(B1534="","",IFERROR(INDEX(Client_List!$J:$J,MATCH(VALUE(B1534),Client_List!$A:$A,0)),""))</f>
        <v/>
      </c>
      <c r="I1534" s="70">
        <f>IF(B1534="","",IFERROR(A1534-LOOKUP(2,1/($B$4:$B1533=B1534),$A$4:$A1533),""))</f>
        <v/>
      </c>
      <c r="J1534" s="32">
        <f>IF(B1534="","",IFERROR(D1534/I1534,""))</f>
        <v/>
      </c>
      <c r="K1534" s="71">
        <f>IF(B1534="","",IFERROR(AVERAGEIFS($J$4:$J1534,$B$4:$B1534,B1534,$J$4:$J1534,"&gt;"&amp;0),""))</f>
        <v/>
      </c>
      <c r="L1534" s="12" t="n"/>
    </row>
    <row r="1535" ht="14" customHeight="1" s="72">
      <c r="A1535" s="78" t="n"/>
      <c r="B1535" s="79" t="n"/>
      <c r="C1535" s="69">
        <f>IF(B1535="","",IFERROR(INDEX(Client_List!$B:$B,MATCH(B1535,Client_List!$A:$A,0)),"⚠ NOT FOUND"))</f>
        <v/>
      </c>
      <c r="D1535" s="44" t="n"/>
      <c r="E1535" s="32">
        <f>IF(B1535="","",IFERROR(INDEX(Client_List!$C:$C,MATCH(VALUE(B1535),Client_List!$A:$A,0)),""))</f>
        <v/>
      </c>
      <c r="F1535" s="53">
        <f>IF(B1535="","",IFERROR(INDEX(Client_List!$D:$D,MATCH(VALUE(B1535),Client_List!$A:$A,0)),""))</f>
        <v/>
      </c>
      <c r="G1535" s="53">
        <f>IF(B1535="","",IFERROR(INDEX(Client_List!$K:$K,MATCH(VALUE(B1535),Client_List!$A:$A,0)),""))</f>
        <v/>
      </c>
      <c r="H1535" s="32">
        <f>IF(B1535="","",IFERROR(INDEX(Client_List!$J:$J,MATCH(VALUE(B1535),Client_List!$A:$A,0)),""))</f>
        <v/>
      </c>
      <c r="I1535" s="70">
        <f>IF(B1535="","",IFERROR(A1535-LOOKUP(2,1/($B$4:$B1534=B1535),$A$4:$A1534),""))</f>
        <v/>
      </c>
      <c r="J1535" s="32">
        <f>IF(B1535="","",IFERROR(D1535/I1535,""))</f>
        <v/>
      </c>
      <c r="K1535" s="71">
        <f>IF(B1535="","",IFERROR(AVERAGEIFS($J$4:$J1535,$B$4:$B1535,B1535,$J$4:$J1535,"&gt;"&amp;0),""))</f>
        <v/>
      </c>
      <c r="L1535" s="11" t="n"/>
    </row>
    <row r="1536" ht="14" customHeight="1" s="72">
      <c r="A1536" s="80" t="n"/>
      <c r="B1536" s="81" t="n"/>
      <c r="C1536" s="69">
        <f>IF(B1536="","",IFERROR(INDEX(Client_List!$B:$B,MATCH(B1536,Client_List!$A:$A,0)),"⚠ NOT FOUND"))</f>
        <v/>
      </c>
      <c r="D1536" s="45" t="n"/>
      <c r="E1536" s="32">
        <f>IF(B1536="","",IFERROR(INDEX(Client_List!$C:$C,MATCH(VALUE(B1536),Client_List!$A:$A,0)),""))</f>
        <v/>
      </c>
      <c r="F1536" s="53">
        <f>IF(B1536="","",IFERROR(INDEX(Client_List!$D:$D,MATCH(VALUE(B1536),Client_List!$A:$A,0)),""))</f>
        <v/>
      </c>
      <c r="G1536" s="53">
        <f>IF(B1536="","",IFERROR(INDEX(Client_List!$K:$K,MATCH(VALUE(B1536),Client_List!$A:$A,0)),""))</f>
        <v/>
      </c>
      <c r="H1536" s="32">
        <f>IF(B1536="","",IFERROR(INDEX(Client_List!$J:$J,MATCH(VALUE(B1536),Client_List!$A:$A,0)),""))</f>
        <v/>
      </c>
      <c r="I1536" s="70">
        <f>IF(B1536="","",IFERROR(A1536-LOOKUP(2,1/($B$4:$B1535=B1536),$A$4:$A1535),""))</f>
        <v/>
      </c>
      <c r="J1536" s="32">
        <f>IF(B1536="","",IFERROR(D1536/I1536,""))</f>
        <v/>
      </c>
      <c r="K1536" s="71">
        <f>IF(B1536="","",IFERROR(AVERAGEIFS($J$4:$J1536,$B$4:$B1536,B1536,$J$4:$J1536,"&gt;"&amp;0),""))</f>
        <v/>
      </c>
      <c r="L1536" s="12" t="n"/>
    </row>
    <row r="1537" ht="14" customHeight="1" s="72">
      <c r="A1537" s="78" t="n"/>
      <c r="B1537" s="79" t="n"/>
      <c r="C1537" s="69">
        <f>IF(B1537="","",IFERROR(INDEX(Client_List!$B:$B,MATCH(B1537,Client_List!$A:$A,0)),"⚠ NOT FOUND"))</f>
        <v/>
      </c>
      <c r="D1537" s="44" t="n"/>
      <c r="E1537" s="32">
        <f>IF(B1537="","",IFERROR(INDEX(Client_List!$C:$C,MATCH(VALUE(B1537),Client_List!$A:$A,0)),""))</f>
        <v/>
      </c>
      <c r="F1537" s="53">
        <f>IF(B1537="","",IFERROR(INDEX(Client_List!$D:$D,MATCH(VALUE(B1537),Client_List!$A:$A,0)),""))</f>
        <v/>
      </c>
      <c r="G1537" s="53">
        <f>IF(B1537="","",IFERROR(INDEX(Client_List!$K:$K,MATCH(VALUE(B1537),Client_List!$A:$A,0)),""))</f>
        <v/>
      </c>
      <c r="H1537" s="32">
        <f>IF(B1537="","",IFERROR(INDEX(Client_List!$J:$J,MATCH(VALUE(B1537),Client_List!$A:$A,0)),""))</f>
        <v/>
      </c>
      <c r="I1537" s="70">
        <f>IF(B1537="","",IFERROR(A1537-LOOKUP(2,1/($B$4:$B1536=B1537),$A$4:$A1536),""))</f>
        <v/>
      </c>
      <c r="J1537" s="32">
        <f>IF(B1537="","",IFERROR(D1537/I1537,""))</f>
        <v/>
      </c>
      <c r="K1537" s="71">
        <f>IF(B1537="","",IFERROR(AVERAGEIFS($J$4:$J1537,$B$4:$B1537,B1537,$J$4:$J1537,"&gt;"&amp;0),""))</f>
        <v/>
      </c>
      <c r="L1537" s="11" t="n"/>
    </row>
    <row r="1538" ht="14" customHeight="1" s="72">
      <c r="A1538" s="80" t="n"/>
      <c r="B1538" s="81" t="n"/>
      <c r="C1538" s="69">
        <f>IF(B1538="","",IFERROR(INDEX(Client_List!$B:$B,MATCH(B1538,Client_List!$A:$A,0)),"⚠ NOT FOUND"))</f>
        <v/>
      </c>
      <c r="D1538" s="45" t="n"/>
      <c r="E1538" s="32">
        <f>IF(B1538="","",IFERROR(INDEX(Client_List!$C:$C,MATCH(VALUE(B1538),Client_List!$A:$A,0)),""))</f>
        <v/>
      </c>
      <c r="F1538" s="53">
        <f>IF(B1538="","",IFERROR(INDEX(Client_List!$D:$D,MATCH(VALUE(B1538),Client_List!$A:$A,0)),""))</f>
        <v/>
      </c>
      <c r="G1538" s="53">
        <f>IF(B1538="","",IFERROR(INDEX(Client_List!$K:$K,MATCH(VALUE(B1538),Client_List!$A:$A,0)),""))</f>
        <v/>
      </c>
      <c r="H1538" s="32">
        <f>IF(B1538="","",IFERROR(INDEX(Client_List!$J:$J,MATCH(VALUE(B1538),Client_List!$A:$A,0)),""))</f>
        <v/>
      </c>
      <c r="I1538" s="70">
        <f>IF(B1538="","",IFERROR(A1538-LOOKUP(2,1/($B$4:$B1537=B1538),$A$4:$A1537),""))</f>
        <v/>
      </c>
      <c r="J1538" s="32">
        <f>IF(B1538="","",IFERROR(D1538/I1538,""))</f>
        <v/>
      </c>
      <c r="K1538" s="71">
        <f>IF(B1538="","",IFERROR(AVERAGEIFS($J$4:$J1538,$B$4:$B1538,B1538,$J$4:$J1538,"&gt;"&amp;0),""))</f>
        <v/>
      </c>
      <c r="L1538" s="12" t="n"/>
    </row>
    <row r="1539" ht="14" customHeight="1" s="72">
      <c r="A1539" s="78" t="n"/>
      <c r="B1539" s="79" t="n"/>
      <c r="C1539" s="69">
        <f>IF(B1539="","",IFERROR(INDEX(Client_List!$B:$B,MATCH(B1539,Client_List!$A:$A,0)),"⚠ NOT FOUND"))</f>
        <v/>
      </c>
      <c r="D1539" s="44" t="n"/>
      <c r="E1539" s="32">
        <f>IF(B1539="","",IFERROR(INDEX(Client_List!$C:$C,MATCH(VALUE(B1539),Client_List!$A:$A,0)),""))</f>
        <v/>
      </c>
      <c r="F1539" s="53">
        <f>IF(B1539="","",IFERROR(INDEX(Client_List!$D:$D,MATCH(VALUE(B1539),Client_List!$A:$A,0)),""))</f>
        <v/>
      </c>
      <c r="G1539" s="53">
        <f>IF(B1539="","",IFERROR(INDEX(Client_List!$K:$K,MATCH(VALUE(B1539),Client_List!$A:$A,0)),""))</f>
        <v/>
      </c>
      <c r="H1539" s="32">
        <f>IF(B1539="","",IFERROR(INDEX(Client_List!$J:$J,MATCH(VALUE(B1539),Client_List!$A:$A,0)),""))</f>
        <v/>
      </c>
      <c r="I1539" s="70">
        <f>IF(B1539="","",IFERROR(A1539-LOOKUP(2,1/($B$4:$B1538=B1539),$A$4:$A1538),""))</f>
        <v/>
      </c>
      <c r="J1539" s="32">
        <f>IF(B1539="","",IFERROR(D1539/I1539,""))</f>
        <v/>
      </c>
      <c r="K1539" s="71">
        <f>IF(B1539="","",IFERROR(AVERAGEIFS($J$4:$J1539,$B$4:$B1539,B1539,$J$4:$J1539,"&gt;"&amp;0),""))</f>
        <v/>
      </c>
      <c r="L1539" s="11" t="n"/>
    </row>
    <row r="1540" ht="14" customHeight="1" s="72">
      <c r="A1540" s="80" t="n"/>
      <c r="B1540" s="81" t="n"/>
      <c r="C1540" s="69">
        <f>IF(B1540="","",IFERROR(INDEX(Client_List!$B:$B,MATCH(B1540,Client_List!$A:$A,0)),"⚠ NOT FOUND"))</f>
        <v/>
      </c>
      <c r="D1540" s="45" t="n"/>
      <c r="E1540" s="32">
        <f>IF(B1540="","",IFERROR(INDEX(Client_List!$C:$C,MATCH(VALUE(B1540),Client_List!$A:$A,0)),""))</f>
        <v/>
      </c>
      <c r="F1540" s="53">
        <f>IF(B1540="","",IFERROR(INDEX(Client_List!$D:$D,MATCH(VALUE(B1540),Client_List!$A:$A,0)),""))</f>
        <v/>
      </c>
      <c r="G1540" s="53">
        <f>IF(B1540="","",IFERROR(INDEX(Client_List!$K:$K,MATCH(VALUE(B1540),Client_List!$A:$A,0)),""))</f>
        <v/>
      </c>
      <c r="H1540" s="32">
        <f>IF(B1540="","",IFERROR(INDEX(Client_List!$J:$J,MATCH(VALUE(B1540),Client_List!$A:$A,0)),""))</f>
        <v/>
      </c>
      <c r="I1540" s="70">
        <f>IF(B1540="","",IFERROR(A1540-LOOKUP(2,1/($B$4:$B1539=B1540),$A$4:$A1539),""))</f>
        <v/>
      </c>
      <c r="J1540" s="32">
        <f>IF(B1540="","",IFERROR(D1540/I1540,""))</f>
        <v/>
      </c>
      <c r="K1540" s="71">
        <f>IF(B1540="","",IFERROR(AVERAGEIFS($J$4:$J1540,$B$4:$B1540,B1540,$J$4:$J1540,"&gt;"&amp;0),""))</f>
        <v/>
      </c>
      <c r="L1540" s="12" t="n"/>
    </row>
    <row r="1541" ht="14" customHeight="1" s="72">
      <c r="A1541" s="78" t="n"/>
      <c r="B1541" s="79" t="n"/>
      <c r="C1541" s="69">
        <f>IF(B1541="","",IFERROR(INDEX(Client_List!$B:$B,MATCH(B1541,Client_List!$A:$A,0)),"⚠ NOT FOUND"))</f>
        <v/>
      </c>
      <c r="D1541" s="44" t="n"/>
      <c r="E1541" s="32">
        <f>IF(B1541="","",IFERROR(INDEX(Client_List!$C:$C,MATCH(VALUE(B1541),Client_List!$A:$A,0)),""))</f>
        <v/>
      </c>
      <c r="F1541" s="53">
        <f>IF(B1541="","",IFERROR(INDEX(Client_List!$D:$D,MATCH(VALUE(B1541),Client_List!$A:$A,0)),""))</f>
        <v/>
      </c>
      <c r="G1541" s="53">
        <f>IF(B1541="","",IFERROR(INDEX(Client_List!$K:$K,MATCH(VALUE(B1541),Client_List!$A:$A,0)),""))</f>
        <v/>
      </c>
      <c r="H1541" s="32">
        <f>IF(B1541="","",IFERROR(INDEX(Client_List!$J:$J,MATCH(VALUE(B1541),Client_List!$A:$A,0)),""))</f>
        <v/>
      </c>
      <c r="I1541" s="70">
        <f>IF(B1541="","",IFERROR(A1541-LOOKUP(2,1/($B$4:$B1540=B1541),$A$4:$A1540),""))</f>
        <v/>
      </c>
      <c r="J1541" s="32">
        <f>IF(B1541="","",IFERROR(D1541/I1541,""))</f>
        <v/>
      </c>
      <c r="K1541" s="71">
        <f>IF(B1541="","",IFERROR(AVERAGEIFS($J$4:$J1541,$B$4:$B1541,B1541,$J$4:$J1541,"&gt;"&amp;0),""))</f>
        <v/>
      </c>
      <c r="L1541" s="11" t="n"/>
    </row>
    <row r="1542" ht="14" customHeight="1" s="72">
      <c r="A1542" s="80" t="n"/>
      <c r="B1542" s="81" t="n"/>
      <c r="C1542" s="69">
        <f>IF(B1542="","",IFERROR(INDEX(Client_List!$B:$B,MATCH(B1542,Client_List!$A:$A,0)),"⚠ NOT FOUND"))</f>
        <v/>
      </c>
      <c r="D1542" s="45" t="n"/>
      <c r="E1542" s="32">
        <f>IF(B1542="","",IFERROR(INDEX(Client_List!$C:$C,MATCH(VALUE(B1542),Client_List!$A:$A,0)),""))</f>
        <v/>
      </c>
      <c r="F1542" s="53">
        <f>IF(B1542="","",IFERROR(INDEX(Client_List!$D:$D,MATCH(VALUE(B1542),Client_List!$A:$A,0)),""))</f>
        <v/>
      </c>
      <c r="G1542" s="53">
        <f>IF(B1542="","",IFERROR(INDEX(Client_List!$K:$K,MATCH(VALUE(B1542),Client_List!$A:$A,0)),""))</f>
        <v/>
      </c>
      <c r="H1542" s="32">
        <f>IF(B1542="","",IFERROR(INDEX(Client_List!$J:$J,MATCH(VALUE(B1542),Client_List!$A:$A,0)),""))</f>
        <v/>
      </c>
      <c r="I1542" s="70">
        <f>IF(B1542="","",IFERROR(A1542-LOOKUP(2,1/($B$4:$B1541=B1542),$A$4:$A1541),""))</f>
        <v/>
      </c>
      <c r="J1542" s="32">
        <f>IF(B1542="","",IFERROR(D1542/I1542,""))</f>
        <v/>
      </c>
      <c r="K1542" s="71">
        <f>IF(B1542="","",IFERROR(AVERAGEIFS($J$4:$J1542,$B$4:$B1542,B1542,$J$4:$J1542,"&gt;"&amp;0),""))</f>
        <v/>
      </c>
      <c r="L1542" s="12" t="n"/>
    </row>
    <row r="1543" ht="14" customHeight="1" s="72">
      <c r="A1543" s="78" t="n"/>
      <c r="B1543" s="79" t="n"/>
      <c r="C1543" s="69">
        <f>IF(B1543="","",IFERROR(INDEX(Client_List!$B:$B,MATCH(B1543,Client_List!$A:$A,0)),"⚠ NOT FOUND"))</f>
        <v/>
      </c>
      <c r="D1543" s="44" t="n"/>
      <c r="E1543" s="32">
        <f>IF(B1543="","",IFERROR(INDEX(Client_List!$C:$C,MATCH(VALUE(B1543),Client_List!$A:$A,0)),""))</f>
        <v/>
      </c>
      <c r="F1543" s="53">
        <f>IF(B1543="","",IFERROR(INDEX(Client_List!$D:$D,MATCH(VALUE(B1543),Client_List!$A:$A,0)),""))</f>
        <v/>
      </c>
      <c r="G1543" s="53">
        <f>IF(B1543="","",IFERROR(INDEX(Client_List!$K:$K,MATCH(VALUE(B1543),Client_List!$A:$A,0)),""))</f>
        <v/>
      </c>
      <c r="H1543" s="32">
        <f>IF(B1543="","",IFERROR(INDEX(Client_List!$J:$J,MATCH(VALUE(B1543),Client_List!$A:$A,0)),""))</f>
        <v/>
      </c>
      <c r="I1543" s="70">
        <f>IF(B1543="","",IFERROR(A1543-LOOKUP(2,1/($B$4:$B1542=B1543),$A$4:$A1542),""))</f>
        <v/>
      </c>
      <c r="J1543" s="32">
        <f>IF(B1543="","",IFERROR(D1543/I1543,""))</f>
        <v/>
      </c>
      <c r="K1543" s="71">
        <f>IF(B1543="","",IFERROR(AVERAGEIFS($J$4:$J1543,$B$4:$B1543,B1543,$J$4:$J1543,"&gt;"&amp;0),""))</f>
        <v/>
      </c>
      <c r="L1543" s="11" t="n"/>
    </row>
    <row r="1544" ht="14" customHeight="1" s="72">
      <c r="A1544" s="80" t="n"/>
      <c r="B1544" s="81" t="n"/>
      <c r="C1544" s="69">
        <f>IF(B1544="","",IFERROR(INDEX(Client_List!$B:$B,MATCH(B1544,Client_List!$A:$A,0)),"⚠ NOT FOUND"))</f>
        <v/>
      </c>
      <c r="D1544" s="45" t="n"/>
      <c r="E1544" s="32">
        <f>IF(B1544="","",IFERROR(INDEX(Client_List!$C:$C,MATCH(VALUE(B1544),Client_List!$A:$A,0)),""))</f>
        <v/>
      </c>
      <c r="F1544" s="53">
        <f>IF(B1544="","",IFERROR(INDEX(Client_List!$D:$D,MATCH(VALUE(B1544),Client_List!$A:$A,0)),""))</f>
        <v/>
      </c>
      <c r="G1544" s="53">
        <f>IF(B1544="","",IFERROR(INDEX(Client_List!$K:$K,MATCH(VALUE(B1544),Client_List!$A:$A,0)),""))</f>
        <v/>
      </c>
      <c r="H1544" s="32">
        <f>IF(B1544="","",IFERROR(INDEX(Client_List!$J:$J,MATCH(VALUE(B1544),Client_List!$A:$A,0)),""))</f>
        <v/>
      </c>
      <c r="I1544" s="70">
        <f>IF(B1544="","",IFERROR(A1544-LOOKUP(2,1/($B$4:$B1543=B1544),$A$4:$A1543),""))</f>
        <v/>
      </c>
      <c r="J1544" s="32">
        <f>IF(B1544="","",IFERROR(D1544/I1544,""))</f>
        <v/>
      </c>
      <c r="K1544" s="71">
        <f>IF(B1544="","",IFERROR(AVERAGEIFS($J$4:$J1544,$B$4:$B1544,B1544,$J$4:$J1544,"&gt;"&amp;0),""))</f>
        <v/>
      </c>
      <c r="L1544" s="12" t="n"/>
    </row>
    <row r="1545" ht="14" customHeight="1" s="72">
      <c r="A1545" s="78" t="n"/>
      <c r="B1545" s="79" t="n"/>
      <c r="C1545" s="69">
        <f>IF(B1545="","",IFERROR(INDEX(Client_List!$B:$B,MATCH(B1545,Client_List!$A:$A,0)),"⚠ NOT FOUND"))</f>
        <v/>
      </c>
      <c r="D1545" s="44" t="n"/>
      <c r="E1545" s="32">
        <f>IF(B1545="","",IFERROR(INDEX(Client_List!$C:$C,MATCH(VALUE(B1545),Client_List!$A:$A,0)),""))</f>
        <v/>
      </c>
      <c r="F1545" s="53">
        <f>IF(B1545="","",IFERROR(INDEX(Client_List!$D:$D,MATCH(VALUE(B1545),Client_List!$A:$A,0)),""))</f>
        <v/>
      </c>
      <c r="G1545" s="53">
        <f>IF(B1545="","",IFERROR(INDEX(Client_List!$K:$K,MATCH(VALUE(B1545),Client_List!$A:$A,0)),""))</f>
        <v/>
      </c>
      <c r="H1545" s="32">
        <f>IF(B1545="","",IFERROR(INDEX(Client_List!$J:$J,MATCH(VALUE(B1545),Client_List!$A:$A,0)),""))</f>
        <v/>
      </c>
      <c r="I1545" s="70">
        <f>IF(B1545="","",IFERROR(A1545-LOOKUP(2,1/($B$4:$B1544=B1545),$A$4:$A1544),""))</f>
        <v/>
      </c>
      <c r="J1545" s="32">
        <f>IF(B1545="","",IFERROR(D1545/I1545,""))</f>
        <v/>
      </c>
      <c r="K1545" s="71">
        <f>IF(B1545="","",IFERROR(AVERAGEIFS($J$4:$J1545,$B$4:$B1545,B1545,$J$4:$J1545,"&gt;"&amp;0),""))</f>
        <v/>
      </c>
      <c r="L1545" s="11" t="n"/>
    </row>
    <row r="1546" ht="14" customHeight="1" s="72">
      <c r="A1546" s="80" t="n"/>
      <c r="B1546" s="81" t="n"/>
      <c r="C1546" s="69">
        <f>IF(B1546="","",IFERROR(INDEX(Client_List!$B:$B,MATCH(B1546,Client_List!$A:$A,0)),"⚠ NOT FOUND"))</f>
        <v/>
      </c>
      <c r="D1546" s="45" t="n"/>
      <c r="E1546" s="32">
        <f>IF(B1546="","",IFERROR(INDEX(Client_List!$C:$C,MATCH(VALUE(B1546),Client_List!$A:$A,0)),""))</f>
        <v/>
      </c>
      <c r="F1546" s="53">
        <f>IF(B1546="","",IFERROR(INDEX(Client_List!$D:$D,MATCH(VALUE(B1546),Client_List!$A:$A,0)),""))</f>
        <v/>
      </c>
      <c r="G1546" s="53">
        <f>IF(B1546="","",IFERROR(INDEX(Client_List!$K:$K,MATCH(VALUE(B1546),Client_List!$A:$A,0)),""))</f>
        <v/>
      </c>
      <c r="H1546" s="32">
        <f>IF(B1546="","",IFERROR(INDEX(Client_List!$J:$J,MATCH(VALUE(B1546),Client_List!$A:$A,0)),""))</f>
        <v/>
      </c>
      <c r="I1546" s="70">
        <f>IF(B1546="","",IFERROR(A1546-LOOKUP(2,1/($B$4:$B1545=B1546),$A$4:$A1545),""))</f>
        <v/>
      </c>
      <c r="J1546" s="32">
        <f>IF(B1546="","",IFERROR(D1546/I1546,""))</f>
        <v/>
      </c>
      <c r="K1546" s="71">
        <f>IF(B1546="","",IFERROR(AVERAGEIFS($J$4:$J1546,$B$4:$B1546,B1546,$J$4:$J1546,"&gt;"&amp;0),""))</f>
        <v/>
      </c>
      <c r="L1546" s="12" t="n"/>
    </row>
    <row r="1547" ht="14" customHeight="1" s="72">
      <c r="A1547" s="78" t="n"/>
      <c r="B1547" s="79" t="n"/>
      <c r="C1547" s="69">
        <f>IF(B1547="","",IFERROR(INDEX(Client_List!$B:$B,MATCH(B1547,Client_List!$A:$A,0)),"⚠ NOT FOUND"))</f>
        <v/>
      </c>
      <c r="D1547" s="44" t="n"/>
      <c r="E1547" s="32">
        <f>IF(B1547="","",IFERROR(INDEX(Client_List!$C:$C,MATCH(VALUE(B1547),Client_List!$A:$A,0)),""))</f>
        <v/>
      </c>
      <c r="F1547" s="53">
        <f>IF(B1547="","",IFERROR(INDEX(Client_List!$D:$D,MATCH(VALUE(B1547),Client_List!$A:$A,0)),""))</f>
        <v/>
      </c>
      <c r="G1547" s="53">
        <f>IF(B1547="","",IFERROR(INDEX(Client_List!$K:$K,MATCH(VALUE(B1547),Client_List!$A:$A,0)),""))</f>
        <v/>
      </c>
      <c r="H1547" s="32">
        <f>IF(B1547="","",IFERROR(INDEX(Client_List!$J:$J,MATCH(VALUE(B1547),Client_List!$A:$A,0)),""))</f>
        <v/>
      </c>
      <c r="I1547" s="70">
        <f>IF(B1547="","",IFERROR(A1547-LOOKUP(2,1/($B$4:$B1546=B1547),$A$4:$A1546),""))</f>
        <v/>
      </c>
      <c r="J1547" s="32">
        <f>IF(B1547="","",IFERROR(D1547/I1547,""))</f>
        <v/>
      </c>
      <c r="K1547" s="71">
        <f>IF(B1547="","",IFERROR(AVERAGEIFS($J$4:$J1547,$B$4:$B1547,B1547,$J$4:$J1547,"&gt;"&amp;0),""))</f>
        <v/>
      </c>
      <c r="L1547" s="11" t="n"/>
    </row>
    <row r="1548" ht="14" customHeight="1" s="72">
      <c r="A1548" s="80" t="n"/>
      <c r="B1548" s="81" t="n"/>
      <c r="C1548" s="69">
        <f>IF(B1548="","",IFERROR(INDEX(Client_List!$B:$B,MATCH(B1548,Client_List!$A:$A,0)),"⚠ NOT FOUND"))</f>
        <v/>
      </c>
      <c r="D1548" s="45" t="n"/>
      <c r="E1548" s="32">
        <f>IF(B1548="","",IFERROR(INDEX(Client_List!$C:$C,MATCH(VALUE(B1548),Client_List!$A:$A,0)),""))</f>
        <v/>
      </c>
      <c r="F1548" s="53">
        <f>IF(B1548="","",IFERROR(INDEX(Client_List!$D:$D,MATCH(VALUE(B1548),Client_List!$A:$A,0)),""))</f>
        <v/>
      </c>
      <c r="G1548" s="53">
        <f>IF(B1548="","",IFERROR(INDEX(Client_List!$K:$K,MATCH(VALUE(B1548),Client_List!$A:$A,0)),""))</f>
        <v/>
      </c>
      <c r="H1548" s="32">
        <f>IF(B1548="","",IFERROR(INDEX(Client_List!$J:$J,MATCH(VALUE(B1548),Client_List!$A:$A,0)),""))</f>
        <v/>
      </c>
      <c r="I1548" s="70">
        <f>IF(B1548="","",IFERROR(A1548-LOOKUP(2,1/($B$4:$B1547=B1548),$A$4:$A1547),""))</f>
        <v/>
      </c>
      <c r="J1548" s="32">
        <f>IF(B1548="","",IFERROR(D1548/I1548,""))</f>
        <v/>
      </c>
      <c r="K1548" s="71">
        <f>IF(B1548="","",IFERROR(AVERAGEIFS($J$4:$J1548,$B$4:$B1548,B1548,$J$4:$J1548,"&gt;"&amp;0),""))</f>
        <v/>
      </c>
      <c r="L1548" s="12" t="n"/>
    </row>
    <row r="1549" ht="14" customHeight="1" s="72">
      <c r="A1549" s="78" t="n"/>
      <c r="B1549" s="79" t="n"/>
      <c r="C1549" s="69">
        <f>IF(B1549="","",IFERROR(INDEX(Client_List!$B:$B,MATCH(B1549,Client_List!$A:$A,0)),"⚠ NOT FOUND"))</f>
        <v/>
      </c>
      <c r="D1549" s="44" t="n"/>
      <c r="E1549" s="32">
        <f>IF(B1549="","",IFERROR(INDEX(Client_List!$C:$C,MATCH(VALUE(B1549),Client_List!$A:$A,0)),""))</f>
        <v/>
      </c>
      <c r="F1549" s="53">
        <f>IF(B1549="","",IFERROR(INDEX(Client_List!$D:$D,MATCH(VALUE(B1549),Client_List!$A:$A,0)),""))</f>
        <v/>
      </c>
      <c r="G1549" s="53">
        <f>IF(B1549="","",IFERROR(INDEX(Client_List!$K:$K,MATCH(VALUE(B1549),Client_List!$A:$A,0)),""))</f>
        <v/>
      </c>
      <c r="H1549" s="32">
        <f>IF(B1549="","",IFERROR(INDEX(Client_List!$J:$J,MATCH(VALUE(B1549),Client_List!$A:$A,0)),""))</f>
        <v/>
      </c>
      <c r="I1549" s="70">
        <f>IF(B1549="","",IFERROR(A1549-LOOKUP(2,1/($B$4:$B1548=B1549),$A$4:$A1548),""))</f>
        <v/>
      </c>
      <c r="J1549" s="32">
        <f>IF(B1549="","",IFERROR(D1549/I1549,""))</f>
        <v/>
      </c>
      <c r="K1549" s="71">
        <f>IF(B1549="","",IFERROR(AVERAGEIFS($J$4:$J1549,$B$4:$B1549,B1549,$J$4:$J1549,"&gt;"&amp;0),""))</f>
        <v/>
      </c>
      <c r="L1549" s="11" t="n"/>
    </row>
    <row r="1550" ht="14" customHeight="1" s="72">
      <c r="A1550" s="80" t="n"/>
      <c r="B1550" s="81" t="n"/>
      <c r="C1550" s="69">
        <f>IF(B1550="","",IFERROR(INDEX(Client_List!$B:$B,MATCH(B1550,Client_List!$A:$A,0)),"⚠ NOT FOUND"))</f>
        <v/>
      </c>
      <c r="D1550" s="45" t="n"/>
      <c r="E1550" s="32">
        <f>IF(B1550="","",IFERROR(INDEX(Client_List!$C:$C,MATCH(VALUE(B1550),Client_List!$A:$A,0)),""))</f>
        <v/>
      </c>
      <c r="F1550" s="53">
        <f>IF(B1550="","",IFERROR(INDEX(Client_List!$D:$D,MATCH(VALUE(B1550),Client_List!$A:$A,0)),""))</f>
        <v/>
      </c>
      <c r="G1550" s="53">
        <f>IF(B1550="","",IFERROR(INDEX(Client_List!$K:$K,MATCH(VALUE(B1550),Client_List!$A:$A,0)),""))</f>
        <v/>
      </c>
      <c r="H1550" s="32">
        <f>IF(B1550="","",IFERROR(INDEX(Client_List!$J:$J,MATCH(VALUE(B1550),Client_List!$A:$A,0)),""))</f>
        <v/>
      </c>
      <c r="I1550" s="70">
        <f>IF(B1550="","",IFERROR(A1550-LOOKUP(2,1/($B$4:$B1549=B1550),$A$4:$A1549),""))</f>
        <v/>
      </c>
      <c r="J1550" s="32">
        <f>IF(B1550="","",IFERROR(D1550/I1550,""))</f>
        <v/>
      </c>
      <c r="K1550" s="71">
        <f>IF(B1550="","",IFERROR(AVERAGEIFS($J$4:$J1550,$B$4:$B1550,B1550,$J$4:$J1550,"&gt;"&amp;0),""))</f>
        <v/>
      </c>
      <c r="L1550" s="12" t="n"/>
    </row>
    <row r="1551" ht="14" customHeight="1" s="72">
      <c r="A1551" s="78" t="n"/>
      <c r="B1551" s="79" t="n"/>
      <c r="C1551" s="69">
        <f>IF(B1551="","",IFERROR(INDEX(Client_List!$B:$B,MATCH(B1551,Client_List!$A:$A,0)),"⚠ NOT FOUND"))</f>
        <v/>
      </c>
      <c r="D1551" s="44" t="n"/>
      <c r="E1551" s="32">
        <f>IF(B1551="","",IFERROR(INDEX(Client_List!$C:$C,MATCH(VALUE(B1551),Client_List!$A:$A,0)),""))</f>
        <v/>
      </c>
      <c r="F1551" s="53">
        <f>IF(B1551="","",IFERROR(INDEX(Client_List!$D:$D,MATCH(VALUE(B1551),Client_List!$A:$A,0)),""))</f>
        <v/>
      </c>
      <c r="G1551" s="53">
        <f>IF(B1551="","",IFERROR(INDEX(Client_List!$K:$K,MATCH(VALUE(B1551),Client_List!$A:$A,0)),""))</f>
        <v/>
      </c>
      <c r="H1551" s="32">
        <f>IF(B1551="","",IFERROR(INDEX(Client_List!$J:$J,MATCH(VALUE(B1551),Client_List!$A:$A,0)),""))</f>
        <v/>
      </c>
      <c r="I1551" s="70">
        <f>IF(B1551="","",IFERROR(A1551-LOOKUP(2,1/($B$4:$B1550=B1551),$A$4:$A1550),""))</f>
        <v/>
      </c>
      <c r="J1551" s="32">
        <f>IF(B1551="","",IFERROR(D1551/I1551,""))</f>
        <v/>
      </c>
      <c r="K1551" s="71">
        <f>IF(B1551="","",IFERROR(AVERAGEIFS($J$4:$J1551,$B$4:$B1551,B1551,$J$4:$J1551,"&gt;"&amp;0),""))</f>
        <v/>
      </c>
      <c r="L1551" s="11" t="n"/>
    </row>
    <row r="1552" ht="14" customHeight="1" s="72">
      <c r="A1552" s="80" t="n"/>
      <c r="B1552" s="81" t="n"/>
      <c r="C1552" s="69">
        <f>IF(B1552="","",IFERROR(INDEX(Client_List!$B:$B,MATCH(B1552,Client_List!$A:$A,0)),"⚠ NOT FOUND"))</f>
        <v/>
      </c>
      <c r="D1552" s="45" t="n"/>
      <c r="E1552" s="32">
        <f>IF(B1552="","",IFERROR(INDEX(Client_List!$C:$C,MATCH(VALUE(B1552),Client_List!$A:$A,0)),""))</f>
        <v/>
      </c>
      <c r="F1552" s="53">
        <f>IF(B1552="","",IFERROR(INDEX(Client_List!$D:$D,MATCH(VALUE(B1552),Client_List!$A:$A,0)),""))</f>
        <v/>
      </c>
      <c r="G1552" s="53">
        <f>IF(B1552="","",IFERROR(INDEX(Client_List!$K:$K,MATCH(VALUE(B1552),Client_List!$A:$A,0)),""))</f>
        <v/>
      </c>
      <c r="H1552" s="32">
        <f>IF(B1552="","",IFERROR(INDEX(Client_List!$J:$J,MATCH(VALUE(B1552),Client_List!$A:$A,0)),""))</f>
        <v/>
      </c>
      <c r="I1552" s="70">
        <f>IF(B1552="","",IFERROR(A1552-LOOKUP(2,1/($B$4:$B1551=B1552),$A$4:$A1551),""))</f>
        <v/>
      </c>
      <c r="J1552" s="32">
        <f>IF(B1552="","",IFERROR(D1552/I1552,""))</f>
        <v/>
      </c>
      <c r="K1552" s="71">
        <f>IF(B1552="","",IFERROR(AVERAGEIFS($J$4:$J1552,$B$4:$B1552,B1552,$J$4:$J1552,"&gt;"&amp;0),""))</f>
        <v/>
      </c>
      <c r="L1552" s="12" t="n"/>
    </row>
    <row r="1553" ht="14" customHeight="1" s="72">
      <c r="A1553" s="78" t="n"/>
      <c r="B1553" s="79" t="n"/>
      <c r="C1553" s="69">
        <f>IF(B1553="","",IFERROR(INDEX(Client_List!$B:$B,MATCH(B1553,Client_List!$A:$A,0)),"⚠ NOT FOUND"))</f>
        <v/>
      </c>
      <c r="D1553" s="44" t="n"/>
      <c r="E1553" s="32">
        <f>IF(B1553="","",IFERROR(INDEX(Client_List!$C:$C,MATCH(VALUE(B1553),Client_List!$A:$A,0)),""))</f>
        <v/>
      </c>
      <c r="F1553" s="53">
        <f>IF(B1553="","",IFERROR(INDEX(Client_List!$D:$D,MATCH(VALUE(B1553),Client_List!$A:$A,0)),""))</f>
        <v/>
      </c>
      <c r="G1553" s="53">
        <f>IF(B1553="","",IFERROR(INDEX(Client_List!$K:$K,MATCH(VALUE(B1553),Client_List!$A:$A,0)),""))</f>
        <v/>
      </c>
      <c r="H1553" s="32">
        <f>IF(B1553="","",IFERROR(INDEX(Client_List!$J:$J,MATCH(VALUE(B1553),Client_List!$A:$A,0)),""))</f>
        <v/>
      </c>
      <c r="I1553" s="70">
        <f>IF(B1553="","",IFERROR(A1553-LOOKUP(2,1/($B$4:$B1552=B1553),$A$4:$A1552),""))</f>
        <v/>
      </c>
      <c r="J1553" s="32">
        <f>IF(B1553="","",IFERROR(D1553/I1553,""))</f>
        <v/>
      </c>
      <c r="K1553" s="71">
        <f>IF(B1553="","",IFERROR(AVERAGEIFS($J$4:$J1553,$B$4:$B1553,B1553,$J$4:$J1553,"&gt;"&amp;0),""))</f>
        <v/>
      </c>
      <c r="L1553" s="11" t="n"/>
    </row>
    <row r="1554" ht="14" customHeight="1" s="72">
      <c r="A1554" s="80" t="n"/>
      <c r="B1554" s="81" t="n"/>
      <c r="C1554" s="69">
        <f>IF(B1554="","",IFERROR(INDEX(Client_List!$B:$B,MATCH(B1554,Client_List!$A:$A,0)),"⚠ NOT FOUND"))</f>
        <v/>
      </c>
      <c r="D1554" s="45" t="n"/>
      <c r="E1554" s="32">
        <f>IF(B1554="","",IFERROR(INDEX(Client_List!$C:$C,MATCH(VALUE(B1554),Client_List!$A:$A,0)),""))</f>
        <v/>
      </c>
      <c r="F1554" s="53">
        <f>IF(B1554="","",IFERROR(INDEX(Client_List!$D:$D,MATCH(VALUE(B1554),Client_List!$A:$A,0)),""))</f>
        <v/>
      </c>
      <c r="G1554" s="53">
        <f>IF(B1554="","",IFERROR(INDEX(Client_List!$K:$K,MATCH(VALUE(B1554),Client_List!$A:$A,0)),""))</f>
        <v/>
      </c>
      <c r="H1554" s="32">
        <f>IF(B1554="","",IFERROR(INDEX(Client_List!$J:$J,MATCH(VALUE(B1554),Client_List!$A:$A,0)),""))</f>
        <v/>
      </c>
      <c r="I1554" s="70">
        <f>IF(B1554="","",IFERROR(A1554-LOOKUP(2,1/($B$4:$B1553=B1554),$A$4:$A1553),""))</f>
        <v/>
      </c>
      <c r="J1554" s="32">
        <f>IF(B1554="","",IFERROR(D1554/I1554,""))</f>
        <v/>
      </c>
      <c r="K1554" s="71">
        <f>IF(B1554="","",IFERROR(AVERAGEIFS($J$4:$J1554,$B$4:$B1554,B1554,$J$4:$J1554,"&gt;"&amp;0),""))</f>
        <v/>
      </c>
      <c r="L1554" s="12" t="n"/>
    </row>
    <row r="1555" ht="14" customHeight="1" s="72">
      <c r="A1555" s="78" t="n"/>
      <c r="B1555" s="79" t="n"/>
      <c r="C1555" s="69">
        <f>IF(B1555="","",IFERROR(INDEX(Client_List!$B:$B,MATCH(B1555,Client_List!$A:$A,0)),"⚠ NOT FOUND"))</f>
        <v/>
      </c>
      <c r="D1555" s="44" t="n"/>
      <c r="E1555" s="32">
        <f>IF(B1555="","",IFERROR(INDEX(Client_List!$C:$C,MATCH(VALUE(B1555),Client_List!$A:$A,0)),""))</f>
        <v/>
      </c>
      <c r="F1555" s="53">
        <f>IF(B1555="","",IFERROR(INDEX(Client_List!$D:$D,MATCH(VALUE(B1555),Client_List!$A:$A,0)),""))</f>
        <v/>
      </c>
      <c r="G1555" s="53">
        <f>IF(B1555="","",IFERROR(INDEX(Client_List!$K:$K,MATCH(VALUE(B1555),Client_List!$A:$A,0)),""))</f>
        <v/>
      </c>
      <c r="H1555" s="32">
        <f>IF(B1555="","",IFERROR(INDEX(Client_List!$J:$J,MATCH(VALUE(B1555),Client_List!$A:$A,0)),""))</f>
        <v/>
      </c>
      <c r="I1555" s="70">
        <f>IF(B1555="","",IFERROR(A1555-LOOKUP(2,1/($B$4:$B1554=B1555),$A$4:$A1554),""))</f>
        <v/>
      </c>
      <c r="J1555" s="32">
        <f>IF(B1555="","",IFERROR(D1555/I1555,""))</f>
        <v/>
      </c>
      <c r="K1555" s="71">
        <f>IF(B1555="","",IFERROR(AVERAGEIFS($J$4:$J1555,$B$4:$B1555,B1555,$J$4:$J1555,"&gt;"&amp;0),""))</f>
        <v/>
      </c>
      <c r="L1555" s="11" t="n"/>
    </row>
    <row r="1556" ht="14" customHeight="1" s="72">
      <c r="A1556" s="80" t="n"/>
      <c r="B1556" s="81" t="n"/>
      <c r="C1556" s="69">
        <f>IF(B1556="","",IFERROR(INDEX(Client_List!$B:$B,MATCH(B1556,Client_List!$A:$A,0)),"⚠ NOT FOUND"))</f>
        <v/>
      </c>
      <c r="D1556" s="45" t="n"/>
      <c r="E1556" s="32">
        <f>IF(B1556="","",IFERROR(INDEX(Client_List!$C:$C,MATCH(VALUE(B1556),Client_List!$A:$A,0)),""))</f>
        <v/>
      </c>
      <c r="F1556" s="53">
        <f>IF(B1556="","",IFERROR(INDEX(Client_List!$D:$D,MATCH(VALUE(B1556),Client_List!$A:$A,0)),""))</f>
        <v/>
      </c>
      <c r="G1556" s="53">
        <f>IF(B1556="","",IFERROR(INDEX(Client_List!$K:$K,MATCH(VALUE(B1556),Client_List!$A:$A,0)),""))</f>
        <v/>
      </c>
      <c r="H1556" s="32">
        <f>IF(B1556="","",IFERROR(INDEX(Client_List!$J:$J,MATCH(VALUE(B1556),Client_List!$A:$A,0)),""))</f>
        <v/>
      </c>
      <c r="I1556" s="70">
        <f>IF(B1556="","",IFERROR(A1556-LOOKUP(2,1/($B$4:$B1555=B1556),$A$4:$A1555),""))</f>
        <v/>
      </c>
      <c r="J1556" s="32">
        <f>IF(B1556="","",IFERROR(D1556/I1556,""))</f>
        <v/>
      </c>
      <c r="K1556" s="71">
        <f>IF(B1556="","",IFERROR(AVERAGEIFS($J$4:$J1556,$B$4:$B1556,B1556,$J$4:$J1556,"&gt;"&amp;0),""))</f>
        <v/>
      </c>
      <c r="L1556" s="12" t="n"/>
    </row>
    <row r="1557" ht="14" customHeight="1" s="72">
      <c r="A1557" s="78" t="n"/>
      <c r="B1557" s="79" t="n"/>
      <c r="C1557" s="69">
        <f>IF(B1557="","",IFERROR(INDEX(Client_List!$B:$B,MATCH(B1557,Client_List!$A:$A,0)),"⚠ NOT FOUND"))</f>
        <v/>
      </c>
      <c r="D1557" s="44" t="n"/>
      <c r="E1557" s="32">
        <f>IF(B1557="","",IFERROR(INDEX(Client_List!$C:$C,MATCH(VALUE(B1557),Client_List!$A:$A,0)),""))</f>
        <v/>
      </c>
      <c r="F1557" s="53">
        <f>IF(B1557="","",IFERROR(INDEX(Client_List!$D:$D,MATCH(VALUE(B1557),Client_List!$A:$A,0)),""))</f>
        <v/>
      </c>
      <c r="G1557" s="53">
        <f>IF(B1557="","",IFERROR(INDEX(Client_List!$K:$K,MATCH(VALUE(B1557),Client_List!$A:$A,0)),""))</f>
        <v/>
      </c>
      <c r="H1557" s="32">
        <f>IF(B1557="","",IFERROR(INDEX(Client_List!$J:$J,MATCH(VALUE(B1557),Client_List!$A:$A,0)),""))</f>
        <v/>
      </c>
      <c r="I1557" s="70">
        <f>IF(B1557="","",IFERROR(A1557-LOOKUP(2,1/($B$4:$B1556=B1557),$A$4:$A1556),""))</f>
        <v/>
      </c>
      <c r="J1557" s="32">
        <f>IF(B1557="","",IFERROR(D1557/I1557,""))</f>
        <v/>
      </c>
      <c r="K1557" s="71">
        <f>IF(B1557="","",IFERROR(AVERAGEIFS($J$4:$J1557,$B$4:$B1557,B1557,$J$4:$J1557,"&gt;"&amp;0),""))</f>
        <v/>
      </c>
      <c r="L1557" s="11" t="n"/>
    </row>
    <row r="1558" ht="14" customHeight="1" s="72">
      <c r="A1558" s="80" t="n"/>
      <c r="B1558" s="81" t="n"/>
      <c r="C1558" s="69">
        <f>IF(B1558="","",IFERROR(INDEX(Client_List!$B:$B,MATCH(B1558,Client_List!$A:$A,0)),"⚠ NOT FOUND"))</f>
        <v/>
      </c>
      <c r="D1558" s="45" t="n"/>
      <c r="E1558" s="32">
        <f>IF(B1558="","",IFERROR(INDEX(Client_List!$C:$C,MATCH(VALUE(B1558),Client_List!$A:$A,0)),""))</f>
        <v/>
      </c>
      <c r="F1558" s="53">
        <f>IF(B1558="","",IFERROR(INDEX(Client_List!$D:$D,MATCH(VALUE(B1558),Client_List!$A:$A,0)),""))</f>
        <v/>
      </c>
      <c r="G1558" s="53">
        <f>IF(B1558="","",IFERROR(INDEX(Client_List!$K:$K,MATCH(VALUE(B1558),Client_List!$A:$A,0)),""))</f>
        <v/>
      </c>
      <c r="H1558" s="32">
        <f>IF(B1558="","",IFERROR(INDEX(Client_List!$J:$J,MATCH(VALUE(B1558),Client_List!$A:$A,0)),""))</f>
        <v/>
      </c>
      <c r="I1558" s="70">
        <f>IF(B1558="","",IFERROR(A1558-LOOKUP(2,1/($B$4:$B1557=B1558),$A$4:$A1557),""))</f>
        <v/>
      </c>
      <c r="J1558" s="32">
        <f>IF(B1558="","",IFERROR(D1558/I1558,""))</f>
        <v/>
      </c>
      <c r="K1558" s="71">
        <f>IF(B1558="","",IFERROR(AVERAGEIFS($J$4:$J1558,$B$4:$B1558,B1558,$J$4:$J1558,"&gt;"&amp;0),""))</f>
        <v/>
      </c>
      <c r="L1558" s="12" t="n"/>
    </row>
    <row r="1559" ht="14" customHeight="1" s="72">
      <c r="A1559" s="78" t="n"/>
      <c r="B1559" s="79" t="n"/>
      <c r="C1559" s="69">
        <f>IF(B1559="","",IFERROR(INDEX(Client_List!$B:$B,MATCH(B1559,Client_List!$A:$A,0)),"⚠ NOT FOUND"))</f>
        <v/>
      </c>
      <c r="D1559" s="44" t="n"/>
      <c r="E1559" s="32">
        <f>IF(B1559="","",IFERROR(INDEX(Client_List!$C:$C,MATCH(VALUE(B1559),Client_List!$A:$A,0)),""))</f>
        <v/>
      </c>
      <c r="F1559" s="53">
        <f>IF(B1559="","",IFERROR(INDEX(Client_List!$D:$D,MATCH(VALUE(B1559),Client_List!$A:$A,0)),""))</f>
        <v/>
      </c>
      <c r="G1559" s="53">
        <f>IF(B1559="","",IFERROR(INDEX(Client_List!$K:$K,MATCH(VALUE(B1559),Client_List!$A:$A,0)),""))</f>
        <v/>
      </c>
      <c r="H1559" s="32">
        <f>IF(B1559="","",IFERROR(INDEX(Client_List!$J:$J,MATCH(VALUE(B1559),Client_List!$A:$A,0)),""))</f>
        <v/>
      </c>
      <c r="I1559" s="70">
        <f>IF(B1559="","",IFERROR(A1559-LOOKUP(2,1/($B$4:$B1558=B1559),$A$4:$A1558),""))</f>
        <v/>
      </c>
      <c r="J1559" s="32">
        <f>IF(B1559="","",IFERROR(D1559/I1559,""))</f>
        <v/>
      </c>
      <c r="K1559" s="71">
        <f>IF(B1559="","",IFERROR(AVERAGEIFS($J$4:$J1559,$B$4:$B1559,B1559,$J$4:$J1559,"&gt;"&amp;0),""))</f>
        <v/>
      </c>
      <c r="L1559" s="11" t="n"/>
    </row>
    <row r="1560" ht="14" customHeight="1" s="72">
      <c r="A1560" s="80" t="n"/>
      <c r="B1560" s="81" t="n"/>
      <c r="C1560" s="69">
        <f>IF(B1560="","",IFERROR(INDEX(Client_List!$B:$B,MATCH(B1560,Client_List!$A:$A,0)),"⚠ NOT FOUND"))</f>
        <v/>
      </c>
      <c r="D1560" s="45" t="n"/>
      <c r="E1560" s="32">
        <f>IF(B1560="","",IFERROR(INDEX(Client_List!$C:$C,MATCH(VALUE(B1560),Client_List!$A:$A,0)),""))</f>
        <v/>
      </c>
      <c r="F1560" s="53">
        <f>IF(B1560="","",IFERROR(INDEX(Client_List!$D:$D,MATCH(VALUE(B1560),Client_List!$A:$A,0)),""))</f>
        <v/>
      </c>
      <c r="G1560" s="53">
        <f>IF(B1560="","",IFERROR(INDEX(Client_List!$K:$K,MATCH(VALUE(B1560),Client_List!$A:$A,0)),""))</f>
        <v/>
      </c>
      <c r="H1560" s="32">
        <f>IF(B1560="","",IFERROR(INDEX(Client_List!$J:$J,MATCH(VALUE(B1560),Client_List!$A:$A,0)),""))</f>
        <v/>
      </c>
      <c r="I1560" s="70">
        <f>IF(B1560="","",IFERROR(A1560-LOOKUP(2,1/($B$4:$B1559=B1560),$A$4:$A1559),""))</f>
        <v/>
      </c>
      <c r="J1560" s="32">
        <f>IF(B1560="","",IFERROR(D1560/I1560,""))</f>
        <v/>
      </c>
      <c r="K1560" s="71">
        <f>IF(B1560="","",IFERROR(AVERAGEIFS($J$4:$J1560,$B$4:$B1560,B1560,$J$4:$J1560,"&gt;"&amp;0),""))</f>
        <v/>
      </c>
      <c r="L1560" s="12" t="n"/>
    </row>
    <row r="1561" ht="14" customHeight="1" s="72">
      <c r="A1561" s="78" t="n"/>
      <c r="B1561" s="79" t="n"/>
      <c r="C1561" s="69">
        <f>IF(B1561="","",IFERROR(INDEX(Client_List!$B:$B,MATCH(B1561,Client_List!$A:$A,0)),"⚠ NOT FOUND"))</f>
        <v/>
      </c>
      <c r="D1561" s="44" t="n"/>
      <c r="E1561" s="32">
        <f>IF(B1561="","",IFERROR(INDEX(Client_List!$C:$C,MATCH(VALUE(B1561),Client_List!$A:$A,0)),""))</f>
        <v/>
      </c>
      <c r="F1561" s="53">
        <f>IF(B1561="","",IFERROR(INDEX(Client_List!$D:$D,MATCH(VALUE(B1561),Client_List!$A:$A,0)),""))</f>
        <v/>
      </c>
      <c r="G1561" s="53">
        <f>IF(B1561="","",IFERROR(INDEX(Client_List!$K:$K,MATCH(VALUE(B1561),Client_List!$A:$A,0)),""))</f>
        <v/>
      </c>
      <c r="H1561" s="32">
        <f>IF(B1561="","",IFERROR(INDEX(Client_List!$J:$J,MATCH(VALUE(B1561),Client_List!$A:$A,0)),""))</f>
        <v/>
      </c>
      <c r="I1561" s="70">
        <f>IF(B1561="","",IFERROR(A1561-LOOKUP(2,1/($B$4:$B1560=B1561),$A$4:$A1560),""))</f>
        <v/>
      </c>
      <c r="J1561" s="32">
        <f>IF(B1561="","",IFERROR(D1561/I1561,""))</f>
        <v/>
      </c>
      <c r="K1561" s="71">
        <f>IF(B1561="","",IFERROR(AVERAGEIFS($J$4:$J1561,$B$4:$B1561,B1561,$J$4:$J1561,"&gt;"&amp;0),""))</f>
        <v/>
      </c>
      <c r="L1561" s="11" t="n"/>
    </row>
    <row r="1562" ht="14" customHeight="1" s="72">
      <c r="A1562" s="80" t="n"/>
      <c r="B1562" s="81" t="n"/>
      <c r="C1562" s="69">
        <f>IF(B1562="","",IFERROR(INDEX(Client_List!$B:$B,MATCH(B1562,Client_List!$A:$A,0)),"⚠ NOT FOUND"))</f>
        <v/>
      </c>
      <c r="D1562" s="45" t="n"/>
      <c r="E1562" s="32">
        <f>IF(B1562="","",IFERROR(INDEX(Client_List!$C:$C,MATCH(VALUE(B1562),Client_List!$A:$A,0)),""))</f>
        <v/>
      </c>
      <c r="F1562" s="53">
        <f>IF(B1562="","",IFERROR(INDEX(Client_List!$D:$D,MATCH(VALUE(B1562),Client_List!$A:$A,0)),""))</f>
        <v/>
      </c>
      <c r="G1562" s="53">
        <f>IF(B1562="","",IFERROR(INDEX(Client_List!$K:$K,MATCH(VALUE(B1562),Client_List!$A:$A,0)),""))</f>
        <v/>
      </c>
      <c r="H1562" s="32">
        <f>IF(B1562="","",IFERROR(INDEX(Client_List!$J:$J,MATCH(VALUE(B1562),Client_List!$A:$A,0)),""))</f>
        <v/>
      </c>
      <c r="I1562" s="70">
        <f>IF(B1562="","",IFERROR(A1562-LOOKUP(2,1/($B$4:$B1561=B1562),$A$4:$A1561),""))</f>
        <v/>
      </c>
      <c r="J1562" s="32">
        <f>IF(B1562="","",IFERROR(D1562/I1562,""))</f>
        <v/>
      </c>
      <c r="K1562" s="71">
        <f>IF(B1562="","",IFERROR(AVERAGEIFS($J$4:$J1562,$B$4:$B1562,B1562,$J$4:$J1562,"&gt;"&amp;0),""))</f>
        <v/>
      </c>
      <c r="L1562" s="12" t="n"/>
    </row>
    <row r="1563" ht="14" customHeight="1" s="72">
      <c r="A1563" s="78" t="n"/>
      <c r="B1563" s="79" t="n"/>
      <c r="C1563" s="69">
        <f>IF(B1563="","",IFERROR(INDEX(Client_List!$B:$B,MATCH(B1563,Client_List!$A:$A,0)),"⚠ NOT FOUND"))</f>
        <v/>
      </c>
      <c r="D1563" s="44" t="n"/>
      <c r="E1563" s="32">
        <f>IF(B1563="","",IFERROR(INDEX(Client_List!$C:$C,MATCH(VALUE(B1563),Client_List!$A:$A,0)),""))</f>
        <v/>
      </c>
      <c r="F1563" s="53">
        <f>IF(B1563="","",IFERROR(INDEX(Client_List!$D:$D,MATCH(VALUE(B1563),Client_List!$A:$A,0)),""))</f>
        <v/>
      </c>
      <c r="G1563" s="53">
        <f>IF(B1563="","",IFERROR(INDEX(Client_List!$K:$K,MATCH(VALUE(B1563),Client_List!$A:$A,0)),""))</f>
        <v/>
      </c>
      <c r="H1563" s="32">
        <f>IF(B1563="","",IFERROR(INDEX(Client_List!$J:$J,MATCH(VALUE(B1563),Client_List!$A:$A,0)),""))</f>
        <v/>
      </c>
      <c r="I1563" s="70">
        <f>IF(B1563="","",IFERROR(A1563-LOOKUP(2,1/($B$4:$B1562=B1563),$A$4:$A1562),""))</f>
        <v/>
      </c>
      <c r="J1563" s="32">
        <f>IF(B1563="","",IFERROR(D1563/I1563,""))</f>
        <v/>
      </c>
      <c r="K1563" s="71">
        <f>IF(B1563="","",IFERROR(AVERAGEIFS($J$4:$J1563,$B$4:$B1563,B1563,$J$4:$J1563,"&gt;"&amp;0),""))</f>
        <v/>
      </c>
      <c r="L1563" s="11" t="n"/>
    </row>
    <row r="1564" ht="14" customHeight="1" s="72">
      <c r="A1564" s="80" t="n"/>
      <c r="B1564" s="81" t="n"/>
      <c r="C1564" s="69">
        <f>IF(B1564="","",IFERROR(INDEX(Client_List!$B:$B,MATCH(B1564,Client_List!$A:$A,0)),"⚠ NOT FOUND"))</f>
        <v/>
      </c>
      <c r="D1564" s="45" t="n"/>
      <c r="E1564" s="32">
        <f>IF(B1564="","",IFERROR(INDEX(Client_List!$C:$C,MATCH(VALUE(B1564),Client_List!$A:$A,0)),""))</f>
        <v/>
      </c>
      <c r="F1564" s="53">
        <f>IF(B1564="","",IFERROR(INDEX(Client_List!$D:$D,MATCH(VALUE(B1564),Client_List!$A:$A,0)),""))</f>
        <v/>
      </c>
      <c r="G1564" s="53">
        <f>IF(B1564="","",IFERROR(INDEX(Client_List!$K:$K,MATCH(VALUE(B1564),Client_List!$A:$A,0)),""))</f>
        <v/>
      </c>
      <c r="H1564" s="32">
        <f>IF(B1564="","",IFERROR(INDEX(Client_List!$J:$J,MATCH(VALUE(B1564),Client_List!$A:$A,0)),""))</f>
        <v/>
      </c>
      <c r="I1564" s="70">
        <f>IF(B1564="","",IFERROR(A1564-LOOKUP(2,1/($B$4:$B1563=B1564),$A$4:$A1563),""))</f>
        <v/>
      </c>
      <c r="J1564" s="32">
        <f>IF(B1564="","",IFERROR(D1564/I1564,""))</f>
        <v/>
      </c>
      <c r="K1564" s="71">
        <f>IF(B1564="","",IFERROR(AVERAGEIFS($J$4:$J1564,$B$4:$B1564,B1564,$J$4:$J1564,"&gt;"&amp;0),""))</f>
        <v/>
      </c>
      <c r="L1564" s="12" t="n"/>
    </row>
    <row r="1565" ht="14" customHeight="1" s="72">
      <c r="A1565" s="78" t="n"/>
      <c r="B1565" s="79" t="n"/>
      <c r="C1565" s="69">
        <f>IF(B1565="","",IFERROR(INDEX(Client_List!$B:$B,MATCH(B1565,Client_List!$A:$A,0)),"⚠ NOT FOUND"))</f>
        <v/>
      </c>
      <c r="D1565" s="44" t="n"/>
      <c r="E1565" s="32">
        <f>IF(B1565="","",IFERROR(INDEX(Client_List!$C:$C,MATCH(VALUE(B1565),Client_List!$A:$A,0)),""))</f>
        <v/>
      </c>
      <c r="F1565" s="53">
        <f>IF(B1565="","",IFERROR(INDEX(Client_List!$D:$D,MATCH(VALUE(B1565),Client_List!$A:$A,0)),""))</f>
        <v/>
      </c>
      <c r="G1565" s="53">
        <f>IF(B1565="","",IFERROR(INDEX(Client_List!$K:$K,MATCH(VALUE(B1565),Client_List!$A:$A,0)),""))</f>
        <v/>
      </c>
      <c r="H1565" s="32">
        <f>IF(B1565="","",IFERROR(INDEX(Client_List!$J:$J,MATCH(VALUE(B1565),Client_List!$A:$A,0)),""))</f>
        <v/>
      </c>
      <c r="I1565" s="70">
        <f>IF(B1565="","",IFERROR(A1565-LOOKUP(2,1/($B$4:$B1564=B1565),$A$4:$A1564),""))</f>
        <v/>
      </c>
      <c r="J1565" s="32">
        <f>IF(B1565="","",IFERROR(D1565/I1565,""))</f>
        <v/>
      </c>
      <c r="K1565" s="71">
        <f>IF(B1565="","",IFERROR(AVERAGEIFS($J$4:$J1565,$B$4:$B1565,B1565,$J$4:$J1565,"&gt;"&amp;0),""))</f>
        <v/>
      </c>
      <c r="L1565" s="11" t="n"/>
    </row>
    <row r="1566" ht="14" customHeight="1" s="72">
      <c r="A1566" s="80" t="n"/>
      <c r="B1566" s="81" t="n"/>
      <c r="C1566" s="69">
        <f>IF(B1566="","",IFERROR(INDEX(Client_List!$B:$B,MATCH(B1566,Client_List!$A:$A,0)),"⚠ NOT FOUND"))</f>
        <v/>
      </c>
      <c r="D1566" s="45" t="n"/>
      <c r="E1566" s="32">
        <f>IF(B1566="","",IFERROR(INDEX(Client_List!$C:$C,MATCH(VALUE(B1566),Client_List!$A:$A,0)),""))</f>
        <v/>
      </c>
      <c r="F1566" s="53">
        <f>IF(B1566="","",IFERROR(INDEX(Client_List!$D:$D,MATCH(VALUE(B1566),Client_List!$A:$A,0)),""))</f>
        <v/>
      </c>
      <c r="G1566" s="53">
        <f>IF(B1566="","",IFERROR(INDEX(Client_List!$K:$K,MATCH(VALUE(B1566),Client_List!$A:$A,0)),""))</f>
        <v/>
      </c>
      <c r="H1566" s="32">
        <f>IF(B1566="","",IFERROR(INDEX(Client_List!$J:$J,MATCH(VALUE(B1566),Client_List!$A:$A,0)),""))</f>
        <v/>
      </c>
      <c r="I1566" s="70">
        <f>IF(B1566="","",IFERROR(A1566-LOOKUP(2,1/($B$4:$B1565=B1566),$A$4:$A1565),""))</f>
        <v/>
      </c>
      <c r="J1566" s="32">
        <f>IF(B1566="","",IFERROR(D1566/I1566,""))</f>
        <v/>
      </c>
      <c r="K1566" s="71">
        <f>IF(B1566="","",IFERROR(AVERAGEIFS($J$4:$J1566,$B$4:$B1566,B1566,$J$4:$J1566,"&gt;"&amp;0),""))</f>
        <v/>
      </c>
      <c r="L1566" s="12" t="n"/>
    </row>
    <row r="1567" ht="14" customHeight="1" s="72">
      <c r="A1567" s="78" t="n"/>
      <c r="B1567" s="79" t="n"/>
      <c r="C1567" s="69">
        <f>IF(B1567="","",IFERROR(INDEX(Client_List!$B:$B,MATCH(B1567,Client_List!$A:$A,0)),"⚠ NOT FOUND"))</f>
        <v/>
      </c>
      <c r="D1567" s="44" t="n"/>
      <c r="E1567" s="32">
        <f>IF(B1567="","",IFERROR(INDEX(Client_List!$C:$C,MATCH(VALUE(B1567),Client_List!$A:$A,0)),""))</f>
        <v/>
      </c>
      <c r="F1567" s="53">
        <f>IF(B1567="","",IFERROR(INDEX(Client_List!$D:$D,MATCH(VALUE(B1567),Client_List!$A:$A,0)),""))</f>
        <v/>
      </c>
      <c r="G1567" s="53">
        <f>IF(B1567="","",IFERROR(INDEX(Client_List!$K:$K,MATCH(VALUE(B1567),Client_List!$A:$A,0)),""))</f>
        <v/>
      </c>
      <c r="H1567" s="32">
        <f>IF(B1567="","",IFERROR(INDEX(Client_List!$J:$J,MATCH(VALUE(B1567),Client_List!$A:$A,0)),""))</f>
        <v/>
      </c>
      <c r="I1567" s="70">
        <f>IF(B1567="","",IFERROR(A1567-LOOKUP(2,1/($B$4:$B1566=B1567),$A$4:$A1566),""))</f>
        <v/>
      </c>
      <c r="J1567" s="32">
        <f>IF(B1567="","",IFERROR(D1567/I1567,""))</f>
        <v/>
      </c>
      <c r="K1567" s="71">
        <f>IF(B1567="","",IFERROR(AVERAGEIFS($J$4:$J1567,$B$4:$B1567,B1567,$J$4:$J1567,"&gt;"&amp;0),""))</f>
        <v/>
      </c>
      <c r="L1567" s="11" t="n"/>
    </row>
    <row r="1568" ht="14" customHeight="1" s="72">
      <c r="A1568" s="80" t="n"/>
      <c r="B1568" s="81" t="n"/>
      <c r="C1568" s="69">
        <f>IF(B1568="","",IFERROR(INDEX(Client_List!$B:$B,MATCH(B1568,Client_List!$A:$A,0)),"⚠ NOT FOUND"))</f>
        <v/>
      </c>
      <c r="D1568" s="45" t="n"/>
      <c r="E1568" s="32">
        <f>IF(B1568="","",IFERROR(INDEX(Client_List!$C:$C,MATCH(VALUE(B1568),Client_List!$A:$A,0)),""))</f>
        <v/>
      </c>
      <c r="F1568" s="53">
        <f>IF(B1568="","",IFERROR(INDEX(Client_List!$D:$D,MATCH(VALUE(B1568),Client_List!$A:$A,0)),""))</f>
        <v/>
      </c>
      <c r="G1568" s="53">
        <f>IF(B1568="","",IFERROR(INDEX(Client_List!$K:$K,MATCH(VALUE(B1568),Client_List!$A:$A,0)),""))</f>
        <v/>
      </c>
      <c r="H1568" s="32">
        <f>IF(B1568="","",IFERROR(INDEX(Client_List!$J:$J,MATCH(VALUE(B1568),Client_List!$A:$A,0)),""))</f>
        <v/>
      </c>
      <c r="I1568" s="70">
        <f>IF(B1568="","",IFERROR(A1568-LOOKUP(2,1/($B$4:$B1567=B1568),$A$4:$A1567),""))</f>
        <v/>
      </c>
      <c r="J1568" s="32">
        <f>IF(B1568="","",IFERROR(D1568/I1568,""))</f>
        <v/>
      </c>
      <c r="K1568" s="71">
        <f>IF(B1568="","",IFERROR(AVERAGEIFS($J$4:$J1568,$B$4:$B1568,B1568,$J$4:$J1568,"&gt;"&amp;0),""))</f>
        <v/>
      </c>
      <c r="L1568" s="12" t="n"/>
    </row>
    <row r="1569" ht="14" customHeight="1" s="72">
      <c r="A1569" s="78" t="n"/>
      <c r="B1569" s="79" t="n"/>
      <c r="C1569" s="69">
        <f>IF(B1569="","",IFERROR(INDEX(Client_List!$B:$B,MATCH(B1569,Client_List!$A:$A,0)),"⚠ NOT FOUND"))</f>
        <v/>
      </c>
      <c r="D1569" s="44" t="n"/>
      <c r="E1569" s="32">
        <f>IF(B1569="","",IFERROR(INDEX(Client_List!$C:$C,MATCH(VALUE(B1569),Client_List!$A:$A,0)),""))</f>
        <v/>
      </c>
      <c r="F1569" s="53">
        <f>IF(B1569="","",IFERROR(INDEX(Client_List!$D:$D,MATCH(VALUE(B1569),Client_List!$A:$A,0)),""))</f>
        <v/>
      </c>
      <c r="G1569" s="53">
        <f>IF(B1569="","",IFERROR(INDEX(Client_List!$K:$K,MATCH(VALUE(B1569),Client_List!$A:$A,0)),""))</f>
        <v/>
      </c>
      <c r="H1569" s="32">
        <f>IF(B1569="","",IFERROR(INDEX(Client_List!$J:$J,MATCH(VALUE(B1569),Client_List!$A:$A,0)),""))</f>
        <v/>
      </c>
      <c r="I1569" s="70">
        <f>IF(B1569="","",IFERROR(A1569-LOOKUP(2,1/($B$4:$B1568=B1569),$A$4:$A1568),""))</f>
        <v/>
      </c>
      <c r="J1569" s="32">
        <f>IF(B1569="","",IFERROR(D1569/I1569,""))</f>
        <v/>
      </c>
      <c r="K1569" s="71">
        <f>IF(B1569="","",IFERROR(AVERAGEIFS($J$4:$J1569,$B$4:$B1569,B1569,$J$4:$J1569,"&gt;"&amp;0),""))</f>
        <v/>
      </c>
      <c r="L1569" s="11" t="n"/>
    </row>
    <row r="1570" ht="14" customHeight="1" s="72">
      <c r="A1570" s="80" t="n"/>
      <c r="B1570" s="81" t="n"/>
      <c r="C1570" s="69">
        <f>IF(B1570="","",IFERROR(INDEX(Client_List!$B:$B,MATCH(B1570,Client_List!$A:$A,0)),"⚠ NOT FOUND"))</f>
        <v/>
      </c>
      <c r="D1570" s="45" t="n"/>
      <c r="E1570" s="32">
        <f>IF(B1570="","",IFERROR(INDEX(Client_List!$C:$C,MATCH(VALUE(B1570),Client_List!$A:$A,0)),""))</f>
        <v/>
      </c>
      <c r="F1570" s="53">
        <f>IF(B1570="","",IFERROR(INDEX(Client_List!$D:$D,MATCH(VALUE(B1570),Client_List!$A:$A,0)),""))</f>
        <v/>
      </c>
      <c r="G1570" s="53">
        <f>IF(B1570="","",IFERROR(INDEX(Client_List!$K:$K,MATCH(VALUE(B1570),Client_List!$A:$A,0)),""))</f>
        <v/>
      </c>
      <c r="H1570" s="32">
        <f>IF(B1570="","",IFERROR(INDEX(Client_List!$J:$J,MATCH(VALUE(B1570),Client_List!$A:$A,0)),""))</f>
        <v/>
      </c>
      <c r="I1570" s="70">
        <f>IF(B1570="","",IFERROR(A1570-LOOKUP(2,1/($B$4:$B1569=B1570),$A$4:$A1569),""))</f>
        <v/>
      </c>
      <c r="J1570" s="32">
        <f>IF(B1570="","",IFERROR(D1570/I1570,""))</f>
        <v/>
      </c>
      <c r="K1570" s="71">
        <f>IF(B1570="","",IFERROR(AVERAGEIFS($J$4:$J1570,$B$4:$B1570,B1570,$J$4:$J1570,"&gt;"&amp;0),""))</f>
        <v/>
      </c>
      <c r="L1570" s="12" t="n"/>
    </row>
    <row r="1571" ht="14" customHeight="1" s="72">
      <c r="A1571" s="78" t="n"/>
      <c r="B1571" s="79" t="n"/>
      <c r="C1571" s="69">
        <f>IF(B1571="","",IFERROR(INDEX(Client_List!$B:$B,MATCH(B1571,Client_List!$A:$A,0)),"⚠ NOT FOUND"))</f>
        <v/>
      </c>
      <c r="D1571" s="44" t="n"/>
      <c r="E1571" s="32">
        <f>IF(B1571="","",IFERROR(INDEX(Client_List!$C:$C,MATCH(VALUE(B1571),Client_List!$A:$A,0)),""))</f>
        <v/>
      </c>
      <c r="F1571" s="53">
        <f>IF(B1571="","",IFERROR(INDEX(Client_List!$D:$D,MATCH(VALUE(B1571),Client_List!$A:$A,0)),""))</f>
        <v/>
      </c>
      <c r="G1571" s="53">
        <f>IF(B1571="","",IFERROR(INDEX(Client_List!$K:$K,MATCH(VALUE(B1571),Client_List!$A:$A,0)),""))</f>
        <v/>
      </c>
      <c r="H1571" s="32">
        <f>IF(B1571="","",IFERROR(INDEX(Client_List!$J:$J,MATCH(VALUE(B1571),Client_List!$A:$A,0)),""))</f>
        <v/>
      </c>
      <c r="I1571" s="70">
        <f>IF(B1571="","",IFERROR(A1571-LOOKUP(2,1/($B$4:$B1570=B1571),$A$4:$A1570),""))</f>
        <v/>
      </c>
      <c r="J1571" s="32">
        <f>IF(B1571="","",IFERROR(D1571/I1571,""))</f>
        <v/>
      </c>
      <c r="K1571" s="71">
        <f>IF(B1571="","",IFERROR(AVERAGEIFS($J$4:$J1571,$B$4:$B1571,B1571,$J$4:$J1571,"&gt;"&amp;0),""))</f>
        <v/>
      </c>
      <c r="L1571" s="11" t="n"/>
    </row>
    <row r="1572" ht="14" customHeight="1" s="72">
      <c r="A1572" s="80" t="n"/>
      <c r="B1572" s="81" t="n"/>
      <c r="C1572" s="69">
        <f>IF(B1572="","",IFERROR(INDEX(Client_List!$B:$B,MATCH(B1572,Client_List!$A:$A,0)),"⚠ NOT FOUND"))</f>
        <v/>
      </c>
      <c r="D1572" s="45" t="n"/>
      <c r="E1572" s="32">
        <f>IF(B1572="","",IFERROR(INDEX(Client_List!$C:$C,MATCH(VALUE(B1572),Client_List!$A:$A,0)),""))</f>
        <v/>
      </c>
      <c r="F1572" s="53">
        <f>IF(B1572="","",IFERROR(INDEX(Client_List!$D:$D,MATCH(VALUE(B1572),Client_List!$A:$A,0)),""))</f>
        <v/>
      </c>
      <c r="G1572" s="53">
        <f>IF(B1572="","",IFERROR(INDEX(Client_List!$K:$K,MATCH(VALUE(B1572),Client_List!$A:$A,0)),""))</f>
        <v/>
      </c>
      <c r="H1572" s="32">
        <f>IF(B1572="","",IFERROR(INDEX(Client_List!$J:$J,MATCH(VALUE(B1572),Client_List!$A:$A,0)),""))</f>
        <v/>
      </c>
      <c r="I1572" s="70">
        <f>IF(B1572="","",IFERROR(A1572-LOOKUP(2,1/($B$4:$B1571=B1572),$A$4:$A1571),""))</f>
        <v/>
      </c>
      <c r="J1572" s="32">
        <f>IF(B1572="","",IFERROR(D1572/I1572,""))</f>
        <v/>
      </c>
      <c r="K1572" s="71">
        <f>IF(B1572="","",IFERROR(AVERAGEIFS($J$4:$J1572,$B$4:$B1572,B1572,$J$4:$J1572,"&gt;"&amp;0),""))</f>
        <v/>
      </c>
      <c r="L1572" s="12" t="n"/>
    </row>
    <row r="1573" ht="14" customHeight="1" s="72">
      <c r="A1573" s="78" t="n"/>
      <c r="B1573" s="79" t="n"/>
      <c r="C1573" s="69">
        <f>IF(B1573="","",IFERROR(INDEX(Client_List!$B:$B,MATCH(B1573,Client_List!$A:$A,0)),"⚠ NOT FOUND"))</f>
        <v/>
      </c>
      <c r="D1573" s="44" t="n"/>
      <c r="E1573" s="32">
        <f>IF(B1573="","",IFERROR(INDEX(Client_List!$C:$C,MATCH(VALUE(B1573),Client_List!$A:$A,0)),""))</f>
        <v/>
      </c>
      <c r="F1573" s="53">
        <f>IF(B1573="","",IFERROR(INDEX(Client_List!$D:$D,MATCH(VALUE(B1573),Client_List!$A:$A,0)),""))</f>
        <v/>
      </c>
      <c r="G1573" s="53">
        <f>IF(B1573="","",IFERROR(INDEX(Client_List!$K:$K,MATCH(VALUE(B1573),Client_List!$A:$A,0)),""))</f>
        <v/>
      </c>
      <c r="H1573" s="32">
        <f>IF(B1573="","",IFERROR(INDEX(Client_List!$J:$J,MATCH(VALUE(B1573),Client_List!$A:$A,0)),""))</f>
        <v/>
      </c>
      <c r="I1573" s="70">
        <f>IF(B1573="","",IFERROR(A1573-LOOKUP(2,1/($B$4:$B1572=B1573),$A$4:$A1572),""))</f>
        <v/>
      </c>
      <c r="J1573" s="32">
        <f>IF(B1573="","",IFERROR(D1573/I1573,""))</f>
        <v/>
      </c>
      <c r="K1573" s="71">
        <f>IF(B1573="","",IFERROR(AVERAGEIFS($J$4:$J1573,$B$4:$B1573,B1573,$J$4:$J1573,"&gt;"&amp;0),""))</f>
        <v/>
      </c>
      <c r="L1573" s="11" t="n"/>
    </row>
    <row r="1574" ht="14" customHeight="1" s="72">
      <c r="A1574" s="80" t="n"/>
      <c r="B1574" s="81" t="n"/>
      <c r="C1574" s="69">
        <f>IF(B1574="","",IFERROR(INDEX(Client_List!$B:$B,MATCH(B1574,Client_List!$A:$A,0)),"⚠ NOT FOUND"))</f>
        <v/>
      </c>
      <c r="D1574" s="45" t="n"/>
      <c r="E1574" s="32">
        <f>IF(B1574="","",IFERROR(INDEX(Client_List!$C:$C,MATCH(VALUE(B1574),Client_List!$A:$A,0)),""))</f>
        <v/>
      </c>
      <c r="F1574" s="53">
        <f>IF(B1574="","",IFERROR(INDEX(Client_List!$D:$D,MATCH(VALUE(B1574),Client_List!$A:$A,0)),""))</f>
        <v/>
      </c>
      <c r="G1574" s="53">
        <f>IF(B1574="","",IFERROR(INDEX(Client_List!$K:$K,MATCH(VALUE(B1574),Client_List!$A:$A,0)),""))</f>
        <v/>
      </c>
      <c r="H1574" s="32">
        <f>IF(B1574="","",IFERROR(INDEX(Client_List!$J:$J,MATCH(VALUE(B1574),Client_List!$A:$A,0)),""))</f>
        <v/>
      </c>
      <c r="I1574" s="70">
        <f>IF(B1574="","",IFERROR(A1574-LOOKUP(2,1/($B$4:$B1573=B1574),$A$4:$A1573),""))</f>
        <v/>
      </c>
      <c r="J1574" s="32">
        <f>IF(B1574="","",IFERROR(D1574/I1574,""))</f>
        <v/>
      </c>
      <c r="K1574" s="71">
        <f>IF(B1574="","",IFERROR(AVERAGEIFS($J$4:$J1574,$B$4:$B1574,B1574,$J$4:$J1574,"&gt;"&amp;0),""))</f>
        <v/>
      </c>
      <c r="L1574" s="12" t="n"/>
    </row>
    <row r="1575" ht="14" customHeight="1" s="72">
      <c r="A1575" s="78" t="n"/>
      <c r="B1575" s="79" t="n"/>
      <c r="C1575" s="69">
        <f>IF(B1575="","",IFERROR(INDEX(Client_List!$B:$B,MATCH(B1575,Client_List!$A:$A,0)),"⚠ NOT FOUND"))</f>
        <v/>
      </c>
      <c r="D1575" s="44" t="n"/>
      <c r="E1575" s="32">
        <f>IF(B1575="","",IFERROR(INDEX(Client_List!$C:$C,MATCH(VALUE(B1575),Client_List!$A:$A,0)),""))</f>
        <v/>
      </c>
      <c r="F1575" s="53">
        <f>IF(B1575="","",IFERROR(INDEX(Client_List!$D:$D,MATCH(VALUE(B1575),Client_List!$A:$A,0)),""))</f>
        <v/>
      </c>
      <c r="G1575" s="53">
        <f>IF(B1575="","",IFERROR(INDEX(Client_List!$K:$K,MATCH(VALUE(B1575),Client_List!$A:$A,0)),""))</f>
        <v/>
      </c>
      <c r="H1575" s="32">
        <f>IF(B1575="","",IFERROR(INDEX(Client_List!$J:$J,MATCH(VALUE(B1575),Client_List!$A:$A,0)),""))</f>
        <v/>
      </c>
      <c r="I1575" s="70">
        <f>IF(B1575="","",IFERROR(A1575-LOOKUP(2,1/($B$4:$B1574=B1575),$A$4:$A1574),""))</f>
        <v/>
      </c>
      <c r="J1575" s="32">
        <f>IF(B1575="","",IFERROR(D1575/I1575,""))</f>
        <v/>
      </c>
      <c r="K1575" s="71">
        <f>IF(B1575="","",IFERROR(AVERAGEIFS($J$4:$J1575,$B$4:$B1575,B1575,$J$4:$J1575,"&gt;"&amp;0),""))</f>
        <v/>
      </c>
      <c r="L1575" s="11" t="n"/>
    </row>
    <row r="1576" ht="14" customHeight="1" s="72">
      <c r="A1576" s="80" t="n"/>
      <c r="B1576" s="81" t="n"/>
      <c r="C1576" s="69">
        <f>IF(B1576="","",IFERROR(INDEX(Client_List!$B:$B,MATCH(B1576,Client_List!$A:$A,0)),"⚠ NOT FOUND"))</f>
        <v/>
      </c>
      <c r="D1576" s="45" t="n"/>
      <c r="E1576" s="32">
        <f>IF(B1576="","",IFERROR(INDEX(Client_List!$C:$C,MATCH(VALUE(B1576),Client_List!$A:$A,0)),""))</f>
        <v/>
      </c>
      <c r="F1576" s="53">
        <f>IF(B1576="","",IFERROR(INDEX(Client_List!$D:$D,MATCH(VALUE(B1576),Client_List!$A:$A,0)),""))</f>
        <v/>
      </c>
      <c r="G1576" s="53">
        <f>IF(B1576="","",IFERROR(INDEX(Client_List!$K:$K,MATCH(VALUE(B1576),Client_List!$A:$A,0)),""))</f>
        <v/>
      </c>
      <c r="H1576" s="32">
        <f>IF(B1576="","",IFERROR(INDEX(Client_List!$J:$J,MATCH(VALUE(B1576),Client_List!$A:$A,0)),""))</f>
        <v/>
      </c>
      <c r="I1576" s="70">
        <f>IF(B1576="","",IFERROR(A1576-LOOKUP(2,1/($B$4:$B1575=B1576),$A$4:$A1575),""))</f>
        <v/>
      </c>
      <c r="J1576" s="32">
        <f>IF(B1576="","",IFERROR(D1576/I1576,""))</f>
        <v/>
      </c>
      <c r="K1576" s="71">
        <f>IF(B1576="","",IFERROR(AVERAGEIFS($J$4:$J1576,$B$4:$B1576,B1576,$J$4:$J1576,"&gt;"&amp;0),""))</f>
        <v/>
      </c>
      <c r="L1576" s="12" t="n"/>
    </row>
    <row r="1577" ht="14" customHeight="1" s="72">
      <c r="A1577" s="78" t="n"/>
      <c r="B1577" s="79" t="n"/>
      <c r="C1577" s="69">
        <f>IF(B1577="","",IFERROR(INDEX(Client_List!$B:$B,MATCH(B1577,Client_List!$A:$A,0)),"⚠ NOT FOUND"))</f>
        <v/>
      </c>
      <c r="D1577" s="44" t="n"/>
      <c r="E1577" s="32">
        <f>IF(B1577="","",IFERROR(INDEX(Client_List!$C:$C,MATCH(VALUE(B1577),Client_List!$A:$A,0)),""))</f>
        <v/>
      </c>
      <c r="F1577" s="53">
        <f>IF(B1577="","",IFERROR(INDEX(Client_List!$D:$D,MATCH(VALUE(B1577),Client_List!$A:$A,0)),""))</f>
        <v/>
      </c>
      <c r="G1577" s="53">
        <f>IF(B1577="","",IFERROR(INDEX(Client_List!$K:$K,MATCH(VALUE(B1577),Client_List!$A:$A,0)),""))</f>
        <v/>
      </c>
      <c r="H1577" s="32">
        <f>IF(B1577="","",IFERROR(INDEX(Client_List!$J:$J,MATCH(VALUE(B1577),Client_List!$A:$A,0)),""))</f>
        <v/>
      </c>
      <c r="I1577" s="70">
        <f>IF(B1577="","",IFERROR(A1577-LOOKUP(2,1/($B$4:$B1576=B1577),$A$4:$A1576),""))</f>
        <v/>
      </c>
      <c r="J1577" s="32">
        <f>IF(B1577="","",IFERROR(D1577/I1577,""))</f>
        <v/>
      </c>
      <c r="K1577" s="71">
        <f>IF(B1577="","",IFERROR(AVERAGEIFS($J$4:$J1577,$B$4:$B1577,B1577,$J$4:$J1577,"&gt;"&amp;0),""))</f>
        <v/>
      </c>
      <c r="L1577" s="11" t="n"/>
    </row>
    <row r="1578" ht="14" customHeight="1" s="72">
      <c r="A1578" s="80" t="n"/>
      <c r="B1578" s="81" t="n"/>
      <c r="C1578" s="69">
        <f>IF(B1578="","",IFERROR(INDEX(Client_List!$B:$B,MATCH(B1578,Client_List!$A:$A,0)),"⚠ NOT FOUND"))</f>
        <v/>
      </c>
      <c r="D1578" s="45" t="n"/>
      <c r="E1578" s="32">
        <f>IF(B1578="","",IFERROR(INDEX(Client_List!$C:$C,MATCH(VALUE(B1578),Client_List!$A:$A,0)),""))</f>
        <v/>
      </c>
      <c r="F1578" s="53">
        <f>IF(B1578="","",IFERROR(INDEX(Client_List!$D:$D,MATCH(VALUE(B1578),Client_List!$A:$A,0)),""))</f>
        <v/>
      </c>
      <c r="G1578" s="53">
        <f>IF(B1578="","",IFERROR(INDEX(Client_List!$K:$K,MATCH(VALUE(B1578),Client_List!$A:$A,0)),""))</f>
        <v/>
      </c>
      <c r="H1578" s="32">
        <f>IF(B1578="","",IFERROR(INDEX(Client_List!$J:$J,MATCH(VALUE(B1578),Client_List!$A:$A,0)),""))</f>
        <v/>
      </c>
      <c r="I1578" s="70">
        <f>IF(B1578="","",IFERROR(A1578-LOOKUP(2,1/($B$4:$B1577=B1578),$A$4:$A1577),""))</f>
        <v/>
      </c>
      <c r="J1578" s="32">
        <f>IF(B1578="","",IFERROR(D1578/I1578,""))</f>
        <v/>
      </c>
      <c r="K1578" s="71">
        <f>IF(B1578="","",IFERROR(AVERAGEIFS($J$4:$J1578,$B$4:$B1578,B1578,$J$4:$J1578,"&gt;"&amp;0),""))</f>
        <v/>
      </c>
      <c r="L1578" s="12" t="n"/>
    </row>
    <row r="1579" ht="14" customHeight="1" s="72">
      <c r="A1579" s="78" t="n"/>
      <c r="B1579" s="79" t="n"/>
      <c r="C1579" s="69">
        <f>IF(B1579="","",IFERROR(INDEX(Client_List!$B:$B,MATCH(B1579,Client_List!$A:$A,0)),"⚠ NOT FOUND"))</f>
        <v/>
      </c>
      <c r="D1579" s="44" t="n"/>
      <c r="E1579" s="32">
        <f>IF(B1579="","",IFERROR(INDEX(Client_List!$C:$C,MATCH(VALUE(B1579),Client_List!$A:$A,0)),""))</f>
        <v/>
      </c>
      <c r="F1579" s="53">
        <f>IF(B1579="","",IFERROR(INDEX(Client_List!$D:$D,MATCH(VALUE(B1579),Client_List!$A:$A,0)),""))</f>
        <v/>
      </c>
      <c r="G1579" s="53">
        <f>IF(B1579="","",IFERROR(INDEX(Client_List!$K:$K,MATCH(VALUE(B1579),Client_List!$A:$A,0)),""))</f>
        <v/>
      </c>
      <c r="H1579" s="32">
        <f>IF(B1579="","",IFERROR(INDEX(Client_List!$J:$J,MATCH(VALUE(B1579),Client_List!$A:$A,0)),""))</f>
        <v/>
      </c>
      <c r="I1579" s="70">
        <f>IF(B1579="","",IFERROR(A1579-LOOKUP(2,1/($B$4:$B1578=B1579),$A$4:$A1578),""))</f>
        <v/>
      </c>
      <c r="J1579" s="32">
        <f>IF(B1579="","",IFERROR(D1579/I1579,""))</f>
        <v/>
      </c>
      <c r="K1579" s="71">
        <f>IF(B1579="","",IFERROR(AVERAGEIFS($J$4:$J1579,$B$4:$B1579,B1579,$J$4:$J1579,"&gt;"&amp;0),""))</f>
        <v/>
      </c>
      <c r="L1579" s="11" t="n"/>
    </row>
    <row r="1580" ht="14" customHeight="1" s="72">
      <c r="A1580" s="80" t="n"/>
      <c r="B1580" s="81" t="n"/>
      <c r="C1580" s="69">
        <f>IF(B1580="","",IFERROR(INDEX(Client_List!$B:$B,MATCH(B1580,Client_List!$A:$A,0)),"⚠ NOT FOUND"))</f>
        <v/>
      </c>
      <c r="D1580" s="45" t="n"/>
      <c r="E1580" s="32">
        <f>IF(B1580="","",IFERROR(INDEX(Client_List!$C:$C,MATCH(VALUE(B1580),Client_List!$A:$A,0)),""))</f>
        <v/>
      </c>
      <c r="F1580" s="53">
        <f>IF(B1580="","",IFERROR(INDEX(Client_List!$D:$D,MATCH(VALUE(B1580),Client_List!$A:$A,0)),""))</f>
        <v/>
      </c>
      <c r="G1580" s="53">
        <f>IF(B1580="","",IFERROR(INDEX(Client_List!$K:$K,MATCH(VALUE(B1580),Client_List!$A:$A,0)),""))</f>
        <v/>
      </c>
      <c r="H1580" s="32">
        <f>IF(B1580="","",IFERROR(INDEX(Client_List!$J:$J,MATCH(VALUE(B1580),Client_List!$A:$A,0)),""))</f>
        <v/>
      </c>
      <c r="I1580" s="70">
        <f>IF(B1580="","",IFERROR(A1580-LOOKUP(2,1/($B$4:$B1579=B1580),$A$4:$A1579),""))</f>
        <v/>
      </c>
      <c r="J1580" s="32">
        <f>IF(B1580="","",IFERROR(D1580/I1580,""))</f>
        <v/>
      </c>
      <c r="K1580" s="71">
        <f>IF(B1580="","",IFERROR(AVERAGEIFS($J$4:$J1580,$B$4:$B1580,B1580,$J$4:$J1580,"&gt;"&amp;0),""))</f>
        <v/>
      </c>
      <c r="L1580" s="12" t="n"/>
    </row>
    <row r="1581" ht="14" customHeight="1" s="72">
      <c r="A1581" s="78" t="n"/>
      <c r="B1581" s="79" t="n"/>
      <c r="C1581" s="69">
        <f>IF(B1581="","",IFERROR(INDEX(Client_List!$B:$B,MATCH(B1581,Client_List!$A:$A,0)),"⚠ NOT FOUND"))</f>
        <v/>
      </c>
      <c r="D1581" s="44" t="n"/>
      <c r="E1581" s="32">
        <f>IF(B1581="","",IFERROR(INDEX(Client_List!$C:$C,MATCH(VALUE(B1581),Client_List!$A:$A,0)),""))</f>
        <v/>
      </c>
      <c r="F1581" s="53">
        <f>IF(B1581="","",IFERROR(INDEX(Client_List!$D:$D,MATCH(VALUE(B1581),Client_List!$A:$A,0)),""))</f>
        <v/>
      </c>
      <c r="G1581" s="53">
        <f>IF(B1581="","",IFERROR(INDEX(Client_List!$K:$K,MATCH(VALUE(B1581),Client_List!$A:$A,0)),""))</f>
        <v/>
      </c>
      <c r="H1581" s="32">
        <f>IF(B1581="","",IFERROR(INDEX(Client_List!$J:$J,MATCH(VALUE(B1581),Client_List!$A:$A,0)),""))</f>
        <v/>
      </c>
      <c r="I1581" s="70">
        <f>IF(B1581="","",IFERROR(A1581-LOOKUP(2,1/($B$4:$B1580=B1581),$A$4:$A1580),""))</f>
        <v/>
      </c>
      <c r="J1581" s="32">
        <f>IF(B1581="","",IFERROR(D1581/I1581,""))</f>
        <v/>
      </c>
      <c r="K1581" s="71">
        <f>IF(B1581="","",IFERROR(AVERAGEIFS($J$4:$J1581,$B$4:$B1581,B1581,$J$4:$J1581,"&gt;"&amp;0),""))</f>
        <v/>
      </c>
      <c r="L1581" s="11" t="n"/>
    </row>
    <row r="1582" ht="14" customHeight="1" s="72">
      <c r="A1582" s="80" t="n"/>
      <c r="B1582" s="81" t="n"/>
      <c r="C1582" s="69">
        <f>IF(B1582="","",IFERROR(INDEX(Client_List!$B:$B,MATCH(B1582,Client_List!$A:$A,0)),"⚠ NOT FOUND"))</f>
        <v/>
      </c>
      <c r="D1582" s="45" t="n"/>
      <c r="E1582" s="32">
        <f>IF(B1582="","",IFERROR(INDEX(Client_List!$C:$C,MATCH(VALUE(B1582),Client_List!$A:$A,0)),""))</f>
        <v/>
      </c>
      <c r="F1582" s="53">
        <f>IF(B1582="","",IFERROR(INDEX(Client_List!$D:$D,MATCH(VALUE(B1582),Client_List!$A:$A,0)),""))</f>
        <v/>
      </c>
      <c r="G1582" s="53">
        <f>IF(B1582="","",IFERROR(INDEX(Client_List!$K:$K,MATCH(VALUE(B1582),Client_List!$A:$A,0)),""))</f>
        <v/>
      </c>
      <c r="H1582" s="32">
        <f>IF(B1582="","",IFERROR(INDEX(Client_List!$J:$J,MATCH(VALUE(B1582),Client_List!$A:$A,0)),""))</f>
        <v/>
      </c>
      <c r="I1582" s="70">
        <f>IF(B1582="","",IFERROR(A1582-LOOKUP(2,1/($B$4:$B1581=B1582),$A$4:$A1581),""))</f>
        <v/>
      </c>
      <c r="J1582" s="32">
        <f>IF(B1582="","",IFERROR(D1582/I1582,""))</f>
        <v/>
      </c>
      <c r="K1582" s="71">
        <f>IF(B1582="","",IFERROR(AVERAGEIFS($J$4:$J1582,$B$4:$B1582,B1582,$J$4:$J1582,"&gt;"&amp;0),""))</f>
        <v/>
      </c>
      <c r="L1582" s="12" t="n"/>
    </row>
    <row r="1583" ht="14" customHeight="1" s="72">
      <c r="A1583" s="78" t="n"/>
      <c r="B1583" s="79" t="n"/>
      <c r="C1583" s="69">
        <f>IF(B1583="","",IFERROR(INDEX(Client_List!$B:$B,MATCH(B1583,Client_List!$A:$A,0)),"⚠ NOT FOUND"))</f>
        <v/>
      </c>
      <c r="D1583" s="44" t="n"/>
      <c r="E1583" s="32">
        <f>IF(B1583="","",IFERROR(INDEX(Client_List!$C:$C,MATCH(VALUE(B1583),Client_List!$A:$A,0)),""))</f>
        <v/>
      </c>
      <c r="F1583" s="53">
        <f>IF(B1583="","",IFERROR(INDEX(Client_List!$D:$D,MATCH(VALUE(B1583),Client_List!$A:$A,0)),""))</f>
        <v/>
      </c>
      <c r="G1583" s="53">
        <f>IF(B1583="","",IFERROR(INDEX(Client_List!$K:$K,MATCH(VALUE(B1583),Client_List!$A:$A,0)),""))</f>
        <v/>
      </c>
      <c r="H1583" s="32">
        <f>IF(B1583="","",IFERROR(INDEX(Client_List!$J:$J,MATCH(VALUE(B1583),Client_List!$A:$A,0)),""))</f>
        <v/>
      </c>
      <c r="I1583" s="70">
        <f>IF(B1583="","",IFERROR(A1583-LOOKUP(2,1/($B$4:$B1582=B1583),$A$4:$A1582),""))</f>
        <v/>
      </c>
      <c r="J1583" s="32">
        <f>IF(B1583="","",IFERROR(D1583/I1583,""))</f>
        <v/>
      </c>
      <c r="K1583" s="71">
        <f>IF(B1583="","",IFERROR(AVERAGEIFS($J$4:$J1583,$B$4:$B1583,B1583,$J$4:$J1583,"&gt;"&amp;0),""))</f>
        <v/>
      </c>
      <c r="L1583" s="11" t="n"/>
    </row>
    <row r="1584" ht="14" customHeight="1" s="72">
      <c r="A1584" s="80" t="n"/>
      <c r="B1584" s="81" t="n"/>
      <c r="C1584" s="69">
        <f>IF(B1584="","",IFERROR(INDEX(Client_List!$B:$B,MATCH(B1584,Client_List!$A:$A,0)),"⚠ NOT FOUND"))</f>
        <v/>
      </c>
      <c r="D1584" s="45" t="n"/>
      <c r="E1584" s="32">
        <f>IF(B1584="","",IFERROR(INDEX(Client_List!$C:$C,MATCH(VALUE(B1584),Client_List!$A:$A,0)),""))</f>
        <v/>
      </c>
      <c r="F1584" s="53">
        <f>IF(B1584="","",IFERROR(INDEX(Client_List!$D:$D,MATCH(VALUE(B1584),Client_List!$A:$A,0)),""))</f>
        <v/>
      </c>
      <c r="G1584" s="53">
        <f>IF(B1584="","",IFERROR(INDEX(Client_List!$K:$K,MATCH(VALUE(B1584),Client_List!$A:$A,0)),""))</f>
        <v/>
      </c>
      <c r="H1584" s="32">
        <f>IF(B1584="","",IFERROR(INDEX(Client_List!$J:$J,MATCH(VALUE(B1584),Client_List!$A:$A,0)),""))</f>
        <v/>
      </c>
      <c r="I1584" s="70">
        <f>IF(B1584="","",IFERROR(A1584-LOOKUP(2,1/($B$4:$B1583=B1584),$A$4:$A1583),""))</f>
        <v/>
      </c>
      <c r="J1584" s="32">
        <f>IF(B1584="","",IFERROR(D1584/I1584,""))</f>
        <v/>
      </c>
      <c r="K1584" s="71">
        <f>IF(B1584="","",IFERROR(AVERAGEIFS($J$4:$J1584,$B$4:$B1584,B1584,$J$4:$J1584,"&gt;"&amp;0),""))</f>
        <v/>
      </c>
      <c r="L1584" s="12" t="n"/>
    </row>
    <row r="1585" ht="14" customHeight="1" s="72">
      <c r="A1585" s="78" t="n"/>
      <c r="B1585" s="79" t="n"/>
      <c r="C1585" s="69">
        <f>IF(B1585="","",IFERROR(INDEX(Client_List!$B:$B,MATCH(B1585,Client_List!$A:$A,0)),"⚠ NOT FOUND"))</f>
        <v/>
      </c>
      <c r="D1585" s="44" t="n"/>
      <c r="E1585" s="32">
        <f>IF(B1585="","",IFERROR(INDEX(Client_List!$C:$C,MATCH(VALUE(B1585),Client_List!$A:$A,0)),""))</f>
        <v/>
      </c>
      <c r="F1585" s="53">
        <f>IF(B1585="","",IFERROR(INDEX(Client_List!$D:$D,MATCH(VALUE(B1585),Client_List!$A:$A,0)),""))</f>
        <v/>
      </c>
      <c r="G1585" s="53">
        <f>IF(B1585="","",IFERROR(INDEX(Client_List!$K:$K,MATCH(VALUE(B1585),Client_List!$A:$A,0)),""))</f>
        <v/>
      </c>
      <c r="H1585" s="32">
        <f>IF(B1585="","",IFERROR(INDEX(Client_List!$J:$J,MATCH(VALUE(B1585),Client_List!$A:$A,0)),""))</f>
        <v/>
      </c>
      <c r="I1585" s="70">
        <f>IF(B1585="","",IFERROR(A1585-LOOKUP(2,1/($B$4:$B1584=B1585),$A$4:$A1584),""))</f>
        <v/>
      </c>
      <c r="J1585" s="32">
        <f>IF(B1585="","",IFERROR(D1585/I1585,""))</f>
        <v/>
      </c>
      <c r="K1585" s="71">
        <f>IF(B1585="","",IFERROR(AVERAGEIFS($J$4:$J1585,$B$4:$B1585,B1585,$J$4:$J1585,"&gt;"&amp;0),""))</f>
        <v/>
      </c>
      <c r="L1585" s="11" t="n"/>
    </row>
    <row r="1586" ht="14" customHeight="1" s="72">
      <c r="A1586" s="80" t="n"/>
      <c r="B1586" s="81" t="n"/>
      <c r="C1586" s="69">
        <f>IF(B1586="","",IFERROR(INDEX(Client_List!$B:$B,MATCH(B1586,Client_List!$A:$A,0)),"⚠ NOT FOUND"))</f>
        <v/>
      </c>
      <c r="D1586" s="45" t="n"/>
      <c r="E1586" s="32">
        <f>IF(B1586="","",IFERROR(INDEX(Client_List!$C:$C,MATCH(VALUE(B1586),Client_List!$A:$A,0)),""))</f>
        <v/>
      </c>
      <c r="F1586" s="53">
        <f>IF(B1586="","",IFERROR(INDEX(Client_List!$D:$D,MATCH(VALUE(B1586),Client_List!$A:$A,0)),""))</f>
        <v/>
      </c>
      <c r="G1586" s="53">
        <f>IF(B1586="","",IFERROR(INDEX(Client_List!$K:$K,MATCH(VALUE(B1586),Client_List!$A:$A,0)),""))</f>
        <v/>
      </c>
      <c r="H1586" s="32">
        <f>IF(B1586="","",IFERROR(INDEX(Client_List!$J:$J,MATCH(VALUE(B1586),Client_List!$A:$A,0)),""))</f>
        <v/>
      </c>
      <c r="I1586" s="70">
        <f>IF(B1586="","",IFERROR(A1586-LOOKUP(2,1/($B$4:$B1585=B1586),$A$4:$A1585),""))</f>
        <v/>
      </c>
      <c r="J1586" s="32">
        <f>IF(B1586="","",IFERROR(D1586/I1586,""))</f>
        <v/>
      </c>
      <c r="K1586" s="71">
        <f>IF(B1586="","",IFERROR(AVERAGEIFS($J$4:$J1586,$B$4:$B1586,B1586,$J$4:$J1586,"&gt;"&amp;0),""))</f>
        <v/>
      </c>
      <c r="L1586" s="12" t="n"/>
    </row>
    <row r="1587" ht="14" customHeight="1" s="72">
      <c r="A1587" s="78" t="n"/>
      <c r="B1587" s="79" t="n"/>
      <c r="C1587" s="69">
        <f>IF(B1587="","",IFERROR(INDEX(Client_List!$B:$B,MATCH(B1587,Client_List!$A:$A,0)),"⚠ NOT FOUND"))</f>
        <v/>
      </c>
      <c r="D1587" s="44" t="n"/>
      <c r="E1587" s="32">
        <f>IF(B1587="","",IFERROR(INDEX(Client_List!$C:$C,MATCH(VALUE(B1587),Client_List!$A:$A,0)),""))</f>
        <v/>
      </c>
      <c r="F1587" s="53">
        <f>IF(B1587="","",IFERROR(INDEX(Client_List!$D:$D,MATCH(VALUE(B1587),Client_List!$A:$A,0)),""))</f>
        <v/>
      </c>
      <c r="G1587" s="53">
        <f>IF(B1587="","",IFERROR(INDEX(Client_List!$K:$K,MATCH(VALUE(B1587),Client_List!$A:$A,0)),""))</f>
        <v/>
      </c>
      <c r="H1587" s="32">
        <f>IF(B1587="","",IFERROR(INDEX(Client_List!$J:$J,MATCH(VALUE(B1587),Client_List!$A:$A,0)),""))</f>
        <v/>
      </c>
      <c r="I1587" s="70">
        <f>IF(B1587="","",IFERROR(A1587-LOOKUP(2,1/($B$4:$B1586=B1587),$A$4:$A1586),""))</f>
        <v/>
      </c>
      <c r="J1587" s="32">
        <f>IF(B1587="","",IFERROR(D1587/I1587,""))</f>
        <v/>
      </c>
      <c r="K1587" s="71">
        <f>IF(B1587="","",IFERROR(AVERAGEIFS($J$4:$J1587,$B$4:$B1587,B1587,$J$4:$J1587,"&gt;"&amp;0),""))</f>
        <v/>
      </c>
      <c r="L1587" s="11" t="n"/>
    </row>
    <row r="1588" ht="14" customHeight="1" s="72">
      <c r="A1588" s="80" t="n"/>
      <c r="B1588" s="81" t="n"/>
      <c r="C1588" s="69">
        <f>IF(B1588="","",IFERROR(INDEX(Client_List!$B:$B,MATCH(B1588,Client_List!$A:$A,0)),"⚠ NOT FOUND"))</f>
        <v/>
      </c>
      <c r="D1588" s="45" t="n"/>
      <c r="E1588" s="32">
        <f>IF(B1588="","",IFERROR(INDEX(Client_List!$C:$C,MATCH(VALUE(B1588),Client_List!$A:$A,0)),""))</f>
        <v/>
      </c>
      <c r="F1588" s="53">
        <f>IF(B1588="","",IFERROR(INDEX(Client_List!$D:$D,MATCH(VALUE(B1588),Client_List!$A:$A,0)),""))</f>
        <v/>
      </c>
      <c r="G1588" s="53">
        <f>IF(B1588="","",IFERROR(INDEX(Client_List!$K:$K,MATCH(VALUE(B1588),Client_List!$A:$A,0)),""))</f>
        <v/>
      </c>
      <c r="H1588" s="32">
        <f>IF(B1588="","",IFERROR(INDEX(Client_List!$J:$J,MATCH(VALUE(B1588),Client_List!$A:$A,0)),""))</f>
        <v/>
      </c>
      <c r="I1588" s="70">
        <f>IF(B1588="","",IFERROR(A1588-LOOKUP(2,1/($B$4:$B1587=B1588),$A$4:$A1587),""))</f>
        <v/>
      </c>
      <c r="J1588" s="32">
        <f>IF(B1588="","",IFERROR(D1588/I1588,""))</f>
        <v/>
      </c>
      <c r="K1588" s="71">
        <f>IF(B1588="","",IFERROR(AVERAGEIFS($J$4:$J1588,$B$4:$B1588,B1588,$J$4:$J1588,"&gt;"&amp;0),""))</f>
        <v/>
      </c>
      <c r="L1588" s="12" t="n"/>
    </row>
    <row r="1589" ht="14" customHeight="1" s="72">
      <c r="A1589" s="78" t="n"/>
      <c r="B1589" s="79" t="n"/>
      <c r="C1589" s="69">
        <f>IF(B1589="","",IFERROR(INDEX(Client_List!$B:$B,MATCH(B1589,Client_List!$A:$A,0)),"⚠ NOT FOUND"))</f>
        <v/>
      </c>
      <c r="D1589" s="44" t="n"/>
      <c r="E1589" s="32">
        <f>IF(B1589="","",IFERROR(INDEX(Client_List!$C:$C,MATCH(VALUE(B1589),Client_List!$A:$A,0)),""))</f>
        <v/>
      </c>
      <c r="F1589" s="53">
        <f>IF(B1589="","",IFERROR(INDEX(Client_List!$D:$D,MATCH(VALUE(B1589),Client_List!$A:$A,0)),""))</f>
        <v/>
      </c>
      <c r="G1589" s="53">
        <f>IF(B1589="","",IFERROR(INDEX(Client_List!$K:$K,MATCH(VALUE(B1589),Client_List!$A:$A,0)),""))</f>
        <v/>
      </c>
      <c r="H1589" s="32">
        <f>IF(B1589="","",IFERROR(INDEX(Client_List!$J:$J,MATCH(VALUE(B1589),Client_List!$A:$A,0)),""))</f>
        <v/>
      </c>
      <c r="I1589" s="70">
        <f>IF(B1589="","",IFERROR(A1589-LOOKUP(2,1/($B$4:$B1588=B1589),$A$4:$A1588),""))</f>
        <v/>
      </c>
      <c r="J1589" s="32">
        <f>IF(B1589="","",IFERROR(D1589/I1589,""))</f>
        <v/>
      </c>
      <c r="K1589" s="71">
        <f>IF(B1589="","",IFERROR(AVERAGEIFS($J$4:$J1589,$B$4:$B1589,B1589,$J$4:$J1589,"&gt;"&amp;0),""))</f>
        <v/>
      </c>
      <c r="L1589" s="11" t="n"/>
    </row>
    <row r="1590" ht="14" customHeight="1" s="72">
      <c r="A1590" s="80" t="n"/>
      <c r="B1590" s="81" t="n"/>
      <c r="C1590" s="69">
        <f>IF(B1590="","",IFERROR(INDEX(Client_List!$B:$B,MATCH(B1590,Client_List!$A:$A,0)),"⚠ NOT FOUND"))</f>
        <v/>
      </c>
      <c r="D1590" s="45" t="n"/>
      <c r="E1590" s="32">
        <f>IF(B1590="","",IFERROR(INDEX(Client_List!$C:$C,MATCH(VALUE(B1590),Client_List!$A:$A,0)),""))</f>
        <v/>
      </c>
      <c r="F1590" s="53">
        <f>IF(B1590="","",IFERROR(INDEX(Client_List!$D:$D,MATCH(VALUE(B1590),Client_List!$A:$A,0)),""))</f>
        <v/>
      </c>
      <c r="G1590" s="53">
        <f>IF(B1590="","",IFERROR(INDEX(Client_List!$K:$K,MATCH(VALUE(B1590),Client_List!$A:$A,0)),""))</f>
        <v/>
      </c>
      <c r="H1590" s="32">
        <f>IF(B1590="","",IFERROR(INDEX(Client_List!$J:$J,MATCH(VALUE(B1590),Client_List!$A:$A,0)),""))</f>
        <v/>
      </c>
      <c r="I1590" s="70">
        <f>IF(B1590="","",IFERROR(A1590-LOOKUP(2,1/($B$4:$B1589=B1590),$A$4:$A1589),""))</f>
        <v/>
      </c>
      <c r="J1590" s="32">
        <f>IF(B1590="","",IFERROR(D1590/I1590,""))</f>
        <v/>
      </c>
      <c r="K1590" s="71">
        <f>IF(B1590="","",IFERROR(AVERAGEIFS($J$4:$J1590,$B$4:$B1590,B1590,$J$4:$J1590,"&gt;"&amp;0),""))</f>
        <v/>
      </c>
      <c r="L1590" s="12" t="n"/>
    </row>
    <row r="1591" ht="14" customHeight="1" s="72">
      <c r="A1591" s="78" t="n"/>
      <c r="B1591" s="79" t="n"/>
      <c r="C1591" s="69">
        <f>IF(B1591="","",IFERROR(INDEX(Client_List!$B:$B,MATCH(B1591,Client_List!$A:$A,0)),"⚠ NOT FOUND"))</f>
        <v/>
      </c>
      <c r="D1591" s="44" t="n"/>
      <c r="E1591" s="32">
        <f>IF(B1591="","",IFERROR(INDEX(Client_List!$C:$C,MATCH(VALUE(B1591),Client_List!$A:$A,0)),""))</f>
        <v/>
      </c>
      <c r="F1591" s="53">
        <f>IF(B1591="","",IFERROR(INDEX(Client_List!$D:$D,MATCH(VALUE(B1591),Client_List!$A:$A,0)),""))</f>
        <v/>
      </c>
      <c r="G1591" s="53">
        <f>IF(B1591="","",IFERROR(INDEX(Client_List!$K:$K,MATCH(VALUE(B1591),Client_List!$A:$A,0)),""))</f>
        <v/>
      </c>
      <c r="H1591" s="32">
        <f>IF(B1591="","",IFERROR(INDEX(Client_List!$J:$J,MATCH(VALUE(B1591),Client_List!$A:$A,0)),""))</f>
        <v/>
      </c>
      <c r="I1591" s="70">
        <f>IF(B1591="","",IFERROR(A1591-LOOKUP(2,1/($B$4:$B1590=B1591),$A$4:$A1590),""))</f>
        <v/>
      </c>
      <c r="J1591" s="32">
        <f>IF(B1591="","",IFERROR(D1591/I1591,""))</f>
        <v/>
      </c>
      <c r="K1591" s="71">
        <f>IF(B1591="","",IFERROR(AVERAGEIFS($J$4:$J1591,$B$4:$B1591,B1591,$J$4:$J1591,"&gt;"&amp;0),""))</f>
        <v/>
      </c>
      <c r="L1591" s="11" t="n"/>
    </row>
    <row r="1592" ht="14" customHeight="1" s="72">
      <c r="A1592" s="80" t="n"/>
      <c r="B1592" s="81" t="n"/>
      <c r="C1592" s="69">
        <f>IF(B1592="","",IFERROR(INDEX(Client_List!$B:$B,MATCH(B1592,Client_List!$A:$A,0)),"⚠ NOT FOUND"))</f>
        <v/>
      </c>
      <c r="D1592" s="45" t="n"/>
      <c r="E1592" s="32">
        <f>IF(B1592="","",IFERROR(INDEX(Client_List!$C:$C,MATCH(VALUE(B1592),Client_List!$A:$A,0)),""))</f>
        <v/>
      </c>
      <c r="F1592" s="53">
        <f>IF(B1592="","",IFERROR(INDEX(Client_List!$D:$D,MATCH(VALUE(B1592),Client_List!$A:$A,0)),""))</f>
        <v/>
      </c>
      <c r="G1592" s="53">
        <f>IF(B1592="","",IFERROR(INDEX(Client_List!$K:$K,MATCH(VALUE(B1592),Client_List!$A:$A,0)),""))</f>
        <v/>
      </c>
      <c r="H1592" s="32">
        <f>IF(B1592="","",IFERROR(INDEX(Client_List!$J:$J,MATCH(VALUE(B1592),Client_List!$A:$A,0)),""))</f>
        <v/>
      </c>
      <c r="I1592" s="70">
        <f>IF(B1592="","",IFERROR(A1592-LOOKUP(2,1/($B$4:$B1591=B1592),$A$4:$A1591),""))</f>
        <v/>
      </c>
      <c r="J1592" s="32">
        <f>IF(B1592="","",IFERROR(D1592/I1592,""))</f>
        <v/>
      </c>
      <c r="K1592" s="71">
        <f>IF(B1592="","",IFERROR(AVERAGEIFS($J$4:$J1592,$B$4:$B1592,B1592,$J$4:$J1592,"&gt;"&amp;0),""))</f>
        <v/>
      </c>
      <c r="L1592" s="12" t="n"/>
    </row>
    <row r="1593" ht="14" customHeight="1" s="72">
      <c r="A1593" s="78" t="n"/>
      <c r="B1593" s="79" t="n"/>
      <c r="C1593" s="69">
        <f>IF(B1593="","",IFERROR(INDEX(Client_List!$B:$B,MATCH(B1593,Client_List!$A:$A,0)),"⚠ NOT FOUND"))</f>
        <v/>
      </c>
      <c r="D1593" s="44" t="n"/>
      <c r="E1593" s="32">
        <f>IF(B1593="","",IFERROR(INDEX(Client_List!$C:$C,MATCH(VALUE(B1593),Client_List!$A:$A,0)),""))</f>
        <v/>
      </c>
      <c r="F1593" s="53">
        <f>IF(B1593="","",IFERROR(INDEX(Client_List!$D:$D,MATCH(VALUE(B1593),Client_List!$A:$A,0)),""))</f>
        <v/>
      </c>
      <c r="G1593" s="53">
        <f>IF(B1593="","",IFERROR(INDEX(Client_List!$K:$K,MATCH(VALUE(B1593),Client_List!$A:$A,0)),""))</f>
        <v/>
      </c>
      <c r="H1593" s="32">
        <f>IF(B1593="","",IFERROR(INDEX(Client_List!$J:$J,MATCH(VALUE(B1593),Client_List!$A:$A,0)),""))</f>
        <v/>
      </c>
      <c r="I1593" s="70">
        <f>IF(B1593="","",IFERROR(A1593-LOOKUP(2,1/($B$4:$B1592=B1593),$A$4:$A1592),""))</f>
        <v/>
      </c>
      <c r="J1593" s="32">
        <f>IF(B1593="","",IFERROR(D1593/I1593,""))</f>
        <v/>
      </c>
      <c r="K1593" s="71">
        <f>IF(B1593="","",IFERROR(AVERAGEIFS($J$4:$J1593,$B$4:$B1593,B1593,$J$4:$J1593,"&gt;"&amp;0),""))</f>
        <v/>
      </c>
      <c r="L1593" s="11" t="n"/>
    </row>
    <row r="1594" ht="14" customHeight="1" s="72">
      <c r="A1594" s="80" t="n"/>
      <c r="B1594" s="81" t="n"/>
      <c r="C1594" s="69">
        <f>IF(B1594="","",IFERROR(INDEX(Client_List!$B:$B,MATCH(B1594,Client_List!$A:$A,0)),"⚠ NOT FOUND"))</f>
        <v/>
      </c>
      <c r="D1594" s="45" t="n"/>
      <c r="E1594" s="32">
        <f>IF(B1594="","",IFERROR(INDEX(Client_List!$C:$C,MATCH(VALUE(B1594),Client_List!$A:$A,0)),""))</f>
        <v/>
      </c>
      <c r="F1594" s="53">
        <f>IF(B1594="","",IFERROR(INDEX(Client_List!$D:$D,MATCH(VALUE(B1594),Client_List!$A:$A,0)),""))</f>
        <v/>
      </c>
      <c r="G1594" s="53">
        <f>IF(B1594="","",IFERROR(INDEX(Client_List!$K:$K,MATCH(VALUE(B1594),Client_List!$A:$A,0)),""))</f>
        <v/>
      </c>
      <c r="H1594" s="32">
        <f>IF(B1594="","",IFERROR(INDEX(Client_List!$J:$J,MATCH(VALUE(B1594),Client_List!$A:$A,0)),""))</f>
        <v/>
      </c>
      <c r="I1594" s="70">
        <f>IF(B1594="","",IFERROR(A1594-LOOKUP(2,1/($B$4:$B1593=B1594),$A$4:$A1593),""))</f>
        <v/>
      </c>
      <c r="J1594" s="32">
        <f>IF(B1594="","",IFERROR(D1594/I1594,""))</f>
        <v/>
      </c>
      <c r="K1594" s="71">
        <f>IF(B1594="","",IFERROR(AVERAGEIFS($J$4:$J1594,$B$4:$B1594,B1594,$J$4:$J1594,"&gt;"&amp;0),""))</f>
        <v/>
      </c>
      <c r="L1594" s="12" t="n"/>
    </row>
    <row r="1595" ht="14" customHeight="1" s="72">
      <c r="A1595" s="78" t="n"/>
      <c r="B1595" s="79" t="n"/>
      <c r="C1595" s="69">
        <f>IF(B1595="","",IFERROR(INDEX(Client_List!$B:$B,MATCH(B1595,Client_List!$A:$A,0)),"⚠ NOT FOUND"))</f>
        <v/>
      </c>
      <c r="D1595" s="44" t="n"/>
      <c r="E1595" s="32">
        <f>IF(B1595="","",IFERROR(INDEX(Client_List!$C:$C,MATCH(VALUE(B1595),Client_List!$A:$A,0)),""))</f>
        <v/>
      </c>
      <c r="F1595" s="53">
        <f>IF(B1595="","",IFERROR(INDEX(Client_List!$D:$D,MATCH(VALUE(B1595),Client_List!$A:$A,0)),""))</f>
        <v/>
      </c>
      <c r="G1595" s="53">
        <f>IF(B1595="","",IFERROR(INDEX(Client_List!$K:$K,MATCH(VALUE(B1595),Client_List!$A:$A,0)),""))</f>
        <v/>
      </c>
      <c r="H1595" s="32">
        <f>IF(B1595="","",IFERROR(INDEX(Client_List!$J:$J,MATCH(VALUE(B1595),Client_List!$A:$A,0)),""))</f>
        <v/>
      </c>
      <c r="I1595" s="70">
        <f>IF(B1595="","",IFERROR(A1595-LOOKUP(2,1/($B$4:$B1594=B1595),$A$4:$A1594),""))</f>
        <v/>
      </c>
      <c r="J1595" s="32">
        <f>IF(B1595="","",IFERROR(D1595/I1595,""))</f>
        <v/>
      </c>
      <c r="K1595" s="71">
        <f>IF(B1595="","",IFERROR(AVERAGEIFS($J$4:$J1595,$B$4:$B1595,B1595,$J$4:$J1595,"&gt;"&amp;0),""))</f>
        <v/>
      </c>
      <c r="L1595" s="11" t="n"/>
    </row>
    <row r="1596" ht="14" customHeight="1" s="72">
      <c r="A1596" s="80" t="n"/>
      <c r="B1596" s="81" t="n"/>
      <c r="C1596" s="69">
        <f>IF(B1596="","",IFERROR(INDEX(Client_List!$B:$B,MATCH(B1596,Client_List!$A:$A,0)),"⚠ NOT FOUND"))</f>
        <v/>
      </c>
      <c r="D1596" s="45" t="n"/>
      <c r="E1596" s="32">
        <f>IF(B1596="","",IFERROR(INDEX(Client_List!$C:$C,MATCH(VALUE(B1596),Client_List!$A:$A,0)),""))</f>
        <v/>
      </c>
      <c r="F1596" s="53">
        <f>IF(B1596="","",IFERROR(INDEX(Client_List!$D:$D,MATCH(VALUE(B1596),Client_List!$A:$A,0)),""))</f>
        <v/>
      </c>
      <c r="G1596" s="53">
        <f>IF(B1596="","",IFERROR(INDEX(Client_List!$K:$K,MATCH(VALUE(B1596),Client_List!$A:$A,0)),""))</f>
        <v/>
      </c>
      <c r="H1596" s="32">
        <f>IF(B1596="","",IFERROR(INDEX(Client_List!$J:$J,MATCH(VALUE(B1596),Client_List!$A:$A,0)),""))</f>
        <v/>
      </c>
      <c r="I1596" s="70">
        <f>IF(B1596="","",IFERROR(A1596-LOOKUP(2,1/($B$4:$B1595=B1596),$A$4:$A1595),""))</f>
        <v/>
      </c>
      <c r="J1596" s="32">
        <f>IF(B1596="","",IFERROR(D1596/I1596,""))</f>
        <v/>
      </c>
      <c r="K1596" s="71">
        <f>IF(B1596="","",IFERROR(AVERAGEIFS($J$4:$J1596,$B$4:$B1596,B1596,$J$4:$J1596,"&gt;"&amp;0),""))</f>
        <v/>
      </c>
      <c r="L1596" s="12" t="n"/>
    </row>
    <row r="1597" ht="14" customHeight="1" s="72">
      <c r="A1597" s="78" t="n"/>
      <c r="B1597" s="79" t="n"/>
      <c r="C1597" s="69">
        <f>IF(B1597="","",IFERROR(INDEX(Client_List!$B:$B,MATCH(B1597,Client_List!$A:$A,0)),"⚠ NOT FOUND"))</f>
        <v/>
      </c>
      <c r="D1597" s="44" t="n"/>
      <c r="E1597" s="32">
        <f>IF(B1597="","",IFERROR(INDEX(Client_List!$C:$C,MATCH(VALUE(B1597),Client_List!$A:$A,0)),""))</f>
        <v/>
      </c>
      <c r="F1597" s="53">
        <f>IF(B1597="","",IFERROR(INDEX(Client_List!$D:$D,MATCH(VALUE(B1597),Client_List!$A:$A,0)),""))</f>
        <v/>
      </c>
      <c r="G1597" s="53">
        <f>IF(B1597="","",IFERROR(INDEX(Client_List!$K:$K,MATCH(VALUE(B1597),Client_List!$A:$A,0)),""))</f>
        <v/>
      </c>
      <c r="H1597" s="32">
        <f>IF(B1597="","",IFERROR(INDEX(Client_List!$J:$J,MATCH(VALUE(B1597),Client_List!$A:$A,0)),""))</f>
        <v/>
      </c>
      <c r="I1597" s="70">
        <f>IF(B1597="","",IFERROR(A1597-LOOKUP(2,1/($B$4:$B1596=B1597),$A$4:$A1596),""))</f>
        <v/>
      </c>
      <c r="J1597" s="32">
        <f>IF(B1597="","",IFERROR(D1597/I1597,""))</f>
        <v/>
      </c>
      <c r="K1597" s="71">
        <f>IF(B1597="","",IFERROR(AVERAGEIFS($J$4:$J1597,$B$4:$B1597,B1597,$J$4:$J1597,"&gt;"&amp;0),""))</f>
        <v/>
      </c>
      <c r="L1597" s="11" t="n"/>
    </row>
    <row r="1598" ht="14" customHeight="1" s="72">
      <c r="A1598" s="80" t="n"/>
      <c r="B1598" s="81" t="n"/>
      <c r="C1598" s="69">
        <f>IF(B1598="","",IFERROR(INDEX(Client_List!$B:$B,MATCH(B1598,Client_List!$A:$A,0)),"⚠ NOT FOUND"))</f>
        <v/>
      </c>
      <c r="D1598" s="45" t="n"/>
      <c r="E1598" s="32">
        <f>IF(B1598="","",IFERROR(INDEX(Client_List!$C:$C,MATCH(VALUE(B1598),Client_List!$A:$A,0)),""))</f>
        <v/>
      </c>
      <c r="F1598" s="53">
        <f>IF(B1598="","",IFERROR(INDEX(Client_List!$D:$D,MATCH(VALUE(B1598),Client_List!$A:$A,0)),""))</f>
        <v/>
      </c>
      <c r="G1598" s="53">
        <f>IF(B1598="","",IFERROR(INDEX(Client_List!$K:$K,MATCH(VALUE(B1598),Client_List!$A:$A,0)),""))</f>
        <v/>
      </c>
      <c r="H1598" s="32">
        <f>IF(B1598="","",IFERROR(INDEX(Client_List!$J:$J,MATCH(VALUE(B1598),Client_List!$A:$A,0)),""))</f>
        <v/>
      </c>
      <c r="I1598" s="70">
        <f>IF(B1598="","",IFERROR(A1598-LOOKUP(2,1/($B$4:$B1597=B1598),$A$4:$A1597),""))</f>
        <v/>
      </c>
      <c r="J1598" s="32">
        <f>IF(B1598="","",IFERROR(D1598/I1598,""))</f>
        <v/>
      </c>
      <c r="K1598" s="71">
        <f>IF(B1598="","",IFERROR(AVERAGEIFS($J$4:$J1598,$B$4:$B1598,B1598,$J$4:$J1598,"&gt;"&amp;0),""))</f>
        <v/>
      </c>
      <c r="L1598" s="12" t="n"/>
    </row>
    <row r="1599" ht="14" customHeight="1" s="72">
      <c r="A1599" s="78" t="n"/>
      <c r="B1599" s="79" t="n"/>
      <c r="C1599" s="69">
        <f>IF(B1599="","",IFERROR(INDEX(Client_List!$B:$B,MATCH(B1599,Client_List!$A:$A,0)),"⚠ NOT FOUND"))</f>
        <v/>
      </c>
      <c r="D1599" s="44" t="n"/>
      <c r="E1599" s="32">
        <f>IF(B1599="","",IFERROR(INDEX(Client_List!$C:$C,MATCH(VALUE(B1599),Client_List!$A:$A,0)),""))</f>
        <v/>
      </c>
      <c r="F1599" s="53">
        <f>IF(B1599="","",IFERROR(INDEX(Client_List!$D:$D,MATCH(VALUE(B1599),Client_List!$A:$A,0)),""))</f>
        <v/>
      </c>
      <c r="G1599" s="53">
        <f>IF(B1599="","",IFERROR(INDEX(Client_List!$K:$K,MATCH(VALUE(B1599),Client_List!$A:$A,0)),""))</f>
        <v/>
      </c>
      <c r="H1599" s="32">
        <f>IF(B1599="","",IFERROR(INDEX(Client_List!$J:$J,MATCH(VALUE(B1599),Client_List!$A:$A,0)),""))</f>
        <v/>
      </c>
      <c r="I1599" s="70">
        <f>IF(B1599="","",IFERROR(A1599-LOOKUP(2,1/($B$4:$B1598=B1599),$A$4:$A1598),""))</f>
        <v/>
      </c>
      <c r="J1599" s="32">
        <f>IF(B1599="","",IFERROR(D1599/I1599,""))</f>
        <v/>
      </c>
      <c r="K1599" s="71">
        <f>IF(B1599="","",IFERROR(AVERAGEIFS($J$4:$J1599,$B$4:$B1599,B1599,$J$4:$J1599,"&gt;"&amp;0),""))</f>
        <v/>
      </c>
      <c r="L1599" s="11" t="n"/>
    </row>
    <row r="1600" ht="14" customHeight="1" s="72">
      <c r="A1600" s="80" t="n"/>
      <c r="B1600" s="81" t="n"/>
      <c r="C1600" s="69">
        <f>IF(B1600="","",IFERROR(INDEX(Client_List!$B:$B,MATCH(B1600,Client_List!$A:$A,0)),"⚠ NOT FOUND"))</f>
        <v/>
      </c>
      <c r="D1600" s="45" t="n"/>
      <c r="E1600" s="32">
        <f>IF(B1600="","",IFERROR(INDEX(Client_List!$C:$C,MATCH(VALUE(B1600),Client_List!$A:$A,0)),""))</f>
        <v/>
      </c>
      <c r="F1600" s="53">
        <f>IF(B1600="","",IFERROR(INDEX(Client_List!$D:$D,MATCH(VALUE(B1600),Client_List!$A:$A,0)),""))</f>
        <v/>
      </c>
      <c r="G1600" s="53">
        <f>IF(B1600="","",IFERROR(INDEX(Client_List!$K:$K,MATCH(VALUE(B1600),Client_List!$A:$A,0)),""))</f>
        <v/>
      </c>
      <c r="H1600" s="32">
        <f>IF(B1600="","",IFERROR(INDEX(Client_List!$J:$J,MATCH(VALUE(B1600),Client_List!$A:$A,0)),""))</f>
        <v/>
      </c>
      <c r="I1600" s="70">
        <f>IF(B1600="","",IFERROR(A1600-LOOKUP(2,1/($B$4:$B1599=B1600),$A$4:$A1599),""))</f>
        <v/>
      </c>
      <c r="J1600" s="32">
        <f>IF(B1600="","",IFERROR(D1600/I1600,""))</f>
        <v/>
      </c>
      <c r="K1600" s="71">
        <f>IF(B1600="","",IFERROR(AVERAGEIFS($J$4:$J1600,$B$4:$B1600,B1600,$J$4:$J1600,"&gt;"&amp;0),""))</f>
        <v/>
      </c>
      <c r="L1600" s="12" t="n"/>
    </row>
    <row r="1601" ht="14" customHeight="1" s="72">
      <c r="A1601" s="78" t="n"/>
      <c r="B1601" s="79" t="n"/>
      <c r="C1601" s="69">
        <f>IF(B1601="","",IFERROR(INDEX(Client_List!$B:$B,MATCH(B1601,Client_List!$A:$A,0)),"⚠ NOT FOUND"))</f>
        <v/>
      </c>
      <c r="D1601" s="44" t="n"/>
      <c r="E1601" s="32">
        <f>IF(B1601="","",IFERROR(INDEX(Client_List!$C:$C,MATCH(VALUE(B1601),Client_List!$A:$A,0)),""))</f>
        <v/>
      </c>
      <c r="F1601" s="53">
        <f>IF(B1601="","",IFERROR(INDEX(Client_List!$D:$D,MATCH(VALUE(B1601),Client_List!$A:$A,0)),""))</f>
        <v/>
      </c>
      <c r="G1601" s="53">
        <f>IF(B1601="","",IFERROR(INDEX(Client_List!$K:$K,MATCH(VALUE(B1601),Client_List!$A:$A,0)),""))</f>
        <v/>
      </c>
      <c r="H1601" s="32">
        <f>IF(B1601="","",IFERROR(INDEX(Client_List!$J:$J,MATCH(VALUE(B1601),Client_List!$A:$A,0)),""))</f>
        <v/>
      </c>
      <c r="I1601" s="70">
        <f>IF(B1601="","",IFERROR(A1601-LOOKUP(2,1/($B$4:$B1600=B1601),$A$4:$A1600),""))</f>
        <v/>
      </c>
      <c r="J1601" s="32">
        <f>IF(B1601="","",IFERROR(D1601/I1601,""))</f>
        <v/>
      </c>
      <c r="K1601" s="71">
        <f>IF(B1601="","",IFERROR(AVERAGEIFS($J$4:$J1601,$B$4:$B1601,B1601,$J$4:$J1601,"&gt;"&amp;0),""))</f>
        <v/>
      </c>
      <c r="L1601" s="11" t="n"/>
    </row>
    <row r="1602" ht="14" customHeight="1" s="72">
      <c r="A1602" s="80" t="n"/>
      <c r="B1602" s="81" t="n"/>
      <c r="C1602" s="69">
        <f>IF(B1602="","",IFERROR(INDEX(Client_List!$B:$B,MATCH(B1602,Client_List!$A:$A,0)),"⚠ NOT FOUND"))</f>
        <v/>
      </c>
      <c r="D1602" s="45" t="n"/>
      <c r="E1602" s="32">
        <f>IF(B1602="","",IFERROR(INDEX(Client_List!$C:$C,MATCH(VALUE(B1602),Client_List!$A:$A,0)),""))</f>
        <v/>
      </c>
      <c r="F1602" s="53">
        <f>IF(B1602="","",IFERROR(INDEX(Client_List!$D:$D,MATCH(VALUE(B1602),Client_List!$A:$A,0)),""))</f>
        <v/>
      </c>
      <c r="G1602" s="53">
        <f>IF(B1602="","",IFERROR(INDEX(Client_List!$K:$K,MATCH(VALUE(B1602),Client_List!$A:$A,0)),""))</f>
        <v/>
      </c>
      <c r="H1602" s="32">
        <f>IF(B1602="","",IFERROR(INDEX(Client_List!$J:$J,MATCH(VALUE(B1602),Client_List!$A:$A,0)),""))</f>
        <v/>
      </c>
      <c r="I1602" s="70">
        <f>IF(B1602="","",IFERROR(A1602-LOOKUP(2,1/($B$4:$B1601=B1602),$A$4:$A1601),""))</f>
        <v/>
      </c>
      <c r="J1602" s="32">
        <f>IF(B1602="","",IFERROR(D1602/I1602,""))</f>
        <v/>
      </c>
      <c r="K1602" s="71">
        <f>IF(B1602="","",IFERROR(AVERAGEIFS($J$4:$J1602,$B$4:$B1602,B1602,$J$4:$J1602,"&gt;"&amp;0),""))</f>
        <v/>
      </c>
      <c r="L1602" s="12" t="n"/>
    </row>
    <row r="1603" ht="14" customHeight="1" s="72">
      <c r="A1603" s="78" t="n"/>
      <c r="B1603" s="79" t="n"/>
      <c r="C1603" s="69">
        <f>IF(B1603="","",IFERROR(INDEX(Client_List!$B:$B,MATCH(B1603,Client_List!$A:$A,0)),"⚠ NOT FOUND"))</f>
        <v/>
      </c>
      <c r="D1603" s="44" t="n"/>
      <c r="E1603" s="32">
        <f>IF(B1603="","",IFERROR(INDEX(Client_List!$C:$C,MATCH(VALUE(B1603),Client_List!$A:$A,0)),""))</f>
        <v/>
      </c>
      <c r="F1603" s="53">
        <f>IF(B1603="","",IFERROR(INDEX(Client_List!$D:$D,MATCH(VALUE(B1603),Client_List!$A:$A,0)),""))</f>
        <v/>
      </c>
      <c r="G1603" s="53">
        <f>IF(B1603="","",IFERROR(INDEX(Client_List!$K:$K,MATCH(VALUE(B1603),Client_List!$A:$A,0)),""))</f>
        <v/>
      </c>
      <c r="H1603" s="32">
        <f>IF(B1603="","",IFERROR(INDEX(Client_List!$J:$J,MATCH(VALUE(B1603),Client_List!$A:$A,0)),""))</f>
        <v/>
      </c>
      <c r="I1603" s="70">
        <f>IF(B1603="","",IFERROR(A1603-LOOKUP(2,1/($B$4:$B1602=B1603),$A$4:$A1602),""))</f>
        <v/>
      </c>
      <c r="J1603" s="32">
        <f>IF(B1603="","",IFERROR(D1603/I1603,""))</f>
        <v/>
      </c>
      <c r="K1603" s="71">
        <f>IF(B1603="","",IFERROR(AVERAGEIFS($J$4:$J1603,$B$4:$B1603,B1603,$J$4:$J1603,"&gt;"&amp;0),""))</f>
        <v/>
      </c>
      <c r="L1603" s="11" t="n"/>
    </row>
    <row r="1604" ht="14" customHeight="1" s="72">
      <c r="A1604" s="80" t="n"/>
      <c r="B1604" s="81" t="n"/>
      <c r="C1604" s="69">
        <f>IF(B1604="","",IFERROR(INDEX(Client_List!$B:$B,MATCH(B1604,Client_List!$A:$A,0)),"⚠ NOT FOUND"))</f>
        <v/>
      </c>
      <c r="D1604" s="45" t="n"/>
      <c r="E1604" s="32">
        <f>IF(B1604="","",IFERROR(INDEX(Client_List!$C:$C,MATCH(VALUE(B1604),Client_List!$A:$A,0)),""))</f>
        <v/>
      </c>
      <c r="F1604" s="53">
        <f>IF(B1604="","",IFERROR(INDEX(Client_List!$D:$D,MATCH(VALUE(B1604),Client_List!$A:$A,0)),""))</f>
        <v/>
      </c>
      <c r="G1604" s="53">
        <f>IF(B1604="","",IFERROR(INDEX(Client_List!$K:$K,MATCH(VALUE(B1604),Client_List!$A:$A,0)),""))</f>
        <v/>
      </c>
      <c r="H1604" s="32">
        <f>IF(B1604="","",IFERROR(INDEX(Client_List!$J:$J,MATCH(VALUE(B1604),Client_List!$A:$A,0)),""))</f>
        <v/>
      </c>
      <c r="I1604" s="70">
        <f>IF(B1604="","",IFERROR(A1604-LOOKUP(2,1/($B$4:$B1603=B1604),$A$4:$A1603),""))</f>
        <v/>
      </c>
      <c r="J1604" s="32">
        <f>IF(B1604="","",IFERROR(D1604/I1604,""))</f>
        <v/>
      </c>
      <c r="K1604" s="71">
        <f>IF(B1604="","",IFERROR(AVERAGEIFS($J$4:$J1604,$B$4:$B1604,B1604,$J$4:$J1604,"&gt;"&amp;0),""))</f>
        <v/>
      </c>
      <c r="L1604" s="12" t="n"/>
    </row>
    <row r="1605" ht="14" customHeight="1" s="72">
      <c r="A1605" s="78" t="n"/>
      <c r="B1605" s="79" t="n"/>
      <c r="C1605" s="69">
        <f>IF(B1605="","",IFERROR(INDEX(Client_List!$B:$B,MATCH(B1605,Client_List!$A:$A,0)),"⚠ NOT FOUND"))</f>
        <v/>
      </c>
      <c r="D1605" s="44" t="n"/>
      <c r="E1605" s="32">
        <f>IF(B1605="","",IFERROR(INDEX(Client_List!$C:$C,MATCH(VALUE(B1605),Client_List!$A:$A,0)),""))</f>
        <v/>
      </c>
      <c r="F1605" s="53">
        <f>IF(B1605="","",IFERROR(INDEX(Client_List!$D:$D,MATCH(VALUE(B1605),Client_List!$A:$A,0)),""))</f>
        <v/>
      </c>
      <c r="G1605" s="53">
        <f>IF(B1605="","",IFERROR(INDEX(Client_List!$K:$K,MATCH(VALUE(B1605),Client_List!$A:$A,0)),""))</f>
        <v/>
      </c>
      <c r="H1605" s="32">
        <f>IF(B1605="","",IFERROR(INDEX(Client_List!$J:$J,MATCH(VALUE(B1605),Client_List!$A:$A,0)),""))</f>
        <v/>
      </c>
      <c r="I1605" s="70">
        <f>IF(B1605="","",IFERROR(A1605-LOOKUP(2,1/($B$4:$B1604=B1605),$A$4:$A1604),""))</f>
        <v/>
      </c>
      <c r="J1605" s="32">
        <f>IF(B1605="","",IFERROR(D1605/I1605,""))</f>
        <v/>
      </c>
      <c r="K1605" s="71">
        <f>IF(B1605="","",IFERROR(AVERAGEIFS($J$4:$J1605,$B$4:$B1605,B1605,$J$4:$J1605,"&gt;"&amp;0),""))</f>
        <v/>
      </c>
      <c r="L1605" s="11" t="n"/>
    </row>
    <row r="1606" ht="14" customHeight="1" s="72">
      <c r="A1606" s="80" t="n"/>
      <c r="B1606" s="81" t="n"/>
      <c r="C1606" s="69">
        <f>IF(B1606="","",IFERROR(INDEX(Client_List!$B:$B,MATCH(B1606,Client_List!$A:$A,0)),"⚠ NOT FOUND"))</f>
        <v/>
      </c>
      <c r="D1606" s="45" t="n"/>
      <c r="E1606" s="32">
        <f>IF(B1606="","",IFERROR(INDEX(Client_List!$C:$C,MATCH(VALUE(B1606),Client_List!$A:$A,0)),""))</f>
        <v/>
      </c>
      <c r="F1606" s="53">
        <f>IF(B1606="","",IFERROR(INDEX(Client_List!$D:$D,MATCH(VALUE(B1606),Client_List!$A:$A,0)),""))</f>
        <v/>
      </c>
      <c r="G1606" s="53">
        <f>IF(B1606="","",IFERROR(INDEX(Client_List!$K:$K,MATCH(VALUE(B1606),Client_List!$A:$A,0)),""))</f>
        <v/>
      </c>
      <c r="H1606" s="32">
        <f>IF(B1606="","",IFERROR(INDEX(Client_List!$J:$J,MATCH(VALUE(B1606),Client_List!$A:$A,0)),""))</f>
        <v/>
      </c>
      <c r="I1606" s="70">
        <f>IF(B1606="","",IFERROR(A1606-LOOKUP(2,1/($B$4:$B1605=B1606),$A$4:$A1605),""))</f>
        <v/>
      </c>
      <c r="J1606" s="32">
        <f>IF(B1606="","",IFERROR(D1606/I1606,""))</f>
        <v/>
      </c>
      <c r="K1606" s="71">
        <f>IF(B1606="","",IFERROR(AVERAGEIFS($J$4:$J1606,$B$4:$B1606,B1606,$J$4:$J1606,"&gt;"&amp;0),""))</f>
        <v/>
      </c>
      <c r="L1606" s="12" t="n"/>
    </row>
    <row r="1607" ht="14" customHeight="1" s="72">
      <c r="A1607" s="78" t="n"/>
      <c r="B1607" s="79" t="n"/>
      <c r="C1607" s="69">
        <f>IF(B1607="","",IFERROR(INDEX(Client_List!$B:$B,MATCH(B1607,Client_List!$A:$A,0)),"⚠ NOT FOUND"))</f>
        <v/>
      </c>
      <c r="D1607" s="44" t="n"/>
      <c r="E1607" s="32">
        <f>IF(B1607="","",IFERROR(INDEX(Client_List!$C:$C,MATCH(VALUE(B1607),Client_List!$A:$A,0)),""))</f>
        <v/>
      </c>
      <c r="F1607" s="53">
        <f>IF(B1607="","",IFERROR(INDEX(Client_List!$D:$D,MATCH(VALUE(B1607),Client_List!$A:$A,0)),""))</f>
        <v/>
      </c>
      <c r="G1607" s="53">
        <f>IF(B1607="","",IFERROR(INDEX(Client_List!$K:$K,MATCH(VALUE(B1607),Client_List!$A:$A,0)),""))</f>
        <v/>
      </c>
      <c r="H1607" s="32">
        <f>IF(B1607="","",IFERROR(INDEX(Client_List!$J:$J,MATCH(VALUE(B1607),Client_List!$A:$A,0)),""))</f>
        <v/>
      </c>
      <c r="I1607" s="70">
        <f>IF(B1607="","",IFERROR(A1607-LOOKUP(2,1/($B$4:$B1606=B1607),$A$4:$A1606),""))</f>
        <v/>
      </c>
      <c r="J1607" s="32">
        <f>IF(B1607="","",IFERROR(D1607/I1607,""))</f>
        <v/>
      </c>
      <c r="K1607" s="71">
        <f>IF(B1607="","",IFERROR(AVERAGEIFS($J$4:$J1607,$B$4:$B1607,B1607,$J$4:$J1607,"&gt;"&amp;0),""))</f>
        <v/>
      </c>
      <c r="L1607" s="11" t="n"/>
    </row>
    <row r="1608" ht="14" customHeight="1" s="72">
      <c r="A1608" s="80" t="n"/>
      <c r="B1608" s="81" t="n"/>
      <c r="C1608" s="69">
        <f>IF(B1608="","",IFERROR(INDEX(Client_List!$B:$B,MATCH(B1608,Client_List!$A:$A,0)),"⚠ NOT FOUND"))</f>
        <v/>
      </c>
      <c r="D1608" s="45" t="n"/>
      <c r="E1608" s="32">
        <f>IF(B1608="","",IFERROR(INDEX(Client_List!$C:$C,MATCH(VALUE(B1608),Client_List!$A:$A,0)),""))</f>
        <v/>
      </c>
      <c r="F1608" s="53">
        <f>IF(B1608="","",IFERROR(INDEX(Client_List!$D:$D,MATCH(VALUE(B1608),Client_List!$A:$A,0)),""))</f>
        <v/>
      </c>
      <c r="G1608" s="53">
        <f>IF(B1608="","",IFERROR(INDEX(Client_List!$K:$K,MATCH(VALUE(B1608),Client_List!$A:$A,0)),""))</f>
        <v/>
      </c>
      <c r="H1608" s="32">
        <f>IF(B1608="","",IFERROR(INDEX(Client_List!$J:$J,MATCH(VALUE(B1608),Client_List!$A:$A,0)),""))</f>
        <v/>
      </c>
      <c r="I1608" s="70">
        <f>IF(B1608="","",IFERROR(A1608-LOOKUP(2,1/($B$4:$B1607=B1608),$A$4:$A1607),""))</f>
        <v/>
      </c>
      <c r="J1608" s="32">
        <f>IF(B1608="","",IFERROR(D1608/I1608,""))</f>
        <v/>
      </c>
      <c r="K1608" s="71">
        <f>IF(B1608="","",IFERROR(AVERAGEIFS($J$4:$J1608,$B$4:$B1608,B1608,$J$4:$J1608,"&gt;"&amp;0),""))</f>
        <v/>
      </c>
      <c r="L1608" s="12" t="n"/>
    </row>
    <row r="1609" ht="14" customHeight="1" s="72">
      <c r="A1609" s="78" t="n"/>
      <c r="B1609" s="79" t="n"/>
      <c r="C1609" s="69">
        <f>IF(B1609="","",IFERROR(INDEX(Client_List!$B:$B,MATCH(B1609,Client_List!$A:$A,0)),"⚠ NOT FOUND"))</f>
        <v/>
      </c>
      <c r="D1609" s="44" t="n"/>
      <c r="E1609" s="32">
        <f>IF(B1609="","",IFERROR(INDEX(Client_List!$C:$C,MATCH(VALUE(B1609),Client_List!$A:$A,0)),""))</f>
        <v/>
      </c>
      <c r="F1609" s="53">
        <f>IF(B1609="","",IFERROR(INDEX(Client_List!$D:$D,MATCH(VALUE(B1609),Client_List!$A:$A,0)),""))</f>
        <v/>
      </c>
      <c r="G1609" s="53">
        <f>IF(B1609="","",IFERROR(INDEX(Client_List!$K:$K,MATCH(VALUE(B1609),Client_List!$A:$A,0)),""))</f>
        <v/>
      </c>
      <c r="H1609" s="32">
        <f>IF(B1609="","",IFERROR(INDEX(Client_List!$J:$J,MATCH(VALUE(B1609),Client_List!$A:$A,0)),""))</f>
        <v/>
      </c>
      <c r="I1609" s="70">
        <f>IF(B1609="","",IFERROR(A1609-LOOKUP(2,1/($B$4:$B1608=B1609),$A$4:$A1608),""))</f>
        <v/>
      </c>
      <c r="J1609" s="32">
        <f>IF(B1609="","",IFERROR(D1609/I1609,""))</f>
        <v/>
      </c>
      <c r="K1609" s="71">
        <f>IF(B1609="","",IFERROR(AVERAGEIFS($J$4:$J1609,$B$4:$B1609,B1609,$J$4:$J1609,"&gt;"&amp;0),""))</f>
        <v/>
      </c>
      <c r="L1609" s="11" t="n"/>
    </row>
    <row r="1610" ht="14" customHeight="1" s="72">
      <c r="A1610" s="80" t="n"/>
      <c r="B1610" s="81" t="n"/>
      <c r="C1610" s="69">
        <f>IF(B1610="","",IFERROR(INDEX(Client_List!$B:$B,MATCH(B1610,Client_List!$A:$A,0)),"⚠ NOT FOUND"))</f>
        <v/>
      </c>
      <c r="D1610" s="45" t="n"/>
      <c r="E1610" s="32">
        <f>IF(B1610="","",IFERROR(INDEX(Client_List!$C:$C,MATCH(VALUE(B1610),Client_List!$A:$A,0)),""))</f>
        <v/>
      </c>
      <c r="F1610" s="53">
        <f>IF(B1610="","",IFERROR(INDEX(Client_List!$D:$D,MATCH(VALUE(B1610),Client_List!$A:$A,0)),""))</f>
        <v/>
      </c>
      <c r="G1610" s="53">
        <f>IF(B1610="","",IFERROR(INDEX(Client_List!$K:$K,MATCH(VALUE(B1610),Client_List!$A:$A,0)),""))</f>
        <v/>
      </c>
      <c r="H1610" s="32">
        <f>IF(B1610="","",IFERROR(INDEX(Client_List!$J:$J,MATCH(VALUE(B1610),Client_List!$A:$A,0)),""))</f>
        <v/>
      </c>
      <c r="I1610" s="70">
        <f>IF(B1610="","",IFERROR(A1610-LOOKUP(2,1/($B$4:$B1609=B1610),$A$4:$A1609),""))</f>
        <v/>
      </c>
      <c r="J1610" s="32">
        <f>IF(B1610="","",IFERROR(D1610/I1610,""))</f>
        <v/>
      </c>
      <c r="K1610" s="71">
        <f>IF(B1610="","",IFERROR(AVERAGEIFS($J$4:$J1610,$B$4:$B1610,B1610,$J$4:$J1610,"&gt;"&amp;0),""))</f>
        <v/>
      </c>
      <c r="L1610" s="12" t="n"/>
    </row>
    <row r="1611" ht="14" customHeight="1" s="72">
      <c r="A1611" s="78" t="n"/>
      <c r="B1611" s="79" t="n"/>
      <c r="C1611" s="69">
        <f>IF(B1611="","",IFERROR(INDEX(Client_List!$B:$B,MATCH(B1611,Client_List!$A:$A,0)),"⚠ NOT FOUND"))</f>
        <v/>
      </c>
      <c r="D1611" s="44" t="n"/>
      <c r="E1611" s="32">
        <f>IF(B1611="","",IFERROR(INDEX(Client_List!$C:$C,MATCH(VALUE(B1611),Client_List!$A:$A,0)),""))</f>
        <v/>
      </c>
      <c r="F1611" s="53">
        <f>IF(B1611="","",IFERROR(INDEX(Client_List!$D:$D,MATCH(VALUE(B1611),Client_List!$A:$A,0)),""))</f>
        <v/>
      </c>
      <c r="G1611" s="53">
        <f>IF(B1611="","",IFERROR(INDEX(Client_List!$K:$K,MATCH(VALUE(B1611),Client_List!$A:$A,0)),""))</f>
        <v/>
      </c>
      <c r="H1611" s="32">
        <f>IF(B1611="","",IFERROR(INDEX(Client_List!$J:$J,MATCH(VALUE(B1611),Client_List!$A:$A,0)),""))</f>
        <v/>
      </c>
      <c r="I1611" s="70">
        <f>IF(B1611="","",IFERROR(A1611-LOOKUP(2,1/($B$4:$B1610=B1611),$A$4:$A1610),""))</f>
        <v/>
      </c>
      <c r="J1611" s="32">
        <f>IF(B1611="","",IFERROR(D1611/I1611,""))</f>
        <v/>
      </c>
      <c r="K1611" s="71">
        <f>IF(B1611="","",IFERROR(AVERAGEIFS($J$4:$J1611,$B$4:$B1611,B1611,$J$4:$J1611,"&gt;"&amp;0),""))</f>
        <v/>
      </c>
      <c r="L1611" s="11" t="n"/>
    </row>
    <row r="1612" ht="14" customHeight="1" s="72">
      <c r="A1612" s="80" t="n"/>
      <c r="B1612" s="81" t="n"/>
      <c r="C1612" s="69">
        <f>IF(B1612="","",IFERROR(INDEX(Client_List!$B:$B,MATCH(B1612,Client_List!$A:$A,0)),"⚠ NOT FOUND"))</f>
        <v/>
      </c>
      <c r="D1612" s="45" t="n"/>
      <c r="E1612" s="32">
        <f>IF(B1612="","",IFERROR(INDEX(Client_List!$C:$C,MATCH(VALUE(B1612),Client_List!$A:$A,0)),""))</f>
        <v/>
      </c>
      <c r="F1612" s="53">
        <f>IF(B1612="","",IFERROR(INDEX(Client_List!$D:$D,MATCH(VALUE(B1612),Client_List!$A:$A,0)),""))</f>
        <v/>
      </c>
      <c r="G1612" s="53">
        <f>IF(B1612="","",IFERROR(INDEX(Client_List!$K:$K,MATCH(VALUE(B1612),Client_List!$A:$A,0)),""))</f>
        <v/>
      </c>
      <c r="H1612" s="32">
        <f>IF(B1612="","",IFERROR(INDEX(Client_List!$J:$J,MATCH(VALUE(B1612),Client_List!$A:$A,0)),""))</f>
        <v/>
      </c>
      <c r="I1612" s="70">
        <f>IF(B1612="","",IFERROR(A1612-LOOKUP(2,1/($B$4:$B1611=B1612),$A$4:$A1611),""))</f>
        <v/>
      </c>
      <c r="J1612" s="32">
        <f>IF(B1612="","",IFERROR(D1612/I1612,""))</f>
        <v/>
      </c>
      <c r="K1612" s="71">
        <f>IF(B1612="","",IFERROR(AVERAGEIFS($J$4:$J1612,$B$4:$B1612,B1612,$J$4:$J1612,"&gt;"&amp;0),""))</f>
        <v/>
      </c>
      <c r="L1612" s="12" t="n"/>
    </row>
    <row r="1613" ht="14" customHeight="1" s="72">
      <c r="A1613" s="78" t="n"/>
      <c r="B1613" s="79" t="n"/>
      <c r="C1613" s="69">
        <f>IF(B1613="","",IFERROR(INDEX(Client_List!$B:$B,MATCH(B1613,Client_List!$A:$A,0)),"⚠ NOT FOUND"))</f>
        <v/>
      </c>
      <c r="D1613" s="44" t="n"/>
      <c r="E1613" s="32">
        <f>IF(B1613="","",IFERROR(INDEX(Client_List!$C:$C,MATCH(VALUE(B1613),Client_List!$A:$A,0)),""))</f>
        <v/>
      </c>
      <c r="F1613" s="53">
        <f>IF(B1613="","",IFERROR(INDEX(Client_List!$D:$D,MATCH(VALUE(B1613),Client_List!$A:$A,0)),""))</f>
        <v/>
      </c>
      <c r="G1613" s="53">
        <f>IF(B1613="","",IFERROR(INDEX(Client_List!$K:$K,MATCH(VALUE(B1613),Client_List!$A:$A,0)),""))</f>
        <v/>
      </c>
      <c r="H1613" s="32">
        <f>IF(B1613="","",IFERROR(INDEX(Client_List!$J:$J,MATCH(VALUE(B1613),Client_List!$A:$A,0)),""))</f>
        <v/>
      </c>
      <c r="I1613" s="70">
        <f>IF(B1613="","",IFERROR(A1613-LOOKUP(2,1/($B$4:$B1612=B1613),$A$4:$A1612),""))</f>
        <v/>
      </c>
      <c r="J1613" s="32">
        <f>IF(B1613="","",IFERROR(D1613/I1613,""))</f>
        <v/>
      </c>
      <c r="K1613" s="71">
        <f>IF(B1613="","",IFERROR(AVERAGEIFS($J$4:$J1613,$B$4:$B1613,B1613,$J$4:$J1613,"&gt;"&amp;0),""))</f>
        <v/>
      </c>
      <c r="L1613" s="11" t="n"/>
    </row>
    <row r="1614" ht="14" customHeight="1" s="72">
      <c r="A1614" s="80" t="n"/>
      <c r="B1614" s="81" t="n"/>
      <c r="C1614" s="69">
        <f>IF(B1614="","",IFERROR(INDEX(Client_List!$B:$B,MATCH(B1614,Client_List!$A:$A,0)),"⚠ NOT FOUND"))</f>
        <v/>
      </c>
      <c r="D1614" s="45" t="n"/>
      <c r="E1614" s="32">
        <f>IF(B1614="","",IFERROR(INDEX(Client_List!$C:$C,MATCH(VALUE(B1614),Client_List!$A:$A,0)),""))</f>
        <v/>
      </c>
      <c r="F1614" s="53">
        <f>IF(B1614="","",IFERROR(INDEX(Client_List!$D:$D,MATCH(VALUE(B1614),Client_List!$A:$A,0)),""))</f>
        <v/>
      </c>
      <c r="G1614" s="53">
        <f>IF(B1614="","",IFERROR(INDEX(Client_List!$K:$K,MATCH(VALUE(B1614),Client_List!$A:$A,0)),""))</f>
        <v/>
      </c>
      <c r="H1614" s="32">
        <f>IF(B1614="","",IFERROR(INDEX(Client_List!$J:$J,MATCH(VALUE(B1614),Client_List!$A:$A,0)),""))</f>
        <v/>
      </c>
      <c r="I1614" s="70">
        <f>IF(B1614="","",IFERROR(A1614-LOOKUP(2,1/($B$4:$B1613=B1614),$A$4:$A1613),""))</f>
        <v/>
      </c>
      <c r="J1614" s="32">
        <f>IF(B1614="","",IFERROR(D1614/I1614,""))</f>
        <v/>
      </c>
      <c r="K1614" s="71">
        <f>IF(B1614="","",IFERROR(AVERAGEIFS($J$4:$J1614,$B$4:$B1614,B1614,$J$4:$J1614,"&gt;"&amp;0),""))</f>
        <v/>
      </c>
      <c r="L1614" s="12" t="n"/>
    </row>
    <row r="1615" ht="14" customHeight="1" s="72">
      <c r="A1615" s="78" t="n"/>
      <c r="B1615" s="79" t="n"/>
      <c r="C1615" s="69">
        <f>IF(B1615="","",IFERROR(INDEX(Client_List!$B:$B,MATCH(B1615,Client_List!$A:$A,0)),"⚠ NOT FOUND"))</f>
        <v/>
      </c>
      <c r="D1615" s="44" t="n"/>
      <c r="E1615" s="32">
        <f>IF(B1615="","",IFERROR(INDEX(Client_List!$C:$C,MATCH(VALUE(B1615),Client_List!$A:$A,0)),""))</f>
        <v/>
      </c>
      <c r="F1615" s="53">
        <f>IF(B1615="","",IFERROR(INDEX(Client_List!$D:$D,MATCH(VALUE(B1615),Client_List!$A:$A,0)),""))</f>
        <v/>
      </c>
      <c r="G1615" s="53">
        <f>IF(B1615="","",IFERROR(INDEX(Client_List!$K:$K,MATCH(VALUE(B1615),Client_List!$A:$A,0)),""))</f>
        <v/>
      </c>
      <c r="H1615" s="32">
        <f>IF(B1615="","",IFERROR(INDEX(Client_List!$J:$J,MATCH(VALUE(B1615),Client_List!$A:$A,0)),""))</f>
        <v/>
      </c>
      <c r="I1615" s="70">
        <f>IF(B1615="","",IFERROR(A1615-LOOKUP(2,1/($B$4:$B1614=B1615),$A$4:$A1614),""))</f>
        <v/>
      </c>
      <c r="J1615" s="32">
        <f>IF(B1615="","",IFERROR(D1615/I1615,""))</f>
        <v/>
      </c>
      <c r="K1615" s="71">
        <f>IF(B1615="","",IFERROR(AVERAGEIFS($J$4:$J1615,$B$4:$B1615,B1615,$J$4:$J1615,"&gt;"&amp;0),""))</f>
        <v/>
      </c>
      <c r="L1615" s="11" t="n"/>
    </row>
    <row r="1616" ht="14" customHeight="1" s="72">
      <c r="A1616" s="80" t="n"/>
      <c r="B1616" s="81" t="n"/>
      <c r="C1616" s="69">
        <f>IF(B1616="","",IFERROR(INDEX(Client_List!$B:$B,MATCH(B1616,Client_List!$A:$A,0)),"⚠ NOT FOUND"))</f>
        <v/>
      </c>
      <c r="D1616" s="45" t="n"/>
      <c r="E1616" s="32">
        <f>IF(B1616="","",IFERROR(INDEX(Client_List!$C:$C,MATCH(VALUE(B1616),Client_List!$A:$A,0)),""))</f>
        <v/>
      </c>
      <c r="F1616" s="53">
        <f>IF(B1616="","",IFERROR(INDEX(Client_List!$D:$D,MATCH(VALUE(B1616),Client_List!$A:$A,0)),""))</f>
        <v/>
      </c>
      <c r="G1616" s="53">
        <f>IF(B1616="","",IFERROR(INDEX(Client_List!$K:$K,MATCH(VALUE(B1616),Client_List!$A:$A,0)),""))</f>
        <v/>
      </c>
      <c r="H1616" s="32">
        <f>IF(B1616="","",IFERROR(INDEX(Client_List!$J:$J,MATCH(VALUE(B1616),Client_List!$A:$A,0)),""))</f>
        <v/>
      </c>
      <c r="I1616" s="70">
        <f>IF(B1616="","",IFERROR(A1616-LOOKUP(2,1/($B$4:$B1615=B1616),$A$4:$A1615),""))</f>
        <v/>
      </c>
      <c r="J1616" s="32">
        <f>IF(B1616="","",IFERROR(D1616/I1616,""))</f>
        <v/>
      </c>
      <c r="K1616" s="71">
        <f>IF(B1616="","",IFERROR(AVERAGEIFS($J$4:$J1616,$B$4:$B1616,B1616,$J$4:$J1616,"&gt;"&amp;0),""))</f>
        <v/>
      </c>
      <c r="L1616" s="12" t="n"/>
    </row>
    <row r="1617" ht="14" customHeight="1" s="72">
      <c r="A1617" s="78" t="n"/>
      <c r="B1617" s="79" t="n"/>
      <c r="C1617" s="69">
        <f>IF(B1617="","",IFERROR(INDEX(Client_List!$B:$B,MATCH(B1617,Client_List!$A:$A,0)),"⚠ NOT FOUND"))</f>
        <v/>
      </c>
      <c r="D1617" s="44" t="n"/>
      <c r="E1617" s="32">
        <f>IF(B1617="","",IFERROR(INDEX(Client_List!$C:$C,MATCH(VALUE(B1617),Client_List!$A:$A,0)),""))</f>
        <v/>
      </c>
      <c r="F1617" s="53">
        <f>IF(B1617="","",IFERROR(INDEX(Client_List!$D:$D,MATCH(VALUE(B1617),Client_List!$A:$A,0)),""))</f>
        <v/>
      </c>
      <c r="G1617" s="53">
        <f>IF(B1617="","",IFERROR(INDEX(Client_List!$K:$K,MATCH(VALUE(B1617),Client_List!$A:$A,0)),""))</f>
        <v/>
      </c>
      <c r="H1617" s="32">
        <f>IF(B1617="","",IFERROR(INDEX(Client_List!$J:$J,MATCH(VALUE(B1617),Client_List!$A:$A,0)),""))</f>
        <v/>
      </c>
      <c r="I1617" s="70">
        <f>IF(B1617="","",IFERROR(A1617-LOOKUP(2,1/($B$4:$B1616=B1617),$A$4:$A1616),""))</f>
        <v/>
      </c>
      <c r="J1617" s="32">
        <f>IF(B1617="","",IFERROR(D1617/I1617,""))</f>
        <v/>
      </c>
      <c r="K1617" s="71">
        <f>IF(B1617="","",IFERROR(AVERAGEIFS($J$4:$J1617,$B$4:$B1617,B1617,$J$4:$J1617,"&gt;"&amp;0),""))</f>
        <v/>
      </c>
      <c r="L1617" s="11" t="n"/>
    </row>
    <row r="1618" ht="14" customHeight="1" s="72">
      <c r="A1618" s="80" t="n"/>
      <c r="B1618" s="81" t="n"/>
      <c r="C1618" s="69">
        <f>IF(B1618="","",IFERROR(INDEX(Client_List!$B:$B,MATCH(B1618,Client_List!$A:$A,0)),"⚠ NOT FOUND"))</f>
        <v/>
      </c>
      <c r="D1618" s="45" t="n"/>
      <c r="E1618" s="32">
        <f>IF(B1618="","",IFERROR(INDEX(Client_List!$C:$C,MATCH(VALUE(B1618),Client_List!$A:$A,0)),""))</f>
        <v/>
      </c>
      <c r="F1618" s="53">
        <f>IF(B1618="","",IFERROR(INDEX(Client_List!$D:$D,MATCH(VALUE(B1618),Client_List!$A:$A,0)),""))</f>
        <v/>
      </c>
      <c r="G1618" s="53">
        <f>IF(B1618="","",IFERROR(INDEX(Client_List!$K:$K,MATCH(VALUE(B1618),Client_List!$A:$A,0)),""))</f>
        <v/>
      </c>
      <c r="H1618" s="32">
        <f>IF(B1618="","",IFERROR(INDEX(Client_List!$J:$J,MATCH(VALUE(B1618),Client_List!$A:$A,0)),""))</f>
        <v/>
      </c>
      <c r="I1618" s="70">
        <f>IF(B1618="","",IFERROR(A1618-LOOKUP(2,1/($B$4:$B1617=B1618),$A$4:$A1617),""))</f>
        <v/>
      </c>
      <c r="J1618" s="32">
        <f>IF(B1618="","",IFERROR(D1618/I1618,""))</f>
        <v/>
      </c>
      <c r="K1618" s="71">
        <f>IF(B1618="","",IFERROR(AVERAGEIFS($J$4:$J1618,$B$4:$B1618,B1618,$J$4:$J1618,"&gt;"&amp;0),""))</f>
        <v/>
      </c>
      <c r="L1618" s="12" t="n"/>
    </row>
    <row r="1619" ht="14" customHeight="1" s="72">
      <c r="A1619" s="78" t="n"/>
      <c r="B1619" s="79" t="n"/>
      <c r="C1619" s="69">
        <f>IF(B1619="","",IFERROR(INDEX(Client_List!$B:$B,MATCH(B1619,Client_List!$A:$A,0)),"⚠ NOT FOUND"))</f>
        <v/>
      </c>
      <c r="D1619" s="44" t="n"/>
      <c r="E1619" s="32">
        <f>IF(B1619="","",IFERROR(INDEX(Client_List!$C:$C,MATCH(VALUE(B1619),Client_List!$A:$A,0)),""))</f>
        <v/>
      </c>
      <c r="F1619" s="53">
        <f>IF(B1619="","",IFERROR(INDEX(Client_List!$D:$D,MATCH(VALUE(B1619),Client_List!$A:$A,0)),""))</f>
        <v/>
      </c>
      <c r="G1619" s="53">
        <f>IF(B1619="","",IFERROR(INDEX(Client_List!$K:$K,MATCH(VALUE(B1619),Client_List!$A:$A,0)),""))</f>
        <v/>
      </c>
      <c r="H1619" s="32">
        <f>IF(B1619="","",IFERROR(INDEX(Client_List!$J:$J,MATCH(VALUE(B1619),Client_List!$A:$A,0)),""))</f>
        <v/>
      </c>
      <c r="I1619" s="70">
        <f>IF(B1619="","",IFERROR(A1619-LOOKUP(2,1/($B$4:$B1618=B1619),$A$4:$A1618),""))</f>
        <v/>
      </c>
      <c r="J1619" s="32">
        <f>IF(B1619="","",IFERROR(D1619/I1619,""))</f>
        <v/>
      </c>
      <c r="K1619" s="71">
        <f>IF(B1619="","",IFERROR(AVERAGEIFS($J$4:$J1619,$B$4:$B1619,B1619,$J$4:$J1619,"&gt;"&amp;0),""))</f>
        <v/>
      </c>
      <c r="L1619" s="11" t="n"/>
    </row>
    <row r="1620" ht="14" customHeight="1" s="72">
      <c r="A1620" s="80" t="n"/>
      <c r="B1620" s="81" t="n"/>
      <c r="C1620" s="69">
        <f>IF(B1620="","",IFERROR(INDEX(Client_List!$B:$B,MATCH(B1620,Client_List!$A:$A,0)),"⚠ NOT FOUND"))</f>
        <v/>
      </c>
      <c r="D1620" s="45" t="n"/>
      <c r="E1620" s="32">
        <f>IF(B1620="","",IFERROR(INDEX(Client_List!$C:$C,MATCH(VALUE(B1620),Client_List!$A:$A,0)),""))</f>
        <v/>
      </c>
      <c r="F1620" s="53">
        <f>IF(B1620="","",IFERROR(INDEX(Client_List!$D:$D,MATCH(VALUE(B1620),Client_List!$A:$A,0)),""))</f>
        <v/>
      </c>
      <c r="G1620" s="53">
        <f>IF(B1620="","",IFERROR(INDEX(Client_List!$K:$K,MATCH(VALUE(B1620),Client_List!$A:$A,0)),""))</f>
        <v/>
      </c>
      <c r="H1620" s="32">
        <f>IF(B1620="","",IFERROR(INDEX(Client_List!$J:$J,MATCH(VALUE(B1620),Client_List!$A:$A,0)),""))</f>
        <v/>
      </c>
      <c r="I1620" s="70">
        <f>IF(B1620="","",IFERROR(A1620-LOOKUP(2,1/($B$4:$B1619=B1620),$A$4:$A1619),""))</f>
        <v/>
      </c>
      <c r="J1620" s="32">
        <f>IF(B1620="","",IFERROR(D1620/I1620,""))</f>
        <v/>
      </c>
      <c r="K1620" s="71">
        <f>IF(B1620="","",IFERROR(AVERAGEIFS($J$4:$J1620,$B$4:$B1620,B1620,$J$4:$J1620,"&gt;"&amp;0),""))</f>
        <v/>
      </c>
      <c r="L1620" s="12" t="n"/>
    </row>
    <row r="1621" ht="14" customHeight="1" s="72">
      <c r="A1621" s="78" t="n"/>
      <c r="B1621" s="79" t="n"/>
      <c r="C1621" s="69">
        <f>IF(B1621="","",IFERROR(INDEX(Client_List!$B:$B,MATCH(B1621,Client_List!$A:$A,0)),"⚠ NOT FOUND"))</f>
        <v/>
      </c>
      <c r="D1621" s="44" t="n"/>
      <c r="E1621" s="32">
        <f>IF(B1621="","",IFERROR(INDEX(Client_List!$C:$C,MATCH(VALUE(B1621),Client_List!$A:$A,0)),""))</f>
        <v/>
      </c>
      <c r="F1621" s="53">
        <f>IF(B1621="","",IFERROR(INDEX(Client_List!$D:$D,MATCH(VALUE(B1621),Client_List!$A:$A,0)),""))</f>
        <v/>
      </c>
      <c r="G1621" s="53">
        <f>IF(B1621="","",IFERROR(INDEX(Client_List!$K:$K,MATCH(VALUE(B1621),Client_List!$A:$A,0)),""))</f>
        <v/>
      </c>
      <c r="H1621" s="32">
        <f>IF(B1621="","",IFERROR(INDEX(Client_List!$J:$J,MATCH(VALUE(B1621),Client_List!$A:$A,0)),""))</f>
        <v/>
      </c>
      <c r="I1621" s="70">
        <f>IF(B1621="","",IFERROR(A1621-LOOKUP(2,1/($B$4:$B1620=B1621),$A$4:$A1620),""))</f>
        <v/>
      </c>
      <c r="J1621" s="32">
        <f>IF(B1621="","",IFERROR(D1621/I1621,""))</f>
        <v/>
      </c>
      <c r="K1621" s="71">
        <f>IF(B1621="","",IFERROR(AVERAGEIFS($J$4:$J1621,$B$4:$B1621,B1621,$J$4:$J1621,"&gt;"&amp;0),""))</f>
        <v/>
      </c>
      <c r="L1621" s="11" t="n"/>
    </row>
    <row r="1622" ht="14" customHeight="1" s="72">
      <c r="A1622" s="80" t="n"/>
      <c r="B1622" s="81" t="n"/>
      <c r="C1622" s="69">
        <f>IF(B1622="","",IFERROR(INDEX(Client_List!$B:$B,MATCH(B1622,Client_List!$A:$A,0)),"⚠ NOT FOUND"))</f>
        <v/>
      </c>
      <c r="D1622" s="45" t="n"/>
      <c r="E1622" s="32">
        <f>IF(B1622="","",IFERROR(INDEX(Client_List!$C:$C,MATCH(VALUE(B1622),Client_List!$A:$A,0)),""))</f>
        <v/>
      </c>
      <c r="F1622" s="53">
        <f>IF(B1622="","",IFERROR(INDEX(Client_List!$D:$D,MATCH(VALUE(B1622),Client_List!$A:$A,0)),""))</f>
        <v/>
      </c>
      <c r="G1622" s="53">
        <f>IF(B1622="","",IFERROR(INDEX(Client_List!$K:$K,MATCH(VALUE(B1622),Client_List!$A:$A,0)),""))</f>
        <v/>
      </c>
      <c r="H1622" s="32">
        <f>IF(B1622="","",IFERROR(INDEX(Client_List!$J:$J,MATCH(VALUE(B1622),Client_List!$A:$A,0)),""))</f>
        <v/>
      </c>
      <c r="I1622" s="70">
        <f>IF(B1622="","",IFERROR(A1622-LOOKUP(2,1/($B$4:$B1621=B1622),$A$4:$A1621),""))</f>
        <v/>
      </c>
      <c r="J1622" s="32">
        <f>IF(B1622="","",IFERROR(D1622/I1622,""))</f>
        <v/>
      </c>
      <c r="K1622" s="71">
        <f>IF(B1622="","",IFERROR(AVERAGEIFS($J$4:$J1622,$B$4:$B1622,B1622,$J$4:$J1622,"&gt;"&amp;0),""))</f>
        <v/>
      </c>
      <c r="L1622" s="12" t="n"/>
    </row>
    <row r="1623" ht="14" customHeight="1" s="72">
      <c r="A1623" s="78" t="n"/>
      <c r="B1623" s="79" t="n"/>
      <c r="C1623" s="69">
        <f>IF(B1623="","",IFERROR(INDEX(Client_List!$B:$B,MATCH(B1623,Client_List!$A:$A,0)),"⚠ NOT FOUND"))</f>
        <v/>
      </c>
      <c r="D1623" s="44" t="n"/>
      <c r="E1623" s="32">
        <f>IF(B1623="","",IFERROR(INDEX(Client_List!$C:$C,MATCH(VALUE(B1623),Client_List!$A:$A,0)),""))</f>
        <v/>
      </c>
      <c r="F1623" s="53">
        <f>IF(B1623="","",IFERROR(INDEX(Client_List!$D:$D,MATCH(VALUE(B1623),Client_List!$A:$A,0)),""))</f>
        <v/>
      </c>
      <c r="G1623" s="53">
        <f>IF(B1623="","",IFERROR(INDEX(Client_List!$K:$K,MATCH(VALUE(B1623),Client_List!$A:$A,0)),""))</f>
        <v/>
      </c>
      <c r="H1623" s="32">
        <f>IF(B1623="","",IFERROR(INDEX(Client_List!$J:$J,MATCH(VALUE(B1623),Client_List!$A:$A,0)),""))</f>
        <v/>
      </c>
      <c r="I1623" s="70">
        <f>IF(B1623="","",IFERROR(A1623-LOOKUP(2,1/($B$4:$B1622=B1623),$A$4:$A1622),""))</f>
        <v/>
      </c>
      <c r="J1623" s="32">
        <f>IF(B1623="","",IFERROR(D1623/I1623,""))</f>
        <v/>
      </c>
      <c r="K1623" s="71">
        <f>IF(B1623="","",IFERROR(AVERAGEIFS($J$4:$J1623,$B$4:$B1623,B1623,$J$4:$J1623,"&gt;"&amp;0),""))</f>
        <v/>
      </c>
      <c r="L1623" s="11" t="n"/>
    </row>
    <row r="1624" ht="14" customHeight="1" s="72">
      <c r="A1624" s="80" t="n"/>
      <c r="B1624" s="81" t="n"/>
      <c r="C1624" s="69">
        <f>IF(B1624="","",IFERROR(INDEX(Client_List!$B:$B,MATCH(B1624,Client_List!$A:$A,0)),"⚠ NOT FOUND"))</f>
        <v/>
      </c>
      <c r="D1624" s="45" t="n"/>
      <c r="E1624" s="32">
        <f>IF(B1624="","",IFERROR(INDEX(Client_List!$C:$C,MATCH(VALUE(B1624),Client_List!$A:$A,0)),""))</f>
        <v/>
      </c>
      <c r="F1624" s="53">
        <f>IF(B1624="","",IFERROR(INDEX(Client_List!$D:$D,MATCH(VALUE(B1624),Client_List!$A:$A,0)),""))</f>
        <v/>
      </c>
      <c r="G1624" s="53">
        <f>IF(B1624="","",IFERROR(INDEX(Client_List!$K:$K,MATCH(VALUE(B1624),Client_List!$A:$A,0)),""))</f>
        <v/>
      </c>
      <c r="H1624" s="32">
        <f>IF(B1624="","",IFERROR(INDEX(Client_List!$J:$J,MATCH(VALUE(B1624),Client_List!$A:$A,0)),""))</f>
        <v/>
      </c>
      <c r="I1624" s="70">
        <f>IF(B1624="","",IFERROR(A1624-LOOKUP(2,1/($B$4:$B1623=B1624),$A$4:$A1623),""))</f>
        <v/>
      </c>
      <c r="J1624" s="32">
        <f>IF(B1624="","",IFERROR(D1624/I1624,""))</f>
        <v/>
      </c>
      <c r="K1624" s="71">
        <f>IF(B1624="","",IFERROR(AVERAGEIFS($J$4:$J1624,$B$4:$B1624,B1624,$J$4:$J1624,"&gt;"&amp;0),""))</f>
        <v/>
      </c>
      <c r="L1624" s="12" t="n"/>
    </row>
    <row r="1625" ht="14" customHeight="1" s="72">
      <c r="A1625" s="78" t="n"/>
      <c r="B1625" s="79" t="n"/>
      <c r="C1625" s="69">
        <f>IF(B1625="","",IFERROR(INDEX(Client_List!$B:$B,MATCH(B1625,Client_List!$A:$A,0)),"⚠ NOT FOUND"))</f>
        <v/>
      </c>
      <c r="D1625" s="44" t="n"/>
      <c r="E1625" s="32">
        <f>IF(B1625="","",IFERROR(INDEX(Client_List!$C:$C,MATCH(VALUE(B1625),Client_List!$A:$A,0)),""))</f>
        <v/>
      </c>
      <c r="F1625" s="53">
        <f>IF(B1625="","",IFERROR(INDEX(Client_List!$D:$D,MATCH(VALUE(B1625),Client_List!$A:$A,0)),""))</f>
        <v/>
      </c>
      <c r="G1625" s="53">
        <f>IF(B1625="","",IFERROR(INDEX(Client_List!$K:$K,MATCH(VALUE(B1625),Client_List!$A:$A,0)),""))</f>
        <v/>
      </c>
      <c r="H1625" s="32">
        <f>IF(B1625="","",IFERROR(INDEX(Client_List!$J:$J,MATCH(VALUE(B1625),Client_List!$A:$A,0)),""))</f>
        <v/>
      </c>
      <c r="I1625" s="70">
        <f>IF(B1625="","",IFERROR(A1625-LOOKUP(2,1/($B$4:$B1624=B1625),$A$4:$A1624),""))</f>
        <v/>
      </c>
      <c r="J1625" s="32">
        <f>IF(B1625="","",IFERROR(D1625/I1625,""))</f>
        <v/>
      </c>
      <c r="K1625" s="71">
        <f>IF(B1625="","",IFERROR(AVERAGEIFS($J$4:$J1625,$B$4:$B1625,B1625,$J$4:$J1625,"&gt;"&amp;0),""))</f>
        <v/>
      </c>
      <c r="L1625" s="11" t="n"/>
    </row>
    <row r="1626" ht="14" customHeight="1" s="72">
      <c r="A1626" s="80" t="n"/>
      <c r="B1626" s="81" t="n"/>
      <c r="C1626" s="69">
        <f>IF(B1626="","",IFERROR(INDEX(Client_List!$B:$B,MATCH(B1626,Client_List!$A:$A,0)),"⚠ NOT FOUND"))</f>
        <v/>
      </c>
      <c r="D1626" s="45" t="n"/>
      <c r="E1626" s="32">
        <f>IF(B1626="","",IFERROR(INDEX(Client_List!$C:$C,MATCH(VALUE(B1626),Client_List!$A:$A,0)),""))</f>
        <v/>
      </c>
      <c r="F1626" s="53">
        <f>IF(B1626="","",IFERROR(INDEX(Client_List!$D:$D,MATCH(VALUE(B1626),Client_List!$A:$A,0)),""))</f>
        <v/>
      </c>
      <c r="G1626" s="53">
        <f>IF(B1626="","",IFERROR(INDEX(Client_List!$K:$K,MATCH(VALUE(B1626),Client_List!$A:$A,0)),""))</f>
        <v/>
      </c>
      <c r="H1626" s="32">
        <f>IF(B1626="","",IFERROR(INDEX(Client_List!$J:$J,MATCH(VALUE(B1626),Client_List!$A:$A,0)),""))</f>
        <v/>
      </c>
      <c r="I1626" s="70">
        <f>IF(B1626="","",IFERROR(A1626-LOOKUP(2,1/($B$4:$B1625=B1626),$A$4:$A1625),""))</f>
        <v/>
      </c>
      <c r="J1626" s="32">
        <f>IF(B1626="","",IFERROR(D1626/I1626,""))</f>
        <v/>
      </c>
      <c r="K1626" s="71">
        <f>IF(B1626="","",IFERROR(AVERAGEIFS($J$4:$J1626,$B$4:$B1626,B1626,$J$4:$J1626,"&gt;"&amp;0),""))</f>
        <v/>
      </c>
      <c r="L1626" s="12" t="n"/>
    </row>
    <row r="1627" ht="14" customHeight="1" s="72">
      <c r="A1627" s="78" t="n"/>
      <c r="B1627" s="79" t="n"/>
      <c r="C1627" s="69">
        <f>IF(B1627="","",IFERROR(INDEX(Client_List!$B:$B,MATCH(B1627,Client_List!$A:$A,0)),"⚠ NOT FOUND"))</f>
        <v/>
      </c>
      <c r="D1627" s="44" t="n"/>
      <c r="E1627" s="32">
        <f>IF(B1627="","",IFERROR(INDEX(Client_List!$C:$C,MATCH(VALUE(B1627),Client_List!$A:$A,0)),""))</f>
        <v/>
      </c>
      <c r="F1627" s="53">
        <f>IF(B1627="","",IFERROR(INDEX(Client_List!$D:$D,MATCH(VALUE(B1627),Client_List!$A:$A,0)),""))</f>
        <v/>
      </c>
      <c r="G1627" s="53">
        <f>IF(B1627="","",IFERROR(INDEX(Client_List!$K:$K,MATCH(VALUE(B1627),Client_List!$A:$A,0)),""))</f>
        <v/>
      </c>
      <c r="H1627" s="32">
        <f>IF(B1627="","",IFERROR(INDEX(Client_List!$J:$J,MATCH(VALUE(B1627),Client_List!$A:$A,0)),""))</f>
        <v/>
      </c>
      <c r="I1627" s="70">
        <f>IF(B1627="","",IFERROR(A1627-LOOKUP(2,1/($B$4:$B1626=B1627),$A$4:$A1626),""))</f>
        <v/>
      </c>
      <c r="J1627" s="32">
        <f>IF(B1627="","",IFERROR(D1627/I1627,""))</f>
        <v/>
      </c>
      <c r="K1627" s="71">
        <f>IF(B1627="","",IFERROR(AVERAGEIFS($J$4:$J1627,$B$4:$B1627,B1627,$J$4:$J1627,"&gt;"&amp;0),""))</f>
        <v/>
      </c>
      <c r="L1627" s="11" t="n"/>
    </row>
    <row r="1628" ht="14" customHeight="1" s="72">
      <c r="A1628" s="80" t="n"/>
      <c r="B1628" s="81" t="n"/>
      <c r="C1628" s="69">
        <f>IF(B1628="","",IFERROR(INDEX(Client_List!$B:$B,MATCH(B1628,Client_List!$A:$A,0)),"⚠ NOT FOUND"))</f>
        <v/>
      </c>
      <c r="D1628" s="45" t="n"/>
      <c r="E1628" s="32">
        <f>IF(B1628="","",IFERROR(INDEX(Client_List!$C:$C,MATCH(VALUE(B1628),Client_List!$A:$A,0)),""))</f>
        <v/>
      </c>
      <c r="F1628" s="53">
        <f>IF(B1628="","",IFERROR(INDEX(Client_List!$D:$D,MATCH(VALUE(B1628),Client_List!$A:$A,0)),""))</f>
        <v/>
      </c>
      <c r="G1628" s="53">
        <f>IF(B1628="","",IFERROR(INDEX(Client_List!$K:$K,MATCH(VALUE(B1628),Client_List!$A:$A,0)),""))</f>
        <v/>
      </c>
      <c r="H1628" s="32">
        <f>IF(B1628="","",IFERROR(INDEX(Client_List!$J:$J,MATCH(VALUE(B1628),Client_List!$A:$A,0)),""))</f>
        <v/>
      </c>
      <c r="I1628" s="70">
        <f>IF(B1628="","",IFERROR(A1628-LOOKUP(2,1/($B$4:$B1627=B1628),$A$4:$A1627),""))</f>
        <v/>
      </c>
      <c r="J1628" s="32">
        <f>IF(B1628="","",IFERROR(D1628/I1628,""))</f>
        <v/>
      </c>
      <c r="K1628" s="71">
        <f>IF(B1628="","",IFERROR(AVERAGEIFS($J$4:$J1628,$B$4:$B1628,B1628,$J$4:$J1628,"&gt;"&amp;0),""))</f>
        <v/>
      </c>
      <c r="L1628" s="12" t="n"/>
    </row>
    <row r="1629" ht="14" customHeight="1" s="72">
      <c r="A1629" s="78" t="n"/>
      <c r="B1629" s="79" t="n"/>
      <c r="C1629" s="69">
        <f>IF(B1629="","",IFERROR(INDEX(Client_List!$B:$B,MATCH(B1629,Client_List!$A:$A,0)),"⚠ NOT FOUND"))</f>
        <v/>
      </c>
      <c r="D1629" s="44" t="n"/>
      <c r="E1629" s="32">
        <f>IF(B1629="","",IFERROR(INDEX(Client_List!$C:$C,MATCH(VALUE(B1629),Client_List!$A:$A,0)),""))</f>
        <v/>
      </c>
      <c r="F1629" s="53">
        <f>IF(B1629="","",IFERROR(INDEX(Client_List!$D:$D,MATCH(VALUE(B1629),Client_List!$A:$A,0)),""))</f>
        <v/>
      </c>
      <c r="G1629" s="53">
        <f>IF(B1629="","",IFERROR(INDEX(Client_List!$K:$K,MATCH(VALUE(B1629),Client_List!$A:$A,0)),""))</f>
        <v/>
      </c>
      <c r="H1629" s="32">
        <f>IF(B1629="","",IFERROR(INDEX(Client_List!$J:$J,MATCH(VALUE(B1629),Client_List!$A:$A,0)),""))</f>
        <v/>
      </c>
      <c r="I1629" s="70">
        <f>IF(B1629="","",IFERROR(A1629-LOOKUP(2,1/($B$4:$B1628=B1629),$A$4:$A1628),""))</f>
        <v/>
      </c>
      <c r="J1629" s="32">
        <f>IF(B1629="","",IFERROR(D1629/I1629,""))</f>
        <v/>
      </c>
      <c r="K1629" s="71">
        <f>IF(B1629="","",IFERROR(AVERAGEIFS($J$4:$J1629,$B$4:$B1629,B1629,$J$4:$J1629,"&gt;"&amp;0),""))</f>
        <v/>
      </c>
      <c r="L1629" s="11" t="n"/>
    </row>
    <row r="1630" ht="14" customHeight="1" s="72">
      <c r="A1630" s="80" t="n"/>
      <c r="B1630" s="81" t="n"/>
      <c r="C1630" s="69">
        <f>IF(B1630="","",IFERROR(INDEX(Client_List!$B:$B,MATCH(B1630,Client_List!$A:$A,0)),"⚠ NOT FOUND"))</f>
        <v/>
      </c>
      <c r="D1630" s="45" t="n"/>
      <c r="E1630" s="32">
        <f>IF(B1630="","",IFERROR(INDEX(Client_List!$C:$C,MATCH(VALUE(B1630),Client_List!$A:$A,0)),""))</f>
        <v/>
      </c>
      <c r="F1630" s="53">
        <f>IF(B1630="","",IFERROR(INDEX(Client_List!$D:$D,MATCH(VALUE(B1630),Client_List!$A:$A,0)),""))</f>
        <v/>
      </c>
      <c r="G1630" s="53">
        <f>IF(B1630="","",IFERROR(INDEX(Client_List!$K:$K,MATCH(VALUE(B1630),Client_List!$A:$A,0)),""))</f>
        <v/>
      </c>
      <c r="H1630" s="32">
        <f>IF(B1630="","",IFERROR(INDEX(Client_List!$J:$J,MATCH(VALUE(B1630),Client_List!$A:$A,0)),""))</f>
        <v/>
      </c>
      <c r="I1630" s="70">
        <f>IF(B1630="","",IFERROR(A1630-LOOKUP(2,1/($B$4:$B1629=B1630),$A$4:$A1629),""))</f>
        <v/>
      </c>
      <c r="J1630" s="32">
        <f>IF(B1630="","",IFERROR(D1630/I1630,""))</f>
        <v/>
      </c>
      <c r="K1630" s="71">
        <f>IF(B1630="","",IFERROR(AVERAGEIFS($J$4:$J1630,$B$4:$B1630,B1630,$J$4:$J1630,"&gt;"&amp;0),""))</f>
        <v/>
      </c>
      <c r="L1630" s="12" t="n"/>
    </row>
    <row r="1631" ht="14" customHeight="1" s="72">
      <c r="A1631" s="78" t="n"/>
      <c r="B1631" s="79" t="n"/>
      <c r="C1631" s="69">
        <f>IF(B1631="","",IFERROR(INDEX(Client_List!$B:$B,MATCH(B1631,Client_List!$A:$A,0)),"⚠ NOT FOUND"))</f>
        <v/>
      </c>
      <c r="D1631" s="44" t="n"/>
      <c r="E1631" s="32">
        <f>IF(B1631="","",IFERROR(INDEX(Client_List!$C:$C,MATCH(VALUE(B1631),Client_List!$A:$A,0)),""))</f>
        <v/>
      </c>
      <c r="F1631" s="53">
        <f>IF(B1631="","",IFERROR(INDEX(Client_List!$D:$D,MATCH(VALUE(B1631),Client_List!$A:$A,0)),""))</f>
        <v/>
      </c>
      <c r="G1631" s="53">
        <f>IF(B1631="","",IFERROR(INDEX(Client_List!$K:$K,MATCH(VALUE(B1631),Client_List!$A:$A,0)),""))</f>
        <v/>
      </c>
      <c r="H1631" s="32">
        <f>IF(B1631="","",IFERROR(INDEX(Client_List!$J:$J,MATCH(VALUE(B1631),Client_List!$A:$A,0)),""))</f>
        <v/>
      </c>
      <c r="I1631" s="70">
        <f>IF(B1631="","",IFERROR(A1631-LOOKUP(2,1/($B$4:$B1630=B1631),$A$4:$A1630),""))</f>
        <v/>
      </c>
      <c r="J1631" s="32">
        <f>IF(B1631="","",IFERROR(D1631/I1631,""))</f>
        <v/>
      </c>
      <c r="K1631" s="71">
        <f>IF(B1631="","",IFERROR(AVERAGEIFS($J$4:$J1631,$B$4:$B1631,B1631,$J$4:$J1631,"&gt;"&amp;0),""))</f>
        <v/>
      </c>
      <c r="L1631" s="11" t="n"/>
    </row>
    <row r="1632" ht="14" customHeight="1" s="72">
      <c r="A1632" s="80" t="n"/>
      <c r="B1632" s="81" t="n"/>
      <c r="C1632" s="69">
        <f>IF(B1632="","",IFERROR(INDEX(Client_List!$B:$B,MATCH(B1632,Client_List!$A:$A,0)),"⚠ NOT FOUND"))</f>
        <v/>
      </c>
      <c r="D1632" s="45" t="n"/>
      <c r="E1632" s="32">
        <f>IF(B1632="","",IFERROR(INDEX(Client_List!$C:$C,MATCH(VALUE(B1632),Client_List!$A:$A,0)),""))</f>
        <v/>
      </c>
      <c r="F1632" s="53">
        <f>IF(B1632="","",IFERROR(INDEX(Client_List!$D:$D,MATCH(VALUE(B1632),Client_List!$A:$A,0)),""))</f>
        <v/>
      </c>
      <c r="G1632" s="53">
        <f>IF(B1632="","",IFERROR(INDEX(Client_List!$K:$K,MATCH(VALUE(B1632),Client_List!$A:$A,0)),""))</f>
        <v/>
      </c>
      <c r="H1632" s="32">
        <f>IF(B1632="","",IFERROR(INDEX(Client_List!$J:$J,MATCH(VALUE(B1632),Client_List!$A:$A,0)),""))</f>
        <v/>
      </c>
      <c r="I1632" s="70">
        <f>IF(B1632="","",IFERROR(A1632-LOOKUP(2,1/($B$4:$B1631=B1632),$A$4:$A1631),""))</f>
        <v/>
      </c>
      <c r="J1632" s="32">
        <f>IF(B1632="","",IFERROR(D1632/I1632,""))</f>
        <v/>
      </c>
      <c r="K1632" s="71">
        <f>IF(B1632="","",IFERROR(AVERAGEIFS($J$4:$J1632,$B$4:$B1632,B1632,$J$4:$J1632,"&gt;"&amp;0),""))</f>
        <v/>
      </c>
      <c r="L1632" s="12" t="n"/>
    </row>
    <row r="1633" ht="14" customHeight="1" s="72">
      <c r="A1633" s="78" t="n"/>
      <c r="B1633" s="79" t="n"/>
      <c r="C1633" s="69">
        <f>IF(B1633="","",IFERROR(INDEX(Client_List!$B:$B,MATCH(B1633,Client_List!$A:$A,0)),"⚠ NOT FOUND"))</f>
        <v/>
      </c>
      <c r="D1633" s="44" t="n"/>
      <c r="E1633" s="32">
        <f>IF(B1633="","",IFERROR(INDEX(Client_List!$C:$C,MATCH(VALUE(B1633),Client_List!$A:$A,0)),""))</f>
        <v/>
      </c>
      <c r="F1633" s="53">
        <f>IF(B1633="","",IFERROR(INDEX(Client_List!$D:$D,MATCH(VALUE(B1633),Client_List!$A:$A,0)),""))</f>
        <v/>
      </c>
      <c r="G1633" s="53">
        <f>IF(B1633="","",IFERROR(INDEX(Client_List!$K:$K,MATCH(VALUE(B1633),Client_List!$A:$A,0)),""))</f>
        <v/>
      </c>
      <c r="H1633" s="32">
        <f>IF(B1633="","",IFERROR(INDEX(Client_List!$J:$J,MATCH(VALUE(B1633),Client_List!$A:$A,0)),""))</f>
        <v/>
      </c>
      <c r="I1633" s="70">
        <f>IF(B1633="","",IFERROR(A1633-LOOKUP(2,1/($B$4:$B1632=B1633),$A$4:$A1632),""))</f>
        <v/>
      </c>
      <c r="J1633" s="32">
        <f>IF(B1633="","",IFERROR(D1633/I1633,""))</f>
        <v/>
      </c>
      <c r="K1633" s="71">
        <f>IF(B1633="","",IFERROR(AVERAGEIFS($J$4:$J1633,$B$4:$B1633,B1633,$J$4:$J1633,"&gt;"&amp;0),""))</f>
        <v/>
      </c>
      <c r="L1633" s="11" t="n"/>
    </row>
    <row r="1634" ht="14" customHeight="1" s="72">
      <c r="A1634" s="80" t="n"/>
      <c r="B1634" s="81" t="n"/>
      <c r="C1634" s="69">
        <f>IF(B1634="","",IFERROR(INDEX(Client_List!$B:$B,MATCH(B1634,Client_List!$A:$A,0)),"⚠ NOT FOUND"))</f>
        <v/>
      </c>
      <c r="D1634" s="45" t="n"/>
      <c r="E1634" s="32">
        <f>IF(B1634="","",IFERROR(INDEX(Client_List!$C:$C,MATCH(VALUE(B1634),Client_List!$A:$A,0)),""))</f>
        <v/>
      </c>
      <c r="F1634" s="53">
        <f>IF(B1634="","",IFERROR(INDEX(Client_List!$D:$D,MATCH(VALUE(B1634),Client_List!$A:$A,0)),""))</f>
        <v/>
      </c>
      <c r="G1634" s="53">
        <f>IF(B1634="","",IFERROR(INDEX(Client_List!$K:$K,MATCH(VALUE(B1634),Client_List!$A:$A,0)),""))</f>
        <v/>
      </c>
      <c r="H1634" s="32">
        <f>IF(B1634="","",IFERROR(INDEX(Client_List!$J:$J,MATCH(VALUE(B1634),Client_List!$A:$A,0)),""))</f>
        <v/>
      </c>
      <c r="I1634" s="70">
        <f>IF(B1634="","",IFERROR(A1634-LOOKUP(2,1/($B$4:$B1633=B1634),$A$4:$A1633),""))</f>
        <v/>
      </c>
      <c r="J1634" s="32">
        <f>IF(B1634="","",IFERROR(D1634/I1634,""))</f>
        <v/>
      </c>
      <c r="K1634" s="71">
        <f>IF(B1634="","",IFERROR(AVERAGEIFS($J$4:$J1634,$B$4:$B1634,B1634,$J$4:$J1634,"&gt;"&amp;0),""))</f>
        <v/>
      </c>
      <c r="L1634" s="12" t="n"/>
    </row>
    <row r="1635" ht="14" customHeight="1" s="72">
      <c r="A1635" s="78" t="n"/>
      <c r="B1635" s="79" t="n"/>
      <c r="C1635" s="69">
        <f>IF(B1635="","",IFERROR(INDEX(Client_List!$B:$B,MATCH(B1635,Client_List!$A:$A,0)),"⚠ NOT FOUND"))</f>
        <v/>
      </c>
      <c r="D1635" s="44" t="n"/>
      <c r="E1635" s="32">
        <f>IF(B1635="","",IFERROR(INDEX(Client_List!$C:$C,MATCH(VALUE(B1635),Client_List!$A:$A,0)),""))</f>
        <v/>
      </c>
      <c r="F1635" s="53">
        <f>IF(B1635="","",IFERROR(INDEX(Client_List!$D:$D,MATCH(VALUE(B1635),Client_List!$A:$A,0)),""))</f>
        <v/>
      </c>
      <c r="G1635" s="53">
        <f>IF(B1635="","",IFERROR(INDEX(Client_List!$K:$K,MATCH(VALUE(B1635),Client_List!$A:$A,0)),""))</f>
        <v/>
      </c>
      <c r="H1635" s="32">
        <f>IF(B1635="","",IFERROR(INDEX(Client_List!$J:$J,MATCH(VALUE(B1635),Client_List!$A:$A,0)),""))</f>
        <v/>
      </c>
      <c r="I1635" s="70">
        <f>IF(B1635="","",IFERROR(A1635-LOOKUP(2,1/($B$4:$B1634=B1635),$A$4:$A1634),""))</f>
        <v/>
      </c>
      <c r="J1635" s="32">
        <f>IF(B1635="","",IFERROR(D1635/I1635,""))</f>
        <v/>
      </c>
      <c r="K1635" s="71">
        <f>IF(B1635="","",IFERROR(AVERAGEIFS($J$4:$J1635,$B$4:$B1635,B1635,$J$4:$J1635,"&gt;"&amp;0),""))</f>
        <v/>
      </c>
      <c r="L1635" s="11" t="n"/>
    </row>
    <row r="1636" ht="14" customHeight="1" s="72">
      <c r="A1636" s="80" t="n"/>
      <c r="B1636" s="81" t="n"/>
      <c r="C1636" s="69">
        <f>IF(B1636="","",IFERROR(INDEX(Client_List!$B:$B,MATCH(B1636,Client_List!$A:$A,0)),"⚠ NOT FOUND"))</f>
        <v/>
      </c>
      <c r="D1636" s="45" t="n"/>
      <c r="E1636" s="32">
        <f>IF(B1636="","",IFERROR(INDEX(Client_List!$C:$C,MATCH(VALUE(B1636),Client_List!$A:$A,0)),""))</f>
        <v/>
      </c>
      <c r="F1636" s="53">
        <f>IF(B1636="","",IFERROR(INDEX(Client_List!$D:$D,MATCH(VALUE(B1636),Client_List!$A:$A,0)),""))</f>
        <v/>
      </c>
      <c r="G1636" s="53">
        <f>IF(B1636="","",IFERROR(INDEX(Client_List!$K:$K,MATCH(VALUE(B1636),Client_List!$A:$A,0)),""))</f>
        <v/>
      </c>
      <c r="H1636" s="32">
        <f>IF(B1636="","",IFERROR(INDEX(Client_List!$J:$J,MATCH(VALUE(B1636),Client_List!$A:$A,0)),""))</f>
        <v/>
      </c>
      <c r="I1636" s="70">
        <f>IF(B1636="","",IFERROR(A1636-LOOKUP(2,1/($B$4:$B1635=B1636),$A$4:$A1635),""))</f>
        <v/>
      </c>
      <c r="J1636" s="32">
        <f>IF(B1636="","",IFERROR(D1636/I1636,""))</f>
        <v/>
      </c>
      <c r="K1636" s="71">
        <f>IF(B1636="","",IFERROR(AVERAGEIFS($J$4:$J1636,$B$4:$B1636,B1636,$J$4:$J1636,"&gt;"&amp;0),""))</f>
        <v/>
      </c>
      <c r="L1636" s="12" t="n"/>
    </row>
    <row r="1637" ht="14" customHeight="1" s="72">
      <c r="A1637" s="78" t="n"/>
      <c r="B1637" s="79" t="n"/>
      <c r="C1637" s="69">
        <f>IF(B1637="","",IFERROR(INDEX(Client_List!$B:$B,MATCH(B1637,Client_List!$A:$A,0)),"⚠ NOT FOUND"))</f>
        <v/>
      </c>
      <c r="D1637" s="44" t="n"/>
      <c r="E1637" s="32">
        <f>IF(B1637="","",IFERROR(INDEX(Client_List!$C:$C,MATCH(VALUE(B1637),Client_List!$A:$A,0)),""))</f>
        <v/>
      </c>
      <c r="F1637" s="53">
        <f>IF(B1637="","",IFERROR(INDEX(Client_List!$D:$D,MATCH(VALUE(B1637),Client_List!$A:$A,0)),""))</f>
        <v/>
      </c>
      <c r="G1637" s="53">
        <f>IF(B1637="","",IFERROR(INDEX(Client_List!$K:$K,MATCH(VALUE(B1637),Client_List!$A:$A,0)),""))</f>
        <v/>
      </c>
      <c r="H1637" s="32">
        <f>IF(B1637="","",IFERROR(INDEX(Client_List!$J:$J,MATCH(VALUE(B1637),Client_List!$A:$A,0)),""))</f>
        <v/>
      </c>
      <c r="I1637" s="70">
        <f>IF(B1637="","",IFERROR(A1637-LOOKUP(2,1/($B$4:$B1636=B1637),$A$4:$A1636),""))</f>
        <v/>
      </c>
      <c r="J1637" s="32">
        <f>IF(B1637="","",IFERROR(D1637/I1637,""))</f>
        <v/>
      </c>
      <c r="K1637" s="71">
        <f>IF(B1637="","",IFERROR(AVERAGEIFS($J$4:$J1637,$B$4:$B1637,B1637,$J$4:$J1637,"&gt;"&amp;0),""))</f>
        <v/>
      </c>
      <c r="L1637" s="11" t="n"/>
    </row>
    <row r="1638" ht="14" customHeight="1" s="72">
      <c r="A1638" s="80" t="n"/>
      <c r="B1638" s="81" t="n"/>
      <c r="C1638" s="69">
        <f>IF(B1638="","",IFERROR(INDEX(Client_List!$B:$B,MATCH(B1638,Client_List!$A:$A,0)),"⚠ NOT FOUND"))</f>
        <v/>
      </c>
      <c r="D1638" s="45" t="n"/>
      <c r="E1638" s="32">
        <f>IF(B1638="","",IFERROR(INDEX(Client_List!$C:$C,MATCH(VALUE(B1638),Client_List!$A:$A,0)),""))</f>
        <v/>
      </c>
      <c r="F1638" s="53">
        <f>IF(B1638="","",IFERROR(INDEX(Client_List!$D:$D,MATCH(VALUE(B1638),Client_List!$A:$A,0)),""))</f>
        <v/>
      </c>
      <c r="G1638" s="53">
        <f>IF(B1638="","",IFERROR(INDEX(Client_List!$K:$K,MATCH(VALUE(B1638),Client_List!$A:$A,0)),""))</f>
        <v/>
      </c>
      <c r="H1638" s="32">
        <f>IF(B1638="","",IFERROR(INDEX(Client_List!$J:$J,MATCH(VALUE(B1638),Client_List!$A:$A,0)),""))</f>
        <v/>
      </c>
      <c r="I1638" s="70">
        <f>IF(B1638="","",IFERROR(A1638-LOOKUP(2,1/($B$4:$B1637=B1638),$A$4:$A1637),""))</f>
        <v/>
      </c>
      <c r="J1638" s="32">
        <f>IF(B1638="","",IFERROR(D1638/I1638,""))</f>
        <v/>
      </c>
      <c r="K1638" s="71">
        <f>IF(B1638="","",IFERROR(AVERAGEIFS($J$4:$J1638,$B$4:$B1638,B1638,$J$4:$J1638,"&gt;"&amp;0),""))</f>
        <v/>
      </c>
      <c r="L1638" s="12" t="n"/>
    </row>
    <row r="1639" ht="14" customHeight="1" s="72">
      <c r="A1639" s="78" t="n"/>
      <c r="B1639" s="79" t="n"/>
      <c r="C1639" s="69">
        <f>IF(B1639="","",IFERROR(INDEX(Client_List!$B:$B,MATCH(B1639,Client_List!$A:$A,0)),"⚠ NOT FOUND"))</f>
        <v/>
      </c>
      <c r="D1639" s="44" t="n"/>
      <c r="E1639" s="32">
        <f>IF(B1639="","",IFERROR(INDEX(Client_List!$C:$C,MATCH(VALUE(B1639),Client_List!$A:$A,0)),""))</f>
        <v/>
      </c>
      <c r="F1639" s="53">
        <f>IF(B1639="","",IFERROR(INDEX(Client_List!$D:$D,MATCH(VALUE(B1639),Client_List!$A:$A,0)),""))</f>
        <v/>
      </c>
      <c r="G1639" s="53">
        <f>IF(B1639="","",IFERROR(INDEX(Client_List!$K:$K,MATCH(VALUE(B1639),Client_List!$A:$A,0)),""))</f>
        <v/>
      </c>
      <c r="H1639" s="32">
        <f>IF(B1639="","",IFERROR(INDEX(Client_List!$J:$J,MATCH(VALUE(B1639),Client_List!$A:$A,0)),""))</f>
        <v/>
      </c>
      <c r="I1639" s="70">
        <f>IF(B1639="","",IFERROR(A1639-LOOKUP(2,1/($B$4:$B1638=B1639),$A$4:$A1638),""))</f>
        <v/>
      </c>
      <c r="J1639" s="32">
        <f>IF(B1639="","",IFERROR(D1639/I1639,""))</f>
        <v/>
      </c>
      <c r="K1639" s="71">
        <f>IF(B1639="","",IFERROR(AVERAGEIFS($J$4:$J1639,$B$4:$B1639,B1639,$J$4:$J1639,"&gt;"&amp;0),""))</f>
        <v/>
      </c>
      <c r="L1639" s="11" t="n"/>
    </row>
    <row r="1640" ht="14" customHeight="1" s="72">
      <c r="A1640" s="80" t="n"/>
      <c r="B1640" s="81" t="n"/>
      <c r="C1640" s="69">
        <f>IF(B1640="","",IFERROR(INDEX(Client_List!$B:$B,MATCH(B1640,Client_List!$A:$A,0)),"⚠ NOT FOUND"))</f>
        <v/>
      </c>
      <c r="D1640" s="45" t="n"/>
      <c r="E1640" s="32">
        <f>IF(B1640="","",IFERROR(INDEX(Client_List!$C:$C,MATCH(VALUE(B1640),Client_List!$A:$A,0)),""))</f>
        <v/>
      </c>
      <c r="F1640" s="53">
        <f>IF(B1640="","",IFERROR(INDEX(Client_List!$D:$D,MATCH(VALUE(B1640),Client_List!$A:$A,0)),""))</f>
        <v/>
      </c>
      <c r="G1640" s="53">
        <f>IF(B1640="","",IFERROR(INDEX(Client_List!$K:$K,MATCH(VALUE(B1640),Client_List!$A:$A,0)),""))</f>
        <v/>
      </c>
      <c r="H1640" s="32">
        <f>IF(B1640="","",IFERROR(INDEX(Client_List!$J:$J,MATCH(VALUE(B1640),Client_List!$A:$A,0)),""))</f>
        <v/>
      </c>
      <c r="I1640" s="70">
        <f>IF(B1640="","",IFERROR(A1640-LOOKUP(2,1/($B$4:$B1639=B1640),$A$4:$A1639),""))</f>
        <v/>
      </c>
      <c r="J1640" s="32">
        <f>IF(B1640="","",IFERROR(D1640/I1640,""))</f>
        <v/>
      </c>
      <c r="K1640" s="71">
        <f>IF(B1640="","",IFERROR(AVERAGEIFS($J$4:$J1640,$B$4:$B1640,B1640,$J$4:$J1640,"&gt;"&amp;0),""))</f>
        <v/>
      </c>
      <c r="L1640" s="12" t="n"/>
    </row>
    <row r="1641" ht="14" customHeight="1" s="72">
      <c r="A1641" s="78" t="n"/>
      <c r="B1641" s="79" t="n"/>
      <c r="C1641" s="69">
        <f>IF(B1641="","",IFERROR(INDEX(Client_List!$B:$B,MATCH(B1641,Client_List!$A:$A,0)),"⚠ NOT FOUND"))</f>
        <v/>
      </c>
      <c r="D1641" s="44" t="n"/>
      <c r="E1641" s="32">
        <f>IF(B1641="","",IFERROR(INDEX(Client_List!$C:$C,MATCH(VALUE(B1641),Client_List!$A:$A,0)),""))</f>
        <v/>
      </c>
      <c r="F1641" s="53">
        <f>IF(B1641="","",IFERROR(INDEX(Client_List!$D:$D,MATCH(VALUE(B1641),Client_List!$A:$A,0)),""))</f>
        <v/>
      </c>
      <c r="G1641" s="53">
        <f>IF(B1641="","",IFERROR(INDEX(Client_List!$K:$K,MATCH(VALUE(B1641),Client_List!$A:$A,0)),""))</f>
        <v/>
      </c>
      <c r="H1641" s="32">
        <f>IF(B1641="","",IFERROR(INDEX(Client_List!$J:$J,MATCH(VALUE(B1641),Client_List!$A:$A,0)),""))</f>
        <v/>
      </c>
      <c r="I1641" s="70">
        <f>IF(B1641="","",IFERROR(A1641-LOOKUP(2,1/($B$4:$B1640=B1641),$A$4:$A1640),""))</f>
        <v/>
      </c>
      <c r="J1641" s="32">
        <f>IF(B1641="","",IFERROR(D1641/I1641,""))</f>
        <v/>
      </c>
      <c r="K1641" s="71">
        <f>IF(B1641="","",IFERROR(AVERAGEIFS($J$4:$J1641,$B$4:$B1641,B1641,$J$4:$J1641,"&gt;"&amp;0),""))</f>
        <v/>
      </c>
      <c r="L1641" s="11" t="n"/>
    </row>
    <row r="1642" ht="14" customHeight="1" s="72">
      <c r="A1642" s="80" t="n"/>
      <c r="B1642" s="81" t="n"/>
      <c r="C1642" s="69">
        <f>IF(B1642="","",IFERROR(INDEX(Client_List!$B:$B,MATCH(B1642,Client_List!$A:$A,0)),"⚠ NOT FOUND"))</f>
        <v/>
      </c>
      <c r="D1642" s="45" t="n"/>
      <c r="E1642" s="32">
        <f>IF(B1642="","",IFERROR(INDEX(Client_List!$C:$C,MATCH(VALUE(B1642),Client_List!$A:$A,0)),""))</f>
        <v/>
      </c>
      <c r="F1642" s="53">
        <f>IF(B1642="","",IFERROR(INDEX(Client_List!$D:$D,MATCH(VALUE(B1642),Client_List!$A:$A,0)),""))</f>
        <v/>
      </c>
      <c r="G1642" s="53">
        <f>IF(B1642="","",IFERROR(INDEX(Client_List!$K:$K,MATCH(VALUE(B1642),Client_List!$A:$A,0)),""))</f>
        <v/>
      </c>
      <c r="H1642" s="32">
        <f>IF(B1642="","",IFERROR(INDEX(Client_List!$J:$J,MATCH(VALUE(B1642),Client_List!$A:$A,0)),""))</f>
        <v/>
      </c>
      <c r="I1642" s="70">
        <f>IF(B1642="","",IFERROR(A1642-LOOKUP(2,1/($B$4:$B1641=B1642),$A$4:$A1641),""))</f>
        <v/>
      </c>
      <c r="J1642" s="32">
        <f>IF(B1642="","",IFERROR(D1642/I1642,""))</f>
        <v/>
      </c>
      <c r="K1642" s="71">
        <f>IF(B1642="","",IFERROR(AVERAGEIFS($J$4:$J1642,$B$4:$B1642,B1642,$J$4:$J1642,"&gt;"&amp;0),""))</f>
        <v/>
      </c>
      <c r="L1642" s="12" t="n"/>
    </row>
    <row r="1643" ht="14" customHeight="1" s="72">
      <c r="A1643" s="78" t="n"/>
      <c r="B1643" s="79" t="n"/>
      <c r="C1643" s="69">
        <f>IF(B1643="","",IFERROR(INDEX(Client_List!$B:$B,MATCH(B1643,Client_List!$A:$A,0)),"⚠ NOT FOUND"))</f>
        <v/>
      </c>
      <c r="D1643" s="44" t="n"/>
      <c r="E1643" s="32">
        <f>IF(B1643="","",IFERROR(INDEX(Client_List!$C:$C,MATCH(VALUE(B1643),Client_List!$A:$A,0)),""))</f>
        <v/>
      </c>
      <c r="F1643" s="53">
        <f>IF(B1643="","",IFERROR(INDEX(Client_List!$D:$D,MATCH(VALUE(B1643),Client_List!$A:$A,0)),""))</f>
        <v/>
      </c>
      <c r="G1643" s="53">
        <f>IF(B1643="","",IFERROR(INDEX(Client_List!$K:$K,MATCH(VALUE(B1643),Client_List!$A:$A,0)),""))</f>
        <v/>
      </c>
      <c r="H1643" s="32">
        <f>IF(B1643="","",IFERROR(INDEX(Client_List!$J:$J,MATCH(VALUE(B1643),Client_List!$A:$A,0)),""))</f>
        <v/>
      </c>
      <c r="I1643" s="70">
        <f>IF(B1643="","",IFERROR(A1643-LOOKUP(2,1/($B$4:$B1642=B1643),$A$4:$A1642),""))</f>
        <v/>
      </c>
      <c r="J1643" s="32">
        <f>IF(B1643="","",IFERROR(D1643/I1643,""))</f>
        <v/>
      </c>
      <c r="K1643" s="71">
        <f>IF(B1643="","",IFERROR(AVERAGEIFS($J$4:$J1643,$B$4:$B1643,B1643,$J$4:$J1643,"&gt;"&amp;0),""))</f>
        <v/>
      </c>
      <c r="L1643" s="11" t="n"/>
    </row>
    <row r="1644" ht="14" customHeight="1" s="72">
      <c r="A1644" s="80" t="n"/>
      <c r="B1644" s="81" t="n"/>
      <c r="C1644" s="69">
        <f>IF(B1644="","",IFERROR(INDEX(Client_List!$B:$B,MATCH(B1644,Client_List!$A:$A,0)),"⚠ NOT FOUND"))</f>
        <v/>
      </c>
      <c r="D1644" s="45" t="n"/>
      <c r="E1644" s="32">
        <f>IF(B1644="","",IFERROR(INDEX(Client_List!$C:$C,MATCH(VALUE(B1644),Client_List!$A:$A,0)),""))</f>
        <v/>
      </c>
      <c r="F1644" s="53">
        <f>IF(B1644="","",IFERROR(INDEX(Client_List!$D:$D,MATCH(VALUE(B1644),Client_List!$A:$A,0)),""))</f>
        <v/>
      </c>
      <c r="G1644" s="53">
        <f>IF(B1644="","",IFERROR(INDEX(Client_List!$K:$K,MATCH(VALUE(B1644),Client_List!$A:$A,0)),""))</f>
        <v/>
      </c>
      <c r="H1644" s="32">
        <f>IF(B1644="","",IFERROR(INDEX(Client_List!$J:$J,MATCH(VALUE(B1644),Client_List!$A:$A,0)),""))</f>
        <v/>
      </c>
      <c r="I1644" s="70">
        <f>IF(B1644="","",IFERROR(A1644-LOOKUP(2,1/($B$4:$B1643=B1644),$A$4:$A1643),""))</f>
        <v/>
      </c>
      <c r="J1644" s="32">
        <f>IF(B1644="","",IFERROR(D1644/I1644,""))</f>
        <v/>
      </c>
      <c r="K1644" s="71">
        <f>IF(B1644="","",IFERROR(AVERAGEIFS($J$4:$J1644,$B$4:$B1644,B1644,$J$4:$J1644,"&gt;"&amp;0),""))</f>
        <v/>
      </c>
      <c r="L1644" s="12" t="n"/>
    </row>
    <row r="1645" ht="14" customHeight="1" s="72">
      <c r="A1645" s="78" t="n"/>
      <c r="B1645" s="79" t="n"/>
      <c r="C1645" s="69">
        <f>IF(B1645="","",IFERROR(INDEX(Client_List!$B:$B,MATCH(B1645,Client_List!$A:$A,0)),"⚠ NOT FOUND"))</f>
        <v/>
      </c>
      <c r="D1645" s="44" t="n"/>
      <c r="E1645" s="32">
        <f>IF(B1645="","",IFERROR(INDEX(Client_List!$C:$C,MATCH(VALUE(B1645),Client_List!$A:$A,0)),""))</f>
        <v/>
      </c>
      <c r="F1645" s="53">
        <f>IF(B1645="","",IFERROR(INDEX(Client_List!$D:$D,MATCH(VALUE(B1645),Client_List!$A:$A,0)),""))</f>
        <v/>
      </c>
      <c r="G1645" s="53">
        <f>IF(B1645="","",IFERROR(INDEX(Client_List!$K:$K,MATCH(VALUE(B1645),Client_List!$A:$A,0)),""))</f>
        <v/>
      </c>
      <c r="H1645" s="32">
        <f>IF(B1645="","",IFERROR(INDEX(Client_List!$J:$J,MATCH(VALUE(B1645),Client_List!$A:$A,0)),""))</f>
        <v/>
      </c>
      <c r="I1645" s="70">
        <f>IF(B1645="","",IFERROR(A1645-LOOKUP(2,1/($B$4:$B1644=B1645),$A$4:$A1644),""))</f>
        <v/>
      </c>
      <c r="J1645" s="32">
        <f>IF(B1645="","",IFERROR(D1645/I1645,""))</f>
        <v/>
      </c>
      <c r="K1645" s="71">
        <f>IF(B1645="","",IFERROR(AVERAGEIFS($J$4:$J1645,$B$4:$B1645,B1645,$J$4:$J1645,"&gt;"&amp;0),""))</f>
        <v/>
      </c>
      <c r="L1645" s="11" t="n"/>
    </row>
    <row r="1646" ht="14" customHeight="1" s="72">
      <c r="A1646" s="80" t="n"/>
      <c r="B1646" s="81" t="n"/>
      <c r="C1646" s="69">
        <f>IF(B1646="","",IFERROR(INDEX(Client_List!$B:$B,MATCH(B1646,Client_List!$A:$A,0)),"⚠ NOT FOUND"))</f>
        <v/>
      </c>
      <c r="D1646" s="45" t="n"/>
      <c r="E1646" s="32">
        <f>IF(B1646="","",IFERROR(INDEX(Client_List!$C:$C,MATCH(VALUE(B1646),Client_List!$A:$A,0)),""))</f>
        <v/>
      </c>
      <c r="F1646" s="53">
        <f>IF(B1646="","",IFERROR(INDEX(Client_List!$D:$D,MATCH(VALUE(B1646),Client_List!$A:$A,0)),""))</f>
        <v/>
      </c>
      <c r="G1646" s="53">
        <f>IF(B1646="","",IFERROR(INDEX(Client_List!$K:$K,MATCH(VALUE(B1646),Client_List!$A:$A,0)),""))</f>
        <v/>
      </c>
      <c r="H1646" s="32">
        <f>IF(B1646="","",IFERROR(INDEX(Client_List!$J:$J,MATCH(VALUE(B1646),Client_List!$A:$A,0)),""))</f>
        <v/>
      </c>
      <c r="I1646" s="70">
        <f>IF(B1646="","",IFERROR(A1646-LOOKUP(2,1/($B$4:$B1645=B1646),$A$4:$A1645),""))</f>
        <v/>
      </c>
      <c r="J1646" s="32">
        <f>IF(B1646="","",IFERROR(D1646/I1646,""))</f>
        <v/>
      </c>
      <c r="K1646" s="71">
        <f>IF(B1646="","",IFERROR(AVERAGEIFS($J$4:$J1646,$B$4:$B1646,B1646,$J$4:$J1646,"&gt;"&amp;0),""))</f>
        <v/>
      </c>
      <c r="L1646" s="12" t="n"/>
    </row>
    <row r="1647" ht="14" customHeight="1" s="72">
      <c r="A1647" s="78" t="n"/>
      <c r="B1647" s="79" t="n"/>
      <c r="C1647" s="69">
        <f>IF(B1647="","",IFERROR(INDEX(Client_List!$B:$B,MATCH(B1647,Client_List!$A:$A,0)),"⚠ NOT FOUND"))</f>
        <v/>
      </c>
      <c r="D1647" s="44" t="n"/>
      <c r="E1647" s="32">
        <f>IF(B1647="","",IFERROR(INDEX(Client_List!$C:$C,MATCH(VALUE(B1647),Client_List!$A:$A,0)),""))</f>
        <v/>
      </c>
      <c r="F1647" s="53">
        <f>IF(B1647="","",IFERROR(INDEX(Client_List!$D:$D,MATCH(VALUE(B1647),Client_List!$A:$A,0)),""))</f>
        <v/>
      </c>
      <c r="G1647" s="53">
        <f>IF(B1647="","",IFERROR(INDEX(Client_List!$K:$K,MATCH(VALUE(B1647),Client_List!$A:$A,0)),""))</f>
        <v/>
      </c>
      <c r="H1647" s="32">
        <f>IF(B1647="","",IFERROR(INDEX(Client_List!$J:$J,MATCH(VALUE(B1647),Client_List!$A:$A,0)),""))</f>
        <v/>
      </c>
      <c r="I1647" s="70">
        <f>IF(B1647="","",IFERROR(A1647-LOOKUP(2,1/($B$4:$B1646=B1647),$A$4:$A1646),""))</f>
        <v/>
      </c>
      <c r="J1647" s="32">
        <f>IF(B1647="","",IFERROR(D1647/I1647,""))</f>
        <v/>
      </c>
      <c r="K1647" s="71">
        <f>IF(B1647="","",IFERROR(AVERAGEIFS($J$4:$J1647,$B$4:$B1647,B1647,$J$4:$J1647,"&gt;"&amp;0),""))</f>
        <v/>
      </c>
      <c r="L1647" s="11" t="n"/>
    </row>
    <row r="1648" ht="14" customHeight="1" s="72">
      <c r="A1648" s="80" t="n"/>
      <c r="B1648" s="81" t="n"/>
      <c r="C1648" s="69">
        <f>IF(B1648="","",IFERROR(INDEX(Client_List!$B:$B,MATCH(B1648,Client_List!$A:$A,0)),"⚠ NOT FOUND"))</f>
        <v/>
      </c>
      <c r="D1648" s="45" t="n"/>
      <c r="E1648" s="32">
        <f>IF(B1648="","",IFERROR(INDEX(Client_List!$C:$C,MATCH(VALUE(B1648),Client_List!$A:$A,0)),""))</f>
        <v/>
      </c>
      <c r="F1648" s="53">
        <f>IF(B1648="","",IFERROR(INDEX(Client_List!$D:$D,MATCH(VALUE(B1648),Client_List!$A:$A,0)),""))</f>
        <v/>
      </c>
      <c r="G1648" s="53">
        <f>IF(B1648="","",IFERROR(INDEX(Client_List!$K:$K,MATCH(VALUE(B1648),Client_List!$A:$A,0)),""))</f>
        <v/>
      </c>
      <c r="H1648" s="32">
        <f>IF(B1648="","",IFERROR(INDEX(Client_List!$J:$J,MATCH(VALUE(B1648),Client_List!$A:$A,0)),""))</f>
        <v/>
      </c>
      <c r="I1648" s="70">
        <f>IF(B1648="","",IFERROR(A1648-LOOKUP(2,1/($B$4:$B1647=B1648),$A$4:$A1647),""))</f>
        <v/>
      </c>
      <c r="J1648" s="32">
        <f>IF(B1648="","",IFERROR(D1648/I1648,""))</f>
        <v/>
      </c>
      <c r="K1648" s="71">
        <f>IF(B1648="","",IFERROR(AVERAGEIFS($J$4:$J1648,$B$4:$B1648,B1648,$J$4:$J1648,"&gt;"&amp;0),""))</f>
        <v/>
      </c>
      <c r="L1648" s="12" t="n"/>
    </row>
    <row r="1649" ht="14" customHeight="1" s="72">
      <c r="A1649" s="78" t="n"/>
      <c r="B1649" s="79" t="n"/>
      <c r="C1649" s="69">
        <f>IF(B1649="","",IFERROR(INDEX(Client_List!$B:$B,MATCH(B1649,Client_List!$A:$A,0)),"⚠ NOT FOUND"))</f>
        <v/>
      </c>
      <c r="D1649" s="44" t="n"/>
      <c r="E1649" s="32">
        <f>IF(B1649="","",IFERROR(INDEX(Client_List!$C:$C,MATCH(VALUE(B1649),Client_List!$A:$A,0)),""))</f>
        <v/>
      </c>
      <c r="F1649" s="53">
        <f>IF(B1649="","",IFERROR(INDEX(Client_List!$D:$D,MATCH(VALUE(B1649),Client_List!$A:$A,0)),""))</f>
        <v/>
      </c>
      <c r="G1649" s="53">
        <f>IF(B1649="","",IFERROR(INDEX(Client_List!$K:$K,MATCH(VALUE(B1649),Client_List!$A:$A,0)),""))</f>
        <v/>
      </c>
      <c r="H1649" s="32">
        <f>IF(B1649="","",IFERROR(INDEX(Client_List!$J:$J,MATCH(VALUE(B1649),Client_List!$A:$A,0)),""))</f>
        <v/>
      </c>
      <c r="I1649" s="70">
        <f>IF(B1649="","",IFERROR(A1649-LOOKUP(2,1/($B$4:$B1648=B1649),$A$4:$A1648),""))</f>
        <v/>
      </c>
      <c r="J1649" s="32">
        <f>IF(B1649="","",IFERROR(D1649/I1649,""))</f>
        <v/>
      </c>
      <c r="K1649" s="71">
        <f>IF(B1649="","",IFERROR(AVERAGEIFS($J$4:$J1649,$B$4:$B1649,B1649,$J$4:$J1649,"&gt;"&amp;0),""))</f>
        <v/>
      </c>
      <c r="L1649" s="11" t="n"/>
    </row>
    <row r="1650" ht="14" customHeight="1" s="72">
      <c r="A1650" s="80" t="n"/>
      <c r="B1650" s="81" t="n"/>
      <c r="C1650" s="69">
        <f>IF(B1650="","",IFERROR(INDEX(Client_List!$B:$B,MATCH(B1650,Client_List!$A:$A,0)),"⚠ NOT FOUND"))</f>
        <v/>
      </c>
      <c r="D1650" s="45" t="n"/>
      <c r="E1650" s="32">
        <f>IF(B1650="","",IFERROR(INDEX(Client_List!$C:$C,MATCH(VALUE(B1650),Client_List!$A:$A,0)),""))</f>
        <v/>
      </c>
      <c r="F1650" s="53">
        <f>IF(B1650="","",IFERROR(INDEX(Client_List!$D:$D,MATCH(VALUE(B1650),Client_List!$A:$A,0)),""))</f>
        <v/>
      </c>
      <c r="G1650" s="53">
        <f>IF(B1650="","",IFERROR(INDEX(Client_List!$K:$K,MATCH(VALUE(B1650),Client_List!$A:$A,0)),""))</f>
        <v/>
      </c>
      <c r="H1650" s="32">
        <f>IF(B1650="","",IFERROR(INDEX(Client_List!$J:$J,MATCH(VALUE(B1650),Client_List!$A:$A,0)),""))</f>
        <v/>
      </c>
      <c r="I1650" s="70">
        <f>IF(B1650="","",IFERROR(A1650-LOOKUP(2,1/($B$4:$B1649=B1650),$A$4:$A1649),""))</f>
        <v/>
      </c>
      <c r="J1650" s="32">
        <f>IF(B1650="","",IFERROR(D1650/I1650,""))</f>
        <v/>
      </c>
      <c r="K1650" s="71">
        <f>IF(B1650="","",IFERROR(AVERAGEIFS($J$4:$J1650,$B$4:$B1650,B1650,$J$4:$J1650,"&gt;"&amp;0),""))</f>
        <v/>
      </c>
      <c r="L1650" s="12" t="n"/>
    </row>
    <row r="1651" ht="14" customHeight="1" s="72">
      <c r="A1651" s="78" t="n"/>
      <c r="B1651" s="79" t="n"/>
      <c r="C1651" s="69">
        <f>IF(B1651="","",IFERROR(INDEX(Client_List!$B:$B,MATCH(B1651,Client_List!$A:$A,0)),"⚠ NOT FOUND"))</f>
        <v/>
      </c>
      <c r="D1651" s="44" t="n"/>
      <c r="E1651" s="32">
        <f>IF(B1651="","",IFERROR(INDEX(Client_List!$C:$C,MATCH(VALUE(B1651),Client_List!$A:$A,0)),""))</f>
        <v/>
      </c>
      <c r="F1651" s="53">
        <f>IF(B1651="","",IFERROR(INDEX(Client_List!$D:$D,MATCH(VALUE(B1651),Client_List!$A:$A,0)),""))</f>
        <v/>
      </c>
      <c r="G1651" s="53">
        <f>IF(B1651="","",IFERROR(INDEX(Client_List!$K:$K,MATCH(VALUE(B1651),Client_List!$A:$A,0)),""))</f>
        <v/>
      </c>
      <c r="H1651" s="32">
        <f>IF(B1651="","",IFERROR(INDEX(Client_List!$J:$J,MATCH(VALUE(B1651),Client_List!$A:$A,0)),""))</f>
        <v/>
      </c>
      <c r="I1651" s="70">
        <f>IF(B1651="","",IFERROR(A1651-LOOKUP(2,1/($B$4:$B1650=B1651),$A$4:$A1650),""))</f>
        <v/>
      </c>
      <c r="J1651" s="32">
        <f>IF(B1651="","",IFERROR(D1651/I1651,""))</f>
        <v/>
      </c>
      <c r="K1651" s="71">
        <f>IF(B1651="","",IFERROR(AVERAGEIFS($J$4:$J1651,$B$4:$B1651,B1651,$J$4:$J1651,"&gt;"&amp;0),""))</f>
        <v/>
      </c>
      <c r="L1651" s="11" t="n"/>
    </row>
    <row r="1652" ht="14" customHeight="1" s="72">
      <c r="A1652" s="80" t="n"/>
      <c r="B1652" s="81" t="n"/>
      <c r="C1652" s="69">
        <f>IF(B1652="","",IFERROR(INDEX(Client_List!$B:$B,MATCH(B1652,Client_List!$A:$A,0)),"⚠ NOT FOUND"))</f>
        <v/>
      </c>
      <c r="D1652" s="45" t="n"/>
      <c r="E1652" s="32">
        <f>IF(B1652="","",IFERROR(INDEX(Client_List!$C:$C,MATCH(VALUE(B1652),Client_List!$A:$A,0)),""))</f>
        <v/>
      </c>
      <c r="F1652" s="53">
        <f>IF(B1652="","",IFERROR(INDEX(Client_List!$D:$D,MATCH(VALUE(B1652),Client_List!$A:$A,0)),""))</f>
        <v/>
      </c>
      <c r="G1652" s="53">
        <f>IF(B1652="","",IFERROR(INDEX(Client_List!$K:$K,MATCH(VALUE(B1652),Client_List!$A:$A,0)),""))</f>
        <v/>
      </c>
      <c r="H1652" s="32">
        <f>IF(B1652="","",IFERROR(INDEX(Client_List!$J:$J,MATCH(VALUE(B1652),Client_List!$A:$A,0)),""))</f>
        <v/>
      </c>
      <c r="I1652" s="70">
        <f>IF(B1652="","",IFERROR(A1652-LOOKUP(2,1/($B$4:$B1651=B1652),$A$4:$A1651),""))</f>
        <v/>
      </c>
      <c r="J1652" s="32">
        <f>IF(B1652="","",IFERROR(D1652/I1652,""))</f>
        <v/>
      </c>
      <c r="K1652" s="71">
        <f>IF(B1652="","",IFERROR(AVERAGEIFS($J$4:$J1652,$B$4:$B1652,B1652,$J$4:$J1652,"&gt;"&amp;0),""))</f>
        <v/>
      </c>
      <c r="L1652" s="12" t="n"/>
    </row>
    <row r="1653" ht="14" customHeight="1" s="72">
      <c r="A1653" s="78" t="n"/>
      <c r="B1653" s="79" t="n"/>
      <c r="C1653" s="69">
        <f>IF(B1653="","",IFERROR(INDEX(Client_List!$B:$B,MATCH(B1653,Client_List!$A:$A,0)),"⚠ NOT FOUND"))</f>
        <v/>
      </c>
      <c r="D1653" s="44" t="n"/>
      <c r="E1653" s="32">
        <f>IF(B1653="","",IFERROR(INDEX(Client_List!$C:$C,MATCH(VALUE(B1653),Client_List!$A:$A,0)),""))</f>
        <v/>
      </c>
      <c r="F1653" s="53">
        <f>IF(B1653="","",IFERROR(INDEX(Client_List!$D:$D,MATCH(VALUE(B1653),Client_List!$A:$A,0)),""))</f>
        <v/>
      </c>
      <c r="G1653" s="53">
        <f>IF(B1653="","",IFERROR(INDEX(Client_List!$K:$K,MATCH(VALUE(B1653),Client_List!$A:$A,0)),""))</f>
        <v/>
      </c>
      <c r="H1653" s="32">
        <f>IF(B1653="","",IFERROR(INDEX(Client_List!$J:$J,MATCH(VALUE(B1653),Client_List!$A:$A,0)),""))</f>
        <v/>
      </c>
      <c r="I1653" s="70">
        <f>IF(B1653="","",IFERROR(A1653-LOOKUP(2,1/($B$4:$B1652=B1653),$A$4:$A1652),""))</f>
        <v/>
      </c>
      <c r="J1653" s="32">
        <f>IF(B1653="","",IFERROR(D1653/I1653,""))</f>
        <v/>
      </c>
      <c r="K1653" s="71">
        <f>IF(B1653="","",IFERROR(AVERAGEIFS($J$4:$J1653,$B$4:$B1653,B1653,$J$4:$J1653,"&gt;"&amp;0),""))</f>
        <v/>
      </c>
      <c r="L1653" s="11" t="n"/>
    </row>
    <row r="1654" ht="14" customHeight="1" s="72">
      <c r="A1654" s="80" t="n"/>
      <c r="B1654" s="81" t="n"/>
      <c r="C1654" s="69">
        <f>IF(B1654="","",IFERROR(INDEX(Client_List!$B:$B,MATCH(B1654,Client_List!$A:$A,0)),"⚠ NOT FOUND"))</f>
        <v/>
      </c>
      <c r="D1654" s="45" t="n"/>
      <c r="E1654" s="32">
        <f>IF(B1654="","",IFERROR(INDEX(Client_List!$C:$C,MATCH(VALUE(B1654),Client_List!$A:$A,0)),""))</f>
        <v/>
      </c>
      <c r="F1654" s="53">
        <f>IF(B1654="","",IFERROR(INDEX(Client_List!$D:$D,MATCH(VALUE(B1654),Client_List!$A:$A,0)),""))</f>
        <v/>
      </c>
      <c r="G1654" s="53">
        <f>IF(B1654="","",IFERROR(INDEX(Client_List!$K:$K,MATCH(VALUE(B1654),Client_List!$A:$A,0)),""))</f>
        <v/>
      </c>
      <c r="H1654" s="32">
        <f>IF(B1654="","",IFERROR(INDEX(Client_List!$J:$J,MATCH(VALUE(B1654),Client_List!$A:$A,0)),""))</f>
        <v/>
      </c>
      <c r="I1654" s="70">
        <f>IF(B1654="","",IFERROR(A1654-LOOKUP(2,1/($B$4:$B1653=B1654),$A$4:$A1653),""))</f>
        <v/>
      </c>
      <c r="J1654" s="32">
        <f>IF(B1654="","",IFERROR(D1654/I1654,""))</f>
        <v/>
      </c>
      <c r="K1654" s="71">
        <f>IF(B1654="","",IFERROR(AVERAGEIFS($J$4:$J1654,$B$4:$B1654,B1654,$J$4:$J1654,"&gt;"&amp;0),""))</f>
        <v/>
      </c>
      <c r="L1654" s="12" t="n"/>
    </row>
    <row r="1655" ht="14" customHeight="1" s="72">
      <c r="A1655" s="78" t="n"/>
      <c r="B1655" s="79" t="n"/>
      <c r="C1655" s="69">
        <f>IF(B1655="","",IFERROR(INDEX(Client_List!$B:$B,MATCH(B1655,Client_List!$A:$A,0)),"⚠ NOT FOUND"))</f>
        <v/>
      </c>
      <c r="D1655" s="44" t="n"/>
      <c r="E1655" s="32">
        <f>IF(B1655="","",IFERROR(INDEX(Client_List!$C:$C,MATCH(VALUE(B1655),Client_List!$A:$A,0)),""))</f>
        <v/>
      </c>
      <c r="F1655" s="53">
        <f>IF(B1655="","",IFERROR(INDEX(Client_List!$D:$D,MATCH(VALUE(B1655),Client_List!$A:$A,0)),""))</f>
        <v/>
      </c>
      <c r="G1655" s="53">
        <f>IF(B1655="","",IFERROR(INDEX(Client_List!$K:$K,MATCH(VALUE(B1655),Client_List!$A:$A,0)),""))</f>
        <v/>
      </c>
      <c r="H1655" s="32">
        <f>IF(B1655="","",IFERROR(INDEX(Client_List!$J:$J,MATCH(VALUE(B1655),Client_List!$A:$A,0)),""))</f>
        <v/>
      </c>
      <c r="I1655" s="70">
        <f>IF(B1655="","",IFERROR(A1655-LOOKUP(2,1/($B$4:$B1654=B1655),$A$4:$A1654),""))</f>
        <v/>
      </c>
      <c r="J1655" s="32">
        <f>IF(B1655="","",IFERROR(D1655/I1655,""))</f>
        <v/>
      </c>
      <c r="K1655" s="71">
        <f>IF(B1655="","",IFERROR(AVERAGEIFS($J$4:$J1655,$B$4:$B1655,B1655,$J$4:$J1655,"&gt;"&amp;0),""))</f>
        <v/>
      </c>
      <c r="L1655" s="11" t="n"/>
    </row>
    <row r="1656" ht="14" customHeight="1" s="72">
      <c r="A1656" s="80" t="n"/>
      <c r="B1656" s="81" t="n"/>
      <c r="C1656" s="69">
        <f>IF(B1656="","",IFERROR(INDEX(Client_List!$B:$B,MATCH(B1656,Client_List!$A:$A,0)),"⚠ NOT FOUND"))</f>
        <v/>
      </c>
      <c r="D1656" s="45" t="n"/>
      <c r="E1656" s="32">
        <f>IF(B1656="","",IFERROR(INDEX(Client_List!$C:$C,MATCH(VALUE(B1656),Client_List!$A:$A,0)),""))</f>
        <v/>
      </c>
      <c r="F1656" s="53">
        <f>IF(B1656="","",IFERROR(INDEX(Client_List!$D:$D,MATCH(VALUE(B1656),Client_List!$A:$A,0)),""))</f>
        <v/>
      </c>
      <c r="G1656" s="53">
        <f>IF(B1656="","",IFERROR(INDEX(Client_List!$K:$K,MATCH(VALUE(B1656),Client_List!$A:$A,0)),""))</f>
        <v/>
      </c>
      <c r="H1656" s="32">
        <f>IF(B1656="","",IFERROR(INDEX(Client_List!$J:$J,MATCH(VALUE(B1656),Client_List!$A:$A,0)),""))</f>
        <v/>
      </c>
      <c r="I1656" s="70">
        <f>IF(B1656="","",IFERROR(A1656-LOOKUP(2,1/($B$4:$B1655=B1656),$A$4:$A1655),""))</f>
        <v/>
      </c>
      <c r="J1656" s="32">
        <f>IF(B1656="","",IFERROR(D1656/I1656,""))</f>
        <v/>
      </c>
      <c r="K1656" s="71">
        <f>IF(B1656="","",IFERROR(AVERAGEIFS($J$4:$J1656,$B$4:$B1656,B1656,$J$4:$J1656,"&gt;"&amp;0),""))</f>
        <v/>
      </c>
      <c r="L1656" s="12" t="n"/>
    </row>
    <row r="1657" ht="14" customHeight="1" s="72">
      <c r="A1657" s="78" t="n"/>
      <c r="B1657" s="79" t="n"/>
      <c r="C1657" s="69">
        <f>IF(B1657="","",IFERROR(INDEX(Client_List!$B:$B,MATCH(B1657,Client_List!$A:$A,0)),"⚠ NOT FOUND"))</f>
        <v/>
      </c>
      <c r="D1657" s="44" t="n"/>
      <c r="E1657" s="32">
        <f>IF(B1657="","",IFERROR(INDEX(Client_List!$C:$C,MATCH(VALUE(B1657),Client_List!$A:$A,0)),""))</f>
        <v/>
      </c>
      <c r="F1657" s="53">
        <f>IF(B1657="","",IFERROR(INDEX(Client_List!$D:$D,MATCH(VALUE(B1657),Client_List!$A:$A,0)),""))</f>
        <v/>
      </c>
      <c r="G1657" s="53">
        <f>IF(B1657="","",IFERROR(INDEX(Client_List!$K:$K,MATCH(VALUE(B1657),Client_List!$A:$A,0)),""))</f>
        <v/>
      </c>
      <c r="H1657" s="32">
        <f>IF(B1657="","",IFERROR(INDEX(Client_List!$J:$J,MATCH(VALUE(B1657),Client_List!$A:$A,0)),""))</f>
        <v/>
      </c>
      <c r="I1657" s="70">
        <f>IF(B1657="","",IFERROR(A1657-LOOKUP(2,1/($B$4:$B1656=B1657),$A$4:$A1656),""))</f>
        <v/>
      </c>
      <c r="J1657" s="32">
        <f>IF(B1657="","",IFERROR(D1657/I1657,""))</f>
        <v/>
      </c>
      <c r="K1657" s="71">
        <f>IF(B1657="","",IFERROR(AVERAGEIFS($J$4:$J1657,$B$4:$B1657,B1657,$J$4:$J1657,"&gt;"&amp;0),""))</f>
        <v/>
      </c>
      <c r="L1657" s="11" t="n"/>
    </row>
    <row r="1658" ht="14" customHeight="1" s="72">
      <c r="A1658" s="80" t="n"/>
      <c r="B1658" s="81" t="n"/>
      <c r="C1658" s="69">
        <f>IF(B1658="","",IFERROR(INDEX(Client_List!$B:$B,MATCH(B1658,Client_List!$A:$A,0)),"⚠ NOT FOUND"))</f>
        <v/>
      </c>
      <c r="D1658" s="45" t="n"/>
      <c r="E1658" s="32">
        <f>IF(B1658="","",IFERROR(INDEX(Client_List!$C:$C,MATCH(VALUE(B1658),Client_List!$A:$A,0)),""))</f>
        <v/>
      </c>
      <c r="F1658" s="53">
        <f>IF(B1658="","",IFERROR(INDEX(Client_List!$D:$D,MATCH(VALUE(B1658),Client_List!$A:$A,0)),""))</f>
        <v/>
      </c>
      <c r="G1658" s="53">
        <f>IF(B1658="","",IFERROR(INDEX(Client_List!$K:$K,MATCH(VALUE(B1658),Client_List!$A:$A,0)),""))</f>
        <v/>
      </c>
      <c r="H1658" s="32">
        <f>IF(B1658="","",IFERROR(INDEX(Client_List!$J:$J,MATCH(VALUE(B1658),Client_List!$A:$A,0)),""))</f>
        <v/>
      </c>
      <c r="I1658" s="70">
        <f>IF(B1658="","",IFERROR(A1658-LOOKUP(2,1/($B$4:$B1657=B1658),$A$4:$A1657),""))</f>
        <v/>
      </c>
      <c r="J1658" s="32">
        <f>IF(B1658="","",IFERROR(D1658/I1658,""))</f>
        <v/>
      </c>
      <c r="K1658" s="71">
        <f>IF(B1658="","",IFERROR(AVERAGEIFS($J$4:$J1658,$B$4:$B1658,B1658,$J$4:$J1658,"&gt;"&amp;0),""))</f>
        <v/>
      </c>
      <c r="L1658" s="12" t="n"/>
    </row>
    <row r="1659" ht="14" customHeight="1" s="72">
      <c r="A1659" s="78" t="n"/>
      <c r="B1659" s="79" t="n"/>
      <c r="C1659" s="69">
        <f>IF(B1659="","",IFERROR(INDEX(Client_List!$B:$B,MATCH(B1659,Client_List!$A:$A,0)),"⚠ NOT FOUND"))</f>
        <v/>
      </c>
      <c r="D1659" s="44" t="n"/>
      <c r="E1659" s="32">
        <f>IF(B1659="","",IFERROR(INDEX(Client_List!$C:$C,MATCH(VALUE(B1659),Client_List!$A:$A,0)),""))</f>
        <v/>
      </c>
      <c r="F1659" s="53">
        <f>IF(B1659="","",IFERROR(INDEX(Client_List!$D:$D,MATCH(VALUE(B1659),Client_List!$A:$A,0)),""))</f>
        <v/>
      </c>
      <c r="G1659" s="53">
        <f>IF(B1659="","",IFERROR(INDEX(Client_List!$K:$K,MATCH(VALUE(B1659),Client_List!$A:$A,0)),""))</f>
        <v/>
      </c>
      <c r="H1659" s="32">
        <f>IF(B1659="","",IFERROR(INDEX(Client_List!$J:$J,MATCH(VALUE(B1659),Client_List!$A:$A,0)),""))</f>
        <v/>
      </c>
      <c r="I1659" s="70">
        <f>IF(B1659="","",IFERROR(A1659-LOOKUP(2,1/($B$4:$B1658=B1659),$A$4:$A1658),""))</f>
        <v/>
      </c>
      <c r="J1659" s="32">
        <f>IF(B1659="","",IFERROR(D1659/I1659,""))</f>
        <v/>
      </c>
      <c r="K1659" s="71">
        <f>IF(B1659="","",IFERROR(AVERAGEIFS($J$4:$J1659,$B$4:$B1659,B1659,$J$4:$J1659,"&gt;"&amp;0),""))</f>
        <v/>
      </c>
      <c r="L1659" s="11" t="n"/>
    </row>
    <row r="1660" ht="14" customHeight="1" s="72">
      <c r="A1660" s="80" t="n"/>
      <c r="B1660" s="81" t="n"/>
      <c r="C1660" s="69">
        <f>IF(B1660="","",IFERROR(INDEX(Client_List!$B:$B,MATCH(B1660,Client_List!$A:$A,0)),"⚠ NOT FOUND"))</f>
        <v/>
      </c>
      <c r="D1660" s="45" t="n"/>
      <c r="E1660" s="32">
        <f>IF(B1660="","",IFERROR(INDEX(Client_List!$C:$C,MATCH(VALUE(B1660),Client_List!$A:$A,0)),""))</f>
        <v/>
      </c>
      <c r="F1660" s="53">
        <f>IF(B1660="","",IFERROR(INDEX(Client_List!$D:$D,MATCH(VALUE(B1660),Client_List!$A:$A,0)),""))</f>
        <v/>
      </c>
      <c r="G1660" s="53">
        <f>IF(B1660="","",IFERROR(INDEX(Client_List!$K:$K,MATCH(VALUE(B1660),Client_List!$A:$A,0)),""))</f>
        <v/>
      </c>
      <c r="H1660" s="32">
        <f>IF(B1660="","",IFERROR(INDEX(Client_List!$J:$J,MATCH(VALUE(B1660),Client_List!$A:$A,0)),""))</f>
        <v/>
      </c>
      <c r="I1660" s="70">
        <f>IF(B1660="","",IFERROR(A1660-LOOKUP(2,1/($B$4:$B1659=B1660),$A$4:$A1659),""))</f>
        <v/>
      </c>
      <c r="J1660" s="32">
        <f>IF(B1660="","",IFERROR(D1660/I1660,""))</f>
        <v/>
      </c>
      <c r="K1660" s="71">
        <f>IF(B1660="","",IFERROR(AVERAGEIFS($J$4:$J1660,$B$4:$B1660,B1660,$J$4:$J1660,"&gt;"&amp;0),""))</f>
        <v/>
      </c>
      <c r="L1660" s="12" t="n"/>
    </row>
    <row r="1661" ht="14" customHeight="1" s="72">
      <c r="A1661" s="78" t="n"/>
      <c r="B1661" s="79" t="n"/>
      <c r="C1661" s="69">
        <f>IF(B1661="","",IFERROR(INDEX(Client_List!$B:$B,MATCH(B1661,Client_List!$A:$A,0)),"⚠ NOT FOUND"))</f>
        <v/>
      </c>
      <c r="D1661" s="44" t="n"/>
      <c r="E1661" s="32">
        <f>IF(B1661="","",IFERROR(INDEX(Client_List!$C:$C,MATCH(VALUE(B1661),Client_List!$A:$A,0)),""))</f>
        <v/>
      </c>
      <c r="F1661" s="53">
        <f>IF(B1661="","",IFERROR(INDEX(Client_List!$D:$D,MATCH(VALUE(B1661),Client_List!$A:$A,0)),""))</f>
        <v/>
      </c>
      <c r="G1661" s="53">
        <f>IF(B1661="","",IFERROR(INDEX(Client_List!$K:$K,MATCH(VALUE(B1661),Client_List!$A:$A,0)),""))</f>
        <v/>
      </c>
      <c r="H1661" s="32">
        <f>IF(B1661="","",IFERROR(INDEX(Client_List!$J:$J,MATCH(VALUE(B1661),Client_List!$A:$A,0)),""))</f>
        <v/>
      </c>
      <c r="I1661" s="70">
        <f>IF(B1661="","",IFERROR(A1661-LOOKUP(2,1/($B$4:$B1660=B1661),$A$4:$A1660),""))</f>
        <v/>
      </c>
      <c r="J1661" s="32">
        <f>IF(B1661="","",IFERROR(D1661/I1661,""))</f>
        <v/>
      </c>
      <c r="K1661" s="71">
        <f>IF(B1661="","",IFERROR(AVERAGEIFS($J$4:$J1661,$B$4:$B1661,B1661,$J$4:$J1661,"&gt;"&amp;0),""))</f>
        <v/>
      </c>
      <c r="L1661" s="11" t="n"/>
    </row>
    <row r="1662" ht="14" customHeight="1" s="72">
      <c r="A1662" s="80" t="n"/>
      <c r="B1662" s="81" t="n"/>
      <c r="C1662" s="69">
        <f>IF(B1662="","",IFERROR(INDEX(Client_List!$B:$B,MATCH(B1662,Client_List!$A:$A,0)),"⚠ NOT FOUND"))</f>
        <v/>
      </c>
      <c r="D1662" s="45" t="n"/>
      <c r="E1662" s="32">
        <f>IF(B1662="","",IFERROR(INDEX(Client_List!$C:$C,MATCH(VALUE(B1662),Client_List!$A:$A,0)),""))</f>
        <v/>
      </c>
      <c r="F1662" s="53">
        <f>IF(B1662="","",IFERROR(INDEX(Client_List!$D:$D,MATCH(VALUE(B1662),Client_List!$A:$A,0)),""))</f>
        <v/>
      </c>
      <c r="G1662" s="53">
        <f>IF(B1662="","",IFERROR(INDEX(Client_List!$K:$K,MATCH(VALUE(B1662),Client_List!$A:$A,0)),""))</f>
        <v/>
      </c>
      <c r="H1662" s="32">
        <f>IF(B1662="","",IFERROR(INDEX(Client_List!$J:$J,MATCH(VALUE(B1662),Client_List!$A:$A,0)),""))</f>
        <v/>
      </c>
      <c r="I1662" s="70">
        <f>IF(B1662="","",IFERROR(A1662-LOOKUP(2,1/($B$4:$B1661=B1662),$A$4:$A1661),""))</f>
        <v/>
      </c>
      <c r="J1662" s="32">
        <f>IF(B1662="","",IFERROR(D1662/I1662,""))</f>
        <v/>
      </c>
      <c r="K1662" s="71">
        <f>IF(B1662="","",IFERROR(AVERAGEIFS($J$4:$J1662,$B$4:$B1662,B1662,$J$4:$J1662,"&gt;"&amp;0),""))</f>
        <v/>
      </c>
      <c r="L1662" s="12" t="n"/>
    </row>
    <row r="1663" ht="14" customHeight="1" s="72">
      <c r="A1663" s="78" t="n"/>
      <c r="B1663" s="79" t="n"/>
      <c r="C1663" s="69">
        <f>IF(B1663="","",IFERROR(INDEX(Client_List!$B:$B,MATCH(B1663,Client_List!$A:$A,0)),"⚠ NOT FOUND"))</f>
        <v/>
      </c>
      <c r="D1663" s="44" t="n"/>
      <c r="E1663" s="32">
        <f>IF(B1663="","",IFERROR(INDEX(Client_List!$C:$C,MATCH(VALUE(B1663),Client_List!$A:$A,0)),""))</f>
        <v/>
      </c>
      <c r="F1663" s="53">
        <f>IF(B1663="","",IFERROR(INDEX(Client_List!$D:$D,MATCH(VALUE(B1663),Client_List!$A:$A,0)),""))</f>
        <v/>
      </c>
      <c r="G1663" s="53">
        <f>IF(B1663="","",IFERROR(INDEX(Client_List!$K:$K,MATCH(VALUE(B1663),Client_List!$A:$A,0)),""))</f>
        <v/>
      </c>
      <c r="H1663" s="32">
        <f>IF(B1663="","",IFERROR(INDEX(Client_List!$J:$J,MATCH(VALUE(B1663),Client_List!$A:$A,0)),""))</f>
        <v/>
      </c>
      <c r="I1663" s="70">
        <f>IF(B1663="","",IFERROR(A1663-LOOKUP(2,1/($B$4:$B1662=B1663),$A$4:$A1662),""))</f>
        <v/>
      </c>
      <c r="J1663" s="32">
        <f>IF(B1663="","",IFERROR(D1663/I1663,""))</f>
        <v/>
      </c>
      <c r="K1663" s="71">
        <f>IF(B1663="","",IFERROR(AVERAGEIFS($J$4:$J1663,$B$4:$B1663,B1663,$J$4:$J1663,"&gt;"&amp;0),""))</f>
        <v/>
      </c>
      <c r="L1663" s="11" t="n"/>
    </row>
    <row r="1664" ht="14" customHeight="1" s="72">
      <c r="A1664" s="80" t="n"/>
      <c r="B1664" s="81" t="n"/>
      <c r="C1664" s="69">
        <f>IF(B1664="","",IFERROR(INDEX(Client_List!$B:$B,MATCH(B1664,Client_List!$A:$A,0)),"⚠ NOT FOUND"))</f>
        <v/>
      </c>
      <c r="D1664" s="45" t="n"/>
      <c r="E1664" s="32">
        <f>IF(B1664="","",IFERROR(INDEX(Client_List!$C:$C,MATCH(VALUE(B1664),Client_List!$A:$A,0)),""))</f>
        <v/>
      </c>
      <c r="F1664" s="53">
        <f>IF(B1664="","",IFERROR(INDEX(Client_List!$D:$D,MATCH(VALUE(B1664),Client_List!$A:$A,0)),""))</f>
        <v/>
      </c>
      <c r="G1664" s="53">
        <f>IF(B1664="","",IFERROR(INDEX(Client_List!$K:$K,MATCH(VALUE(B1664),Client_List!$A:$A,0)),""))</f>
        <v/>
      </c>
      <c r="H1664" s="32">
        <f>IF(B1664="","",IFERROR(INDEX(Client_List!$J:$J,MATCH(VALUE(B1664),Client_List!$A:$A,0)),""))</f>
        <v/>
      </c>
      <c r="I1664" s="70">
        <f>IF(B1664="","",IFERROR(A1664-LOOKUP(2,1/($B$4:$B1663=B1664),$A$4:$A1663),""))</f>
        <v/>
      </c>
      <c r="J1664" s="32">
        <f>IF(B1664="","",IFERROR(D1664/I1664,""))</f>
        <v/>
      </c>
      <c r="K1664" s="71">
        <f>IF(B1664="","",IFERROR(AVERAGEIFS($J$4:$J1664,$B$4:$B1664,B1664,$J$4:$J1664,"&gt;"&amp;0),""))</f>
        <v/>
      </c>
      <c r="L1664" s="12" t="n"/>
    </row>
    <row r="1665" ht="14" customHeight="1" s="72">
      <c r="A1665" s="78" t="n"/>
      <c r="B1665" s="79" t="n"/>
      <c r="C1665" s="69">
        <f>IF(B1665="","",IFERROR(INDEX(Client_List!$B:$B,MATCH(B1665,Client_List!$A:$A,0)),"⚠ NOT FOUND"))</f>
        <v/>
      </c>
      <c r="D1665" s="44" t="n"/>
      <c r="E1665" s="32">
        <f>IF(B1665="","",IFERROR(INDEX(Client_List!$C:$C,MATCH(VALUE(B1665),Client_List!$A:$A,0)),""))</f>
        <v/>
      </c>
      <c r="F1665" s="53">
        <f>IF(B1665="","",IFERROR(INDEX(Client_List!$D:$D,MATCH(VALUE(B1665),Client_List!$A:$A,0)),""))</f>
        <v/>
      </c>
      <c r="G1665" s="53">
        <f>IF(B1665="","",IFERROR(INDEX(Client_List!$K:$K,MATCH(VALUE(B1665),Client_List!$A:$A,0)),""))</f>
        <v/>
      </c>
      <c r="H1665" s="32">
        <f>IF(B1665="","",IFERROR(INDEX(Client_List!$J:$J,MATCH(VALUE(B1665),Client_List!$A:$A,0)),""))</f>
        <v/>
      </c>
      <c r="I1665" s="70">
        <f>IF(B1665="","",IFERROR(A1665-LOOKUP(2,1/($B$4:$B1664=B1665),$A$4:$A1664),""))</f>
        <v/>
      </c>
      <c r="J1665" s="32">
        <f>IF(B1665="","",IFERROR(D1665/I1665,""))</f>
        <v/>
      </c>
      <c r="K1665" s="71">
        <f>IF(B1665="","",IFERROR(AVERAGEIFS($J$4:$J1665,$B$4:$B1665,B1665,$J$4:$J1665,"&gt;"&amp;0),""))</f>
        <v/>
      </c>
      <c r="L1665" s="11" t="n"/>
    </row>
    <row r="1666" ht="14" customHeight="1" s="72">
      <c r="A1666" s="80" t="n"/>
      <c r="B1666" s="81" t="n"/>
      <c r="C1666" s="69">
        <f>IF(B1666="","",IFERROR(INDEX(Client_List!$B:$B,MATCH(B1666,Client_List!$A:$A,0)),"⚠ NOT FOUND"))</f>
        <v/>
      </c>
      <c r="D1666" s="45" t="n"/>
      <c r="E1666" s="32">
        <f>IF(B1666="","",IFERROR(INDEX(Client_List!$C:$C,MATCH(VALUE(B1666),Client_List!$A:$A,0)),""))</f>
        <v/>
      </c>
      <c r="F1666" s="53">
        <f>IF(B1666="","",IFERROR(INDEX(Client_List!$D:$D,MATCH(VALUE(B1666),Client_List!$A:$A,0)),""))</f>
        <v/>
      </c>
      <c r="G1666" s="53">
        <f>IF(B1666="","",IFERROR(INDEX(Client_List!$K:$K,MATCH(VALUE(B1666),Client_List!$A:$A,0)),""))</f>
        <v/>
      </c>
      <c r="H1666" s="32">
        <f>IF(B1666="","",IFERROR(INDEX(Client_List!$J:$J,MATCH(VALUE(B1666),Client_List!$A:$A,0)),""))</f>
        <v/>
      </c>
      <c r="I1666" s="70">
        <f>IF(B1666="","",IFERROR(A1666-LOOKUP(2,1/($B$4:$B1665=B1666),$A$4:$A1665),""))</f>
        <v/>
      </c>
      <c r="J1666" s="32">
        <f>IF(B1666="","",IFERROR(D1666/I1666,""))</f>
        <v/>
      </c>
      <c r="K1666" s="71">
        <f>IF(B1666="","",IFERROR(AVERAGEIFS($J$4:$J1666,$B$4:$B1666,B1666,$J$4:$J1666,"&gt;"&amp;0),""))</f>
        <v/>
      </c>
      <c r="L1666" s="12" t="n"/>
    </row>
    <row r="1667" ht="14" customHeight="1" s="72">
      <c r="A1667" s="78" t="n"/>
      <c r="B1667" s="79" t="n"/>
      <c r="C1667" s="69">
        <f>IF(B1667="","",IFERROR(INDEX(Client_List!$B:$B,MATCH(B1667,Client_List!$A:$A,0)),"⚠ NOT FOUND"))</f>
        <v/>
      </c>
      <c r="D1667" s="44" t="n"/>
      <c r="E1667" s="32">
        <f>IF(B1667="","",IFERROR(INDEX(Client_List!$C:$C,MATCH(VALUE(B1667),Client_List!$A:$A,0)),""))</f>
        <v/>
      </c>
      <c r="F1667" s="53">
        <f>IF(B1667="","",IFERROR(INDEX(Client_List!$D:$D,MATCH(VALUE(B1667),Client_List!$A:$A,0)),""))</f>
        <v/>
      </c>
      <c r="G1667" s="53">
        <f>IF(B1667="","",IFERROR(INDEX(Client_List!$K:$K,MATCH(VALUE(B1667),Client_List!$A:$A,0)),""))</f>
        <v/>
      </c>
      <c r="H1667" s="32">
        <f>IF(B1667="","",IFERROR(INDEX(Client_List!$J:$J,MATCH(VALUE(B1667),Client_List!$A:$A,0)),""))</f>
        <v/>
      </c>
      <c r="I1667" s="70">
        <f>IF(B1667="","",IFERROR(A1667-LOOKUP(2,1/($B$4:$B1666=B1667),$A$4:$A1666),""))</f>
        <v/>
      </c>
      <c r="J1667" s="32">
        <f>IF(B1667="","",IFERROR(D1667/I1667,""))</f>
        <v/>
      </c>
      <c r="K1667" s="71">
        <f>IF(B1667="","",IFERROR(AVERAGEIFS($J$4:$J1667,$B$4:$B1667,B1667,$J$4:$J1667,"&gt;"&amp;0),""))</f>
        <v/>
      </c>
      <c r="L1667" s="11" t="n"/>
    </row>
    <row r="1668" ht="14" customHeight="1" s="72">
      <c r="A1668" s="80" t="n"/>
      <c r="B1668" s="81" t="n"/>
      <c r="C1668" s="69">
        <f>IF(B1668="","",IFERROR(INDEX(Client_List!$B:$B,MATCH(B1668,Client_List!$A:$A,0)),"⚠ NOT FOUND"))</f>
        <v/>
      </c>
      <c r="D1668" s="45" t="n"/>
      <c r="E1668" s="32">
        <f>IF(B1668="","",IFERROR(INDEX(Client_List!$C:$C,MATCH(VALUE(B1668),Client_List!$A:$A,0)),""))</f>
        <v/>
      </c>
      <c r="F1668" s="53">
        <f>IF(B1668="","",IFERROR(INDEX(Client_List!$D:$D,MATCH(VALUE(B1668),Client_List!$A:$A,0)),""))</f>
        <v/>
      </c>
      <c r="G1668" s="53">
        <f>IF(B1668="","",IFERROR(INDEX(Client_List!$K:$K,MATCH(VALUE(B1668),Client_List!$A:$A,0)),""))</f>
        <v/>
      </c>
      <c r="H1668" s="32">
        <f>IF(B1668="","",IFERROR(INDEX(Client_List!$J:$J,MATCH(VALUE(B1668),Client_List!$A:$A,0)),""))</f>
        <v/>
      </c>
      <c r="I1668" s="70">
        <f>IF(B1668="","",IFERROR(A1668-LOOKUP(2,1/($B$4:$B1667=B1668),$A$4:$A1667),""))</f>
        <v/>
      </c>
      <c r="J1668" s="32">
        <f>IF(B1668="","",IFERROR(D1668/I1668,""))</f>
        <v/>
      </c>
      <c r="K1668" s="71">
        <f>IF(B1668="","",IFERROR(AVERAGEIFS($J$4:$J1668,$B$4:$B1668,B1668,$J$4:$J1668,"&gt;"&amp;0),""))</f>
        <v/>
      </c>
      <c r="L1668" s="12" t="n"/>
    </row>
    <row r="1669" ht="14" customHeight="1" s="72">
      <c r="A1669" s="78" t="n"/>
      <c r="B1669" s="79" t="n"/>
      <c r="C1669" s="69">
        <f>IF(B1669="","",IFERROR(INDEX(Client_List!$B:$B,MATCH(B1669,Client_List!$A:$A,0)),"⚠ NOT FOUND"))</f>
        <v/>
      </c>
      <c r="D1669" s="44" t="n"/>
      <c r="E1669" s="32">
        <f>IF(B1669="","",IFERROR(INDEX(Client_List!$C:$C,MATCH(VALUE(B1669),Client_List!$A:$A,0)),""))</f>
        <v/>
      </c>
      <c r="F1669" s="53">
        <f>IF(B1669="","",IFERROR(INDEX(Client_List!$D:$D,MATCH(VALUE(B1669),Client_List!$A:$A,0)),""))</f>
        <v/>
      </c>
      <c r="G1669" s="53">
        <f>IF(B1669="","",IFERROR(INDEX(Client_List!$K:$K,MATCH(VALUE(B1669),Client_List!$A:$A,0)),""))</f>
        <v/>
      </c>
      <c r="H1669" s="32">
        <f>IF(B1669="","",IFERROR(INDEX(Client_List!$J:$J,MATCH(VALUE(B1669),Client_List!$A:$A,0)),""))</f>
        <v/>
      </c>
      <c r="I1669" s="70">
        <f>IF(B1669="","",IFERROR(A1669-LOOKUP(2,1/($B$4:$B1668=B1669),$A$4:$A1668),""))</f>
        <v/>
      </c>
      <c r="J1669" s="32">
        <f>IF(B1669="","",IFERROR(D1669/I1669,""))</f>
        <v/>
      </c>
      <c r="K1669" s="71">
        <f>IF(B1669="","",IFERROR(AVERAGEIFS($J$4:$J1669,$B$4:$B1669,B1669,$J$4:$J1669,"&gt;"&amp;0),""))</f>
        <v/>
      </c>
      <c r="L1669" s="11" t="n"/>
    </row>
    <row r="1670" ht="14" customHeight="1" s="72">
      <c r="A1670" s="80" t="n"/>
      <c r="B1670" s="81" t="n"/>
      <c r="C1670" s="69">
        <f>IF(B1670="","",IFERROR(INDEX(Client_List!$B:$B,MATCH(B1670,Client_List!$A:$A,0)),"⚠ NOT FOUND"))</f>
        <v/>
      </c>
      <c r="D1670" s="45" t="n"/>
      <c r="E1670" s="32">
        <f>IF(B1670="","",IFERROR(INDEX(Client_List!$C:$C,MATCH(VALUE(B1670),Client_List!$A:$A,0)),""))</f>
        <v/>
      </c>
      <c r="F1670" s="53">
        <f>IF(B1670="","",IFERROR(INDEX(Client_List!$D:$D,MATCH(VALUE(B1670),Client_List!$A:$A,0)),""))</f>
        <v/>
      </c>
      <c r="G1670" s="53">
        <f>IF(B1670="","",IFERROR(INDEX(Client_List!$K:$K,MATCH(VALUE(B1670),Client_List!$A:$A,0)),""))</f>
        <v/>
      </c>
      <c r="H1670" s="32">
        <f>IF(B1670="","",IFERROR(INDEX(Client_List!$J:$J,MATCH(VALUE(B1670),Client_List!$A:$A,0)),""))</f>
        <v/>
      </c>
      <c r="I1670" s="70">
        <f>IF(B1670="","",IFERROR(A1670-LOOKUP(2,1/($B$4:$B1669=B1670),$A$4:$A1669),""))</f>
        <v/>
      </c>
      <c r="J1670" s="32">
        <f>IF(B1670="","",IFERROR(D1670/I1670,""))</f>
        <v/>
      </c>
      <c r="K1670" s="71">
        <f>IF(B1670="","",IFERROR(AVERAGEIFS($J$4:$J1670,$B$4:$B1670,B1670,$J$4:$J1670,"&gt;"&amp;0),""))</f>
        <v/>
      </c>
      <c r="L1670" s="12" t="n"/>
    </row>
    <row r="1671" ht="14" customHeight="1" s="72">
      <c r="A1671" s="78" t="n"/>
      <c r="B1671" s="79" t="n"/>
      <c r="C1671" s="69">
        <f>IF(B1671="","",IFERROR(INDEX(Client_List!$B:$B,MATCH(B1671,Client_List!$A:$A,0)),"⚠ NOT FOUND"))</f>
        <v/>
      </c>
      <c r="D1671" s="44" t="n"/>
      <c r="E1671" s="32">
        <f>IF(B1671="","",IFERROR(INDEX(Client_List!$C:$C,MATCH(VALUE(B1671),Client_List!$A:$A,0)),""))</f>
        <v/>
      </c>
      <c r="F1671" s="53">
        <f>IF(B1671="","",IFERROR(INDEX(Client_List!$D:$D,MATCH(VALUE(B1671),Client_List!$A:$A,0)),""))</f>
        <v/>
      </c>
      <c r="G1671" s="53">
        <f>IF(B1671="","",IFERROR(INDEX(Client_List!$K:$K,MATCH(VALUE(B1671),Client_List!$A:$A,0)),""))</f>
        <v/>
      </c>
      <c r="H1671" s="32">
        <f>IF(B1671="","",IFERROR(INDEX(Client_List!$J:$J,MATCH(VALUE(B1671),Client_List!$A:$A,0)),""))</f>
        <v/>
      </c>
      <c r="I1671" s="70">
        <f>IF(B1671="","",IFERROR(A1671-LOOKUP(2,1/($B$4:$B1670=B1671),$A$4:$A1670),""))</f>
        <v/>
      </c>
      <c r="J1671" s="32">
        <f>IF(B1671="","",IFERROR(D1671/I1671,""))</f>
        <v/>
      </c>
      <c r="K1671" s="71">
        <f>IF(B1671="","",IFERROR(AVERAGEIFS($J$4:$J1671,$B$4:$B1671,B1671,$J$4:$J1671,"&gt;"&amp;0),""))</f>
        <v/>
      </c>
      <c r="L1671" s="11" t="n"/>
    </row>
    <row r="1672" ht="14" customHeight="1" s="72">
      <c r="A1672" s="80" t="n"/>
      <c r="B1672" s="81" t="n"/>
      <c r="C1672" s="69">
        <f>IF(B1672="","",IFERROR(INDEX(Client_List!$B:$B,MATCH(B1672,Client_List!$A:$A,0)),"⚠ NOT FOUND"))</f>
        <v/>
      </c>
      <c r="D1672" s="45" t="n"/>
      <c r="E1672" s="32">
        <f>IF(B1672="","",IFERROR(INDEX(Client_List!$C:$C,MATCH(VALUE(B1672),Client_List!$A:$A,0)),""))</f>
        <v/>
      </c>
      <c r="F1672" s="53">
        <f>IF(B1672="","",IFERROR(INDEX(Client_List!$D:$D,MATCH(VALUE(B1672),Client_List!$A:$A,0)),""))</f>
        <v/>
      </c>
      <c r="G1672" s="53">
        <f>IF(B1672="","",IFERROR(INDEX(Client_List!$K:$K,MATCH(VALUE(B1672),Client_List!$A:$A,0)),""))</f>
        <v/>
      </c>
      <c r="H1672" s="32">
        <f>IF(B1672="","",IFERROR(INDEX(Client_List!$J:$J,MATCH(VALUE(B1672),Client_List!$A:$A,0)),""))</f>
        <v/>
      </c>
      <c r="I1672" s="70">
        <f>IF(B1672="","",IFERROR(A1672-LOOKUP(2,1/($B$4:$B1671=B1672),$A$4:$A1671),""))</f>
        <v/>
      </c>
      <c r="J1672" s="32">
        <f>IF(B1672="","",IFERROR(D1672/I1672,""))</f>
        <v/>
      </c>
      <c r="K1672" s="71">
        <f>IF(B1672="","",IFERROR(AVERAGEIFS($J$4:$J1672,$B$4:$B1672,B1672,$J$4:$J1672,"&gt;"&amp;0),""))</f>
        <v/>
      </c>
      <c r="L1672" s="12" t="n"/>
    </row>
    <row r="1673" ht="14" customHeight="1" s="72">
      <c r="A1673" s="78" t="n"/>
      <c r="B1673" s="79" t="n"/>
      <c r="C1673" s="69">
        <f>IF(B1673="","",IFERROR(INDEX(Client_List!$B:$B,MATCH(B1673,Client_List!$A:$A,0)),"⚠ NOT FOUND"))</f>
        <v/>
      </c>
      <c r="D1673" s="44" t="n"/>
      <c r="E1673" s="32">
        <f>IF(B1673="","",IFERROR(INDEX(Client_List!$C:$C,MATCH(VALUE(B1673),Client_List!$A:$A,0)),""))</f>
        <v/>
      </c>
      <c r="F1673" s="53">
        <f>IF(B1673="","",IFERROR(INDEX(Client_List!$D:$D,MATCH(VALUE(B1673),Client_List!$A:$A,0)),""))</f>
        <v/>
      </c>
      <c r="G1673" s="53">
        <f>IF(B1673="","",IFERROR(INDEX(Client_List!$K:$K,MATCH(VALUE(B1673),Client_List!$A:$A,0)),""))</f>
        <v/>
      </c>
      <c r="H1673" s="32">
        <f>IF(B1673="","",IFERROR(INDEX(Client_List!$J:$J,MATCH(VALUE(B1673),Client_List!$A:$A,0)),""))</f>
        <v/>
      </c>
      <c r="I1673" s="70">
        <f>IF(B1673="","",IFERROR(A1673-LOOKUP(2,1/($B$4:$B1672=B1673),$A$4:$A1672),""))</f>
        <v/>
      </c>
      <c r="J1673" s="32">
        <f>IF(B1673="","",IFERROR(D1673/I1673,""))</f>
        <v/>
      </c>
      <c r="K1673" s="71">
        <f>IF(B1673="","",IFERROR(AVERAGEIFS($J$4:$J1673,$B$4:$B1673,B1673,$J$4:$J1673,"&gt;"&amp;0),""))</f>
        <v/>
      </c>
      <c r="L1673" s="11" t="n"/>
    </row>
    <row r="1674" ht="14" customHeight="1" s="72">
      <c r="A1674" s="80" t="n"/>
      <c r="B1674" s="81" t="n"/>
      <c r="C1674" s="69">
        <f>IF(B1674="","",IFERROR(INDEX(Client_List!$B:$B,MATCH(B1674,Client_List!$A:$A,0)),"⚠ NOT FOUND"))</f>
        <v/>
      </c>
      <c r="D1674" s="45" t="n"/>
      <c r="E1674" s="32">
        <f>IF(B1674="","",IFERROR(INDEX(Client_List!$C:$C,MATCH(VALUE(B1674),Client_List!$A:$A,0)),""))</f>
        <v/>
      </c>
      <c r="F1674" s="53">
        <f>IF(B1674="","",IFERROR(INDEX(Client_List!$D:$D,MATCH(VALUE(B1674),Client_List!$A:$A,0)),""))</f>
        <v/>
      </c>
      <c r="G1674" s="53">
        <f>IF(B1674="","",IFERROR(INDEX(Client_List!$K:$K,MATCH(VALUE(B1674),Client_List!$A:$A,0)),""))</f>
        <v/>
      </c>
      <c r="H1674" s="32">
        <f>IF(B1674="","",IFERROR(INDEX(Client_List!$J:$J,MATCH(VALUE(B1674),Client_List!$A:$A,0)),""))</f>
        <v/>
      </c>
      <c r="I1674" s="70">
        <f>IF(B1674="","",IFERROR(A1674-LOOKUP(2,1/($B$4:$B1673=B1674),$A$4:$A1673),""))</f>
        <v/>
      </c>
      <c r="J1674" s="32">
        <f>IF(B1674="","",IFERROR(D1674/I1674,""))</f>
        <v/>
      </c>
      <c r="K1674" s="71">
        <f>IF(B1674="","",IFERROR(AVERAGEIFS($J$4:$J1674,$B$4:$B1674,B1674,$J$4:$J1674,"&gt;"&amp;0),""))</f>
        <v/>
      </c>
      <c r="L1674" s="12" t="n"/>
    </row>
    <row r="1675" ht="14" customHeight="1" s="72">
      <c r="A1675" s="78" t="n"/>
      <c r="B1675" s="79" t="n"/>
      <c r="C1675" s="69">
        <f>IF(B1675="","",IFERROR(INDEX(Client_List!$B:$B,MATCH(B1675,Client_List!$A:$A,0)),"⚠ NOT FOUND"))</f>
        <v/>
      </c>
      <c r="D1675" s="44" t="n"/>
      <c r="E1675" s="32">
        <f>IF(B1675="","",IFERROR(INDEX(Client_List!$C:$C,MATCH(VALUE(B1675),Client_List!$A:$A,0)),""))</f>
        <v/>
      </c>
      <c r="F1675" s="53">
        <f>IF(B1675="","",IFERROR(INDEX(Client_List!$D:$D,MATCH(VALUE(B1675),Client_List!$A:$A,0)),""))</f>
        <v/>
      </c>
      <c r="G1675" s="53">
        <f>IF(B1675="","",IFERROR(INDEX(Client_List!$K:$K,MATCH(VALUE(B1675),Client_List!$A:$A,0)),""))</f>
        <v/>
      </c>
      <c r="H1675" s="32">
        <f>IF(B1675="","",IFERROR(INDEX(Client_List!$J:$J,MATCH(VALUE(B1675),Client_List!$A:$A,0)),""))</f>
        <v/>
      </c>
      <c r="I1675" s="70">
        <f>IF(B1675="","",IFERROR(A1675-LOOKUP(2,1/($B$4:$B1674=B1675),$A$4:$A1674),""))</f>
        <v/>
      </c>
      <c r="J1675" s="32">
        <f>IF(B1675="","",IFERROR(D1675/I1675,""))</f>
        <v/>
      </c>
      <c r="K1675" s="71">
        <f>IF(B1675="","",IFERROR(AVERAGEIFS($J$4:$J1675,$B$4:$B1675,B1675,$J$4:$J1675,"&gt;"&amp;0),""))</f>
        <v/>
      </c>
      <c r="L1675" s="11" t="n"/>
    </row>
    <row r="1676" ht="14" customHeight="1" s="72">
      <c r="A1676" s="80" t="n"/>
      <c r="B1676" s="81" t="n"/>
      <c r="C1676" s="69">
        <f>IF(B1676="","",IFERROR(INDEX(Client_List!$B:$B,MATCH(B1676,Client_List!$A:$A,0)),"⚠ NOT FOUND"))</f>
        <v/>
      </c>
      <c r="D1676" s="45" t="n"/>
      <c r="E1676" s="32">
        <f>IF(B1676="","",IFERROR(INDEX(Client_List!$C:$C,MATCH(VALUE(B1676),Client_List!$A:$A,0)),""))</f>
        <v/>
      </c>
      <c r="F1676" s="53">
        <f>IF(B1676="","",IFERROR(INDEX(Client_List!$D:$D,MATCH(VALUE(B1676),Client_List!$A:$A,0)),""))</f>
        <v/>
      </c>
      <c r="G1676" s="53">
        <f>IF(B1676="","",IFERROR(INDEX(Client_List!$K:$K,MATCH(VALUE(B1676),Client_List!$A:$A,0)),""))</f>
        <v/>
      </c>
      <c r="H1676" s="32">
        <f>IF(B1676="","",IFERROR(INDEX(Client_List!$J:$J,MATCH(VALUE(B1676),Client_List!$A:$A,0)),""))</f>
        <v/>
      </c>
      <c r="I1676" s="70">
        <f>IF(B1676="","",IFERROR(A1676-LOOKUP(2,1/($B$4:$B1675=B1676),$A$4:$A1675),""))</f>
        <v/>
      </c>
      <c r="J1676" s="32">
        <f>IF(B1676="","",IFERROR(D1676/I1676,""))</f>
        <v/>
      </c>
      <c r="K1676" s="71">
        <f>IF(B1676="","",IFERROR(AVERAGEIFS($J$4:$J1676,$B$4:$B1676,B1676,$J$4:$J1676,"&gt;"&amp;0),""))</f>
        <v/>
      </c>
      <c r="L1676" s="12" t="n"/>
    </row>
    <row r="1677" ht="14" customHeight="1" s="72">
      <c r="A1677" s="78" t="n"/>
      <c r="B1677" s="79" t="n"/>
      <c r="C1677" s="69">
        <f>IF(B1677="","",IFERROR(INDEX(Client_List!$B:$B,MATCH(B1677,Client_List!$A:$A,0)),"⚠ NOT FOUND"))</f>
        <v/>
      </c>
      <c r="D1677" s="44" t="n"/>
      <c r="E1677" s="32">
        <f>IF(B1677="","",IFERROR(INDEX(Client_List!$C:$C,MATCH(VALUE(B1677),Client_List!$A:$A,0)),""))</f>
        <v/>
      </c>
      <c r="F1677" s="53">
        <f>IF(B1677="","",IFERROR(INDEX(Client_List!$D:$D,MATCH(VALUE(B1677),Client_List!$A:$A,0)),""))</f>
        <v/>
      </c>
      <c r="G1677" s="53">
        <f>IF(B1677="","",IFERROR(INDEX(Client_List!$K:$K,MATCH(VALUE(B1677),Client_List!$A:$A,0)),""))</f>
        <v/>
      </c>
      <c r="H1677" s="32">
        <f>IF(B1677="","",IFERROR(INDEX(Client_List!$J:$J,MATCH(VALUE(B1677),Client_List!$A:$A,0)),""))</f>
        <v/>
      </c>
      <c r="I1677" s="70">
        <f>IF(B1677="","",IFERROR(A1677-LOOKUP(2,1/($B$4:$B1676=B1677),$A$4:$A1676),""))</f>
        <v/>
      </c>
      <c r="J1677" s="32">
        <f>IF(B1677="","",IFERROR(D1677/I1677,""))</f>
        <v/>
      </c>
      <c r="K1677" s="71">
        <f>IF(B1677="","",IFERROR(AVERAGEIFS($J$4:$J1677,$B$4:$B1677,B1677,$J$4:$J1677,"&gt;"&amp;0),""))</f>
        <v/>
      </c>
      <c r="L1677" s="11" t="n"/>
    </row>
    <row r="1678" ht="14" customHeight="1" s="72">
      <c r="A1678" s="80" t="n"/>
      <c r="B1678" s="81" t="n"/>
      <c r="C1678" s="69">
        <f>IF(B1678="","",IFERROR(INDEX(Client_List!$B:$B,MATCH(B1678,Client_List!$A:$A,0)),"⚠ NOT FOUND"))</f>
        <v/>
      </c>
      <c r="D1678" s="45" t="n"/>
      <c r="E1678" s="32">
        <f>IF(B1678="","",IFERROR(INDEX(Client_List!$C:$C,MATCH(VALUE(B1678),Client_List!$A:$A,0)),""))</f>
        <v/>
      </c>
      <c r="F1678" s="53">
        <f>IF(B1678="","",IFERROR(INDEX(Client_List!$D:$D,MATCH(VALUE(B1678),Client_List!$A:$A,0)),""))</f>
        <v/>
      </c>
      <c r="G1678" s="53">
        <f>IF(B1678="","",IFERROR(INDEX(Client_List!$K:$K,MATCH(VALUE(B1678),Client_List!$A:$A,0)),""))</f>
        <v/>
      </c>
      <c r="H1678" s="32">
        <f>IF(B1678="","",IFERROR(INDEX(Client_List!$J:$J,MATCH(VALUE(B1678),Client_List!$A:$A,0)),""))</f>
        <v/>
      </c>
      <c r="I1678" s="70">
        <f>IF(B1678="","",IFERROR(A1678-LOOKUP(2,1/($B$4:$B1677=B1678),$A$4:$A1677),""))</f>
        <v/>
      </c>
      <c r="J1678" s="32">
        <f>IF(B1678="","",IFERROR(D1678/I1678,""))</f>
        <v/>
      </c>
      <c r="K1678" s="71">
        <f>IF(B1678="","",IFERROR(AVERAGEIFS($J$4:$J1678,$B$4:$B1678,B1678,$J$4:$J1678,"&gt;"&amp;0),""))</f>
        <v/>
      </c>
      <c r="L1678" s="12" t="n"/>
    </row>
    <row r="1679" ht="14" customHeight="1" s="72">
      <c r="A1679" s="78" t="n"/>
      <c r="B1679" s="79" t="n"/>
      <c r="C1679" s="69">
        <f>IF(B1679="","",IFERROR(INDEX(Client_List!$B:$B,MATCH(B1679,Client_List!$A:$A,0)),"⚠ NOT FOUND"))</f>
        <v/>
      </c>
      <c r="D1679" s="44" t="n"/>
      <c r="E1679" s="32">
        <f>IF(B1679="","",IFERROR(INDEX(Client_List!$C:$C,MATCH(VALUE(B1679),Client_List!$A:$A,0)),""))</f>
        <v/>
      </c>
      <c r="F1679" s="53">
        <f>IF(B1679="","",IFERROR(INDEX(Client_List!$D:$D,MATCH(VALUE(B1679),Client_List!$A:$A,0)),""))</f>
        <v/>
      </c>
      <c r="G1679" s="53">
        <f>IF(B1679="","",IFERROR(INDEX(Client_List!$K:$K,MATCH(VALUE(B1679),Client_List!$A:$A,0)),""))</f>
        <v/>
      </c>
      <c r="H1679" s="32">
        <f>IF(B1679="","",IFERROR(INDEX(Client_List!$J:$J,MATCH(VALUE(B1679),Client_List!$A:$A,0)),""))</f>
        <v/>
      </c>
      <c r="I1679" s="70">
        <f>IF(B1679="","",IFERROR(A1679-LOOKUP(2,1/($B$4:$B1678=B1679),$A$4:$A1678),""))</f>
        <v/>
      </c>
      <c r="J1679" s="32">
        <f>IF(B1679="","",IFERROR(D1679/I1679,""))</f>
        <v/>
      </c>
      <c r="K1679" s="71">
        <f>IF(B1679="","",IFERROR(AVERAGEIFS($J$4:$J1679,$B$4:$B1679,B1679,$J$4:$J1679,"&gt;"&amp;0),""))</f>
        <v/>
      </c>
      <c r="L1679" s="11" t="n"/>
    </row>
    <row r="1680" ht="14" customHeight="1" s="72">
      <c r="A1680" s="80" t="n"/>
      <c r="B1680" s="81" t="n"/>
      <c r="C1680" s="69">
        <f>IF(B1680="","",IFERROR(INDEX(Client_List!$B:$B,MATCH(B1680,Client_List!$A:$A,0)),"⚠ NOT FOUND"))</f>
        <v/>
      </c>
      <c r="D1680" s="45" t="n"/>
      <c r="E1680" s="32">
        <f>IF(B1680="","",IFERROR(INDEX(Client_List!$C:$C,MATCH(VALUE(B1680),Client_List!$A:$A,0)),""))</f>
        <v/>
      </c>
      <c r="F1680" s="53">
        <f>IF(B1680="","",IFERROR(INDEX(Client_List!$D:$D,MATCH(VALUE(B1680),Client_List!$A:$A,0)),""))</f>
        <v/>
      </c>
      <c r="G1680" s="53">
        <f>IF(B1680="","",IFERROR(INDEX(Client_List!$K:$K,MATCH(VALUE(B1680),Client_List!$A:$A,0)),""))</f>
        <v/>
      </c>
      <c r="H1680" s="32">
        <f>IF(B1680="","",IFERROR(INDEX(Client_List!$J:$J,MATCH(VALUE(B1680),Client_List!$A:$A,0)),""))</f>
        <v/>
      </c>
      <c r="I1680" s="70">
        <f>IF(B1680="","",IFERROR(A1680-LOOKUP(2,1/($B$4:$B1679=B1680),$A$4:$A1679),""))</f>
        <v/>
      </c>
      <c r="J1680" s="32">
        <f>IF(B1680="","",IFERROR(D1680/I1680,""))</f>
        <v/>
      </c>
      <c r="K1680" s="71">
        <f>IF(B1680="","",IFERROR(AVERAGEIFS($J$4:$J1680,$B$4:$B1680,B1680,$J$4:$J1680,"&gt;"&amp;0),""))</f>
        <v/>
      </c>
      <c r="L1680" s="12" t="n"/>
    </row>
    <row r="1681" ht="14" customHeight="1" s="72">
      <c r="A1681" s="78" t="n"/>
      <c r="B1681" s="79" t="n"/>
      <c r="C1681" s="69">
        <f>IF(B1681="","",IFERROR(INDEX(Client_List!$B:$B,MATCH(B1681,Client_List!$A:$A,0)),"⚠ NOT FOUND"))</f>
        <v/>
      </c>
      <c r="D1681" s="44" t="n"/>
      <c r="E1681" s="32">
        <f>IF(B1681="","",IFERROR(INDEX(Client_List!$C:$C,MATCH(VALUE(B1681),Client_List!$A:$A,0)),""))</f>
        <v/>
      </c>
      <c r="F1681" s="53">
        <f>IF(B1681="","",IFERROR(INDEX(Client_List!$D:$D,MATCH(VALUE(B1681),Client_List!$A:$A,0)),""))</f>
        <v/>
      </c>
      <c r="G1681" s="53">
        <f>IF(B1681="","",IFERROR(INDEX(Client_List!$K:$K,MATCH(VALUE(B1681),Client_List!$A:$A,0)),""))</f>
        <v/>
      </c>
      <c r="H1681" s="32">
        <f>IF(B1681="","",IFERROR(INDEX(Client_List!$J:$J,MATCH(VALUE(B1681),Client_List!$A:$A,0)),""))</f>
        <v/>
      </c>
      <c r="I1681" s="70">
        <f>IF(B1681="","",IFERROR(A1681-LOOKUP(2,1/($B$4:$B1680=B1681),$A$4:$A1680),""))</f>
        <v/>
      </c>
      <c r="J1681" s="32">
        <f>IF(B1681="","",IFERROR(D1681/I1681,""))</f>
        <v/>
      </c>
      <c r="K1681" s="71">
        <f>IF(B1681="","",IFERROR(AVERAGEIFS($J$4:$J1681,$B$4:$B1681,B1681,$J$4:$J1681,"&gt;"&amp;0),""))</f>
        <v/>
      </c>
      <c r="L1681" s="11" t="n"/>
    </row>
    <row r="1682" ht="14" customHeight="1" s="72">
      <c r="A1682" s="80" t="n"/>
      <c r="B1682" s="81" t="n"/>
      <c r="C1682" s="69">
        <f>IF(B1682="","",IFERROR(INDEX(Client_List!$B:$B,MATCH(B1682,Client_List!$A:$A,0)),"⚠ NOT FOUND"))</f>
        <v/>
      </c>
      <c r="D1682" s="45" t="n"/>
      <c r="E1682" s="32">
        <f>IF(B1682="","",IFERROR(INDEX(Client_List!$C:$C,MATCH(VALUE(B1682),Client_List!$A:$A,0)),""))</f>
        <v/>
      </c>
      <c r="F1682" s="53">
        <f>IF(B1682="","",IFERROR(INDEX(Client_List!$D:$D,MATCH(VALUE(B1682),Client_List!$A:$A,0)),""))</f>
        <v/>
      </c>
      <c r="G1682" s="53">
        <f>IF(B1682="","",IFERROR(INDEX(Client_List!$K:$K,MATCH(VALUE(B1682),Client_List!$A:$A,0)),""))</f>
        <v/>
      </c>
      <c r="H1682" s="32">
        <f>IF(B1682="","",IFERROR(INDEX(Client_List!$J:$J,MATCH(VALUE(B1682),Client_List!$A:$A,0)),""))</f>
        <v/>
      </c>
      <c r="I1682" s="70">
        <f>IF(B1682="","",IFERROR(A1682-LOOKUP(2,1/($B$4:$B1681=B1682),$A$4:$A1681),""))</f>
        <v/>
      </c>
      <c r="J1682" s="32">
        <f>IF(B1682="","",IFERROR(D1682/I1682,""))</f>
        <v/>
      </c>
      <c r="K1682" s="71">
        <f>IF(B1682="","",IFERROR(AVERAGEIFS($J$4:$J1682,$B$4:$B1682,B1682,$J$4:$J1682,"&gt;"&amp;0),""))</f>
        <v/>
      </c>
      <c r="L1682" s="12" t="n"/>
    </row>
    <row r="1683" ht="14" customHeight="1" s="72">
      <c r="A1683" s="78" t="n"/>
      <c r="B1683" s="79" t="n"/>
      <c r="C1683" s="69">
        <f>IF(B1683="","",IFERROR(INDEX(Client_List!$B:$B,MATCH(B1683,Client_List!$A:$A,0)),"⚠ NOT FOUND"))</f>
        <v/>
      </c>
      <c r="D1683" s="44" t="n"/>
      <c r="E1683" s="32">
        <f>IF(B1683="","",IFERROR(INDEX(Client_List!$C:$C,MATCH(VALUE(B1683),Client_List!$A:$A,0)),""))</f>
        <v/>
      </c>
      <c r="F1683" s="53">
        <f>IF(B1683="","",IFERROR(INDEX(Client_List!$D:$D,MATCH(VALUE(B1683),Client_List!$A:$A,0)),""))</f>
        <v/>
      </c>
      <c r="G1683" s="53">
        <f>IF(B1683="","",IFERROR(INDEX(Client_List!$K:$K,MATCH(VALUE(B1683),Client_List!$A:$A,0)),""))</f>
        <v/>
      </c>
      <c r="H1683" s="32">
        <f>IF(B1683="","",IFERROR(INDEX(Client_List!$J:$J,MATCH(VALUE(B1683),Client_List!$A:$A,0)),""))</f>
        <v/>
      </c>
      <c r="I1683" s="70">
        <f>IF(B1683="","",IFERROR(A1683-LOOKUP(2,1/($B$4:$B1682=B1683),$A$4:$A1682),""))</f>
        <v/>
      </c>
      <c r="J1683" s="32">
        <f>IF(B1683="","",IFERROR(D1683/I1683,""))</f>
        <v/>
      </c>
      <c r="K1683" s="71">
        <f>IF(B1683="","",IFERROR(AVERAGEIFS($J$4:$J1683,$B$4:$B1683,B1683,$J$4:$J1683,"&gt;"&amp;0),""))</f>
        <v/>
      </c>
      <c r="L1683" s="11" t="n"/>
    </row>
    <row r="1684" ht="14" customHeight="1" s="72">
      <c r="A1684" s="80" t="n"/>
      <c r="B1684" s="81" t="n"/>
      <c r="C1684" s="69">
        <f>IF(B1684="","",IFERROR(INDEX(Client_List!$B:$B,MATCH(B1684,Client_List!$A:$A,0)),"⚠ NOT FOUND"))</f>
        <v/>
      </c>
      <c r="D1684" s="45" t="n"/>
      <c r="E1684" s="32">
        <f>IF(B1684="","",IFERROR(INDEX(Client_List!$C:$C,MATCH(VALUE(B1684),Client_List!$A:$A,0)),""))</f>
        <v/>
      </c>
      <c r="F1684" s="53">
        <f>IF(B1684="","",IFERROR(INDEX(Client_List!$D:$D,MATCH(VALUE(B1684),Client_List!$A:$A,0)),""))</f>
        <v/>
      </c>
      <c r="G1684" s="53">
        <f>IF(B1684="","",IFERROR(INDEX(Client_List!$K:$K,MATCH(VALUE(B1684),Client_List!$A:$A,0)),""))</f>
        <v/>
      </c>
      <c r="H1684" s="32">
        <f>IF(B1684="","",IFERROR(INDEX(Client_List!$J:$J,MATCH(VALUE(B1684),Client_List!$A:$A,0)),""))</f>
        <v/>
      </c>
      <c r="I1684" s="70">
        <f>IF(B1684="","",IFERROR(A1684-LOOKUP(2,1/($B$4:$B1683=B1684),$A$4:$A1683),""))</f>
        <v/>
      </c>
      <c r="J1684" s="32">
        <f>IF(B1684="","",IFERROR(D1684/I1684,""))</f>
        <v/>
      </c>
      <c r="K1684" s="71">
        <f>IF(B1684="","",IFERROR(AVERAGEIFS($J$4:$J1684,$B$4:$B1684,B1684,$J$4:$J1684,"&gt;"&amp;0),""))</f>
        <v/>
      </c>
      <c r="L1684" s="12" t="n"/>
    </row>
    <row r="1685" ht="14" customHeight="1" s="72">
      <c r="A1685" s="78" t="n"/>
      <c r="B1685" s="79" t="n"/>
      <c r="C1685" s="69">
        <f>IF(B1685="","",IFERROR(INDEX(Client_List!$B:$B,MATCH(B1685,Client_List!$A:$A,0)),"⚠ NOT FOUND"))</f>
        <v/>
      </c>
      <c r="D1685" s="44" t="n"/>
      <c r="E1685" s="32">
        <f>IF(B1685="","",IFERROR(INDEX(Client_List!$C:$C,MATCH(VALUE(B1685),Client_List!$A:$A,0)),""))</f>
        <v/>
      </c>
      <c r="F1685" s="53">
        <f>IF(B1685="","",IFERROR(INDEX(Client_List!$D:$D,MATCH(VALUE(B1685),Client_List!$A:$A,0)),""))</f>
        <v/>
      </c>
      <c r="G1685" s="53">
        <f>IF(B1685="","",IFERROR(INDEX(Client_List!$K:$K,MATCH(VALUE(B1685),Client_List!$A:$A,0)),""))</f>
        <v/>
      </c>
      <c r="H1685" s="32">
        <f>IF(B1685="","",IFERROR(INDEX(Client_List!$J:$J,MATCH(VALUE(B1685),Client_List!$A:$A,0)),""))</f>
        <v/>
      </c>
      <c r="I1685" s="70">
        <f>IF(B1685="","",IFERROR(A1685-LOOKUP(2,1/($B$4:$B1684=B1685),$A$4:$A1684),""))</f>
        <v/>
      </c>
      <c r="J1685" s="32">
        <f>IF(B1685="","",IFERROR(D1685/I1685,""))</f>
        <v/>
      </c>
      <c r="K1685" s="71">
        <f>IF(B1685="","",IFERROR(AVERAGEIFS($J$4:$J1685,$B$4:$B1685,B1685,$J$4:$J1685,"&gt;"&amp;0),""))</f>
        <v/>
      </c>
      <c r="L1685" s="11" t="n"/>
    </row>
    <row r="1686" ht="14" customHeight="1" s="72">
      <c r="A1686" s="80" t="n"/>
      <c r="B1686" s="81" t="n"/>
      <c r="C1686" s="69">
        <f>IF(B1686="","",IFERROR(INDEX(Client_List!$B:$B,MATCH(B1686,Client_List!$A:$A,0)),"⚠ NOT FOUND"))</f>
        <v/>
      </c>
      <c r="D1686" s="45" t="n"/>
      <c r="E1686" s="32">
        <f>IF(B1686="","",IFERROR(INDEX(Client_List!$C:$C,MATCH(VALUE(B1686),Client_List!$A:$A,0)),""))</f>
        <v/>
      </c>
      <c r="F1686" s="53">
        <f>IF(B1686="","",IFERROR(INDEX(Client_List!$D:$D,MATCH(VALUE(B1686),Client_List!$A:$A,0)),""))</f>
        <v/>
      </c>
      <c r="G1686" s="53">
        <f>IF(B1686="","",IFERROR(INDEX(Client_List!$K:$K,MATCH(VALUE(B1686),Client_List!$A:$A,0)),""))</f>
        <v/>
      </c>
      <c r="H1686" s="32">
        <f>IF(B1686="","",IFERROR(INDEX(Client_List!$J:$J,MATCH(VALUE(B1686),Client_List!$A:$A,0)),""))</f>
        <v/>
      </c>
      <c r="I1686" s="70">
        <f>IF(B1686="","",IFERROR(A1686-LOOKUP(2,1/($B$4:$B1685=B1686),$A$4:$A1685),""))</f>
        <v/>
      </c>
      <c r="J1686" s="32">
        <f>IF(B1686="","",IFERROR(D1686/I1686,""))</f>
        <v/>
      </c>
      <c r="K1686" s="71">
        <f>IF(B1686="","",IFERROR(AVERAGEIFS($J$4:$J1686,$B$4:$B1686,B1686,$J$4:$J1686,"&gt;"&amp;0),""))</f>
        <v/>
      </c>
      <c r="L1686" s="12" t="n"/>
    </row>
    <row r="1687" ht="14" customHeight="1" s="72">
      <c r="A1687" s="78" t="n"/>
      <c r="B1687" s="79" t="n"/>
      <c r="C1687" s="69">
        <f>IF(B1687="","",IFERROR(INDEX(Client_List!$B:$B,MATCH(B1687,Client_List!$A:$A,0)),"⚠ NOT FOUND"))</f>
        <v/>
      </c>
      <c r="D1687" s="44" t="n"/>
      <c r="E1687" s="32">
        <f>IF(B1687="","",IFERROR(INDEX(Client_List!$C:$C,MATCH(VALUE(B1687),Client_List!$A:$A,0)),""))</f>
        <v/>
      </c>
      <c r="F1687" s="53">
        <f>IF(B1687="","",IFERROR(INDEX(Client_List!$D:$D,MATCH(VALUE(B1687),Client_List!$A:$A,0)),""))</f>
        <v/>
      </c>
      <c r="G1687" s="53">
        <f>IF(B1687="","",IFERROR(INDEX(Client_List!$K:$K,MATCH(VALUE(B1687),Client_List!$A:$A,0)),""))</f>
        <v/>
      </c>
      <c r="H1687" s="32">
        <f>IF(B1687="","",IFERROR(INDEX(Client_List!$J:$J,MATCH(VALUE(B1687),Client_List!$A:$A,0)),""))</f>
        <v/>
      </c>
      <c r="I1687" s="70">
        <f>IF(B1687="","",IFERROR(A1687-LOOKUP(2,1/($B$4:$B1686=B1687),$A$4:$A1686),""))</f>
        <v/>
      </c>
      <c r="J1687" s="32">
        <f>IF(B1687="","",IFERROR(D1687/I1687,""))</f>
        <v/>
      </c>
      <c r="K1687" s="71">
        <f>IF(B1687="","",IFERROR(AVERAGEIFS($J$4:$J1687,$B$4:$B1687,B1687,$J$4:$J1687,"&gt;"&amp;0),""))</f>
        <v/>
      </c>
      <c r="L1687" s="11" t="n"/>
    </row>
    <row r="1688" ht="14" customHeight="1" s="72">
      <c r="A1688" s="80" t="n"/>
      <c r="B1688" s="81" t="n"/>
      <c r="C1688" s="69">
        <f>IF(B1688="","",IFERROR(INDEX(Client_List!$B:$B,MATCH(B1688,Client_List!$A:$A,0)),"⚠ NOT FOUND"))</f>
        <v/>
      </c>
      <c r="D1688" s="45" t="n"/>
      <c r="E1688" s="32">
        <f>IF(B1688="","",IFERROR(INDEX(Client_List!$C:$C,MATCH(VALUE(B1688),Client_List!$A:$A,0)),""))</f>
        <v/>
      </c>
      <c r="F1688" s="53">
        <f>IF(B1688="","",IFERROR(INDEX(Client_List!$D:$D,MATCH(VALUE(B1688),Client_List!$A:$A,0)),""))</f>
        <v/>
      </c>
      <c r="G1688" s="53">
        <f>IF(B1688="","",IFERROR(INDEX(Client_List!$K:$K,MATCH(VALUE(B1688),Client_List!$A:$A,0)),""))</f>
        <v/>
      </c>
      <c r="H1688" s="32">
        <f>IF(B1688="","",IFERROR(INDEX(Client_List!$J:$J,MATCH(VALUE(B1688),Client_List!$A:$A,0)),""))</f>
        <v/>
      </c>
      <c r="I1688" s="70">
        <f>IF(B1688="","",IFERROR(A1688-LOOKUP(2,1/($B$4:$B1687=B1688),$A$4:$A1687),""))</f>
        <v/>
      </c>
      <c r="J1688" s="32">
        <f>IF(B1688="","",IFERROR(D1688/I1688,""))</f>
        <v/>
      </c>
      <c r="K1688" s="71">
        <f>IF(B1688="","",IFERROR(AVERAGEIFS($J$4:$J1688,$B$4:$B1688,B1688,$J$4:$J1688,"&gt;"&amp;0),""))</f>
        <v/>
      </c>
      <c r="L1688" s="12" t="n"/>
    </row>
    <row r="1689" ht="14" customHeight="1" s="72">
      <c r="A1689" s="78" t="n"/>
      <c r="B1689" s="79" t="n"/>
      <c r="C1689" s="69">
        <f>IF(B1689="","",IFERROR(INDEX(Client_List!$B:$B,MATCH(B1689,Client_List!$A:$A,0)),"⚠ NOT FOUND"))</f>
        <v/>
      </c>
      <c r="D1689" s="44" t="n"/>
      <c r="E1689" s="32">
        <f>IF(B1689="","",IFERROR(INDEX(Client_List!$C:$C,MATCH(VALUE(B1689),Client_List!$A:$A,0)),""))</f>
        <v/>
      </c>
      <c r="F1689" s="53">
        <f>IF(B1689="","",IFERROR(INDEX(Client_List!$D:$D,MATCH(VALUE(B1689),Client_List!$A:$A,0)),""))</f>
        <v/>
      </c>
      <c r="G1689" s="53">
        <f>IF(B1689="","",IFERROR(INDEX(Client_List!$K:$K,MATCH(VALUE(B1689),Client_List!$A:$A,0)),""))</f>
        <v/>
      </c>
      <c r="H1689" s="32">
        <f>IF(B1689="","",IFERROR(INDEX(Client_List!$J:$J,MATCH(VALUE(B1689),Client_List!$A:$A,0)),""))</f>
        <v/>
      </c>
      <c r="I1689" s="70">
        <f>IF(B1689="","",IFERROR(A1689-LOOKUP(2,1/($B$4:$B1688=B1689),$A$4:$A1688),""))</f>
        <v/>
      </c>
      <c r="J1689" s="32">
        <f>IF(B1689="","",IFERROR(D1689/I1689,""))</f>
        <v/>
      </c>
      <c r="K1689" s="71">
        <f>IF(B1689="","",IFERROR(AVERAGEIFS($J$4:$J1689,$B$4:$B1689,B1689,$J$4:$J1689,"&gt;"&amp;0),""))</f>
        <v/>
      </c>
      <c r="L1689" s="11" t="n"/>
    </row>
    <row r="1690" ht="14" customHeight="1" s="72">
      <c r="A1690" s="80" t="n"/>
      <c r="B1690" s="81" t="n"/>
      <c r="C1690" s="69">
        <f>IF(B1690="","",IFERROR(INDEX(Client_List!$B:$B,MATCH(B1690,Client_List!$A:$A,0)),"⚠ NOT FOUND"))</f>
        <v/>
      </c>
      <c r="D1690" s="45" t="n"/>
      <c r="E1690" s="32">
        <f>IF(B1690="","",IFERROR(INDEX(Client_List!$C:$C,MATCH(VALUE(B1690),Client_List!$A:$A,0)),""))</f>
        <v/>
      </c>
      <c r="F1690" s="53">
        <f>IF(B1690="","",IFERROR(INDEX(Client_List!$D:$D,MATCH(VALUE(B1690),Client_List!$A:$A,0)),""))</f>
        <v/>
      </c>
      <c r="G1690" s="53">
        <f>IF(B1690="","",IFERROR(INDEX(Client_List!$K:$K,MATCH(VALUE(B1690),Client_List!$A:$A,0)),""))</f>
        <v/>
      </c>
      <c r="H1690" s="32">
        <f>IF(B1690="","",IFERROR(INDEX(Client_List!$J:$J,MATCH(VALUE(B1690),Client_List!$A:$A,0)),""))</f>
        <v/>
      </c>
      <c r="I1690" s="70">
        <f>IF(B1690="","",IFERROR(A1690-LOOKUP(2,1/($B$4:$B1689=B1690),$A$4:$A1689),""))</f>
        <v/>
      </c>
      <c r="J1690" s="32">
        <f>IF(B1690="","",IFERROR(D1690/I1690,""))</f>
        <v/>
      </c>
      <c r="K1690" s="71">
        <f>IF(B1690="","",IFERROR(AVERAGEIFS($J$4:$J1690,$B$4:$B1690,B1690,$J$4:$J1690,"&gt;"&amp;0),""))</f>
        <v/>
      </c>
      <c r="L1690" s="12" t="n"/>
    </row>
    <row r="1691" ht="14" customHeight="1" s="72">
      <c r="A1691" s="78" t="n"/>
      <c r="B1691" s="79" t="n"/>
      <c r="C1691" s="69">
        <f>IF(B1691="","",IFERROR(INDEX(Client_List!$B:$B,MATCH(B1691,Client_List!$A:$A,0)),"⚠ NOT FOUND"))</f>
        <v/>
      </c>
      <c r="D1691" s="44" t="n"/>
      <c r="E1691" s="32">
        <f>IF(B1691="","",IFERROR(INDEX(Client_List!$C:$C,MATCH(VALUE(B1691),Client_List!$A:$A,0)),""))</f>
        <v/>
      </c>
      <c r="F1691" s="53">
        <f>IF(B1691="","",IFERROR(INDEX(Client_List!$D:$D,MATCH(VALUE(B1691),Client_List!$A:$A,0)),""))</f>
        <v/>
      </c>
      <c r="G1691" s="53">
        <f>IF(B1691="","",IFERROR(INDEX(Client_List!$K:$K,MATCH(VALUE(B1691),Client_List!$A:$A,0)),""))</f>
        <v/>
      </c>
      <c r="H1691" s="32">
        <f>IF(B1691="","",IFERROR(INDEX(Client_List!$J:$J,MATCH(VALUE(B1691),Client_List!$A:$A,0)),""))</f>
        <v/>
      </c>
      <c r="I1691" s="70">
        <f>IF(B1691="","",IFERROR(A1691-LOOKUP(2,1/($B$4:$B1690=B1691),$A$4:$A1690),""))</f>
        <v/>
      </c>
      <c r="J1691" s="32">
        <f>IF(B1691="","",IFERROR(D1691/I1691,""))</f>
        <v/>
      </c>
      <c r="K1691" s="71">
        <f>IF(B1691="","",IFERROR(AVERAGEIFS($J$4:$J1691,$B$4:$B1691,B1691,$J$4:$J1691,"&gt;"&amp;0),""))</f>
        <v/>
      </c>
      <c r="L1691" s="11" t="n"/>
    </row>
    <row r="1692" ht="14" customHeight="1" s="72">
      <c r="A1692" s="80" t="n"/>
      <c r="B1692" s="81" t="n"/>
      <c r="C1692" s="69">
        <f>IF(B1692="","",IFERROR(INDEX(Client_List!$B:$B,MATCH(B1692,Client_List!$A:$A,0)),"⚠ NOT FOUND"))</f>
        <v/>
      </c>
      <c r="D1692" s="45" t="n"/>
      <c r="E1692" s="32">
        <f>IF(B1692="","",IFERROR(INDEX(Client_List!$C:$C,MATCH(VALUE(B1692),Client_List!$A:$A,0)),""))</f>
        <v/>
      </c>
      <c r="F1692" s="53">
        <f>IF(B1692="","",IFERROR(INDEX(Client_List!$D:$D,MATCH(VALUE(B1692),Client_List!$A:$A,0)),""))</f>
        <v/>
      </c>
      <c r="G1692" s="53">
        <f>IF(B1692="","",IFERROR(INDEX(Client_List!$K:$K,MATCH(VALUE(B1692),Client_List!$A:$A,0)),""))</f>
        <v/>
      </c>
      <c r="H1692" s="32">
        <f>IF(B1692="","",IFERROR(INDEX(Client_List!$J:$J,MATCH(VALUE(B1692),Client_List!$A:$A,0)),""))</f>
        <v/>
      </c>
      <c r="I1692" s="70">
        <f>IF(B1692="","",IFERROR(A1692-LOOKUP(2,1/($B$4:$B1691=B1692),$A$4:$A1691),""))</f>
        <v/>
      </c>
      <c r="J1692" s="32">
        <f>IF(B1692="","",IFERROR(D1692/I1692,""))</f>
        <v/>
      </c>
      <c r="K1692" s="71">
        <f>IF(B1692="","",IFERROR(AVERAGEIFS($J$4:$J1692,$B$4:$B1692,B1692,$J$4:$J1692,"&gt;"&amp;0),""))</f>
        <v/>
      </c>
      <c r="L1692" s="12" t="n"/>
    </row>
    <row r="1693" ht="14" customHeight="1" s="72">
      <c r="A1693" s="78" t="n"/>
      <c r="B1693" s="79" t="n"/>
      <c r="C1693" s="69">
        <f>IF(B1693="","",IFERROR(INDEX(Client_List!$B:$B,MATCH(B1693,Client_List!$A:$A,0)),"⚠ NOT FOUND"))</f>
        <v/>
      </c>
      <c r="D1693" s="44" t="n"/>
      <c r="E1693" s="32">
        <f>IF(B1693="","",IFERROR(INDEX(Client_List!$C:$C,MATCH(VALUE(B1693),Client_List!$A:$A,0)),""))</f>
        <v/>
      </c>
      <c r="F1693" s="53">
        <f>IF(B1693="","",IFERROR(INDEX(Client_List!$D:$D,MATCH(VALUE(B1693),Client_List!$A:$A,0)),""))</f>
        <v/>
      </c>
      <c r="G1693" s="53">
        <f>IF(B1693="","",IFERROR(INDEX(Client_List!$K:$K,MATCH(VALUE(B1693),Client_List!$A:$A,0)),""))</f>
        <v/>
      </c>
      <c r="H1693" s="32">
        <f>IF(B1693="","",IFERROR(INDEX(Client_List!$J:$J,MATCH(VALUE(B1693),Client_List!$A:$A,0)),""))</f>
        <v/>
      </c>
      <c r="I1693" s="70">
        <f>IF(B1693="","",IFERROR(A1693-LOOKUP(2,1/($B$4:$B1692=B1693),$A$4:$A1692),""))</f>
        <v/>
      </c>
      <c r="J1693" s="32">
        <f>IF(B1693="","",IFERROR(D1693/I1693,""))</f>
        <v/>
      </c>
      <c r="K1693" s="71">
        <f>IF(B1693="","",IFERROR(AVERAGEIFS($J$4:$J1693,$B$4:$B1693,B1693,$J$4:$J1693,"&gt;"&amp;0),""))</f>
        <v/>
      </c>
      <c r="L1693" s="11" t="n"/>
    </row>
    <row r="1694" ht="14" customHeight="1" s="72">
      <c r="A1694" s="80" t="n"/>
      <c r="B1694" s="81" t="n"/>
      <c r="C1694" s="69">
        <f>IF(B1694="","",IFERROR(INDEX(Client_List!$B:$B,MATCH(B1694,Client_List!$A:$A,0)),"⚠ NOT FOUND"))</f>
        <v/>
      </c>
      <c r="D1694" s="45" t="n"/>
      <c r="E1694" s="32">
        <f>IF(B1694="","",IFERROR(INDEX(Client_List!$C:$C,MATCH(VALUE(B1694),Client_List!$A:$A,0)),""))</f>
        <v/>
      </c>
      <c r="F1694" s="53">
        <f>IF(B1694="","",IFERROR(INDEX(Client_List!$D:$D,MATCH(VALUE(B1694),Client_List!$A:$A,0)),""))</f>
        <v/>
      </c>
      <c r="G1694" s="53">
        <f>IF(B1694="","",IFERROR(INDEX(Client_List!$K:$K,MATCH(VALUE(B1694),Client_List!$A:$A,0)),""))</f>
        <v/>
      </c>
      <c r="H1694" s="32">
        <f>IF(B1694="","",IFERROR(INDEX(Client_List!$J:$J,MATCH(VALUE(B1694),Client_List!$A:$A,0)),""))</f>
        <v/>
      </c>
      <c r="I1694" s="70">
        <f>IF(B1694="","",IFERROR(A1694-LOOKUP(2,1/($B$4:$B1693=B1694),$A$4:$A1693),""))</f>
        <v/>
      </c>
      <c r="J1694" s="32">
        <f>IF(B1694="","",IFERROR(D1694/I1694,""))</f>
        <v/>
      </c>
      <c r="K1694" s="71">
        <f>IF(B1694="","",IFERROR(AVERAGEIFS($J$4:$J1694,$B$4:$B1694,B1694,$J$4:$J1694,"&gt;"&amp;0),""))</f>
        <v/>
      </c>
      <c r="L1694" s="12" t="n"/>
    </row>
    <row r="1695" ht="14" customHeight="1" s="72">
      <c r="A1695" s="78" t="n"/>
      <c r="B1695" s="79" t="n"/>
      <c r="C1695" s="69">
        <f>IF(B1695="","",IFERROR(INDEX(Client_List!$B:$B,MATCH(B1695,Client_List!$A:$A,0)),"⚠ NOT FOUND"))</f>
        <v/>
      </c>
      <c r="D1695" s="44" t="n"/>
      <c r="E1695" s="32">
        <f>IF(B1695="","",IFERROR(INDEX(Client_List!$C:$C,MATCH(VALUE(B1695),Client_List!$A:$A,0)),""))</f>
        <v/>
      </c>
      <c r="F1695" s="53">
        <f>IF(B1695="","",IFERROR(INDEX(Client_List!$D:$D,MATCH(VALUE(B1695),Client_List!$A:$A,0)),""))</f>
        <v/>
      </c>
      <c r="G1695" s="53">
        <f>IF(B1695="","",IFERROR(INDEX(Client_List!$K:$K,MATCH(VALUE(B1695),Client_List!$A:$A,0)),""))</f>
        <v/>
      </c>
      <c r="H1695" s="32">
        <f>IF(B1695="","",IFERROR(INDEX(Client_List!$J:$J,MATCH(VALUE(B1695),Client_List!$A:$A,0)),""))</f>
        <v/>
      </c>
      <c r="I1695" s="70">
        <f>IF(B1695="","",IFERROR(A1695-LOOKUP(2,1/($B$4:$B1694=B1695),$A$4:$A1694),""))</f>
        <v/>
      </c>
      <c r="J1695" s="32">
        <f>IF(B1695="","",IFERROR(D1695/I1695,""))</f>
        <v/>
      </c>
      <c r="K1695" s="71">
        <f>IF(B1695="","",IFERROR(AVERAGEIFS($J$4:$J1695,$B$4:$B1695,B1695,$J$4:$J1695,"&gt;"&amp;0),""))</f>
        <v/>
      </c>
      <c r="L1695" s="11" t="n"/>
    </row>
    <row r="1696" ht="14" customHeight="1" s="72">
      <c r="A1696" s="80" t="n"/>
      <c r="B1696" s="81" t="n"/>
      <c r="C1696" s="69">
        <f>IF(B1696="","",IFERROR(INDEX(Client_List!$B:$B,MATCH(B1696,Client_List!$A:$A,0)),"⚠ NOT FOUND"))</f>
        <v/>
      </c>
      <c r="D1696" s="45" t="n"/>
      <c r="E1696" s="32">
        <f>IF(B1696="","",IFERROR(INDEX(Client_List!$C:$C,MATCH(VALUE(B1696),Client_List!$A:$A,0)),""))</f>
        <v/>
      </c>
      <c r="F1696" s="53">
        <f>IF(B1696="","",IFERROR(INDEX(Client_List!$D:$D,MATCH(VALUE(B1696),Client_List!$A:$A,0)),""))</f>
        <v/>
      </c>
      <c r="G1696" s="53">
        <f>IF(B1696="","",IFERROR(INDEX(Client_List!$K:$K,MATCH(VALUE(B1696),Client_List!$A:$A,0)),""))</f>
        <v/>
      </c>
      <c r="H1696" s="32">
        <f>IF(B1696="","",IFERROR(INDEX(Client_List!$J:$J,MATCH(VALUE(B1696),Client_List!$A:$A,0)),""))</f>
        <v/>
      </c>
      <c r="I1696" s="70">
        <f>IF(B1696="","",IFERROR(A1696-LOOKUP(2,1/($B$4:$B1695=B1696),$A$4:$A1695),""))</f>
        <v/>
      </c>
      <c r="J1696" s="32">
        <f>IF(B1696="","",IFERROR(D1696/I1696,""))</f>
        <v/>
      </c>
      <c r="K1696" s="71">
        <f>IF(B1696="","",IFERROR(AVERAGEIFS($J$4:$J1696,$B$4:$B1696,B1696,$J$4:$J1696,"&gt;"&amp;0),""))</f>
        <v/>
      </c>
      <c r="L1696" s="12" t="n"/>
    </row>
    <row r="1697" ht="14" customHeight="1" s="72">
      <c r="A1697" s="78" t="n"/>
      <c r="B1697" s="79" t="n"/>
      <c r="C1697" s="69">
        <f>IF(B1697="","",IFERROR(INDEX(Client_List!$B:$B,MATCH(B1697,Client_List!$A:$A,0)),"⚠ NOT FOUND"))</f>
        <v/>
      </c>
      <c r="D1697" s="44" t="n"/>
      <c r="E1697" s="32">
        <f>IF(B1697="","",IFERROR(INDEX(Client_List!$C:$C,MATCH(VALUE(B1697),Client_List!$A:$A,0)),""))</f>
        <v/>
      </c>
      <c r="F1697" s="53">
        <f>IF(B1697="","",IFERROR(INDEX(Client_List!$D:$D,MATCH(VALUE(B1697),Client_List!$A:$A,0)),""))</f>
        <v/>
      </c>
      <c r="G1697" s="53">
        <f>IF(B1697="","",IFERROR(INDEX(Client_List!$K:$K,MATCH(VALUE(B1697),Client_List!$A:$A,0)),""))</f>
        <v/>
      </c>
      <c r="H1697" s="32">
        <f>IF(B1697="","",IFERROR(INDEX(Client_List!$J:$J,MATCH(VALUE(B1697),Client_List!$A:$A,0)),""))</f>
        <v/>
      </c>
      <c r="I1697" s="70">
        <f>IF(B1697="","",IFERROR(A1697-LOOKUP(2,1/($B$4:$B1696=B1697),$A$4:$A1696),""))</f>
        <v/>
      </c>
      <c r="J1697" s="32">
        <f>IF(B1697="","",IFERROR(D1697/I1697,""))</f>
        <v/>
      </c>
      <c r="K1697" s="71">
        <f>IF(B1697="","",IFERROR(AVERAGEIFS($J$4:$J1697,$B$4:$B1697,B1697,$J$4:$J1697,"&gt;"&amp;0),""))</f>
        <v/>
      </c>
      <c r="L1697" s="11" t="n"/>
    </row>
    <row r="1698" ht="14" customHeight="1" s="72">
      <c r="A1698" s="80" t="n"/>
      <c r="B1698" s="81" t="n"/>
      <c r="C1698" s="69">
        <f>IF(B1698="","",IFERROR(INDEX(Client_List!$B:$B,MATCH(B1698,Client_List!$A:$A,0)),"⚠ NOT FOUND"))</f>
        <v/>
      </c>
      <c r="D1698" s="45" t="n"/>
      <c r="E1698" s="32">
        <f>IF(B1698="","",IFERROR(INDEX(Client_List!$C:$C,MATCH(VALUE(B1698),Client_List!$A:$A,0)),""))</f>
        <v/>
      </c>
      <c r="F1698" s="53">
        <f>IF(B1698="","",IFERROR(INDEX(Client_List!$D:$D,MATCH(VALUE(B1698),Client_List!$A:$A,0)),""))</f>
        <v/>
      </c>
      <c r="G1698" s="53">
        <f>IF(B1698="","",IFERROR(INDEX(Client_List!$K:$K,MATCH(VALUE(B1698),Client_List!$A:$A,0)),""))</f>
        <v/>
      </c>
      <c r="H1698" s="32">
        <f>IF(B1698="","",IFERROR(INDEX(Client_List!$J:$J,MATCH(VALUE(B1698),Client_List!$A:$A,0)),""))</f>
        <v/>
      </c>
      <c r="I1698" s="70">
        <f>IF(B1698="","",IFERROR(A1698-LOOKUP(2,1/($B$4:$B1697=B1698),$A$4:$A1697),""))</f>
        <v/>
      </c>
      <c r="J1698" s="32">
        <f>IF(B1698="","",IFERROR(D1698/I1698,""))</f>
        <v/>
      </c>
      <c r="K1698" s="71">
        <f>IF(B1698="","",IFERROR(AVERAGEIFS($J$4:$J1698,$B$4:$B1698,B1698,$J$4:$J1698,"&gt;"&amp;0),""))</f>
        <v/>
      </c>
      <c r="L1698" s="12" t="n"/>
    </row>
    <row r="1699" ht="14" customHeight="1" s="72">
      <c r="A1699" s="78" t="n"/>
      <c r="B1699" s="79" t="n"/>
      <c r="C1699" s="69">
        <f>IF(B1699="","",IFERROR(INDEX(Client_List!$B:$B,MATCH(B1699,Client_List!$A:$A,0)),"⚠ NOT FOUND"))</f>
        <v/>
      </c>
      <c r="D1699" s="44" t="n"/>
      <c r="E1699" s="32">
        <f>IF(B1699="","",IFERROR(INDEX(Client_List!$C:$C,MATCH(VALUE(B1699),Client_List!$A:$A,0)),""))</f>
        <v/>
      </c>
      <c r="F1699" s="53">
        <f>IF(B1699="","",IFERROR(INDEX(Client_List!$D:$D,MATCH(VALUE(B1699),Client_List!$A:$A,0)),""))</f>
        <v/>
      </c>
      <c r="G1699" s="53">
        <f>IF(B1699="","",IFERROR(INDEX(Client_List!$K:$K,MATCH(VALUE(B1699),Client_List!$A:$A,0)),""))</f>
        <v/>
      </c>
      <c r="H1699" s="32">
        <f>IF(B1699="","",IFERROR(INDEX(Client_List!$J:$J,MATCH(VALUE(B1699),Client_List!$A:$A,0)),""))</f>
        <v/>
      </c>
      <c r="I1699" s="70">
        <f>IF(B1699="","",IFERROR(A1699-LOOKUP(2,1/($B$4:$B1698=B1699),$A$4:$A1698),""))</f>
        <v/>
      </c>
      <c r="J1699" s="32">
        <f>IF(B1699="","",IFERROR(D1699/I1699,""))</f>
        <v/>
      </c>
      <c r="K1699" s="71">
        <f>IF(B1699="","",IFERROR(AVERAGEIFS($J$4:$J1699,$B$4:$B1699,B1699,$J$4:$J1699,"&gt;"&amp;0),""))</f>
        <v/>
      </c>
      <c r="L1699" s="11" t="n"/>
    </row>
    <row r="1700" ht="14" customHeight="1" s="72">
      <c r="A1700" s="80" t="n"/>
      <c r="B1700" s="81" t="n"/>
      <c r="C1700" s="69">
        <f>IF(B1700="","",IFERROR(INDEX(Client_List!$B:$B,MATCH(B1700,Client_List!$A:$A,0)),"⚠ NOT FOUND"))</f>
        <v/>
      </c>
      <c r="D1700" s="45" t="n"/>
      <c r="E1700" s="32">
        <f>IF(B1700="","",IFERROR(INDEX(Client_List!$C:$C,MATCH(VALUE(B1700),Client_List!$A:$A,0)),""))</f>
        <v/>
      </c>
      <c r="F1700" s="53">
        <f>IF(B1700="","",IFERROR(INDEX(Client_List!$D:$D,MATCH(VALUE(B1700),Client_List!$A:$A,0)),""))</f>
        <v/>
      </c>
      <c r="G1700" s="53">
        <f>IF(B1700="","",IFERROR(INDEX(Client_List!$K:$K,MATCH(VALUE(B1700),Client_List!$A:$A,0)),""))</f>
        <v/>
      </c>
      <c r="H1700" s="32">
        <f>IF(B1700="","",IFERROR(INDEX(Client_List!$J:$J,MATCH(VALUE(B1700),Client_List!$A:$A,0)),""))</f>
        <v/>
      </c>
      <c r="I1700" s="70">
        <f>IF(B1700="","",IFERROR(A1700-LOOKUP(2,1/($B$4:$B1699=B1700),$A$4:$A1699),""))</f>
        <v/>
      </c>
      <c r="J1700" s="32">
        <f>IF(B1700="","",IFERROR(D1700/I1700,""))</f>
        <v/>
      </c>
      <c r="K1700" s="71">
        <f>IF(B1700="","",IFERROR(AVERAGEIFS($J$4:$J1700,$B$4:$B1700,B1700,$J$4:$J1700,"&gt;"&amp;0),""))</f>
        <v/>
      </c>
      <c r="L1700" s="12" t="n"/>
    </row>
    <row r="1701" ht="14" customHeight="1" s="72">
      <c r="A1701" s="78" t="n"/>
      <c r="B1701" s="79" t="n"/>
      <c r="C1701" s="69">
        <f>IF(B1701="","",IFERROR(INDEX(Client_List!$B:$B,MATCH(B1701,Client_List!$A:$A,0)),"⚠ NOT FOUND"))</f>
        <v/>
      </c>
      <c r="D1701" s="44" t="n"/>
      <c r="E1701" s="32">
        <f>IF(B1701="","",IFERROR(INDEX(Client_List!$C:$C,MATCH(VALUE(B1701),Client_List!$A:$A,0)),""))</f>
        <v/>
      </c>
      <c r="F1701" s="53">
        <f>IF(B1701="","",IFERROR(INDEX(Client_List!$D:$D,MATCH(VALUE(B1701),Client_List!$A:$A,0)),""))</f>
        <v/>
      </c>
      <c r="G1701" s="53">
        <f>IF(B1701="","",IFERROR(INDEX(Client_List!$K:$K,MATCH(VALUE(B1701),Client_List!$A:$A,0)),""))</f>
        <v/>
      </c>
      <c r="H1701" s="32">
        <f>IF(B1701="","",IFERROR(INDEX(Client_List!$J:$J,MATCH(VALUE(B1701),Client_List!$A:$A,0)),""))</f>
        <v/>
      </c>
      <c r="I1701" s="70">
        <f>IF(B1701="","",IFERROR(A1701-LOOKUP(2,1/($B$4:$B1700=B1701),$A$4:$A1700),""))</f>
        <v/>
      </c>
      <c r="J1701" s="32">
        <f>IF(B1701="","",IFERROR(D1701/I1701,""))</f>
        <v/>
      </c>
      <c r="K1701" s="71">
        <f>IF(B1701="","",IFERROR(AVERAGEIFS($J$4:$J1701,$B$4:$B1701,B1701,$J$4:$J1701,"&gt;"&amp;0),""))</f>
        <v/>
      </c>
      <c r="L1701" s="11" t="n"/>
    </row>
    <row r="1702" ht="14" customHeight="1" s="72">
      <c r="A1702" s="80" t="n"/>
      <c r="B1702" s="81" t="n"/>
      <c r="C1702" s="69">
        <f>IF(B1702="","",IFERROR(INDEX(Client_List!$B:$B,MATCH(B1702,Client_List!$A:$A,0)),"⚠ NOT FOUND"))</f>
        <v/>
      </c>
      <c r="D1702" s="45" t="n"/>
      <c r="E1702" s="32">
        <f>IF(B1702="","",IFERROR(INDEX(Client_List!$C:$C,MATCH(VALUE(B1702),Client_List!$A:$A,0)),""))</f>
        <v/>
      </c>
      <c r="F1702" s="53">
        <f>IF(B1702="","",IFERROR(INDEX(Client_List!$D:$D,MATCH(VALUE(B1702),Client_List!$A:$A,0)),""))</f>
        <v/>
      </c>
      <c r="G1702" s="53">
        <f>IF(B1702="","",IFERROR(INDEX(Client_List!$K:$K,MATCH(VALUE(B1702),Client_List!$A:$A,0)),""))</f>
        <v/>
      </c>
      <c r="H1702" s="32">
        <f>IF(B1702="","",IFERROR(INDEX(Client_List!$J:$J,MATCH(VALUE(B1702),Client_List!$A:$A,0)),""))</f>
        <v/>
      </c>
      <c r="I1702" s="70">
        <f>IF(B1702="","",IFERROR(A1702-LOOKUP(2,1/($B$4:$B1701=B1702),$A$4:$A1701),""))</f>
        <v/>
      </c>
      <c r="J1702" s="32">
        <f>IF(B1702="","",IFERROR(D1702/I1702,""))</f>
        <v/>
      </c>
      <c r="K1702" s="71">
        <f>IF(B1702="","",IFERROR(AVERAGEIFS($J$4:$J1702,$B$4:$B1702,B1702,$J$4:$J1702,"&gt;"&amp;0),""))</f>
        <v/>
      </c>
      <c r="L1702" s="12" t="n"/>
    </row>
    <row r="1703" ht="14" customHeight="1" s="72">
      <c r="A1703" s="78" t="n"/>
      <c r="B1703" s="79" t="n"/>
      <c r="C1703" s="69">
        <f>IF(B1703="","",IFERROR(INDEX(Client_List!$B:$B,MATCH(B1703,Client_List!$A:$A,0)),"⚠ NOT FOUND"))</f>
        <v/>
      </c>
      <c r="D1703" s="44" t="n"/>
      <c r="E1703" s="32">
        <f>IF(B1703="","",IFERROR(INDEX(Client_List!$C:$C,MATCH(VALUE(B1703),Client_List!$A:$A,0)),""))</f>
        <v/>
      </c>
      <c r="F1703" s="53">
        <f>IF(B1703="","",IFERROR(INDEX(Client_List!$D:$D,MATCH(VALUE(B1703),Client_List!$A:$A,0)),""))</f>
        <v/>
      </c>
      <c r="G1703" s="53">
        <f>IF(B1703="","",IFERROR(INDEX(Client_List!$K:$K,MATCH(VALUE(B1703),Client_List!$A:$A,0)),""))</f>
        <v/>
      </c>
      <c r="H1703" s="32">
        <f>IF(B1703="","",IFERROR(INDEX(Client_List!$J:$J,MATCH(VALUE(B1703),Client_List!$A:$A,0)),""))</f>
        <v/>
      </c>
      <c r="I1703" s="70">
        <f>IF(B1703="","",IFERROR(A1703-LOOKUP(2,1/($B$4:$B1702=B1703),$A$4:$A1702),""))</f>
        <v/>
      </c>
      <c r="J1703" s="32">
        <f>IF(B1703="","",IFERROR(D1703/I1703,""))</f>
        <v/>
      </c>
      <c r="K1703" s="71">
        <f>IF(B1703="","",IFERROR(AVERAGEIFS($J$4:$J1703,$B$4:$B1703,B1703,$J$4:$J1703,"&gt;"&amp;0),""))</f>
        <v/>
      </c>
      <c r="L1703" s="11" t="n"/>
    </row>
    <row r="1704" ht="14" customHeight="1" s="72">
      <c r="A1704" s="80" t="n"/>
      <c r="B1704" s="81" t="n"/>
      <c r="C1704" s="69">
        <f>IF(B1704="","",IFERROR(INDEX(Client_List!$B:$B,MATCH(B1704,Client_List!$A:$A,0)),"⚠ NOT FOUND"))</f>
        <v/>
      </c>
      <c r="D1704" s="45" t="n"/>
      <c r="E1704" s="32">
        <f>IF(B1704="","",IFERROR(INDEX(Client_List!$C:$C,MATCH(VALUE(B1704),Client_List!$A:$A,0)),""))</f>
        <v/>
      </c>
      <c r="F1704" s="53">
        <f>IF(B1704="","",IFERROR(INDEX(Client_List!$D:$D,MATCH(VALUE(B1704),Client_List!$A:$A,0)),""))</f>
        <v/>
      </c>
      <c r="G1704" s="53">
        <f>IF(B1704="","",IFERROR(INDEX(Client_List!$K:$K,MATCH(VALUE(B1704),Client_List!$A:$A,0)),""))</f>
        <v/>
      </c>
      <c r="H1704" s="32">
        <f>IF(B1704="","",IFERROR(INDEX(Client_List!$J:$J,MATCH(VALUE(B1704),Client_List!$A:$A,0)),""))</f>
        <v/>
      </c>
      <c r="I1704" s="70">
        <f>IF(B1704="","",IFERROR(A1704-LOOKUP(2,1/($B$4:$B1703=B1704),$A$4:$A1703),""))</f>
        <v/>
      </c>
      <c r="J1704" s="32">
        <f>IF(B1704="","",IFERROR(D1704/I1704,""))</f>
        <v/>
      </c>
      <c r="K1704" s="71">
        <f>IF(B1704="","",IFERROR(AVERAGEIFS($J$4:$J1704,$B$4:$B1704,B1704,$J$4:$J1704,"&gt;"&amp;0),""))</f>
        <v/>
      </c>
      <c r="L1704" s="12" t="n"/>
    </row>
    <row r="1705" ht="14" customHeight="1" s="72">
      <c r="A1705" s="78" t="n"/>
      <c r="B1705" s="79" t="n"/>
      <c r="C1705" s="69">
        <f>IF(B1705="","",IFERROR(INDEX(Client_List!$B:$B,MATCH(B1705,Client_List!$A:$A,0)),"⚠ NOT FOUND"))</f>
        <v/>
      </c>
      <c r="D1705" s="44" t="n"/>
      <c r="E1705" s="32">
        <f>IF(B1705="","",IFERROR(INDEX(Client_List!$C:$C,MATCH(VALUE(B1705),Client_List!$A:$A,0)),""))</f>
        <v/>
      </c>
      <c r="F1705" s="53">
        <f>IF(B1705="","",IFERROR(INDEX(Client_List!$D:$D,MATCH(VALUE(B1705),Client_List!$A:$A,0)),""))</f>
        <v/>
      </c>
      <c r="G1705" s="53">
        <f>IF(B1705="","",IFERROR(INDEX(Client_List!$K:$K,MATCH(VALUE(B1705),Client_List!$A:$A,0)),""))</f>
        <v/>
      </c>
      <c r="H1705" s="32">
        <f>IF(B1705="","",IFERROR(INDEX(Client_List!$J:$J,MATCH(VALUE(B1705),Client_List!$A:$A,0)),""))</f>
        <v/>
      </c>
      <c r="I1705" s="70">
        <f>IF(B1705="","",IFERROR(A1705-LOOKUP(2,1/($B$4:$B1704=B1705),$A$4:$A1704),""))</f>
        <v/>
      </c>
      <c r="J1705" s="32">
        <f>IF(B1705="","",IFERROR(D1705/I1705,""))</f>
        <v/>
      </c>
      <c r="K1705" s="71">
        <f>IF(B1705="","",IFERROR(AVERAGEIFS($J$4:$J1705,$B$4:$B1705,B1705,$J$4:$J1705,"&gt;"&amp;0),""))</f>
        <v/>
      </c>
      <c r="L1705" s="11" t="n"/>
    </row>
    <row r="1706" ht="14" customHeight="1" s="72">
      <c r="A1706" s="80" t="n"/>
      <c r="B1706" s="81" t="n"/>
      <c r="C1706" s="69">
        <f>IF(B1706="","",IFERROR(INDEX(Client_List!$B:$B,MATCH(B1706,Client_List!$A:$A,0)),"⚠ NOT FOUND"))</f>
        <v/>
      </c>
      <c r="D1706" s="45" t="n"/>
      <c r="E1706" s="32">
        <f>IF(B1706="","",IFERROR(INDEX(Client_List!$C:$C,MATCH(VALUE(B1706),Client_List!$A:$A,0)),""))</f>
        <v/>
      </c>
      <c r="F1706" s="53">
        <f>IF(B1706="","",IFERROR(INDEX(Client_List!$D:$D,MATCH(VALUE(B1706),Client_List!$A:$A,0)),""))</f>
        <v/>
      </c>
      <c r="G1706" s="53">
        <f>IF(B1706="","",IFERROR(INDEX(Client_List!$K:$K,MATCH(VALUE(B1706),Client_List!$A:$A,0)),""))</f>
        <v/>
      </c>
      <c r="H1706" s="32">
        <f>IF(B1706="","",IFERROR(INDEX(Client_List!$J:$J,MATCH(VALUE(B1706),Client_List!$A:$A,0)),""))</f>
        <v/>
      </c>
      <c r="I1706" s="70">
        <f>IF(B1706="","",IFERROR(A1706-LOOKUP(2,1/($B$4:$B1705=B1706),$A$4:$A1705),""))</f>
        <v/>
      </c>
      <c r="J1706" s="32">
        <f>IF(B1706="","",IFERROR(D1706/I1706,""))</f>
        <v/>
      </c>
      <c r="K1706" s="71">
        <f>IF(B1706="","",IFERROR(AVERAGEIFS($J$4:$J1706,$B$4:$B1706,B1706,$J$4:$J1706,"&gt;"&amp;0),""))</f>
        <v/>
      </c>
      <c r="L1706" s="12" t="n"/>
    </row>
    <row r="1707" ht="14" customHeight="1" s="72">
      <c r="A1707" s="78" t="n"/>
      <c r="B1707" s="79" t="n"/>
      <c r="C1707" s="69">
        <f>IF(B1707="","",IFERROR(INDEX(Client_List!$B:$B,MATCH(B1707,Client_List!$A:$A,0)),"⚠ NOT FOUND"))</f>
        <v/>
      </c>
      <c r="D1707" s="44" t="n"/>
      <c r="E1707" s="32">
        <f>IF(B1707="","",IFERROR(INDEX(Client_List!$C:$C,MATCH(VALUE(B1707),Client_List!$A:$A,0)),""))</f>
        <v/>
      </c>
      <c r="F1707" s="53">
        <f>IF(B1707="","",IFERROR(INDEX(Client_List!$D:$D,MATCH(VALUE(B1707),Client_List!$A:$A,0)),""))</f>
        <v/>
      </c>
      <c r="G1707" s="53">
        <f>IF(B1707="","",IFERROR(INDEX(Client_List!$K:$K,MATCH(VALUE(B1707),Client_List!$A:$A,0)),""))</f>
        <v/>
      </c>
      <c r="H1707" s="32">
        <f>IF(B1707="","",IFERROR(INDEX(Client_List!$J:$J,MATCH(VALUE(B1707),Client_List!$A:$A,0)),""))</f>
        <v/>
      </c>
      <c r="I1707" s="70">
        <f>IF(B1707="","",IFERROR(A1707-LOOKUP(2,1/($B$4:$B1706=B1707),$A$4:$A1706),""))</f>
        <v/>
      </c>
      <c r="J1707" s="32">
        <f>IF(B1707="","",IFERROR(D1707/I1707,""))</f>
        <v/>
      </c>
      <c r="K1707" s="71">
        <f>IF(B1707="","",IFERROR(AVERAGEIFS($J$4:$J1707,$B$4:$B1707,B1707,$J$4:$J1707,"&gt;"&amp;0),""))</f>
        <v/>
      </c>
      <c r="L1707" s="11" t="n"/>
    </row>
    <row r="1708" ht="14" customHeight="1" s="72">
      <c r="A1708" s="80" t="n"/>
      <c r="B1708" s="81" t="n"/>
      <c r="C1708" s="69">
        <f>IF(B1708="","",IFERROR(INDEX(Client_List!$B:$B,MATCH(B1708,Client_List!$A:$A,0)),"⚠ NOT FOUND"))</f>
        <v/>
      </c>
      <c r="D1708" s="45" t="n"/>
      <c r="E1708" s="32">
        <f>IF(B1708="","",IFERROR(INDEX(Client_List!$C:$C,MATCH(VALUE(B1708),Client_List!$A:$A,0)),""))</f>
        <v/>
      </c>
      <c r="F1708" s="53">
        <f>IF(B1708="","",IFERROR(INDEX(Client_List!$D:$D,MATCH(VALUE(B1708),Client_List!$A:$A,0)),""))</f>
        <v/>
      </c>
      <c r="G1708" s="53">
        <f>IF(B1708="","",IFERROR(INDEX(Client_List!$K:$K,MATCH(VALUE(B1708),Client_List!$A:$A,0)),""))</f>
        <v/>
      </c>
      <c r="H1708" s="32">
        <f>IF(B1708="","",IFERROR(INDEX(Client_List!$J:$J,MATCH(VALUE(B1708),Client_List!$A:$A,0)),""))</f>
        <v/>
      </c>
      <c r="I1708" s="70">
        <f>IF(B1708="","",IFERROR(A1708-LOOKUP(2,1/($B$4:$B1707=B1708),$A$4:$A1707),""))</f>
        <v/>
      </c>
      <c r="J1708" s="32">
        <f>IF(B1708="","",IFERROR(D1708/I1708,""))</f>
        <v/>
      </c>
      <c r="K1708" s="71">
        <f>IF(B1708="","",IFERROR(AVERAGEIFS($J$4:$J1708,$B$4:$B1708,B1708,$J$4:$J1708,"&gt;"&amp;0),""))</f>
        <v/>
      </c>
      <c r="L1708" s="12" t="n"/>
    </row>
    <row r="1709" ht="14" customHeight="1" s="72">
      <c r="A1709" s="78" t="n"/>
      <c r="B1709" s="79" t="n"/>
      <c r="C1709" s="69">
        <f>IF(B1709="","",IFERROR(INDEX(Client_List!$B:$B,MATCH(B1709,Client_List!$A:$A,0)),"⚠ NOT FOUND"))</f>
        <v/>
      </c>
      <c r="D1709" s="44" t="n"/>
      <c r="E1709" s="32">
        <f>IF(B1709="","",IFERROR(INDEX(Client_List!$C:$C,MATCH(VALUE(B1709),Client_List!$A:$A,0)),""))</f>
        <v/>
      </c>
      <c r="F1709" s="53">
        <f>IF(B1709="","",IFERROR(INDEX(Client_List!$D:$D,MATCH(VALUE(B1709),Client_List!$A:$A,0)),""))</f>
        <v/>
      </c>
      <c r="G1709" s="53">
        <f>IF(B1709="","",IFERROR(INDEX(Client_List!$K:$K,MATCH(VALUE(B1709),Client_List!$A:$A,0)),""))</f>
        <v/>
      </c>
      <c r="H1709" s="32">
        <f>IF(B1709="","",IFERROR(INDEX(Client_List!$J:$J,MATCH(VALUE(B1709),Client_List!$A:$A,0)),""))</f>
        <v/>
      </c>
      <c r="I1709" s="70">
        <f>IF(B1709="","",IFERROR(A1709-LOOKUP(2,1/($B$4:$B1708=B1709),$A$4:$A1708),""))</f>
        <v/>
      </c>
      <c r="J1709" s="32">
        <f>IF(B1709="","",IFERROR(D1709/I1709,""))</f>
        <v/>
      </c>
      <c r="K1709" s="71">
        <f>IF(B1709="","",IFERROR(AVERAGEIFS($J$4:$J1709,$B$4:$B1709,B1709,$J$4:$J1709,"&gt;"&amp;0),""))</f>
        <v/>
      </c>
      <c r="L1709" s="11" t="n"/>
    </row>
    <row r="1710" ht="14" customHeight="1" s="72">
      <c r="A1710" s="80" t="n"/>
      <c r="B1710" s="81" t="n"/>
      <c r="C1710" s="69">
        <f>IF(B1710="","",IFERROR(INDEX(Client_List!$B:$B,MATCH(B1710,Client_List!$A:$A,0)),"⚠ NOT FOUND"))</f>
        <v/>
      </c>
      <c r="D1710" s="45" t="n"/>
      <c r="E1710" s="32">
        <f>IF(B1710="","",IFERROR(INDEX(Client_List!$C:$C,MATCH(VALUE(B1710),Client_List!$A:$A,0)),""))</f>
        <v/>
      </c>
      <c r="F1710" s="53">
        <f>IF(B1710="","",IFERROR(INDEX(Client_List!$D:$D,MATCH(VALUE(B1710),Client_List!$A:$A,0)),""))</f>
        <v/>
      </c>
      <c r="G1710" s="53">
        <f>IF(B1710="","",IFERROR(INDEX(Client_List!$K:$K,MATCH(VALUE(B1710),Client_List!$A:$A,0)),""))</f>
        <v/>
      </c>
      <c r="H1710" s="32">
        <f>IF(B1710="","",IFERROR(INDEX(Client_List!$J:$J,MATCH(VALUE(B1710),Client_List!$A:$A,0)),""))</f>
        <v/>
      </c>
      <c r="I1710" s="70">
        <f>IF(B1710="","",IFERROR(A1710-LOOKUP(2,1/($B$4:$B1709=B1710),$A$4:$A1709),""))</f>
        <v/>
      </c>
      <c r="J1710" s="32">
        <f>IF(B1710="","",IFERROR(D1710/I1710,""))</f>
        <v/>
      </c>
      <c r="K1710" s="71">
        <f>IF(B1710="","",IFERROR(AVERAGEIFS($J$4:$J1710,$B$4:$B1710,B1710,$J$4:$J1710,"&gt;"&amp;0),""))</f>
        <v/>
      </c>
      <c r="L1710" s="12" t="n"/>
    </row>
    <row r="1711" ht="14" customHeight="1" s="72">
      <c r="A1711" s="78" t="n"/>
      <c r="B1711" s="79" t="n"/>
      <c r="C1711" s="69">
        <f>IF(B1711="","",IFERROR(INDEX(Client_List!$B:$B,MATCH(B1711,Client_List!$A:$A,0)),"⚠ NOT FOUND"))</f>
        <v/>
      </c>
      <c r="D1711" s="44" t="n"/>
      <c r="E1711" s="32">
        <f>IF(B1711="","",IFERROR(INDEX(Client_List!$C:$C,MATCH(VALUE(B1711),Client_List!$A:$A,0)),""))</f>
        <v/>
      </c>
      <c r="F1711" s="53">
        <f>IF(B1711="","",IFERROR(INDEX(Client_List!$D:$D,MATCH(VALUE(B1711),Client_List!$A:$A,0)),""))</f>
        <v/>
      </c>
      <c r="G1711" s="53">
        <f>IF(B1711="","",IFERROR(INDEX(Client_List!$K:$K,MATCH(VALUE(B1711),Client_List!$A:$A,0)),""))</f>
        <v/>
      </c>
      <c r="H1711" s="32">
        <f>IF(B1711="","",IFERROR(INDEX(Client_List!$J:$J,MATCH(VALUE(B1711),Client_List!$A:$A,0)),""))</f>
        <v/>
      </c>
      <c r="I1711" s="70">
        <f>IF(B1711="","",IFERROR(A1711-LOOKUP(2,1/($B$4:$B1710=B1711),$A$4:$A1710),""))</f>
        <v/>
      </c>
      <c r="J1711" s="32">
        <f>IF(B1711="","",IFERROR(D1711/I1711,""))</f>
        <v/>
      </c>
      <c r="K1711" s="71">
        <f>IF(B1711="","",IFERROR(AVERAGEIFS($J$4:$J1711,$B$4:$B1711,B1711,$J$4:$J1711,"&gt;"&amp;0),""))</f>
        <v/>
      </c>
      <c r="L1711" s="11" t="n"/>
    </row>
    <row r="1712" ht="14" customHeight="1" s="72">
      <c r="A1712" s="80" t="n"/>
      <c r="B1712" s="81" t="n"/>
      <c r="C1712" s="69">
        <f>IF(B1712="","",IFERROR(INDEX(Client_List!$B:$B,MATCH(B1712,Client_List!$A:$A,0)),"⚠ NOT FOUND"))</f>
        <v/>
      </c>
      <c r="D1712" s="45" t="n"/>
      <c r="E1712" s="32">
        <f>IF(B1712="","",IFERROR(INDEX(Client_List!$C:$C,MATCH(VALUE(B1712),Client_List!$A:$A,0)),""))</f>
        <v/>
      </c>
      <c r="F1712" s="53">
        <f>IF(B1712="","",IFERROR(INDEX(Client_List!$D:$D,MATCH(VALUE(B1712),Client_List!$A:$A,0)),""))</f>
        <v/>
      </c>
      <c r="G1712" s="53">
        <f>IF(B1712="","",IFERROR(INDEX(Client_List!$K:$K,MATCH(VALUE(B1712),Client_List!$A:$A,0)),""))</f>
        <v/>
      </c>
      <c r="H1712" s="32">
        <f>IF(B1712="","",IFERROR(INDEX(Client_List!$J:$J,MATCH(VALUE(B1712),Client_List!$A:$A,0)),""))</f>
        <v/>
      </c>
      <c r="I1712" s="70">
        <f>IF(B1712="","",IFERROR(A1712-LOOKUP(2,1/($B$4:$B1711=B1712),$A$4:$A1711),""))</f>
        <v/>
      </c>
      <c r="J1712" s="32">
        <f>IF(B1712="","",IFERROR(D1712/I1712,""))</f>
        <v/>
      </c>
      <c r="K1712" s="71">
        <f>IF(B1712="","",IFERROR(AVERAGEIFS($J$4:$J1712,$B$4:$B1712,B1712,$J$4:$J1712,"&gt;"&amp;0),""))</f>
        <v/>
      </c>
      <c r="L1712" s="12" t="n"/>
    </row>
    <row r="1713" ht="14" customHeight="1" s="72">
      <c r="A1713" s="78" t="n"/>
      <c r="B1713" s="79" t="n"/>
      <c r="C1713" s="69">
        <f>IF(B1713="","",IFERROR(INDEX(Client_List!$B:$B,MATCH(B1713,Client_List!$A:$A,0)),"⚠ NOT FOUND"))</f>
        <v/>
      </c>
      <c r="D1713" s="44" t="n"/>
      <c r="E1713" s="32">
        <f>IF(B1713="","",IFERROR(INDEX(Client_List!$C:$C,MATCH(VALUE(B1713),Client_List!$A:$A,0)),""))</f>
        <v/>
      </c>
      <c r="F1713" s="53">
        <f>IF(B1713="","",IFERROR(INDEX(Client_List!$D:$D,MATCH(VALUE(B1713),Client_List!$A:$A,0)),""))</f>
        <v/>
      </c>
      <c r="G1713" s="53">
        <f>IF(B1713="","",IFERROR(INDEX(Client_List!$K:$K,MATCH(VALUE(B1713),Client_List!$A:$A,0)),""))</f>
        <v/>
      </c>
      <c r="H1713" s="32">
        <f>IF(B1713="","",IFERROR(INDEX(Client_List!$J:$J,MATCH(VALUE(B1713),Client_List!$A:$A,0)),""))</f>
        <v/>
      </c>
      <c r="I1713" s="70">
        <f>IF(B1713="","",IFERROR(A1713-LOOKUP(2,1/($B$4:$B1712=B1713),$A$4:$A1712),""))</f>
        <v/>
      </c>
      <c r="J1713" s="32">
        <f>IF(B1713="","",IFERROR(D1713/I1713,""))</f>
        <v/>
      </c>
      <c r="K1713" s="71">
        <f>IF(B1713="","",IFERROR(AVERAGEIFS($J$4:$J1713,$B$4:$B1713,B1713,$J$4:$J1713,"&gt;"&amp;0),""))</f>
        <v/>
      </c>
      <c r="L1713" s="11" t="n"/>
    </row>
    <row r="1714" ht="14" customHeight="1" s="72">
      <c r="A1714" s="80" t="n"/>
      <c r="B1714" s="81" t="n"/>
      <c r="C1714" s="69">
        <f>IF(B1714="","",IFERROR(INDEX(Client_List!$B:$B,MATCH(B1714,Client_List!$A:$A,0)),"⚠ NOT FOUND"))</f>
        <v/>
      </c>
      <c r="D1714" s="45" t="n"/>
      <c r="E1714" s="32">
        <f>IF(B1714="","",IFERROR(INDEX(Client_List!$C:$C,MATCH(VALUE(B1714),Client_List!$A:$A,0)),""))</f>
        <v/>
      </c>
      <c r="F1714" s="53">
        <f>IF(B1714="","",IFERROR(INDEX(Client_List!$D:$D,MATCH(VALUE(B1714),Client_List!$A:$A,0)),""))</f>
        <v/>
      </c>
      <c r="G1714" s="53">
        <f>IF(B1714="","",IFERROR(INDEX(Client_List!$K:$K,MATCH(VALUE(B1714),Client_List!$A:$A,0)),""))</f>
        <v/>
      </c>
      <c r="H1714" s="32">
        <f>IF(B1714="","",IFERROR(INDEX(Client_List!$J:$J,MATCH(VALUE(B1714),Client_List!$A:$A,0)),""))</f>
        <v/>
      </c>
      <c r="I1714" s="70">
        <f>IF(B1714="","",IFERROR(A1714-LOOKUP(2,1/($B$4:$B1713=B1714),$A$4:$A1713),""))</f>
        <v/>
      </c>
      <c r="J1714" s="32">
        <f>IF(B1714="","",IFERROR(D1714/I1714,""))</f>
        <v/>
      </c>
      <c r="K1714" s="71">
        <f>IF(B1714="","",IFERROR(AVERAGEIFS($J$4:$J1714,$B$4:$B1714,B1714,$J$4:$J1714,"&gt;"&amp;0),""))</f>
        <v/>
      </c>
      <c r="L1714" s="12" t="n"/>
    </row>
    <row r="1715" ht="14" customHeight="1" s="72">
      <c r="A1715" s="78" t="n"/>
      <c r="B1715" s="79" t="n"/>
      <c r="C1715" s="69">
        <f>IF(B1715="","",IFERROR(INDEX(Client_List!$B:$B,MATCH(B1715,Client_List!$A:$A,0)),"⚠ NOT FOUND"))</f>
        <v/>
      </c>
      <c r="D1715" s="44" t="n"/>
      <c r="E1715" s="32">
        <f>IF(B1715="","",IFERROR(INDEX(Client_List!$C:$C,MATCH(VALUE(B1715),Client_List!$A:$A,0)),""))</f>
        <v/>
      </c>
      <c r="F1715" s="53">
        <f>IF(B1715="","",IFERROR(INDEX(Client_List!$D:$D,MATCH(VALUE(B1715),Client_List!$A:$A,0)),""))</f>
        <v/>
      </c>
      <c r="G1715" s="53">
        <f>IF(B1715="","",IFERROR(INDEX(Client_List!$K:$K,MATCH(VALUE(B1715),Client_List!$A:$A,0)),""))</f>
        <v/>
      </c>
      <c r="H1715" s="32">
        <f>IF(B1715="","",IFERROR(INDEX(Client_List!$J:$J,MATCH(VALUE(B1715),Client_List!$A:$A,0)),""))</f>
        <v/>
      </c>
      <c r="I1715" s="70">
        <f>IF(B1715="","",IFERROR(A1715-LOOKUP(2,1/($B$4:$B1714=B1715),$A$4:$A1714),""))</f>
        <v/>
      </c>
      <c r="J1715" s="32">
        <f>IF(B1715="","",IFERROR(D1715/I1715,""))</f>
        <v/>
      </c>
      <c r="K1715" s="71">
        <f>IF(B1715="","",IFERROR(AVERAGEIFS($J$4:$J1715,$B$4:$B1715,B1715,$J$4:$J1715,"&gt;"&amp;0),""))</f>
        <v/>
      </c>
      <c r="L1715" s="11" t="n"/>
    </row>
    <row r="1716" ht="14" customHeight="1" s="72">
      <c r="A1716" s="80" t="n"/>
      <c r="B1716" s="81" t="n"/>
      <c r="C1716" s="69">
        <f>IF(B1716="","",IFERROR(INDEX(Client_List!$B:$B,MATCH(B1716,Client_List!$A:$A,0)),"⚠ NOT FOUND"))</f>
        <v/>
      </c>
      <c r="D1716" s="45" t="n"/>
      <c r="E1716" s="32">
        <f>IF(B1716="","",IFERROR(INDEX(Client_List!$C:$C,MATCH(VALUE(B1716),Client_List!$A:$A,0)),""))</f>
        <v/>
      </c>
      <c r="F1716" s="53">
        <f>IF(B1716="","",IFERROR(INDEX(Client_List!$D:$D,MATCH(VALUE(B1716),Client_List!$A:$A,0)),""))</f>
        <v/>
      </c>
      <c r="G1716" s="53">
        <f>IF(B1716="","",IFERROR(INDEX(Client_List!$K:$K,MATCH(VALUE(B1716),Client_List!$A:$A,0)),""))</f>
        <v/>
      </c>
      <c r="H1716" s="32">
        <f>IF(B1716="","",IFERROR(INDEX(Client_List!$J:$J,MATCH(VALUE(B1716),Client_List!$A:$A,0)),""))</f>
        <v/>
      </c>
      <c r="I1716" s="70">
        <f>IF(B1716="","",IFERROR(A1716-LOOKUP(2,1/($B$4:$B1715=B1716),$A$4:$A1715),""))</f>
        <v/>
      </c>
      <c r="J1716" s="32">
        <f>IF(B1716="","",IFERROR(D1716/I1716,""))</f>
        <v/>
      </c>
      <c r="K1716" s="71">
        <f>IF(B1716="","",IFERROR(AVERAGEIFS($J$4:$J1716,$B$4:$B1716,B1716,$J$4:$J1716,"&gt;"&amp;0),""))</f>
        <v/>
      </c>
      <c r="L1716" s="12" t="n"/>
    </row>
    <row r="1717" ht="14" customHeight="1" s="72">
      <c r="A1717" s="78" t="n"/>
      <c r="B1717" s="79" t="n"/>
      <c r="C1717" s="69">
        <f>IF(B1717="","",IFERROR(INDEX(Client_List!$B:$B,MATCH(B1717,Client_List!$A:$A,0)),"⚠ NOT FOUND"))</f>
        <v/>
      </c>
      <c r="D1717" s="44" t="n"/>
      <c r="E1717" s="32">
        <f>IF(B1717="","",IFERROR(INDEX(Client_List!$C:$C,MATCH(VALUE(B1717),Client_List!$A:$A,0)),""))</f>
        <v/>
      </c>
      <c r="F1717" s="53">
        <f>IF(B1717="","",IFERROR(INDEX(Client_List!$D:$D,MATCH(VALUE(B1717),Client_List!$A:$A,0)),""))</f>
        <v/>
      </c>
      <c r="G1717" s="53">
        <f>IF(B1717="","",IFERROR(INDEX(Client_List!$K:$K,MATCH(VALUE(B1717),Client_List!$A:$A,0)),""))</f>
        <v/>
      </c>
      <c r="H1717" s="32">
        <f>IF(B1717="","",IFERROR(INDEX(Client_List!$J:$J,MATCH(VALUE(B1717),Client_List!$A:$A,0)),""))</f>
        <v/>
      </c>
      <c r="I1717" s="70">
        <f>IF(B1717="","",IFERROR(A1717-LOOKUP(2,1/($B$4:$B1716=B1717),$A$4:$A1716),""))</f>
        <v/>
      </c>
      <c r="J1717" s="32">
        <f>IF(B1717="","",IFERROR(D1717/I1717,""))</f>
        <v/>
      </c>
      <c r="K1717" s="71">
        <f>IF(B1717="","",IFERROR(AVERAGEIFS($J$4:$J1717,$B$4:$B1717,B1717,$J$4:$J1717,"&gt;"&amp;0),""))</f>
        <v/>
      </c>
      <c r="L1717" s="11" t="n"/>
    </row>
    <row r="1718" ht="14" customHeight="1" s="72">
      <c r="A1718" s="80" t="n"/>
      <c r="B1718" s="81" t="n"/>
      <c r="C1718" s="69">
        <f>IF(B1718="","",IFERROR(INDEX(Client_List!$B:$B,MATCH(B1718,Client_List!$A:$A,0)),"⚠ NOT FOUND"))</f>
        <v/>
      </c>
      <c r="D1718" s="45" t="n"/>
      <c r="E1718" s="32">
        <f>IF(B1718="","",IFERROR(INDEX(Client_List!$C:$C,MATCH(VALUE(B1718),Client_List!$A:$A,0)),""))</f>
        <v/>
      </c>
      <c r="F1718" s="53">
        <f>IF(B1718="","",IFERROR(INDEX(Client_List!$D:$D,MATCH(VALUE(B1718),Client_List!$A:$A,0)),""))</f>
        <v/>
      </c>
      <c r="G1718" s="53">
        <f>IF(B1718="","",IFERROR(INDEX(Client_List!$K:$K,MATCH(VALUE(B1718),Client_List!$A:$A,0)),""))</f>
        <v/>
      </c>
      <c r="H1718" s="32">
        <f>IF(B1718="","",IFERROR(INDEX(Client_List!$J:$J,MATCH(VALUE(B1718),Client_List!$A:$A,0)),""))</f>
        <v/>
      </c>
      <c r="I1718" s="70">
        <f>IF(B1718="","",IFERROR(A1718-LOOKUP(2,1/($B$4:$B1717=B1718),$A$4:$A1717),""))</f>
        <v/>
      </c>
      <c r="J1718" s="32">
        <f>IF(B1718="","",IFERROR(D1718/I1718,""))</f>
        <v/>
      </c>
      <c r="K1718" s="71">
        <f>IF(B1718="","",IFERROR(AVERAGEIFS($J$4:$J1718,$B$4:$B1718,B1718,$J$4:$J1718,"&gt;"&amp;0),""))</f>
        <v/>
      </c>
      <c r="L1718" s="12" t="n"/>
    </row>
    <row r="1719" ht="14" customHeight="1" s="72">
      <c r="A1719" s="78" t="n"/>
      <c r="B1719" s="79" t="n"/>
      <c r="C1719" s="69">
        <f>IF(B1719="","",IFERROR(INDEX(Client_List!$B:$B,MATCH(B1719,Client_List!$A:$A,0)),"⚠ NOT FOUND"))</f>
        <v/>
      </c>
      <c r="D1719" s="44" t="n"/>
      <c r="E1719" s="32">
        <f>IF(B1719="","",IFERROR(INDEX(Client_List!$C:$C,MATCH(VALUE(B1719),Client_List!$A:$A,0)),""))</f>
        <v/>
      </c>
      <c r="F1719" s="53">
        <f>IF(B1719="","",IFERROR(INDEX(Client_List!$D:$D,MATCH(VALUE(B1719),Client_List!$A:$A,0)),""))</f>
        <v/>
      </c>
      <c r="G1719" s="53">
        <f>IF(B1719="","",IFERROR(INDEX(Client_List!$K:$K,MATCH(VALUE(B1719),Client_List!$A:$A,0)),""))</f>
        <v/>
      </c>
      <c r="H1719" s="32">
        <f>IF(B1719="","",IFERROR(INDEX(Client_List!$J:$J,MATCH(VALUE(B1719),Client_List!$A:$A,0)),""))</f>
        <v/>
      </c>
      <c r="I1719" s="70">
        <f>IF(B1719="","",IFERROR(A1719-LOOKUP(2,1/($B$4:$B1718=B1719),$A$4:$A1718),""))</f>
        <v/>
      </c>
      <c r="J1719" s="32">
        <f>IF(B1719="","",IFERROR(D1719/I1719,""))</f>
        <v/>
      </c>
      <c r="K1719" s="71">
        <f>IF(B1719="","",IFERROR(AVERAGEIFS($J$4:$J1719,$B$4:$B1719,B1719,$J$4:$J1719,"&gt;"&amp;0),""))</f>
        <v/>
      </c>
      <c r="L1719" s="11" t="n"/>
    </row>
    <row r="1720" ht="14" customHeight="1" s="72">
      <c r="A1720" s="80" t="n"/>
      <c r="B1720" s="81" t="n"/>
      <c r="C1720" s="69">
        <f>IF(B1720="","",IFERROR(INDEX(Client_List!$B:$B,MATCH(B1720,Client_List!$A:$A,0)),"⚠ NOT FOUND"))</f>
        <v/>
      </c>
      <c r="D1720" s="45" t="n"/>
      <c r="E1720" s="32">
        <f>IF(B1720="","",IFERROR(INDEX(Client_List!$C:$C,MATCH(VALUE(B1720),Client_List!$A:$A,0)),""))</f>
        <v/>
      </c>
      <c r="F1720" s="53">
        <f>IF(B1720="","",IFERROR(INDEX(Client_List!$D:$D,MATCH(VALUE(B1720),Client_List!$A:$A,0)),""))</f>
        <v/>
      </c>
      <c r="G1720" s="53">
        <f>IF(B1720="","",IFERROR(INDEX(Client_List!$K:$K,MATCH(VALUE(B1720),Client_List!$A:$A,0)),""))</f>
        <v/>
      </c>
      <c r="H1720" s="32">
        <f>IF(B1720="","",IFERROR(INDEX(Client_List!$J:$J,MATCH(VALUE(B1720),Client_List!$A:$A,0)),""))</f>
        <v/>
      </c>
      <c r="I1720" s="70">
        <f>IF(B1720="","",IFERROR(A1720-LOOKUP(2,1/($B$4:$B1719=B1720),$A$4:$A1719),""))</f>
        <v/>
      </c>
      <c r="J1720" s="32">
        <f>IF(B1720="","",IFERROR(D1720/I1720,""))</f>
        <v/>
      </c>
      <c r="K1720" s="71">
        <f>IF(B1720="","",IFERROR(AVERAGEIFS($J$4:$J1720,$B$4:$B1720,B1720,$J$4:$J1720,"&gt;"&amp;0),""))</f>
        <v/>
      </c>
      <c r="L1720" s="12" t="n"/>
    </row>
    <row r="1721" ht="14" customHeight="1" s="72">
      <c r="A1721" s="78" t="n"/>
      <c r="B1721" s="79" t="n"/>
      <c r="C1721" s="69">
        <f>IF(B1721="","",IFERROR(INDEX(Client_List!$B:$B,MATCH(B1721,Client_List!$A:$A,0)),"⚠ NOT FOUND"))</f>
        <v/>
      </c>
      <c r="D1721" s="44" t="n"/>
      <c r="E1721" s="32">
        <f>IF(B1721="","",IFERROR(INDEX(Client_List!$C:$C,MATCH(VALUE(B1721),Client_List!$A:$A,0)),""))</f>
        <v/>
      </c>
      <c r="F1721" s="53">
        <f>IF(B1721="","",IFERROR(INDEX(Client_List!$D:$D,MATCH(VALUE(B1721),Client_List!$A:$A,0)),""))</f>
        <v/>
      </c>
      <c r="G1721" s="53">
        <f>IF(B1721="","",IFERROR(INDEX(Client_List!$K:$K,MATCH(VALUE(B1721),Client_List!$A:$A,0)),""))</f>
        <v/>
      </c>
      <c r="H1721" s="32">
        <f>IF(B1721="","",IFERROR(INDEX(Client_List!$J:$J,MATCH(VALUE(B1721),Client_List!$A:$A,0)),""))</f>
        <v/>
      </c>
      <c r="I1721" s="70">
        <f>IF(B1721="","",IFERROR(A1721-LOOKUP(2,1/($B$4:$B1720=B1721),$A$4:$A1720),""))</f>
        <v/>
      </c>
      <c r="J1721" s="32">
        <f>IF(B1721="","",IFERROR(D1721/I1721,""))</f>
        <v/>
      </c>
      <c r="K1721" s="71">
        <f>IF(B1721="","",IFERROR(AVERAGEIFS($J$4:$J1721,$B$4:$B1721,B1721,$J$4:$J1721,"&gt;"&amp;0),""))</f>
        <v/>
      </c>
      <c r="L1721" s="11" t="n"/>
    </row>
    <row r="1722" ht="14" customHeight="1" s="72">
      <c r="A1722" s="80" t="n"/>
      <c r="B1722" s="81" t="n"/>
      <c r="C1722" s="69">
        <f>IF(B1722="","",IFERROR(INDEX(Client_List!$B:$B,MATCH(B1722,Client_List!$A:$A,0)),"⚠ NOT FOUND"))</f>
        <v/>
      </c>
      <c r="D1722" s="45" t="n"/>
      <c r="E1722" s="32">
        <f>IF(B1722="","",IFERROR(INDEX(Client_List!$C:$C,MATCH(VALUE(B1722),Client_List!$A:$A,0)),""))</f>
        <v/>
      </c>
      <c r="F1722" s="53">
        <f>IF(B1722="","",IFERROR(INDEX(Client_List!$D:$D,MATCH(VALUE(B1722),Client_List!$A:$A,0)),""))</f>
        <v/>
      </c>
      <c r="G1722" s="53">
        <f>IF(B1722="","",IFERROR(INDEX(Client_List!$K:$K,MATCH(VALUE(B1722),Client_List!$A:$A,0)),""))</f>
        <v/>
      </c>
      <c r="H1722" s="32">
        <f>IF(B1722="","",IFERROR(INDEX(Client_List!$J:$J,MATCH(VALUE(B1722),Client_List!$A:$A,0)),""))</f>
        <v/>
      </c>
      <c r="I1722" s="70">
        <f>IF(B1722="","",IFERROR(A1722-LOOKUP(2,1/($B$4:$B1721=B1722),$A$4:$A1721),""))</f>
        <v/>
      </c>
      <c r="J1722" s="32">
        <f>IF(B1722="","",IFERROR(D1722/I1722,""))</f>
        <v/>
      </c>
      <c r="K1722" s="71">
        <f>IF(B1722="","",IFERROR(AVERAGEIFS($J$4:$J1722,$B$4:$B1722,B1722,$J$4:$J1722,"&gt;"&amp;0),""))</f>
        <v/>
      </c>
      <c r="L1722" s="12" t="n"/>
    </row>
    <row r="1723" ht="14" customHeight="1" s="72">
      <c r="A1723" s="78" t="n"/>
      <c r="B1723" s="79" t="n"/>
      <c r="C1723" s="69">
        <f>IF(B1723="","",IFERROR(INDEX(Client_List!$B:$B,MATCH(B1723,Client_List!$A:$A,0)),"⚠ NOT FOUND"))</f>
        <v/>
      </c>
      <c r="D1723" s="44" t="n"/>
      <c r="E1723" s="32">
        <f>IF(B1723="","",IFERROR(INDEX(Client_List!$C:$C,MATCH(VALUE(B1723),Client_List!$A:$A,0)),""))</f>
        <v/>
      </c>
      <c r="F1723" s="53">
        <f>IF(B1723="","",IFERROR(INDEX(Client_List!$D:$D,MATCH(VALUE(B1723),Client_List!$A:$A,0)),""))</f>
        <v/>
      </c>
      <c r="G1723" s="53">
        <f>IF(B1723="","",IFERROR(INDEX(Client_List!$K:$K,MATCH(VALUE(B1723),Client_List!$A:$A,0)),""))</f>
        <v/>
      </c>
      <c r="H1723" s="32">
        <f>IF(B1723="","",IFERROR(INDEX(Client_List!$J:$J,MATCH(VALUE(B1723),Client_List!$A:$A,0)),""))</f>
        <v/>
      </c>
      <c r="I1723" s="70">
        <f>IF(B1723="","",IFERROR(A1723-LOOKUP(2,1/($B$4:$B1722=B1723),$A$4:$A1722),""))</f>
        <v/>
      </c>
      <c r="J1723" s="32">
        <f>IF(B1723="","",IFERROR(D1723/I1723,""))</f>
        <v/>
      </c>
      <c r="K1723" s="71">
        <f>IF(B1723="","",IFERROR(AVERAGEIFS($J$4:$J1723,$B$4:$B1723,B1723,$J$4:$J1723,"&gt;"&amp;0),""))</f>
        <v/>
      </c>
      <c r="L1723" s="11" t="n"/>
    </row>
    <row r="1724" ht="14" customHeight="1" s="72">
      <c r="A1724" s="80" t="n"/>
      <c r="B1724" s="81" t="n"/>
      <c r="C1724" s="69">
        <f>IF(B1724="","",IFERROR(INDEX(Client_List!$B:$B,MATCH(B1724,Client_List!$A:$A,0)),"⚠ NOT FOUND"))</f>
        <v/>
      </c>
      <c r="D1724" s="45" t="n"/>
      <c r="E1724" s="32">
        <f>IF(B1724="","",IFERROR(INDEX(Client_List!$C:$C,MATCH(VALUE(B1724),Client_List!$A:$A,0)),""))</f>
        <v/>
      </c>
      <c r="F1724" s="53">
        <f>IF(B1724="","",IFERROR(INDEX(Client_List!$D:$D,MATCH(VALUE(B1724),Client_List!$A:$A,0)),""))</f>
        <v/>
      </c>
      <c r="G1724" s="53">
        <f>IF(B1724="","",IFERROR(INDEX(Client_List!$K:$K,MATCH(VALUE(B1724),Client_List!$A:$A,0)),""))</f>
        <v/>
      </c>
      <c r="H1724" s="32">
        <f>IF(B1724="","",IFERROR(INDEX(Client_List!$J:$J,MATCH(VALUE(B1724),Client_List!$A:$A,0)),""))</f>
        <v/>
      </c>
      <c r="I1724" s="70">
        <f>IF(B1724="","",IFERROR(A1724-LOOKUP(2,1/($B$4:$B1723=B1724),$A$4:$A1723),""))</f>
        <v/>
      </c>
      <c r="J1724" s="32">
        <f>IF(B1724="","",IFERROR(D1724/I1724,""))</f>
        <v/>
      </c>
      <c r="K1724" s="71">
        <f>IF(B1724="","",IFERROR(AVERAGEIFS($J$4:$J1724,$B$4:$B1724,B1724,$J$4:$J1724,"&gt;"&amp;0),""))</f>
        <v/>
      </c>
      <c r="L1724" s="12" t="n"/>
    </row>
    <row r="1725" ht="14" customHeight="1" s="72">
      <c r="A1725" s="78" t="n"/>
      <c r="B1725" s="79" t="n"/>
      <c r="C1725" s="69">
        <f>IF(B1725="","",IFERROR(INDEX(Client_List!$B:$B,MATCH(B1725,Client_List!$A:$A,0)),"⚠ NOT FOUND"))</f>
        <v/>
      </c>
      <c r="D1725" s="44" t="n"/>
      <c r="E1725" s="32">
        <f>IF(B1725="","",IFERROR(INDEX(Client_List!$C:$C,MATCH(VALUE(B1725),Client_List!$A:$A,0)),""))</f>
        <v/>
      </c>
      <c r="F1725" s="53">
        <f>IF(B1725="","",IFERROR(INDEX(Client_List!$D:$D,MATCH(VALUE(B1725),Client_List!$A:$A,0)),""))</f>
        <v/>
      </c>
      <c r="G1725" s="53">
        <f>IF(B1725="","",IFERROR(INDEX(Client_List!$K:$K,MATCH(VALUE(B1725),Client_List!$A:$A,0)),""))</f>
        <v/>
      </c>
      <c r="H1725" s="32">
        <f>IF(B1725="","",IFERROR(INDEX(Client_List!$J:$J,MATCH(VALUE(B1725),Client_List!$A:$A,0)),""))</f>
        <v/>
      </c>
      <c r="I1725" s="70">
        <f>IF(B1725="","",IFERROR(A1725-LOOKUP(2,1/($B$4:$B1724=B1725),$A$4:$A1724),""))</f>
        <v/>
      </c>
      <c r="J1725" s="32">
        <f>IF(B1725="","",IFERROR(D1725/I1725,""))</f>
        <v/>
      </c>
      <c r="K1725" s="71">
        <f>IF(B1725="","",IFERROR(AVERAGEIFS($J$4:$J1725,$B$4:$B1725,B1725,$J$4:$J1725,"&gt;"&amp;0),""))</f>
        <v/>
      </c>
      <c r="L1725" s="11" t="n"/>
    </row>
    <row r="1726" ht="14" customHeight="1" s="72">
      <c r="A1726" s="80" t="n"/>
      <c r="B1726" s="81" t="n"/>
      <c r="C1726" s="69">
        <f>IF(B1726="","",IFERROR(INDEX(Client_List!$B:$B,MATCH(B1726,Client_List!$A:$A,0)),"⚠ NOT FOUND"))</f>
        <v/>
      </c>
      <c r="D1726" s="45" t="n"/>
      <c r="E1726" s="32">
        <f>IF(B1726="","",IFERROR(INDEX(Client_List!$C:$C,MATCH(VALUE(B1726),Client_List!$A:$A,0)),""))</f>
        <v/>
      </c>
      <c r="F1726" s="53">
        <f>IF(B1726="","",IFERROR(INDEX(Client_List!$D:$D,MATCH(VALUE(B1726),Client_List!$A:$A,0)),""))</f>
        <v/>
      </c>
      <c r="G1726" s="53">
        <f>IF(B1726="","",IFERROR(INDEX(Client_List!$K:$K,MATCH(VALUE(B1726),Client_List!$A:$A,0)),""))</f>
        <v/>
      </c>
      <c r="H1726" s="32">
        <f>IF(B1726="","",IFERROR(INDEX(Client_List!$J:$J,MATCH(VALUE(B1726),Client_List!$A:$A,0)),""))</f>
        <v/>
      </c>
      <c r="I1726" s="70">
        <f>IF(B1726="","",IFERROR(A1726-LOOKUP(2,1/($B$4:$B1725=B1726),$A$4:$A1725),""))</f>
        <v/>
      </c>
      <c r="J1726" s="32">
        <f>IF(B1726="","",IFERROR(D1726/I1726,""))</f>
        <v/>
      </c>
      <c r="K1726" s="71">
        <f>IF(B1726="","",IFERROR(AVERAGEIFS($J$4:$J1726,$B$4:$B1726,B1726,$J$4:$J1726,"&gt;"&amp;0),""))</f>
        <v/>
      </c>
      <c r="L1726" s="12" t="n"/>
    </row>
    <row r="1727" ht="14" customHeight="1" s="72">
      <c r="A1727" s="78" t="n"/>
      <c r="B1727" s="79" t="n"/>
      <c r="C1727" s="69">
        <f>IF(B1727="","",IFERROR(INDEX(Client_List!$B:$B,MATCH(B1727,Client_List!$A:$A,0)),"⚠ NOT FOUND"))</f>
        <v/>
      </c>
      <c r="D1727" s="44" t="n"/>
      <c r="E1727" s="32">
        <f>IF(B1727="","",IFERROR(INDEX(Client_List!$C:$C,MATCH(VALUE(B1727),Client_List!$A:$A,0)),""))</f>
        <v/>
      </c>
      <c r="F1727" s="53">
        <f>IF(B1727="","",IFERROR(INDEX(Client_List!$D:$D,MATCH(VALUE(B1727),Client_List!$A:$A,0)),""))</f>
        <v/>
      </c>
      <c r="G1727" s="53">
        <f>IF(B1727="","",IFERROR(INDEX(Client_List!$K:$K,MATCH(VALUE(B1727),Client_List!$A:$A,0)),""))</f>
        <v/>
      </c>
      <c r="H1727" s="32">
        <f>IF(B1727="","",IFERROR(INDEX(Client_List!$J:$J,MATCH(VALUE(B1727),Client_List!$A:$A,0)),""))</f>
        <v/>
      </c>
      <c r="I1727" s="70">
        <f>IF(B1727="","",IFERROR(A1727-LOOKUP(2,1/($B$4:$B1726=B1727),$A$4:$A1726),""))</f>
        <v/>
      </c>
      <c r="J1727" s="32">
        <f>IF(B1727="","",IFERROR(D1727/I1727,""))</f>
        <v/>
      </c>
      <c r="K1727" s="71">
        <f>IF(B1727="","",IFERROR(AVERAGEIFS($J$4:$J1727,$B$4:$B1727,B1727,$J$4:$J1727,"&gt;"&amp;0),""))</f>
        <v/>
      </c>
      <c r="L1727" s="11" t="n"/>
    </row>
    <row r="1728" ht="14" customHeight="1" s="72">
      <c r="A1728" s="80" t="n"/>
      <c r="B1728" s="81" t="n"/>
      <c r="C1728" s="69">
        <f>IF(B1728="","",IFERROR(INDEX(Client_List!$B:$B,MATCH(B1728,Client_List!$A:$A,0)),"⚠ NOT FOUND"))</f>
        <v/>
      </c>
      <c r="D1728" s="45" t="n"/>
      <c r="E1728" s="32">
        <f>IF(B1728="","",IFERROR(INDEX(Client_List!$C:$C,MATCH(VALUE(B1728),Client_List!$A:$A,0)),""))</f>
        <v/>
      </c>
      <c r="F1728" s="53">
        <f>IF(B1728="","",IFERROR(INDEX(Client_List!$D:$D,MATCH(VALUE(B1728),Client_List!$A:$A,0)),""))</f>
        <v/>
      </c>
      <c r="G1728" s="53">
        <f>IF(B1728="","",IFERROR(INDEX(Client_List!$K:$K,MATCH(VALUE(B1728),Client_List!$A:$A,0)),""))</f>
        <v/>
      </c>
      <c r="H1728" s="32">
        <f>IF(B1728="","",IFERROR(INDEX(Client_List!$J:$J,MATCH(VALUE(B1728),Client_List!$A:$A,0)),""))</f>
        <v/>
      </c>
      <c r="I1728" s="70">
        <f>IF(B1728="","",IFERROR(A1728-LOOKUP(2,1/($B$4:$B1727=B1728),$A$4:$A1727),""))</f>
        <v/>
      </c>
      <c r="J1728" s="32">
        <f>IF(B1728="","",IFERROR(D1728/I1728,""))</f>
        <v/>
      </c>
      <c r="K1728" s="71">
        <f>IF(B1728="","",IFERROR(AVERAGEIFS($J$4:$J1728,$B$4:$B1728,B1728,$J$4:$J1728,"&gt;"&amp;0),""))</f>
        <v/>
      </c>
      <c r="L1728" s="12" t="n"/>
    </row>
    <row r="1729" ht="14" customHeight="1" s="72">
      <c r="A1729" s="78" t="n"/>
      <c r="B1729" s="79" t="n"/>
      <c r="C1729" s="69">
        <f>IF(B1729="","",IFERROR(INDEX(Client_List!$B:$B,MATCH(B1729,Client_List!$A:$A,0)),"⚠ NOT FOUND"))</f>
        <v/>
      </c>
      <c r="D1729" s="44" t="n"/>
      <c r="E1729" s="32">
        <f>IF(B1729="","",IFERROR(INDEX(Client_List!$C:$C,MATCH(VALUE(B1729),Client_List!$A:$A,0)),""))</f>
        <v/>
      </c>
      <c r="F1729" s="53">
        <f>IF(B1729="","",IFERROR(INDEX(Client_List!$D:$D,MATCH(VALUE(B1729),Client_List!$A:$A,0)),""))</f>
        <v/>
      </c>
      <c r="G1729" s="53">
        <f>IF(B1729="","",IFERROR(INDEX(Client_List!$K:$K,MATCH(VALUE(B1729),Client_List!$A:$A,0)),""))</f>
        <v/>
      </c>
      <c r="H1729" s="32">
        <f>IF(B1729="","",IFERROR(INDEX(Client_List!$J:$J,MATCH(VALUE(B1729),Client_List!$A:$A,0)),""))</f>
        <v/>
      </c>
      <c r="I1729" s="70">
        <f>IF(B1729="","",IFERROR(A1729-LOOKUP(2,1/($B$4:$B1728=B1729),$A$4:$A1728),""))</f>
        <v/>
      </c>
      <c r="J1729" s="32">
        <f>IF(B1729="","",IFERROR(D1729/I1729,""))</f>
        <v/>
      </c>
      <c r="K1729" s="71">
        <f>IF(B1729="","",IFERROR(AVERAGEIFS($J$4:$J1729,$B$4:$B1729,B1729,$J$4:$J1729,"&gt;"&amp;0),""))</f>
        <v/>
      </c>
      <c r="L1729" s="11" t="n"/>
    </row>
    <row r="1730" ht="14" customHeight="1" s="72">
      <c r="A1730" s="80" t="n"/>
      <c r="B1730" s="81" t="n"/>
      <c r="C1730" s="69">
        <f>IF(B1730="","",IFERROR(INDEX(Client_List!$B:$B,MATCH(B1730,Client_List!$A:$A,0)),"⚠ NOT FOUND"))</f>
        <v/>
      </c>
      <c r="D1730" s="45" t="n"/>
      <c r="E1730" s="32">
        <f>IF(B1730="","",IFERROR(INDEX(Client_List!$C:$C,MATCH(VALUE(B1730),Client_List!$A:$A,0)),""))</f>
        <v/>
      </c>
      <c r="F1730" s="53">
        <f>IF(B1730="","",IFERROR(INDEX(Client_List!$D:$D,MATCH(VALUE(B1730),Client_List!$A:$A,0)),""))</f>
        <v/>
      </c>
      <c r="G1730" s="53">
        <f>IF(B1730="","",IFERROR(INDEX(Client_List!$K:$K,MATCH(VALUE(B1730),Client_List!$A:$A,0)),""))</f>
        <v/>
      </c>
      <c r="H1730" s="32">
        <f>IF(B1730="","",IFERROR(INDEX(Client_List!$J:$J,MATCH(VALUE(B1730),Client_List!$A:$A,0)),""))</f>
        <v/>
      </c>
      <c r="I1730" s="70">
        <f>IF(B1730="","",IFERROR(A1730-LOOKUP(2,1/($B$4:$B1729=B1730),$A$4:$A1729),""))</f>
        <v/>
      </c>
      <c r="J1730" s="32">
        <f>IF(B1730="","",IFERROR(D1730/I1730,""))</f>
        <v/>
      </c>
      <c r="K1730" s="71">
        <f>IF(B1730="","",IFERROR(AVERAGEIFS($J$4:$J1730,$B$4:$B1730,B1730,$J$4:$J1730,"&gt;"&amp;0),""))</f>
        <v/>
      </c>
      <c r="L1730" s="12" t="n"/>
    </row>
    <row r="1731" ht="14" customHeight="1" s="72">
      <c r="A1731" s="78" t="n"/>
      <c r="B1731" s="79" t="n"/>
      <c r="C1731" s="69">
        <f>IF(B1731="","",IFERROR(INDEX(Client_List!$B:$B,MATCH(B1731,Client_List!$A:$A,0)),"⚠ NOT FOUND"))</f>
        <v/>
      </c>
      <c r="D1731" s="44" t="n"/>
      <c r="E1731" s="32">
        <f>IF(B1731="","",IFERROR(INDEX(Client_List!$C:$C,MATCH(VALUE(B1731),Client_List!$A:$A,0)),""))</f>
        <v/>
      </c>
      <c r="F1731" s="53">
        <f>IF(B1731="","",IFERROR(INDEX(Client_List!$D:$D,MATCH(VALUE(B1731),Client_List!$A:$A,0)),""))</f>
        <v/>
      </c>
      <c r="G1731" s="53">
        <f>IF(B1731="","",IFERROR(INDEX(Client_List!$K:$K,MATCH(VALUE(B1731),Client_List!$A:$A,0)),""))</f>
        <v/>
      </c>
      <c r="H1731" s="32">
        <f>IF(B1731="","",IFERROR(INDEX(Client_List!$J:$J,MATCH(VALUE(B1731),Client_List!$A:$A,0)),""))</f>
        <v/>
      </c>
      <c r="I1731" s="70">
        <f>IF(B1731="","",IFERROR(A1731-LOOKUP(2,1/($B$4:$B1730=B1731),$A$4:$A1730),""))</f>
        <v/>
      </c>
      <c r="J1731" s="32">
        <f>IF(B1731="","",IFERROR(D1731/I1731,""))</f>
        <v/>
      </c>
      <c r="K1731" s="71">
        <f>IF(B1731="","",IFERROR(AVERAGEIFS($J$4:$J1731,$B$4:$B1731,B1731,$J$4:$J1731,"&gt;"&amp;0),""))</f>
        <v/>
      </c>
      <c r="L1731" s="11" t="n"/>
    </row>
    <row r="1732" ht="14" customHeight="1" s="72">
      <c r="A1732" s="80" t="n"/>
      <c r="B1732" s="81" t="n"/>
      <c r="C1732" s="69">
        <f>IF(B1732="","",IFERROR(INDEX(Client_List!$B:$B,MATCH(B1732,Client_List!$A:$A,0)),"⚠ NOT FOUND"))</f>
        <v/>
      </c>
      <c r="D1732" s="45" t="n"/>
      <c r="E1732" s="32">
        <f>IF(B1732="","",IFERROR(INDEX(Client_List!$C:$C,MATCH(VALUE(B1732),Client_List!$A:$A,0)),""))</f>
        <v/>
      </c>
      <c r="F1732" s="53">
        <f>IF(B1732="","",IFERROR(INDEX(Client_List!$D:$D,MATCH(VALUE(B1732),Client_List!$A:$A,0)),""))</f>
        <v/>
      </c>
      <c r="G1732" s="53">
        <f>IF(B1732="","",IFERROR(INDEX(Client_List!$K:$K,MATCH(VALUE(B1732),Client_List!$A:$A,0)),""))</f>
        <v/>
      </c>
      <c r="H1732" s="32">
        <f>IF(B1732="","",IFERROR(INDEX(Client_List!$J:$J,MATCH(VALUE(B1732),Client_List!$A:$A,0)),""))</f>
        <v/>
      </c>
      <c r="I1732" s="70">
        <f>IF(B1732="","",IFERROR(A1732-LOOKUP(2,1/($B$4:$B1731=B1732),$A$4:$A1731),""))</f>
        <v/>
      </c>
      <c r="J1732" s="32">
        <f>IF(B1732="","",IFERROR(D1732/I1732,""))</f>
        <v/>
      </c>
      <c r="K1732" s="71">
        <f>IF(B1732="","",IFERROR(AVERAGEIFS($J$4:$J1732,$B$4:$B1732,B1732,$J$4:$J1732,"&gt;"&amp;0),""))</f>
        <v/>
      </c>
      <c r="L1732" s="12" t="n"/>
    </row>
    <row r="1733" ht="14" customHeight="1" s="72">
      <c r="A1733" s="78" t="n"/>
      <c r="B1733" s="79" t="n"/>
      <c r="C1733" s="69">
        <f>IF(B1733="","",IFERROR(INDEX(Client_List!$B:$B,MATCH(B1733,Client_List!$A:$A,0)),"⚠ NOT FOUND"))</f>
        <v/>
      </c>
      <c r="D1733" s="44" t="n"/>
      <c r="E1733" s="32">
        <f>IF(B1733="","",IFERROR(INDEX(Client_List!$C:$C,MATCH(VALUE(B1733),Client_List!$A:$A,0)),""))</f>
        <v/>
      </c>
      <c r="F1733" s="53">
        <f>IF(B1733="","",IFERROR(INDEX(Client_List!$D:$D,MATCH(VALUE(B1733),Client_List!$A:$A,0)),""))</f>
        <v/>
      </c>
      <c r="G1733" s="53">
        <f>IF(B1733="","",IFERROR(INDEX(Client_List!$K:$K,MATCH(VALUE(B1733),Client_List!$A:$A,0)),""))</f>
        <v/>
      </c>
      <c r="H1733" s="32">
        <f>IF(B1733="","",IFERROR(INDEX(Client_List!$J:$J,MATCH(VALUE(B1733),Client_List!$A:$A,0)),""))</f>
        <v/>
      </c>
      <c r="I1733" s="70">
        <f>IF(B1733="","",IFERROR(A1733-LOOKUP(2,1/($B$4:$B1732=B1733),$A$4:$A1732),""))</f>
        <v/>
      </c>
      <c r="J1733" s="32">
        <f>IF(B1733="","",IFERROR(D1733/I1733,""))</f>
        <v/>
      </c>
      <c r="K1733" s="71">
        <f>IF(B1733="","",IFERROR(AVERAGEIFS($J$4:$J1733,$B$4:$B1733,B1733,$J$4:$J1733,"&gt;"&amp;0),""))</f>
        <v/>
      </c>
      <c r="L1733" s="11" t="n"/>
    </row>
    <row r="1734" ht="14" customHeight="1" s="72">
      <c r="A1734" s="80" t="n"/>
      <c r="B1734" s="81" t="n"/>
      <c r="C1734" s="69">
        <f>IF(B1734="","",IFERROR(INDEX(Client_List!$B:$B,MATCH(B1734,Client_List!$A:$A,0)),"⚠ NOT FOUND"))</f>
        <v/>
      </c>
      <c r="D1734" s="45" t="n"/>
      <c r="E1734" s="32">
        <f>IF(B1734="","",IFERROR(INDEX(Client_List!$C:$C,MATCH(VALUE(B1734),Client_List!$A:$A,0)),""))</f>
        <v/>
      </c>
      <c r="F1734" s="53">
        <f>IF(B1734="","",IFERROR(INDEX(Client_List!$D:$D,MATCH(VALUE(B1734),Client_List!$A:$A,0)),""))</f>
        <v/>
      </c>
      <c r="G1734" s="53">
        <f>IF(B1734="","",IFERROR(INDEX(Client_List!$K:$K,MATCH(VALUE(B1734),Client_List!$A:$A,0)),""))</f>
        <v/>
      </c>
      <c r="H1734" s="32">
        <f>IF(B1734="","",IFERROR(INDEX(Client_List!$J:$J,MATCH(VALUE(B1734),Client_List!$A:$A,0)),""))</f>
        <v/>
      </c>
      <c r="I1734" s="70">
        <f>IF(B1734="","",IFERROR(A1734-LOOKUP(2,1/($B$4:$B1733=B1734),$A$4:$A1733),""))</f>
        <v/>
      </c>
      <c r="J1734" s="32">
        <f>IF(B1734="","",IFERROR(D1734/I1734,""))</f>
        <v/>
      </c>
      <c r="K1734" s="71">
        <f>IF(B1734="","",IFERROR(AVERAGEIFS($J$4:$J1734,$B$4:$B1734,B1734,$J$4:$J1734,"&gt;"&amp;0),""))</f>
        <v/>
      </c>
      <c r="L1734" s="12" t="n"/>
    </row>
    <row r="1735" ht="14" customHeight="1" s="72">
      <c r="A1735" s="78" t="n"/>
      <c r="B1735" s="79" t="n"/>
      <c r="C1735" s="69">
        <f>IF(B1735="","",IFERROR(INDEX(Client_List!$B:$B,MATCH(B1735,Client_List!$A:$A,0)),"⚠ NOT FOUND"))</f>
        <v/>
      </c>
      <c r="D1735" s="44" t="n"/>
      <c r="E1735" s="32">
        <f>IF(B1735="","",IFERROR(INDEX(Client_List!$C:$C,MATCH(VALUE(B1735),Client_List!$A:$A,0)),""))</f>
        <v/>
      </c>
      <c r="F1735" s="53">
        <f>IF(B1735="","",IFERROR(INDEX(Client_List!$D:$D,MATCH(VALUE(B1735),Client_List!$A:$A,0)),""))</f>
        <v/>
      </c>
      <c r="G1735" s="53">
        <f>IF(B1735="","",IFERROR(INDEX(Client_List!$K:$K,MATCH(VALUE(B1735),Client_List!$A:$A,0)),""))</f>
        <v/>
      </c>
      <c r="H1735" s="32">
        <f>IF(B1735="","",IFERROR(INDEX(Client_List!$J:$J,MATCH(VALUE(B1735),Client_List!$A:$A,0)),""))</f>
        <v/>
      </c>
      <c r="I1735" s="70">
        <f>IF(B1735="","",IFERROR(A1735-LOOKUP(2,1/($B$4:$B1734=B1735),$A$4:$A1734),""))</f>
        <v/>
      </c>
      <c r="J1735" s="32">
        <f>IF(B1735="","",IFERROR(D1735/I1735,""))</f>
        <v/>
      </c>
      <c r="K1735" s="71">
        <f>IF(B1735="","",IFERROR(AVERAGEIFS($J$4:$J1735,$B$4:$B1735,B1735,$J$4:$J1735,"&gt;"&amp;0),""))</f>
        <v/>
      </c>
      <c r="L1735" s="11" t="n"/>
    </row>
    <row r="1736" ht="14" customHeight="1" s="72">
      <c r="A1736" s="80" t="n"/>
      <c r="B1736" s="81" t="n"/>
      <c r="C1736" s="69">
        <f>IF(B1736="","",IFERROR(INDEX(Client_List!$B:$B,MATCH(B1736,Client_List!$A:$A,0)),"⚠ NOT FOUND"))</f>
        <v/>
      </c>
      <c r="D1736" s="45" t="n"/>
      <c r="E1736" s="32">
        <f>IF(B1736="","",IFERROR(INDEX(Client_List!$C:$C,MATCH(VALUE(B1736),Client_List!$A:$A,0)),""))</f>
        <v/>
      </c>
      <c r="F1736" s="53">
        <f>IF(B1736="","",IFERROR(INDEX(Client_List!$D:$D,MATCH(VALUE(B1736),Client_List!$A:$A,0)),""))</f>
        <v/>
      </c>
      <c r="G1736" s="53">
        <f>IF(B1736="","",IFERROR(INDEX(Client_List!$K:$K,MATCH(VALUE(B1736),Client_List!$A:$A,0)),""))</f>
        <v/>
      </c>
      <c r="H1736" s="32">
        <f>IF(B1736="","",IFERROR(INDEX(Client_List!$J:$J,MATCH(VALUE(B1736),Client_List!$A:$A,0)),""))</f>
        <v/>
      </c>
      <c r="I1736" s="70">
        <f>IF(B1736="","",IFERROR(A1736-LOOKUP(2,1/($B$4:$B1735=B1736),$A$4:$A1735),""))</f>
        <v/>
      </c>
      <c r="J1736" s="32">
        <f>IF(B1736="","",IFERROR(D1736/I1736,""))</f>
        <v/>
      </c>
      <c r="K1736" s="71">
        <f>IF(B1736="","",IFERROR(AVERAGEIFS($J$4:$J1736,$B$4:$B1736,B1736,$J$4:$J1736,"&gt;"&amp;0),""))</f>
        <v/>
      </c>
      <c r="L1736" s="12" t="n"/>
    </row>
    <row r="1737" ht="14" customHeight="1" s="72">
      <c r="A1737" s="78" t="n"/>
      <c r="B1737" s="79" t="n"/>
      <c r="C1737" s="69">
        <f>IF(B1737="","",IFERROR(INDEX(Client_List!$B:$B,MATCH(B1737,Client_List!$A:$A,0)),"⚠ NOT FOUND"))</f>
        <v/>
      </c>
      <c r="D1737" s="44" t="n"/>
      <c r="E1737" s="32">
        <f>IF(B1737="","",IFERROR(INDEX(Client_List!$C:$C,MATCH(VALUE(B1737),Client_List!$A:$A,0)),""))</f>
        <v/>
      </c>
      <c r="F1737" s="53">
        <f>IF(B1737="","",IFERROR(INDEX(Client_List!$D:$D,MATCH(VALUE(B1737),Client_List!$A:$A,0)),""))</f>
        <v/>
      </c>
      <c r="G1737" s="53">
        <f>IF(B1737="","",IFERROR(INDEX(Client_List!$K:$K,MATCH(VALUE(B1737),Client_List!$A:$A,0)),""))</f>
        <v/>
      </c>
      <c r="H1737" s="32">
        <f>IF(B1737="","",IFERROR(INDEX(Client_List!$J:$J,MATCH(VALUE(B1737),Client_List!$A:$A,0)),""))</f>
        <v/>
      </c>
      <c r="I1737" s="70">
        <f>IF(B1737="","",IFERROR(A1737-LOOKUP(2,1/($B$4:$B1736=B1737),$A$4:$A1736),""))</f>
        <v/>
      </c>
      <c r="J1737" s="32">
        <f>IF(B1737="","",IFERROR(D1737/I1737,""))</f>
        <v/>
      </c>
      <c r="K1737" s="71">
        <f>IF(B1737="","",IFERROR(AVERAGEIFS($J$4:$J1737,$B$4:$B1737,B1737,$J$4:$J1737,"&gt;"&amp;0),""))</f>
        <v/>
      </c>
      <c r="L1737" s="11" t="n"/>
    </row>
    <row r="1738" ht="14" customHeight="1" s="72">
      <c r="A1738" s="80" t="n"/>
      <c r="B1738" s="81" t="n"/>
      <c r="C1738" s="69">
        <f>IF(B1738="","",IFERROR(INDEX(Client_List!$B:$B,MATCH(B1738,Client_List!$A:$A,0)),"⚠ NOT FOUND"))</f>
        <v/>
      </c>
      <c r="D1738" s="45" t="n"/>
      <c r="E1738" s="32">
        <f>IF(B1738="","",IFERROR(INDEX(Client_List!$C:$C,MATCH(VALUE(B1738),Client_List!$A:$A,0)),""))</f>
        <v/>
      </c>
      <c r="F1738" s="53">
        <f>IF(B1738="","",IFERROR(INDEX(Client_List!$D:$D,MATCH(VALUE(B1738),Client_List!$A:$A,0)),""))</f>
        <v/>
      </c>
      <c r="G1738" s="53">
        <f>IF(B1738="","",IFERROR(INDEX(Client_List!$K:$K,MATCH(VALUE(B1738),Client_List!$A:$A,0)),""))</f>
        <v/>
      </c>
      <c r="H1738" s="32">
        <f>IF(B1738="","",IFERROR(INDEX(Client_List!$J:$J,MATCH(VALUE(B1738),Client_List!$A:$A,0)),""))</f>
        <v/>
      </c>
      <c r="I1738" s="70">
        <f>IF(B1738="","",IFERROR(A1738-LOOKUP(2,1/($B$4:$B1737=B1738),$A$4:$A1737),""))</f>
        <v/>
      </c>
      <c r="J1738" s="32">
        <f>IF(B1738="","",IFERROR(D1738/I1738,""))</f>
        <v/>
      </c>
      <c r="K1738" s="71">
        <f>IF(B1738="","",IFERROR(AVERAGEIFS($J$4:$J1738,$B$4:$B1738,B1738,$J$4:$J1738,"&gt;"&amp;0),""))</f>
        <v/>
      </c>
      <c r="L1738" s="12" t="n"/>
    </row>
    <row r="1739" ht="14" customHeight="1" s="72">
      <c r="A1739" s="78" t="n"/>
      <c r="B1739" s="79" t="n"/>
      <c r="C1739" s="69">
        <f>IF(B1739="","",IFERROR(INDEX(Client_List!$B:$B,MATCH(B1739,Client_List!$A:$A,0)),"⚠ NOT FOUND"))</f>
        <v/>
      </c>
      <c r="D1739" s="44" t="n"/>
      <c r="E1739" s="32">
        <f>IF(B1739="","",IFERROR(INDEX(Client_List!$C:$C,MATCH(VALUE(B1739),Client_List!$A:$A,0)),""))</f>
        <v/>
      </c>
      <c r="F1739" s="53">
        <f>IF(B1739="","",IFERROR(INDEX(Client_List!$D:$D,MATCH(VALUE(B1739),Client_List!$A:$A,0)),""))</f>
        <v/>
      </c>
      <c r="G1739" s="53">
        <f>IF(B1739="","",IFERROR(INDEX(Client_List!$K:$K,MATCH(VALUE(B1739),Client_List!$A:$A,0)),""))</f>
        <v/>
      </c>
      <c r="H1739" s="32">
        <f>IF(B1739="","",IFERROR(INDEX(Client_List!$J:$J,MATCH(VALUE(B1739),Client_List!$A:$A,0)),""))</f>
        <v/>
      </c>
      <c r="I1739" s="70">
        <f>IF(B1739="","",IFERROR(A1739-LOOKUP(2,1/($B$4:$B1738=B1739),$A$4:$A1738),""))</f>
        <v/>
      </c>
      <c r="J1739" s="32">
        <f>IF(B1739="","",IFERROR(D1739/I1739,""))</f>
        <v/>
      </c>
      <c r="K1739" s="71">
        <f>IF(B1739="","",IFERROR(AVERAGEIFS($J$4:$J1739,$B$4:$B1739,B1739,$J$4:$J1739,"&gt;"&amp;0),""))</f>
        <v/>
      </c>
      <c r="L1739" s="11" t="n"/>
    </row>
    <row r="1740" ht="14" customHeight="1" s="72">
      <c r="A1740" s="80" t="n"/>
      <c r="B1740" s="81" t="n"/>
      <c r="C1740" s="69">
        <f>IF(B1740="","",IFERROR(INDEX(Client_List!$B:$B,MATCH(B1740,Client_List!$A:$A,0)),"⚠ NOT FOUND"))</f>
        <v/>
      </c>
      <c r="D1740" s="45" t="n"/>
      <c r="E1740" s="32">
        <f>IF(B1740="","",IFERROR(INDEX(Client_List!$C:$C,MATCH(VALUE(B1740),Client_List!$A:$A,0)),""))</f>
        <v/>
      </c>
      <c r="F1740" s="53">
        <f>IF(B1740="","",IFERROR(INDEX(Client_List!$D:$D,MATCH(VALUE(B1740),Client_List!$A:$A,0)),""))</f>
        <v/>
      </c>
      <c r="G1740" s="53">
        <f>IF(B1740="","",IFERROR(INDEX(Client_List!$K:$K,MATCH(VALUE(B1740),Client_List!$A:$A,0)),""))</f>
        <v/>
      </c>
      <c r="H1740" s="32">
        <f>IF(B1740="","",IFERROR(INDEX(Client_List!$J:$J,MATCH(VALUE(B1740),Client_List!$A:$A,0)),""))</f>
        <v/>
      </c>
      <c r="I1740" s="70">
        <f>IF(B1740="","",IFERROR(A1740-LOOKUP(2,1/($B$4:$B1739=B1740),$A$4:$A1739),""))</f>
        <v/>
      </c>
      <c r="J1740" s="32">
        <f>IF(B1740="","",IFERROR(D1740/I1740,""))</f>
        <v/>
      </c>
      <c r="K1740" s="71">
        <f>IF(B1740="","",IFERROR(AVERAGEIFS($J$4:$J1740,$B$4:$B1740,B1740,$J$4:$J1740,"&gt;"&amp;0),""))</f>
        <v/>
      </c>
      <c r="L1740" s="12" t="n"/>
    </row>
    <row r="1741" ht="14" customHeight="1" s="72">
      <c r="A1741" s="78" t="n"/>
      <c r="B1741" s="79" t="n"/>
      <c r="C1741" s="69">
        <f>IF(B1741="","",IFERROR(INDEX(Client_List!$B:$B,MATCH(B1741,Client_List!$A:$A,0)),"⚠ NOT FOUND"))</f>
        <v/>
      </c>
      <c r="D1741" s="44" t="n"/>
      <c r="E1741" s="32">
        <f>IF(B1741="","",IFERROR(INDEX(Client_List!$C:$C,MATCH(VALUE(B1741),Client_List!$A:$A,0)),""))</f>
        <v/>
      </c>
      <c r="F1741" s="53">
        <f>IF(B1741="","",IFERROR(INDEX(Client_List!$D:$D,MATCH(VALUE(B1741),Client_List!$A:$A,0)),""))</f>
        <v/>
      </c>
      <c r="G1741" s="53">
        <f>IF(B1741="","",IFERROR(INDEX(Client_List!$K:$K,MATCH(VALUE(B1741),Client_List!$A:$A,0)),""))</f>
        <v/>
      </c>
      <c r="H1741" s="32">
        <f>IF(B1741="","",IFERROR(INDEX(Client_List!$J:$J,MATCH(VALUE(B1741),Client_List!$A:$A,0)),""))</f>
        <v/>
      </c>
      <c r="I1741" s="70">
        <f>IF(B1741="","",IFERROR(A1741-LOOKUP(2,1/($B$4:$B1740=B1741),$A$4:$A1740),""))</f>
        <v/>
      </c>
      <c r="J1741" s="32">
        <f>IF(B1741="","",IFERROR(D1741/I1741,""))</f>
        <v/>
      </c>
      <c r="K1741" s="71">
        <f>IF(B1741="","",IFERROR(AVERAGEIFS($J$4:$J1741,$B$4:$B1741,B1741,$J$4:$J1741,"&gt;"&amp;0),""))</f>
        <v/>
      </c>
      <c r="L1741" s="11" t="n"/>
    </row>
    <row r="1742" ht="14" customHeight="1" s="72">
      <c r="A1742" s="80" t="n"/>
      <c r="B1742" s="81" t="n"/>
      <c r="C1742" s="69">
        <f>IF(B1742="","",IFERROR(INDEX(Client_List!$B:$B,MATCH(B1742,Client_List!$A:$A,0)),"⚠ NOT FOUND"))</f>
        <v/>
      </c>
      <c r="D1742" s="45" t="n"/>
      <c r="E1742" s="32">
        <f>IF(B1742="","",IFERROR(INDEX(Client_List!$C:$C,MATCH(VALUE(B1742),Client_List!$A:$A,0)),""))</f>
        <v/>
      </c>
      <c r="F1742" s="53">
        <f>IF(B1742="","",IFERROR(INDEX(Client_List!$D:$D,MATCH(VALUE(B1742),Client_List!$A:$A,0)),""))</f>
        <v/>
      </c>
      <c r="G1742" s="53">
        <f>IF(B1742="","",IFERROR(INDEX(Client_List!$K:$K,MATCH(VALUE(B1742),Client_List!$A:$A,0)),""))</f>
        <v/>
      </c>
      <c r="H1742" s="32">
        <f>IF(B1742="","",IFERROR(INDEX(Client_List!$J:$J,MATCH(VALUE(B1742),Client_List!$A:$A,0)),""))</f>
        <v/>
      </c>
      <c r="I1742" s="70">
        <f>IF(B1742="","",IFERROR(A1742-LOOKUP(2,1/($B$4:$B1741=B1742),$A$4:$A1741),""))</f>
        <v/>
      </c>
      <c r="J1742" s="32">
        <f>IF(B1742="","",IFERROR(D1742/I1742,""))</f>
        <v/>
      </c>
      <c r="K1742" s="71">
        <f>IF(B1742="","",IFERROR(AVERAGEIFS($J$4:$J1742,$B$4:$B1742,B1742,$J$4:$J1742,"&gt;"&amp;0),""))</f>
        <v/>
      </c>
      <c r="L1742" s="12" t="n"/>
    </row>
    <row r="1743" ht="14" customHeight="1" s="72">
      <c r="A1743" s="78" t="n"/>
      <c r="B1743" s="79" t="n"/>
      <c r="C1743" s="69">
        <f>IF(B1743="","",IFERROR(INDEX(Client_List!$B:$B,MATCH(B1743,Client_List!$A:$A,0)),"⚠ NOT FOUND"))</f>
        <v/>
      </c>
      <c r="D1743" s="44" t="n"/>
      <c r="E1743" s="32">
        <f>IF(B1743="","",IFERROR(INDEX(Client_List!$C:$C,MATCH(VALUE(B1743),Client_List!$A:$A,0)),""))</f>
        <v/>
      </c>
      <c r="F1743" s="53">
        <f>IF(B1743="","",IFERROR(INDEX(Client_List!$D:$D,MATCH(VALUE(B1743),Client_List!$A:$A,0)),""))</f>
        <v/>
      </c>
      <c r="G1743" s="53">
        <f>IF(B1743="","",IFERROR(INDEX(Client_List!$K:$K,MATCH(VALUE(B1743),Client_List!$A:$A,0)),""))</f>
        <v/>
      </c>
      <c r="H1743" s="32">
        <f>IF(B1743="","",IFERROR(INDEX(Client_List!$J:$J,MATCH(VALUE(B1743),Client_List!$A:$A,0)),""))</f>
        <v/>
      </c>
      <c r="I1743" s="70">
        <f>IF(B1743="","",IFERROR(A1743-LOOKUP(2,1/($B$4:$B1742=B1743),$A$4:$A1742),""))</f>
        <v/>
      </c>
      <c r="J1743" s="32">
        <f>IF(B1743="","",IFERROR(D1743/I1743,""))</f>
        <v/>
      </c>
      <c r="K1743" s="71">
        <f>IF(B1743="","",IFERROR(AVERAGEIFS($J$4:$J1743,$B$4:$B1743,B1743,$J$4:$J1743,"&gt;"&amp;0),""))</f>
        <v/>
      </c>
      <c r="L1743" s="11" t="n"/>
    </row>
    <row r="1744" ht="14" customHeight="1" s="72">
      <c r="A1744" s="80" t="n"/>
      <c r="B1744" s="81" t="n"/>
      <c r="C1744" s="69">
        <f>IF(B1744="","",IFERROR(INDEX(Client_List!$B:$B,MATCH(B1744,Client_List!$A:$A,0)),"⚠ NOT FOUND"))</f>
        <v/>
      </c>
      <c r="D1744" s="45" t="n"/>
      <c r="E1744" s="32">
        <f>IF(B1744="","",IFERROR(INDEX(Client_List!$C:$C,MATCH(VALUE(B1744),Client_List!$A:$A,0)),""))</f>
        <v/>
      </c>
      <c r="F1744" s="53">
        <f>IF(B1744="","",IFERROR(INDEX(Client_List!$D:$D,MATCH(VALUE(B1744),Client_List!$A:$A,0)),""))</f>
        <v/>
      </c>
      <c r="G1744" s="53">
        <f>IF(B1744="","",IFERROR(INDEX(Client_List!$K:$K,MATCH(VALUE(B1744),Client_List!$A:$A,0)),""))</f>
        <v/>
      </c>
      <c r="H1744" s="32">
        <f>IF(B1744="","",IFERROR(INDEX(Client_List!$J:$J,MATCH(VALUE(B1744),Client_List!$A:$A,0)),""))</f>
        <v/>
      </c>
      <c r="I1744" s="70">
        <f>IF(B1744="","",IFERROR(A1744-LOOKUP(2,1/($B$4:$B1743=B1744),$A$4:$A1743),""))</f>
        <v/>
      </c>
      <c r="J1744" s="32">
        <f>IF(B1744="","",IFERROR(D1744/I1744,""))</f>
        <v/>
      </c>
      <c r="K1744" s="71">
        <f>IF(B1744="","",IFERROR(AVERAGEIFS($J$4:$J1744,$B$4:$B1744,B1744,$J$4:$J1744,"&gt;"&amp;0),""))</f>
        <v/>
      </c>
      <c r="L1744" s="12" t="n"/>
    </row>
    <row r="1745" ht="14" customHeight="1" s="72">
      <c r="A1745" s="78" t="n"/>
      <c r="B1745" s="79" t="n"/>
      <c r="C1745" s="69">
        <f>IF(B1745="","",IFERROR(INDEX(Client_List!$B:$B,MATCH(B1745,Client_List!$A:$A,0)),"⚠ NOT FOUND"))</f>
        <v/>
      </c>
      <c r="D1745" s="44" t="n"/>
      <c r="E1745" s="32">
        <f>IF(B1745="","",IFERROR(INDEX(Client_List!$C:$C,MATCH(VALUE(B1745),Client_List!$A:$A,0)),""))</f>
        <v/>
      </c>
      <c r="F1745" s="53">
        <f>IF(B1745="","",IFERROR(INDEX(Client_List!$D:$D,MATCH(VALUE(B1745),Client_List!$A:$A,0)),""))</f>
        <v/>
      </c>
      <c r="G1745" s="53">
        <f>IF(B1745="","",IFERROR(INDEX(Client_List!$K:$K,MATCH(VALUE(B1745),Client_List!$A:$A,0)),""))</f>
        <v/>
      </c>
      <c r="H1745" s="32">
        <f>IF(B1745="","",IFERROR(INDEX(Client_List!$J:$J,MATCH(VALUE(B1745),Client_List!$A:$A,0)),""))</f>
        <v/>
      </c>
      <c r="I1745" s="70">
        <f>IF(B1745="","",IFERROR(A1745-LOOKUP(2,1/($B$4:$B1744=B1745),$A$4:$A1744),""))</f>
        <v/>
      </c>
      <c r="J1745" s="32">
        <f>IF(B1745="","",IFERROR(D1745/I1745,""))</f>
        <v/>
      </c>
      <c r="K1745" s="71">
        <f>IF(B1745="","",IFERROR(AVERAGEIFS($J$4:$J1745,$B$4:$B1745,B1745,$J$4:$J1745,"&gt;"&amp;0),""))</f>
        <v/>
      </c>
      <c r="L1745" s="11" t="n"/>
    </row>
    <row r="1746" ht="14" customHeight="1" s="72">
      <c r="A1746" s="80" t="n"/>
      <c r="B1746" s="81" t="n"/>
      <c r="C1746" s="69">
        <f>IF(B1746="","",IFERROR(INDEX(Client_List!$B:$B,MATCH(B1746,Client_List!$A:$A,0)),"⚠ NOT FOUND"))</f>
        <v/>
      </c>
      <c r="D1746" s="45" t="n"/>
      <c r="E1746" s="32">
        <f>IF(B1746="","",IFERROR(INDEX(Client_List!$C:$C,MATCH(VALUE(B1746),Client_List!$A:$A,0)),""))</f>
        <v/>
      </c>
      <c r="F1746" s="53">
        <f>IF(B1746="","",IFERROR(INDEX(Client_List!$D:$D,MATCH(VALUE(B1746),Client_List!$A:$A,0)),""))</f>
        <v/>
      </c>
      <c r="G1746" s="53">
        <f>IF(B1746="","",IFERROR(INDEX(Client_List!$K:$K,MATCH(VALUE(B1746),Client_List!$A:$A,0)),""))</f>
        <v/>
      </c>
      <c r="H1746" s="32">
        <f>IF(B1746="","",IFERROR(INDEX(Client_List!$J:$J,MATCH(VALUE(B1746),Client_List!$A:$A,0)),""))</f>
        <v/>
      </c>
      <c r="I1746" s="70">
        <f>IF(B1746="","",IFERROR(A1746-LOOKUP(2,1/($B$4:$B1745=B1746),$A$4:$A1745),""))</f>
        <v/>
      </c>
      <c r="J1746" s="32">
        <f>IF(B1746="","",IFERROR(D1746/I1746,""))</f>
        <v/>
      </c>
      <c r="K1746" s="71">
        <f>IF(B1746="","",IFERROR(AVERAGEIFS($J$4:$J1746,$B$4:$B1746,B1746,$J$4:$J1746,"&gt;"&amp;0),""))</f>
        <v/>
      </c>
      <c r="L1746" s="12" t="n"/>
    </row>
    <row r="1747" ht="14" customHeight="1" s="72">
      <c r="A1747" s="78" t="n"/>
      <c r="B1747" s="79" t="n"/>
      <c r="C1747" s="69">
        <f>IF(B1747="","",IFERROR(INDEX(Client_List!$B:$B,MATCH(B1747,Client_List!$A:$A,0)),"⚠ NOT FOUND"))</f>
        <v/>
      </c>
      <c r="D1747" s="44" t="n"/>
      <c r="E1747" s="32">
        <f>IF(B1747="","",IFERROR(INDEX(Client_List!$C:$C,MATCH(VALUE(B1747),Client_List!$A:$A,0)),""))</f>
        <v/>
      </c>
      <c r="F1747" s="53">
        <f>IF(B1747="","",IFERROR(INDEX(Client_List!$D:$D,MATCH(VALUE(B1747),Client_List!$A:$A,0)),""))</f>
        <v/>
      </c>
      <c r="G1747" s="53">
        <f>IF(B1747="","",IFERROR(INDEX(Client_List!$K:$K,MATCH(VALUE(B1747),Client_List!$A:$A,0)),""))</f>
        <v/>
      </c>
      <c r="H1747" s="32">
        <f>IF(B1747="","",IFERROR(INDEX(Client_List!$J:$J,MATCH(VALUE(B1747),Client_List!$A:$A,0)),""))</f>
        <v/>
      </c>
      <c r="I1747" s="70">
        <f>IF(B1747="","",IFERROR(A1747-LOOKUP(2,1/($B$4:$B1746=B1747),$A$4:$A1746),""))</f>
        <v/>
      </c>
      <c r="J1747" s="32">
        <f>IF(B1747="","",IFERROR(D1747/I1747,""))</f>
        <v/>
      </c>
      <c r="K1747" s="71">
        <f>IF(B1747="","",IFERROR(AVERAGEIFS($J$4:$J1747,$B$4:$B1747,B1747,$J$4:$J1747,"&gt;"&amp;0),""))</f>
        <v/>
      </c>
      <c r="L1747" s="11" t="n"/>
    </row>
    <row r="1748" ht="14" customHeight="1" s="72">
      <c r="A1748" s="80" t="n"/>
      <c r="B1748" s="81" t="n"/>
      <c r="C1748" s="69">
        <f>IF(B1748="","",IFERROR(INDEX(Client_List!$B:$B,MATCH(B1748,Client_List!$A:$A,0)),"⚠ NOT FOUND"))</f>
        <v/>
      </c>
      <c r="D1748" s="45" t="n"/>
      <c r="E1748" s="32">
        <f>IF(B1748="","",IFERROR(INDEX(Client_List!$C:$C,MATCH(VALUE(B1748),Client_List!$A:$A,0)),""))</f>
        <v/>
      </c>
      <c r="F1748" s="53">
        <f>IF(B1748="","",IFERROR(INDEX(Client_List!$D:$D,MATCH(VALUE(B1748),Client_List!$A:$A,0)),""))</f>
        <v/>
      </c>
      <c r="G1748" s="53">
        <f>IF(B1748="","",IFERROR(INDEX(Client_List!$K:$K,MATCH(VALUE(B1748),Client_List!$A:$A,0)),""))</f>
        <v/>
      </c>
      <c r="H1748" s="32">
        <f>IF(B1748="","",IFERROR(INDEX(Client_List!$J:$J,MATCH(VALUE(B1748),Client_List!$A:$A,0)),""))</f>
        <v/>
      </c>
      <c r="I1748" s="70">
        <f>IF(B1748="","",IFERROR(A1748-LOOKUP(2,1/($B$4:$B1747=B1748),$A$4:$A1747),""))</f>
        <v/>
      </c>
      <c r="J1748" s="32">
        <f>IF(B1748="","",IFERROR(D1748/I1748,""))</f>
        <v/>
      </c>
      <c r="K1748" s="71">
        <f>IF(B1748="","",IFERROR(AVERAGEIFS($J$4:$J1748,$B$4:$B1748,B1748,$J$4:$J1748,"&gt;"&amp;0),""))</f>
        <v/>
      </c>
      <c r="L1748" s="12" t="n"/>
    </row>
    <row r="1749" ht="14" customHeight="1" s="72">
      <c r="A1749" s="78" t="n"/>
      <c r="B1749" s="79" t="n"/>
      <c r="C1749" s="69">
        <f>IF(B1749="","",IFERROR(INDEX(Client_List!$B:$B,MATCH(B1749,Client_List!$A:$A,0)),"⚠ NOT FOUND"))</f>
        <v/>
      </c>
      <c r="D1749" s="44" t="n"/>
      <c r="E1749" s="32">
        <f>IF(B1749="","",IFERROR(INDEX(Client_List!$C:$C,MATCH(VALUE(B1749),Client_List!$A:$A,0)),""))</f>
        <v/>
      </c>
      <c r="F1749" s="53">
        <f>IF(B1749="","",IFERROR(INDEX(Client_List!$D:$D,MATCH(VALUE(B1749),Client_List!$A:$A,0)),""))</f>
        <v/>
      </c>
      <c r="G1749" s="53">
        <f>IF(B1749="","",IFERROR(INDEX(Client_List!$K:$K,MATCH(VALUE(B1749),Client_List!$A:$A,0)),""))</f>
        <v/>
      </c>
      <c r="H1749" s="32">
        <f>IF(B1749="","",IFERROR(INDEX(Client_List!$J:$J,MATCH(VALUE(B1749),Client_List!$A:$A,0)),""))</f>
        <v/>
      </c>
      <c r="I1749" s="70">
        <f>IF(B1749="","",IFERROR(A1749-LOOKUP(2,1/($B$4:$B1748=B1749),$A$4:$A1748),""))</f>
        <v/>
      </c>
      <c r="J1749" s="32">
        <f>IF(B1749="","",IFERROR(D1749/I1749,""))</f>
        <v/>
      </c>
      <c r="K1749" s="71">
        <f>IF(B1749="","",IFERROR(AVERAGEIFS($J$4:$J1749,$B$4:$B1749,B1749,$J$4:$J1749,"&gt;"&amp;0),""))</f>
        <v/>
      </c>
      <c r="L1749" s="11" t="n"/>
    </row>
    <row r="1750" ht="14" customHeight="1" s="72">
      <c r="A1750" s="80" t="n"/>
      <c r="B1750" s="81" t="n"/>
      <c r="C1750" s="69">
        <f>IF(B1750="","",IFERROR(INDEX(Client_List!$B:$B,MATCH(B1750,Client_List!$A:$A,0)),"⚠ NOT FOUND"))</f>
        <v/>
      </c>
      <c r="D1750" s="45" t="n"/>
      <c r="E1750" s="32">
        <f>IF(B1750="","",IFERROR(INDEX(Client_List!$C:$C,MATCH(VALUE(B1750),Client_List!$A:$A,0)),""))</f>
        <v/>
      </c>
      <c r="F1750" s="53">
        <f>IF(B1750="","",IFERROR(INDEX(Client_List!$D:$D,MATCH(VALUE(B1750),Client_List!$A:$A,0)),""))</f>
        <v/>
      </c>
      <c r="G1750" s="53">
        <f>IF(B1750="","",IFERROR(INDEX(Client_List!$K:$K,MATCH(VALUE(B1750),Client_List!$A:$A,0)),""))</f>
        <v/>
      </c>
      <c r="H1750" s="32">
        <f>IF(B1750="","",IFERROR(INDEX(Client_List!$J:$J,MATCH(VALUE(B1750),Client_List!$A:$A,0)),""))</f>
        <v/>
      </c>
      <c r="I1750" s="70">
        <f>IF(B1750="","",IFERROR(A1750-LOOKUP(2,1/($B$4:$B1749=B1750),$A$4:$A1749),""))</f>
        <v/>
      </c>
      <c r="J1750" s="32">
        <f>IF(B1750="","",IFERROR(D1750/I1750,""))</f>
        <v/>
      </c>
      <c r="K1750" s="71">
        <f>IF(B1750="","",IFERROR(AVERAGEIFS($J$4:$J1750,$B$4:$B1750,B1750,$J$4:$J1750,"&gt;"&amp;0),""))</f>
        <v/>
      </c>
      <c r="L1750" s="12" t="n"/>
    </row>
    <row r="1751" ht="14" customHeight="1" s="72">
      <c r="A1751" s="78" t="n"/>
      <c r="B1751" s="79" t="n"/>
      <c r="C1751" s="69">
        <f>IF(B1751="","",IFERROR(INDEX(Client_List!$B:$B,MATCH(B1751,Client_List!$A:$A,0)),"⚠ NOT FOUND"))</f>
        <v/>
      </c>
      <c r="D1751" s="44" t="n"/>
      <c r="E1751" s="32">
        <f>IF(B1751="","",IFERROR(INDEX(Client_List!$C:$C,MATCH(VALUE(B1751),Client_List!$A:$A,0)),""))</f>
        <v/>
      </c>
      <c r="F1751" s="53">
        <f>IF(B1751="","",IFERROR(INDEX(Client_List!$D:$D,MATCH(VALUE(B1751),Client_List!$A:$A,0)),""))</f>
        <v/>
      </c>
      <c r="G1751" s="53">
        <f>IF(B1751="","",IFERROR(INDEX(Client_List!$K:$K,MATCH(VALUE(B1751),Client_List!$A:$A,0)),""))</f>
        <v/>
      </c>
      <c r="H1751" s="32">
        <f>IF(B1751="","",IFERROR(INDEX(Client_List!$J:$J,MATCH(VALUE(B1751),Client_List!$A:$A,0)),""))</f>
        <v/>
      </c>
      <c r="I1751" s="70">
        <f>IF(B1751="","",IFERROR(A1751-LOOKUP(2,1/($B$4:$B1750=B1751),$A$4:$A1750),""))</f>
        <v/>
      </c>
      <c r="J1751" s="32">
        <f>IF(B1751="","",IFERROR(D1751/I1751,""))</f>
        <v/>
      </c>
      <c r="K1751" s="71">
        <f>IF(B1751="","",IFERROR(AVERAGEIFS($J$4:$J1751,$B$4:$B1751,B1751,$J$4:$J1751,"&gt;"&amp;0),""))</f>
        <v/>
      </c>
      <c r="L1751" s="11" t="n"/>
    </row>
    <row r="1752" ht="14" customHeight="1" s="72">
      <c r="A1752" s="80" t="n"/>
      <c r="B1752" s="81" t="n"/>
      <c r="C1752" s="69">
        <f>IF(B1752="","",IFERROR(INDEX(Client_List!$B:$B,MATCH(B1752,Client_List!$A:$A,0)),"⚠ NOT FOUND"))</f>
        <v/>
      </c>
      <c r="D1752" s="45" t="n"/>
      <c r="E1752" s="32">
        <f>IF(B1752="","",IFERROR(INDEX(Client_List!$C:$C,MATCH(VALUE(B1752),Client_List!$A:$A,0)),""))</f>
        <v/>
      </c>
      <c r="F1752" s="53">
        <f>IF(B1752="","",IFERROR(INDEX(Client_List!$D:$D,MATCH(VALUE(B1752),Client_List!$A:$A,0)),""))</f>
        <v/>
      </c>
      <c r="G1752" s="53">
        <f>IF(B1752="","",IFERROR(INDEX(Client_List!$K:$K,MATCH(VALUE(B1752),Client_List!$A:$A,0)),""))</f>
        <v/>
      </c>
      <c r="H1752" s="32">
        <f>IF(B1752="","",IFERROR(INDEX(Client_List!$J:$J,MATCH(VALUE(B1752),Client_List!$A:$A,0)),""))</f>
        <v/>
      </c>
      <c r="I1752" s="70">
        <f>IF(B1752="","",IFERROR(A1752-LOOKUP(2,1/($B$4:$B1751=B1752),$A$4:$A1751),""))</f>
        <v/>
      </c>
      <c r="J1752" s="32">
        <f>IF(B1752="","",IFERROR(D1752/I1752,""))</f>
        <v/>
      </c>
      <c r="K1752" s="71">
        <f>IF(B1752="","",IFERROR(AVERAGEIFS($J$4:$J1752,$B$4:$B1752,B1752,$J$4:$J1752,"&gt;"&amp;0),""))</f>
        <v/>
      </c>
      <c r="L1752" s="12" t="n"/>
    </row>
    <row r="1753" ht="14" customHeight="1" s="72">
      <c r="A1753" s="78" t="n"/>
      <c r="B1753" s="79" t="n"/>
      <c r="C1753" s="69">
        <f>IF(B1753="","",IFERROR(INDEX(Client_List!$B:$B,MATCH(B1753,Client_List!$A:$A,0)),"⚠ NOT FOUND"))</f>
        <v/>
      </c>
      <c r="D1753" s="44" t="n"/>
      <c r="E1753" s="32">
        <f>IF(B1753="","",IFERROR(INDEX(Client_List!$C:$C,MATCH(VALUE(B1753),Client_List!$A:$A,0)),""))</f>
        <v/>
      </c>
      <c r="F1753" s="53">
        <f>IF(B1753="","",IFERROR(INDEX(Client_List!$D:$D,MATCH(VALUE(B1753),Client_List!$A:$A,0)),""))</f>
        <v/>
      </c>
      <c r="G1753" s="53">
        <f>IF(B1753="","",IFERROR(INDEX(Client_List!$K:$K,MATCH(VALUE(B1753),Client_List!$A:$A,0)),""))</f>
        <v/>
      </c>
      <c r="H1753" s="32">
        <f>IF(B1753="","",IFERROR(INDEX(Client_List!$J:$J,MATCH(VALUE(B1753),Client_List!$A:$A,0)),""))</f>
        <v/>
      </c>
      <c r="I1753" s="70">
        <f>IF(B1753="","",IFERROR(A1753-LOOKUP(2,1/($B$4:$B1752=B1753),$A$4:$A1752),""))</f>
        <v/>
      </c>
      <c r="J1753" s="32">
        <f>IF(B1753="","",IFERROR(D1753/I1753,""))</f>
        <v/>
      </c>
      <c r="K1753" s="71">
        <f>IF(B1753="","",IFERROR(AVERAGEIFS($J$4:$J1753,$B$4:$B1753,B1753,$J$4:$J1753,"&gt;"&amp;0),""))</f>
        <v/>
      </c>
      <c r="L1753" s="11" t="n"/>
    </row>
    <row r="1754" ht="14" customHeight="1" s="72">
      <c r="A1754" s="80" t="n"/>
      <c r="B1754" s="81" t="n"/>
      <c r="C1754" s="69">
        <f>IF(B1754="","",IFERROR(INDEX(Client_List!$B:$B,MATCH(B1754,Client_List!$A:$A,0)),"⚠ NOT FOUND"))</f>
        <v/>
      </c>
      <c r="D1754" s="45" t="n"/>
      <c r="E1754" s="32">
        <f>IF(B1754="","",IFERROR(INDEX(Client_List!$C:$C,MATCH(VALUE(B1754),Client_List!$A:$A,0)),""))</f>
        <v/>
      </c>
      <c r="F1754" s="53">
        <f>IF(B1754="","",IFERROR(INDEX(Client_List!$D:$D,MATCH(VALUE(B1754),Client_List!$A:$A,0)),""))</f>
        <v/>
      </c>
      <c r="G1754" s="53">
        <f>IF(B1754="","",IFERROR(INDEX(Client_List!$K:$K,MATCH(VALUE(B1754),Client_List!$A:$A,0)),""))</f>
        <v/>
      </c>
      <c r="H1754" s="32">
        <f>IF(B1754="","",IFERROR(INDEX(Client_List!$J:$J,MATCH(VALUE(B1754),Client_List!$A:$A,0)),""))</f>
        <v/>
      </c>
      <c r="I1754" s="70">
        <f>IF(B1754="","",IFERROR(A1754-LOOKUP(2,1/($B$4:$B1753=B1754),$A$4:$A1753),""))</f>
        <v/>
      </c>
      <c r="J1754" s="32">
        <f>IF(B1754="","",IFERROR(D1754/I1754,""))</f>
        <v/>
      </c>
      <c r="K1754" s="71">
        <f>IF(B1754="","",IFERROR(AVERAGEIFS($J$4:$J1754,$B$4:$B1754,B1754,$J$4:$J1754,"&gt;"&amp;0),""))</f>
        <v/>
      </c>
      <c r="L1754" s="12" t="n"/>
    </row>
    <row r="1755" ht="14" customHeight="1" s="72">
      <c r="A1755" s="78" t="n"/>
      <c r="B1755" s="79" t="n"/>
      <c r="C1755" s="69">
        <f>IF(B1755="","",IFERROR(INDEX(Client_List!$B:$B,MATCH(B1755,Client_List!$A:$A,0)),"⚠ NOT FOUND"))</f>
        <v/>
      </c>
      <c r="D1755" s="44" t="n"/>
      <c r="E1755" s="32">
        <f>IF(B1755="","",IFERROR(INDEX(Client_List!$C:$C,MATCH(VALUE(B1755),Client_List!$A:$A,0)),""))</f>
        <v/>
      </c>
      <c r="F1755" s="53">
        <f>IF(B1755="","",IFERROR(INDEX(Client_List!$D:$D,MATCH(VALUE(B1755),Client_List!$A:$A,0)),""))</f>
        <v/>
      </c>
      <c r="G1755" s="53">
        <f>IF(B1755="","",IFERROR(INDEX(Client_List!$K:$K,MATCH(VALUE(B1755),Client_List!$A:$A,0)),""))</f>
        <v/>
      </c>
      <c r="H1755" s="32">
        <f>IF(B1755="","",IFERROR(INDEX(Client_List!$J:$J,MATCH(VALUE(B1755),Client_List!$A:$A,0)),""))</f>
        <v/>
      </c>
      <c r="I1755" s="70">
        <f>IF(B1755="","",IFERROR(A1755-LOOKUP(2,1/($B$4:$B1754=B1755),$A$4:$A1754),""))</f>
        <v/>
      </c>
      <c r="J1755" s="32">
        <f>IF(B1755="","",IFERROR(D1755/I1755,""))</f>
        <v/>
      </c>
      <c r="K1755" s="71">
        <f>IF(B1755="","",IFERROR(AVERAGEIFS($J$4:$J1755,$B$4:$B1755,B1755,$J$4:$J1755,"&gt;"&amp;0),""))</f>
        <v/>
      </c>
      <c r="L1755" s="11" t="n"/>
    </row>
    <row r="1756" ht="14" customHeight="1" s="72">
      <c r="A1756" s="80" t="n"/>
      <c r="B1756" s="81" t="n"/>
      <c r="C1756" s="69">
        <f>IF(B1756="","",IFERROR(INDEX(Client_List!$B:$B,MATCH(B1756,Client_List!$A:$A,0)),"⚠ NOT FOUND"))</f>
        <v/>
      </c>
      <c r="D1756" s="45" t="n"/>
      <c r="E1756" s="32">
        <f>IF(B1756="","",IFERROR(INDEX(Client_List!$C:$C,MATCH(VALUE(B1756),Client_List!$A:$A,0)),""))</f>
        <v/>
      </c>
      <c r="F1756" s="53">
        <f>IF(B1756="","",IFERROR(INDEX(Client_List!$D:$D,MATCH(VALUE(B1756),Client_List!$A:$A,0)),""))</f>
        <v/>
      </c>
      <c r="G1756" s="53">
        <f>IF(B1756="","",IFERROR(INDEX(Client_List!$K:$K,MATCH(VALUE(B1756),Client_List!$A:$A,0)),""))</f>
        <v/>
      </c>
      <c r="H1756" s="32">
        <f>IF(B1756="","",IFERROR(INDEX(Client_List!$J:$J,MATCH(VALUE(B1756),Client_List!$A:$A,0)),""))</f>
        <v/>
      </c>
      <c r="I1756" s="70">
        <f>IF(B1756="","",IFERROR(A1756-LOOKUP(2,1/($B$4:$B1755=B1756),$A$4:$A1755),""))</f>
        <v/>
      </c>
      <c r="J1756" s="32">
        <f>IF(B1756="","",IFERROR(D1756/I1756,""))</f>
        <v/>
      </c>
      <c r="K1756" s="71">
        <f>IF(B1756="","",IFERROR(AVERAGEIFS($J$4:$J1756,$B$4:$B1756,B1756,$J$4:$J1756,"&gt;"&amp;0),""))</f>
        <v/>
      </c>
      <c r="L1756" s="12" t="n"/>
    </row>
    <row r="1757" ht="14" customHeight="1" s="72">
      <c r="A1757" s="78" t="n"/>
      <c r="B1757" s="79" t="n"/>
      <c r="C1757" s="69">
        <f>IF(B1757="","",IFERROR(INDEX(Client_List!$B:$B,MATCH(B1757,Client_List!$A:$A,0)),"⚠ NOT FOUND"))</f>
        <v/>
      </c>
      <c r="D1757" s="44" t="n"/>
      <c r="E1757" s="32">
        <f>IF(B1757="","",IFERROR(INDEX(Client_List!$C:$C,MATCH(VALUE(B1757),Client_List!$A:$A,0)),""))</f>
        <v/>
      </c>
      <c r="F1757" s="53">
        <f>IF(B1757="","",IFERROR(INDEX(Client_List!$D:$D,MATCH(VALUE(B1757),Client_List!$A:$A,0)),""))</f>
        <v/>
      </c>
      <c r="G1757" s="53">
        <f>IF(B1757="","",IFERROR(INDEX(Client_List!$K:$K,MATCH(VALUE(B1757),Client_List!$A:$A,0)),""))</f>
        <v/>
      </c>
      <c r="H1757" s="32">
        <f>IF(B1757="","",IFERROR(INDEX(Client_List!$J:$J,MATCH(VALUE(B1757),Client_List!$A:$A,0)),""))</f>
        <v/>
      </c>
      <c r="I1757" s="70">
        <f>IF(B1757="","",IFERROR(A1757-LOOKUP(2,1/($B$4:$B1756=B1757),$A$4:$A1756),""))</f>
        <v/>
      </c>
      <c r="J1757" s="32">
        <f>IF(B1757="","",IFERROR(D1757/I1757,""))</f>
        <v/>
      </c>
      <c r="K1757" s="71">
        <f>IF(B1757="","",IFERROR(AVERAGEIFS($J$4:$J1757,$B$4:$B1757,B1757,$J$4:$J1757,"&gt;"&amp;0),""))</f>
        <v/>
      </c>
      <c r="L1757" s="11" t="n"/>
    </row>
    <row r="1758" ht="14" customHeight="1" s="72">
      <c r="A1758" s="80" t="n"/>
      <c r="B1758" s="81" t="n"/>
      <c r="C1758" s="69">
        <f>IF(B1758="","",IFERROR(INDEX(Client_List!$B:$B,MATCH(B1758,Client_List!$A:$A,0)),"⚠ NOT FOUND"))</f>
        <v/>
      </c>
      <c r="D1758" s="45" t="n"/>
      <c r="E1758" s="32">
        <f>IF(B1758="","",IFERROR(INDEX(Client_List!$C:$C,MATCH(VALUE(B1758),Client_List!$A:$A,0)),""))</f>
        <v/>
      </c>
      <c r="F1758" s="53">
        <f>IF(B1758="","",IFERROR(INDEX(Client_List!$D:$D,MATCH(VALUE(B1758),Client_List!$A:$A,0)),""))</f>
        <v/>
      </c>
      <c r="G1758" s="53">
        <f>IF(B1758="","",IFERROR(INDEX(Client_List!$K:$K,MATCH(VALUE(B1758),Client_List!$A:$A,0)),""))</f>
        <v/>
      </c>
      <c r="H1758" s="32">
        <f>IF(B1758="","",IFERROR(INDEX(Client_List!$J:$J,MATCH(VALUE(B1758),Client_List!$A:$A,0)),""))</f>
        <v/>
      </c>
      <c r="I1758" s="70">
        <f>IF(B1758="","",IFERROR(A1758-LOOKUP(2,1/($B$4:$B1757=B1758),$A$4:$A1757),""))</f>
        <v/>
      </c>
      <c r="J1758" s="32">
        <f>IF(B1758="","",IFERROR(D1758/I1758,""))</f>
        <v/>
      </c>
      <c r="K1758" s="71">
        <f>IF(B1758="","",IFERROR(AVERAGEIFS($J$4:$J1758,$B$4:$B1758,B1758,$J$4:$J1758,"&gt;"&amp;0),""))</f>
        <v/>
      </c>
      <c r="L1758" s="12" t="n"/>
    </row>
    <row r="1759" ht="14" customHeight="1" s="72">
      <c r="A1759" s="78" t="n"/>
      <c r="B1759" s="79" t="n"/>
      <c r="C1759" s="69">
        <f>IF(B1759="","",IFERROR(INDEX(Client_List!$B:$B,MATCH(B1759,Client_List!$A:$A,0)),"⚠ NOT FOUND"))</f>
        <v/>
      </c>
      <c r="D1759" s="44" t="n"/>
      <c r="E1759" s="32">
        <f>IF(B1759="","",IFERROR(INDEX(Client_List!$C:$C,MATCH(VALUE(B1759),Client_List!$A:$A,0)),""))</f>
        <v/>
      </c>
      <c r="F1759" s="53">
        <f>IF(B1759="","",IFERROR(INDEX(Client_List!$D:$D,MATCH(VALUE(B1759),Client_List!$A:$A,0)),""))</f>
        <v/>
      </c>
      <c r="G1759" s="53">
        <f>IF(B1759="","",IFERROR(INDEX(Client_List!$K:$K,MATCH(VALUE(B1759),Client_List!$A:$A,0)),""))</f>
        <v/>
      </c>
      <c r="H1759" s="32">
        <f>IF(B1759="","",IFERROR(INDEX(Client_List!$J:$J,MATCH(VALUE(B1759),Client_List!$A:$A,0)),""))</f>
        <v/>
      </c>
      <c r="I1759" s="70">
        <f>IF(B1759="","",IFERROR(A1759-LOOKUP(2,1/($B$4:$B1758=B1759),$A$4:$A1758),""))</f>
        <v/>
      </c>
      <c r="J1759" s="32">
        <f>IF(B1759="","",IFERROR(D1759/I1759,""))</f>
        <v/>
      </c>
      <c r="K1759" s="71">
        <f>IF(B1759="","",IFERROR(AVERAGEIFS($J$4:$J1759,$B$4:$B1759,B1759,$J$4:$J1759,"&gt;"&amp;0),""))</f>
        <v/>
      </c>
      <c r="L1759" s="11" t="n"/>
    </row>
    <row r="1760" ht="14" customHeight="1" s="72">
      <c r="A1760" s="80" t="n"/>
      <c r="B1760" s="81" t="n"/>
      <c r="C1760" s="69">
        <f>IF(B1760="","",IFERROR(INDEX(Client_List!$B:$B,MATCH(B1760,Client_List!$A:$A,0)),"⚠ NOT FOUND"))</f>
        <v/>
      </c>
      <c r="D1760" s="45" t="n"/>
      <c r="E1760" s="32">
        <f>IF(B1760="","",IFERROR(INDEX(Client_List!$C:$C,MATCH(VALUE(B1760),Client_List!$A:$A,0)),""))</f>
        <v/>
      </c>
      <c r="F1760" s="53">
        <f>IF(B1760="","",IFERROR(INDEX(Client_List!$D:$D,MATCH(VALUE(B1760),Client_List!$A:$A,0)),""))</f>
        <v/>
      </c>
      <c r="G1760" s="53">
        <f>IF(B1760="","",IFERROR(INDEX(Client_List!$K:$K,MATCH(VALUE(B1760),Client_List!$A:$A,0)),""))</f>
        <v/>
      </c>
      <c r="H1760" s="32">
        <f>IF(B1760="","",IFERROR(INDEX(Client_List!$J:$J,MATCH(VALUE(B1760),Client_List!$A:$A,0)),""))</f>
        <v/>
      </c>
      <c r="I1760" s="70">
        <f>IF(B1760="","",IFERROR(A1760-LOOKUP(2,1/($B$4:$B1759=B1760),$A$4:$A1759),""))</f>
        <v/>
      </c>
      <c r="J1760" s="32">
        <f>IF(B1760="","",IFERROR(D1760/I1760,""))</f>
        <v/>
      </c>
      <c r="K1760" s="71">
        <f>IF(B1760="","",IFERROR(AVERAGEIFS($J$4:$J1760,$B$4:$B1760,B1760,$J$4:$J1760,"&gt;"&amp;0),""))</f>
        <v/>
      </c>
      <c r="L1760" s="12" t="n"/>
    </row>
    <row r="1761" ht="14" customHeight="1" s="72">
      <c r="A1761" s="78" t="n"/>
      <c r="B1761" s="79" t="n"/>
      <c r="C1761" s="69">
        <f>IF(B1761="","",IFERROR(INDEX(Client_List!$B:$B,MATCH(B1761,Client_List!$A:$A,0)),"⚠ NOT FOUND"))</f>
        <v/>
      </c>
      <c r="D1761" s="44" t="n"/>
      <c r="E1761" s="32">
        <f>IF(B1761="","",IFERROR(INDEX(Client_List!$C:$C,MATCH(VALUE(B1761),Client_List!$A:$A,0)),""))</f>
        <v/>
      </c>
      <c r="F1761" s="53">
        <f>IF(B1761="","",IFERROR(INDEX(Client_List!$D:$D,MATCH(VALUE(B1761),Client_List!$A:$A,0)),""))</f>
        <v/>
      </c>
      <c r="G1761" s="53">
        <f>IF(B1761="","",IFERROR(INDEX(Client_List!$K:$K,MATCH(VALUE(B1761),Client_List!$A:$A,0)),""))</f>
        <v/>
      </c>
      <c r="H1761" s="32">
        <f>IF(B1761="","",IFERROR(INDEX(Client_List!$J:$J,MATCH(VALUE(B1761),Client_List!$A:$A,0)),""))</f>
        <v/>
      </c>
      <c r="I1761" s="70">
        <f>IF(B1761="","",IFERROR(A1761-LOOKUP(2,1/($B$4:$B1760=B1761),$A$4:$A1760),""))</f>
        <v/>
      </c>
      <c r="J1761" s="32">
        <f>IF(B1761="","",IFERROR(D1761/I1761,""))</f>
        <v/>
      </c>
      <c r="K1761" s="71">
        <f>IF(B1761="","",IFERROR(AVERAGEIFS($J$4:$J1761,$B$4:$B1761,B1761,$J$4:$J1761,"&gt;"&amp;0),""))</f>
        <v/>
      </c>
      <c r="L1761" s="11" t="n"/>
    </row>
    <row r="1762" ht="14" customHeight="1" s="72">
      <c r="A1762" s="80" t="n"/>
      <c r="B1762" s="81" t="n"/>
      <c r="C1762" s="69">
        <f>IF(B1762="","",IFERROR(INDEX(Client_List!$B:$B,MATCH(B1762,Client_List!$A:$A,0)),"⚠ NOT FOUND"))</f>
        <v/>
      </c>
      <c r="D1762" s="45" t="n"/>
      <c r="E1762" s="32">
        <f>IF(B1762="","",IFERROR(INDEX(Client_List!$C:$C,MATCH(VALUE(B1762),Client_List!$A:$A,0)),""))</f>
        <v/>
      </c>
      <c r="F1762" s="53">
        <f>IF(B1762="","",IFERROR(INDEX(Client_List!$D:$D,MATCH(VALUE(B1762),Client_List!$A:$A,0)),""))</f>
        <v/>
      </c>
      <c r="G1762" s="53">
        <f>IF(B1762="","",IFERROR(INDEX(Client_List!$K:$K,MATCH(VALUE(B1762),Client_List!$A:$A,0)),""))</f>
        <v/>
      </c>
      <c r="H1762" s="32">
        <f>IF(B1762="","",IFERROR(INDEX(Client_List!$J:$J,MATCH(VALUE(B1762),Client_List!$A:$A,0)),""))</f>
        <v/>
      </c>
      <c r="I1762" s="70">
        <f>IF(B1762="","",IFERROR(A1762-LOOKUP(2,1/($B$4:$B1761=B1762),$A$4:$A1761),""))</f>
        <v/>
      </c>
      <c r="J1762" s="32">
        <f>IF(B1762="","",IFERROR(D1762/I1762,""))</f>
        <v/>
      </c>
      <c r="K1762" s="71">
        <f>IF(B1762="","",IFERROR(AVERAGEIFS($J$4:$J1762,$B$4:$B1762,B1762,$J$4:$J1762,"&gt;"&amp;0),""))</f>
        <v/>
      </c>
      <c r="L1762" s="12" t="n"/>
    </row>
    <row r="1763" ht="14" customHeight="1" s="72">
      <c r="A1763" s="78" t="n"/>
      <c r="B1763" s="79" t="n"/>
      <c r="C1763" s="69">
        <f>IF(B1763="","",IFERROR(INDEX(Client_List!$B:$B,MATCH(B1763,Client_List!$A:$A,0)),"⚠ NOT FOUND"))</f>
        <v/>
      </c>
      <c r="D1763" s="44" t="n"/>
      <c r="E1763" s="32">
        <f>IF(B1763="","",IFERROR(INDEX(Client_List!$C:$C,MATCH(VALUE(B1763),Client_List!$A:$A,0)),""))</f>
        <v/>
      </c>
      <c r="F1763" s="53">
        <f>IF(B1763="","",IFERROR(INDEX(Client_List!$D:$D,MATCH(VALUE(B1763),Client_List!$A:$A,0)),""))</f>
        <v/>
      </c>
      <c r="G1763" s="53">
        <f>IF(B1763="","",IFERROR(INDEX(Client_List!$K:$K,MATCH(VALUE(B1763),Client_List!$A:$A,0)),""))</f>
        <v/>
      </c>
      <c r="H1763" s="32">
        <f>IF(B1763="","",IFERROR(INDEX(Client_List!$J:$J,MATCH(VALUE(B1763),Client_List!$A:$A,0)),""))</f>
        <v/>
      </c>
      <c r="I1763" s="70">
        <f>IF(B1763="","",IFERROR(A1763-LOOKUP(2,1/($B$4:$B1762=B1763),$A$4:$A1762),""))</f>
        <v/>
      </c>
      <c r="J1763" s="32">
        <f>IF(B1763="","",IFERROR(D1763/I1763,""))</f>
        <v/>
      </c>
      <c r="K1763" s="71">
        <f>IF(B1763="","",IFERROR(AVERAGEIFS($J$4:$J1763,$B$4:$B1763,B1763,$J$4:$J1763,"&gt;"&amp;0),""))</f>
        <v/>
      </c>
      <c r="L1763" s="11" t="n"/>
    </row>
    <row r="1764" ht="14" customHeight="1" s="72">
      <c r="A1764" s="80" t="n"/>
      <c r="B1764" s="81" t="n"/>
      <c r="C1764" s="69">
        <f>IF(B1764="","",IFERROR(INDEX(Client_List!$B:$B,MATCH(B1764,Client_List!$A:$A,0)),"⚠ NOT FOUND"))</f>
        <v/>
      </c>
      <c r="D1764" s="45" t="n"/>
      <c r="E1764" s="32">
        <f>IF(B1764="","",IFERROR(INDEX(Client_List!$C:$C,MATCH(VALUE(B1764),Client_List!$A:$A,0)),""))</f>
        <v/>
      </c>
      <c r="F1764" s="53">
        <f>IF(B1764="","",IFERROR(INDEX(Client_List!$D:$D,MATCH(VALUE(B1764),Client_List!$A:$A,0)),""))</f>
        <v/>
      </c>
      <c r="G1764" s="53">
        <f>IF(B1764="","",IFERROR(INDEX(Client_List!$K:$K,MATCH(VALUE(B1764),Client_List!$A:$A,0)),""))</f>
        <v/>
      </c>
      <c r="H1764" s="32">
        <f>IF(B1764="","",IFERROR(INDEX(Client_List!$J:$J,MATCH(VALUE(B1764),Client_List!$A:$A,0)),""))</f>
        <v/>
      </c>
      <c r="I1764" s="70">
        <f>IF(B1764="","",IFERROR(A1764-LOOKUP(2,1/($B$4:$B1763=B1764),$A$4:$A1763),""))</f>
        <v/>
      </c>
      <c r="J1764" s="32">
        <f>IF(B1764="","",IFERROR(D1764/I1764,""))</f>
        <v/>
      </c>
      <c r="K1764" s="71">
        <f>IF(B1764="","",IFERROR(AVERAGEIFS($J$4:$J1764,$B$4:$B1764,B1764,$J$4:$J1764,"&gt;"&amp;0),""))</f>
        <v/>
      </c>
      <c r="L1764" s="12" t="n"/>
    </row>
    <row r="1765" ht="14" customHeight="1" s="72">
      <c r="A1765" s="78" t="n"/>
      <c r="B1765" s="79" t="n"/>
      <c r="C1765" s="69">
        <f>IF(B1765="","",IFERROR(INDEX(Client_List!$B:$B,MATCH(B1765,Client_List!$A:$A,0)),"⚠ NOT FOUND"))</f>
        <v/>
      </c>
      <c r="D1765" s="44" t="n"/>
      <c r="E1765" s="32">
        <f>IF(B1765="","",IFERROR(INDEX(Client_List!$C:$C,MATCH(VALUE(B1765),Client_List!$A:$A,0)),""))</f>
        <v/>
      </c>
      <c r="F1765" s="53">
        <f>IF(B1765="","",IFERROR(INDEX(Client_List!$D:$D,MATCH(VALUE(B1765),Client_List!$A:$A,0)),""))</f>
        <v/>
      </c>
      <c r="G1765" s="53">
        <f>IF(B1765="","",IFERROR(INDEX(Client_List!$K:$K,MATCH(VALUE(B1765),Client_List!$A:$A,0)),""))</f>
        <v/>
      </c>
      <c r="H1765" s="32">
        <f>IF(B1765="","",IFERROR(INDEX(Client_List!$J:$J,MATCH(VALUE(B1765),Client_List!$A:$A,0)),""))</f>
        <v/>
      </c>
      <c r="I1765" s="70">
        <f>IF(B1765="","",IFERROR(A1765-LOOKUP(2,1/($B$4:$B1764=B1765),$A$4:$A1764),""))</f>
        <v/>
      </c>
      <c r="J1765" s="32">
        <f>IF(B1765="","",IFERROR(D1765/I1765,""))</f>
        <v/>
      </c>
      <c r="K1765" s="71">
        <f>IF(B1765="","",IFERROR(AVERAGEIFS($J$4:$J1765,$B$4:$B1765,B1765,$J$4:$J1765,"&gt;"&amp;0),""))</f>
        <v/>
      </c>
      <c r="L1765" s="11" t="n"/>
    </row>
    <row r="1766" ht="14" customHeight="1" s="72">
      <c r="A1766" s="80" t="n"/>
      <c r="B1766" s="81" t="n"/>
      <c r="C1766" s="69">
        <f>IF(B1766="","",IFERROR(INDEX(Client_List!$B:$B,MATCH(B1766,Client_List!$A:$A,0)),"⚠ NOT FOUND"))</f>
        <v/>
      </c>
      <c r="D1766" s="45" t="n"/>
      <c r="E1766" s="32">
        <f>IF(B1766="","",IFERROR(INDEX(Client_List!$C:$C,MATCH(VALUE(B1766),Client_List!$A:$A,0)),""))</f>
        <v/>
      </c>
      <c r="F1766" s="53">
        <f>IF(B1766="","",IFERROR(INDEX(Client_List!$D:$D,MATCH(VALUE(B1766),Client_List!$A:$A,0)),""))</f>
        <v/>
      </c>
      <c r="G1766" s="53">
        <f>IF(B1766="","",IFERROR(INDEX(Client_List!$K:$K,MATCH(VALUE(B1766),Client_List!$A:$A,0)),""))</f>
        <v/>
      </c>
      <c r="H1766" s="32">
        <f>IF(B1766="","",IFERROR(INDEX(Client_List!$J:$J,MATCH(VALUE(B1766),Client_List!$A:$A,0)),""))</f>
        <v/>
      </c>
      <c r="I1766" s="70">
        <f>IF(B1766="","",IFERROR(A1766-LOOKUP(2,1/($B$4:$B1765=B1766),$A$4:$A1765),""))</f>
        <v/>
      </c>
      <c r="J1766" s="32">
        <f>IF(B1766="","",IFERROR(D1766/I1766,""))</f>
        <v/>
      </c>
      <c r="K1766" s="71">
        <f>IF(B1766="","",IFERROR(AVERAGEIFS($J$4:$J1766,$B$4:$B1766,B1766,$J$4:$J1766,"&gt;"&amp;0),""))</f>
        <v/>
      </c>
      <c r="L1766" s="12" t="n"/>
    </row>
    <row r="1767" ht="14" customHeight="1" s="72">
      <c r="A1767" s="78" t="n"/>
      <c r="B1767" s="79" t="n"/>
      <c r="C1767" s="69">
        <f>IF(B1767="","",IFERROR(INDEX(Client_List!$B:$B,MATCH(B1767,Client_List!$A:$A,0)),"⚠ NOT FOUND"))</f>
        <v/>
      </c>
      <c r="D1767" s="44" t="n"/>
      <c r="E1767" s="32">
        <f>IF(B1767="","",IFERROR(INDEX(Client_List!$C:$C,MATCH(VALUE(B1767),Client_List!$A:$A,0)),""))</f>
        <v/>
      </c>
      <c r="F1767" s="53">
        <f>IF(B1767="","",IFERROR(INDEX(Client_List!$D:$D,MATCH(VALUE(B1767),Client_List!$A:$A,0)),""))</f>
        <v/>
      </c>
      <c r="G1767" s="53">
        <f>IF(B1767="","",IFERROR(INDEX(Client_List!$K:$K,MATCH(VALUE(B1767),Client_List!$A:$A,0)),""))</f>
        <v/>
      </c>
      <c r="H1767" s="32">
        <f>IF(B1767="","",IFERROR(INDEX(Client_List!$J:$J,MATCH(VALUE(B1767),Client_List!$A:$A,0)),""))</f>
        <v/>
      </c>
      <c r="I1767" s="70">
        <f>IF(B1767="","",IFERROR(A1767-LOOKUP(2,1/($B$4:$B1766=B1767),$A$4:$A1766),""))</f>
        <v/>
      </c>
      <c r="J1767" s="32">
        <f>IF(B1767="","",IFERROR(D1767/I1767,""))</f>
        <v/>
      </c>
      <c r="K1767" s="71">
        <f>IF(B1767="","",IFERROR(AVERAGEIFS($J$4:$J1767,$B$4:$B1767,B1767,$J$4:$J1767,"&gt;"&amp;0),""))</f>
        <v/>
      </c>
      <c r="L1767" s="11" t="n"/>
    </row>
    <row r="1768" ht="14" customHeight="1" s="72">
      <c r="A1768" s="80" t="n"/>
      <c r="B1768" s="81" t="n"/>
      <c r="C1768" s="69">
        <f>IF(B1768="","",IFERROR(INDEX(Client_List!$B:$B,MATCH(B1768,Client_List!$A:$A,0)),"⚠ NOT FOUND"))</f>
        <v/>
      </c>
      <c r="D1768" s="45" t="n"/>
      <c r="E1768" s="32">
        <f>IF(B1768="","",IFERROR(INDEX(Client_List!$C:$C,MATCH(VALUE(B1768),Client_List!$A:$A,0)),""))</f>
        <v/>
      </c>
      <c r="F1768" s="53">
        <f>IF(B1768="","",IFERROR(INDEX(Client_List!$D:$D,MATCH(VALUE(B1768),Client_List!$A:$A,0)),""))</f>
        <v/>
      </c>
      <c r="G1768" s="53">
        <f>IF(B1768="","",IFERROR(INDEX(Client_List!$K:$K,MATCH(VALUE(B1768),Client_List!$A:$A,0)),""))</f>
        <v/>
      </c>
      <c r="H1768" s="32">
        <f>IF(B1768="","",IFERROR(INDEX(Client_List!$J:$J,MATCH(VALUE(B1768),Client_List!$A:$A,0)),""))</f>
        <v/>
      </c>
      <c r="I1768" s="70">
        <f>IF(B1768="","",IFERROR(A1768-LOOKUP(2,1/($B$4:$B1767=B1768),$A$4:$A1767),""))</f>
        <v/>
      </c>
      <c r="J1768" s="32">
        <f>IF(B1768="","",IFERROR(D1768/I1768,""))</f>
        <v/>
      </c>
      <c r="K1768" s="71">
        <f>IF(B1768="","",IFERROR(AVERAGEIFS($J$4:$J1768,$B$4:$B1768,B1768,$J$4:$J1768,"&gt;"&amp;0),""))</f>
        <v/>
      </c>
      <c r="L1768" s="12" t="n"/>
    </row>
    <row r="1769" ht="14" customHeight="1" s="72">
      <c r="A1769" s="78" t="n"/>
      <c r="B1769" s="79" t="n"/>
      <c r="C1769" s="69">
        <f>IF(B1769="","",IFERROR(INDEX(Client_List!$B:$B,MATCH(B1769,Client_List!$A:$A,0)),"⚠ NOT FOUND"))</f>
        <v/>
      </c>
      <c r="D1769" s="44" t="n"/>
      <c r="E1769" s="32">
        <f>IF(B1769="","",IFERROR(INDEX(Client_List!$C:$C,MATCH(VALUE(B1769),Client_List!$A:$A,0)),""))</f>
        <v/>
      </c>
      <c r="F1769" s="53">
        <f>IF(B1769="","",IFERROR(INDEX(Client_List!$D:$D,MATCH(VALUE(B1769),Client_List!$A:$A,0)),""))</f>
        <v/>
      </c>
      <c r="G1769" s="53">
        <f>IF(B1769="","",IFERROR(INDEX(Client_List!$K:$K,MATCH(VALUE(B1769),Client_List!$A:$A,0)),""))</f>
        <v/>
      </c>
      <c r="H1769" s="32">
        <f>IF(B1769="","",IFERROR(INDEX(Client_List!$J:$J,MATCH(VALUE(B1769),Client_List!$A:$A,0)),""))</f>
        <v/>
      </c>
      <c r="I1769" s="70">
        <f>IF(B1769="","",IFERROR(A1769-LOOKUP(2,1/($B$4:$B1768=B1769),$A$4:$A1768),""))</f>
        <v/>
      </c>
      <c r="J1769" s="32">
        <f>IF(B1769="","",IFERROR(D1769/I1769,""))</f>
        <v/>
      </c>
      <c r="K1769" s="71">
        <f>IF(B1769="","",IFERROR(AVERAGEIFS($J$4:$J1769,$B$4:$B1769,B1769,$J$4:$J1769,"&gt;"&amp;0),""))</f>
        <v/>
      </c>
      <c r="L1769" s="11" t="n"/>
    </row>
    <row r="1770" ht="14" customHeight="1" s="72">
      <c r="A1770" s="80" t="n"/>
      <c r="B1770" s="81" t="n"/>
      <c r="C1770" s="69">
        <f>IF(B1770="","",IFERROR(INDEX(Client_List!$B:$B,MATCH(B1770,Client_List!$A:$A,0)),"⚠ NOT FOUND"))</f>
        <v/>
      </c>
      <c r="D1770" s="45" t="n"/>
      <c r="E1770" s="32">
        <f>IF(B1770="","",IFERROR(INDEX(Client_List!$C:$C,MATCH(VALUE(B1770),Client_List!$A:$A,0)),""))</f>
        <v/>
      </c>
      <c r="F1770" s="53">
        <f>IF(B1770="","",IFERROR(INDEX(Client_List!$D:$D,MATCH(VALUE(B1770),Client_List!$A:$A,0)),""))</f>
        <v/>
      </c>
      <c r="G1770" s="53">
        <f>IF(B1770="","",IFERROR(INDEX(Client_List!$K:$K,MATCH(VALUE(B1770),Client_List!$A:$A,0)),""))</f>
        <v/>
      </c>
      <c r="H1770" s="32">
        <f>IF(B1770="","",IFERROR(INDEX(Client_List!$J:$J,MATCH(VALUE(B1770),Client_List!$A:$A,0)),""))</f>
        <v/>
      </c>
      <c r="I1770" s="70">
        <f>IF(B1770="","",IFERROR(A1770-LOOKUP(2,1/($B$4:$B1769=B1770),$A$4:$A1769),""))</f>
        <v/>
      </c>
      <c r="J1770" s="32">
        <f>IF(B1770="","",IFERROR(D1770/I1770,""))</f>
        <v/>
      </c>
      <c r="K1770" s="71">
        <f>IF(B1770="","",IFERROR(AVERAGEIFS($J$4:$J1770,$B$4:$B1770,B1770,$J$4:$J1770,"&gt;"&amp;0),""))</f>
        <v/>
      </c>
      <c r="L1770" s="12" t="n"/>
    </row>
    <row r="1771" ht="14" customHeight="1" s="72">
      <c r="A1771" s="78" t="n"/>
      <c r="B1771" s="79" t="n"/>
      <c r="C1771" s="69">
        <f>IF(B1771="","",IFERROR(INDEX(Client_List!$B:$B,MATCH(B1771,Client_List!$A:$A,0)),"⚠ NOT FOUND"))</f>
        <v/>
      </c>
      <c r="D1771" s="44" t="n"/>
      <c r="E1771" s="32">
        <f>IF(B1771="","",IFERROR(INDEX(Client_List!$C:$C,MATCH(VALUE(B1771),Client_List!$A:$A,0)),""))</f>
        <v/>
      </c>
      <c r="F1771" s="53">
        <f>IF(B1771="","",IFERROR(INDEX(Client_List!$D:$D,MATCH(VALUE(B1771),Client_List!$A:$A,0)),""))</f>
        <v/>
      </c>
      <c r="G1771" s="53">
        <f>IF(B1771="","",IFERROR(INDEX(Client_List!$K:$K,MATCH(VALUE(B1771),Client_List!$A:$A,0)),""))</f>
        <v/>
      </c>
      <c r="H1771" s="32">
        <f>IF(B1771="","",IFERROR(INDEX(Client_List!$J:$J,MATCH(VALUE(B1771),Client_List!$A:$A,0)),""))</f>
        <v/>
      </c>
      <c r="I1771" s="70">
        <f>IF(B1771="","",IFERROR(A1771-LOOKUP(2,1/($B$4:$B1770=B1771),$A$4:$A1770),""))</f>
        <v/>
      </c>
      <c r="J1771" s="32">
        <f>IF(B1771="","",IFERROR(D1771/I1771,""))</f>
        <v/>
      </c>
      <c r="K1771" s="71">
        <f>IF(B1771="","",IFERROR(AVERAGEIFS($J$4:$J1771,$B$4:$B1771,B1771,$J$4:$J1771,"&gt;"&amp;0),""))</f>
        <v/>
      </c>
      <c r="L1771" s="11" t="n"/>
    </row>
    <row r="1772" ht="14" customHeight="1" s="72">
      <c r="A1772" s="80" t="n"/>
      <c r="B1772" s="81" t="n"/>
      <c r="C1772" s="69">
        <f>IF(B1772="","",IFERROR(INDEX(Client_List!$B:$B,MATCH(B1772,Client_List!$A:$A,0)),"⚠ NOT FOUND"))</f>
        <v/>
      </c>
      <c r="D1772" s="45" t="n"/>
      <c r="E1772" s="32">
        <f>IF(B1772="","",IFERROR(INDEX(Client_List!$C:$C,MATCH(VALUE(B1772),Client_List!$A:$A,0)),""))</f>
        <v/>
      </c>
      <c r="F1772" s="53">
        <f>IF(B1772="","",IFERROR(INDEX(Client_List!$D:$D,MATCH(VALUE(B1772),Client_List!$A:$A,0)),""))</f>
        <v/>
      </c>
      <c r="G1772" s="53">
        <f>IF(B1772="","",IFERROR(INDEX(Client_List!$K:$K,MATCH(VALUE(B1772),Client_List!$A:$A,0)),""))</f>
        <v/>
      </c>
      <c r="H1772" s="32">
        <f>IF(B1772="","",IFERROR(INDEX(Client_List!$J:$J,MATCH(VALUE(B1772),Client_List!$A:$A,0)),""))</f>
        <v/>
      </c>
      <c r="I1772" s="70">
        <f>IF(B1772="","",IFERROR(A1772-LOOKUP(2,1/($B$4:$B1771=B1772),$A$4:$A1771),""))</f>
        <v/>
      </c>
      <c r="J1772" s="32">
        <f>IF(B1772="","",IFERROR(D1772/I1772,""))</f>
        <v/>
      </c>
      <c r="K1772" s="71">
        <f>IF(B1772="","",IFERROR(AVERAGEIFS($J$4:$J1772,$B$4:$B1772,B1772,$J$4:$J1772,"&gt;"&amp;0),""))</f>
        <v/>
      </c>
      <c r="L1772" s="12" t="n"/>
    </row>
    <row r="1773" ht="14" customHeight="1" s="72">
      <c r="A1773" s="78" t="n"/>
      <c r="B1773" s="79" t="n"/>
      <c r="C1773" s="69">
        <f>IF(B1773="","",IFERROR(INDEX(Client_List!$B:$B,MATCH(B1773,Client_List!$A:$A,0)),"⚠ NOT FOUND"))</f>
        <v/>
      </c>
      <c r="D1773" s="44" t="n"/>
      <c r="E1773" s="32">
        <f>IF(B1773="","",IFERROR(INDEX(Client_List!$C:$C,MATCH(VALUE(B1773),Client_List!$A:$A,0)),""))</f>
        <v/>
      </c>
      <c r="F1773" s="53">
        <f>IF(B1773="","",IFERROR(INDEX(Client_List!$D:$D,MATCH(VALUE(B1773),Client_List!$A:$A,0)),""))</f>
        <v/>
      </c>
      <c r="G1773" s="53">
        <f>IF(B1773="","",IFERROR(INDEX(Client_List!$K:$K,MATCH(VALUE(B1773),Client_List!$A:$A,0)),""))</f>
        <v/>
      </c>
      <c r="H1773" s="32">
        <f>IF(B1773="","",IFERROR(INDEX(Client_List!$J:$J,MATCH(VALUE(B1773),Client_List!$A:$A,0)),""))</f>
        <v/>
      </c>
      <c r="I1773" s="70">
        <f>IF(B1773="","",IFERROR(A1773-LOOKUP(2,1/($B$4:$B1772=B1773),$A$4:$A1772),""))</f>
        <v/>
      </c>
      <c r="J1773" s="32">
        <f>IF(B1773="","",IFERROR(D1773/I1773,""))</f>
        <v/>
      </c>
      <c r="K1773" s="71">
        <f>IF(B1773="","",IFERROR(AVERAGEIFS($J$4:$J1773,$B$4:$B1773,B1773,$J$4:$J1773,"&gt;"&amp;0),""))</f>
        <v/>
      </c>
      <c r="L1773" s="11" t="n"/>
    </row>
    <row r="1774" ht="14" customHeight="1" s="72">
      <c r="A1774" s="80" t="n"/>
      <c r="B1774" s="81" t="n"/>
      <c r="C1774" s="69">
        <f>IF(B1774="","",IFERROR(INDEX(Client_List!$B:$B,MATCH(B1774,Client_List!$A:$A,0)),"⚠ NOT FOUND"))</f>
        <v/>
      </c>
      <c r="D1774" s="45" t="n"/>
      <c r="E1774" s="32">
        <f>IF(B1774="","",IFERROR(INDEX(Client_List!$C:$C,MATCH(VALUE(B1774),Client_List!$A:$A,0)),""))</f>
        <v/>
      </c>
      <c r="F1774" s="53">
        <f>IF(B1774="","",IFERROR(INDEX(Client_List!$D:$D,MATCH(VALUE(B1774),Client_List!$A:$A,0)),""))</f>
        <v/>
      </c>
      <c r="G1774" s="53">
        <f>IF(B1774="","",IFERROR(INDEX(Client_List!$K:$K,MATCH(VALUE(B1774),Client_List!$A:$A,0)),""))</f>
        <v/>
      </c>
      <c r="H1774" s="32">
        <f>IF(B1774="","",IFERROR(INDEX(Client_List!$J:$J,MATCH(VALUE(B1774),Client_List!$A:$A,0)),""))</f>
        <v/>
      </c>
      <c r="I1774" s="70">
        <f>IF(B1774="","",IFERROR(A1774-LOOKUP(2,1/($B$4:$B1773=B1774),$A$4:$A1773),""))</f>
        <v/>
      </c>
      <c r="J1774" s="32">
        <f>IF(B1774="","",IFERROR(D1774/I1774,""))</f>
        <v/>
      </c>
      <c r="K1774" s="71">
        <f>IF(B1774="","",IFERROR(AVERAGEIFS($J$4:$J1774,$B$4:$B1774,B1774,$J$4:$J1774,"&gt;"&amp;0),""))</f>
        <v/>
      </c>
      <c r="L1774" s="12" t="n"/>
    </row>
    <row r="1775" ht="14" customHeight="1" s="72">
      <c r="A1775" s="78" t="n"/>
      <c r="B1775" s="79" t="n"/>
      <c r="C1775" s="69">
        <f>IF(B1775="","",IFERROR(INDEX(Client_List!$B:$B,MATCH(B1775,Client_List!$A:$A,0)),"⚠ NOT FOUND"))</f>
        <v/>
      </c>
      <c r="D1775" s="44" t="n"/>
      <c r="E1775" s="32">
        <f>IF(B1775="","",IFERROR(INDEX(Client_List!$C:$C,MATCH(VALUE(B1775),Client_List!$A:$A,0)),""))</f>
        <v/>
      </c>
      <c r="F1775" s="53">
        <f>IF(B1775="","",IFERROR(INDEX(Client_List!$D:$D,MATCH(VALUE(B1775),Client_List!$A:$A,0)),""))</f>
        <v/>
      </c>
      <c r="G1775" s="53">
        <f>IF(B1775="","",IFERROR(INDEX(Client_List!$K:$K,MATCH(VALUE(B1775),Client_List!$A:$A,0)),""))</f>
        <v/>
      </c>
      <c r="H1775" s="32">
        <f>IF(B1775="","",IFERROR(INDEX(Client_List!$J:$J,MATCH(VALUE(B1775),Client_List!$A:$A,0)),""))</f>
        <v/>
      </c>
      <c r="I1775" s="70">
        <f>IF(B1775="","",IFERROR(A1775-LOOKUP(2,1/($B$4:$B1774=B1775),$A$4:$A1774),""))</f>
        <v/>
      </c>
      <c r="J1775" s="32">
        <f>IF(B1775="","",IFERROR(D1775/I1775,""))</f>
        <v/>
      </c>
      <c r="K1775" s="71">
        <f>IF(B1775="","",IFERROR(AVERAGEIFS($J$4:$J1775,$B$4:$B1775,B1775,$J$4:$J1775,"&gt;"&amp;0),""))</f>
        <v/>
      </c>
      <c r="L1775" s="11" t="n"/>
    </row>
    <row r="1776" ht="14" customHeight="1" s="72">
      <c r="A1776" s="80" t="n"/>
      <c r="B1776" s="81" t="n"/>
      <c r="C1776" s="69">
        <f>IF(B1776="","",IFERROR(INDEX(Client_List!$B:$B,MATCH(B1776,Client_List!$A:$A,0)),"⚠ NOT FOUND"))</f>
        <v/>
      </c>
      <c r="D1776" s="45" t="n"/>
      <c r="E1776" s="32">
        <f>IF(B1776="","",IFERROR(INDEX(Client_List!$C:$C,MATCH(VALUE(B1776),Client_List!$A:$A,0)),""))</f>
        <v/>
      </c>
      <c r="F1776" s="53">
        <f>IF(B1776="","",IFERROR(INDEX(Client_List!$D:$D,MATCH(VALUE(B1776),Client_List!$A:$A,0)),""))</f>
        <v/>
      </c>
      <c r="G1776" s="53">
        <f>IF(B1776="","",IFERROR(INDEX(Client_List!$K:$K,MATCH(VALUE(B1776),Client_List!$A:$A,0)),""))</f>
        <v/>
      </c>
      <c r="H1776" s="32">
        <f>IF(B1776="","",IFERROR(INDEX(Client_List!$J:$J,MATCH(VALUE(B1776),Client_List!$A:$A,0)),""))</f>
        <v/>
      </c>
      <c r="I1776" s="70">
        <f>IF(B1776="","",IFERROR(A1776-LOOKUP(2,1/($B$4:$B1775=B1776),$A$4:$A1775),""))</f>
        <v/>
      </c>
      <c r="J1776" s="32">
        <f>IF(B1776="","",IFERROR(D1776/I1776,""))</f>
        <v/>
      </c>
      <c r="K1776" s="71">
        <f>IF(B1776="","",IFERROR(AVERAGEIFS($J$4:$J1776,$B$4:$B1776,B1776,$J$4:$J1776,"&gt;"&amp;0),""))</f>
        <v/>
      </c>
      <c r="L1776" s="12" t="n"/>
    </row>
    <row r="1777" ht="14" customHeight="1" s="72">
      <c r="A1777" s="78" t="n"/>
      <c r="B1777" s="79" t="n"/>
      <c r="C1777" s="69">
        <f>IF(B1777="","",IFERROR(INDEX(Client_List!$B:$B,MATCH(B1777,Client_List!$A:$A,0)),"⚠ NOT FOUND"))</f>
        <v/>
      </c>
      <c r="D1777" s="44" t="n"/>
      <c r="E1777" s="32">
        <f>IF(B1777="","",IFERROR(INDEX(Client_List!$C:$C,MATCH(VALUE(B1777),Client_List!$A:$A,0)),""))</f>
        <v/>
      </c>
      <c r="F1777" s="53">
        <f>IF(B1777="","",IFERROR(INDEX(Client_List!$D:$D,MATCH(VALUE(B1777),Client_List!$A:$A,0)),""))</f>
        <v/>
      </c>
      <c r="G1777" s="53">
        <f>IF(B1777="","",IFERROR(INDEX(Client_List!$K:$K,MATCH(VALUE(B1777),Client_List!$A:$A,0)),""))</f>
        <v/>
      </c>
      <c r="H1777" s="32">
        <f>IF(B1777="","",IFERROR(INDEX(Client_List!$J:$J,MATCH(VALUE(B1777),Client_List!$A:$A,0)),""))</f>
        <v/>
      </c>
      <c r="I1777" s="70">
        <f>IF(B1777="","",IFERROR(A1777-LOOKUP(2,1/($B$4:$B1776=B1777),$A$4:$A1776),""))</f>
        <v/>
      </c>
      <c r="J1777" s="32">
        <f>IF(B1777="","",IFERROR(D1777/I1777,""))</f>
        <v/>
      </c>
      <c r="K1777" s="71">
        <f>IF(B1777="","",IFERROR(AVERAGEIFS($J$4:$J1777,$B$4:$B1777,B1777,$J$4:$J1777,"&gt;"&amp;0),""))</f>
        <v/>
      </c>
      <c r="L1777" s="11" t="n"/>
    </row>
    <row r="1778" ht="14" customHeight="1" s="72">
      <c r="A1778" s="80" t="n"/>
      <c r="B1778" s="81" t="n"/>
      <c r="C1778" s="69">
        <f>IF(B1778="","",IFERROR(INDEX(Client_List!$B:$B,MATCH(B1778,Client_List!$A:$A,0)),"⚠ NOT FOUND"))</f>
        <v/>
      </c>
      <c r="D1778" s="45" t="n"/>
      <c r="E1778" s="32">
        <f>IF(B1778="","",IFERROR(INDEX(Client_List!$C:$C,MATCH(VALUE(B1778),Client_List!$A:$A,0)),""))</f>
        <v/>
      </c>
      <c r="F1778" s="53">
        <f>IF(B1778="","",IFERROR(INDEX(Client_List!$D:$D,MATCH(VALUE(B1778),Client_List!$A:$A,0)),""))</f>
        <v/>
      </c>
      <c r="G1778" s="53">
        <f>IF(B1778="","",IFERROR(INDEX(Client_List!$K:$K,MATCH(VALUE(B1778),Client_List!$A:$A,0)),""))</f>
        <v/>
      </c>
      <c r="H1778" s="32">
        <f>IF(B1778="","",IFERROR(INDEX(Client_List!$J:$J,MATCH(VALUE(B1778),Client_List!$A:$A,0)),""))</f>
        <v/>
      </c>
      <c r="I1778" s="70">
        <f>IF(B1778="","",IFERROR(A1778-LOOKUP(2,1/($B$4:$B1777=B1778),$A$4:$A1777),""))</f>
        <v/>
      </c>
      <c r="J1778" s="32">
        <f>IF(B1778="","",IFERROR(D1778/I1778,""))</f>
        <v/>
      </c>
      <c r="K1778" s="71">
        <f>IF(B1778="","",IFERROR(AVERAGEIFS($J$4:$J1778,$B$4:$B1778,B1778,$J$4:$J1778,"&gt;"&amp;0),""))</f>
        <v/>
      </c>
      <c r="L1778" s="12" t="n"/>
    </row>
    <row r="1779" ht="14" customHeight="1" s="72">
      <c r="A1779" s="78" t="n"/>
      <c r="B1779" s="79" t="n"/>
      <c r="C1779" s="69">
        <f>IF(B1779="","",IFERROR(INDEX(Client_List!$B:$B,MATCH(B1779,Client_List!$A:$A,0)),"⚠ NOT FOUND"))</f>
        <v/>
      </c>
      <c r="D1779" s="44" t="n"/>
      <c r="E1779" s="32">
        <f>IF(B1779="","",IFERROR(INDEX(Client_List!$C:$C,MATCH(VALUE(B1779),Client_List!$A:$A,0)),""))</f>
        <v/>
      </c>
      <c r="F1779" s="53">
        <f>IF(B1779="","",IFERROR(INDEX(Client_List!$D:$D,MATCH(VALUE(B1779),Client_List!$A:$A,0)),""))</f>
        <v/>
      </c>
      <c r="G1779" s="53">
        <f>IF(B1779="","",IFERROR(INDEX(Client_List!$K:$K,MATCH(VALUE(B1779),Client_List!$A:$A,0)),""))</f>
        <v/>
      </c>
      <c r="H1779" s="32">
        <f>IF(B1779="","",IFERROR(INDEX(Client_List!$J:$J,MATCH(VALUE(B1779),Client_List!$A:$A,0)),""))</f>
        <v/>
      </c>
      <c r="I1779" s="70">
        <f>IF(B1779="","",IFERROR(A1779-LOOKUP(2,1/($B$4:$B1778=B1779),$A$4:$A1778),""))</f>
        <v/>
      </c>
      <c r="J1779" s="32">
        <f>IF(B1779="","",IFERROR(D1779/I1779,""))</f>
        <v/>
      </c>
      <c r="K1779" s="71">
        <f>IF(B1779="","",IFERROR(AVERAGEIFS($J$4:$J1779,$B$4:$B1779,B1779,$J$4:$J1779,"&gt;"&amp;0),""))</f>
        <v/>
      </c>
      <c r="L1779" s="11" t="n"/>
    </row>
    <row r="1780" ht="14" customHeight="1" s="72">
      <c r="A1780" s="80" t="n"/>
      <c r="B1780" s="81" t="n"/>
      <c r="C1780" s="69">
        <f>IF(B1780="","",IFERROR(INDEX(Client_List!$B:$B,MATCH(B1780,Client_List!$A:$A,0)),"⚠ NOT FOUND"))</f>
        <v/>
      </c>
      <c r="D1780" s="45" t="n"/>
      <c r="E1780" s="32">
        <f>IF(B1780="","",IFERROR(INDEX(Client_List!$C:$C,MATCH(VALUE(B1780),Client_List!$A:$A,0)),""))</f>
        <v/>
      </c>
      <c r="F1780" s="53">
        <f>IF(B1780="","",IFERROR(INDEX(Client_List!$D:$D,MATCH(VALUE(B1780),Client_List!$A:$A,0)),""))</f>
        <v/>
      </c>
      <c r="G1780" s="53">
        <f>IF(B1780="","",IFERROR(INDEX(Client_List!$K:$K,MATCH(VALUE(B1780),Client_List!$A:$A,0)),""))</f>
        <v/>
      </c>
      <c r="H1780" s="32">
        <f>IF(B1780="","",IFERROR(INDEX(Client_List!$J:$J,MATCH(VALUE(B1780),Client_List!$A:$A,0)),""))</f>
        <v/>
      </c>
      <c r="I1780" s="70">
        <f>IF(B1780="","",IFERROR(A1780-LOOKUP(2,1/($B$4:$B1779=B1780),$A$4:$A1779),""))</f>
        <v/>
      </c>
      <c r="J1780" s="32">
        <f>IF(B1780="","",IFERROR(D1780/I1780,""))</f>
        <v/>
      </c>
      <c r="K1780" s="71">
        <f>IF(B1780="","",IFERROR(AVERAGEIFS($J$4:$J1780,$B$4:$B1780,B1780,$J$4:$J1780,"&gt;"&amp;0),""))</f>
        <v/>
      </c>
      <c r="L1780" s="12" t="n"/>
    </row>
    <row r="1781" ht="14" customHeight="1" s="72">
      <c r="A1781" s="78" t="n"/>
      <c r="B1781" s="79" t="n"/>
      <c r="C1781" s="69">
        <f>IF(B1781="","",IFERROR(INDEX(Client_List!$B:$B,MATCH(B1781,Client_List!$A:$A,0)),"⚠ NOT FOUND"))</f>
        <v/>
      </c>
      <c r="D1781" s="44" t="n"/>
      <c r="E1781" s="32">
        <f>IF(B1781="","",IFERROR(INDEX(Client_List!$C:$C,MATCH(VALUE(B1781),Client_List!$A:$A,0)),""))</f>
        <v/>
      </c>
      <c r="F1781" s="53">
        <f>IF(B1781="","",IFERROR(INDEX(Client_List!$D:$D,MATCH(VALUE(B1781),Client_List!$A:$A,0)),""))</f>
        <v/>
      </c>
      <c r="G1781" s="53">
        <f>IF(B1781="","",IFERROR(INDEX(Client_List!$K:$K,MATCH(VALUE(B1781),Client_List!$A:$A,0)),""))</f>
        <v/>
      </c>
      <c r="H1781" s="32">
        <f>IF(B1781="","",IFERROR(INDEX(Client_List!$J:$J,MATCH(VALUE(B1781),Client_List!$A:$A,0)),""))</f>
        <v/>
      </c>
      <c r="I1781" s="70">
        <f>IF(B1781="","",IFERROR(A1781-LOOKUP(2,1/($B$4:$B1780=B1781),$A$4:$A1780),""))</f>
        <v/>
      </c>
      <c r="J1781" s="32">
        <f>IF(B1781="","",IFERROR(D1781/I1781,""))</f>
        <v/>
      </c>
      <c r="K1781" s="71">
        <f>IF(B1781="","",IFERROR(AVERAGEIFS($J$4:$J1781,$B$4:$B1781,B1781,$J$4:$J1781,"&gt;"&amp;0),""))</f>
        <v/>
      </c>
      <c r="L1781" s="11" t="n"/>
    </row>
    <row r="1782" ht="14" customHeight="1" s="72">
      <c r="A1782" s="80" t="n"/>
      <c r="B1782" s="81" t="n"/>
      <c r="C1782" s="69">
        <f>IF(B1782="","",IFERROR(INDEX(Client_List!$B:$B,MATCH(B1782,Client_List!$A:$A,0)),"⚠ NOT FOUND"))</f>
        <v/>
      </c>
      <c r="D1782" s="45" t="n"/>
      <c r="E1782" s="32">
        <f>IF(B1782="","",IFERROR(INDEX(Client_List!$C:$C,MATCH(VALUE(B1782),Client_List!$A:$A,0)),""))</f>
        <v/>
      </c>
      <c r="F1782" s="53">
        <f>IF(B1782="","",IFERROR(INDEX(Client_List!$D:$D,MATCH(VALUE(B1782),Client_List!$A:$A,0)),""))</f>
        <v/>
      </c>
      <c r="G1782" s="53">
        <f>IF(B1782="","",IFERROR(INDEX(Client_List!$K:$K,MATCH(VALUE(B1782),Client_List!$A:$A,0)),""))</f>
        <v/>
      </c>
      <c r="H1782" s="32">
        <f>IF(B1782="","",IFERROR(INDEX(Client_List!$J:$J,MATCH(VALUE(B1782),Client_List!$A:$A,0)),""))</f>
        <v/>
      </c>
      <c r="I1782" s="70">
        <f>IF(B1782="","",IFERROR(A1782-LOOKUP(2,1/($B$4:$B1781=B1782),$A$4:$A1781),""))</f>
        <v/>
      </c>
      <c r="J1782" s="32">
        <f>IF(B1782="","",IFERROR(D1782/I1782,""))</f>
        <v/>
      </c>
      <c r="K1782" s="71">
        <f>IF(B1782="","",IFERROR(AVERAGEIFS($J$4:$J1782,$B$4:$B1782,B1782,$J$4:$J1782,"&gt;"&amp;0),""))</f>
        <v/>
      </c>
      <c r="L1782" s="12" t="n"/>
    </row>
    <row r="1783" ht="14" customHeight="1" s="72">
      <c r="A1783" s="78" t="n"/>
      <c r="B1783" s="79" t="n"/>
      <c r="C1783" s="69">
        <f>IF(B1783="","",IFERROR(INDEX(Client_List!$B:$B,MATCH(B1783,Client_List!$A:$A,0)),"⚠ NOT FOUND"))</f>
        <v/>
      </c>
      <c r="D1783" s="44" t="n"/>
      <c r="E1783" s="32">
        <f>IF(B1783="","",IFERROR(INDEX(Client_List!$C:$C,MATCH(VALUE(B1783),Client_List!$A:$A,0)),""))</f>
        <v/>
      </c>
      <c r="F1783" s="53">
        <f>IF(B1783="","",IFERROR(INDEX(Client_List!$D:$D,MATCH(VALUE(B1783),Client_List!$A:$A,0)),""))</f>
        <v/>
      </c>
      <c r="G1783" s="53">
        <f>IF(B1783="","",IFERROR(INDEX(Client_List!$K:$K,MATCH(VALUE(B1783),Client_List!$A:$A,0)),""))</f>
        <v/>
      </c>
      <c r="H1783" s="32">
        <f>IF(B1783="","",IFERROR(INDEX(Client_List!$J:$J,MATCH(VALUE(B1783),Client_List!$A:$A,0)),""))</f>
        <v/>
      </c>
      <c r="I1783" s="70">
        <f>IF(B1783="","",IFERROR(A1783-LOOKUP(2,1/($B$4:$B1782=B1783),$A$4:$A1782),""))</f>
        <v/>
      </c>
      <c r="J1783" s="32">
        <f>IF(B1783="","",IFERROR(D1783/I1783,""))</f>
        <v/>
      </c>
      <c r="K1783" s="71">
        <f>IF(B1783="","",IFERROR(AVERAGEIFS($J$4:$J1783,$B$4:$B1783,B1783,$J$4:$J1783,"&gt;"&amp;0),""))</f>
        <v/>
      </c>
      <c r="L1783" s="11" t="n"/>
    </row>
    <row r="1784" ht="14" customHeight="1" s="72">
      <c r="A1784" s="80" t="n"/>
      <c r="B1784" s="81" t="n"/>
      <c r="C1784" s="69">
        <f>IF(B1784="","",IFERROR(INDEX(Client_List!$B:$B,MATCH(B1784,Client_List!$A:$A,0)),"⚠ NOT FOUND"))</f>
        <v/>
      </c>
      <c r="D1784" s="45" t="n"/>
      <c r="E1784" s="32">
        <f>IF(B1784="","",IFERROR(INDEX(Client_List!$C:$C,MATCH(VALUE(B1784),Client_List!$A:$A,0)),""))</f>
        <v/>
      </c>
      <c r="F1784" s="53">
        <f>IF(B1784="","",IFERROR(INDEX(Client_List!$D:$D,MATCH(VALUE(B1784),Client_List!$A:$A,0)),""))</f>
        <v/>
      </c>
      <c r="G1784" s="53">
        <f>IF(B1784="","",IFERROR(INDEX(Client_List!$K:$K,MATCH(VALUE(B1784),Client_List!$A:$A,0)),""))</f>
        <v/>
      </c>
      <c r="H1784" s="32">
        <f>IF(B1784="","",IFERROR(INDEX(Client_List!$J:$J,MATCH(VALUE(B1784),Client_List!$A:$A,0)),""))</f>
        <v/>
      </c>
      <c r="I1784" s="70">
        <f>IF(B1784="","",IFERROR(A1784-LOOKUP(2,1/($B$4:$B1783=B1784),$A$4:$A1783),""))</f>
        <v/>
      </c>
      <c r="J1784" s="32">
        <f>IF(B1784="","",IFERROR(D1784/I1784,""))</f>
        <v/>
      </c>
      <c r="K1784" s="71">
        <f>IF(B1784="","",IFERROR(AVERAGEIFS($J$4:$J1784,$B$4:$B1784,B1784,$J$4:$J1784,"&gt;"&amp;0),""))</f>
        <v/>
      </c>
      <c r="L1784" s="12" t="n"/>
    </row>
    <row r="1785" ht="14" customHeight="1" s="72">
      <c r="A1785" s="78" t="n"/>
      <c r="B1785" s="79" t="n"/>
      <c r="C1785" s="69">
        <f>IF(B1785="","",IFERROR(INDEX(Client_List!$B:$B,MATCH(B1785,Client_List!$A:$A,0)),"⚠ NOT FOUND"))</f>
        <v/>
      </c>
      <c r="D1785" s="44" t="n"/>
      <c r="E1785" s="32">
        <f>IF(B1785="","",IFERROR(INDEX(Client_List!$C:$C,MATCH(VALUE(B1785),Client_List!$A:$A,0)),""))</f>
        <v/>
      </c>
      <c r="F1785" s="53">
        <f>IF(B1785="","",IFERROR(INDEX(Client_List!$D:$D,MATCH(VALUE(B1785),Client_List!$A:$A,0)),""))</f>
        <v/>
      </c>
      <c r="G1785" s="53">
        <f>IF(B1785="","",IFERROR(INDEX(Client_List!$K:$K,MATCH(VALUE(B1785),Client_List!$A:$A,0)),""))</f>
        <v/>
      </c>
      <c r="H1785" s="32">
        <f>IF(B1785="","",IFERROR(INDEX(Client_List!$J:$J,MATCH(VALUE(B1785),Client_List!$A:$A,0)),""))</f>
        <v/>
      </c>
      <c r="I1785" s="70">
        <f>IF(B1785="","",IFERROR(A1785-LOOKUP(2,1/($B$4:$B1784=B1785),$A$4:$A1784),""))</f>
        <v/>
      </c>
      <c r="J1785" s="32">
        <f>IF(B1785="","",IFERROR(D1785/I1785,""))</f>
        <v/>
      </c>
      <c r="K1785" s="71">
        <f>IF(B1785="","",IFERROR(AVERAGEIFS($J$4:$J1785,$B$4:$B1785,B1785,$J$4:$J1785,"&gt;"&amp;0),""))</f>
        <v/>
      </c>
      <c r="L1785" s="11" t="n"/>
    </row>
    <row r="1786" ht="14" customHeight="1" s="72">
      <c r="A1786" s="80" t="n"/>
      <c r="B1786" s="81" t="n"/>
      <c r="C1786" s="69">
        <f>IF(B1786="","",IFERROR(INDEX(Client_List!$B:$B,MATCH(B1786,Client_List!$A:$A,0)),"⚠ NOT FOUND"))</f>
        <v/>
      </c>
      <c r="D1786" s="45" t="n"/>
      <c r="E1786" s="32">
        <f>IF(B1786="","",IFERROR(INDEX(Client_List!$C:$C,MATCH(VALUE(B1786),Client_List!$A:$A,0)),""))</f>
        <v/>
      </c>
      <c r="F1786" s="53">
        <f>IF(B1786="","",IFERROR(INDEX(Client_List!$D:$D,MATCH(VALUE(B1786),Client_List!$A:$A,0)),""))</f>
        <v/>
      </c>
      <c r="G1786" s="53">
        <f>IF(B1786="","",IFERROR(INDEX(Client_List!$K:$K,MATCH(VALUE(B1786),Client_List!$A:$A,0)),""))</f>
        <v/>
      </c>
      <c r="H1786" s="32">
        <f>IF(B1786="","",IFERROR(INDEX(Client_List!$J:$J,MATCH(VALUE(B1786),Client_List!$A:$A,0)),""))</f>
        <v/>
      </c>
      <c r="I1786" s="70">
        <f>IF(B1786="","",IFERROR(A1786-LOOKUP(2,1/($B$4:$B1785=B1786),$A$4:$A1785),""))</f>
        <v/>
      </c>
      <c r="J1786" s="32">
        <f>IF(B1786="","",IFERROR(D1786/I1786,""))</f>
        <v/>
      </c>
      <c r="K1786" s="71">
        <f>IF(B1786="","",IFERROR(AVERAGEIFS($J$4:$J1786,$B$4:$B1786,B1786,$J$4:$J1786,"&gt;"&amp;0),""))</f>
        <v/>
      </c>
      <c r="L1786" s="12" t="n"/>
    </row>
    <row r="1787" ht="14" customHeight="1" s="72">
      <c r="A1787" s="78" t="n"/>
      <c r="B1787" s="79" t="n"/>
      <c r="C1787" s="69">
        <f>IF(B1787="","",IFERROR(INDEX(Client_List!$B:$B,MATCH(B1787,Client_List!$A:$A,0)),"⚠ NOT FOUND"))</f>
        <v/>
      </c>
      <c r="D1787" s="44" t="n"/>
      <c r="E1787" s="32">
        <f>IF(B1787="","",IFERROR(INDEX(Client_List!$C:$C,MATCH(VALUE(B1787),Client_List!$A:$A,0)),""))</f>
        <v/>
      </c>
      <c r="F1787" s="53">
        <f>IF(B1787="","",IFERROR(INDEX(Client_List!$D:$D,MATCH(VALUE(B1787),Client_List!$A:$A,0)),""))</f>
        <v/>
      </c>
      <c r="G1787" s="53">
        <f>IF(B1787="","",IFERROR(INDEX(Client_List!$K:$K,MATCH(VALUE(B1787),Client_List!$A:$A,0)),""))</f>
        <v/>
      </c>
      <c r="H1787" s="32">
        <f>IF(B1787="","",IFERROR(INDEX(Client_List!$J:$J,MATCH(VALUE(B1787),Client_List!$A:$A,0)),""))</f>
        <v/>
      </c>
      <c r="I1787" s="70">
        <f>IF(B1787="","",IFERROR(A1787-LOOKUP(2,1/($B$4:$B1786=B1787),$A$4:$A1786),""))</f>
        <v/>
      </c>
      <c r="J1787" s="32">
        <f>IF(B1787="","",IFERROR(D1787/I1787,""))</f>
        <v/>
      </c>
      <c r="K1787" s="71">
        <f>IF(B1787="","",IFERROR(AVERAGEIFS($J$4:$J1787,$B$4:$B1787,B1787,$J$4:$J1787,"&gt;"&amp;0),""))</f>
        <v/>
      </c>
      <c r="L1787" s="11" t="n"/>
    </row>
    <row r="1788" ht="14" customHeight="1" s="72">
      <c r="A1788" s="80" t="n"/>
      <c r="B1788" s="81" t="n"/>
      <c r="C1788" s="69">
        <f>IF(B1788="","",IFERROR(INDEX(Client_List!$B:$B,MATCH(B1788,Client_List!$A:$A,0)),"⚠ NOT FOUND"))</f>
        <v/>
      </c>
      <c r="D1788" s="45" t="n"/>
      <c r="E1788" s="32">
        <f>IF(B1788="","",IFERROR(INDEX(Client_List!$C:$C,MATCH(VALUE(B1788),Client_List!$A:$A,0)),""))</f>
        <v/>
      </c>
      <c r="F1788" s="53">
        <f>IF(B1788="","",IFERROR(INDEX(Client_List!$D:$D,MATCH(VALUE(B1788),Client_List!$A:$A,0)),""))</f>
        <v/>
      </c>
      <c r="G1788" s="53">
        <f>IF(B1788="","",IFERROR(INDEX(Client_List!$K:$K,MATCH(VALUE(B1788),Client_List!$A:$A,0)),""))</f>
        <v/>
      </c>
      <c r="H1788" s="32">
        <f>IF(B1788="","",IFERROR(INDEX(Client_List!$J:$J,MATCH(VALUE(B1788),Client_List!$A:$A,0)),""))</f>
        <v/>
      </c>
      <c r="I1788" s="70">
        <f>IF(B1788="","",IFERROR(A1788-LOOKUP(2,1/($B$4:$B1787=B1788),$A$4:$A1787),""))</f>
        <v/>
      </c>
      <c r="J1788" s="32">
        <f>IF(B1788="","",IFERROR(D1788/I1788,""))</f>
        <v/>
      </c>
      <c r="K1788" s="71">
        <f>IF(B1788="","",IFERROR(AVERAGEIFS($J$4:$J1788,$B$4:$B1788,B1788,$J$4:$J1788,"&gt;"&amp;0),""))</f>
        <v/>
      </c>
      <c r="L1788" s="12" t="n"/>
    </row>
    <row r="1789" ht="14" customHeight="1" s="72">
      <c r="A1789" s="78" t="n"/>
      <c r="B1789" s="79" t="n"/>
      <c r="C1789" s="69">
        <f>IF(B1789="","",IFERROR(INDEX(Client_List!$B:$B,MATCH(B1789,Client_List!$A:$A,0)),"⚠ NOT FOUND"))</f>
        <v/>
      </c>
      <c r="D1789" s="44" t="n"/>
      <c r="E1789" s="32">
        <f>IF(B1789="","",IFERROR(INDEX(Client_List!$C:$C,MATCH(VALUE(B1789),Client_List!$A:$A,0)),""))</f>
        <v/>
      </c>
      <c r="F1789" s="53">
        <f>IF(B1789="","",IFERROR(INDEX(Client_List!$D:$D,MATCH(VALUE(B1789),Client_List!$A:$A,0)),""))</f>
        <v/>
      </c>
      <c r="G1789" s="53">
        <f>IF(B1789="","",IFERROR(INDEX(Client_List!$K:$K,MATCH(VALUE(B1789),Client_List!$A:$A,0)),""))</f>
        <v/>
      </c>
      <c r="H1789" s="32">
        <f>IF(B1789="","",IFERROR(INDEX(Client_List!$J:$J,MATCH(VALUE(B1789),Client_List!$A:$A,0)),""))</f>
        <v/>
      </c>
      <c r="I1789" s="70">
        <f>IF(B1789="","",IFERROR(A1789-LOOKUP(2,1/($B$4:$B1788=B1789),$A$4:$A1788),""))</f>
        <v/>
      </c>
      <c r="J1789" s="32">
        <f>IF(B1789="","",IFERROR(D1789/I1789,""))</f>
        <v/>
      </c>
      <c r="K1789" s="71">
        <f>IF(B1789="","",IFERROR(AVERAGEIFS($J$4:$J1789,$B$4:$B1789,B1789,$J$4:$J1789,"&gt;"&amp;0),""))</f>
        <v/>
      </c>
      <c r="L1789" s="11" t="n"/>
    </row>
    <row r="1790" ht="14" customHeight="1" s="72">
      <c r="A1790" s="80" t="n"/>
      <c r="B1790" s="81" t="n"/>
      <c r="C1790" s="69">
        <f>IF(B1790="","",IFERROR(INDEX(Client_List!$B:$B,MATCH(B1790,Client_List!$A:$A,0)),"⚠ NOT FOUND"))</f>
        <v/>
      </c>
      <c r="D1790" s="45" t="n"/>
      <c r="E1790" s="32">
        <f>IF(B1790="","",IFERROR(INDEX(Client_List!$C:$C,MATCH(VALUE(B1790),Client_List!$A:$A,0)),""))</f>
        <v/>
      </c>
      <c r="F1790" s="53">
        <f>IF(B1790="","",IFERROR(INDEX(Client_List!$D:$D,MATCH(VALUE(B1790),Client_List!$A:$A,0)),""))</f>
        <v/>
      </c>
      <c r="G1790" s="53">
        <f>IF(B1790="","",IFERROR(INDEX(Client_List!$K:$K,MATCH(VALUE(B1790),Client_List!$A:$A,0)),""))</f>
        <v/>
      </c>
      <c r="H1790" s="32">
        <f>IF(B1790="","",IFERROR(INDEX(Client_List!$J:$J,MATCH(VALUE(B1790),Client_List!$A:$A,0)),""))</f>
        <v/>
      </c>
      <c r="I1790" s="70">
        <f>IF(B1790="","",IFERROR(A1790-LOOKUP(2,1/($B$4:$B1789=B1790),$A$4:$A1789),""))</f>
        <v/>
      </c>
      <c r="J1790" s="32">
        <f>IF(B1790="","",IFERROR(D1790/I1790,""))</f>
        <v/>
      </c>
      <c r="K1790" s="71">
        <f>IF(B1790="","",IFERROR(AVERAGEIFS($J$4:$J1790,$B$4:$B1790,B1790,$J$4:$J1790,"&gt;"&amp;0),""))</f>
        <v/>
      </c>
      <c r="L1790" s="12" t="n"/>
    </row>
    <row r="1791" ht="14" customHeight="1" s="72">
      <c r="A1791" s="78" t="n"/>
      <c r="B1791" s="79" t="n"/>
      <c r="C1791" s="69">
        <f>IF(B1791="","",IFERROR(INDEX(Client_List!$B:$B,MATCH(B1791,Client_List!$A:$A,0)),"⚠ NOT FOUND"))</f>
        <v/>
      </c>
      <c r="D1791" s="44" t="n"/>
      <c r="E1791" s="32">
        <f>IF(B1791="","",IFERROR(INDEX(Client_List!$C:$C,MATCH(VALUE(B1791),Client_List!$A:$A,0)),""))</f>
        <v/>
      </c>
      <c r="F1791" s="53">
        <f>IF(B1791="","",IFERROR(INDEX(Client_List!$D:$D,MATCH(VALUE(B1791),Client_List!$A:$A,0)),""))</f>
        <v/>
      </c>
      <c r="G1791" s="53">
        <f>IF(B1791="","",IFERROR(INDEX(Client_List!$K:$K,MATCH(VALUE(B1791),Client_List!$A:$A,0)),""))</f>
        <v/>
      </c>
      <c r="H1791" s="32">
        <f>IF(B1791="","",IFERROR(INDEX(Client_List!$J:$J,MATCH(VALUE(B1791),Client_List!$A:$A,0)),""))</f>
        <v/>
      </c>
      <c r="I1791" s="70">
        <f>IF(B1791="","",IFERROR(A1791-LOOKUP(2,1/($B$4:$B1790=B1791),$A$4:$A1790),""))</f>
        <v/>
      </c>
      <c r="J1791" s="32">
        <f>IF(B1791="","",IFERROR(D1791/I1791,""))</f>
        <v/>
      </c>
      <c r="K1791" s="71">
        <f>IF(B1791="","",IFERROR(AVERAGEIFS($J$4:$J1791,$B$4:$B1791,B1791,$J$4:$J1791,"&gt;"&amp;0),""))</f>
        <v/>
      </c>
      <c r="L1791" s="11" t="n"/>
    </row>
    <row r="1792" ht="14" customHeight="1" s="72">
      <c r="A1792" s="80" t="n"/>
      <c r="B1792" s="81" t="n"/>
      <c r="C1792" s="69">
        <f>IF(B1792="","",IFERROR(INDEX(Client_List!$B:$B,MATCH(B1792,Client_List!$A:$A,0)),"⚠ NOT FOUND"))</f>
        <v/>
      </c>
      <c r="D1792" s="45" t="n"/>
      <c r="E1792" s="32">
        <f>IF(B1792="","",IFERROR(INDEX(Client_List!$C:$C,MATCH(VALUE(B1792),Client_List!$A:$A,0)),""))</f>
        <v/>
      </c>
      <c r="F1792" s="53">
        <f>IF(B1792="","",IFERROR(INDEX(Client_List!$D:$D,MATCH(VALUE(B1792),Client_List!$A:$A,0)),""))</f>
        <v/>
      </c>
      <c r="G1792" s="53">
        <f>IF(B1792="","",IFERROR(INDEX(Client_List!$K:$K,MATCH(VALUE(B1792),Client_List!$A:$A,0)),""))</f>
        <v/>
      </c>
      <c r="H1792" s="32">
        <f>IF(B1792="","",IFERROR(INDEX(Client_List!$J:$J,MATCH(VALUE(B1792),Client_List!$A:$A,0)),""))</f>
        <v/>
      </c>
      <c r="I1792" s="70">
        <f>IF(B1792="","",IFERROR(A1792-LOOKUP(2,1/($B$4:$B1791=B1792),$A$4:$A1791),""))</f>
        <v/>
      </c>
      <c r="J1792" s="32">
        <f>IF(B1792="","",IFERROR(D1792/I1792,""))</f>
        <v/>
      </c>
      <c r="K1792" s="71">
        <f>IF(B1792="","",IFERROR(AVERAGEIFS($J$4:$J1792,$B$4:$B1792,B1792,$J$4:$J1792,"&gt;"&amp;0),""))</f>
        <v/>
      </c>
      <c r="L1792" s="12" t="n"/>
    </row>
    <row r="1793" ht="14" customHeight="1" s="72">
      <c r="A1793" s="78" t="n"/>
      <c r="B1793" s="79" t="n"/>
      <c r="C1793" s="69">
        <f>IF(B1793="","",IFERROR(INDEX(Client_List!$B:$B,MATCH(B1793,Client_List!$A:$A,0)),"⚠ NOT FOUND"))</f>
        <v/>
      </c>
      <c r="D1793" s="44" t="n"/>
      <c r="E1793" s="32">
        <f>IF(B1793="","",IFERROR(INDEX(Client_List!$C:$C,MATCH(VALUE(B1793),Client_List!$A:$A,0)),""))</f>
        <v/>
      </c>
      <c r="F1793" s="53">
        <f>IF(B1793="","",IFERROR(INDEX(Client_List!$D:$D,MATCH(VALUE(B1793),Client_List!$A:$A,0)),""))</f>
        <v/>
      </c>
      <c r="G1793" s="53">
        <f>IF(B1793="","",IFERROR(INDEX(Client_List!$K:$K,MATCH(VALUE(B1793),Client_List!$A:$A,0)),""))</f>
        <v/>
      </c>
      <c r="H1793" s="32">
        <f>IF(B1793="","",IFERROR(INDEX(Client_List!$J:$J,MATCH(VALUE(B1793),Client_List!$A:$A,0)),""))</f>
        <v/>
      </c>
      <c r="I1793" s="70">
        <f>IF(B1793="","",IFERROR(A1793-LOOKUP(2,1/($B$4:$B1792=B1793),$A$4:$A1792),""))</f>
        <v/>
      </c>
      <c r="J1793" s="32">
        <f>IF(B1793="","",IFERROR(D1793/I1793,""))</f>
        <v/>
      </c>
      <c r="K1793" s="71">
        <f>IF(B1793="","",IFERROR(AVERAGEIFS($J$4:$J1793,$B$4:$B1793,B1793,$J$4:$J1793,"&gt;"&amp;0),""))</f>
        <v/>
      </c>
      <c r="L1793" s="11" t="n"/>
    </row>
    <row r="1794" ht="14" customHeight="1" s="72">
      <c r="A1794" s="80" t="n"/>
      <c r="B1794" s="81" t="n"/>
      <c r="C1794" s="69">
        <f>IF(B1794="","",IFERROR(INDEX(Client_List!$B:$B,MATCH(B1794,Client_List!$A:$A,0)),"⚠ NOT FOUND"))</f>
        <v/>
      </c>
      <c r="D1794" s="45" t="n"/>
      <c r="E1794" s="32">
        <f>IF(B1794="","",IFERROR(INDEX(Client_List!$C:$C,MATCH(VALUE(B1794),Client_List!$A:$A,0)),""))</f>
        <v/>
      </c>
      <c r="F1794" s="53">
        <f>IF(B1794="","",IFERROR(INDEX(Client_List!$D:$D,MATCH(VALUE(B1794),Client_List!$A:$A,0)),""))</f>
        <v/>
      </c>
      <c r="G1794" s="53">
        <f>IF(B1794="","",IFERROR(INDEX(Client_List!$K:$K,MATCH(VALUE(B1794),Client_List!$A:$A,0)),""))</f>
        <v/>
      </c>
      <c r="H1794" s="32">
        <f>IF(B1794="","",IFERROR(INDEX(Client_List!$J:$J,MATCH(VALUE(B1794),Client_List!$A:$A,0)),""))</f>
        <v/>
      </c>
      <c r="I1794" s="70">
        <f>IF(B1794="","",IFERROR(A1794-LOOKUP(2,1/($B$4:$B1793=B1794),$A$4:$A1793),""))</f>
        <v/>
      </c>
      <c r="J1794" s="32">
        <f>IF(B1794="","",IFERROR(D1794/I1794,""))</f>
        <v/>
      </c>
      <c r="K1794" s="71">
        <f>IF(B1794="","",IFERROR(AVERAGEIFS($J$4:$J1794,$B$4:$B1794,B1794,$J$4:$J1794,"&gt;"&amp;0),""))</f>
        <v/>
      </c>
      <c r="L1794" s="12" t="n"/>
    </row>
    <row r="1795" ht="14" customHeight="1" s="72">
      <c r="A1795" s="78" t="n"/>
      <c r="B1795" s="79" t="n"/>
      <c r="C1795" s="69">
        <f>IF(B1795="","",IFERROR(INDEX(Client_List!$B:$B,MATCH(B1795,Client_List!$A:$A,0)),"⚠ NOT FOUND"))</f>
        <v/>
      </c>
      <c r="D1795" s="44" t="n"/>
      <c r="E1795" s="32">
        <f>IF(B1795="","",IFERROR(INDEX(Client_List!$C:$C,MATCH(VALUE(B1795),Client_List!$A:$A,0)),""))</f>
        <v/>
      </c>
      <c r="F1795" s="53">
        <f>IF(B1795="","",IFERROR(INDEX(Client_List!$D:$D,MATCH(VALUE(B1795),Client_List!$A:$A,0)),""))</f>
        <v/>
      </c>
      <c r="G1795" s="53">
        <f>IF(B1795="","",IFERROR(INDEX(Client_List!$K:$K,MATCH(VALUE(B1795),Client_List!$A:$A,0)),""))</f>
        <v/>
      </c>
      <c r="H1795" s="32">
        <f>IF(B1795="","",IFERROR(INDEX(Client_List!$J:$J,MATCH(VALUE(B1795),Client_List!$A:$A,0)),""))</f>
        <v/>
      </c>
      <c r="I1795" s="70">
        <f>IF(B1795="","",IFERROR(A1795-LOOKUP(2,1/($B$4:$B1794=B1795),$A$4:$A1794),""))</f>
        <v/>
      </c>
      <c r="J1795" s="32">
        <f>IF(B1795="","",IFERROR(D1795/I1795,""))</f>
        <v/>
      </c>
      <c r="K1795" s="71">
        <f>IF(B1795="","",IFERROR(AVERAGEIFS($J$4:$J1795,$B$4:$B1795,B1795,$J$4:$J1795,"&gt;"&amp;0),""))</f>
        <v/>
      </c>
      <c r="L1795" s="11" t="n"/>
    </row>
    <row r="1796" ht="14" customHeight="1" s="72">
      <c r="A1796" s="80" t="n"/>
      <c r="B1796" s="81" t="n"/>
      <c r="C1796" s="69">
        <f>IF(B1796="","",IFERROR(INDEX(Client_List!$B:$B,MATCH(B1796,Client_List!$A:$A,0)),"⚠ NOT FOUND"))</f>
        <v/>
      </c>
      <c r="D1796" s="45" t="n"/>
      <c r="E1796" s="32">
        <f>IF(B1796="","",IFERROR(INDEX(Client_List!$C:$C,MATCH(VALUE(B1796),Client_List!$A:$A,0)),""))</f>
        <v/>
      </c>
      <c r="F1796" s="53">
        <f>IF(B1796="","",IFERROR(INDEX(Client_List!$D:$D,MATCH(VALUE(B1796),Client_List!$A:$A,0)),""))</f>
        <v/>
      </c>
      <c r="G1796" s="53">
        <f>IF(B1796="","",IFERROR(INDEX(Client_List!$K:$K,MATCH(VALUE(B1796),Client_List!$A:$A,0)),""))</f>
        <v/>
      </c>
      <c r="H1796" s="32">
        <f>IF(B1796="","",IFERROR(INDEX(Client_List!$J:$J,MATCH(VALUE(B1796),Client_List!$A:$A,0)),""))</f>
        <v/>
      </c>
      <c r="I1796" s="70">
        <f>IF(B1796="","",IFERROR(A1796-LOOKUP(2,1/($B$4:$B1795=B1796),$A$4:$A1795),""))</f>
        <v/>
      </c>
      <c r="J1796" s="32">
        <f>IF(B1796="","",IFERROR(D1796/I1796,""))</f>
        <v/>
      </c>
      <c r="K1796" s="71">
        <f>IF(B1796="","",IFERROR(AVERAGEIFS($J$4:$J1796,$B$4:$B1796,B1796,$J$4:$J1796,"&gt;"&amp;0),""))</f>
        <v/>
      </c>
      <c r="L1796" s="12" t="n"/>
    </row>
    <row r="1797" ht="14" customHeight="1" s="72">
      <c r="A1797" s="78" t="n"/>
      <c r="B1797" s="79" t="n"/>
      <c r="C1797" s="69">
        <f>IF(B1797="","",IFERROR(INDEX(Client_List!$B:$B,MATCH(B1797,Client_List!$A:$A,0)),"⚠ NOT FOUND"))</f>
        <v/>
      </c>
      <c r="D1797" s="44" t="n"/>
      <c r="E1797" s="32">
        <f>IF(B1797="","",IFERROR(INDEX(Client_List!$C:$C,MATCH(VALUE(B1797),Client_List!$A:$A,0)),""))</f>
        <v/>
      </c>
      <c r="F1797" s="53">
        <f>IF(B1797="","",IFERROR(INDEX(Client_List!$D:$D,MATCH(VALUE(B1797),Client_List!$A:$A,0)),""))</f>
        <v/>
      </c>
      <c r="G1797" s="53">
        <f>IF(B1797="","",IFERROR(INDEX(Client_List!$K:$K,MATCH(VALUE(B1797),Client_List!$A:$A,0)),""))</f>
        <v/>
      </c>
      <c r="H1797" s="32">
        <f>IF(B1797="","",IFERROR(INDEX(Client_List!$J:$J,MATCH(VALUE(B1797),Client_List!$A:$A,0)),""))</f>
        <v/>
      </c>
      <c r="I1797" s="70">
        <f>IF(B1797="","",IFERROR(A1797-LOOKUP(2,1/($B$4:$B1796=B1797),$A$4:$A1796),""))</f>
        <v/>
      </c>
      <c r="J1797" s="32">
        <f>IF(B1797="","",IFERROR(D1797/I1797,""))</f>
        <v/>
      </c>
      <c r="K1797" s="71">
        <f>IF(B1797="","",IFERROR(AVERAGEIFS($J$4:$J1797,$B$4:$B1797,B1797,$J$4:$J1797,"&gt;"&amp;0),""))</f>
        <v/>
      </c>
      <c r="L1797" s="11" t="n"/>
    </row>
    <row r="1798" ht="14" customHeight="1" s="72">
      <c r="A1798" s="80" t="n"/>
      <c r="B1798" s="81" t="n"/>
      <c r="C1798" s="69">
        <f>IF(B1798="","",IFERROR(INDEX(Client_List!$B:$B,MATCH(B1798,Client_List!$A:$A,0)),"⚠ NOT FOUND"))</f>
        <v/>
      </c>
      <c r="D1798" s="45" t="n"/>
      <c r="E1798" s="32">
        <f>IF(B1798="","",IFERROR(INDEX(Client_List!$C:$C,MATCH(VALUE(B1798),Client_List!$A:$A,0)),""))</f>
        <v/>
      </c>
      <c r="F1798" s="53">
        <f>IF(B1798="","",IFERROR(INDEX(Client_List!$D:$D,MATCH(VALUE(B1798),Client_List!$A:$A,0)),""))</f>
        <v/>
      </c>
      <c r="G1798" s="53">
        <f>IF(B1798="","",IFERROR(INDEX(Client_List!$K:$K,MATCH(VALUE(B1798),Client_List!$A:$A,0)),""))</f>
        <v/>
      </c>
      <c r="H1798" s="32">
        <f>IF(B1798="","",IFERROR(INDEX(Client_List!$J:$J,MATCH(VALUE(B1798),Client_List!$A:$A,0)),""))</f>
        <v/>
      </c>
      <c r="I1798" s="70">
        <f>IF(B1798="","",IFERROR(A1798-LOOKUP(2,1/($B$4:$B1797=B1798),$A$4:$A1797),""))</f>
        <v/>
      </c>
      <c r="J1798" s="32">
        <f>IF(B1798="","",IFERROR(D1798/I1798,""))</f>
        <v/>
      </c>
      <c r="K1798" s="71">
        <f>IF(B1798="","",IFERROR(AVERAGEIFS($J$4:$J1798,$B$4:$B1798,B1798,$J$4:$J1798,"&gt;"&amp;0),""))</f>
        <v/>
      </c>
      <c r="L1798" s="12" t="n"/>
    </row>
    <row r="1799" ht="14" customHeight="1" s="72">
      <c r="A1799" s="78" t="n"/>
      <c r="B1799" s="79" t="n"/>
      <c r="C1799" s="69">
        <f>IF(B1799="","",IFERROR(INDEX(Client_List!$B:$B,MATCH(B1799,Client_List!$A:$A,0)),"⚠ NOT FOUND"))</f>
        <v/>
      </c>
      <c r="D1799" s="44" t="n"/>
      <c r="E1799" s="32">
        <f>IF(B1799="","",IFERROR(INDEX(Client_List!$C:$C,MATCH(VALUE(B1799),Client_List!$A:$A,0)),""))</f>
        <v/>
      </c>
      <c r="F1799" s="53">
        <f>IF(B1799="","",IFERROR(INDEX(Client_List!$D:$D,MATCH(VALUE(B1799),Client_List!$A:$A,0)),""))</f>
        <v/>
      </c>
      <c r="G1799" s="53">
        <f>IF(B1799="","",IFERROR(INDEX(Client_List!$K:$K,MATCH(VALUE(B1799),Client_List!$A:$A,0)),""))</f>
        <v/>
      </c>
      <c r="H1799" s="32">
        <f>IF(B1799="","",IFERROR(INDEX(Client_List!$J:$J,MATCH(VALUE(B1799),Client_List!$A:$A,0)),""))</f>
        <v/>
      </c>
      <c r="I1799" s="70">
        <f>IF(B1799="","",IFERROR(A1799-LOOKUP(2,1/($B$4:$B1798=B1799),$A$4:$A1798),""))</f>
        <v/>
      </c>
      <c r="J1799" s="32">
        <f>IF(B1799="","",IFERROR(D1799/I1799,""))</f>
        <v/>
      </c>
      <c r="K1799" s="71">
        <f>IF(B1799="","",IFERROR(AVERAGEIFS($J$4:$J1799,$B$4:$B1799,B1799,$J$4:$J1799,"&gt;"&amp;0),""))</f>
        <v/>
      </c>
      <c r="L1799" s="11" t="n"/>
    </row>
    <row r="1800" ht="14" customHeight="1" s="72">
      <c r="A1800" s="80" t="n"/>
      <c r="B1800" s="81" t="n"/>
      <c r="C1800" s="69">
        <f>IF(B1800="","",IFERROR(INDEX(Client_List!$B:$B,MATCH(B1800,Client_List!$A:$A,0)),"⚠ NOT FOUND"))</f>
        <v/>
      </c>
      <c r="D1800" s="45" t="n"/>
      <c r="E1800" s="32">
        <f>IF(B1800="","",IFERROR(INDEX(Client_List!$C:$C,MATCH(VALUE(B1800),Client_List!$A:$A,0)),""))</f>
        <v/>
      </c>
      <c r="F1800" s="53">
        <f>IF(B1800="","",IFERROR(INDEX(Client_List!$D:$D,MATCH(VALUE(B1800),Client_List!$A:$A,0)),""))</f>
        <v/>
      </c>
      <c r="G1800" s="53">
        <f>IF(B1800="","",IFERROR(INDEX(Client_List!$K:$K,MATCH(VALUE(B1800),Client_List!$A:$A,0)),""))</f>
        <v/>
      </c>
      <c r="H1800" s="32">
        <f>IF(B1800="","",IFERROR(INDEX(Client_List!$J:$J,MATCH(VALUE(B1800),Client_List!$A:$A,0)),""))</f>
        <v/>
      </c>
      <c r="I1800" s="70">
        <f>IF(B1800="","",IFERROR(A1800-LOOKUP(2,1/($B$4:$B1799=B1800),$A$4:$A1799),""))</f>
        <v/>
      </c>
      <c r="J1800" s="32">
        <f>IF(B1800="","",IFERROR(D1800/I1800,""))</f>
        <v/>
      </c>
      <c r="K1800" s="71">
        <f>IF(B1800="","",IFERROR(AVERAGEIFS($J$4:$J1800,$B$4:$B1800,B1800,$J$4:$J1800,"&gt;"&amp;0),""))</f>
        <v/>
      </c>
      <c r="L1800" s="12" t="n"/>
    </row>
    <row r="1801" ht="14" customHeight="1" s="72">
      <c r="A1801" s="78" t="n"/>
      <c r="B1801" s="79" t="n"/>
      <c r="C1801" s="69">
        <f>IF(B1801="","",IFERROR(INDEX(Client_List!$B:$B,MATCH(B1801,Client_List!$A:$A,0)),"⚠ NOT FOUND"))</f>
        <v/>
      </c>
      <c r="D1801" s="44" t="n"/>
      <c r="E1801" s="32">
        <f>IF(B1801="","",IFERROR(INDEX(Client_List!$C:$C,MATCH(VALUE(B1801),Client_List!$A:$A,0)),""))</f>
        <v/>
      </c>
      <c r="F1801" s="53">
        <f>IF(B1801="","",IFERROR(INDEX(Client_List!$D:$D,MATCH(VALUE(B1801),Client_List!$A:$A,0)),""))</f>
        <v/>
      </c>
      <c r="G1801" s="53">
        <f>IF(B1801="","",IFERROR(INDEX(Client_List!$K:$K,MATCH(VALUE(B1801),Client_List!$A:$A,0)),""))</f>
        <v/>
      </c>
      <c r="H1801" s="32">
        <f>IF(B1801="","",IFERROR(INDEX(Client_List!$J:$J,MATCH(VALUE(B1801),Client_List!$A:$A,0)),""))</f>
        <v/>
      </c>
      <c r="I1801" s="70">
        <f>IF(B1801="","",IFERROR(A1801-LOOKUP(2,1/($B$4:$B1800=B1801),$A$4:$A1800),""))</f>
        <v/>
      </c>
      <c r="J1801" s="32">
        <f>IF(B1801="","",IFERROR(D1801/I1801,""))</f>
        <v/>
      </c>
      <c r="K1801" s="71">
        <f>IF(B1801="","",IFERROR(AVERAGEIFS($J$4:$J1801,$B$4:$B1801,B1801,$J$4:$J1801,"&gt;"&amp;0),""))</f>
        <v/>
      </c>
      <c r="L1801" s="11" t="n"/>
    </row>
    <row r="1802" ht="14" customHeight="1" s="72">
      <c r="A1802" s="80" t="n"/>
      <c r="B1802" s="81" t="n"/>
      <c r="C1802" s="69">
        <f>IF(B1802="","",IFERROR(INDEX(Client_List!$B:$B,MATCH(B1802,Client_List!$A:$A,0)),"⚠ NOT FOUND"))</f>
        <v/>
      </c>
      <c r="D1802" s="45" t="n"/>
      <c r="E1802" s="32">
        <f>IF(B1802="","",IFERROR(INDEX(Client_List!$C:$C,MATCH(VALUE(B1802),Client_List!$A:$A,0)),""))</f>
        <v/>
      </c>
      <c r="F1802" s="53">
        <f>IF(B1802="","",IFERROR(INDEX(Client_List!$D:$D,MATCH(VALUE(B1802),Client_List!$A:$A,0)),""))</f>
        <v/>
      </c>
      <c r="G1802" s="53">
        <f>IF(B1802="","",IFERROR(INDEX(Client_List!$K:$K,MATCH(VALUE(B1802),Client_List!$A:$A,0)),""))</f>
        <v/>
      </c>
      <c r="H1802" s="32">
        <f>IF(B1802="","",IFERROR(INDEX(Client_List!$J:$J,MATCH(VALUE(B1802),Client_List!$A:$A,0)),""))</f>
        <v/>
      </c>
      <c r="I1802" s="70">
        <f>IF(B1802="","",IFERROR(A1802-LOOKUP(2,1/($B$4:$B1801=B1802),$A$4:$A1801),""))</f>
        <v/>
      </c>
      <c r="J1802" s="32">
        <f>IF(B1802="","",IFERROR(D1802/I1802,""))</f>
        <v/>
      </c>
      <c r="K1802" s="71">
        <f>IF(B1802="","",IFERROR(AVERAGEIFS($J$4:$J1802,$B$4:$B1802,B1802,$J$4:$J1802,"&gt;"&amp;0),""))</f>
        <v/>
      </c>
      <c r="L1802" s="12" t="n"/>
    </row>
    <row r="1803" ht="14" customHeight="1" s="72">
      <c r="A1803" s="78" t="n"/>
      <c r="B1803" s="79" t="n"/>
      <c r="C1803" s="69">
        <f>IF(B1803="","",IFERROR(INDEX(Client_List!$B:$B,MATCH(B1803,Client_List!$A:$A,0)),"⚠ NOT FOUND"))</f>
        <v/>
      </c>
      <c r="D1803" s="44" t="n"/>
      <c r="E1803" s="32">
        <f>IF(B1803="","",IFERROR(INDEX(Client_List!$C:$C,MATCH(VALUE(B1803),Client_List!$A:$A,0)),""))</f>
        <v/>
      </c>
      <c r="F1803" s="53">
        <f>IF(B1803="","",IFERROR(INDEX(Client_List!$D:$D,MATCH(VALUE(B1803),Client_List!$A:$A,0)),""))</f>
        <v/>
      </c>
      <c r="G1803" s="53">
        <f>IF(B1803="","",IFERROR(INDEX(Client_List!$K:$K,MATCH(VALUE(B1803),Client_List!$A:$A,0)),""))</f>
        <v/>
      </c>
      <c r="H1803" s="32">
        <f>IF(B1803="","",IFERROR(INDEX(Client_List!$J:$J,MATCH(VALUE(B1803),Client_List!$A:$A,0)),""))</f>
        <v/>
      </c>
      <c r="I1803" s="70">
        <f>IF(B1803="","",IFERROR(A1803-LOOKUP(2,1/($B$4:$B1802=B1803),$A$4:$A1802),""))</f>
        <v/>
      </c>
      <c r="J1803" s="32">
        <f>IF(B1803="","",IFERROR(D1803/I1803,""))</f>
        <v/>
      </c>
      <c r="K1803" s="71">
        <f>IF(B1803="","",IFERROR(AVERAGEIFS($J$4:$J1803,$B$4:$B1803,B1803,$J$4:$J1803,"&gt;"&amp;0),""))</f>
        <v/>
      </c>
      <c r="L1803" s="11" t="n"/>
    </row>
    <row r="1804" ht="14" customHeight="1" s="72">
      <c r="A1804" s="80" t="n"/>
      <c r="B1804" s="81" t="n"/>
      <c r="C1804" s="69">
        <f>IF(B1804="","",IFERROR(INDEX(Client_List!$B:$B,MATCH(B1804,Client_List!$A:$A,0)),"⚠ NOT FOUND"))</f>
        <v/>
      </c>
      <c r="D1804" s="45" t="n"/>
      <c r="E1804" s="32">
        <f>IF(B1804="","",IFERROR(INDEX(Client_List!$C:$C,MATCH(VALUE(B1804),Client_List!$A:$A,0)),""))</f>
        <v/>
      </c>
      <c r="F1804" s="53">
        <f>IF(B1804="","",IFERROR(INDEX(Client_List!$D:$D,MATCH(VALUE(B1804),Client_List!$A:$A,0)),""))</f>
        <v/>
      </c>
      <c r="G1804" s="53">
        <f>IF(B1804="","",IFERROR(INDEX(Client_List!$K:$K,MATCH(VALUE(B1804),Client_List!$A:$A,0)),""))</f>
        <v/>
      </c>
      <c r="H1804" s="32">
        <f>IF(B1804="","",IFERROR(INDEX(Client_List!$J:$J,MATCH(VALUE(B1804),Client_List!$A:$A,0)),""))</f>
        <v/>
      </c>
      <c r="I1804" s="70">
        <f>IF(B1804="","",IFERROR(A1804-LOOKUP(2,1/($B$4:$B1803=B1804),$A$4:$A1803),""))</f>
        <v/>
      </c>
      <c r="J1804" s="32">
        <f>IF(B1804="","",IFERROR(D1804/I1804,""))</f>
        <v/>
      </c>
      <c r="K1804" s="71">
        <f>IF(B1804="","",IFERROR(AVERAGEIFS($J$4:$J1804,$B$4:$B1804,B1804,$J$4:$J1804,"&gt;"&amp;0),""))</f>
        <v/>
      </c>
      <c r="L1804" s="12" t="n"/>
    </row>
    <row r="1805" ht="14" customHeight="1" s="72">
      <c r="A1805" s="78" t="n"/>
      <c r="B1805" s="79" t="n"/>
      <c r="C1805" s="69">
        <f>IF(B1805="","",IFERROR(INDEX(Client_List!$B:$B,MATCH(B1805,Client_List!$A:$A,0)),"⚠ NOT FOUND"))</f>
        <v/>
      </c>
      <c r="D1805" s="44" t="n"/>
      <c r="E1805" s="32">
        <f>IF(B1805="","",IFERROR(INDEX(Client_List!$C:$C,MATCH(VALUE(B1805),Client_List!$A:$A,0)),""))</f>
        <v/>
      </c>
      <c r="F1805" s="53">
        <f>IF(B1805="","",IFERROR(INDEX(Client_List!$D:$D,MATCH(VALUE(B1805),Client_List!$A:$A,0)),""))</f>
        <v/>
      </c>
      <c r="G1805" s="53">
        <f>IF(B1805="","",IFERROR(INDEX(Client_List!$K:$K,MATCH(VALUE(B1805),Client_List!$A:$A,0)),""))</f>
        <v/>
      </c>
      <c r="H1805" s="32">
        <f>IF(B1805="","",IFERROR(INDEX(Client_List!$J:$J,MATCH(VALUE(B1805),Client_List!$A:$A,0)),""))</f>
        <v/>
      </c>
      <c r="I1805" s="70">
        <f>IF(B1805="","",IFERROR(A1805-LOOKUP(2,1/($B$4:$B1804=B1805),$A$4:$A1804),""))</f>
        <v/>
      </c>
      <c r="J1805" s="32">
        <f>IF(B1805="","",IFERROR(D1805/I1805,""))</f>
        <v/>
      </c>
      <c r="K1805" s="71">
        <f>IF(B1805="","",IFERROR(AVERAGEIFS($J$4:$J1805,$B$4:$B1805,B1805,$J$4:$J1805,"&gt;"&amp;0),""))</f>
        <v/>
      </c>
      <c r="L1805" s="11" t="n"/>
    </row>
    <row r="1806" ht="14" customHeight="1" s="72">
      <c r="A1806" s="80" t="n"/>
      <c r="B1806" s="81" t="n"/>
      <c r="C1806" s="69">
        <f>IF(B1806="","",IFERROR(INDEX(Client_List!$B:$B,MATCH(B1806,Client_List!$A:$A,0)),"⚠ NOT FOUND"))</f>
        <v/>
      </c>
      <c r="D1806" s="45" t="n"/>
      <c r="E1806" s="32">
        <f>IF(B1806="","",IFERROR(INDEX(Client_List!$C:$C,MATCH(VALUE(B1806),Client_List!$A:$A,0)),""))</f>
        <v/>
      </c>
      <c r="F1806" s="53">
        <f>IF(B1806="","",IFERROR(INDEX(Client_List!$D:$D,MATCH(VALUE(B1806),Client_List!$A:$A,0)),""))</f>
        <v/>
      </c>
      <c r="G1806" s="53">
        <f>IF(B1806="","",IFERROR(INDEX(Client_List!$K:$K,MATCH(VALUE(B1806),Client_List!$A:$A,0)),""))</f>
        <v/>
      </c>
      <c r="H1806" s="32">
        <f>IF(B1806="","",IFERROR(INDEX(Client_List!$J:$J,MATCH(VALUE(B1806),Client_List!$A:$A,0)),""))</f>
        <v/>
      </c>
      <c r="I1806" s="70">
        <f>IF(B1806="","",IFERROR(A1806-LOOKUP(2,1/($B$4:$B1805=B1806),$A$4:$A1805),""))</f>
        <v/>
      </c>
      <c r="J1806" s="32">
        <f>IF(B1806="","",IFERROR(D1806/I1806,""))</f>
        <v/>
      </c>
      <c r="K1806" s="71">
        <f>IF(B1806="","",IFERROR(AVERAGEIFS($J$4:$J1806,$B$4:$B1806,B1806,$J$4:$J1806,"&gt;"&amp;0),""))</f>
        <v/>
      </c>
      <c r="L1806" s="12" t="n"/>
    </row>
    <row r="1807" ht="14" customHeight="1" s="72">
      <c r="A1807" s="78" t="n"/>
      <c r="B1807" s="79" t="n"/>
      <c r="C1807" s="69">
        <f>IF(B1807="","",IFERROR(INDEX(Client_List!$B:$B,MATCH(B1807,Client_List!$A:$A,0)),"⚠ NOT FOUND"))</f>
        <v/>
      </c>
      <c r="D1807" s="44" t="n"/>
      <c r="E1807" s="32">
        <f>IF(B1807="","",IFERROR(INDEX(Client_List!$C:$C,MATCH(VALUE(B1807),Client_List!$A:$A,0)),""))</f>
        <v/>
      </c>
      <c r="F1807" s="53">
        <f>IF(B1807="","",IFERROR(INDEX(Client_List!$D:$D,MATCH(VALUE(B1807),Client_List!$A:$A,0)),""))</f>
        <v/>
      </c>
      <c r="G1807" s="53">
        <f>IF(B1807="","",IFERROR(INDEX(Client_List!$K:$K,MATCH(VALUE(B1807),Client_List!$A:$A,0)),""))</f>
        <v/>
      </c>
      <c r="H1807" s="32">
        <f>IF(B1807="","",IFERROR(INDEX(Client_List!$J:$J,MATCH(VALUE(B1807),Client_List!$A:$A,0)),""))</f>
        <v/>
      </c>
      <c r="I1807" s="70">
        <f>IF(B1807="","",IFERROR(A1807-LOOKUP(2,1/($B$4:$B1806=B1807),$A$4:$A1806),""))</f>
        <v/>
      </c>
      <c r="J1807" s="32">
        <f>IF(B1807="","",IFERROR(D1807/I1807,""))</f>
        <v/>
      </c>
      <c r="K1807" s="71">
        <f>IF(B1807="","",IFERROR(AVERAGEIFS($J$4:$J1807,$B$4:$B1807,B1807,$J$4:$J1807,"&gt;"&amp;0),""))</f>
        <v/>
      </c>
      <c r="L1807" s="11" t="n"/>
    </row>
    <row r="1808" ht="14" customHeight="1" s="72">
      <c r="A1808" s="80" t="n"/>
      <c r="B1808" s="81" t="n"/>
      <c r="C1808" s="69">
        <f>IF(B1808="","",IFERROR(INDEX(Client_List!$B:$B,MATCH(B1808,Client_List!$A:$A,0)),"⚠ NOT FOUND"))</f>
        <v/>
      </c>
      <c r="D1808" s="45" t="n"/>
      <c r="E1808" s="32">
        <f>IF(B1808="","",IFERROR(INDEX(Client_List!$C:$C,MATCH(VALUE(B1808),Client_List!$A:$A,0)),""))</f>
        <v/>
      </c>
      <c r="F1808" s="53">
        <f>IF(B1808="","",IFERROR(INDEX(Client_List!$D:$D,MATCH(VALUE(B1808),Client_List!$A:$A,0)),""))</f>
        <v/>
      </c>
      <c r="G1808" s="53">
        <f>IF(B1808="","",IFERROR(INDEX(Client_List!$K:$K,MATCH(VALUE(B1808),Client_List!$A:$A,0)),""))</f>
        <v/>
      </c>
      <c r="H1808" s="32">
        <f>IF(B1808="","",IFERROR(INDEX(Client_List!$J:$J,MATCH(VALUE(B1808),Client_List!$A:$A,0)),""))</f>
        <v/>
      </c>
      <c r="I1808" s="70">
        <f>IF(B1808="","",IFERROR(A1808-LOOKUP(2,1/($B$4:$B1807=B1808),$A$4:$A1807),""))</f>
        <v/>
      </c>
      <c r="J1808" s="32">
        <f>IF(B1808="","",IFERROR(D1808/I1808,""))</f>
        <v/>
      </c>
      <c r="K1808" s="71">
        <f>IF(B1808="","",IFERROR(AVERAGEIFS($J$4:$J1808,$B$4:$B1808,B1808,$J$4:$J1808,"&gt;"&amp;0),""))</f>
        <v/>
      </c>
      <c r="L1808" s="12" t="n"/>
    </row>
    <row r="1809" ht="14" customHeight="1" s="72">
      <c r="A1809" s="78" t="n"/>
      <c r="B1809" s="79" t="n"/>
      <c r="C1809" s="69">
        <f>IF(B1809="","",IFERROR(INDEX(Client_List!$B:$B,MATCH(B1809,Client_List!$A:$A,0)),"⚠ NOT FOUND"))</f>
        <v/>
      </c>
      <c r="D1809" s="44" t="n"/>
      <c r="E1809" s="32">
        <f>IF(B1809="","",IFERROR(INDEX(Client_List!$C:$C,MATCH(VALUE(B1809),Client_List!$A:$A,0)),""))</f>
        <v/>
      </c>
      <c r="F1809" s="53">
        <f>IF(B1809="","",IFERROR(INDEX(Client_List!$D:$D,MATCH(VALUE(B1809),Client_List!$A:$A,0)),""))</f>
        <v/>
      </c>
      <c r="G1809" s="53">
        <f>IF(B1809="","",IFERROR(INDEX(Client_List!$K:$K,MATCH(VALUE(B1809),Client_List!$A:$A,0)),""))</f>
        <v/>
      </c>
      <c r="H1809" s="32">
        <f>IF(B1809="","",IFERROR(INDEX(Client_List!$J:$J,MATCH(VALUE(B1809),Client_List!$A:$A,0)),""))</f>
        <v/>
      </c>
      <c r="I1809" s="70">
        <f>IF(B1809="","",IFERROR(A1809-LOOKUP(2,1/($B$4:$B1808=B1809),$A$4:$A1808),""))</f>
        <v/>
      </c>
      <c r="J1809" s="32">
        <f>IF(B1809="","",IFERROR(D1809/I1809,""))</f>
        <v/>
      </c>
      <c r="K1809" s="71">
        <f>IF(B1809="","",IFERROR(AVERAGEIFS($J$4:$J1809,$B$4:$B1809,B1809,$J$4:$J1809,"&gt;"&amp;0),""))</f>
        <v/>
      </c>
      <c r="L1809" s="11" t="n"/>
    </row>
    <row r="1810" ht="14" customHeight="1" s="72">
      <c r="A1810" s="80" t="n"/>
      <c r="B1810" s="81" t="n"/>
      <c r="C1810" s="69">
        <f>IF(B1810="","",IFERROR(INDEX(Client_List!$B:$B,MATCH(B1810,Client_List!$A:$A,0)),"⚠ NOT FOUND"))</f>
        <v/>
      </c>
      <c r="D1810" s="45" t="n"/>
      <c r="E1810" s="32">
        <f>IF(B1810="","",IFERROR(INDEX(Client_List!$C:$C,MATCH(VALUE(B1810),Client_List!$A:$A,0)),""))</f>
        <v/>
      </c>
      <c r="F1810" s="53">
        <f>IF(B1810="","",IFERROR(INDEX(Client_List!$D:$D,MATCH(VALUE(B1810),Client_List!$A:$A,0)),""))</f>
        <v/>
      </c>
      <c r="G1810" s="53">
        <f>IF(B1810="","",IFERROR(INDEX(Client_List!$K:$K,MATCH(VALUE(B1810),Client_List!$A:$A,0)),""))</f>
        <v/>
      </c>
      <c r="H1810" s="32">
        <f>IF(B1810="","",IFERROR(INDEX(Client_List!$J:$J,MATCH(VALUE(B1810),Client_List!$A:$A,0)),""))</f>
        <v/>
      </c>
      <c r="I1810" s="70">
        <f>IF(B1810="","",IFERROR(A1810-LOOKUP(2,1/($B$4:$B1809=B1810),$A$4:$A1809),""))</f>
        <v/>
      </c>
      <c r="J1810" s="32">
        <f>IF(B1810="","",IFERROR(D1810/I1810,""))</f>
        <v/>
      </c>
      <c r="K1810" s="71">
        <f>IF(B1810="","",IFERROR(AVERAGEIFS($J$4:$J1810,$B$4:$B1810,B1810,$J$4:$J1810,"&gt;"&amp;0),""))</f>
        <v/>
      </c>
      <c r="L1810" s="12" t="n"/>
    </row>
    <row r="1811" ht="14" customHeight="1" s="72">
      <c r="A1811" s="78" t="n"/>
      <c r="B1811" s="79" t="n"/>
      <c r="C1811" s="69">
        <f>IF(B1811="","",IFERROR(INDEX(Client_List!$B:$B,MATCH(B1811,Client_List!$A:$A,0)),"⚠ NOT FOUND"))</f>
        <v/>
      </c>
      <c r="D1811" s="44" t="n"/>
      <c r="E1811" s="32">
        <f>IF(B1811="","",IFERROR(INDEX(Client_List!$C:$C,MATCH(VALUE(B1811),Client_List!$A:$A,0)),""))</f>
        <v/>
      </c>
      <c r="F1811" s="53">
        <f>IF(B1811="","",IFERROR(INDEX(Client_List!$D:$D,MATCH(VALUE(B1811),Client_List!$A:$A,0)),""))</f>
        <v/>
      </c>
      <c r="G1811" s="53">
        <f>IF(B1811="","",IFERROR(INDEX(Client_List!$K:$K,MATCH(VALUE(B1811),Client_List!$A:$A,0)),""))</f>
        <v/>
      </c>
      <c r="H1811" s="32">
        <f>IF(B1811="","",IFERROR(INDEX(Client_List!$J:$J,MATCH(VALUE(B1811),Client_List!$A:$A,0)),""))</f>
        <v/>
      </c>
      <c r="I1811" s="70">
        <f>IF(B1811="","",IFERROR(A1811-LOOKUP(2,1/($B$4:$B1810=B1811),$A$4:$A1810),""))</f>
        <v/>
      </c>
      <c r="J1811" s="32">
        <f>IF(B1811="","",IFERROR(D1811/I1811,""))</f>
        <v/>
      </c>
      <c r="K1811" s="71">
        <f>IF(B1811="","",IFERROR(AVERAGEIFS($J$4:$J1811,$B$4:$B1811,B1811,$J$4:$J1811,"&gt;"&amp;0),""))</f>
        <v/>
      </c>
      <c r="L1811" s="11" t="n"/>
    </row>
    <row r="1812" ht="14" customHeight="1" s="72">
      <c r="A1812" s="80" t="n"/>
      <c r="B1812" s="81" t="n"/>
      <c r="C1812" s="69">
        <f>IF(B1812="","",IFERROR(INDEX(Client_List!$B:$B,MATCH(B1812,Client_List!$A:$A,0)),"⚠ NOT FOUND"))</f>
        <v/>
      </c>
      <c r="D1812" s="45" t="n"/>
      <c r="E1812" s="32">
        <f>IF(B1812="","",IFERROR(INDEX(Client_List!$C:$C,MATCH(VALUE(B1812),Client_List!$A:$A,0)),""))</f>
        <v/>
      </c>
      <c r="F1812" s="53">
        <f>IF(B1812="","",IFERROR(INDEX(Client_List!$D:$D,MATCH(VALUE(B1812),Client_List!$A:$A,0)),""))</f>
        <v/>
      </c>
      <c r="G1812" s="53">
        <f>IF(B1812="","",IFERROR(INDEX(Client_List!$K:$K,MATCH(VALUE(B1812),Client_List!$A:$A,0)),""))</f>
        <v/>
      </c>
      <c r="H1812" s="32">
        <f>IF(B1812="","",IFERROR(INDEX(Client_List!$J:$J,MATCH(VALUE(B1812),Client_List!$A:$A,0)),""))</f>
        <v/>
      </c>
      <c r="I1812" s="70">
        <f>IF(B1812="","",IFERROR(A1812-LOOKUP(2,1/($B$4:$B1811=B1812),$A$4:$A1811),""))</f>
        <v/>
      </c>
      <c r="J1812" s="32">
        <f>IF(B1812="","",IFERROR(D1812/I1812,""))</f>
        <v/>
      </c>
      <c r="K1812" s="71">
        <f>IF(B1812="","",IFERROR(AVERAGEIFS($J$4:$J1812,$B$4:$B1812,B1812,$J$4:$J1812,"&gt;"&amp;0),""))</f>
        <v/>
      </c>
      <c r="L1812" s="12" t="n"/>
    </row>
    <row r="1813" ht="14" customHeight="1" s="72">
      <c r="A1813" s="78" t="n"/>
      <c r="B1813" s="79" t="n"/>
      <c r="C1813" s="69">
        <f>IF(B1813="","",IFERROR(INDEX(Client_List!$B:$B,MATCH(B1813,Client_List!$A:$A,0)),"⚠ NOT FOUND"))</f>
        <v/>
      </c>
      <c r="D1813" s="44" t="n"/>
      <c r="E1813" s="32">
        <f>IF(B1813="","",IFERROR(INDEX(Client_List!$C:$C,MATCH(VALUE(B1813),Client_List!$A:$A,0)),""))</f>
        <v/>
      </c>
      <c r="F1813" s="53">
        <f>IF(B1813="","",IFERROR(INDEX(Client_List!$D:$D,MATCH(VALUE(B1813),Client_List!$A:$A,0)),""))</f>
        <v/>
      </c>
      <c r="G1813" s="53">
        <f>IF(B1813="","",IFERROR(INDEX(Client_List!$K:$K,MATCH(VALUE(B1813),Client_List!$A:$A,0)),""))</f>
        <v/>
      </c>
      <c r="H1813" s="32">
        <f>IF(B1813="","",IFERROR(INDEX(Client_List!$J:$J,MATCH(VALUE(B1813),Client_List!$A:$A,0)),""))</f>
        <v/>
      </c>
      <c r="I1813" s="70">
        <f>IF(B1813="","",IFERROR(A1813-LOOKUP(2,1/($B$4:$B1812=B1813),$A$4:$A1812),""))</f>
        <v/>
      </c>
      <c r="J1813" s="32">
        <f>IF(B1813="","",IFERROR(D1813/I1813,""))</f>
        <v/>
      </c>
      <c r="K1813" s="71">
        <f>IF(B1813="","",IFERROR(AVERAGEIFS($J$4:$J1813,$B$4:$B1813,B1813,$J$4:$J1813,"&gt;"&amp;0),""))</f>
        <v/>
      </c>
      <c r="L1813" s="11" t="n"/>
    </row>
    <row r="1814" ht="14" customHeight="1" s="72">
      <c r="A1814" s="80" t="n"/>
      <c r="B1814" s="81" t="n"/>
      <c r="C1814" s="69">
        <f>IF(B1814="","",IFERROR(INDEX(Client_List!$B:$B,MATCH(B1814,Client_List!$A:$A,0)),"⚠ NOT FOUND"))</f>
        <v/>
      </c>
      <c r="D1814" s="45" t="n"/>
      <c r="E1814" s="32">
        <f>IF(B1814="","",IFERROR(INDEX(Client_List!$C:$C,MATCH(VALUE(B1814),Client_List!$A:$A,0)),""))</f>
        <v/>
      </c>
      <c r="F1814" s="53">
        <f>IF(B1814="","",IFERROR(INDEX(Client_List!$D:$D,MATCH(VALUE(B1814),Client_List!$A:$A,0)),""))</f>
        <v/>
      </c>
      <c r="G1814" s="53">
        <f>IF(B1814="","",IFERROR(INDEX(Client_List!$K:$K,MATCH(VALUE(B1814),Client_List!$A:$A,0)),""))</f>
        <v/>
      </c>
      <c r="H1814" s="32">
        <f>IF(B1814="","",IFERROR(INDEX(Client_List!$J:$J,MATCH(VALUE(B1814),Client_List!$A:$A,0)),""))</f>
        <v/>
      </c>
      <c r="I1814" s="70">
        <f>IF(B1814="","",IFERROR(A1814-LOOKUP(2,1/($B$4:$B1813=B1814),$A$4:$A1813),""))</f>
        <v/>
      </c>
      <c r="J1814" s="32">
        <f>IF(B1814="","",IFERROR(D1814/I1814,""))</f>
        <v/>
      </c>
      <c r="K1814" s="71">
        <f>IF(B1814="","",IFERROR(AVERAGEIFS($J$4:$J1814,$B$4:$B1814,B1814,$J$4:$J1814,"&gt;"&amp;0),""))</f>
        <v/>
      </c>
      <c r="L1814" s="12" t="n"/>
    </row>
    <row r="1815" ht="14" customHeight="1" s="72">
      <c r="A1815" s="78" t="n"/>
      <c r="B1815" s="79" t="n"/>
      <c r="C1815" s="69">
        <f>IF(B1815="","",IFERROR(INDEX(Client_List!$B:$B,MATCH(B1815,Client_List!$A:$A,0)),"⚠ NOT FOUND"))</f>
        <v/>
      </c>
      <c r="D1815" s="44" t="n"/>
      <c r="E1815" s="32">
        <f>IF(B1815="","",IFERROR(INDEX(Client_List!$C:$C,MATCH(VALUE(B1815),Client_List!$A:$A,0)),""))</f>
        <v/>
      </c>
      <c r="F1815" s="53">
        <f>IF(B1815="","",IFERROR(INDEX(Client_List!$D:$D,MATCH(VALUE(B1815),Client_List!$A:$A,0)),""))</f>
        <v/>
      </c>
      <c r="G1815" s="53">
        <f>IF(B1815="","",IFERROR(INDEX(Client_List!$K:$K,MATCH(VALUE(B1815),Client_List!$A:$A,0)),""))</f>
        <v/>
      </c>
      <c r="H1815" s="32">
        <f>IF(B1815="","",IFERROR(INDEX(Client_List!$J:$J,MATCH(VALUE(B1815),Client_List!$A:$A,0)),""))</f>
        <v/>
      </c>
      <c r="I1815" s="70">
        <f>IF(B1815="","",IFERROR(A1815-LOOKUP(2,1/($B$4:$B1814=B1815),$A$4:$A1814),""))</f>
        <v/>
      </c>
      <c r="J1815" s="32">
        <f>IF(B1815="","",IFERROR(D1815/I1815,""))</f>
        <v/>
      </c>
      <c r="K1815" s="71">
        <f>IF(B1815="","",IFERROR(AVERAGEIFS($J$4:$J1815,$B$4:$B1815,B1815,$J$4:$J1815,"&gt;"&amp;0),""))</f>
        <v/>
      </c>
      <c r="L1815" s="11" t="n"/>
    </row>
    <row r="1816" ht="14" customHeight="1" s="72">
      <c r="A1816" s="80" t="n"/>
      <c r="B1816" s="81" t="n"/>
      <c r="C1816" s="69">
        <f>IF(B1816="","",IFERROR(INDEX(Client_List!$B:$B,MATCH(B1816,Client_List!$A:$A,0)),"⚠ NOT FOUND"))</f>
        <v/>
      </c>
      <c r="D1816" s="45" t="n"/>
      <c r="E1816" s="32">
        <f>IF(B1816="","",IFERROR(INDEX(Client_List!$C:$C,MATCH(VALUE(B1816),Client_List!$A:$A,0)),""))</f>
        <v/>
      </c>
      <c r="F1816" s="53">
        <f>IF(B1816="","",IFERROR(INDEX(Client_List!$D:$D,MATCH(VALUE(B1816),Client_List!$A:$A,0)),""))</f>
        <v/>
      </c>
      <c r="G1816" s="53">
        <f>IF(B1816="","",IFERROR(INDEX(Client_List!$K:$K,MATCH(VALUE(B1816),Client_List!$A:$A,0)),""))</f>
        <v/>
      </c>
      <c r="H1816" s="32">
        <f>IF(B1816="","",IFERROR(INDEX(Client_List!$J:$J,MATCH(VALUE(B1816),Client_List!$A:$A,0)),""))</f>
        <v/>
      </c>
      <c r="I1816" s="70">
        <f>IF(B1816="","",IFERROR(A1816-LOOKUP(2,1/($B$4:$B1815=B1816),$A$4:$A1815),""))</f>
        <v/>
      </c>
      <c r="J1816" s="32">
        <f>IF(B1816="","",IFERROR(D1816/I1816,""))</f>
        <v/>
      </c>
      <c r="K1816" s="71">
        <f>IF(B1816="","",IFERROR(AVERAGEIFS($J$4:$J1816,$B$4:$B1816,B1816,$J$4:$J1816,"&gt;"&amp;0),""))</f>
        <v/>
      </c>
      <c r="L1816" s="12" t="n"/>
    </row>
    <row r="1817" ht="14" customHeight="1" s="72">
      <c r="A1817" s="78" t="n"/>
      <c r="B1817" s="79" t="n"/>
      <c r="C1817" s="69">
        <f>IF(B1817="","",IFERROR(INDEX(Client_List!$B:$B,MATCH(B1817,Client_List!$A:$A,0)),"⚠ NOT FOUND"))</f>
        <v/>
      </c>
      <c r="D1817" s="44" t="n"/>
      <c r="E1817" s="32">
        <f>IF(B1817="","",IFERROR(INDEX(Client_List!$C:$C,MATCH(VALUE(B1817),Client_List!$A:$A,0)),""))</f>
        <v/>
      </c>
      <c r="F1817" s="53">
        <f>IF(B1817="","",IFERROR(INDEX(Client_List!$D:$D,MATCH(VALUE(B1817),Client_List!$A:$A,0)),""))</f>
        <v/>
      </c>
      <c r="G1817" s="53">
        <f>IF(B1817="","",IFERROR(INDEX(Client_List!$K:$K,MATCH(VALUE(B1817),Client_List!$A:$A,0)),""))</f>
        <v/>
      </c>
      <c r="H1817" s="32">
        <f>IF(B1817="","",IFERROR(INDEX(Client_List!$J:$J,MATCH(VALUE(B1817),Client_List!$A:$A,0)),""))</f>
        <v/>
      </c>
      <c r="I1817" s="70">
        <f>IF(B1817="","",IFERROR(A1817-LOOKUP(2,1/($B$4:$B1816=B1817),$A$4:$A1816),""))</f>
        <v/>
      </c>
      <c r="J1817" s="32">
        <f>IF(B1817="","",IFERROR(D1817/I1817,""))</f>
        <v/>
      </c>
      <c r="K1817" s="71">
        <f>IF(B1817="","",IFERROR(AVERAGEIFS($J$4:$J1817,$B$4:$B1817,B1817,$J$4:$J1817,"&gt;"&amp;0),""))</f>
        <v/>
      </c>
      <c r="L1817" s="11" t="n"/>
    </row>
    <row r="1818" ht="14" customHeight="1" s="72">
      <c r="A1818" s="80" t="n"/>
      <c r="B1818" s="81" t="n"/>
      <c r="C1818" s="69">
        <f>IF(B1818="","",IFERROR(INDEX(Client_List!$B:$B,MATCH(B1818,Client_List!$A:$A,0)),"⚠ NOT FOUND"))</f>
        <v/>
      </c>
      <c r="D1818" s="45" t="n"/>
      <c r="E1818" s="32">
        <f>IF(B1818="","",IFERROR(INDEX(Client_List!$C:$C,MATCH(VALUE(B1818),Client_List!$A:$A,0)),""))</f>
        <v/>
      </c>
      <c r="F1818" s="53">
        <f>IF(B1818="","",IFERROR(INDEX(Client_List!$D:$D,MATCH(VALUE(B1818),Client_List!$A:$A,0)),""))</f>
        <v/>
      </c>
      <c r="G1818" s="53">
        <f>IF(B1818="","",IFERROR(INDEX(Client_List!$K:$K,MATCH(VALUE(B1818),Client_List!$A:$A,0)),""))</f>
        <v/>
      </c>
      <c r="H1818" s="32">
        <f>IF(B1818="","",IFERROR(INDEX(Client_List!$J:$J,MATCH(VALUE(B1818),Client_List!$A:$A,0)),""))</f>
        <v/>
      </c>
      <c r="I1818" s="70">
        <f>IF(B1818="","",IFERROR(A1818-LOOKUP(2,1/($B$4:$B1817=B1818),$A$4:$A1817),""))</f>
        <v/>
      </c>
      <c r="J1818" s="32">
        <f>IF(B1818="","",IFERROR(D1818/I1818,""))</f>
        <v/>
      </c>
      <c r="K1818" s="71">
        <f>IF(B1818="","",IFERROR(AVERAGEIFS($J$4:$J1818,$B$4:$B1818,B1818,$J$4:$J1818,"&gt;"&amp;0),""))</f>
        <v/>
      </c>
      <c r="L1818" s="12" t="n"/>
    </row>
    <row r="1819" ht="14" customHeight="1" s="72">
      <c r="A1819" s="78" t="n"/>
      <c r="B1819" s="79" t="n"/>
      <c r="C1819" s="69">
        <f>IF(B1819="","",IFERROR(INDEX(Client_List!$B:$B,MATCH(B1819,Client_List!$A:$A,0)),"⚠ NOT FOUND"))</f>
        <v/>
      </c>
      <c r="D1819" s="44" t="n"/>
      <c r="E1819" s="32">
        <f>IF(B1819="","",IFERROR(INDEX(Client_List!$C:$C,MATCH(VALUE(B1819),Client_List!$A:$A,0)),""))</f>
        <v/>
      </c>
      <c r="F1819" s="53">
        <f>IF(B1819="","",IFERROR(INDEX(Client_List!$D:$D,MATCH(VALUE(B1819),Client_List!$A:$A,0)),""))</f>
        <v/>
      </c>
      <c r="G1819" s="53">
        <f>IF(B1819="","",IFERROR(INDEX(Client_List!$K:$K,MATCH(VALUE(B1819),Client_List!$A:$A,0)),""))</f>
        <v/>
      </c>
      <c r="H1819" s="32">
        <f>IF(B1819="","",IFERROR(INDEX(Client_List!$J:$J,MATCH(VALUE(B1819),Client_List!$A:$A,0)),""))</f>
        <v/>
      </c>
      <c r="I1819" s="70">
        <f>IF(B1819="","",IFERROR(A1819-LOOKUP(2,1/($B$4:$B1818=B1819),$A$4:$A1818),""))</f>
        <v/>
      </c>
      <c r="J1819" s="32">
        <f>IF(B1819="","",IFERROR(D1819/I1819,""))</f>
        <v/>
      </c>
      <c r="K1819" s="71">
        <f>IF(B1819="","",IFERROR(AVERAGEIFS($J$4:$J1819,$B$4:$B1819,B1819,$J$4:$J1819,"&gt;"&amp;0),""))</f>
        <v/>
      </c>
      <c r="L1819" s="11" t="n"/>
    </row>
    <row r="1820" ht="14" customHeight="1" s="72">
      <c r="A1820" s="80" t="n"/>
      <c r="B1820" s="81" t="n"/>
      <c r="C1820" s="69">
        <f>IF(B1820="","",IFERROR(INDEX(Client_List!$B:$B,MATCH(B1820,Client_List!$A:$A,0)),"⚠ NOT FOUND"))</f>
        <v/>
      </c>
      <c r="D1820" s="45" t="n"/>
      <c r="E1820" s="32">
        <f>IF(B1820="","",IFERROR(INDEX(Client_List!$C:$C,MATCH(VALUE(B1820),Client_List!$A:$A,0)),""))</f>
        <v/>
      </c>
      <c r="F1820" s="53">
        <f>IF(B1820="","",IFERROR(INDEX(Client_List!$D:$D,MATCH(VALUE(B1820),Client_List!$A:$A,0)),""))</f>
        <v/>
      </c>
      <c r="G1820" s="53">
        <f>IF(B1820="","",IFERROR(INDEX(Client_List!$K:$K,MATCH(VALUE(B1820),Client_List!$A:$A,0)),""))</f>
        <v/>
      </c>
      <c r="H1820" s="32">
        <f>IF(B1820="","",IFERROR(INDEX(Client_List!$J:$J,MATCH(VALUE(B1820),Client_List!$A:$A,0)),""))</f>
        <v/>
      </c>
      <c r="I1820" s="70">
        <f>IF(B1820="","",IFERROR(A1820-LOOKUP(2,1/($B$4:$B1819=B1820),$A$4:$A1819),""))</f>
        <v/>
      </c>
      <c r="J1820" s="32">
        <f>IF(B1820="","",IFERROR(D1820/I1820,""))</f>
        <v/>
      </c>
      <c r="K1820" s="71">
        <f>IF(B1820="","",IFERROR(AVERAGEIFS($J$4:$J1820,$B$4:$B1820,B1820,$J$4:$J1820,"&gt;"&amp;0),""))</f>
        <v/>
      </c>
      <c r="L1820" s="12" t="n"/>
    </row>
    <row r="1821" ht="14" customHeight="1" s="72">
      <c r="A1821" s="78" t="n"/>
      <c r="B1821" s="79" t="n"/>
      <c r="C1821" s="69">
        <f>IF(B1821="","",IFERROR(INDEX(Client_List!$B:$B,MATCH(B1821,Client_List!$A:$A,0)),"⚠ NOT FOUND"))</f>
        <v/>
      </c>
      <c r="D1821" s="44" t="n"/>
      <c r="E1821" s="32">
        <f>IF(B1821="","",IFERROR(INDEX(Client_List!$C:$C,MATCH(VALUE(B1821),Client_List!$A:$A,0)),""))</f>
        <v/>
      </c>
      <c r="F1821" s="53">
        <f>IF(B1821="","",IFERROR(INDEX(Client_List!$D:$D,MATCH(VALUE(B1821),Client_List!$A:$A,0)),""))</f>
        <v/>
      </c>
      <c r="G1821" s="53">
        <f>IF(B1821="","",IFERROR(INDEX(Client_List!$K:$K,MATCH(VALUE(B1821),Client_List!$A:$A,0)),""))</f>
        <v/>
      </c>
      <c r="H1821" s="32">
        <f>IF(B1821="","",IFERROR(INDEX(Client_List!$J:$J,MATCH(VALUE(B1821),Client_List!$A:$A,0)),""))</f>
        <v/>
      </c>
      <c r="I1821" s="70">
        <f>IF(B1821="","",IFERROR(A1821-LOOKUP(2,1/($B$4:$B1820=B1821),$A$4:$A1820),""))</f>
        <v/>
      </c>
      <c r="J1821" s="32">
        <f>IF(B1821="","",IFERROR(D1821/I1821,""))</f>
        <v/>
      </c>
      <c r="K1821" s="71">
        <f>IF(B1821="","",IFERROR(AVERAGEIFS($J$4:$J1821,$B$4:$B1821,B1821,$J$4:$J1821,"&gt;"&amp;0),""))</f>
        <v/>
      </c>
      <c r="L1821" s="11" t="n"/>
    </row>
    <row r="1822" ht="14" customHeight="1" s="72">
      <c r="A1822" s="80" t="n"/>
      <c r="B1822" s="81" t="n"/>
      <c r="C1822" s="69">
        <f>IF(B1822="","",IFERROR(INDEX(Client_List!$B:$B,MATCH(B1822,Client_List!$A:$A,0)),"⚠ NOT FOUND"))</f>
        <v/>
      </c>
      <c r="D1822" s="45" t="n"/>
      <c r="E1822" s="32">
        <f>IF(B1822="","",IFERROR(INDEX(Client_List!$C:$C,MATCH(VALUE(B1822),Client_List!$A:$A,0)),""))</f>
        <v/>
      </c>
      <c r="F1822" s="53">
        <f>IF(B1822="","",IFERROR(INDEX(Client_List!$D:$D,MATCH(VALUE(B1822),Client_List!$A:$A,0)),""))</f>
        <v/>
      </c>
      <c r="G1822" s="53">
        <f>IF(B1822="","",IFERROR(INDEX(Client_List!$K:$K,MATCH(VALUE(B1822),Client_List!$A:$A,0)),""))</f>
        <v/>
      </c>
      <c r="H1822" s="32">
        <f>IF(B1822="","",IFERROR(INDEX(Client_List!$J:$J,MATCH(VALUE(B1822),Client_List!$A:$A,0)),""))</f>
        <v/>
      </c>
      <c r="I1822" s="70">
        <f>IF(B1822="","",IFERROR(A1822-LOOKUP(2,1/($B$4:$B1821=B1822),$A$4:$A1821),""))</f>
        <v/>
      </c>
      <c r="J1822" s="32">
        <f>IF(B1822="","",IFERROR(D1822/I1822,""))</f>
        <v/>
      </c>
      <c r="K1822" s="71">
        <f>IF(B1822="","",IFERROR(AVERAGEIFS($J$4:$J1822,$B$4:$B1822,B1822,$J$4:$J1822,"&gt;"&amp;0),""))</f>
        <v/>
      </c>
      <c r="L1822" s="12" t="n"/>
    </row>
    <row r="1823" ht="14" customHeight="1" s="72">
      <c r="A1823" s="78" t="n"/>
      <c r="B1823" s="79" t="n"/>
      <c r="C1823" s="69">
        <f>IF(B1823="","",IFERROR(INDEX(Client_List!$B:$B,MATCH(B1823,Client_List!$A:$A,0)),"⚠ NOT FOUND"))</f>
        <v/>
      </c>
      <c r="D1823" s="44" t="n"/>
      <c r="E1823" s="32">
        <f>IF(B1823="","",IFERROR(INDEX(Client_List!$C:$C,MATCH(VALUE(B1823),Client_List!$A:$A,0)),""))</f>
        <v/>
      </c>
      <c r="F1823" s="53">
        <f>IF(B1823="","",IFERROR(INDEX(Client_List!$D:$D,MATCH(VALUE(B1823),Client_List!$A:$A,0)),""))</f>
        <v/>
      </c>
      <c r="G1823" s="53">
        <f>IF(B1823="","",IFERROR(INDEX(Client_List!$K:$K,MATCH(VALUE(B1823),Client_List!$A:$A,0)),""))</f>
        <v/>
      </c>
      <c r="H1823" s="32">
        <f>IF(B1823="","",IFERROR(INDEX(Client_List!$J:$J,MATCH(VALUE(B1823),Client_List!$A:$A,0)),""))</f>
        <v/>
      </c>
      <c r="I1823" s="70">
        <f>IF(B1823="","",IFERROR(A1823-LOOKUP(2,1/($B$4:$B1822=B1823),$A$4:$A1822),""))</f>
        <v/>
      </c>
      <c r="J1823" s="32">
        <f>IF(B1823="","",IFERROR(D1823/I1823,""))</f>
        <v/>
      </c>
      <c r="K1823" s="71">
        <f>IF(B1823="","",IFERROR(AVERAGEIFS($J$4:$J1823,$B$4:$B1823,B1823,$J$4:$J1823,"&gt;"&amp;0),""))</f>
        <v/>
      </c>
      <c r="L1823" s="11" t="n"/>
    </row>
    <row r="1824" ht="14" customHeight="1" s="72">
      <c r="A1824" s="80" t="n"/>
      <c r="B1824" s="81" t="n"/>
      <c r="C1824" s="69">
        <f>IF(B1824="","",IFERROR(INDEX(Client_List!$B:$B,MATCH(B1824,Client_List!$A:$A,0)),"⚠ NOT FOUND"))</f>
        <v/>
      </c>
      <c r="D1824" s="45" t="n"/>
      <c r="E1824" s="32">
        <f>IF(B1824="","",IFERROR(INDEX(Client_List!$C:$C,MATCH(VALUE(B1824),Client_List!$A:$A,0)),""))</f>
        <v/>
      </c>
      <c r="F1824" s="53">
        <f>IF(B1824="","",IFERROR(INDEX(Client_List!$D:$D,MATCH(VALUE(B1824),Client_List!$A:$A,0)),""))</f>
        <v/>
      </c>
      <c r="G1824" s="53">
        <f>IF(B1824="","",IFERROR(INDEX(Client_List!$K:$K,MATCH(VALUE(B1824),Client_List!$A:$A,0)),""))</f>
        <v/>
      </c>
      <c r="H1824" s="32">
        <f>IF(B1824="","",IFERROR(INDEX(Client_List!$J:$J,MATCH(VALUE(B1824),Client_List!$A:$A,0)),""))</f>
        <v/>
      </c>
      <c r="I1824" s="70">
        <f>IF(B1824="","",IFERROR(A1824-LOOKUP(2,1/($B$4:$B1823=B1824),$A$4:$A1823),""))</f>
        <v/>
      </c>
      <c r="J1824" s="32">
        <f>IF(B1824="","",IFERROR(D1824/I1824,""))</f>
        <v/>
      </c>
      <c r="K1824" s="71">
        <f>IF(B1824="","",IFERROR(AVERAGEIFS($J$4:$J1824,$B$4:$B1824,B1824,$J$4:$J1824,"&gt;"&amp;0),""))</f>
        <v/>
      </c>
      <c r="L1824" s="12" t="n"/>
    </row>
    <row r="1825" ht="14" customHeight="1" s="72">
      <c r="A1825" s="78" t="n"/>
      <c r="B1825" s="79" t="n"/>
      <c r="C1825" s="69">
        <f>IF(B1825="","",IFERROR(INDEX(Client_List!$B:$B,MATCH(B1825,Client_List!$A:$A,0)),"⚠ NOT FOUND"))</f>
        <v/>
      </c>
      <c r="D1825" s="44" t="n"/>
      <c r="E1825" s="32">
        <f>IF(B1825="","",IFERROR(INDEX(Client_List!$C:$C,MATCH(VALUE(B1825),Client_List!$A:$A,0)),""))</f>
        <v/>
      </c>
      <c r="F1825" s="53">
        <f>IF(B1825="","",IFERROR(INDEX(Client_List!$D:$D,MATCH(VALUE(B1825),Client_List!$A:$A,0)),""))</f>
        <v/>
      </c>
      <c r="G1825" s="53">
        <f>IF(B1825="","",IFERROR(INDEX(Client_List!$K:$K,MATCH(VALUE(B1825),Client_List!$A:$A,0)),""))</f>
        <v/>
      </c>
      <c r="H1825" s="32">
        <f>IF(B1825="","",IFERROR(INDEX(Client_List!$J:$J,MATCH(VALUE(B1825),Client_List!$A:$A,0)),""))</f>
        <v/>
      </c>
      <c r="I1825" s="70">
        <f>IF(B1825="","",IFERROR(A1825-LOOKUP(2,1/($B$4:$B1824=B1825),$A$4:$A1824),""))</f>
        <v/>
      </c>
      <c r="J1825" s="32">
        <f>IF(B1825="","",IFERROR(D1825/I1825,""))</f>
        <v/>
      </c>
      <c r="K1825" s="71">
        <f>IF(B1825="","",IFERROR(AVERAGEIFS($J$4:$J1825,$B$4:$B1825,B1825,$J$4:$J1825,"&gt;"&amp;0),""))</f>
        <v/>
      </c>
      <c r="L1825" s="11" t="n"/>
    </row>
    <row r="1826" ht="14" customHeight="1" s="72">
      <c r="A1826" s="80" t="n"/>
      <c r="B1826" s="81" t="n"/>
      <c r="C1826" s="69">
        <f>IF(B1826="","",IFERROR(INDEX(Client_List!$B:$B,MATCH(B1826,Client_List!$A:$A,0)),"⚠ NOT FOUND"))</f>
        <v/>
      </c>
      <c r="D1826" s="45" t="n"/>
      <c r="E1826" s="32">
        <f>IF(B1826="","",IFERROR(INDEX(Client_List!$C:$C,MATCH(VALUE(B1826),Client_List!$A:$A,0)),""))</f>
        <v/>
      </c>
      <c r="F1826" s="53">
        <f>IF(B1826="","",IFERROR(INDEX(Client_List!$D:$D,MATCH(VALUE(B1826),Client_List!$A:$A,0)),""))</f>
        <v/>
      </c>
      <c r="G1826" s="53">
        <f>IF(B1826="","",IFERROR(INDEX(Client_List!$K:$K,MATCH(VALUE(B1826),Client_List!$A:$A,0)),""))</f>
        <v/>
      </c>
      <c r="H1826" s="32">
        <f>IF(B1826="","",IFERROR(INDEX(Client_List!$J:$J,MATCH(VALUE(B1826),Client_List!$A:$A,0)),""))</f>
        <v/>
      </c>
      <c r="I1826" s="70">
        <f>IF(B1826="","",IFERROR(A1826-LOOKUP(2,1/($B$4:$B1825=B1826),$A$4:$A1825),""))</f>
        <v/>
      </c>
      <c r="J1826" s="32">
        <f>IF(B1826="","",IFERROR(D1826/I1826,""))</f>
        <v/>
      </c>
      <c r="K1826" s="71">
        <f>IF(B1826="","",IFERROR(AVERAGEIFS($J$4:$J1826,$B$4:$B1826,B1826,$J$4:$J1826,"&gt;"&amp;0),""))</f>
        <v/>
      </c>
      <c r="L1826" s="12" t="n"/>
    </row>
    <row r="1827" ht="14" customHeight="1" s="72">
      <c r="A1827" s="78" t="n"/>
      <c r="B1827" s="79" t="n"/>
      <c r="C1827" s="69">
        <f>IF(B1827="","",IFERROR(INDEX(Client_List!$B:$B,MATCH(B1827,Client_List!$A:$A,0)),"⚠ NOT FOUND"))</f>
        <v/>
      </c>
      <c r="D1827" s="44" t="n"/>
      <c r="E1827" s="32">
        <f>IF(B1827="","",IFERROR(INDEX(Client_List!$C:$C,MATCH(VALUE(B1827),Client_List!$A:$A,0)),""))</f>
        <v/>
      </c>
      <c r="F1827" s="53">
        <f>IF(B1827="","",IFERROR(INDEX(Client_List!$D:$D,MATCH(VALUE(B1827),Client_List!$A:$A,0)),""))</f>
        <v/>
      </c>
      <c r="G1827" s="53">
        <f>IF(B1827="","",IFERROR(INDEX(Client_List!$K:$K,MATCH(VALUE(B1827),Client_List!$A:$A,0)),""))</f>
        <v/>
      </c>
      <c r="H1827" s="32">
        <f>IF(B1827="","",IFERROR(INDEX(Client_List!$J:$J,MATCH(VALUE(B1827),Client_List!$A:$A,0)),""))</f>
        <v/>
      </c>
      <c r="I1827" s="70">
        <f>IF(B1827="","",IFERROR(A1827-LOOKUP(2,1/($B$4:$B1826=B1827),$A$4:$A1826),""))</f>
        <v/>
      </c>
      <c r="J1827" s="32">
        <f>IF(B1827="","",IFERROR(D1827/I1827,""))</f>
        <v/>
      </c>
      <c r="K1827" s="71">
        <f>IF(B1827="","",IFERROR(AVERAGEIFS($J$4:$J1827,$B$4:$B1827,B1827,$J$4:$J1827,"&gt;"&amp;0),""))</f>
        <v/>
      </c>
      <c r="L1827" s="11" t="n"/>
    </row>
    <row r="1828" ht="14" customHeight="1" s="72">
      <c r="A1828" s="80" t="n"/>
      <c r="B1828" s="81" t="n"/>
      <c r="C1828" s="69">
        <f>IF(B1828="","",IFERROR(INDEX(Client_List!$B:$B,MATCH(B1828,Client_List!$A:$A,0)),"⚠ NOT FOUND"))</f>
        <v/>
      </c>
      <c r="D1828" s="45" t="n"/>
      <c r="E1828" s="32">
        <f>IF(B1828="","",IFERROR(INDEX(Client_List!$C:$C,MATCH(VALUE(B1828),Client_List!$A:$A,0)),""))</f>
        <v/>
      </c>
      <c r="F1828" s="53">
        <f>IF(B1828="","",IFERROR(INDEX(Client_List!$D:$D,MATCH(VALUE(B1828),Client_List!$A:$A,0)),""))</f>
        <v/>
      </c>
      <c r="G1828" s="53">
        <f>IF(B1828="","",IFERROR(INDEX(Client_List!$K:$K,MATCH(VALUE(B1828),Client_List!$A:$A,0)),""))</f>
        <v/>
      </c>
      <c r="H1828" s="32">
        <f>IF(B1828="","",IFERROR(INDEX(Client_List!$J:$J,MATCH(VALUE(B1828),Client_List!$A:$A,0)),""))</f>
        <v/>
      </c>
      <c r="I1828" s="70">
        <f>IF(B1828="","",IFERROR(A1828-LOOKUP(2,1/($B$4:$B1827=B1828),$A$4:$A1827),""))</f>
        <v/>
      </c>
      <c r="J1828" s="32">
        <f>IF(B1828="","",IFERROR(D1828/I1828,""))</f>
        <v/>
      </c>
      <c r="K1828" s="71">
        <f>IF(B1828="","",IFERROR(AVERAGEIFS($J$4:$J1828,$B$4:$B1828,B1828,$J$4:$J1828,"&gt;"&amp;0),""))</f>
        <v/>
      </c>
      <c r="L1828" s="12" t="n"/>
    </row>
    <row r="1829" ht="14" customHeight="1" s="72">
      <c r="A1829" s="78" t="n"/>
      <c r="B1829" s="79" t="n"/>
      <c r="C1829" s="69">
        <f>IF(B1829="","",IFERROR(INDEX(Client_List!$B:$B,MATCH(B1829,Client_List!$A:$A,0)),"⚠ NOT FOUND"))</f>
        <v/>
      </c>
      <c r="D1829" s="44" t="n"/>
      <c r="E1829" s="32">
        <f>IF(B1829="","",IFERROR(INDEX(Client_List!$C:$C,MATCH(VALUE(B1829),Client_List!$A:$A,0)),""))</f>
        <v/>
      </c>
      <c r="F1829" s="53">
        <f>IF(B1829="","",IFERROR(INDEX(Client_List!$D:$D,MATCH(VALUE(B1829),Client_List!$A:$A,0)),""))</f>
        <v/>
      </c>
      <c r="G1829" s="53">
        <f>IF(B1829="","",IFERROR(INDEX(Client_List!$K:$K,MATCH(VALUE(B1829),Client_List!$A:$A,0)),""))</f>
        <v/>
      </c>
      <c r="H1829" s="32">
        <f>IF(B1829="","",IFERROR(INDEX(Client_List!$J:$J,MATCH(VALUE(B1829),Client_List!$A:$A,0)),""))</f>
        <v/>
      </c>
      <c r="I1829" s="70">
        <f>IF(B1829="","",IFERROR(A1829-LOOKUP(2,1/($B$4:$B1828=B1829),$A$4:$A1828),""))</f>
        <v/>
      </c>
      <c r="J1829" s="32">
        <f>IF(B1829="","",IFERROR(D1829/I1829,""))</f>
        <v/>
      </c>
      <c r="K1829" s="71">
        <f>IF(B1829="","",IFERROR(AVERAGEIFS($J$4:$J1829,$B$4:$B1829,B1829,$J$4:$J1829,"&gt;"&amp;0),""))</f>
        <v/>
      </c>
      <c r="L1829" s="11" t="n"/>
    </row>
    <row r="1830" ht="14" customHeight="1" s="72">
      <c r="A1830" s="80" t="n"/>
      <c r="B1830" s="81" t="n"/>
      <c r="C1830" s="69">
        <f>IF(B1830="","",IFERROR(INDEX(Client_List!$B:$B,MATCH(B1830,Client_List!$A:$A,0)),"⚠ NOT FOUND"))</f>
        <v/>
      </c>
      <c r="D1830" s="45" t="n"/>
      <c r="E1830" s="32">
        <f>IF(B1830="","",IFERROR(INDEX(Client_List!$C:$C,MATCH(VALUE(B1830),Client_List!$A:$A,0)),""))</f>
        <v/>
      </c>
      <c r="F1830" s="53">
        <f>IF(B1830="","",IFERROR(INDEX(Client_List!$D:$D,MATCH(VALUE(B1830),Client_List!$A:$A,0)),""))</f>
        <v/>
      </c>
      <c r="G1830" s="53">
        <f>IF(B1830="","",IFERROR(INDEX(Client_List!$K:$K,MATCH(VALUE(B1830),Client_List!$A:$A,0)),""))</f>
        <v/>
      </c>
      <c r="H1830" s="32">
        <f>IF(B1830="","",IFERROR(INDEX(Client_List!$J:$J,MATCH(VALUE(B1830),Client_List!$A:$A,0)),""))</f>
        <v/>
      </c>
      <c r="I1830" s="70">
        <f>IF(B1830="","",IFERROR(A1830-LOOKUP(2,1/($B$4:$B1829=B1830),$A$4:$A1829),""))</f>
        <v/>
      </c>
      <c r="J1830" s="32">
        <f>IF(B1830="","",IFERROR(D1830/I1830,""))</f>
        <v/>
      </c>
      <c r="K1830" s="71">
        <f>IF(B1830="","",IFERROR(AVERAGEIFS($J$4:$J1830,$B$4:$B1830,B1830,$J$4:$J1830,"&gt;"&amp;0),""))</f>
        <v/>
      </c>
      <c r="L1830" s="12" t="n"/>
    </row>
    <row r="1831" ht="14" customHeight="1" s="72">
      <c r="A1831" s="78" t="n"/>
      <c r="B1831" s="79" t="n"/>
      <c r="C1831" s="69">
        <f>IF(B1831="","",IFERROR(INDEX(Client_List!$B:$B,MATCH(B1831,Client_List!$A:$A,0)),"⚠ NOT FOUND"))</f>
        <v/>
      </c>
      <c r="D1831" s="44" t="n"/>
      <c r="E1831" s="32">
        <f>IF(B1831="","",IFERROR(INDEX(Client_List!$C:$C,MATCH(VALUE(B1831),Client_List!$A:$A,0)),""))</f>
        <v/>
      </c>
      <c r="F1831" s="53">
        <f>IF(B1831="","",IFERROR(INDEX(Client_List!$D:$D,MATCH(VALUE(B1831),Client_List!$A:$A,0)),""))</f>
        <v/>
      </c>
      <c r="G1831" s="53">
        <f>IF(B1831="","",IFERROR(INDEX(Client_List!$K:$K,MATCH(VALUE(B1831),Client_List!$A:$A,0)),""))</f>
        <v/>
      </c>
      <c r="H1831" s="32">
        <f>IF(B1831="","",IFERROR(INDEX(Client_List!$J:$J,MATCH(VALUE(B1831),Client_List!$A:$A,0)),""))</f>
        <v/>
      </c>
      <c r="I1831" s="70">
        <f>IF(B1831="","",IFERROR(A1831-LOOKUP(2,1/($B$4:$B1830=B1831),$A$4:$A1830),""))</f>
        <v/>
      </c>
      <c r="J1831" s="32">
        <f>IF(B1831="","",IFERROR(D1831/I1831,""))</f>
        <v/>
      </c>
      <c r="K1831" s="71">
        <f>IF(B1831="","",IFERROR(AVERAGEIFS($J$4:$J1831,$B$4:$B1831,B1831,$J$4:$J1831,"&gt;"&amp;0),""))</f>
        <v/>
      </c>
      <c r="L1831" s="11" t="n"/>
    </row>
    <row r="1832" ht="14" customHeight="1" s="72">
      <c r="A1832" s="80" t="n"/>
      <c r="B1832" s="81" t="n"/>
      <c r="C1832" s="69">
        <f>IF(B1832="","",IFERROR(INDEX(Client_List!$B:$B,MATCH(B1832,Client_List!$A:$A,0)),"⚠ NOT FOUND"))</f>
        <v/>
      </c>
      <c r="D1832" s="45" t="n"/>
      <c r="E1832" s="32">
        <f>IF(B1832="","",IFERROR(INDEX(Client_List!$C:$C,MATCH(VALUE(B1832),Client_List!$A:$A,0)),""))</f>
        <v/>
      </c>
      <c r="F1832" s="53">
        <f>IF(B1832="","",IFERROR(INDEX(Client_List!$D:$D,MATCH(VALUE(B1832),Client_List!$A:$A,0)),""))</f>
        <v/>
      </c>
      <c r="G1832" s="53">
        <f>IF(B1832="","",IFERROR(INDEX(Client_List!$K:$K,MATCH(VALUE(B1832),Client_List!$A:$A,0)),""))</f>
        <v/>
      </c>
      <c r="H1832" s="32">
        <f>IF(B1832="","",IFERROR(INDEX(Client_List!$J:$J,MATCH(VALUE(B1832),Client_List!$A:$A,0)),""))</f>
        <v/>
      </c>
      <c r="I1832" s="70">
        <f>IF(B1832="","",IFERROR(A1832-LOOKUP(2,1/($B$4:$B1831=B1832),$A$4:$A1831),""))</f>
        <v/>
      </c>
      <c r="J1832" s="32">
        <f>IF(B1832="","",IFERROR(D1832/I1832,""))</f>
        <v/>
      </c>
      <c r="K1832" s="71">
        <f>IF(B1832="","",IFERROR(AVERAGEIFS($J$4:$J1832,$B$4:$B1832,B1832,$J$4:$J1832,"&gt;"&amp;0),""))</f>
        <v/>
      </c>
      <c r="L1832" s="12" t="n"/>
    </row>
    <row r="1833" ht="14" customHeight="1" s="72">
      <c r="A1833" s="78" t="n"/>
      <c r="B1833" s="79" t="n"/>
      <c r="C1833" s="69">
        <f>IF(B1833="","",IFERROR(INDEX(Client_List!$B:$B,MATCH(B1833,Client_List!$A:$A,0)),"⚠ NOT FOUND"))</f>
        <v/>
      </c>
      <c r="D1833" s="44" t="n"/>
      <c r="E1833" s="32">
        <f>IF(B1833="","",IFERROR(INDEX(Client_List!$C:$C,MATCH(VALUE(B1833),Client_List!$A:$A,0)),""))</f>
        <v/>
      </c>
      <c r="F1833" s="53">
        <f>IF(B1833="","",IFERROR(INDEX(Client_List!$D:$D,MATCH(VALUE(B1833),Client_List!$A:$A,0)),""))</f>
        <v/>
      </c>
      <c r="G1833" s="53">
        <f>IF(B1833="","",IFERROR(INDEX(Client_List!$K:$K,MATCH(VALUE(B1833),Client_List!$A:$A,0)),""))</f>
        <v/>
      </c>
      <c r="H1833" s="32">
        <f>IF(B1833="","",IFERROR(INDEX(Client_List!$J:$J,MATCH(VALUE(B1833),Client_List!$A:$A,0)),""))</f>
        <v/>
      </c>
      <c r="I1833" s="70">
        <f>IF(B1833="","",IFERROR(A1833-LOOKUP(2,1/($B$4:$B1832=B1833),$A$4:$A1832),""))</f>
        <v/>
      </c>
      <c r="J1833" s="32">
        <f>IF(B1833="","",IFERROR(D1833/I1833,""))</f>
        <v/>
      </c>
      <c r="K1833" s="71">
        <f>IF(B1833="","",IFERROR(AVERAGEIFS($J$4:$J1833,$B$4:$B1833,B1833,$J$4:$J1833,"&gt;"&amp;0),""))</f>
        <v/>
      </c>
      <c r="L1833" s="11" t="n"/>
    </row>
    <row r="1834" ht="14" customHeight="1" s="72">
      <c r="A1834" s="80" t="n"/>
      <c r="B1834" s="81" t="n"/>
      <c r="C1834" s="69">
        <f>IF(B1834="","",IFERROR(INDEX(Client_List!$B:$B,MATCH(B1834,Client_List!$A:$A,0)),"⚠ NOT FOUND"))</f>
        <v/>
      </c>
      <c r="D1834" s="45" t="n"/>
      <c r="E1834" s="32">
        <f>IF(B1834="","",IFERROR(INDEX(Client_List!$C:$C,MATCH(VALUE(B1834),Client_List!$A:$A,0)),""))</f>
        <v/>
      </c>
      <c r="F1834" s="53">
        <f>IF(B1834="","",IFERROR(INDEX(Client_List!$D:$D,MATCH(VALUE(B1834),Client_List!$A:$A,0)),""))</f>
        <v/>
      </c>
      <c r="G1834" s="53">
        <f>IF(B1834="","",IFERROR(INDEX(Client_List!$K:$K,MATCH(VALUE(B1834),Client_List!$A:$A,0)),""))</f>
        <v/>
      </c>
      <c r="H1834" s="32">
        <f>IF(B1834="","",IFERROR(INDEX(Client_List!$J:$J,MATCH(VALUE(B1834),Client_List!$A:$A,0)),""))</f>
        <v/>
      </c>
      <c r="I1834" s="70">
        <f>IF(B1834="","",IFERROR(A1834-LOOKUP(2,1/($B$4:$B1833=B1834),$A$4:$A1833),""))</f>
        <v/>
      </c>
      <c r="J1834" s="32">
        <f>IF(B1834="","",IFERROR(D1834/I1834,""))</f>
        <v/>
      </c>
      <c r="K1834" s="71">
        <f>IF(B1834="","",IFERROR(AVERAGEIFS($J$4:$J1834,$B$4:$B1834,B1834,$J$4:$J1834,"&gt;"&amp;0),""))</f>
        <v/>
      </c>
      <c r="L1834" s="12" t="n"/>
    </row>
    <row r="1835" ht="14" customHeight="1" s="72">
      <c r="A1835" s="78" t="n"/>
      <c r="B1835" s="79" t="n"/>
      <c r="C1835" s="69">
        <f>IF(B1835="","",IFERROR(INDEX(Client_List!$B:$B,MATCH(B1835,Client_List!$A:$A,0)),"⚠ NOT FOUND"))</f>
        <v/>
      </c>
      <c r="D1835" s="44" t="n"/>
      <c r="E1835" s="32">
        <f>IF(B1835="","",IFERROR(INDEX(Client_List!$C:$C,MATCH(VALUE(B1835),Client_List!$A:$A,0)),""))</f>
        <v/>
      </c>
      <c r="F1835" s="53">
        <f>IF(B1835="","",IFERROR(INDEX(Client_List!$D:$D,MATCH(VALUE(B1835),Client_List!$A:$A,0)),""))</f>
        <v/>
      </c>
      <c r="G1835" s="53">
        <f>IF(B1835="","",IFERROR(INDEX(Client_List!$K:$K,MATCH(VALUE(B1835),Client_List!$A:$A,0)),""))</f>
        <v/>
      </c>
      <c r="H1835" s="32">
        <f>IF(B1835="","",IFERROR(INDEX(Client_List!$J:$J,MATCH(VALUE(B1835),Client_List!$A:$A,0)),""))</f>
        <v/>
      </c>
      <c r="I1835" s="70">
        <f>IF(B1835="","",IFERROR(A1835-LOOKUP(2,1/($B$4:$B1834=B1835),$A$4:$A1834),""))</f>
        <v/>
      </c>
      <c r="J1835" s="32">
        <f>IF(B1835="","",IFERROR(D1835/I1835,""))</f>
        <v/>
      </c>
      <c r="K1835" s="71">
        <f>IF(B1835="","",IFERROR(AVERAGEIFS($J$4:$J1835,$B$4:$B1835,B1835,$J$4:$J1835,"&gt;"&amp;0),""))</f>
        <v/>
      </c>
      <c r="L1835" s="11" t="n"/>
    </row>
    <row r="1836" ht="14" customHeight="1" s="72">
      <c r="A1836" s="80" t="n"/>
      <c r="B1836" s="81" t="n"/>
      <c r="C1836" s="69">
        <f>IF(B1836="","",IFERROR(INDEX(Client_List!$B:$B,MATCH(B1836,Client_List!$A:$A,0)),"⚠ NOT FOUND"))</f>
        <v/>
      </c>
      <c r="D1836" s="45" t="n"/>
      <c r="E1836" s="32">
        <f>IF(B1836="","",IFERROR(INDEX(Client_List!$C:$C,MATCH(VALUE(B1836),Client_List!$A:$A,0)),""))</f>
        <v/>
      </c>
      <c r="F1836" s="53">
        <f>IF(B1836="","",IFERROR(INDEX(Client_List!$D:$D,MATCH(VALUE(B1836),Client_List!$A:$A,0)),""))</f>
        <v/>
      </c>
      <c r="G1836" s="53">
        <f>IF(B1836="","",IFERROR(INDEX(Client_List!$K:$K,MATCH(VALUE(B1836),Client_List!$A:$A,0)),""))</f>
        <v/>
      </c>
      <c r="H1836" s="32">
        <f>IF(B1836="","",IFERROR(INDEX(Client_List!$J:$J,MATCH(VALUE(B1836),Client_List!$A:$A,0)),""))</f>
        <v/>
      </c>
      <c r="I1836" s="70">
        <f>IF(B1836="","",IFERROR(A1836-LOOKUP(2,1/($B$4:$B1835=B1836),$A$4:$A1835),""))</f>
        <v/>
      </c>
      <c r="J1836" s="32">
        <f>IF(B1836="","",IFERROR(D1836/I1836,""))</f>
        <v/>
      </c>
      <c r="K1836" s="71">
        <f>IF(B1836="","",IFERROR(AVERAGEIFS($J$4:$J1836,$B$4:$B1836,B1836,$J$4:$J1836,"&gt;"&amp;0),""))</f>
        <v/>
      </c>
      <c r="L1836" s="12" t="n"/>
    </row>
    <row r="1837" ht="14" customHeight="1" s="72">
      <c r="A1837" s="78" t="n"/>
      <c r="B1837" s="79" t="n"/>
      <c r="C1837" s="69">
        <f>IF(B1837="","",IFERROR(INDEX(Client_List!$B:$B,MATCH(B1837,Client_List!$A:$A,0)),"⚠ NOT FOUND"))</f>
        <v/>
      </c>
      <c r="D1837" s="44" t="n"/>
      <c r="E1837" s="32">
        <f>IF(B1837="","",IFERROR(INDEX(Client_List!$C:$C,MATCH(VALUE(B1837),Client_List!$A:$A,0)),""))</f>
        <v/>
      </c>
      <c r="F1837" s="53">
        <f>IF(B1837="","",IFERROR(INDEX(Client_List!$D:$D,MATCH(VALUE(B1837),Client_List!$A:$A,0)),""))</f>
        <v/>
      </c>
      <c r="G1837" s="53">
        <f>IF(B1837="","",IFERROR(INDEX(Client_List!$K:$K,MATCH(VALUE(B1837),Client_List!$A:$A,0)),""))</f>
        <v/>
      </c>
      <c r="H1837" s="32">
        <f>IF(B1837="","",IFERROR(INDEX(Client_List!$J:$J,MATCH(VALUE(B1837),Client_List!$A:$A,0)),""))</f>
        <v/>
      </c>
      <c r="I1837" s="70">
        <f>IF(B1837="","",IFERROR(A1837-LOOKUP(2,1/($B$4:$B1836=B1837),$A$4:$A1836),""))</f>
        <v/>
      </c>
      <c r="J1837" s="32">
        <f>IF(B1837="","",IFERROR(D1837/I1837,""))</f>
        <v/>
      </c>
      <c r="K1837" s="71">
        <f>IF(B1837="","",IFERROR(AVERAGEIFS($J$4:$J1837,$B$4:$B1837,B1837,$J$4:$J1837,"&gt;"&amp;0),""))</f>
        <v/>
      </c>
      <c r="L1837" s="11" t="n"/>
    </row>
    <row r="1838" ht="14" customHeight="1" s="72">
      <c r="A1838" s="80" t="n"/>
      <c r="B1838" s="81" t="n"/>
      <c r="C1838" s="69">
        <f>IF(B1838="","",IFERROR(INDEX(Client_List!$B:$B,MATCH(B1838,Client_List!$A:$A,0)),"⚠ NOT FOUND"))</f>
        <v/>
      </c>
      <c r="D1838" s="45" t="n"/>
      <c r="E1838" s="32">
        <f>IF(B1838="","",IFERROR(INDEX(Client_List!$C:$C,MATCH(VALUE(B1838),Client_List!$A:$A,0)),""))</f>
        <v/>
      </c>
      <c r="F1838" s="53">
        <f>IF(B1838="","",IFERROR(INDEX(Client_List!$D:$D,MATCH(VALUE(B1838),Client_List!$A:$A,0)),""))</f>
        <v/>
      </c>
      <c r="G1838" s="53">
        <f>IF(B1838="","",IFERROR(INDEX(Client_List!$K:$K,MATCH(VALUE(B1838),Client_List!$A:$A,0)),""))</f>
        <v/>
      </c>
      <c r="H1838" s="32">
        <f>IF(B1838="","",IFERROR(INDEX(Client_List!$J:$J,MATCH(VALUE(B1838),Client_List!$A:$A,0)),""))</f>
        <v/>
      </c>
      <c r="I1838" s="70">
        <f>IF(B1838="","",IFERROR(A1838-LOOKUP(2,1/($B$4:$B1837=B1838),$A$4:$A1837),""))</f>
        <v/>
      </c>
      <c r="J1838" s="32">
        <f>IF(B1838="","",IFERROR(D1838/I1838,""))</f>
        <v/>
      </c>
      <c r="K1838" s="71">
        <f>IF(B1838="","",IFERROR(AVERAGEIFS($J$4:$J1838,$B$4:$B1838,B1838,$J$4:$J1838,"&gt;"&amp;0),""))</f>
        <v/>
      </c>
      <c r="L1838" s="12" t="n"/>
    </row>
    <row r="1839" ht="14" customHeight="1" s="72">
      <c r="A1839" s="78" t="n"/>
      <c r="B1839" s="79" t="n"/>
      <c r="C1839" s="69">
        <f>IF(B1839="","",IFERROR(INDEX(Client_List!$B:$B,MATCH(B1839,Client_List!$A:$A,0)),"⚠ NOT FOUND"))</f>
        <v/>
      </c>
      <c r="D1839" s="44" t="n"/>
      <c r="E1839" s="32">
        <f>IF(B1839="","",IFERROR(INDEX(Client_List!$C:$C,MATCH(VALUE(B1839),Client_List!$A:$A,0)),""))</f>
        <v/>
      </c>
      <c r="F1839" s="53">
        <f>IF(B1839="","",IFERROR(INDEX(Client_List!$D:$D,MATCH(VALUE(B1839),Client_List!$A:$A,0)),""))</f>
        <v/>
      </c>
      <c r="G1839" s="53">
        <f>IF(B1839="","",IFERROR(INDEX(Client_List!$K:$K,MATCH(VALUE(B1839),Client_List!$A:$A,0)),""))</f>
        <v/>
      </c>
      <c r="H1839" s="32">
        <f>IF(B1839="","",IFERROR(INDEX(Client_List!$J:$J,MATCH(VALUE(B1839),Client_List!$A:$A,0)),""))</f>
        <v/>
      </c>
      <c r="I1839" s="70">
        <f>IF(B1839="","",IFERROR(A1839-LOOKUP(2,1/($B$4:$B1838=B1839),$A$4:$A1838),""))</f>
        <v/>
      </c>
      <c r="J1839" s="32">
        <f>IF(B1839="","",IFERROR(D1839/I1839,""))</f>
        <v/>
      </c>
      <c r="K1839" s="71">
        <f>IF(B1839="","",IFERROR(AVERAGEIFS($J$4:$J1839,$B$4:$B1839,B1839,$J$4:$J1839,"&gt;"&amp;0),""))</f>
        <v/>
      </c>
      <c r="L1839" s="11" t="n"/>
    </row>
    <row r="1840" ht="14" customHeight="1" s="72">
      <c r="A1840" s="80" t="n"/>
      <c r="B1840" s="81" t="n"/>
      <c r="C1840" s="69">
        <f>IF(B1840="","",IFERROR(INDEX(Client_List!$B:$B,MATCH(B1840,Client_List!$A:$A,0)),"⚠ NOT FOUND"))</f>
        <v/>
      </c>
      <c r="D1840" s="45" t="n"/>
      <c r="E1840" s="32">
        <f>IF(B1840="","",IFERROR(INDEX(Client_List!$C:$C,MATCH(VALUE(B1840),Client_List!$A:$A,0)),""))</f>
        <v/>
      </c>
      <c r="F1840" s="53">
        <f>IF(B1840="","",IFERROR(INDEX(Client_List!$D:$D,MATCH(VALUE(B1840),Client_List!$A:$A,0)),""))</f>
        <v/>
      </c>
      <c r="G1840" s="53">
        <f>IF(B1840="","",IFERROR(INDEX(Client_List!$K:$K,MATCH(VALUE(B1840),Client_List!$A:$A,0)),""))</f>
        <v/>
      </c>
      <c r="H1840" s="32">
        <f>IF(B1840="","",IFERROR(INDEX(Client_List!$J:$J,MATCH(VALUE(B1840),Client_List!$A:$A,0)),""))</f>
        <v/>
      </c>
      <c r="I1840" s="70">
        <f>IF(B1840="","",IFERROR(A1840-LOOKUP(2,1/($B$4:$B1839=B1840),$A$4:$A1839),""))</f>
        <v/>
      </c>
      <c r="J1840" s="32">
        <f>IF(B1840="","",IFERROR(D1840/I1840,""))</f>
        <v/>
      </c>
      <c r="K1840" s="71">
        <f>IF(B1840="","",IFERROR(AVERAGEIFS($J$4:$J1840,$B$4:$B1840,B1840,$J$4:$J1840,"&gt;"&amp;0),""))</f>
        <v/>
      </c>
      <c r="L1840" s="12" t="n"/>
    </row>
    <row r="1841" ht="14" customHeight="1" s="72">
      <c r="A1841" s="78" t="n"/>
      <c r="B1841" s="79" t="n"/>
      <c r="C1841" s="69">
        <f>IF(B1841="","",IFERROR(INDEX(Client_List!$B:$B,MATCH(B1841,Client_List!$A:$A,0)),"⚠ NOT FOUND"))</f>
        <v/>
      </c>
      <c r="D1841" s="44" t="n"/>
      <c r="E1841" s="32">
        <f>IF(B1841="","",IFERROR(INDEX(Client_List!$C:$C,MATCH(VALUE(B1841),Client_List!$A:$A,0)),""))</f>
        <v/>
      </c>
      <c r="F1841" s="53">
        <f>IF(B1841="","",IFERROR(INDEX(Client_List!$D:$D,MATCH(VALUE(B1841),Client_List!$A:$A,0)),""))</f>
        <v/>
      </c>
      <c r="G1841" s="53">
        <f>IF(B1841="","",IFERROR(INDEX(Client_List!$K:$K,MATCH(VALUE(B1841),Client_List!$A:$A,0)),""))</f>
        <v/>
      </c>
      <c r="H1841" s="32">
        <f>IF(B1841="","",IFERROR(INDEX(Client_List!$J:$J,MATCH(VALUE(B1841),Client_List!$A:$A,0)),""))</f>
        <v/>
      </c>
      <c r="I1841" s="70">
        <f>IF(B1841="","",IFERROR(A1841-LOOKUP(2,1/($B$4:$B1840=B1841),$A$4:$A1840),""))</f>
        <v/>
      </c>
      <c r="J1841" s="32">
        <f>IF(B1841="","",IFERROR(D1841/I1841,""))</f>
        <v/>
      </c>
      <c r="K1841" s="71">
        <f>IF(B1841="","",IFERROR(AVERAGEIFS($J$4:$J1841,$B$4:$B1841,B1841,$J$4:$J1841,"&gt;"&amp;0),""))</f>
        <v/>
      </c>
      <c r="L1841" s="11" t="n"/>
    </row>
    <row r="1842" ht="14" customHeight="1" s="72">
      <c r="A1842" s="80" t="n"/>
      <c r="B1842" s="81" t="n"/>
      <c r="C1842" s="69">
        <f>IF(B1842="","",IFERROR(INDEX(Client_List!$B:$B,MATCH(B1842,Client_List!$A:$A,0)),"⚠ NOT FOUND"))</f>
        <v/>
      </c>
      <c r="D1842" s="45" t="n"/>
      <c r="E1842" s="32">
        <f>IF(B1842="","",IFERROR(INDEX(Client_List!$C:$C,MATCH(VALUE(B1842),Client_List!$A:$A,0)),""))</f>
        <v/>
      </c>
      <c r="F1842" s="53">
        <f>IF(B1842="","",IFERROR(INDEX(Client_List!$D:$D,MATCH(VALUE(B1842),Client_List!$A:$A,0)),""))</f>
        <v/>
      </c>
      <c r="G1842" s="53">
        <f>IF(B1842="","",IFERROR(INDEX(Client_List!$K:$K,MATCH(VALUE(B1842),Client_List!$A:$A,0)),""))</f>
        <v/>
      </c>
      <c r="H1842" s="32">
        <f>IF(B1842="","",IFERROR(INDEX(Client_List!$J:$J,MATCH(VALUE(B1842),Client_List!$A:$A,0)),""))</f>
        <v/>
      </c>
      <c r="I1842" s="70">
        <f>IF(B1842="","",IFERROR(A1842-LOOKUP(2,1/($B$4:$B1841=B1842),$A$4:$A1841),""))</f>
        <v/>
      </c>
      <c r="J1842" s="32">
        <f>IF(B1842="","",IFERROR(D1842/I1842,""))</f>
        <v/>
      </c>
      <c r="K1842" s="71">
        <f>IF(B1842="","",IFERROR(AVERAGEIFS($J$4:$J1842,$B$4:$B1842,B1842,$J$4:$J1842,"&gt;"&amp;0),""))</f>
        <v/>
      </c>
      <c r="L1842" s="12" t="n"/>
    </row>
    <row r="1843" ht="14" customHeight="1" s="72">
      <c r="A1843" s="78" t="n"/>
      <c r="B1843" s="79" t="n"/>
      <c r="C1843" s="69">
        <f>IF(B1843="","",IFERROR(INDEX(Client_List!$B:$B,MATCH(B1843,Client_List!$A:$A,0)),"⚠ NOT FOUND"))</f>
        <v/>
      </c>
      <c r="D1843" s="44" t="n"/>
      <c r="E1843" s="32">
        <f>IF(B1843="","",IFERROR(INDEX(Client_List!$C:$C,MATCH(VALUE(B1843),Client_List!$A:$A,0)),""))</f>
        <v/>
      </c>
      <c r="F1843" s="53">
        <f>IF(B1843="","",IFERROR(INDEX(Client_List!$D:$D,MATCH(VALUE(B1843),Client_List!$A:$A,0)),""))</f>
        <v/>
      </c>
      <c r="G1843" s="53">
        <f>IF(B1843="","",IFERROR(INDEX(Client_List!$K:$K,MATCH(VALUE(B1843),Client_List!$A:$A,0)),""))</f>
        <v/>
      </c>
      <c r="H1843" s="32">
        <f>IF(B1843="","",IFERROR(INDEX(Client_List!$J:$J,MATCH(VALUE(B1843),Client_List!$A:$A,0)),""))</f>
        <v/>
      </c>
      <c r="I1843" s="70">
        <f>IF(B1843="","",IFERROR(A1843-LOOKUP(2,1/($B$4:$B1842=B1843),$A$4:$A1842),""))</f>
        <v/>
      </c>
      <c r="J1843" s="32">
        <f>IF(B1843="","",IFERROR(D1843/I1843,""))</f>
        <v/>
      </c>
      <c r="K1843" s="71">
        <f>IF(B1843="","",IFERROR(AVERAGEIFS($J$4:$J1843,$B$4:$B1843,B1843,$J$4:$J1843,"&gt;"&amp;0),""))</f>
        <v/>
      </c>
      <c r="L1843" s="11" t="n"/>
    </row>
    <row r="1844" ht="14" customHeight="1" s="72">
      <c r="A1844" s="80" t="n"/>
      <c r="B1844" s="81" t="n"/>
      <c r="C1844" s="69">
        <f>IF(B1844="","",IFERROR(INDEX(Client_List!$B:$B,MATCH(B1844,Client_List!$A:$A,0)),"⚠ NOT FOUND"))</f>
        <v/>
      </c>
      <c r="D1844" s="45" t="n"/>
      <c r="E1844" s="32">
        <f>IF(B1844="","",IFERROR(INDEX(Client_List!$C:$C,MATCH(VALUE(B1844),Client_List!$A:$A,0)),""))</f>
        <v/>
      </c>
      <c r="F1844" s="53">
        <f>IF(B1844="","",IFERROR(INDEX(Client_List!$D:$D,MATCH(VALUE(B1844),Client_List!$A:$A,0)),""))</f>
        <v/>
      </c>
      <c r="G1844" s="53">
        <f>IF(B1844="","",IFERROR(INDEX(Client_List!$K:$K,MATCH(VALUE(B1844),Client_List!$A:$A,0)),""))</f>
        <v/>
      </c>
      <c r="H1844" s="32">
        <f>IF(B1844="","",IFERROR(INDEX(Client_List!$J:$J,MATCH(VALUE(B1844),Client_List!$A:$A,0)),""))</f>
        <v/>
      </c>
      <c r="I1844" s="70">
        <f>IF(B1844="","",IFERROR(A1844-LOOKUP(2,1/($B$4:$B1843=B1844),$A$4:$A1843),""))</f>
        <v/>
      </c>
      <c r="J1844" s="32">
        <f>IF(B1844="","",IFERROR(D1844/I1844,""))</f>
        <v/>
      </c>
      <c r="K1844" s="71">
        <f>IF(B1844="","",IFERROR(AVERAGEIFS($J$4:$J1844,$B$4:$B1844,B1844,$J$4:$J1844,"&gt;"&amp;0),""))</f>
        <v/>
      </c>
      <c r="L1844" s="12" t="n"/>
    </row>
    <row r="1845" ht="14" customHeight="1" s="72">
      <c r="A1845" s="78" t="n"/>
      <c r="B1845" s="79" t="n"/>
      <c r="C1845" s="69">
        <f>IF(B1845="","",IFERROR(INDEX(Client_List!$B:$B,MATCH(B1845,Client_List!$A:$A,0)),"⚠ NOT FOUND"))</f>
        <v/>
      </c>
      <c r="D1845" s="44" t="n"/>
      <c r="E1845" s="32">
        <f>IF(B1845="","",IFERROR(INDEX(Client_List!$C:$C,MATCH(VALUE(B1845),Client_List!$A:$A,0)),""))</f>
        <v/>
      </c>
      <c r="F1845" s="53">
        <f>IF(B1845="","",IFERROR(INDEX(Client_List!$D:$D,MATCH(VALUE(B1845),Client_List!$A:$A,0)),""))</f>
        <v/>
      </c>
      <c r="G1845" s="53">
        <f>IF(B1845="","",IFERROR(INDEX(Client_List!$K:$K,MATCH(VALUE(B1845),Client_List!$A:$A,0)),""))</f>
        <v/>
      </c>
      <c r="H1845" s="32">
        <f>IF(B1845="","",IFERROR(INDEX(Client_List!$J:$J,MATCH(VALUE(B1845),Client_List!$A:$A,0)),""))</f>
        <v/>
      </c>
      <c r="I1845" s="70">
        <f>IF(B1845="","",IFERROR(A1845-LOOKUP(2,1/($B$4:$B1844=B1845),$A$4:$A1844),""))</f>
        <v/>
      </c>
      <c r="J1845" s="32">
        <f>IF(B1845="","",IFERROR(D1845/I1845,""))</f>
        <v/>
      </c>
      <c r="K1845" s="71">
        <f>IF(B1845="","",IFERROR(AVERAGEIFS($J$4:$J1845,$B$4:$B1845,B1845,$J$4:$J1845,"&gt;"&amp;0),""))</f>
        <v/>
      </c>
      <c r="L1845" s="11" t="n"/>
    </row>
    <row r="1846" ht="14" customHeight="1" s="72">
      <c r="A1846" s="80" t="n"/>
      <c r="B1846" s="81" t="n"/>
      <c r="C1846" s="69">
        <f>IF(B1846="","",IFERROR(INDEX(Client_List!$B:$B,MATCH(B1846,Client_List!$A:$A,0)),"⚠ NOT FOUND"))</f>
        <v/>
      </c>
      <c r="D1846" s="45" t="n"/>
      <c r="E1846" s="32">
        <f>IF(B1846="","",IFERROR(INDEX(Client_List!$C:$C,MATCH(VALUE(B1846),Client_List!$A:$A,0)),""))</f>
        <v/>
      </c>
      <c r="F1846" s="53">
        <f>IF(B1846="","",IFERROR(INDEX(Client_List!$D:$D,MATCH(VALUE(B1846),Client_List!$A:$A,0)),""))</f>
        <v/>
      </c>
      <c r="G1846" s="53">
        <f>IF(B1846="","",IFERROR(INDEX(Client_List!$K:$K,MATCH(VALUE(B1846),Client_List!$A:$A,0)),""))</f>
        <v/>
      </c>
      <c r="H1846" s="32">
        <f>IF(B1846="","",IFERROR(INDEX(Client_List!$J:$J,MATCH(VALUE(B1846),Client_List!$A:$A,0)),""))</f>
        <v/>
      </c>
      <c r="I1846" s="70">
        <f>IF(B1846="","",IFERROR(A1846-LOOKUP(2,1/($B$4:$B1845=B1846),$A$4:$A1845),""))</f>
        <v/>
      </c>
      <c r="J1846" s="32">
        <f>IF(B1846="","",IFERROR(D1846/I1846,""))</f>
        <v/>
      </c>
      <c r="K1846" s="71">
        <f>IF(B1846="","",IFERROR(AVERAGEIFS($J$4:$J1846,$B$4:$B1846,B1846,$J$4:$J1846,"&gt;"&amp;0),""))</f>
        <v/>
      </c>
      <c r="L1846" s="12" t="n"/>
    </row>
    <row r="1847" ht="14" customHeight="1" s="72">
      <c r="A1847" s="78" t="n"/>
      <c r="B1847" s="79" t="n"/>
      <c r="C1847" s="69">
        <f>IF(B1847="","",IFERROR(INDEX(Client_List!$B:$B,MATCH(B1847,Client_List!$A:$A,0)),"⚠ NOT FOUND"))</f>
        <v/>
      </c>
      <c r="D1847" s="44" t="n"/>
      <c r="E1847" s="32">
        <f>IF(B1847="","",IFERROR(INDEX(Client_List!$C:$C,MATCH(VALUE(B1847),Client_List!$A:$A,0)),""))</f>
        <v/>
      </c>
      <c r="F1847" s="53">
        <f>IF(B1847="","",IFERROR(INDEX(Client_List!$D:$D,MATCH(VALUE(B1847),Client_List!$A:$A,0)),""))</f>
        <v/>
      </c>
      <c r="G1847" s="53">
        <f>IF(B1847="","",IFERROR(INDEX(Client_List!$K:$K,MATCH(VALUE(B1847),Client_List!$A:$A,0)),""))</f>
        <v/>
      </c>
      <c r="H1847" s="32">
        <f>IF(B1847="","",IFERROR(INDEX(Client_List!$J:$J,MATCH(VALUE(B1847),Client_List!$A:$A,0)),""))</f>
        <v/>
      </c>
      <c r="I1847" s="70">
        <f>IF(B1847="","",IFERROR(A1847-LOOKUP(2,1/($B$4:$B1846=B1847),$A$4:$A1846),""))</f>
        <v/>
      </c>
      <c r="J1847" s="32">
        <f>IF(B1847="","",IFERROR(D1847/I1847,""))</f>
        <v/>
      </c>
      <c r="K1847" s="71">
        <f>IF(B1847="","",IFERROR(AVERAGEIFS($J$4:$J1847,$B$4:$B1847,B1847,$J$4:$J1847,"&gt;"&amp;0),""))</f>
        <v/>
      </c>
      <c r="L1847" s="11" t="n"/>
    </row>
    <row r="1848" ht="14" customHeight="1" s="72">
      <c r="A1848" s="80" t="n"/>
      <c r="B1848" s="81" t="n"/>
      <c r="C1848" s="69">
        <f>IF(B1848="","",IFERROR(INDEX(Client_List!$B:$B,MATCH(B1848,Client_List!$A:$A,0)),"⚠ NOT FOUND"))</f>
        <v/>
      </c>
      <c r="D1848" s="45" t="n"/>
      <c r="E1848" s="32">
        <f>IF(B1848="","",IFERROR(INDEX(Client_List!$C:$C,MATCH(VALUE(B1848),Client_List!$A:$A,0)),""))</f>
        <v/>
      </c>
      <c r="F1848" s="53">
        <f>IF(B1848="","",IFERROR(INDEX(Client_List!$D:$D,MATCH(VALUE(B1848),Client_List!$A:$A,0)),""))</f>
        <v/>
      </c>
      <c r="G1848" s="53">
        <f>IF(B1848="","",IFERROR(INDEX(Client_List!$K:$K,MATCH(VALUE(B1848),Client_List!$A:$A,0)),""))</f>
        <v/>
      </c>
      <c r="H1848" s="32">
        <f>IF(B1848="","",IFERROR(INDEX(Client_List!$J:$J,MATCH(VALUE(B1848),Client_List!$A:$A,0)),""))</f>
        <v/>
      </c>
      <c r="I1848" s="70">
        <f>IF(B1848="","",IFERROR(A1848-LOOKUP(2,1/($B$4:$B1847=B1848),$A$4:$A1847),""))</f>
        <v/>
      </c>
      <c r="J1848" s="32">
        <f>IF(B1848="","",IFERROR(D1848/I1848,""))</f>
        <v/>
      </c>
      <c r="K1848" s="71">
        <f>IF(B1848="","",IFERROR(AVERAGEIFS($J$4:$J1848,$B$4:$B1848,B1848,$J$4:$J1848,"&gt;"&amp;0),""))</f>
        <v/>
      </c>
      <c r="L1848" s="12" t="n"/>
    </row>
    <row r="1849" ht="14" customHeight="1" s="72">
      <c r="A1849" s="78" t="n"/>
      <c r="B1849" s="79" t="n"/>
      <c r="C1849" s="69">
        <f>IF(B1849="","",IFERROR(INDEX(Client_List!$B:$B,MATCH(B1849,Client_List!$A:$A,0)),"⚠ NOT FOUND"))</f>
        <v/>
      </c>
      <c r="D1849" s="44" t="n"/>
      <c r="E1849" s="32">
        <f>IF(B1849="","",IFERROR(INDEX(Client_List!$C:$C,MATCH(VALUE(B1849),Client_List!$A:$A,0)),""))</f>
        <v/>
      </c>
      <c r="F1849" s="53">
        <f>IF(B1849="","",IFERROR(INDEX(Client_List!$D:$D,MATCH(VALUE(B1849),Client_List!$A:$A,0)),""))</f>
        <v/>
      </c>
      <c r="G1849" s="53">
        <f>IF(B1849="","",IFERROR(INDEX(Client_List!$K:$K,MATCH(VALUE(B1849),Client_List!$A:$A,0)),""))</f>
        <v/>
      </c>
      <c r="H1849" s="32">
        <f>IF(B1849="","",IFERROR(INDEX(Client_List!$J:$J,MATCH(VALUE(B1849),Client_List!$A:$A,0)),""))</f>
        <v/>
      </c>
      <c r="I1849" s="70">
        <f>IF(B1849="","",IFERROR(A1849-LOOKUP(2,1/($B$4:$B1848=B1849),$A$4:$A1848),""))</f>
        <v/>
      </c>
      <c r="J1849" s="32">
        <f>IF(B1849="","",IFERROR(D1849/I1849,""))</f>
        <v/>
      </c>
      <c r="K1849" s="71">
        <f>IF(B1849="","",IFERROR(AVERAGEIFS($J$4:$J1849,$B$4:$B1849,B1849,$J$4:$J1849,"&gt;"&amp;0),""))</f>
        <v/>
      </c>
      <c r="L1849" s="11" t="n"/>
    </row>
    <row r="1850" ht="14" customHeight="1" s="72">
      <c r="A1850" s="80" t="n"/>
      <c r="B1850" s="81" t="n"/>
      <c r="C1850" s="69">
        <f>IF(B1850="","",IFERROR(INDEX(Client_List!$B:$B,MATCH(B1850,Client_List!$A:$A,0)),"⚠ NOT FOUND"))</f>
        <v/>
      </c>
      <c r="D1850" s="45" t="n"/>
      <c r="E1850" s="32">
        <f>IF(B1850="","",IFERROR(INDEX(Client_List!$C:$C,MATCH(VALUE(B1850),Client_List!$A:$A,0)),""))</f>
        <v/>
      </c>
      <c r="F1850" s="53">
        <f>IF(B1850="","",IFERROR(INDEX(Client_List!$D:$D,MATCH(VALUE(B1850),Client_List!$A:$A,0)),""))</f>
        <v/>
      </c>
      <c r="G1850" s="53">
        <f>IF(B1850="","",IFERROR(INDEX(Client_List!$K:$K,MATCH(VALUE(B1850),Client_List!$A:$A,0)),""))</f>
        <v/>
      </c>
      <c r="H1850" s="32">
        <f>IF(B1850="","",IFERROR(INDEX(Client_List!$J:$J,MATCH(VALUE(B1850),Client_List!$A:$A,0)),""))</f>
        <v/>
      </c>
      <c r="I1850" s="70">
        <f>IF(B1850="","",IFERROR(A1850-LOOKUP(2,1/($B$4:$B1849=B1850),$A$4:$A1849),""))</f>
        <v/>
      </c>
      <c r="J1850" s="32">
        <f>IF(B1850="","",IFERROR(D1850/I1850,""))</f>
        <v/>
      </c>
      <c r="K1850" s="71">
        <f>IF(B1850="","",IFERROR(AVERAGEIFS($J$4:$J1850,$B$4:$B1850,B1850,$J$4:$J1850,"&gt;"&amp;0),""))</f>
        <v/>
      </c>
      <c r="L1850" s="12" t="n"/>
    </row>
    <row r="1851" ht="14" customHeight="1" s="72">
      <c r="A1851" s="78" t="n"/>
      <c r="B1851" s="79" t="n"/>
      <c r="C1851" s="69">
        <f>IF(B1851="","",IFERROR(INDEX(Client_List!$B:$B,MATCH(B1851,Client_List!$A:$A,0)),"⚠ NOT FOUND"))</f>
        <v/>
      </c>
      <c r="D1851" s="44" t="n"/>
      <c r="E1851" s="32">
        <f>IF(B1851="","",IFERROR(INDEX(Client_List!$C:$C,MATCH(VALUE(B1851),Client_List!$A:$A,0)),""))</f>
        <v/>
      </c>
      <c r="F1851" s="53">
        <f>IF(B1851="","",IFERROR(INDEX(Client_List!$D:$D,MATCH(VALUE(B1851),Client_List!$A:$A,0)),""))</f>
        <v/>
      </c>
      <c r="G1851" s="53">
        <f>IF(B1851="","",IFERROR(INDEX(Client_List!$K:$K,MATCH(VALUE(B1851),Client_List!$A:$A,0)),""))</f>
        <v/>
      </c>
      <c r="H1851" s="32">
        <f>IF(B1851="","",IFERROR(INDEX(Client_List!$J:$J,MATCH(VALUE(B1851),Client_List!$A:$A,0)),""))</f>
        <v/>
      </c>
      <c r="I1851" s="70">
        <f>IF(B1851="","",IFERROR(A1851-LOOKUP(2,1/($B$4:$B1850=B1851),$A$4:$A1850),""))</f>
        <v/>
      </c>
      <c r="J1851" s="32">
        <f>IF(B1851="","",IFERROR(D1851/I1851,""))</f>
        <v/>
      </c>
      <c r="K1851" s="71">
        <f>IF(B1851="","",IFERROR(AVERAGEIFS($J$4:$J1851,$B$4:$B1851,B1851,$J$4:$J1851,"&gt;"&amp;0),""))</f>
        <v/>
      </c>
      <c r="L1851" s="11" t="n"/>
    </row>
    <row r="1852" ht="14" customHeight="1" s="72">
      <c r="A1852" s="80" t="n"/>
      <c r="B1852" s="81" t="n"/>
      <c r="C1852" s="69">
        <f>IF(B1852="","",IFERROR(INDEX(Client_List!$B:$B,MATCH(B1852,Client_List!$A:$A,0)),"⚠ NOT FOUND"))</f>
        <v/>
      </c>
      <c r="D1852" s="45" t="n"/>
      <c r="E1852" s="32">
        <f>IF(B1852="","",IFERROR(INDEX(Client_List!$C:$C,MATCH(VALUE(B1852),Client_List!$A:$A,0)),""))</f>
        <v/>
      </c>
      <c r="F1852" s="53">
        <f>IF(B1852="","",IFERROR(INDEX(Client_List!$D:$D,MATCH(VALUE(B1852),Client_List!$A:$A,0)),""))</f>
        <v/>
      </c>
      <c r="G1852" s="53">
        <f>IF(B1852="","",IFERROR(INDEX(Client_List!$K:$K,MATCH(VALUE(B1852),Client_List!$A:$A,0)),""))</f>
        <v/>
      </c>
      <c r="H1852" s="32">
        <f>IF(B1852="","",IFERROR(INDEX(Client_List!$J:$J,MATCH(VALUE(B1852),Client_List!$A:$A,0)),""))</f>
        <v/>
      </c>
      <c r="I1852" s="70">
        <f>IF(B1852="","",IFERROR(A1852-LOOKUP(2,1/($B$4:$B1851=B1852),$A$4:$A1851),""))</f>
        <v/>
      </c>
      <c r="J1852" s="32">
        <f>IF(B1852="","",IFERROR(D1852/I1852,""))</f>
        <v/>
      </c>
      <c r="K1852" s="71">
        <f>IF(B1852="","",IFERROR(AVERAGEIFS($J$4:$J1852,$B$4:$B1852,B1852,$J$4:$J1852,"&gt;"&amp;0),""))</f>
        <v/>
      </c>
      <c r="L1852" s="12" t="n"/>
    </row>
    <row r="1853" ht="14" customHeight="1" s="72">
      <c r="A1853" s="78" t="n"/>
      <c r="B1853" s="79" t="n"/>
      <c r="C1853" s="69">
        <f>IF(B1853="","",IFERROR(INDEX(Client_List!$B:$B,MATCH(B1853,Client_List!$A:$A,0)),"⚠ NOT FOUND"))</f>
        <v/>
      </c>
      <c r="D1853" s="44" t="n"/>
      <c r="E1853" s="32">
        <f>IF(B1853="","",IFERROR(INDEX(Client_List!$C:$C,MATCH(VALUE(B1853),Client_List!$A:$A,0)),""))</f>
        <v/>
      </c>
      <c r="F1853" s="53">
        <f>IF(B1853="","",IFERROR(INDEX(Client_List!$D:$D,MATCH(VALUE(B1853),Client_List!$A:$A,0)),""))</f>
        <v/>
      </c>
      <c r="G1853" s="53">
        <f>IF(B1853="","",IFERROR(INDEX(Client_List!$K:$K,MATCH(VALUE(B1853),Client_List!$A:$A,0)),""))</f>
        <v/>
      </c>
      <c r="H1853" s="32">
        <f>IF(B1853="","",IFERROR(INDEX(Client_List!$J:$J,MATCH(VALUE(B1853),Client_List!$A:$A,0)),""))</f>
        <v/>
      </c>
      <c r="I1853" s="70">
        <f>IF(B1853="","",IFERROR(A1853-LOOKUP(2,1/($B$4:$B1852=B1853),$A$4:$A1852),""))</f>
        <v/>
      </c>
      <c r="J1853" s="32">
        <f>IF(B1853="","",IFERROR(D1853/I1853,""))</f>
        <v/>
      </c>
      <c r="K1853" s="71">
        <f>IF(B1853="","",IFERROR(AVERAGEIFS($J$4:$J1853,$B$4:$B1853,B1853,$J$4:$J1853,"&gt;"&amp;0),""))</f>
        <v/>
      </c>
      <c r="L1853" s="11" t="n"/>
    </row>
    <row r="1854" ht="14" customHeight="1" s="72">
      <c r="A1854" s="80" t="n"/>
      <c r="B1854" s="81" t="n"/>
      <c r="C1854" s="69">
        <f>IF(B1854="","",IFERROR(INDEX(Client_List!$B:$B,MATCH(B1854,Client_List!$A:$A,0)),"⚠ NOT FOUND"))</f>
        <v/>
      </c>
      <c r="D1854" s="45" t="n"/>
      <c r="E1854" s="32">
        <f>IF(B1854="","",IFERROR(INDEX(Client_List!$C:$C,MATCH(VALUE(B1854),Client_List!$A:$A,0)),""))</f>
        <v/>
      </c>
      <c r="F1854" s="53">
        <f>IF(B1854="","",IFERROR(INDEX(Client_List!$D:$D,MATCH(VALUE(B1854),Client_List!$A:$A,0)),""))</f>
        <v/>
      </c>
      <c r="G1854" s="53">
        <f>IF(B1854="","",IFERROR(INDEX(Client_List!$K:$K,MATCH(VALUE(B1854),Client_List!$A:$A,0)),""))</f>
        <v/>
      </c>
      <c r="H1854" s="32">
        <f>IF(B1854="","",IFERROR(INDEX(Client_List!$J:$J,MATCH(VALUE(B1854),Client_List!$A:$A,0)),""))</f>
        <v/>
      </c>
      <c r="I1854" s="70">
        <f>IF(B1854="","",IFERROR(A1854-LOOKUP(2,1/($B$4:$B1853=B1854),$A$4:$A1853),""))</f>
        <v/>
      </c>
      <c r="J1854" s="32">
        <f>IF(B1854="","",IFERROR(D1854/I1854,""))</f>
        <v/>
      </c>
      <c r="K1854" s="71">
        <f>IF(B1854="","",IFERROR(AVERAGEIFS($J$4:$J1854,$B$4:$B1854,B1854,$J$4:$J1854,"&gt;"&amp;0),""))</f>
        <v/>
      </c>
      <c r="L1854" s="12" t="n"/>
    </row>
    <row r="1855" ht="14" customHeight="1" s="72">
      <c r="A1855" s="78" t="n"/>
      <c r="B1855" s="79" t="n"/>
      <c r="C1855" s="69">
        <f>IF(B1855="","",IFERROR(INDEX(Client_List!$B:$B,MATCH(B1855,Client_List!$A:$A,0)),"⚠ NOT FOUND"))</f>
        <v/>
      </c>
      <c r="D1855" s="44" t="n"/>
      <c r="E1855" s="32">
        <f>IF(B1855="","",IFERROR(INDEX(Client_List!$C:$C,MATCH(VALUE(B1855),Client_List!$A:$A,0)),""))</f>
        <v/>
      </c>
      <c r="F1855" s="53">
        <f>IF(B1855="","",IFERROR(INDEX(Client_List!$D:$D,MATCH(VALUE(B1855),Client_List!$A:$A,0)),""))</f>
        <v/>
      </c>
      <c r="G1855" s="53">
        <f>IF(B1855="","",IFERROR(INDEX(Client_List!$K:$K,MATCH(VALUE(B1855),Client_List!$A:$A,0)),""))</f>
        <v/>
      </c>
      <c r="H1855" s="32">
        <f>IF(B1855="","",IFERROR(INDEX(Client_List!$J:$J,MATCH(VALUE(B1855),Client_List!$A:$A,0)),""))</f>
        <v/>
      </c>
      <c r="I1855" s="70">
        <f>IF(B1855="","",IFERROR(A1855-LOOKUP(2,1/($B$4:$B1854=B1855),$A$4:$A1854),""))</f>
        <v/>
      </c>
      <c r="J1855" s="32">
        <f>IF(B1855="","",IFERROR(D1855/I1855,""))</f>
        <v/>
      </c>
      <c r="K1855" s="71">
        <f>IF(B1855="","",IFERROR(AVERAGEIFS($J$4:$J1855,$B$4:$B1855,B1855,$J$4:$J1855,"&gt;"&amp;0),""))</f>
        <v/>
      </c>
      <c r="L1855" s="11" t="n"/>
    </row>
    <row r="1856" ht="14" customHeight="1" s="72">
      <c r="A1856" s="80" t="n"/>
      <c r="B1856" s="81" t="n"/>
      <c r="C1856" s="69">
        <f>IF(B1856="","",IFERROR(INDEX(Client_List!$B:$B,MATCH(B1856,Client_List!$A:$A,0)),"⚠ NOT FOUND"))</f>
        <v/>
      </c>
      <c r="D1856" s="45" t="n"/>
      <c r="E1856" s="32">
        <f>IF(B1856="","",IFERROR(INDEX(Client_List!$C:$C,MATCH(VALUE(B1856),Client_List!$A:$A,0)),""))</f>
        <v/>
      </c>
      <c r="F1856" s="53">
        <f>IF(B1856="","",IFERROR(INDEX(Client_List!$D:$D,MATCH(VALUE(B1856),Client_List!$A:$A,0)),""))</f>
        <v/>
      </c>
      <c r="G1856" s="53">
        <f>IF(B1856="","",IFERROR(INDEX(Client_List!$K:$K,MATCH(VALUE(B1856),Client_List!$A:$A,0)),""))</f>
        <v/>
      </c>
      <c r="H1856" s="32">
        <f>IF(B1856="","",IFERROR(INDEX(Client_List!$J:$J,MATCH(VALUE(B1856),Client_List!$A:$A,0)),""))</f>
        <v/>
      </c>
      <c r="I1856" s="70">
        <f>IF(B1856="","",IFERROR(A1856-LOOKUP(2,1/($B$4:$B1855=B1856),$A$4:$A1855),""))</f>
        <v/>
      </c>
      <c r="J1856" s="32">
        <f>IF(B1856="","",IFERROR(D1856/I1856,""))</f>
        <v/>
      </c>
      <c r="K1856" s="71">
        <f>IF(B1856="","",IFERROR(AVERAGEIFS($J$4:$J1856,$B$4:$B1856,B1856,$J$4:$J1856,"&gt;"&amp;0),""))</f>
        <v/>
      </c>
      <c r="L1856" s="12" t="n"/>
    </row>
    <row r="1857" ht="14" customHeight="1" s="72">
      <c r="A1857" s="78" t="n"/>
      <c r="B1857" s="79" t="n"/>
      <c r="C1857" s="69">
        <f>IF(B1857="","",IFERROR(INDEX(Client_List!$B:$B,MATCH(B1857,Client_List!$A:$A,0)),"⚠ NOT FOUND"))</f>
        <v/>
      </c>
      <c r="D1857" s="44" t="n"/>
      <c r="E1857" s="32">
        <f>IF(B1857="","",IFERROR(INDEX(Client_List!$C:$C,MATCH(VALUE(B1857),Client_List!$A:$A,0)),""))</f>
        <v/>
      </c>
      <c r="F1857" s="53">
        <f>IF(B1857="","",IFERROR(INDEX(Client_List!$D:$D,MATCH(VALUE(B1857),Client_List!$A:$A,0)),""))</f>
        <v/>
      </c>
      <c r="G1857" s="53">
        <f>IF(B1857="","",IFERROR(INDEX(Client_List!$K:$K,MATCH(VALUE(B1857),Client_List!$A:$A,0)),""))</f>
        <v/>
      </c>
      <c r="H1857" s="32">
        <f>IF(B1857="","",IFERROR(INDEX(Client_List!$J:$J,MATCH(VALUE(B1857),Client_List!$A:$A,0)),""))</f>
        <v/>
      </c>
      <c r="I1857" s="70">
        <f>IF(B1857="","",IFERROR(A1857-LOOKUP(2,1/($B$4:$B1856=B1857),$A$4:$A1856),""))</f>
        <v/>
      </c>
      <c r="J1857" s="32">
        <f>IF(B1857="","",IFERROR(D1857/I1857,""))</f>
        <v/>
      </c>
      <c r="K1857" s="71">
        <f>IF(B1857="","",IFERROR(AVERAGEIFS($J$4:$J1857,$B$4:$B1857,B1857,$J$4:$J1857,"&gt;"&amp;0),""))</f>
        <v/>
      </c>
      <c r="L1857" s="11" t="n"/>
    </row>
    <row r="1858" ht="14" customHeight="1" s="72">
      <c r="A1858" s="80" t="n"/>
      <c r="B1858" s="81" t="n"/>
      <c r="C1858" s="69">
        <f>IF(B1858="","",IFERROR(INDEX(Client_List!$B:$B,MATCH(B1858,Client_List!$A:$A,0)),"⚠ NOT FOUND"))</f>
        <v/>
      </c>
      <c r="D1858" s="45" t="n"/>
      <c r="E1858" s="32">
        <f>IF(B1858="","",IFERROR(INDEX(Client_List!$C:$C,MATCH(VALUE(B1858),Client_List!$A:$A,0)),""))</f>
        <v/>
      </c>
      <c r="F1858" s="53">
        <f>IF(B1858="","",IFERROR(INDEX(Client_List!$D:$D,MATCH(VALUE(B1858),Client_List!$A:$A,0)),""))</f>
        <v/>
      </c>
      <c r="G1858" s="53">
        <f>IF(B1858="","",IFERROR(INDEX(Client_List!$K:$K,MATCH(VALUE(B1858),Client_List!$A:$A,0)),""))</f>
        <v/>
      </c>
      <c r="H1858" s="32">
        <f>IF(B1858="","",IFERROR(INDEX(Client_List!$J:$J,MATCH(VALUE(B1858),Client_List!$A:$A,0)),""))</f>
        <v/>
      </c>
      <c r="I1858" s="70">
        <f>IF(B1858="","",IFERROR(A1858-LOOKUP(2,1/($B$4:$B1857=B1858),$A$4:$A1857),""))</f>
        <v/>
      </c>
      <c r="J1858" s="32">
        <f>IF(B1858="","",IFERROR(D1858/I1858,""))</f>
        <v/>
      </c>
      <c r="K1858" s="71">
        <f>IF(B1858="","",IFERROR(AVERAGEIFS($J$4:$J1858,$B$4:$B1858,B1858,$J$4:$J1858,"&gt;"&amp;0),""))</f>
        <v/>
      </c>
      <c r="L1858" s="12" t="n"/>
    </row>
    <row r="1859" ht="14" customHeight="1" s="72">
      <c r="A1859" s="78" t="n"/>
      <c r="B1859" s="79" t="n"/>
      <c r="C1859" s="69">
        <f>IF(B1859="","",IFERROR(INDEX(Client_List!$B:$B,MATCH(B1859,Client_List!$A:$A,0)),"⚠ NOT FOUND"))</f>
        <v/>
      </c>
      <c r="D1859" s="44" t="n"/>
      <c r="E1859" s="32">
        <f>IF(B1859="","",IFERROR(INDEX(Client_List!$C:$C,MATCH(VALUE(B1859),Client_List!$A:$A,0)),""))</f>
        <v/>
      </c>
      <c r="F1859" s="53">
        <f>IF(B1859="","",IFERROR(INDEX(Client_List!$D:$D,MATCH(VALUE(B1859),Client_List!$A:$A,0)),""))</f>
        <v/>
      </c>
      <c r="G1859" s="53">
        <f>IF(B1859="","",IFERROR(INDEX(Client_List!$K:$K,MATCH(VALUE(B1859),Client_List!$A:$A,0)),""))</f>
        <v/>
      </c>
      <c r="H1859" s="32">
        <f>IF(B1859="","",IFERROR(INDEX(Client_List!$J:$J,MATCH(VALUE(B1859),Client_List!$A:$A,0)),""))</f>
        <v/>
      </c>
      <c r="I1859" s="70">
        <f>IF(B1859="","",IFERROR(A1859-LOOKUP(2,1/($B$4:$B1858=B1859),$A$4:$A1858),""))</f>
        <v/>
      </c>
      <c r="J1859" s="32">
        <f>IF(B1859="","",IFERROR(D1859/I1859,""))</f>
        <v/>
      </c>
      <c r="K1859" s="71">
        <f>IF(B1859="","",IFERROR(AVERAGEIFS($J$4:$J1859,$B$4:$B1859,B1859,$J$4:$J1859,"&gt;"&amp;0),""))</f>
        <v/>
      </c>
      <c r="L1859" s="11" t="n"/>
    </row>
    <row r="1860" ht="14" customHeight="1" s="72">
      <c r="A1860" s="80" t="n"/>
      <c r="B1860" s="81" t="n"/>
      <c r="C1860" s="69">
        <f>IF(B1860="","",IFERROR(INDEX(Client_List!$B:$B,MATCH(B1860,Client_List!$A:$A,0)),"⚠ NOT FOUND"))</f>
        <v/>
      </c>
      <c r="D1860" s="45" t="n"/>
      <c r="E1860" s="32">
        <f>IF(B1860="","",IFERROR(INDEX(Client_List!$C:$C,MATCH(VALUE(B1860),Client_List!$A:$A,0)),""))</f>
        <v/>
      </c>
      <c r="F1860" s="53">
        <f>IF(B1860="","",IFERROR(INDEX(Client_List!$D:$D,MATCH(VALUE(B1860),Client_List!$A:$A,0)),""))</f>
        <v/>
      </c>
      <c r="G1860" s="53">
        <f>IF(B1860="","",IFERROR(INDEX(Client_List!$K:$K,MATCH(VALUE(B1860),Client_List!$A:$A,0)),""))</f>
        <v/>
      </c>
      <c r="H1860" s="32">
        <f>IF(B1860="","",IFERROR(INDEX(Client_List!$J:$J,MATCH(VALUE(B1860),Client_List!$A:$A,0)),""))</f>
        <v/>
      </c>
      <c r="I1860" s="70">
        <f>IF(B1860="","",IFERROR(A1860-LOOKUP(2,1/($B$4:$B1859=B1860),$A$4:$A1859),""))</f>
        <v/>
      </c>
      <c r="J1860" s="32">
        <f>IF(B1860="","",IFERROR(D1860/I1860,""))</f>
        <v/>
      </c>
      <c r="K1860" s="71">
        <f>IF(B1860="","",IFERROR(AVERAGEIFS($J$4:$J1860,$B$4:$B1860,B1860,$J$4:$J1860,"&gt;"&amp;0),""))</f>
        <v/>
      </c>
      <c r="L1860" s="12" t="n"/>
    </row>
    <row r="1861" ht="14" customHeight="1" s="72">
      <c r="A1861" s="78" t="n"/>
      <c r="B1861" s="79" t="n"/>
      <c r="C1861" s="69">
        <f>IF(B1861="","",IFERROR(INDEX(Client_List!$B:$B,MATCH(B1861,Client_List!$A:$A,0)),"⚠ NOT FOUND"))</f>
        <v/>
      </c>
      <c r="D1861" s="44" t="n"/>
      <c r="E1861" s="32">
        <f>IF(B1861="","",IFERROR(INDEX(Client_List!$C:$C,MATCH(VALUE(B1861),Client_List!$A:$A,0)),""))</f>
        <v/>
      </c>
      <c r="F1861" s="53">
        <f>IF(B1861="","",IFERROR(INDEX(Client_List!$D:$D,MATCH(VALUE(B1861),Client_List!$A:$A,0)),""))</f>
        <v/>
      </c>
      <c r="G1861" s="53">
        <f>IF(B1861="","",IFERROR(INDEX(Client_List!$K:$K,MATCH(VALUE(B1861),Client_List!$A:$A,0)),""))</f>
        <v/>
      </c>
      <c r="H1861" s="32">
        <f>IF(B1861="","",IFERROR(INDEX(Client_List!$J:$J,MATCH(VALUE(B1861),Client_List!$A:$A,0)),""))</f>
        <v/>
      </c>
      <c r="I1861" s="70">
        <f>IF(B1861="","",IFERROR(A1861-LOOKUP(2,1/($B$4:$B1860=B1861),$A$4:$A1860),""))</f>
        <v/>
      </c>
      <c r="J1861" s="32">
        <f>IF(B1861="","",IFERROR(D1861/I1861,""))</f>
        <v/>
      </c>
      <c r="K1861" s="71">
        <f>IF(B1861="","",IFERROR(AVERAGEIFS($J$4:$J1861,$B$4:$B1861,B1861,$J$4:$J1861,"&gt;"&amp;0),""))</f>
        <v/>
      </c>
      <c r="L1861" s="11" t="n"/>
    </row>
    <row r="1862" ht="14" customHeight="1" s="72">
      <c r="A1862" s="80" t="n"/>
      <c r="B1862" s="81" t="n"/>
      <c r="C1862" s="69">
        <f>IF(B1862="","",IFERROR(INDEX(Client_List!$B:$B,MATCH(B1862,Client_List!$A:$A,0)),"⚠ NOT FOUND"))</f>
        <v/>
      </c>
      <c r="D1862" s="45" t="n"/>
      <c r="E1862" s="32">
        <f>IF(B1862="","",IFERROR(INDEX(Client_List!$C:$C,MATCH(VALUE(B1862),Client_List!$A:$A,0)),""))</f>
        <v/>
      </c>
      <c r="F1862" s="53">
        <f>IF(B1862="","",IFERROR(INDEX(Client_List!$D:$D,MATCH(VALUE(B1862),Client_List!$A:$A,0)),""))</f>
        <v/>
      </c>
      <c r="G1862" s="53">
        <f>IF(B1862="","",IFERROR(INDEX(Client_List!$K:$K,MATCH(VALUE(B1862),Client_List!$A:$A,0)),""))</f>
        <v/>
      </c>
      <c r="H1862" s="32">
        <f>IF(B1862="","",IFERROR(INDEX(Client_List!$J:$J,MATCH(VALUE(B1862),Client_List!$A:$A,0)),""))</f>
        <v/>
      </c>
      <c r="I1862" s="70">
        <f>IF(B1862="","",IFERROR(A1862-LOOKUP(2,1/($B$4:$B1861=B1862),$A$4:$A1861),""))</f>
        <v/>
      </c>
      <c r="J1862" s="32">
        <f>IF(B1862="","",IFERROR(D1862/I1862,""))</f>
        <v/>
      </c>
      <c r="K1862" s="71">
        <f>IF(B1862="","",IFERROR(AVERAGEIFS($J$4:$J1862,$B$4:$B1862,B1862,$J$4:$J1862,"&gt;"&amp;0),""))</f>
        <v/>
      </c>
      <c r="L1862" s="12" t="n"/>
    </row>
    <row r="1863" ht="14" customHeight="1" s="72">
      <c r="A1863" s="78" t="n"/>
      <c r="B1863" s="79" t="n"/>
      <c r="C1863" s="69">
        <f>IF(B1863="","",IFERROR(INDEX(Client_List!$B:$B,MATCH(B1863,Client_List!$A:$A,0)),"⚠ NOT FOUND"))</f>
        <v/>
      </c>
      <c r="D1863" s="44" t="n"/>
      <c r="E1863" s="32">
        <f>IF(B1863="","",IFERROR(INDEX(Client_List!$C:$C,MATCH(VALUE(B1863),Client_List!$A:$A,0)),""))</f>
        <v/>
      </c>
      <c r="F1863" s="53">
        <f>IF(B1863="","",IFERROR(INDEX(Client_List!$D:$D,MATCH(VALUE(B1863),Client_List!$A:$A,0)),""))</f>
        <v/>
      </c>
      <c r="G1863" s="53">
        <f>IF(B1863="","",IFERROR(INDEX(Client_List!$K:$K,MATCH(VALUE(B1863),Client_List!$A:$A,0)),""))</f>
        <v/>
      </c>
      <c r="H1863" s="32">
        <f>IF(B1863="","",IFERROR(INDEX(Client_List!$J:$J,MATCH(VALUE(B1863),Client_List!$A:$A,0)),""))</f>
        <v/>
      </c>
      <c r="I1863" s="70">
        <f>IF(B1863="","",IFERROR(A1863-LOOKUP(2,1/($B$4:$B1862=B1863),$A$4:$A1862),""))</f>
        <v/>
      </c>
      <c r="J1863" s="32">
        <f>IF(B1863="","",IFERROR(D1863/I1863,""))</f>
        <v/>
      </c>
      <c r="K1863" s="71">
        <f>IF(B1863="","",IFERROR(AVERAGEIFS($J$4:$J1863,$B$4:$B1863,B1863,$J$4:$J1863,"&gt;"&amp;0),""))</f>
        <v/>
      </c>
      <c r="L1863" s="11" t="n"/>
    </row>
    <row r="1864" ht="14" customHeight="1" s="72">
      <c r="A1864" s="80" t="n"/>
      <c r="B1864" s="81" t="n"/>
      <c r="C1864" s="69">
        <f>IF(B1864="","",IFERROR(INDEX(Client_List!$B:$B,MATCH(B1864,Client_List!$A:$A,0)),"⚠ NOT FOUND"))</f>
        <v/>
      </c>
      <c r="D1864" s="45" t="n"/>
      <c r="E1864" s="32">
        <f>IF(B1864="","",IFERROR(INDEX(Client_List!$C:$C,MATCH(VALUE(B1864),Client_List!$A:$A,0)),""))</f>
        <v/>
      </c>
      <c r="F1864" s="53">
        <f>IF(B1864="","",IFERROR(INDEX(Client_List!$D:$D,MATCH(VALUE(B1864),Client_List!$A:$A,0)),""))</f>
        <v/>
      </c>
      <c r="G1864" s="53">
        <f>IF(B1864="","",IFERROR(INDEX(Client_List!$K:$K,MATCH(VALUE(B1864),Client_List!$A:$A,0)),""))</f>
        <v/>
      </c>
      <c r="H1864" s="32">
        <f>IF(B1864="","",IFERROR(INDEX(Client_List!$J:$J,MATCH(VALUE(B1864),Client_List!$A:$A,0)),""))</f>
        <v/>
      </c>
      <c r="I1864" s="70">
        <f>IF(B1864="","",IFERROR(A1864-LOOKUP(2,1/($B$4:$B1863=B1864),$A$4:$A1863),""))</f>
        <v/>
      </c>
      <c r="J1864" s="32">
        <f>IF(B1864="","",IFERROR(D1864/I1864,""))</f>
        <v/>
      </c>
      <c r="K1864" s="71">
        <f>IF(B1864="","",IFERROR(AVERAGEIFS($J$4:$J1864,$B$4:$B1864,B1864,$J$4:$J1864,"&gt;"&amp;0),""))</f>
        <v/>
      </c>
      <c r="L1864" s="12" t="n"/>
    </row>
    <row r="1865" ht="14" customHeight="1" s="72">
      <c r="A1865" s="78" t="n"/>
      <c r="B1865" s="79" t="n"/>
      <c r="C1865" s="69">
        <f>IF(B1865="","",IFERROR(INDEX(Client_List!$B:$B,MATCH(B1865,Client_List!$A:$A,0)),"⚠ NOT FOUND"))</f>
        <v/>
      </c>
      <c r="D1865" s="44" t="n"/>
      <c r="E1865" s="32">
        <f>IF(B1865="","",IFERROR(INDEX(Client_List!$C:$C,MATCH(VALUE(B1865),Client_List!$A:$A,0)),""))</f>
        <v/>
      </c>
      <c r="F1865" s="53">
        <f>IF(B1865="","",IFERROR(INDEX(Client_List!$D:$D,MATCH(VALUE(B1865),Client_List!$A:$A,0)),""))</f>
        <v/>
      </c>
      <c r="G1865" s="53">
        <f>IF(B1865="","",IFERROR(INDEX(Client_List!$K:$K,MATCH(VALUE(B1865),Client_List!$A:$A,0)),""))</f>
        <v/>
      </c>
      <c r="H1865" s="32">
        <f>IF(B1865="","",IFERROR(INDEX(Client_List!$J:$J,MATCH(VALUE(B1865),Client_List!$A:$A,0)),""))</f>
        <v/>
      </c>
      <c r="I1865" s="70">
        <f>IF(B1865="","",IFERROR(A1865-LOOKUP(2,1/($B$4:$B1864=B1865),$A$4:$A1864),""))</f>
        <v/>
      </c>
      <c r="J1865" s="32">
        <f>IF(B1865="","",IFERROR(D1865/I1865,""))</f>
        <v/>
      </c>
      <c r="K1865" s="71">
        <f>IF(B1865="","",IFERROR(AVERAGEIFS($J$4:$J1865,$B$4:$B1865,B1865,$J$4:$J1865,"&gt;"&amp;0),""))</f>
        <v/>
      </c>
      <c r="L1865" s="11" t="n"/>
    </row>
    <row r="1866" ht="14" customHeight="1" s="72">
      <c r="A1866" s="80" t="n"/>
      <c r="B1866" s="81" t="n"/>
      <c r="C1866" s="69">
        <f>IF(B1866="","",IFERROR(INDEX(Client_List!$B:$B,MATCH(B1866,Client_List!$A:$A,0)),"⚠ NOT FOUND"))</f>
        <v/>
      </c>
      <c r="D1866" s="45" t="n"/>
      <c r="E1866" s="32">
        <f>IF(B1866="","",IFERROR(INDEX(Client_List!$C:$C,MATCH(VALUE(B1866),Client_List!$A:$A,0)),""))</f>
        <v/>
      </c>
      <c r="F1866" s="53">
        <f>IF(B1866="","",IFERROR(INDEX(Client_List!$D:$D,MATCH(VALUE(B1866),Client_List!$A:$A,0)),""))</f>
        <v/>
      </c>
      <c r="G1866" s="53">
        <f>IF(B1866="","",IFERROR(INDEX(Client_List!$K:$K,MATCH(VALUE(B1866),Client_List!$A:$A,0)),""))</f>
        <v/>
      </c>
      <c r="H1866" s="32">
        <f>IF(B1866="","",IFERROR(INDEX(Client_List!$J:$J,MATCH(VALUE(B1866),Client_List!$A:$A,0)),""))</f>
        <v/>
      </c>
      <c r="I1866" s="70">
        <f>IF(B1866="","",IFERROR(A1866-LOOKUP(2,1/($B$4:$B1865=B1866),$A$4:$A1865),""))</f>
        <v/>
      </c>
      <c r="J1866" s="32">
        <f>IF(B1866="","",IFERROR(D1866/I1866,""))</f>
        <v/>
      </c>
      <c r="K1866" s="71">
        <f>IF(B1866="","",IFERROR(AVERAGEIFS($J$4:$J1866,$B$4:$B1866,B1866,$J$4:$J1866,"&gt;"&amp;0),""))</f>
        <v/>
      </c>
      <c r="L1866" s="12" t="n"/>
    </row>
    <row r="1867" ht="14" customHeight="1" s="72">
      <c r="A1867" s="78" t="n"/>
      <c r="B1867" s="79" t="n"/>
      <c r="C1867" s="69">
        <f>IF(B1867="","",IFERROR(INDEX(Client_List!$B:$B,MATCH(B1867,Client_List!$A:$A,0)),"⚠ NOT FOUND"))</f>
        <v/>
      </c>
      <c r="D1867" s="44" t="n"/>
      <c r="E1867" s="32">
        <f>IF(B1867="","",IFERROR(INDEX(Client_List!$C:$C,MATCH(VALUE(B1867),Client_List!$A:$A,0)),""))</f>
        <v/>
      </c>
      <c r="F1867" s="53">
        <f>IF(B1867="","",IFERROR(INDEX(Client_List!$D:$D,MATCH(VALUE(B1867),Client_List!$A:$A,0)),""))</f>
        <v/>
      </c>
      <c r="G1867" s="53">
        <f>IF(B1867="","",IFERROR(INDEX(Client_List!$K:$K,MATCH(VALUE(B1867),Client_List!$A:$A,0)),""))</f>
        <v/>
      </c>
      <c r="H1867" s="32">
        <f>IF(B1867="","",IFERROR(INDEX(Client_List!$J:$J,MATCH(VALUE(B1867),Client_List!$A:$A,0)),""))</f>
        <v/>
      </c>
      <c r="I1867" s="70">
        <f>IF(B1867="","",IFERROR(A1867-LOOKUP(2,1/($B$4:$B1866=B1867),$A$4:$A1866),""))</f>
        <v/>
      </c>
      <c r="J1867" s="32">
        <f>IF(B1867="","",IFERROR(D1867/I1867,""))</f>
        <v/>
      </c>
      <c r="K1867" s="71">
        <f>IF(B1867="","",IFERROR(AVERAGEIFS($J$4:$J1867,$B$4:$B1867,B1867,$J$4:$J1867,"&gt;"&amp;0),""))</f>
        <v/>
      </c>
      <c r="L1867" s="11" t="n"/>
    </row>
    <row r="1868" ht="14" customHeight="1" s="72">
      <c r="A1868" s="80" t="n"/>
      <c r="B1868" s="81" t="n"/>
      <c r="C1868" s="69">
        <f>IF(B1868="","",IFERROR(INDEX(Client_List!$B:$B,MATCH(B1868,Client_List!$A:$A,0)),"⚠ NOT FOUND"))</f>
        <v/>
      </c>
      <c r="D1868" s="45" t="n"/>
      <c r="E1868" s="32">
        <f>IF(B1868="","",IFERROR(INDEX(Client_List!$C:$C,MATCH(VALUE(B1868),Client_List!$A:$A,0)),""))</f>
        <v/>
      </c>
      <c r="F1868" s="53">
        <f>IF(B1868="","",IFERROR(INDEX(Client_List!$D:$D,MATCH(VALUE(B1868),Client_List!$A:$A,0)),""))</f>
        <v/>
      </c>
      <c r="G1868" s="53">
        <f>IF(B1868="","",IFERROR(INDEX(Client_List!$K:$K,MATCH(VALUE(B1868),Client_List!$A:$A,0)),""))</f>
        <v/>
      </c>
      <c r="H1868" s="32">
        <f>IF(B1868="","",IFERROR(INDEX(Client_List!$J:$J,MATCH(VALUE(B1868),Client_List!$A:$A,0)),""))</f>
        <v/>
      </c>
      <c r="I1868" s="70">
        <f>IF(B1868="","",IFERROR(A1868-LOOKUP(2,1/($B$4:$B1867=B1868),$A$4:$A1867),""))</f>
        <v/>
      </c>
      <c r="J1868" s="32">
        <f>IF(B1868="","",IFERROR(D1868/I1868,""))</f>
        <v/>
      </c>
      <c r="K1868" s="71">
        <f>IF(B1868="","",IFERROR(AVERAGEIFS($J$4:$J1868,$B$4:$B1868,B1868,$J$4:$J1868,"&gt;"&amp;0),""))</f>
        <v/>
      </c>
      <c r="L1868" s="12" t="n"/>
    </row>
    <row r="1869" ht="14" customHeight="1" s="72">
      <c r="A1869" s="78" t="n"/>
      <c r="B1869" s="79" t="n"/>
      <c r="C1869" s="69">
        <f>IF(B1869="","",IFERROR(INDEX(Client_List!$B:$B,MATCH(B1869,Client_List!$A:$A,0)),"⚠ NOT FOUND"))</f>
        <v/>
      </c>
      <c r="D1869" s="44" t="n"/>
      <c r="E1869" s="32">
        <f>IF(B1869="","",IFERROR(INDEX(Client_List!$C:$C,MATCH(VALUE(B1869),Client_List!$A:$A,0)),""))</f>
        <v/>
      </c>
      <c r="F1869" s="53">
        <f>IF(B1869="","",IFERROR(INDEX(Client_List!$D:$D,MATCH(VALUE(B1869),Client_List!$A:$A,0)),""))</f>
        <v/>
      </c>
      <c r="G1869" s="53">
        <f>IF(B1869="","",IFERROR(INDEX(Client_List!$K:$K,MATCH(VALUE(B1869),Client_List!$A:$A,0)),""))</f>
        <v/>
      </c>
      <c r="H1869" s="32">
        <f>IF(B1869="","",IFERROR(INDEX(Client_List!$J:$J,MATCH(VALUE(B1869),Client_List!$A:$A,0)),""))</f>
        <v/>
      </c>
      <c r="I1869" s="70">
        <f>IF(B1869="","",IFERROR(A1869-LOOKUP(2,1/($B$4:$B1868=B1869),$A$4:$A1868),""))</f>
        <v/>
      </c>
      <c r="J1869" s="32">
        <f>IF(B1869="","",IFERROR(D1869/I1869,""))</f>
        <v/>
      </c>
      <c r="K1869" s="71">
        <f>IF(B1869="","",IFERROR(AVERAGEIFS($J$4:$J1869,$B$4:$B1869,B1869,$J$4:$J1869,"&gt;"&amp;0),""))</f>
        <v/>
      </c>
      <c r="L1869" s="11" t="n"/>
    </row>
    <row r="1870" ht="14" customHeight="1" s="72">
      <c r="A1870" s="80" t="n"/>
      <c r="B1870" s="81" t="n"/>
      <c r="C1870" s="69">
        <f>IF(B1870="","",IFERROR(INDEX(Client_List!$B:$B,MATCH(B1870,Client_List!$A:$A,0)),"⚠ NOT FOUND"))</f>
        <v/>
      </c>
      <c r="D1870" s="45" t="n"/>
      <c r="E1870" s="32">
        <f>IF(B1870="","",IFERROR(INDEX(Client_List!$C:$C,MATCH(VALUE(B1870),Client_List!$A:$A,0)),""))</f>
        <v/>
      </c>
      <c r="F1870" s="53">
        <f>IF(B1870="","",IFERROR(INDEX(Client_List!$D:$D,MATCH(VALUE(B1870),Client_List!$A:$A,0)),""))</f>
        <v/>
      </c>
      <c r="G1870" s="53">
        <f>IF(B1870="","",IFERROR(INDEX(Client_List!$K:$K,MATCH(VALUE(B1870),Client_List!$A:$A,0)),""))</f>
        <v/>
      </c>
      <c r="H1870" s="32">
        <f>IF(B1870="","",IFERROR(INDEX(Client_List!$J:$J,MATCH(VALUE(B1870),Client_List!$A:$A,0)),""))</f>
        <v/>
      </c>
      <c r="I1870" s="70">
        <f>IF(B1870="","",IFERROR(A1870-LOOKUP(2,1/($B$4:$B1869=B1870),$A$4:$A1869),""))</f>
        <v/>
      </c>
      <c r="J1870" s="32">
        <f>IF(B1870="","",IFERROR(D1870/I1870,""))</f>
        <v/>
      </c>
      <c r="K1870" s="71">
        <f>IF(B1870="","",IFERROR(AVERAGEIFS($J$4:$J1870,$B$4:$B1870,B1870,$J$4:$J1870,"&gt;"&amp;0),""))</f>
        <v/>
      </c>
      <c r="L1870" s="12" t="n"/>
    </row>
    <row r="1871" ht="14" customHeight="1" s="72">
      <c r="A1871" s="78" t="n"/>
      <c r="B1871" s="79" t="n"/>
      <c r="C1871" s="69">
        <f>IF(B1871="","",IFERROR(INDEX(Client_List!$B:$B,MATCH(B1871,Client_List!$A:$A,0)),"⚠ NOT FOUND"))</f>
        <v/>
      </c>
      <c r="D1871" s="44" t="n"/>
      <c r="E1871" s="32">
        <f>IF(B1871="","",IFERROR(INDEX(Client_List!$C:$C,MATCH(VALUE(B1871),Client_List!$A:$A,0)),""))</f>
        <v/>
      </c>
      <c r="F1871" s="53">
        <f>IF(B1871="","",IFERROR(INDEX(Client_List!$D:$D,MATCH(VALUE(B1871),Client_List!$A:$A,0)),""))</f>
        <v/>
      </c>
      <c r="G1871" s="53">
        <f>IF(B1871="","",IFERROR(INDEX(Client_List!$K:$K,MATCH(VALUE(B1871),Client_List!$A:$A,0)),""))</f>
        <v/>
      </c>
      <c r="H1871" s="32">
        <f>IF(B1871="","",IFERROR(INDEX(Client_List!$J:$J,MATCH(VALUE(B1871),Client_List!$A:$A,0)),""))</f>
        <v/>
      </c>
      <c r="I1871" s="70">
        <f>IF(B1871="","",IFERROR(A1871-LOOKUP(2,1/($B$4:$B1870=B1871),$A$4:$A1870),""))</f>
        <v/>
      </c>
      <c r="J1871" s="32">
        <f>IF(B1871="","",IFERROR(D1871/I1871,""))</f>
        <v/>
      </c>
      <c r="K1871" s="71">
        <f>IF(B1871="","",IFERROR(AVERAGEIFS($J$4:$J1871,$B$4:$B1871,B1871,$J$4:$J1871,"&gt;"&amp;0),""))</f>
        <v/>
      </c>
      <c r="L1871" s="11" t="n"/>
    </row>
    <row r="1872" ht="14" customHeight="1" s="72">
      <c r="A1872" s="80" t="n"/>
      <c r="B1872" s="81" t="n"/>
      <c r="C1872" s="69">
        <f>IF(B1872="","",IFERROR(INDEX(Client_List!$B:$B,MATCH(B1872,Client_List!$A:$A,0)),"⚠ NOT FOUND"))</f>
        <v/>
      </c>
      <c r="D1872" s="45" t="n"/>
      <c r="E1872" s="32">
        <f>IF(B1872="","",IFERROR(INDEX(Client_List!$C:$C,MATCH(VALUE(B1872),Client_List!$A:$A,0)),""))</f>
        <v/>
      </c>
      <c r="F1872" s="53">
        <f>IF(B1872="","",IFERROR(INDEX(Client_List!$D:$D,MATCH(VALUE(B1872),Client_List!$A:$A,0)),""))</f>
        <v/>
      </c>
      <c r="G1872" s="53">
        <f>IF(B1872="","",IFERROR(INDEX(Client_List!$K:$K,MATCH(VALUE(B1872),Client_List!$A:$A,0)),""))</f>
        <v/>
      </c>
      <c r="H1872" s="32">
        <f>IF(B1872="","",IFERROR(INDEX(Client_List!$J:$J,MATCH(VALUE(B1872),Client_List!$A:$A,0)),""))</f>
        <v/>
      </c>
      <c r="I1872" s="70">
        <f>IF(B1872="","",IFERROR(A1872-LOOKUP(2,1/($B$4:$B1871=B1872),$A$4:$A1871),""))</f>
        <v/>
      </c>
      <c r="J1872" s="32">
        <f>IF(B1872="","",IFERROR(D1872/I1872,""))</f>
        <v/>
      </c>
      <c r="K1872" s="71">
        <f>IF(B1872="","",IFERROR(AVERAGEIFS($J$4:$J1872,$B$4:$B1872,B1872,$J$4:$J1872,"&gt;"&amp;0),""))</f>
        <v/>
      </c>
      <c r="L1872" s="12" t="n"/>
    </row>
    <row r="1873" ht="14" customHeight="1" s="72">
      <c r="A1873" s="78" t="n"/>
      <c r="B1873" s="79" t="n"/>
      <c r="C1873" s="69">
        <f>IF(B1873="","",IFERROR(INDEX(Client_List!$B:$B,MATCH(B1873,Client_List!$A:$A,0)),"⚠ NOT FOUND"))</f>
        <v/>
      </c>
      <c r="D1873" s="44" t="n"/>
      <c r="E1873" s="32">
        <f>IF(B1873="","",IFERROR(INDEX(Client_List!$C:$C,MATCH(VALUE(B1873),Client_List!$A:$A,0)),""))</f>
        <v/>
      </c>
      <c r="F1873" s="53">
        <f>IF(B1873="","",IFERROR(INDEX(Client_List!$D:$D,MATCH(VALUE(B1873),Client_List!$A:$A,0)),""))</f>
        <v/>
      </c>
      <c r="G1873" s="53">
        <f>IF(B1873="","",IFERROR(INDEX(Client_List!$K:$K,MATCH(VALUE(B1873),Client_List!$A:$A,0)),""))</f>
        <v/>
      </c>
      <c r="H1873" s="32">
        <f>IF(B1873="","",IFERROR(INDEX(Client_List!$J:$J,MATCH(VALUE(B1873),Client_List!$A:$A,0)),""))</f>
        <v/>
      </c>
      <c r="I1873" s="70">
        <f>IF(B1873="","",IFERROR(A1873-LOOKUP(2,1/($B$4:$B1872=B1873),$A$4:$A1872),""))</f>
        <v/>
      </c>
      <c r="J1873" s="32">
        <f>IF(B1873="","",IFERROR(D1873/I1873,""))</f>
        <v/>
      </c>
      <c r="K1873" s="71">
        <f>IF(B1873="","",IFERROR(AVERAGEIFS($J$4:$J1873,$B$4:$B1873,B1873,$J$4:$J1873,"&gt;"&amp;0),""))</f>
        <v/>
      </c>
      <c r="L1873" s="11" t="n"/>
    </row>
    <row r="1874" ht="14" customHeight="1" s="72">
      <c r="A1874" s="80" t="n"/>
      <c r="B1874" s="81" t="n"/>
      <c r="C1874" s="69">
        <f>IF(B1874="","",IFERROR(INDEX(Client_List!$B:$B,MATCH(B1874,Client_List!$A:$A,0)),"⚠ NOT FOUND"))</f>
        <v/>
      </c>
      <c r="D1874" s="45" t="n"/>
      <c r="E1874" s="32">
        <f>IF(B1874="","",IFERROR(INDEX(Client_List!$C:$C,MATCH(VALUE(B1874),Client_List!$A:$A,0)),""))</f>
        <v/>
      </c>
      <c r="F1874" s="53">
        <f>IF(B1874="","",IFERROR(INDEX(Client_List!$D:$D,MATCH(VALUE(B1874),Client_List!$A:$A,0)),""))</f>
        <v/>
      </c>
      <c r="G1874" s="53">
        <f>IF(B1874="","",IFERROR(INDEX(Client_List!$K:$K,MATCH(VALUE(B1874),Client_List!$A:$A,0)),""))</f>
        <v/>
      </c>
      <c r="H1874" s="32">
        <f>IF(B1874="","",IFERROR(INDEX(Client_List!$J:$J,MATCH(VALUE(B1874),Client_List!$A:$A,0)),""))</f>
        <v/>
      </c>
      <c r="I1874" s="70">
        <f>IF(B1874="","",IFERROR(A1874-LOOKUP(2,1/($B$4:$B1873=B1874),$A$4:$A1873),""))</f>
        <v/>
      </c>
      <c r="J1874" s="32">
        <f>IF(B1874="","",IFERROR(D1874/I1874,""))</f>
        <v/>
      </c>
      <c r="K1874" s="71">
        <f>IF(B1874="","",IFERROR(AVERAGEIFS($J$4:$J1874,$B$4:$B1874,B1874,$J$4:$J1874,"&gt;"&amp;0),""))</f>
        <v/>
      </c>
      <c r="L1874" s="12" t="n"/>
    </row>
    <row r="1875" ht="14" customHeight="1" s="72">
      <c r="A1875" s="78" t="n"/>
      <c r="B1875" s="79" t="n"/>
      <c r="C1875" s="69">
        <f>IF(B1875="","",IFERROR(INDEX(Client_List!$B:$B,MATCH(B1875,Client_List!$A:$A,0)),"⚠ NOT FOUND"))</f>
        <v/>
      </c>
      <c r="D1875" s="44" t="n"/>
      <c r="E1875" s="32">
        <f>IF(B1875="","",IFERROR(INDEX(Client_List!$C:$C,MATCH(VALUE(B1875),Client_List!$A:$A,0)),""))</f>
        <v/>
      </c>
      <c r="F1875" s="53">
        <f>IF(B1875="","",IFERROR(INDEX(Client_List!$D:$D,MATCH(VALUE(B1875),Client_List!$A:$A,0)),""))</f>
        <v/>
      </c>
      <c r="G1875" s="53">
        <f>IF(B1875="","",IFERROR(INDEX(Client_List!$K:$K,MATCH(VALUE(B1875),Client_List!$A:$A,0)),""))</f>
        <v/>
      </c>
      <c r="H1875" s="32">
        <f>IF(B1875="","",IFERROR(INDEX(Client_List!$J:$J,MATCH(VALUE(B1875),Client_List!$A:$A,0)),""))</f>
        <v/>
      </c>
      <c r="I1875" s="70">
        <f>IF(B1875="","",IFERROR(A1875-LOOKUP(2,1/($B$4:$B1874=B1875),$A$4:$A1874),""))</f>
        <v/>
      </c>
      <c r="J1875" s="32">
        <f>IF(B1875="","",IFERROR(D1875/I1875,""))</f>
        <v/>
      </c>
      <c r="K1875" s="71">
        <f>IF(B1875="","",IFERROR(AVERAGEIFS($J$4:$J1875,$B$4:$B1875,B1875,$J$4:$J1875,"&gt;"&amp;0),""))</f>
        <v/>
      </c>
      <c r="L1875" s="11" t="n"/>
    </row>
    <row r="1876" ht="14" customHeight="1" s="72">
      <c r="A1876" s="80" t="n"/>
      <c r="B1876" s="81" t="n"/>
      <c r="C1876" s="69">
        <f>IF(B1876="","",IFERROR(INDEX(Client_List!$B:$B,MATCH(B1876,Client_List!$A:$A,0)),"⚠ NOT FOUND"))</f>
        <v/>
      </c>
      <c r="D1876" s="45" t="n"/>
      <c r="E1876" s="32">
        <f>IF(B1876="","",IFERROR(INDEX(Client_List!$C:$C,MATCH(VALUE(B1876),Client_List!$A:$A,0)),""))</f>
        <v/>
      </c>
      <c r="F1876" s="53">
        <f>IF(B1876="","",IFERROR(INDEX(Client_List!$D:$D,MATCH(VALUE(B1876),Client_List!$A:$A,0)),""))</f>
        <v/>
      </c>
      <c r="G1876" s="53">
        <f>IF(B1876="","",IFERROR(INDEX(Client_List!$K:$K,MATCH(VALUE(B1876),Client_List!$A:$A,0)),""))</f>
        <v/>
      </c>
      <c r="H1876" s="32">
        <f>IF(B1876="","",IFERROR(INDEX(Client_List!$J:$J,MATCH(VALUE(B1876),Client_List!$A:$A,0)),""))</f>
        <v/>
      </c>
      <c r="I1876" s="70">
        <f>IF(B1876="","",IFERROR(A1876-LOOKUP(2,1/($B$4:$B1875=B1876),$A$4:$A1875),""))</f>
        <v/>
      </c>
      <c r="J1876" s="32">
        <f>IF(B1876="","",IFERROR(D1876/I1876,""))</f>
        <v/>
      </c>
      <c r="K1876" s="71">
        <f>IF(B1876="","",IFERROR(AVERAGEIFS($J$4:$J1876,$B$4:$B1876,B1876,$J$4:$J1876,"&gt;"&amp;0),""))</f>
        <v/>
      </c>
      <c r="L1876" s="12" t="n"/>
    </row>
    <row r="1877" ht="14" customHeight="1" s="72">
      <c r="A1877" s="78" t="n"/>
      <c r="B1877" s="79" t="n"/>
      <c r="C1877" s="69">
        <f>IF(B1877="","",IFERROR(INDEX(Client_List!$B:$B,MATCH(B1877,Client_List!$A:$A,0)),"⚠ NOT FOUND"))</f>
        <v/>
      </c>
      <c r="D1877" s="44" t="n"/>
      <c r="E1877" s="32">
        <f>IF(B1877="","",IFERROR(INDEX(Client_List!$C:$C,MATCH(VALUE(B1877),Client_List!$A:$A,0)),""))</f>
        <v/>
      </c>
      <c r="F1877" s="53">
        <f>IF(B1877="","",IFERROR(INDEX(Client_List!$D:$D,MATCH(VALUE(B1877),Client_List!$A:$A,0)),""))</f>
        <v/>
      </c>
      <c r="G1877" s="53">
        <f>IF(B1877="","",IFERROR(INDEX(Client_List!$K:$K,MATCH(VALUE(B1877),Client_List!$A:$A,0)),""))</f>
        <v/>
      </c>
      <c r="H1877" s="32">
        <f>IF(B1877="","",IFERROR(INDEX(Client_List!$J:$J,MATCH(VALUE(B1877),Client_List!$A:$A,0)),""))</f>
        <v/>
      </c>
      <c r="I1877" s="70">
        <f>IF(B1877="","",IFERROR(A1877-LOOKUP(2,1/($B$4:$B1876=B1877),$A$4:$A1876),""))</f>
        <v/>
      </c>
      <c r="J1877" s="32">
        <f>IF(B1877="","",IFERROR(D1877/I1877,""))</f>
        <v/>
      </c>
      <c r="K1877" s="71">
        <f>IF(B1877="","",IFERROR(AVERAGEIFS($J$4:$J1877,$B$4:$B1877,B1877,$J$4:$J1877,"&gt;"&amp;0),""))</f>
        <v/>
      </c>
      <c r="L1877" s="11" t="n"/>
    </row>
    <row r="1878" ht="14" customHeight="1" s="72">
      <c r="A1878" s="80" t="n"/>
      <c r="B1878" s="81" t="n"/>
      <c r="C1878" s="69">
        <f>IF(B1878="","",IFERROR(INDEX(Client_List!$B:$B,MATCH(B1878,Client_List!$A:$A,0)),"⚠ NOT FOUND"))</f>
        <v/>
      </c>
      <c r="D1878" s="45" t="n"/>
      <c r="E1878" s="32">
        <f>IF(B1878="","",IFERROR(INDEX(Client_List!$C:$C,MATCH(VALUE(B1878),Client_List!$A:$A,0)),""))</f>
        <v/>
      </c>
      <c r="F1878" s="53">
        <f>IF(B1878="","",IFERROR(INDEX(Client_List!$D:$D,MATCH(VALUE(B1878),Client_List!$A:$A,0)),""))</f>
        <v/>
      </c>
      <c r="G1878" s="53">
        <f>IF(B1878="","",IFERROR(INDEX(Client_List!$K:$K,MATCH(VALUE(B1878),Client_List!$A:$A,0)),""))</f>
        <v/>
      </c>
      <c r="H1878" s="32">
        <f>IF(B1878="","",IFERROR(INDEX(Client_List!$J:$J,MATCH(VALUE(B1878),Client_List!$A:$A,0)),""))</f>
        <v/>
      </c>
      <c r="I1878" s="70">
        <f>IF(B1878="","",IFERROR(A1878-LOOKUP(2,1/($B$4:$B1877=B1878),$A$4:$A1877),""))</f>
        <v/>
      </c>
      <c r="J1878" s="32">
        <f>IF(B1878="","",IFERROR(D1878/I1878,""))</f>
        <v/>
      </c>
      <c r="K1878" s="71">
        <f>IF(B1878="","",IFERROR(AVERAGEIFS($J$4:$J1878,$B$4:$B1878,B1878,$J$4:$J1878,"&gt;"&amp;0),""))</f>
        <v/>
      </c>
      <c r="L1878" s="12" t="n"/>
    </row>
    <row r="1879" ht="14" customHeight="1" s="72">
      <c r="A1879" s="78" t="n"/>
      <c r="B1879" s="79" t="n"/>
      <c r="C1879" s="69">
        <f>IF(B1879="","",IFERROR(INDEX(Client_List!$B:$B,MATCH(B1879,Client_List!$A:$A,0)),"⚠ NOT FOUND"))</f>
        <v/>
      </c>
      <c r="D1879" s="44" t="n"/>
      <c r="E1879" s="32">
        <f>IF(B1879="","",IFERROR(INDEX(Client_List!$C:$C,MATCH(VALUE(B1879),Client_List!$A:$A,0)),""))</f>
        <v/>
      </c>
      <c r="F1879" s="53">
        <f>IF(B1879="","",IFERROR(INDEX(Client_List!$D:$D,MATCH(VALUE(B1879),Client_List!$A:$A,0)),""))</f>
        <v/>
      </c>
      <c r="G1879" s="53">
        <f>IF(B1879="","",IFERROR(INDEX(Client_List!$K:$K,MATCH(VALUE(B1879),Client_List!$A:$A,0)),""))</f>
        <v/>
      </c>
      <c r="H1879" s="32">
        <f>IF(B1879="","",IFERROR(INDEX(Client_List!$J:$J,MATCH(VALUE(B1879),Client_List!$A:$A,0)),""))</f>
        <v/>
      </c>
      <c r="I1879" s="70">
        <f>IF(B1879="","",IFERROR(A1879-LOOKUP(2,1/($B$4:$B1878=B1879),$A$4:$A1878),""))</f>
        <v/>
      </c>
      <c r="J1879" s="32">
        <f>IF(B1879="","",IFERROR(D1879/I1879,""))</f>
        <v/>
      </c>
      <c r="K1879" s="71">
        <f>IF(B1879="","",IFERROR(AVERAGEIFS($J$4:$J1879,$B$4:$B1879,B1879,$J$4:$J1879,"&gt;"&amp;0),""))</f>
        <v/>
      </c>
      <c r="L1879" s="11" t="n"/>
    </row>
    <row r="1880" ht="14" customHeight="1" s="72">
      <c r="A1880" s="80" t="n"/>
      <c r="B1880" s="81" t="n"/>
      <c r="C1880" s="69">
        <f>IF(B1880="","",IFERROR(INDEX(Client_List!$B:$B,MATCH(B1880,Client_List!$A:$A,0)),"⚠ NOT FOUND"))</f>
        <v/>
      </c>
      <c r="D1880" s="45" t="n"/>
      <c r="E1880" s="32">
        <f>IF(B1880="","",IFERROR(INDEX(Client_List!$C:$C,MATCH(VALUE(B1880),Client_List!$A:$A,0)),""))</f>
        <v/>
      </c>
      <c r="F1880" s="53">
        <f>IF(B1880="","",IFERROR(INDEX(Client_List!$D:$D,MATCH(VALUE(B1880),Client_List!$A:$A,0)),""))</f>
        <v/>
      </c>
      <c r="G1880" s="53">
        <f>IF(B1880="","",IFERROR(INDEX(Client_List!$K:$K,MATCH(VALUE(B1880),Client_List!$A:$A,0)),""))</f>
        <v/>
      </c>
      <c r="H1880" s="32">
        <f>IF(B1880="","",IFERROR(INDEX(Client_List!$J:$J,MATCH(VALUE(B1880),Client_List!$A:$A,0)),""))</f>
        <v/>
      </c>
      <c r="I1880" s="70">
        <f>IF(B1880="","",IFERROR(A1880-LOOKUP(2,1/($B$4:$B1879=B1880),$A$4:$A1879),""))</f>
        <v/>
      </c>
      <c r="J1880" s="32">
        <f>IF(B1880="","",IFERROR(D1880/I1880,""))</f>
        <v/>
      </c>
      <c r="K1880" s="71">
        <f>IF(B1880="","",IFERROR(AVERAGEIFS($J$4:$J1880,$B$4:$B1880,B1880,$J$4:$J1880,"&gt;"&amp;0),""))</f>
        <v/>
      </c>
      <c r="L1880" s="12" t="n"/>
    </row>
    <row r="1881" ht="14" customHeight="1" s="72">
      <c r="A1881" s="78" t="n"/>
      <c r="B1881" s="79" t="n"/>
      <c r="C1881" s="69">
        <f>IF(B1881="","",IFERROR(INDEX(Client_List!$B:$B,MATCH(B1881,Client_List!$A:$A,0)),"⚠ NOT FOUND"))</f>
        <v/>
      </c>
      <c r="D1881" s="44" t="n"/>
      <c r="E1881" s="32">
        <f>IF(B1881="","",IFERROR(INDEX(Client_List!$C:$C,MATCH(VALUE(B1881),Client_List!$A:$A,0)),""))</f>
        <v/>
      </c>
      <c r="F1881" s="53">
        <f>IF(B1881="","",IFERROR(INDEX(Client_List!$D:$D,MATCH(VALUE(B1881),Client_List!$A:$A,0)),""))</f>
        <v/>
      </c>
      <c r="G1881" s="53">
        <f>IF(B1881="","",IFERROR(INDEX(Client_List!$K:$K,MATCH(VALUE(B1881),Client_List!$A:$A,0)),""))</f>
        <v/>
      </c>
      <c r="H1881" s="32">
        <f>IF(B1881="","",IFERROR(INDEX(Client_List!$J:$J,MATCH(VALUE(B1881),Client_List!$A:$A,0)),""))</f>
        <v/>
      </c>
      <c r="I1881" s="70">
        <f>IF(B1881="","",IFERROR(A1881-LOOKUP(2,1/($B$4:$B1880=B1881),$A$4:$A1880),""))</f>
        <v/>
      </c>
      <c r="J1881" s="32">
        <f>IF(B1881="","",IFERROR(D1881/I1881,""))</f>
        <v/>
      </c>
      <c r="K1881" s="71">
        <f>IF(B1881="","",IFERROR(AVERAGEIFS($J$4:$J1881,$B$4:$B1881,B1881,$J$4:$J1881,"&gt;"&amp;0),""))</f>
        <v/>
      </c>
      <c r="L1881" s="11" t="n"/>
    </row>
    <row r="1882" ht="14" customHeight="1" s="72">
      <c r="A1882" s="80" t="n"/>
      <c r="B1882" s="81" t="n"/>
      <c r="C1882" s="69">
        <f>IF(B1882="","",IFERROR(INDEX(Client_List!$B:$B,MATCH(B1882,Client_List!$A:$A,0)),"⚠ NOT FOUND"))</f>
        <v/>
      </c>
      <c r="D1882" s="45" t="n"/>
      <c r="E1882" s="32">
        <f>IF(B1882="","",IFERROR(INDEX(Client_List!$C:$C,MATCH(VALUE(B1882),Client_List!$A:$A,0)),""))</f>
        <v/>
      </c>
      <c r="F1882" s="53">
        <f>IF(B1882="","",IFERROR(INDEX(Client_List!$D:$D,MATCH(VALUE(B1882),Client_List!$A:$A,0)),""))</f>
        <v/>
      </c>
      <c r="G1882" s="53">
        <f>IF(B1882="","",IFERROR(INDEX(Client_List!$K:$K,MATCH(VALUE(B1882),Client_List!$A:$A,0)),""))</f>
        <v/>
      </c>
      <c r="H1882" s="32">
        <f>IF(B1882="","",IFERROR(INDEX(Client_List!$J:$J,MATCH(VALUE(B1882),Client_List!$A:$A,0)),""))</f>
        <v/>
      </c>
      <c r="I1882" s="70">
        <f>IF(B1882="","",IFERROR(A1882-LOOKUP(2,1/($B$4:$B1881=B1882),$A$4:$A1881),""))</f>
        <v/>
      </c>
      <c r="J1882" s="32">
        <f>IF(B1882="","",IFERROR(D1882/I1882,""))</f>
        <v/>
      </c>
      <c r="K1882" s="71">
        <f>IF(B1882="","",IFERROR(AVERAGEIFS($J$4:$J1882,$B$4:$B1882,B1882,$J$4:$J1882,"&gt;"&amp;0),""))</f>
        <v/>
      </c>
      <c r="L1882" s="12" t="n"/>
    </row>
    <row r="1883" ht="14" customHeight="1" s="72">
      <c r="A1883" s="78" t="n"/>
      <c r="B1883" s="79" t="n"/>
      <c r="C1883" s="69">
        <f>IF(B1883="","",IFERROR(INDEX(Client_List!$B:$B,MATCH(B1883,Client_List!$A:$A,0)),"⚠ NOT FOUND"))</f>
        <v/>
      </c>
      <c r="D1883" s="44" t="n"/>
      <c r="E1883" s="32">
        <f>IF(B1883="","",IFERROR(INDEX(Client_List!$C:$C,MATCH(VALUE(B1883),Client_List!$A:$A,0)),""))</f>
        <v/>
      </c>
      <c r="F1883" s="53">
        <f>IF(B1883="","",IFERROR(INDEX(Client_List!$D:$D,MATCH(VALUE(B1883),Client_List!$A:$A,0)),""))</f>
        <v/>
      </c>
      <c r="G1883" s="53">
        <f>IF(B1883="","",IFERROR(INDEX(Client_List!$K:$K,MATCH(VALUE(B1883),Client_List!$A:$A,0)),""))</f>
        <v/>
      </c>
      <c r="H1883" s="32">
        <f>IF(B1883="","",IFERROR(INDEX(Client_List!$J:$J,MATCH(VALUE(B1883),Client_List!$A:$A,0)),""))</f>
        <v/>
      </c>
      <c r="I1883" s="70">
        <f>IF(B1883="","",IFERROR(A1883-LOOKUP(2,1/($B$4:$B1882=B1883),$A$4:$A1882),""))</f>
        <v/>
      </c>
      <c r="J1883" s="32">
        <f>IF(B1883="","",IFERROR(D1883/I1883,""))</f>
        <v/>
      </c>
      <c r="K1883" s="71">
        <f>IF(B1883="","",IFERROR(AVERAGEIFS($J$4:$J1883,$B$4:$B1883,B1883,$J$4:$J1883,"&gt;"&amp;0),""))</f>
        <v/>
      </c>
      <c r="L1883" s="11" t="n"/>
    </row>
    <row r="1884" ht="14" customHeight="1" s="72">
      <c r="A1884" s="80" t="n"/>
      <c r="B1884" s="81" t="n"/>
      <c r="C1884" s="69">
        <f>IF(B1884="","",IFERROR(INDEX(Client_List!$B:$B,MATCH(B1884,Client_List!$A:$A,0)),"⚠ NOT FOUND"))</f>
        <v/>
      </c>
      <c r="D1884" s="45" t="n"/>
      <c r="E1884" s="32">
        <f>IF(B1884="","",IFERROR(INDEX(Client_List!$C:$C,MATCH(VALUE(B1884),Client_List!$A:$A,0)),""))</f>
        <v/>
      </c>
      <c r="F1884" s="53">
        <f>IF(B1884="","",IFERROR(INDEX(Client_List!$D:$D,MATCH(VALUE(B1884),Client_List!$A:$A,0)),""))</f>
        <v/>
      </c>
      <c r="G1884" s="53">
        <f>IF(B1884="","",IFERROR(INDEX(Client_List!$K:$K,MATCH(VALUE(B1884),Client_List!$A:$A,0)),""))</f>
        <v/>
      </c>
      <c r="H1884" s="32">
        <f>IF(B1884="","",IFERROR(INDEX(Client_List!$J:$J,MATCH(VALUE(B1884),Client_List!$A:$A,0)),""))</f>
        <v/>
      </c>
      <c r="I1884" s="70">
        <f>IF(B1884="","",IFERROR(A1884-LOOKUP(2,1/($B$4:$B1883=B1884),$A$4:$A1883),""))</f>
        <v/>
      </c>
      <c r="J1884" s="32">
        <f>IF(B1884="","",IFERROR(D1884/I1884,""))</f>
        <v/>
      </c>
      <c r="K1884" s="71">
        <f>IF(B1884="","",IFERROR(AVERAGEIFS($J$4:$J1884,$B$4:$B1884,B1884,$J$4:$J1884,"&gt;"&amp;0),""))</f>
        <v/>
      </c>
      <c r="L1884" s="12" t="n"/>
    </row>
    <row r="1885" ht="14" customHeight="1" s="72">
      <c r="A1885" s="78" t="n"/>
      <c r="B1885" s="79" t="n"/>
      <c r="C1885" s="69">
        <f>IF(B1885="","",IFERROR(INDEX(Client_List!$B:$B,MATCH(B1885,Client_List!$A:$A,0)),"⚠ NOT FOUND"))</f>
        <v/>
      </c>
      <c r="D1885" s="44" t="n"/>
      <c r="E1885" s="32">
        <f>IF(B1885="","",IFERROR(INDEX(Client_List!$C:$C,MATCH(VALUE(B1885),Client_List!$A:$A,0)),""))</f>
        <v/>
      </c>
      <c r="F1885" s="53">
        <f>IF(B1885="","",IFERROR(INDEX(Client_List!$D:$D,MATCH(VALUE(B1885),Client_List!$A:$A,0)),""))</f>
        <v/>
      </c>
      <c r="G1885" s="53">
        <f>IF(B1885="","",IFERROR(INDEX(Client_List!$K:$K,MATCH(VALUE(B1885),Client_List!$A:$A,0)),""))</f>
        <v/>
      </c>
      <c r="H1885" s="32">
        <f>IF(B1885="","",IFERROR(INDEX(Client_List!$J:$J,MATCH(VALUE(B1885),Client_List!$A:$A,0)),""))</f>
        <v/>
      </c>
      <c r="I1885" s="70">
        <f>IF(B1885="","",IFERROR(A1885-LOOKUP(2,1/($B$4:$B1884=B1885),$A$4:$A1884),""))</f>
        <v/>
      </c>
      <c r="J1885" s="32">
        <f>IF(B1885="","",IFERROR(D1885/I1885,""))</f>
        <v/>
      </c>
      <c r="K1885" s="71">
        <f>IF(B1885="","",IFERROR(AVERAGEIFS($J$4:$J1885,$B$4:$B1885,B1885,$J$4:$J1885,"&gt;"&amp;0),""))</f>
        <v/>
      </c>
      <c r="L1885" s="11" t="n"/>
    </row>
    <row r="1886" ht="14" customHeight="1" s="72">
      <c r="A1886" s="80" t="n"/>
      <c r="B1886" s="81" t="n"/>
      <c r="C1886" s="69">
        <f>IF(B1886="","",IFERROR(INDEX(Client_List!$B:$B,MATCH(B1886,Client_List!$A:$A,0)),"⚠ NOT FOUND"))</f>
        <v/>
      </c>
      <c r="D1886" s="45" t="n"/>
      <c r="E1886" s="32">
        <f>IF(B1886="","",IFERROR(INDEX(Client_List!$C:$C,MATCH(VALUE(B1886),Client_List!$A:$A,0)),""))</f>
        <v/>
      </c>
      <c r="F1886" s="53">
        <f>IF(B1886="","",IFERROR(INDEX(Client_List!$D:$D,MATCH(VALUE(B1886),Client_List!$A:$A,0)),""))</f>
        <v/>
      </c>
      <c r="G1886" s="53">
        <f>IF(B1886="","",IFERROR(INDEX(Client_List!$K:$K,MATCH(VALUE(B1886),Client_List!$A:$A,0)),""))</f>
        <v/>
      </c>
      <c r="H1886" s="32">
        <f>IF(B1886="","",IFERROR(INDEX(Client_List!$J:$J,MATCH(VALUE(B1886),Client_List!$A:$A,0)),""))</f>
        <v/>
      </c>
      <c r="I1886" s="70">
        <f>IF(B1886="","",IFERROR(A1886-LOOKUP(2,1/($B$4:$B1885=B1886),$A$4:$A1885),""))</f>
        <v/>
      </c>
      <c r="J1886" s="32">
        <f>IF(B1886="","",IFERROR(D1886/I1886,""))</f>
        <v/>
      </c>
      <c r="K1886" s="71">
        <f>IF(B1886="","",IFERROR(AVERAGEIFS($J$4:$J1886,$B$4:$B1886,B1886,$J$4:$J1886,"&gt;"&amp;0),""))</f>
        <v/>
      </c>
      <c r="L1886" s="12" t="n"/>
    </row>
    <row r="1887" ht="14" customHeight="1" s="72">
      <c r="A1887" s="78" t="n"/>
      <c r="B1887" s="79" t="n"/>
      <c r="C1887" s="69">
        <f>IF(B1887="","",IFERROR(INDEX(Client_List!$B:$B,MATCH(B1887,Client_List!$A:$A,0)),"⚠ NOT FOUND"))</f>
        <v/>
      </c>
      <c r="D1887" s="44" t="n"/>
      <c r="E1887" s="32">
        <f>IF(B1887="","",IFERROR(INDEX(Client_List!$C:$C,MATCH(VALUE(B1887),Client_List!$A:$A,0)),""))</f>
        <v/>
      </c>
      <c r="F1887" s="53">
        <f>IF(B1887="","",IFERROR(INDEX(Client_List!$D:$D,MATCH(VALUE(B1887),Client_List!$A:$A,0)),""))</f>
        <v/>
      </c>
      <c r="G1887" s="53">
        <f>IF(B1887="","",IFERROR(INDEX(Client_List!$K:$K,MATCH(VALUE(B1887),Client_List!$A:$A,0)),""))</f>
        <v/>
      </c>
      <c r="H1887" s="32">
        <f>IF(B1887="","",IFERROR(INDEX(Client_List!$J:$J,MATCH(VALUE(B1887),Client_List!$A:$A,0)),""))</f>
        <v/>
      </c>
      <c r="I1887" s="70">
        <f>IF(B1887="","",IFERROR(A1887-LOOKUP(2,1/($B$4:$B1886=B1887),$A$4:$A1886),""))</f>
        <v/>
      </c>
      <c r="J1887" s="32">
        <f>IF(B1887="","",IFERROR(D1887/I1887,""))</f>
        <v/>
      </c>
      <c r="K1887" s="71">
        <f>IF(B1887="","",IFERROR(AVERAGEIFS($J$4:$J1887,$B$4:$B1887,B1887,$J$4:$J1887,"&gt;"&amp;0),""))</f>
        <v/>
      </c>
      <c r="L1887" s="11" t="n"/>
    </row>
    <row r="1888" ht="14" customHeight="1" s="72">
      <c r="A1888" s="80" t="n"/>
      <c r="B1888" s="81" t="n"/>
      <c r="C1888" s="69">
        <f>IF(B1888="","",IFERROR(INDEX(Client_List!$B:$B,MATCH(B1888,Client_List!$A:$A,0)),"⚠ NOT FOUND"))</f>
        <v/>
      </c>
      <c r="D1888" s="45" t="n"/>
      <c r="E1888" s="32">
        <f>IF(B1888="","",IFERROR(INDEX(Client_List!$C:$C,MATCH(VALUE(B1888),Client_List!$A:$A,0)),""))</f>
        <v/>
      </c>
      <c r="F1888" s="53">
        <f>IF(B1888="","",IFERROR(INDEX(Client_List!$D:$D,MATCH(VALUE(B1888),Client_List!$A:$A,0)),""))</f>
        <v/>
      </c>
      <c r="G1888" s="53">
        <f>IF(B1888="","",IFERROR(INDEX(Client_List!$K:$K,MATCH(VALUE(B1888),Client_List!$A:$A,0)),""))</f>
        <v/>
      </c>
      <c r="H1888" s="32">
        <f>IF(B1888="","",IFERROR(INDEX(Client_List!$J:$J,MATCH(VALUE(B1888),Client_List!$A:$A,0)),""))</f>
        <v/>
      </c>
      <c r="I1888" s="70">
        <f>IF(B1888="","",IFERROR(A1888-LOOKUP(2,1/($B$4:$B1887=B1888),$A$4:$A1887),""))</f>
        <v/>
      </c>
      <c r="J1888" s="32">
        <f>IF(B1888="","",IFERROR(D1888/I1888,""))</f>
        <v/>
      </c>
      <c r="K1888" s="71">
        <f>IF(B1888="","",IFERROR(AVERAGEIFS($J$4:$J1888,$B$4:$B1888,B1888,$J$4:$J1888,"&gt;"&amp;0),""))</f>
        <v/>
      </c>
      <c r="L1888" s="12" t="n"/>
    </row>
    <row r="1889" ht="14" customHeight="1" s="72">
      <c r="A1889" s="78" t="n"/>
      <c r="B1889" s="79" t="n"/>
      <c r="C1889" s="69">
        <f>IF(B1889="","",IFERROR(INDEX(Client_List!$B:$B,MATCH(B1889,Client_List!$A:$A,0)),"⚠ NOT FOUND"))</f>
        <v/>
      </c>
      <c r="D1889" s="44" t="n"/>
      <c r="E1889" s="32">
        <f>IF(B1889="","",IFERROR(INDEX(Client_List!$C:$C,MATCH(VALUE(B1889),Client_List!$A:$A,0)),""))</f>
        <v/>
      </c>
      <c r="F1889" s="53">
        <f>IF(B1889="","",IFERROR(INDEX(Client_List!$D:$D,MATCH(VALUE(B1889),Client_List!$A:$A,0)),""))</f>
        <v/>
      </c>
      <c r="G1889" s="53">
        <f>IF(B1889="","",IFERROR(INDEX(Client_List!$K:$K,MATCH(VALUE(B1889),Client_List!$A:$A,0)),""))</f>
        <v/>
      </c>
      <c r="H1889" s="32">
        <f>IF(B1889="","",IFERROR(INDEX(Client_List!$J:$J,MATCH(VALUE(B1889),Client_List!$A:$A,0)),""))</f>
        <v/>
      </c>
      <c r="I1889" s="70">
        <f>IF(B1889="","",IFERROR(A1889-LOOKUP(2,1/($B$4:$B1888=B1889),$A$4:$A1888),""))</f>
        <v/>
      </c>
      <c r="J1889" s="32">
        <f>IF(B1889="","",IFERROR(D1889/I1889,""))</f>
        <v/>
      </c>
      <c r="K1889" s="71">
        <f>IF(B1889="","",IFERROR(AVERAGEIFS($J$4:$J1889,$B$4:$B1889,B1889,$J$4:$J1889,"&gt;"&amp;0),""))</f>
        <v/>
      </c>
      <c r="L1889" s="11" t="n"/>
    </row>
    <row r="1890" ht="14" customHeight="1" s="72">
      <c r="A1890" s="80" t="n"/>
      <c r="B1890" s="81" t="n"/>
      <c r="C1890" s="69">
        <f>IF(B1890="","",IFERROR(INDEX(Client_List!$B:$B,MATCH(B1890,Client_List!$A:$A,0)),"⚠ NOT FOUND"))</f>
        <v/>
      </c>
      <c r="D1890" s="45" t="n"/>
      <c r="E1890" s="32">
        <f>IF(B1890="","",IFERROR(INDEX(Client_List!$C:$C,MATCH(VALUE(B1890),Client_List!$A:$A,0)),""))</f>
        <v/>
      </c>
      <c r="F1890" s="53">
        <f>IF(B1890="","",IFERROR(INDEX(Client_List!$D:$D,MATCH(VALUE(B1890),Client_List!$A:$A,0)),""))</f>
        <v/>
      </c>
      <c r="G1890" s="53">
        <f>IF(B1890="","",IFERROR(INDEX(Client_List!$K:$K,MATCH(VALUE(B1890),Client_List!$A:$A,0)),""))</f>
        <v/>
      </c>
      <c r="H1890" s="32">
        <f>IF(B1890="","",IFERROR(INDEX(Client_List!$J:$J,MATCH(VALUE(B1890),Client_List!$A:$A,0)),""))</f>
        <v/>
      </c>
      <c r="I1890" s="70">
        <f>IF(B1890="","",IFERROR(A1890-LOOKUP(2,1/($B$4:$B1889=B1890),$A$4:$A1889),""))</f>
        <v/>
      </c>
      <c r="J1890" s="32">
        <f>IF(B1890="","",IFERROR(D1890/I1890,""))</f>
        <v/>
      </c>
      <c r="K1890" s="71">
        <f>IF(B1890="","",IFERROR(AVERAGEIFS($J$4:$J1890,$B$4:$B1890,B1890,$J$4:$J1890,"&gt;"&amp;0),""))</f>
        <v/>
      </c>
      <c r="L1890" s="12" t="n"/>
    </row>
    <row r="1891" ht="14" customHeight="1" s="72">
      <c r="A1891" s="78" t="n"/>
      <c r="B1891" s="79" t="n"/>
      <c r="C1891" s="69">
        <f>IF(B1891="","",IFERROR(INDEX(Client_List!$B:$B,MATCH(B1891,Client_List!$A:$A,0)),"⚠ NOT FOUND"))</f>
        <v/>
      </c>
      <c r="D1891" s="44" t="n"/>
      <c r="E1891" s="32">
        <f>IF(B1891="","",IFERROR(INDEX(Client_List!$C:$C,MATCH(VALUE(B1891),Client_List!$A:$A,0)),""))</f>
        <v/>
      </c>
      <c r="F1891" s="53">
        <f>IF(B1891="","",IFERROR(INDEX(Client_List!$D:$D,MATCH(VALUE(B1891),Client_List!$A:$A,0)),""))</f>
        <v/>
      </c>
      <c r="G1891" s="53">
        <f>IF(B1891="","",IFERROR(INDEX(Client_List!$K:$K,MATCH(VALUE(B1891),Client_List!$A:$A,0)),""))</f>
        <v/>
      </c>
      <c r="H1891" s="32">
        <f>IF(B1891="","",IFERROR(INDEX(Client_List!$J:$J,MATCH(VALUE(B1891),Client_List!$A:$A,0)),""))</f>
        <v/>
      </c>
      <c r="I1891" s="70">
        <f>IF(B1891="","",IFERROR(A1891-LOOKUP(2,1/($B$4:$B1890=B1891),$A$4:$A1890),""))</f>
        <v/>
      </c>
      <c r="J1891" s="32">
        <f>IF(B1891="","",IFERROR(D1891/I1891,""))</f>
        <v/>
      </c>
      <c r="K1891" s="71">
        <f>IF(B1891="","",IFERROR(AVERAGEIFS($J$4:$J1891,$B$4:$B1891,B1891,$J$4:$J1891,"&gt;"&amp;0),""))</f>
        <v/>
      </c>
      <c r="L1891" s="11" t="n"/>
    </row>
    <row r="1892" ht="14" customHeight="1" s="72">
      <c r="A1892" s="80" t="n"/>
      <c r="B1892" s="81" t="n"/>
      <c r="C1892" s="69">
        <f>IF(B1892="","",IFERROR(INDEX(Client_List!$B:$B,MATCH(B1892,Client_List!$A:$A,0)),"⚠ NOT FOUND"))</f>
        <v/>
      </c>
      <c r="D1892" s="45" t="n"/>
      <c r="E1892" s="32">
        <f>IF(B1892="","",IFERROR(INDEX(Client_List!$C:$C,MATCH(VALUE(B1892),Client_List!$A:$A,0)),""))</f>
        <v/>
      </c>
      <c r="F1892" s="53">
        <f>IF(B1892="","",IFERROR(INDEX(Client_List!$D:$D,MATCH(VALUE(B1892),Client_List!$A:$A,0)),""))</f>
        <v/>
      </c>
      <c r="G1892" s="53">
        <f>IF(B1892="","",IFERROR(INDEX(Client_List!$K:$K,MATCH(VALUE(B1892),Client_List!$A:$A,0)),""))</f>
        <v/>
      </c>
      <c r="H1892" s="32">
        <f>IF(B1892="","",IFERROR(INDEX(Client_List!$J:$J,MATCH(VALUE(B1892),Client_List!$A:$A,0)),""))</f>
        <v/>
      </c>
      <c r="I1892" s="70">
        <f>IF(B1892="","",IFERROR(A1892-LOOKUP(2,1/($B$4:$B1891=B1892),$A$4:$A1891),""))</f>
        <v/>
      </c>
      <c r="J1892" s="32">
        <f>IF(B1892="","",IFERROR(D1892/I1892,""))</f>
        <v/>
      </c>
      <c r="K1892" s="71">
        <f>IF(B1892="","",IFERROR(AVERAGEIFS($J$4:$J1892,$B$4:$B1892,B1892,$J$4:$J1892,"&gt;"&amp;0),""))</f>
        <v/>
      </c>
      <c r="L1892" s="12" t="n"/>
    </row>
    <row r="1893" ht="14" customHeight="1" s="72">
      <c r="A1893" s="78" t="n"/>
      <c r="B1893" s="79" t="n"/>
      <c r="C1893" s="69">
        <f>IF(B1893="","",IFERROR(INDEX(Client_List!$B:$B,MATCH(B1893,Client_List!$A:$A,0)),"⚠ NOT FOUND"))</f>
        <v/>
      </c>
      <c r="D1893" s="44" t="n"/>
      <c r="E1893" s="32">
        <f>IF(B1893="","",IFERROR(INDEX(Client_List!$C:$C,MATCH(VALUE(B1893),Client_List!$A:$A,0)),""))</f>
        <v/>
      </c>
      <c r="F1893" s="53">
        <f>IF(B1893="","",IFERROR(INDEX(Client_List!$D:$D,MATCH(VALUE(B1893),Client_List!$A:$A,0)),""))</f>
        <v/>
      </c>
      <c r="G1893" s="53">
        <f>IF(B1893="","",IFERROR(INDEX(Client_List!$K:$K,MATCH(VALUE(B1893),Client_List!$A:$A,0)),""))</f>
        <v/>
      </c>
      <c r="H1893" s="32">
        <f>IF(B1893="","",IFERROR(INDEX(Client_List!$J:$J,MATCH(VALUE(B1893),Client_List!$A:$A,0)),""))</f>
        <v/>
      </c>
      <c r="I1893" s="70">
        <f>IF(B1893="","",IFERROR(A1893-LOOKUP(2,1/($B$4:$B1892=B1893),$A$4:$A1892),""))</f>
        <v/>
      </c>
      <c r="J1893" s="32">
        <f>IF(B1893="","",IFERROR(D1893/I1893,""))</f>
        <v/>
      </c>
      <c r="K1893" s="71">
        <f>IF(B1893="","",IFERROR(AVERAGEIFS($J$4:$J1893,$B$4:$B1893,B1893,$J$4:$J1893,"&gt;"&amp;0),""))</f>
        <v/>
      </c>
      <c r="L1893" s="11" t="n"/>
    </row>
    <row r="1894" ht="14" customHeight="1" s="72">
      <c r="A1894" s="80" t="n"/>
      <c r="B1894" s="81" t="n"/>
      <c r="C1894" s="69">
        <f>IF(B1894="","",IFERROR(INDEX(Client_List!$B:$B,MATCH(B1894,Client_List!$A:$A,0)),"⚠ NOT FOUND"))</f>
        <v/>
      </c>
      <c r="D1894" s="45" t="n"/>
      <c r="E1894" s="32">
        <f>IF(B1894="","",IFERROR(INDEX(Client_List!$C:$C,MATCH(VALUE(B1894),Client_List!$A:$A,0)),""))</f>
        <v/>
      </c>
      <c r="F1894" s="53">
        <f>IF(B1894="","",IFERROR(INDEX(Client_List!$D:$D,MATCH(VALUE(B1894),Client_List!$A:$A,0)),""))</f>
        <v/>
      </c>
      <c r="G1894" s="53">
        <f>IF(B1894="","",IFERROR(INDEX(Client_List!$K:$K,MATCH(VALUE(B1894),Client_List!$A:$A,0)),""))</f>
        <v/>
      </c>
      <c r="H1894" s="32">
        <f>IF(B1894="","",IFERROR(INDEX(Client_List!$J:$J,MATCH(VALUE(B1894),Client_List!$A:$A,0)),""))</f>
        <v/>
      </c>
      <c r="I1894" s="70">
        <f>IF(B1894="","",IFERROR(A1894-LOOKUP(2,1/($B$4:$B1893=B1894),$A$4:$A1893),""))</f>
        <v/>
      </c>
      <c r="J1894" s="32">
        <f>IF(B1894="","",IFERROR(D1894/I1894,""))</f>
        <v/>
      </c>
      <c r="K1894" s="71">
        <f>IF(B1894="","",IFERROR(AVERAGEIFS($J$4:$J1894,$B$4:$B1894,B1894,$J$4:$J1894,"&gt;"&amp;0),""))</f>
        <v/>
      </c>
      <c r="L1894" s="12" t="n"/>
    </row>
    <row r="1895" ht="14" customHeight="1" s="72">
      <c r="A1895" s="78" t="n"/>
      <c r="B1895" s="79" t="n"/>
      <c r="C1895" s="69">
        <f>IF(B1895="","",IFERROR(INDEX(Client_List!$B:$B,MATCH(B1895,Client_List!$A:$A,0)),"⚠ NOT FOUND"))</f>
        <v/>
      </c>
      <c r="D1895" s="44" t="n"/>
      <c r="E1895" s="32">
        <f>IF(B1895="","",IFERROR(INDEX(Client_List!$C:$C,MATCH(VALUE(B1895),Client_List!$A:$A,0)),""))</f>
        <v/>
      </c>
      <c r="F1895" s="53">
        <f>IF(B1895="","",IFERROR(INDEX(Client_List!$D:$D,MATCH(VALUE(B1895),Client_List!$A:$A,0)),""))</f>
        <v/>
      </c>
      <c r="G1895" s="53">
        <f>IF(B1895="","",IFERROR(INDEX(Client_List!$K:$K,MATCH(VALUE(B1895),Client_List!$A:$A,0)),""))</f>
        <v/>
      </c>
      <c r="H1895" s="32">
        <f>IF(B1895="","",IFERROR(INDEX(Client_List!$J:$J,MATCH(VALUE(B1895),Client_List!$A:$A,0)),""))</f>
        <v/>
      </c>
      <c r="I1895" s="70">
        <f>IF(B1895="","",IFERROR(A1895-LOOKUP(2,1/($B$4:$B1894=B1895),$A$4:$A1894),""))</f>
        <v/>
      </c>
      <c r="J1895" s="32">
        <f>IF(B1895="","",IFERROR(D1895/I1895,""))</f>
        <v/>
      </c>
      <c r="K1895" s="71">
        <f>IF(B1895="","",IFERROR(AVERAGEIFS($J$4:$J1895,$B$4:$B1895,B1895,$J$4:$J1895,"&gt;"&amp;0),""))</f>
        <v/>
      </c>
      <c r="L1895" s="11" t="n"/>
    </row>
    <row r="1896" ht="14" customHeight="1" s="72">
      <c r="A1896" s="80" t="n"/>
      <c r="B1896" s="81" t="n"/>
      <c r="C1896" s="69">
        <f>IF(B1896="","",IFERROR(INDEX(Client_List!$B:$B,MATCH(B1896,Client_List!$A:$A,0)),"⚠ NOT FOUND"))</f>
        <v/>
      </c>
      <c r="D1896" s="45" t="n"/>
      <c r="E1896" s="32">
        <f>IF(B1896="","",IFERROR(INDEX(Client_List!$C:$C,MATCH(VALUE(B1896),Client_List!$A:$A,0)),""))</f>
        <v/>
      </c>
      <c r="F1896" s="53">
        <f>IF(B1896="","",IFERROR(INDEX(Client_List!$D:$D,MATCH(VALUE(B1896),Client_List!$A:$A,0)),""))</f>
        <v/>
      </c>
      <c r="G1896" s="53">
        <f>IF(B1896="","",IFERROR(INDEX(Client_List!$K:$K,MATCH(VALUE(B1896),Client_List!$A:$A,0)),""))</f>
        <v/>
      </c>
      <c r="H1896" s="32">
        <f>IF(B1896="","",IFERROR(INDEX(Client_List!$J:$J,MATCH(VALUE(B1896),Client_List!$A:$A,0)),""))</f>
        <v/>
      </c>
      <c r="I1896" s="70">
        <f>IF(B1896="","",IFERROR(A1896-LOOKUP(2,1/($B$4:$B1895=B1896),$A$4:$A1895),""))</f>
        <v/>
      </c>
      <c r="J1896" s="32">
        <f>IF(B1896="","",IFERROR(D1896/I1896,""))</f>
        <v/>
      </c>
      <c r="K1896" s="71">
        <f>IF(B1896="","",IFERROR(AVERAGEIFS($J$4:$J1896,$B$4:$B1896,B1896,$J$4:$J1896,"&gt;"&amp;0),""))</f>
        <v/>
      </c>
      <c r="L1896" s="12" t="n"/>
    </row>
    <row r="1897" ht="14" customHeight="1" s="72">
      <c r="A1897" s="78" t="n"/>
      <c r="B1897" s="79" t="n"/>
      <c r="C1897" s="69">
        <f>IF(B1897="","",IFERROR(INDEX(Client_List!$B:$B,MATCH(B1897,Client_List!$A:$A,0)),"⚠ NOT FOUND"))</f>
        <v/>
      </c>
      <c r="D1897" s="44" t="n"/>
      <c r="E1897" s="32">
        <f>IF(B1897="","",IFERROR(INDEX(Client_List!$C:$C,MATCH(VALUE(B1897),Client_List!$A:$A,0)),""))</f>
        <v/>
      </c>
      <c r="F1897" s="53">
        <f>IF(B1897="","",IFERROR(INDEX(Client_List!$D:$D,MATCH(VALUE(B1897),Client_List!$A:$A,0)),""))</f>
        <v/>
      </c>
      <c r="G1897" s="53">
        <f>IF(B1897="","",IFERROR(INDEX(Client_List!$K:$K,MATCH(VALUE(B1897),Client_List!$A:$A,0)),""))</f>
        <v/>
      </c>
      <c r="H1897" s="32">
        <f>IF(B1897="","",IFERROR(INDEX(Client_List!$J:$J,MATCH(VALUE(B1897),Client_List!$A:$A,0)),""))</f>
        <v/>
      </c>
      <c r="I1897" s="70">
        <f>IF(B1897="","",IFERROR(A1897-LOOKUP(2,1/($B$4:$B1896=B1897),$A$4:$A1896),""))</f>
        <v/>
      </c>
      <c r="J1897" s="32">
        <f>IF(B1897="","",IFERROR(D1897/I1897,""))</f>
        <v/>
      </c>
      <c r="K1897" s="71">
        <f>IF(B1897="","",IFERROR(AVERAGEIFS($J$4:$J1897,$B$4:$B1897,B1897,$J$4:$J1897,"&gt;"&amp;0),""))</f>
        <v/>
      </c>
      <c r="L1897" s="11" t="n"/>
    </row>
    <row r="1898" ht="14" customHeight="1" s="72">
      <c r="A1898" s="80" t="n"/>
      <c r="B1898" s="81" t="n"/>
      <c r="C1898" s="69">
        <f>IF(B1898="","",IFERROR(INDEX(Client_List!$B:$B,MATCH(B1898,Client_List!$A:$A,0)),"⚠ NOT FOUND"))</f>
        <v/>
      </c>
      <c r="D1898" s="45" t="n"/>
      <c r="E1898" s="32">
        <f>IF(B1898="","",IFERROR(INDEX(Client_List!$C:$C,MATCH(VALUE(B1898),Client_List!$A:$A,0)),""))</f>
        <v/>
      </c>
      <c r="F1898" s="53">
        <f>IF(B1898="","",IFERROR(INDEX(Client_List!$D:$D,MATCH(VALUE(B1898),Client_List!$A:$A,0)),""))</f>
        <v/>
      </c>
      <c r="G1898" s="53">
        <f>IF(B1898="","",IFERROR(INDEX(Client_List!$K:$K,MATCH(VALUE(B1898),Client_List!$A:$A,0)),""))</f>
        <v/>
      </c>
      <c r="H1898" s="32">
        <f>IF(B1898="","",IFERROR(INDEX(Client_List!$J:$J,MATCH(VALUE(B1898),Client_List!$A:$A,0)),""))</f>
        <v/>
      </c>
      <c r="I1898" s="70">
        <f>IF(B1898="","",IFERROR(A1898-LOOKUP(2,1/($B$4:$B1897=B1898),$A$4:$A1897),""))</f>
        <v/>
      </c>
      <c r="J1898" s="32">
        <f>IF(B1898="","",IFERROR(D1898/I1898,""))</f>
        <v/>
      </c>
      <c r="K1898" s="71">
        <f>IF(B1898="","",IFERROR(AVERAGEIFS($J$4:$J1898,$B$4:$B1898,B1898,$J$4:$J1898,"&gt;"&amp;0),""))</f>
        <v/>
      </c>
      <c r="L1898" s="12" t="n"/>
    </row>
    <row r="1899" ht="14" customHeight="1" s="72">
      <c r="A1899" s="78" t="n"/>
      <c r="B1899" s="79" t="n"/>
      <c r="C1899" s="69">
        <f>IF(B1899="","",IFERROR(INDEX(Client_List!$B:$B,MATCH(B1899,Client_List!$A:$A,0)),"⚠ NOT FOUND"))</f>
        <v/>
      </c>
      <c r="D1899" s="44" t="n"/>
      <c r="E1899" s="32">
        <f>IF(B1899="","",IFERROR(INDEX(Client_List!$C:$C,MATCH(VALUE(B1899),Client_List!$A:$A,0)),""))</f>
        <v/>
      </c>
      <c r="F1899" s="53">
        <f>IF(B1899="","",IFERROR(INDEX(Client_List!$D:$D,MATCH(VALUE(B1899),Client_List!$A:$A,0)),""))</f>
        <v/>
      </c>
      <c r="G1899" s="53">
        <f>IF(B1899="","",IFERROR(INDEX(Client_List!$K:$K,MATCH(VALUE(B1899),Client_List!$A:$A,0)),""))</f>
        <v/>
      </c>
      <c r="H1899" s="32">
        <f>IF(B1899="","",IFERROR(INDEX(Client_List!$J:$J,MATCH(VALUE(B1899),Client_List!$A:$A,0)),""))</f>
        <v/>
      </c>
      <c r="I1899" s="70">
        <f>IF(B1899="","",IFERROR(A1899-LOOKUP(2,1/($B$4:$B1898=B1899),$A$4:$A1898),""))</f>
        <v/>
      </c>
      <c r="J1899" s="32">
        <f>IF(B1899="","",IFERROR(D1899/I1899,""))</f>
        <v/>
      </c>
      <c r="K1899" s="71">
        <f>IF(B1899="","",IFERROR(AVERAGEIFS($J$4:$J1899,$B$4:$B1899,B1899,$J$4:$J1899,"&gt;"&amp;0),""))</f>
        <v/>
      </c>
      <c r="L1899" s="11" t="n"/>
    </row>
    <row r="1900" ht="14" customHeight="1" s="72">
      <c r="A1900" s="80" t="n"/>
      <c r="B1900" s="81" t="n"/>
      <c r="C1900" s="69">
        <f>IF(B1900="","",IFERROR(INDEX(Client_List!$B:$B,MATCH(B1900,Client_List!$A:$A,0)),"⚠ NOT FOUND"))</f>
        <v/>
      </c>
      <c r="D1900" s="45" t="n"/>
      <c r="E1900" s="32">
        <f>IF(B1900="","",IFERROR(INDEX(Client_List!$C:$C,MATCH(VALUE(B1900),Client_List!$A:$A,0)),""))</f>
        <v/>
      </c>
      <c r="F1900" s="53">
        <f>IF(B1900="","",IFERROR(INDEX(Client_List!$D:$D,MATCH(VALUE(B1900),Client_List!$A:$A,0)),""))</f>
        <v/>
      </c>
      <c r="G1900" s="53">
        <f>IF(B1900="","",IFERROR(INDEX(Client_List!$K:$K,MATCH(VALUE(B1900),Client_List!$A:$A,0)),""))</f>
        <v/>
      </c>
      <c r="H1900" s="32">
        <f>IF(B1900="","",IFERROR(INDEX(Client_List!$J:$J,MATCH(VALUE(B1900),Client_List!$A:$A,0)),""))</f>
        <v/>
      </c>
      <c r="I1900" s="70">
        <f>IF(B1900="","",IFERROR(A1900-LOOKUP(2,1/($B$4:$B1899=B1900),$A$4:$A1899),""))</f>
        <v/>
      </c>
      <c r="J1900" s="32">
        <f>IF(B1900="","",IFERROR(D1900/I1900,""))</f>
        <v/>
      </c>
      <c r="K1900" s="71">
        <f>IF(B1900="","",IFERROR(AVERAGEIFS($J$4:$J1900,$B$4:$B1900,B1900,$J$4:$J1900,"&gt;"&amp;0),""))</f>
        <v/>
      </c>
      <c r="L1900" s="12" t="n"/>
    </row>
    <row r="1901" ht="14" customHeight="1" s="72">
      <c r="A1901" s="78" t="n"/>
      <c r="B1901" s="79" t="n"/>
      <c r="C1901" s="69">
        <f>IF(B1901="","",IFERROR(INDEX(Client_List!$B:$B,MATCH(B1901,Client_List!$A:$A,0)),"⚠ NOT FOUND"))</f>
        <v/>
      </c>
      <c r="D1901" s="44" t="n"/>
      <c r="E1901" s="32">
        <f>IF(B1901="","",IFERROR(INDEX(Client_List!$C:$C,MATCH(VALUE(B1901),Client_List!$A:$A,0)),""))</f>
        <v/>
      </c>
      <c r="F1901" s="53">
        <f>IF(B1901="","",IFERROR(INDEX(Client_List!$D:$D,MATCH(VALUE(B1901),Client_List!$A:$A,0)),""))</f>
        <v/>
      </c>
      <c r="G1901" s="53">
        <f>IF(B1901="","",IFERROR(INDEX(Client_List!$K:$K,MATCH(VALUE(B1901),Client_List!$A:$A,0)),""))</f>
        <v/>
      </c>
      <c r="H1901" s="32">
        <f>IF(B1901="","",IFERROR(INDEX(Client_List!$J:$J,MATCH(VALUE(B1901),Client_List!$A:$A,0)),""))</f>
        <v/>
      </c>
      <c r="I1901" s="70">
        <f>IF(B1901="","",IFERROR(A1901-LOOKUP(2,1/($B$4:$B1900=B1901),$A$4:$A1900),""))</f>
        <v/>
      </c>
      <c r="J1901" s="32">
        <f>IF(B1901="","",IFERROR(D1901/I1901,""))</f>
        <v/>
      </c>
      <c r="K1901" s="71">
        <f>IF(B1901="","",IFERROR(AVERAGEIFS($J$4:$J1901,$B$4:$B1901,B1901,$J$4:$J1901,"&gt;"&amp;0),""))</f>
        <v/>
      </c>
      <c r="L1901" s="11" t="n"/>
    </row>
    <row r="1902" ht="14" customHeight="1" s="72">
      <c r="A1902" s="80" t="n"/>
      <c r="B1902" s="81" t="n"/>
      <c r="C1902" s="69">
        <f>IF(B1902="","",IFERROR(INDEX(Client_List!$B:$B,MATCH(B1902,Client_List!$A:$A,0)),"⚠ NOT FOUND"))</f>
        <v/>
      </c>
      <c r="D1902" s="45" t="n"/>
      <c r="E1902" s="32">
        <f>IF(B1902="","",IFERROR(INDEX(Client_List!$C:$C,MATCH(VALUE(B1902),Client_List!$A:$A,0)),""))</f>
        <v/>
      </c>
      <c r="F1902" s="53">
        <f>IF(B1902="","",IFERROR(INDEX(Client_List!$D:$D,MATCH(VALUE(B1902),Client_List!$A:$A,0)),""))</f>
        <v/>
      </c>
      <c r="G1902" s="53">
        <f>IF(B1902="","",IFERROR(INDEX(Client_List!$K:$K,MATCH(VALUE(B1902),Client_List!$A:$A,0)),""))</f>
        <v/>
      </c>
      <c r="H1902" s="32">
        <f>IF(B1902="","",IFERROR(INDEX(Client_List!$J:$J,MATCH(VALUE(B1902),Client_List!$A:$A,0)),""))</f>
        <v/>
      </c>
      <c r="I1902" s="70">
        <f>IF(B1902="","",IFERROR(A1902-LOOKUP(2,1/($B$4:$B1901=B1902),$A$4:$A1901),""))</f>
        <v/>
      </c>
      <c r="J1902" s="32">
        <f>IF(B1902="","",IFERROR(D1902/I1902,""))</f>
        <v/>
      </c>
      <c r="K1902" s="71">
        <f>IF(B1902="","",IFERROR(AVERAGEIFS($J$4:$J1902,$B$4:$B1902,B1902,$J$4:$J1902,"&gt;"&amp;0),""))</f>
        <v/>
      </c>
      <c r="L1902" s="12" t="n"/>
    </row>
    <row r="1903" ht="14" customHeight="1" s="72">
      <c r="A1903" s="78" t="n"/>
      <c r="B1903" s="79" t="n"/>
      <c r="C1903" s="69">
        <f>IF(B1903="","",IFERROR(INDEX(Client_List!$B:$B,MATCH(B1903,Client_List!$A:$A,0)),"⚠ NOT FOUND"))</f>
        <v/>
      </c>
      <c r="D1903" s="44" t="n"/>
      <c r="E1903" s="32">
        <f>IF(B1903="","",IFERROR(INDEX(Client_List!$C:$C,MATCH(VALUE(B1903),Client_List!$A:$A,0)),""))</f>
        <v/>
      </c>
      <c r="F1903" s="53">
        <f>IF(B1903="","",IFERROR(INDEX(Client_List!$D:$D,MATCH(VALUE(B1903),Client_List!$A:$A,0)),""))</f>
        <v/>
      </c>
      <c r="G1903" s="53">
        <f>IF(B1903="","",IFERROR(INDEX(Client_List!$K:$K,MATCH(VALUE(B1903),Client_List!$A:$A,0)),""))</f>
        <v/>
      </c>
      <c r="H1903" s="32">
        <f>IF(B1903="","",IFERROR(INDEX(Client_List!$J:$J,MATCH(VALUE(B1903),Client_List!$A:$A,0)),""))</f>
        <v/>
      </c>
      <c r="I1903" s="70">
        <f>IF(B1903="","",IFERROR(A1903-LOOKUP(2,1/($B$4:$B1902=B1903),$A$4:$A1902),""))</f>
        <v/>
      </c>
      <c r="J1903" s="32">
        <f>IF(B1903="","",IFERROR(D1903/I1903,""))</f>
        <v/>
      </c>
      <c r="K1903" s="71">
        <f>IF(B1903="","",IFERROR(AVERAGEIFS($J$4:$J1903,$B$4:$B1903,B1903,$J$4:$J1903,"&gt;"&amp;0),""))</f>
        <v/>
      </c>
      <c r="L1903" s="11" t="n"/>
    </row>
    <row r="1904" ht="14" customHeight="1" s="72">
      <c r="A1904" s="80" t="n"/>
      <c r="B1904" s="81" t="n"/>
      <c r="C1904" s="69">
        <f>IF(B1904="","",IFERROR(INDEX(Client_List!$B:$B,MATCH(B1904,Client_List!$A:$A,0)),"⚠ NOT FOUND"))</f>
        <v/>
      </c>
      <c r="D1904" s="45" t="n"/>
      <c r="E1904" s="32">
        <f>IF(B1904="","",IFERROR(INDEX(Client_List!$C:$C,MATCH(VALUE(B1904),Client_List!$A:$A,0)),""))</f>
        <v/>
      </c>
      <c r="F1904" s="53">
        <f>IF(B1904="","",IFERROR(INDEX(Client_List!$D:$D,MATCH(VALUE(B1904),Client_List!$A:$A,0)),""))</f>
        <v/>
      </c>
      <c r="G1904" s="53">
        <f>IF(B1904="","",IFERROR(INDEX(Client_List!$K:$K,MATCH(VALUE(B1904),Client_List!$A:$A,0)),""))</f>
        <v/>
      </c>
      <c r="H1904" s="32">
        <f>IF(B1904="","",IFERROR(INDEX(Client_List!$J:$J,MATCH(VALUE(B1904),Client_List!$A:$A,0)),""))</f>
        <v/>
      </c>
      <c r="I1904" s="70">
        <f>IF(B1904="","",IFERROR(A1904-LOOKUP(2,1/($B$4:$B1903=B1904),$A$4:$A1903),""))</f>
        <v/>
      </c>
      <c r="J1904" s="32">
        <f>IF(B1904="","",IFERROR(D1904/I1904,""))</f>
        <v/>
      </c>
      <c r="K1904" s="71">
        <f>IF(B1904="","",IFERROR(AVERAGEIFS($J$4:$J1904,$B$4:$B1904,B1904,$J$4:$J1904,"&gt;"&amp;0),""))</f>
        <v/>
      </c>
      <c r="L1904" s="12" t="n"/>
    </row>
    <row r="1905" ht="14" customHeight="1" s="72">
      <c r="A1905" s="78" t="n"/>
      <c r="B1905" s="79" t="n"/>
      <c r="C1905" s="69">
        <f>IF(B1905="","",IFERROR(INDEX(Client_List!$B:$B,MATCH(B1905,Client_List!$A:$A,0)),"⚠ NOT FOUND"))</f>
        <v/>
      </c>
      <c r="D1905" s="44" t="n"/>
      <c r="E1905" s="32">
        <f>IF(B1905="","",IFERROR(INDEX(Client_List!$C:$C,MATCH(VALUE(B1905),Client_List!$A:$A,0)),""))</f>
        <v/>
      </c>
      <c r="F1905" s="53">
        <f>IF(B1905="","",IFERROR(INDEX(Client_List!$D:$D,MATCH(VALUE(B1905),Client_List!$A:$A,0)),""))</f>
        <v/>
      </c>
      <c r="G1905" s="53">
        <f>IF(B1905="","",IFERROR(INDEX(Client_List!$K:$K,MATCH(VALUE(B1905),Client_List!$A:$A,0)),""))</f>
        <v/>
      </c>
      <c r="H1905" s="32">
        <f>IF(B1905="","",IFERROR(INDEX(Client_List!$J:$J,MATCH(VALUE(B1905),Client_List!$A:$A,0)),""))</f>
        <v/>
      </c>
      <c r="I1905" s="70">
        <f>IF(B1905="","",IFERROR(A1905-LOOKUP(2,1/($B$4:$B1904=B1905),$A$4:$A1904),""))</f>
        <v/>
      </c>
      <c r="J1905" s="32">
        <f>IF(B1905="","",IFERROR(D1905/I1905,""))</f>
        <v/>
      </c>
      <c r="K1905" s="71">
        <f>IF(B1905="","",IFERROR(AVERAGEIFS($J$4:$J1905,$B$4:$B1905,B1905,$J$4:$J1905,"&gt;"&amp;0),""))</f>
        <v/>
      </c>
      <c r="L1905" s="11" t="n"/>
    </row>
    <row r="1906" ht="14" customHeight="1" s="72">
      <c r="A1906" s="80" t="n"/>
      <c r="B1906" s="81" t="n"/>
      <c r="C1906" s="69">
        <f>IF(B1906="","",IFERROR(INDEX(Client_List!$B:$B,MATCH(B1906,Client_List!$A:$A,0)),"⚠ NOT FOUND"))</f>
        <v/>
      </c>
      <c r="D1906" s="45" t="n"/>
      <c r="E1906" s="32">
        <f>IF(B1906="","",IFERROR(INDEX(Client_List!$C:$C,MATCH(VALUE(B1906),Client_List!$A:$A,0)),""))</f>
        <v/>
      </c>
      <c r="F1906" s="53">
        <f>IF(B1906="","",IFERROR(INDEX(Client_List!$D:$D,MATCH(VALUE(B1906),Client_List!$A:$A,0)),""))</f>
        <v/>
      </c>
      <c r="G1906" s="53">
        <f>IF(B1906="","",IFERROR(INDEX(Client_List!$K:$K,MATCH(VALUE(B1906),Client_List!$A:$A,0)),""))</f>
        <v/>
      </c>
      <c r="H1906" s="32">
        <f>IF(B1906="","",IFERROR(INDEX(Client_List!$J:$J,MATCH(VALUE(B1906),Client_List!$A:$A,0)),""))</f>
        <v/>
      </c>
      <c r="I1906" s="70">
        <f>IF(B1906="","",IFERROR(A1906-LOOKUP(2,1/($B$4:$B1905=B1906),$A$4:$A1905),""))</f>
        <v/>
      </c>
      <c r="J1906" s="32">
        <f>IF(B1906="","",IFERROR(D1906/I1906,""))</f>
        <v/>
      </c>
      <c r="K1906" s="71">
        <f>IF(B1906="","",IFERROR(AVERAGEIFS($J$4:$J1906,$B$4:$B1906,B1906,$J$4:$J1906,"&gt;"&amp;0),""))</f>
        <v/>
      </c>
      <c r="L1906" s="12" t="n"/>
    </row>
    <row r="1907" ht="14" customHeight="1" s="72">
      <c r="A1907" s="78" t="n"/>
      <c r="B1907" s="79" t="n"/>
      <c r="C1907" s="69">
        <f>IF(B1907="","",IFERROR(INDEX(Client_List!$B:$B,MATCH(B1907,Client_List!$A:$A,0)),"⚠ NOT FOUND"))</f>
        <v/>
      </c>
      <c r="D1907" s="44" t="n"/>
      <c r="E1907" s="32">
        <f>IF(B1907="","",IFERROR(INDEX(Client_List!$C:$C,MATCH(VALUE(B1907),Client_List!$A:$A,0)),""))</f>
        <v/>
      </c>
      <c r="F1907" s="53">
        <f>IF(B1907="","",IFERROR(INDEX(Client_List!$D:$D,MATCH(VALUE(B1907),Client_List!$A:$A,0)),""))</f>
        <v/>
      </c>
      <c r="G1907" s="53">
        <f>IF(B1907="","",IFERROR(INDEX(Client_List!$K:$K,MATCH(VALUE(B1907),Client_List!$A:$A,0)),""))</f>
        <v/>
      </c>
      <c r="H1907" s="32">
        <f>IF(B1907="","",IFERROR(INDEX(Client_List!$J:$J,MATCH(VALUE(B1907),Client_List!$A:$A,0)),""))</f>
        <v/>
      </c>
      <c r="I1907" s="70">
        <f>IF(B1907="","",IFERROR(A1907-LOOKUP(2,1/($B$4:$B1906=B1907),$A$4:$A1906),""))</f>
        <v/>
      </c>
      <c r="J1907" s="32">
        <f>IF(B1907="","",IFERROR(D1907/I1907,""))</f>
        <v/>
      </c>
      <c r="K1907" s="71">
        <f>IF(B1907="","",IFERROR(AVERAGEIFS($J$4:$J1907,$B$4:$B1907,B1907,$J$4:$J1907,"&gt;"&amp;0),""))</f>
        <v/>
      </c>
      <c r="L1907" s="11" t="n"/>
    </row>
    <row r="1908" ht="14" customHeight="1" s="72">
      <c r="A1908" s="80" t="n"/>
      <c r="B1908" s="81" t="n"/>
      <c r="C1908" s="69">
        <f>IF(B1908="","",IFERROR(INDEX(Client_List!$B:$B,MATCH(B1908,Client_List!$A:$A,0)),"⚠ NOT FOUND"))</f>
        <v/>
      </c>
      <c r="D1908" s="45" t="n"/>
      <c r="E1908" s="32">
        <f>IF(B1908="","",IFERROR(INDEX(Client_List!$C:$C,MATCH(VALUE(B1908),Client_List!$A:$A,0)),""))</f>
        <v/>
      </c>
      <c r="F1908" s="53">
        <f>IF(B1908="","",IFERROR(INDEX(Client_List!$D:$D,MATCH(VALUE(B1908),Client_List!$A:$A,0)),""))</f>
        <v/>
      </c>
      <c r="G1908" s="53">
        <f>IF(B1908="","",IFERROR(INDEX(Client_List!$K:$K,MATCH(VALUE(B1908),Client_List!$A:$A,0)),""))</f>
        <v/>
      </c>
      <c r="H1908" s="32">
        <f>IF(B1908="","",IFERROR(INDEX(Client_List!$J:$J,MATCH(VALUE(B1908),Client_List!$A:$A,0)),""))</f>
        <v/>
      </c>
      <c r="I1908" s="70">
        <f>IF(B1908="","",IFERROR(A1908-LOOKUP(2,1/($B$4:$B1907=B1908),$A$4:$A1907),""))</f>
        <v/>
      </c>
      <c r="J1908" s="32">
        <f>IF(B1908="","",IFERROR(D1908/I1908,""))</f>
        <v/>
      </c>
      <c r="K1908" s="71">
        <f>IF(B1908="","",IFERROR(AVERAGEIFS($J$4:$J1908,$B$4:$B1908,B1908,$J$4:$J1908,"&gt;"&amp;0),""))</f>
        <v/>
      </c>
      <c r="L1908" s="12" t="n"/>
    </row>
    <row r="1909" ht="14" customHeight="1" s="72">
      <c r="A1909" s="78" t="n"/>
      <c r="B1909" s="79" t="n"/>
      <c r="C1909" s="69">
        <f>IF(B1909="","",IFERROR(INDEX(Client_List!$B:$B,MATCH(B1909,Client_List!$A:$A,0)),"⚠ NOT FOUND"))</f>
        <v/>
      </c>
      <c r="D1909" s="44" t="n"/>
      <c r="E1909" s="32">
        <f>IF(B1909="","",IFERROR(INDEX(Client_List!$C:$C,MATCH(VALUE(B1909),Client_List!$A:$A,0)),""))</f>
        <v/>
      </c>
      <c r="F1909" s="53">
        <f>IF(B1909="","",IFERROR(INDEX(Client_List!$D:$D,MATCH(VALUE(B1909),Client_List!$A:$A,0)),""))</f>
        <v/>
      </c>
      <c r="G1909" s="53">
        <f>IF(B1909="","",IFERROR(INDEX(Client_List!$K:$K,MATCH(VALUE(B1909),Client_List!$A:$A,0)),""))</f>
        <v/>
      </c>
      <c r="H1909" s="32">
        <f>IF(B1909="","",IFERROR(INDEX(Client_List!$J:$J,MATCH(VALUE(B1909),Client_List!$A:$A,0)),""))</f>
        <v/>
      </c>
      <c r="I1909" s="70">
        <f>IF(B1909="","",IFERROR(A1909-LOOKUP(2,1/($B$4:$B1908=B1909),$A$4:$A1908),""))</f>
        <v/>
      </c>
      <c r="J1909" s="32">
        <f>IF(B1909="","",IFERROR(D1909/I1909,""))</f>
        <v/>
      </c>
      <c r="K1909" s="71">
        <f>IF(B1909="","",IFERROR(AVERAGEIFS($J$4:$J1909,$B$4:$B1909,B1909,$J$4:$J1909,"&gt;"&amp;0),""))</f>
        <v/>
      </c>
      <c r="L1909" s="11" t="n"/>
    </row>
    <row r="1910" ht="14" customHeight="1" s="72">
      <c r="A1910" s="80" t="n"/>
      <c r="B1910" s="81" t="n"/>
      <c r="C1910" s="69">
        <f>IF(B1910="","",IFERROR(INDEX(Client_List!$B:$B,MATCH(B1910,Client_List!$A:$A,0)),"⚠ NOT FOUND"))</f>
        <v/>
      </c>
      <c r="D1910" s="45" t="n"/>
      <c r="E1910" s="32">
        <f>IF(B1910="","",IFERROR(INDEX(Client_List!$C:$C,MATCH(VALUE(B1910),Client_List!$A:$A,0)),""))</f>
        <v/>
      </c>
      <c r="F1910" s="53">
        <f>IF(B1910="","",IFERROR(INDEX(Client_List!$D:$D,MATCH(VALUE(B1910),Client_List!$A:$A,0)),""))</f>
        <v/>
      </c>
      <c r="G1910" s="53">
        <f>IF(B1910="","",IFERROR(INDEX(Client_List!$K:$K,MATCH(VALUE(B1910),Client_List!$A:$A,0)),""))</f>
        <v/>
      </c>
      <c r="H1910" s="32">
        <f>IF(B1910="","",IFERROR(INDEX(Client_List!$J:$J,MATCH(VALUE(B1910),Client_List!$A:$A,0)),""))</f>
        <v/>
      </c>
      <c r="I1910" s="70">
        <f>IF(B1910="","",IFERROR(A1910-LOOKUP(2,1/($B$4:$B1909=B1910),$A$4:$A1909),""))</f>
        <v/>
      </c>
      <c r="J1910" s="32">
        <f>IF(B1910="","",IFERROR(D1910/I1910,""))</f>
        <v/>
      </c>
      <c r="K1910" s="71">
        <f>IF(B1910="","",IFERROR(AVERAGEIFS($J$4:$J1910,$B$4:$B1910,B1910,$J$4:$J1910,"&gt;"&amp;0),""))</f>
        <v/>
      </c>
      <c r="L1910" s="12" t="n"/>
    </row>
    <row r="1911" ht="14" customHeight="1" s="72">
      <c r="A1911" s="78" t="n"/>
      <c r="B1911" s="79" t="n"/>
      <c r="C1911" s="69">
        <f>IF(B1911="","",IFERROR(INDEX(Client_List!$B:$B,MATCH(B1911,Client_List!$A:$A,0)),"⚠ NOT FOUND"))</f>
        <v/>
      </c>
      <c r="D1911" s="44" t="n"/>
      <c r="E1911" s="32">
        <f>IF(B1911="","",IFERROR(INDEX(Client_List!$C:$C,MATCH(VALUE(B1911),Client_List!$A:$A,0)),""))</f>
        <v/>
      </c>
      <c r="F1911" s="53">
        <f>IF(B1911="","",IFERROR(INDEX(Client_List!$D:$D,MATCH(VALUE(B1911),Client_List!$A:$A,0)),""))</f>
        <v/>
      </c>
      <c r="G1911" s="53">
        <f>IF(B1911="","",IFERROR(INDEX(Client_List!$K:$K,MATCH(VALUE(B1911),Client_List!$A:$A,0)),""))</f>
        <v/>
      </c>
      <c r="H1911" s="32">
        <f>IF(B1911="","",IFERROR(INDEX(Client_List!$J:$J,MATCH(VALUE(B1911),Client_List!$A:$A,0)),""))</f>
        <v/>
      </c>
      <c r="I1911" s="70">
        <f>IF(B1911="","",IFERROR(A1911-LOOKUP(2,1/($B$4:$B1910=B1911),$A$4:$A1910),""))</f>
        <v/>
      </c>
      <c r="J1911" s="32">
        <f>IF(B1911="","",IFERROR(D1911/I1911,""))</f>
        <v/>
      </c>
      <c r="K1911" s="71">
        <f>IF(B1911="","",IFERROR(AVERAGEIFS($J$4:$J1911,$B$4:$B1911,B1911,$J$4:$J1911,"&gt;"&amp;0),""))</f>
        <v/>
      </c>
      <c r="L1911" s="11" t="n"/>
    </row>
    <row r="1912" ht="14" customHeight="1" s="72">
      <c r="A1912" s="80" t="n"/>
      <c r="B1912" s="81" t="n"/>
      <c r="C1912" s="69">
        <f>IF(B1912="","",IFERROR(INDEX(Client_List!$B:$B,MATCH(B1912,Client_List!$A:$A,0)),"⚠ NOT FOUND"))</f>
        <v/>
      </c>
      <c r="D1912" s="45" t="n"/>
      <c r="E1912" s="32">
        <f>IF(B1912="","",IFERROR(INDEX(Client_List!$C:$C,MATCH(VALUE(B1912),Client_List!$A:$A,0)),""))</f>
        <v/>
      </c>
      <c r="F1912" s="53">
        <f>IF(B1912="","",IFERROR(INDEX(Client_List!$D:$D,MATCH(VALUE(B1912),Client_List!$A:$A,0)),""))</f>
        <v/>
      </c>
      <c r="G1912" s="53">
        <f>IF(B1912="","",IFERROR(INDEX(Client_List!$K:$K,MATCH(VALUE(B1912),Client_List!$A:$A,0)),""))</f>
        <v/>
      </c>
      <c r="H1912" s="32">
        <f>IF(B1912="","",IFERROR(INDEX(Client_List!$J:$J,MATCH(VALUE(B1912),Client_List!$A:$A,0)),""))</f>
        <v/>
      </c>
      <c r="I1912" s="70">
        <f>IF(B1912="","",IFERROR(A1912-LOOKUP(2,1/($B$4:$B1911=B1912),$A$4:$A1911),""))</f>
        <v/>
      </c>
      <c r="J1912" s="32">
        <f>IF(B1912="","",IFERROR(D1912/I1912,""))</f>
        <v/>
      </c>
      <c r="K1912" s="71">
        <f>IF(B1912="","",IFERROR(AVERAGEIFS($J$4:$J1912,$B$4:$B1912,B1912,$J$4:$J1912,"&gt;"&amp;0),""))</f>
        <v/>
      </c>
      <c r="L1912" s="12" t="n"/>
    </row>
    <row r="1913" ht="14" customHeight="1" s="72">
      <c r="A1913" s="78" t="n"/>
      <c r="B1913" s="79" t="n"/>
      <c r="C1913" s="69">
        <f>IF(B1913="","",IFERROR(INDEX(Client_List!$B:$B,MATCH(B1913,Client_List!$A:$A,0)),"⚠ NOT FOUND"))</f>
        <v/>
      </c>
      <c r="D1913" s="44" t="n"/>
      <c r="E1913" s="32">
        <f>IF(B1913="","",IFERROR(INDEX(Client_List!$C:$C,MATCH(VALUE(B1913),Client_List!$A:$A,0)),""))</f>
        <v/>
      </c>
      <c r="F1913" s="53">
        <f>IF(B1913="","",IFERROR(INDEX(Client_List!$D:$D,MATCH(VALUE(B1913),Client_List!$A:$A,0)),""))</f>
        <v/>
      </c>
      <c r="G1913" s="53">
        <f>IF(B1913="","",IFERROR(INDEX(Client_List!$K:$K,MATCH(VALUE(B1913),Client_List!$A:$A,0)),""))</f>
        <v/>
      </c>
      <c r="H1913" s="32">
        <f>IF(B1913="","",IFERROR(INDEX(Client_List!$J:$J,MATCH(VALUE(B1913),Client_List!$A:$A,0)),""))</f>
        <v/>
      </c>
      <c r="I1913" s="70">
        <f>IF(B1913="","",IFERROR(A1913-LOOKUP(2,1/($B$4:$B1912=B1913),$A$4:$A1912),""))</f>
        <v/>
      </c>
      <c r="J1913" s="32">
        <f>IF(B1913="","",IFERROR(D1913/I1913,""))</f>
        <v/>
      </c>
      <c r="K1913" s="71">
        <f>IF(B1913="","",IFERROR(AVERAGEIFS($J$4:$J1913,$B$4:$B1913,B1913,$J$4:$J1913,"&gt;"&amp;0),""))</f>
        <v/>
      </c>
      <c r="L1913" s="11" t="n"/>
    </row>
    <row r="1914" ht="14" customHeight="1" s="72">
      <c r="A1914" s="80" t="n"/>
      <c r="B1914" s="81" t="n"/>
      <c r="C1914" s="69">
        <f>IF(B1914="","",IFERROR(INDEX(Client_List!$B:$B,MATCH(B1914,Client_List!$A:$A,0)),"⚠ NOT FOUND"))</f>
        <v/>
      </c>
      <c r="D1914" s="45" t="n"/>
      <c r="E1914" s="32">
        <f>IF(B1914="","",IFERROR(INDEX(Client_List!$C:$C,MATCH(VALUE(B1914),Client_List!$A:$A,0)),""))</f>
        <v/>
      </c>
      <c r="F1914" s="53">
        <f>IF(B1914="","",IFERROR(INDEX(Client_List!$D:$D,MATCH(VALUE(B1914),Client_List!$A:$A,0)),""))</f>
        <v/>
      </c>
      <c r="G1914" s="53">
        <f>IF(B1914="","",IFERROR(INDEX(Client_List!$K:$K,MATCH(VALUE(B1914),Client_List!$A:$A,0)),""))</f>
        <v/>
      </c>
      <c r="H1914" s="32">
        <f>IF(B1914="","",IFERROR(INDEX(Client_List!$J:$J,MATCH(VALUE(B1914),Client_List!$A:$A,0)),""))</f>
        <v/>
      </c>
      <c r="I1914" s="70">
        <f>IF(B1914="","",IFERROR(A1914-LOOKUP(2,1/($B$4:$B1913=B1914),$A$4:$A1913),""))</f>
        <v/>
      </c>
      <c r="J1914" s="32">
        <f>IF(B1914="","",IFERROR(D1914/I1914,""))</f>
        <v/>
      </c>
      <c r="K1914" s="71">
        <f>IF(B1914="","",IFERROR(AVERAGEIFS($J$4:$J1914,$B$4:$B1914,B1914,$J$4:$J1914,"&gt;"&amp;0),""))</f>
        <v/>
      </c>
      <c r="L1914" s="12" t="n"/>
    </row>
    <row r="1915" ht="14" customHeight="1" s="72">
      <c r="A1915" s="78" t="n"/>
      <c r="B1915" s="79" t="n"/>
      <c r="C1915" s="69">
        <f>IF(B1915="","",IFERROR(INDEX(Client_List!$B:$B,MATCH(B1915,Client_List!$A:$A,0)),"⚠ NOT FOUND"))</f>
        <v/>
      </c>
      <c r="D1915" s="44" t="n"/>
      <c r="E1915" s="32">
        <f>IF(B1915="","",IFERROR(INDEX(Client_List!$C:$C,MATCH(VALUE(B1915),Client_List!$A:$A,0)),""))</f>
        <v/>
      </c>
      <c r="F1915" s="53">
        <f>IF(B1915="","",IFERROR(INDEX(Client_List!$D:$D,MATCH(VALUE(B1915),Client_List!$A:$A,0)),""))</f>
        <v/>
      </c>
      <c r="G1915" s="53">
        <f>IF(B1915="","",IFERROR(INDEX(Client_List!$K:$K,MATCH(VALUE(B1915),Client_List!$A:$A,0)),""))</f>
        <v/>
      </c>
      <c r="H1915" s="32">
        <f>IF(B1915="","",IFERROR(INDEX(Client_List!$J:$J,MATCH(VALUE(B1915),Client_List!$A:$A,0)),""))</f>
        <v/>
      </c>
      <c r="I1915" s="70">
        <f>IF(B1915="","",IFERROR(A1915-LOOKUP(2,1/($B$4:$B1914=B1915),$A$4:$A1914),""))</f>
        <v/>
      </c>
      <c r="J1915" s="32">
        <f>IF(B1915="","",IFERROR(D1915/I1915,""))</f>
        <v/>
      </c>
      <c r="K1915" s="71">
        <f>IF(B1915="","",IFERROR(AVERAGEIFS($J$4:$J1915,$B$4:$B1915,B1915,$J$4:$J1915,"&gt;"&amp;0),""))</f>
        <v/>
      </c>
      <c r="L1915" s="11" t="n"/>
    </row>
    <row r="1916" ht="14" customHeight="1" s="72">
      <c r="A1916" s="80" t="n"/>
      <c r="B1916" s="81" t="n"/>
      <c r="C1916" s="69">
        <f>IF(B1916="","",IFERROR(INDEX(Client_List!$B:$B,MATCH(B1916,Client_List!$A:$A,0)),"⚠ NOT FOUND"))</f>
        <v/>
      </c>
      <c r="D1916" s="45" t="n"/>
      <c r="E1916" s="32">
        <f>IF(B1916="","",IFERROR(INDEX(Client_List!$C:$C,MATCH(VALUE(B1916),Client_List!$A:$A,0)),""))</f>
        <v/>
      </c>
      <c r="F1916" s="53">
        <f>IF(B1916="","",IFERROR(INDEX(Client_List!$D:$D,MATCH(VALUE(B1916),Client_List!$A:$A,0)),""))</f>
        <v/>
      </c>
      <c r="G1916" s="53">
        <f>IF(B1916="","",IFERROR(INDEX(Client_List!$K:$K,MATCH(VALUE(B1916),Client_List!$A:$A,0)),""))</f>
        <v/>
      </c>
      <c r="H1916" s="32">
        <f>IF(B1916="","",IFERROR(INDEX(Client_List!$J:$J,MATCH(VALUE(B1916),Client_List!$A:$A,0)),""))</f>
        <v/>
      </c>
      <c r="I1916" s="70">
        <f>IF(B1916="","",IFERROR(A1916-LOOKUP(2,1/($B$4:$B1915=B1916),$A$4:$A1915),""))</f>
        <v/>
      </c>
      <c r="J1916" s="32">
        <f>IF(B1916="","",IFERROR(D1916/I1916,""))</f>
        <v/>
      </c>
      <c r="K1916" s="71">
        <f>IF(B1916="","",IFERROR(AVERAGEIFS($J$4:$J1916,$B$4:$B1916,B1916,$J$4:$J1916,"&gt;"&amp;0),""))</f>
        <v/>
      </c>
      <c r="L1916" s="12" t="n"/>
    </row>
    <row r="1917" ht="14" customHeight="1" s="72">
      <c r="A1917" s="78" t="n"/>
      <c r="B1917" s="79" t="n"/>
      <c r="C1917" s="69">
        <f>IF(B1917="","",IFERROR(INDEX(Client_List!$B:$B,MATCH(B1917,Client_List!$A:$A,0)),"⚠ NOT FOUND"))</f>
        <v/>
      </c>
      <c r="D1917" s="44" t="n"/>
      <c r="E1917" s="32">
        <f>IF(B1917="","",IFERROR(INDEX(Client_List!$C:$C,MATCH(VALUE(B1917),Client_List!$A:$A,0)),""))</f>
        <v/>
      </c>
      <c r="F1917" s="53">
        <f>IF(B1917="","",IFERROR(INDEX(Client_List!$D:$D,MATCH(VALUE(B1917),Client_List!$A:$A,0)),""))</f>
        <v/>
      </c>
      <c r="G1917" s="53">
        <f>IF(B1917="","",IFERROR(INDEX(Client_List!$K:$K,MATCH(VALUE(B1917),Client_List!$A:$A,0)),""))</f>
        <v/>
      </c>
      <c r="H1917" s="32">
        <f>IF(B1917="","",IFERROR(INDEX(Client_List!$J:$J,MATCH(VALUE(B1917),Client_List!$A:$A,0)),""))</f>
        <v/>
      </c>
      <c r="I1917" s="70">
        <f>IF(B1917="","",IFERROR(A1917-LOOKUP(2,1/($B$4:$B1916=B1917),$A$4:$A1916),""))</f>
        <v/>
      </c>
      <c r="J1917" s="32">
        <f>IF(B1917="","",IFERROR(D1917/I1917,""))</f>
        <v/>
      </c>
      <c r="K1917" s="71">
        <f>IF(B1917="","",IFERROR(AVERAGEIFS($J$4:$J1917,$B$4:$B1917,B1917,$J$4:$J1917,"&gt;"&amp;0),""))</f>
        <v/>
      </c>
      <c r="L1917" s="11" t="n"/>
    </row>
    <row r="1918" ht="14" customHeight="1" s="72">
      <c r="A1918" s="80" t="n"/>
      <c r="B1918" s="81" t="n"/>
      <c r="C1918" s="69">
        <f>IF(B1918="","",IFERROR(INDEX(Client_List!$B:$B,MATCH(B1918,Client_List!$A:$A,0)),"⚠ NOT FOUND"))</f>
        <v/>
      </c>
      <c r="D1918" s="45" t="n"/>
      <c r="E1918" s="32">
        <f>IF(B1918="","",IFERROR(INDEX(Client_List!$C:$C,MATCH(VALUE(B1918),Client_List!$A:$A,0)),""))</f>
        <v/>
      </c>
      <c r="F1918" s="53">
        <f>IF(B1918="","",IFERROR(INDEX(Client_List!$D:$D,MATCH(VALUE(B1918),Client_List!$A:$A,0)),""))</f>
        <v/>
      </c>
      <c r="G1918" s="53">
        <f>IF(B1918="","",IFERROR(INDEX(Client_List!$K:$K,MATCH(VALUE(B1918),Client_List!$A:$A,0)),""))</f>
        <v/>
      </c>
      <c r="H1918" s="32">
        <f>IF(B1918="","",IFERROR(INDEX(Client_List!$J:$J,MATCH(VALUE(B1918),Client_List!$A:$A,0)),""))</f>
        <v/>
      </c>
      <c r="I1918" s="70">
        <f>IF(B1918="","",IFERROR(A1918-LOOKUP(2,1/($B$4:$B1917=B1918),$A$4:$A1917),""))</f>
        <v/>
      </c>
      <c r="J1918" s="32">
        <f>IF(B1918="","",IFERROR(D1918/I1918,""))</f>
        <v/>
      </c>
      <c r="K1918" s="71">
        <f>IF(B1918="","",IFERROR(AVERAGEIFS($J$4:$J1918,$B$4:$B1918,B1918,$J$4:$J1918,"&gt;"&amp;0),""))</f>
        <v/>
      </c>
      <c r="L1918" s="12" t="n"/>
    </row>
    <row r="1919" ht="14" customHeight="1" s="72">
      <c r="A1919" s="78" t="n"/>
      <c r="B1919" s="79" t="n"/>
      <c r="C1919" s="69">
        <f>IF(B1919="","",IFERROR(INDEX(Client_List!$B:$B,MATCH(B1919,Client_List!$A:$A,0)),"⚠ NOT FOUND"))</f>
        <v/>
      </c>
      <c r="D1919" s="44" t="n"/>
      <c r="E1919" s="32">
        <f>IF(B1919="","",IFERROR(INDEX(Client_List!$C:$C,MATCH(VALUE(B1919),Client_List!$A:$A,0)),""))</f>
        <v/>
      </c>
      <c r="F1919" s="53">
        <f>IF(B1919="","",IFERROR(INDEX(Client_List!$D:$D,MATCH(VALUE(B1919),Client_List!$A:$A,0)),""))</f>
        <v/>
      </c>
      <c r="G1919" s="53">
        <f>IF(B1919="","",IFERROR(INDEX(Client_List!$K:$K,MATCH(VALUE(B1919),Client_List!$A:$A,0)),""))</f>
        <v/>
      </c>
      <c r="H1919" s="32">
        <f>IF(B1919="","",IFERROR(INDEX(Client_List!$J:$J,MATCH(VALUE(B1919),Client_List!$A:$A,0)),""))</f>
        <v/>
      </c>
      <c r="I1919" s="70">
        <f>IF(B1919="","",IFERROR(A1919-LOOKUP(2,1/($B$4:$B1918=B1919),$A$4:$A1918),""))</f>
        <v/>
      </c>
      <c r="J1919" s="32">
        <f>IF(B1919="","",IFERROR(D1919/I1919,""))</f>
        <v/>
      </c>
      <c r="K1919" s="71">
        <f>IF(B1919="","",IFERROR(AVERAGEIFS($J$4:$J1919,$B$4:$B1919,B1919,$J$4:$J1919,"&gt;"&amp;0),""))</f>
        <v/>
      </c>
      <c r="L1919" s="11" t="n"/>
    </row>
    <row r="1920" ht="14" customHeight="1" s="72">
      <c r="A1920" s="80" t="n"/>
      <c r="B1920" s="81" t="n"/>
      <c r="C1920" s="69">
        <f>IF(B1920="","",IFERROR(INDEX(Client_List!$B:$B,MATCH(B1920,Client_List!$A:$A,0)),"⚠ NOT FOUND"))</f>
        <v/>
      </c>
      <c r="D1920" s="45" t="n"/>
      <c r="E1920" s="32">
        <f>IF(B1920="","",IFERROR(INDEX(Client_List!$C:$C,MATCH(VALUE(B1920),Client_List!$A:$A,0)),""))</f>
        <v/>
      </c>
      <c r="F1920" s="53">
        <f>IF(B1920="","",IFERROR(INDEX(Client_List!$D:$D,MATCH(VALUE(B1920),Client_List!$A:$A,0)),""))</f>
        <v/>
      </c>
      <c r="G1920" s="53">
        <f>IF(B1920="","",IFERROR(INDEX(Client_List!$K:$K,MATCH(VALUE(B1920),Client_List!$A:$A,0)),""))</f>
        <v/>
      </c>
      <c r="H1920" s="32">
        <f>IF(B1920="","",IFERROR(INDEX(Client_List!$J:$J,MATCH(VALUE(B1920),Client_List!$A:$A,0)),""))</f>
        <v/>
      </c>
      <c r="I1920" s="70">
        <f>IF(B1920="","",IFERROR(A1920-LOOKUP(2,1/($B$4:$B1919=B1920),$A$4:$A1919),""))</f>
        <v/>
      </c>
      <c r="J1920" s="32">
        <f>IF(B1920="","",IFERROR(D1920/I1920,""))</f>
        <v/>
      </c>
      <c r="K1920" s="71">
        <f>IF(B1920="","",IFERROR(AVERAGEIFS($J$4:$J1920,$B$4:$B1920,B1920,$J$4:$J1920,"&gt;"&amp;0),""))</f>
        <v/>
      </c>
      <c r="L1920" s="12" t="n"/>
    </row>
    <row r="1921" ht="14" customHeight="1" s="72">
      <c r="A1921" s="78" t="n"/>
      <c r="B1921" s="79" t="n"/>
      <c r="C1921" s="69">
        <f>IF(B1921="","",IFERROR(INDEX(Client_List!$B:$B,MATCH(B1921,Client_List!$A:$A,0)),"⚠ NOT FOUND"))</f>
        <v/>
      </c>
      <c r="D1921" s="44" t="n"/>
      <c r="E1921" s="32">
        <f>IF(B1921="","",IFERROR(INDEX(Client_List!$C:$C,MATCH(VALUE(B1921),Client_List!$A:$A,0)),""))</f>
        <v/>
      </c>
      <c r="F1921" s="53">
        <f>IF(B1921="","",IFERROR(INDEX(Client_List!$D:$D,MATCH(VALUE(B1921),Client_List!$A:$A,0)),""))</f>
        <v/>
      </c>
      <c r="G1921" s="53">
        <f>IF(B1921="","",IFERROR(INDEX(Client_List!$K:$K,MATCH(VALUE(B1921),Client_List!$A:$A,0)),""))</f>
        <v/>
      </c>
      <c r="H1921" s="32">
        <f>IF(B1921="","",IFERROR(INDEX(Client_List!$J:$J,MATCH(VALUE(B1921),Client_List!$A:$A,0)),""))</f>
        <v/>
      </c>
      <c r="I1921" s="70">
        <f>IF(B1921="","",IFERROR(A1921-LOOKUP(2,1/($B$4:$B1920=B1921),$A$4:$A1920),""))</f>
        <v/>
      </c>
      <c r="J1921" s="32">
        <f>IF(B1921="","",IFERROR(D1921/I1921,""))</f>
        <v/>
      </c>
      <c r="K1921" s="71">
        <f>IF(B1921="","",IFERROR(AVERAGEIFS($J$4:$J1921,$B$4:$B1921,B1921,$J$4:$J1921,"&gt;"&amp;0),""))</f>
        <v/>
      </c>
      <c r="L1921" s="11" t="n"/>
    </row>
    <row r="1922" ht="14" customHeight="1" s="72">
      <c r="A1922" s="80" t="n"/>
      <c r="B1922" s="81" t="n"/>
      <c r="C1922" s="69">
        <f>IF(B1922="","",IFERROR(INDEX(Client_List!$B:$B,MATCH(B1922,Client_List!$A:$A,0)),"⚠ NOT FOUND"))</f>
        <v/>
      </c>
      <c r="D1922" s="45" t="n"/>
      <c r="E1922" s="32">
        <f>IF(B1922="","",IFERROR(INDEX(Client_List!$C:$C,MATCH(VALUE(B1922),Client_List!$A:$A,0)),""))</f>
        <v/>
      </c>
      <c r="F1922" s="53">
        <f>IF(B1922="","",IFERROR(INDEX(Client_List!$D:$D,MATCH(VALUE(B1922),Client_List!$A:$A,0)),""))</f>
        <v/>
      </c>
      <c r="G1922" s="53">
        <f>IF(B1922="","",IFERROR(INDEX(Client_List!$K:$K,MATCH(VALUE(B1922),Client_List!$A:$A,0)),""))</f>
        <v/>
      </c>
      <c r="H1922" s="32">
        <f>IF(B1922="","",IFERROR(INDEX(Client_List!$J:$J,MATCH(VALUE(B1922),Client_List!$A:$A,0)),""))</f>
        <v/>
      </c>
      <c r="I1922" s="70">
        <f>IF(B1922="","",IFERROR(A1922-LOOKUP(2,1/($B$4:$B1921=B1922),$A$4:$A1921),""))</f>
        <v/>
      </c>
      <c r="J1922" s="32">
        <f>IF(B1922="","",IFERROR(D1922/I1922,""))</f>
        <v/>
      </c>
      <c r="K1922" s="71">
        <f>IF(B1922="","",IFERROR(AVERAGEIFS($J$4:$J1922,$B$4:$B1922,B1922,$J$4:$J1922,"&gt;"&amp;0),""))</f>
        <v/>
      </c>
      <c r="L1922" s="12" t="n"/>
    </row>
    <row r="1923" ht="14" customHeight="1" s="72">
      <c r="A1923" s="78" t="n"/>
      <c r="B1923" s="79" t="n"/>
      <c r="C1923" s="69">
        <f>IF(B1923="","",IFERROR(INDEX(Client_List!$B:$B,MATCH(B1923,Client_List!$A:$A,0)),"⚠ NOT FOUND"))</f>
        <v/>
      </c>
      <c r="D1923" s="44" t="n"/>
      <c r="E1923" s="32">
        <f>IF(B1923="","",IFERROR(INDEX(Client_List!$C:$C,MATCH(VALUE(B1923),Client_List!$A:$A,0)),""))</f>
        <v/>
      </c>
      <c r="F1923" s="53">
        <f>IF(B1923="","",IFERROR(INDEX(Client_List!$D:$D,MATCH(VALUE(B1923),Client_List!$A:$A,0)),""))</f>
        <v/>
      </c>
      <c r="G1923" s="53">
        <f>IF(B1923="","",IFERROR(INDEX(Client_List!$K:$K,MATCH(VALUE(B1923),Client_List!$A:$A,0)),""))</f>
        <v/>
      </c>
      <c r="H1923" s="32">
        <f>IF(B1923="","",IFERROR(INDEX(Client_List!$J:$J,MATCH(VALUE(B1923),Client_List!$A:$A,0)),""))</f>
        <v/>
      </c>
      <c r="I1923" s="70">
        <f>IF(B1923="","",IFERROR(A1923-LOOKUP(2,1/($B$4:$B1922=B1923),$A$4:$A1922),""))</f>
        <v/>
      </c>
      <c r="J1923" s="32">
        <f>IF(B1923="","",IFERROR(D1923/I1923,""))</f>
        <v/>
      </c>
      <c r="K1923" s="71">
        <f>IF(B1923="","",IFERROR(AVERAGEIFS($J$4:$J1923,$B$4:$B1923,B1923,$J$4:$J1923,"&gt;"&amp;0),""))</f>
        <v/>
      </c>
      <c r="L1923" s="11" t="n"/>
    </row>
    <row r="1924" ht="14" customHeight="1" s="72">
      <c r="A1924" s="80" t="n"/>
      <c r="B1924" s="81" t="n"/>
      <c r="C1924" s="69">
        <f>IF(B1924="","",IFERROR(INDEX(Client_List!$B:$B,MATCH(B1924,Client_List!$A:$A,0)),"⚠ NOT FOUND"))</f>
        <v/>
      </c>
      <c r="D1924" s="45" t="n"/>
      <c r="E1924" s="32">
        <f>IF(B1924="","",IFERROR(INDEX(Client_List!$C:$C,MATCH(VALUE(B1924),Client_List!$A:$A,0)),""))</f>
        <v/>
      </c>
      <c r="F1924" s="53">
        <f>IF(B1924="","",IFERROR(INDEX(Client_List!$D:$D,MATCH(VALUE(B1924),Client_List!$A:$A,0)),""))</f>
        <v/>
      </c>
      <c r="G1924" s="53">
        <f>IF(B1924="","",IFERROR(INDEX(Client_List!$K:$K,MATCH(VALUE(B1924),Client_List!$A:$A,0)),""))</f>
        <v/>
      </c>
      <c r="H1924" s="32">
        <f>IF(B1924="","",IFERROR(INDEX(Client_List!$J:$J,MATCH(VALUE(B1924),Client_List!$A:$A,0)),""))</f>
        <v/>
      </c>
      <c r="I1924" s="70">
        <f>IF(B1924="","",IFERROR(A1924-LOOKUP(2,1/($B$4:$B1923=B1924),$A$4:$A1923),""))</f>
        <v/>
      </c>
      <c r="J1924" s="32">
        <f>IF(B1924="","",IFERROR(D1924/I1924,""))</f>
        <v/>
      </c>
      <c r="K1924" s="71">
        <f>IF(B1924="","",IFERROR(AVERAGEIFS($J$4:$J1924,$B$4:$B1924,B1924,$J$4:$J1924,"&gt;"&amp;0),""))</f>
        <v/>
      </c>
      <c r="L1924" s="12" t="n"/>
    </row>
    <row r="1925" ht="14" customHeight="1" s="72">
      <c r="A1925" s="78" t="n"/>
      <c r="B1925" s="79" t="n"/>
      <c r="C1925" s="69">
        <f>IF(B1925="","",IFERROR(INDEX(Client_List!$B:$B,MATCH(B1925,Client_List!$A:$A,0)),"⚠ NOT FOUND"))</f>
        <v/>
      </c>
      <c r="D1925" s="44" t="n"/>
      <c r="E1925" s="32">
        <f>IF(B1925="","",IFERROR(INDEX(Client_List!$C:$C,MATCH(VALUE(B1925),Client_List!$A:$A,0)),""))</f>
        <v/>
      </c>
      <c r="F1925" s="53">
        <f>IF(B1925="","",IFERROR(INDEX(Client_List!$D:$D,MATCH(VALUE(B1925),Client_List!$A:$A,0)),""))</f>
        <v/>
      </c>
      <c r="G1925" s="53">
        <f>IF(B1925="","",IFERROR(INDEX(Client_List!$K:$K,MATCH(VALUE(B1925),Client_List!$A:$A,0)),""))</f>
        <v/>
      </c>
      <c r="H1925" s="32">
        <f>IF(B1925="","",IFERROR(INDEX(Client_List!$J:$J,MATCH(VALUE(B1925),Client_List!$A:$A,0)),""))</f>
        <v/>
      </c>
      <c r="I1925" s="70">
        <f>IF(B1925="","",IFERROR(A1925-LOOKUP(2,1/($B$4:$B1924=B1925),$A$4:$A1924),""))</f>
        <v/>
      </c>
      <c r="J1925" s="32">
        <f>IF(B1925="","",IFERROR(D1925/I1925,""))</f>
        <v/>
      </c>
      <c r="K1925" s="71">
        <f>IF(B1925="","",IFERROR(AVERAGEIFS($J$4:$J1925,$B$4:$B1925,B1925,$J$4:$J1925,"&gt;"&amp;0),""))</f>
        <v/>
      </c>
      <c r="L1925" s="11" t="n"/>
    </row>
    <row r="1926" ht="14" customHeight="1" s="72">
      <c r="A1926" s="80" t="n"/>
      <c r="B1926" s="81" t="n"/>
      <c r="C1926" s="69">
        <f>IF(B1926="","",IFERROR(INDEX(Client_List!$B:$B,MATCH(B1926,Client_List!$A:$A,0)),"⚠ NOT FOUND"))</f>
        <v/>
      </c>
      <c r="D1926" s="45" t="n"/>
      <c r="E1926" s="32">
        <f>IF(B1926="","",IFERROR(INDEX(Client_List!$C:$C,MATCH(VALUE(B1926),Client_List!$A:$A,0)),""))</f>
        <v/>
      </c>
      <c r="F1926" s="53">
        <f>IF(B1926="","",IFERROR(INDEX(Client_List!$D:$D,MATCH(VALUE(B1926),Client_List!$A:$A,0)),""))</f>
        <v/>
      </c>
      <c r="G1926" s="53">
        <f>IF(B1926="","",IFERROR(INDEX(Client_List!$K:$K,MATCH(VALUE(B1926),Client_List!$A:$A,0)),""))</f>
        <v/>
      </c>
      <c r="H1926" s="32">
        <f>IF(B1926="","",IFERROR(INDEX(Client_List!$J:$J,MATCH(VALUE(B1926),Client_List!$A:$A,0)),""))</f>
        <v/>
      </c>
      <c r="I1926" s="70">
        <f>IF(B1926="","",IFERROR(A1926-LOOKUP(2,1/($B$4:$B1925=B1926),$A$4:$A1925),""))</f>
        <v/>
      </c>
      <c r="J1926" s="32">
        <f>IF(B1926="","",IFERROR(D1926/I1926,""))</f>
        <v/>
      </c>
      <c r="K1926" s="71">
        <f>IF(B1926="","",IFERROR(AVERAGEIFS($J$4:$J1926,$B$4:$B1926,B1926,$J$4:$J1926,"&gt;"&amp;0),""))</f>
        <v/>
      </c>
      <c r="L1926" s="12" t="n"/>
    </row>
    <row r="1927" ht="14" customHeight="1" s="72">
      <c r="A1927" s="78" t="n"/>
      <c r="B1927" s="79" t="n"/>
      <c r="C1927" s="69">
        <f>IF(B1927="","",IFERROR(INDEX(Client_List!$B:$B,MATCH(B1927,Client_List!$A:$A,0)),"⚠ NOT FOUND"))</f>
        <v/>
      </c>
      <c r="D1927" s="44" t="n"/>
      <c r="E1927" s="32">
        <f>IF(B1927="","",IFERROR(INDEX(Client_List!$C:$C,MATCH(VALUE(B1927),Client_List!$A:$A,0)),""))</f>
        <v/>
      </c>
      <c r="F1927" s="53">
        <f>IF(B1927="","",IFERROR(INDEX(Client_List!$D:$D,MATCH(VALUE(B1927),Client_List!$A:$A,0)),""))</f>
        <v/>
      </c>
      <c r="G1927" s="53">
        <f>IF(B1927="","",IFERROR(INDEX(Client_List!$K:$K,MATCH(VALUE(B1927),Client_List!$A:$A,0)),""))</f>
        <v/>
      </c>
      <c r="H1927" s="32">
        <f>IF(B1927="","",IFERROR(INDEX(Client_List!$J:$J,MATCH(VALUE(B1927),Client_List!$A:$A,0)),""))</f>
        <v/>
      </c>
      <c r="I1927" s="70">
        <f>IF(B1927="","",IFERROR(A1927-LOOKUP(2,1/($B$4:$B1926=B1927),$A$4:$A1926),""))</f>
        <v/>
      </c>
      <c r="J1927" s="32">
        <f>IF(B1927="","",IFERROR(D1927/I1927,""))</f>
        <v/>
      </c>
      <c r="K1927" s="71">
        <f>IF(B1927="","",IFERROR(AVERAGEIFS($J$4:$J1927,$B$4:$B1927,B1927,$J$4:$J1927,"&gt;"&amp;0),""))</f>
        <v/>
      </c>
      <c r="L1927" s="11" t="n"/>
    </row>
    <row r="1928" ht="14" customHeight="1" s="72">
      <c r="A1928" s="80" t="n"/>
      <c r="B1928" s="81" t="n"/>
      <c r="C1928" s="69">
        <f>IF(B1928="","",IFERROR(INDEX(Client_List!$B:$B,MATCH(B1928,Client_List!$A:$A,0)),"⚠ NOT FOUND"))</f>
        <v/>
      </c>
      <c r="D1928" s="45" t="n"/>
      <c r="E1928" s="32">
        <f>IF(B1928="","",IFERROR(INDEX(Client_List!$C:$C,MATCH(VALUE(B1928),Client_List!$A:$A,0)),""))</f>
        <v/>
      </c>
      <c r="F1928" s="53">
        <f>IF(B1928="","",IFERROR(INDEX(Client_List!$D:$D,MATCH(VALUE(B1928),Client_List!$A:$A,0)),""))</f>
        <v/>
      </c>
      <c r="G1928" s="53">
        <f>IF(B1928="","",IFERROR(INDEX(Client_List!$K:$K,MATCH(VALUE(B1928),Client_List!$A:$A,0)),""))</f>
        <v/>
      </c>
      <c r="H1928" s="32">
        <f>IF(B1928="","",IFERROR(INDEX(Client_List!$J:$J,MATCH(VALUE(B1928),Client_List!$A:$A,0)),""))</f>
        <v/>
      </c>
      <c r="I1928" s="70">
        <f>IF(B1928="","",IFERROR(A1928-LOOKUP(2,1/($B$4:$B1927=B1928),$A$4:$A1927),""))</f>
        <v/>
      </c>
      <c r="J1928" s="32">
        <f>IF(B1928="","",IFERROR(D1928/I1928,""))</f>
        <v/>
      </c>
      <c r="K1928" s="71">
        <f>IF(B1928="","",IFERROR(AVERAGEIFS($J$4:$J1928,$B$4:$B1928,B1928,$J$4:$J1928,"&gt;"&amp;0),""))</f>
        <v/>
      </c>
      <c r="L1928" s="12" t="n"/>
    </row>
    <row r="1929" ht="14" customHeight="1" s="72">
      <c r="A1929" s="78" t="n"/>
      <c r="B1929" s="79" t="n"/>
      <c r="C1929" s="69">
        <f>IF(B1929="","",IFERROR(INDEX(Client_List!$B:$B,MATCH(B1929,Client_List!$A:$A,0)),"⚠ NOT FOUND"))</f>
        <v/>
      </c>
      <c r="D1929" s="44" t="n"/>
      <c r="E1929" s="32">
        <f>IF(B1929="","",IFERROR(INDEX(Client_List!$C:$C,MATCH(VALUE(B1929),Client_List!$A:$A,0)),""))</f>
        <v/>
      </c>
      <c r="F1929" s="53">
        <f>IF(B1929="","",IFERROR(INDEX(Client_List!$D:$D,MATCH(VALUE(B1929),Client_List!$A:$A,0)),""))</f>
        <v/>
      </c>
      <c r="G1929" s="53">
        <f>IF(B1929="","",IFERROR(INDEX(Client_List!$K:$K,MATCH(VALUE(B1929),Client_List!$A:$A,0)),""))</f>
        <v/>
      </c>
      <c r="H1929" s="32">
        <f>IF(B1929="","",IFERROR(INDEX(Client_List!$J:$J,MATCH(VALUE(B1929),Client_List!$A:$A,0)),""))</f>
        <v/>
      </c>
      <c r="I1929" s="70">
        <f>IF(B1929="","",IFERROR(A1929-LOOKUP(2,1/($B$4:$B1928=B1929),$A$4:$A1928),""))</f>
        <v/>
      </c>
      <c r="J1929" s="32">
        <f>IF(B1929="","",IFERROR(D1929/I1929,""))</f>
        <v/>
      </c>
      <c r="K1929" s="71">
        <f>IF(B1929="","",IFERROR(AVERAGEIFS($J$4:$J1929,$B$4:$B1929,B1929,$J$4:$J1929,"&gt;"&amp;0),""))</f>
        <v/>
      </c>
      <c r="L1929" s="11" t="n"/>
    </row>
    <row r="1930" ht="14" customHeight="1" s="72">
      <c r="A1930" s="80" t="n"/>
      <c r="B1930" s="81" t="n"/>
      <c r="C1930" s="69">
        <f>IF(B1930="","",IFERROR(INDEX(Client_List!$B:$B,MATCH(B1930,Client_List!$A:$A,0)),"⚠ NOT FOUND"))</f>
        <v/>
      </c>
      <c r="D1930" s="45" t="n"/>
      <c r="E1930" s="32">
        <f>IF(B1930="","",IFERROR(INDEX(Client_List!$C:$C,MATCH(VALUE(B1930),Client_List!$A:$A,0)),""))</f>
        <v/>
      </c>
      <c r="F1930" s="53">
        <f>IF(B1930="","",IFERROR(INDEX(Client_List!$D:$D,MATCH(VALUE(B1930),Client_List!$A:$A,0)),""))</f>
        <v/>
      </c>
      <c r="G1930" s="53">
        <f>IF(B1930="","",IFERROR(INDEX(Client_List!$K:$K,MATCH(VALUE(B1930),Client_List!$A:$A,0)),""))</f>
        <v/>
      </c>
      <c r="H1930" s="32">
        <f>IF(B1930="","",IFERROR(INDEX(Client_List!$J:$J,MATCH(VALUE(B1930),Client_List!$A:$A,0)),""))</f>
        <v/>
      </c>
      <c r="I1930" s="70">
        <f>IF(B1930="","",IFERROR(A1930-LOOKUP(2,1/($B$4:$B1929=B1930),$A$4:$A1929),""))</f>
        <v/>
      </c>
      <c r="J1930" s="32">
        <f>IF(B1930="","",IFERROR(D1930/I1930,""))</f>
        <v/>
      </c>
      <c r="K1930" s="71">
        <f>IF(B1930="","",IFERROR(AVERAGEIFS($J$4:$J1930,$B$4:$B1930,B1930,$J$4:$J1930,"&gt;"&amp;0),""))</f>
        <v/>
      </c>
      <c r="L1930" s="12" t="n"/>
    </row>
    <row r="1931" ht="14" customHeight="1" s="72">
      <c r="A1931" s="78" t="n"/>
      <c r="B1931" s="79" t="n"/>
      <c r="C1931" s="69">
        <f>IF(B1931="","",IFERROR(INDEX(Client_List!$B:$B,MATCH(B1931,Client_List!$A:$A,0)),"⚠ NOT FOUND"))</f>
        <v/>
      </c>
      <c r="D1931" s="44" t="n"/>
      <c r="E1931" s="32">
        <f>IF(B1931="","",IFERROR(INDEX(Client_List!$C:$C,MATCH(VALUE(B1931),Client_List!$A:$A,0)),""))</f>
        <v/>
      </c>
      <c r="F1931" s="53">
        <f>IF(B1931="","",IFERROR(INDEX(Client_List!$D:$D,MATCH(VALUE(B1931),Client_List!$A:$A,0)),""))</f>
        <v/>
      </c>
      <c r="G1931" s="53">
        <f>IF(B1931="","",IFERROR(INDEX(Client_List!$K:$K,MATCH(VALUE(B1931),Client_List!$A:$A,0)),""))</f>
        <v/>
      </c>
      <c r="H1931" s="32">
        <f>IF(B1931="","",IFERROR(INDEX(Client_List!$J:$J,MATCH(VALUE(B1931),Client_List!$A:$A,0)),""))</f>
        <v/>
      </c>
      <c r="I1931" s="70">
        <f>IF(B1931="","",IFERROR(A1931-LOOKUP(2,1/($B$4:$B1930=B1931),$A$4:$A1930),""))</f>
        <v/>
      </c>
      <c r="J1931" s="32">
        <f>IF(B1931="","",IFERROR(D1931/I1931,""))</f>
        <v/>
      </c>
      <c r="K1931" s="71">
        <f>IF(B1931="","",IFERROR(AVERAGEIFS($J$4:$J1931,$B$4:$B1931,B1931,$J$4:$J1931,"&gt;"&amp;0),""))</f>
        <v/>
      </c>
      <c r="L1931" s="11" t="n"/>
    </row>
    <row r="1932" ht="14" customHeight="1" s="72">
      <c r="A1932" s="80" t="n"/>
      <c r="B1932" s="81" t="n"/>
      <c r="C1932" s="69">
        <f>IF(B1932="","",IFERROR(INDEX(Client_List!$B:$B,MATCH(B1932,Client_List!$A:$A,0)),"⚠ NOT FOUND"))</f>
        <v/>
      </c>
      <c r="D1932" s="45" t="n"/>
      <c r="E1932" s="32">
        <f>IF(B1932="","",IFERROR(INDEX(Client_List!$C:$C,MATCH(VALUE(B1932),Client_List!$A:$A,0)),""))</f>
        <v/>
      </c>
      <c r="F1932" s="53">
        <f>IF(B1932="","",IFERROR(INDEX(Client_List!$D:$D,MATCH(VALUE(B1932),Client_List!$A:$A,0)),""))</f>
        <v/>
      </c>
      <c r="G1932" s="53">
        <f>IF(B1932="","",IFERROR(INDEX(Client_List!$K:$K,MATCH(VALUE(B1932),Client_List!$A:$A,0)),""))</f>
        <v/>
      </c>
      <c r="H1932" s="32">
        <f>IF(B1932="","",IFERROR(INDEX(Client_List!$J:$J,MATCH(VALUE(B1932),Client_List!$A:$A,0)),""))</f>
        <v/>
      </c>
      <c r="I1932" s="70">
        <f>IF(B1932="","",IFERROR(A1932-LOOKUP(2,1/($B$4:$B1931=B1932),$A$4:$A1931),""))</f>
        <v/>
      </c>
      <c r="J1932" s="32">
        <f>IF(B1932="","",IFERROR(D1932/I1932,""))</f>
        <v/>
      </c>
      <c r="K1932" s="71">
        <f>IF(B1932="","",IFERROR(AVERAGEIFS($J$4:$J1932,$B$4:$B1932,B1932,$J$4:$J1932,"&gt;"&amp;0),""))</f>
        <v/>
      </c>
      <c r="L1932" s="12" t="n"/>
    </row>
    <row r="1933" ht="14" customHeight="1" s="72">
      <c r="A1933" s="78" t="n"/>
      <c r="B1933" s="79" t="n"/>
      <c r="C1933" s="69">
        <f>IF(B1933="","",IFERROR(INDEX(Client_List!$B:$B,MATCH(B1933,Client_List!$A:$A,0)),"⚠ NOT FOUND"))</f>
        <v/>
      </c>
      <c r="D1933" s="44" t="n"/>
      <c r="E1933" s="32">
        <f>IF(B1933="","",IFERROR(INDEX(Client_List!$C:$C,MATCH(VALUE(B1933),Client_List!$A:$A,0)),""))</f>
        <v/>
      </c>
      <c r="F1933" s="53">
        <f>IF(B1933="","",IFERROR(INDEX(Client_List!$D:$D,MATCH(VALUE(B1933),Client_List!$A:$A,0)),""))</f>
        <v/>
      </c>
      <c r="G1933" s="53">
        <f>IF(B1933="","",IFERROR(INDEX(Client_List!$K:$K,MATCH(VALUE(B1933),Client_List!$A:$A,0)),""))</f>
        <v/>
      </c>
      <c r="H1933" s="32">
        <f>IF(B1933="","",IFERROR(INDEX(Client_List!$J:$J,MATCH(VALUE(B1933),Client_List!$A:$A,0)),""))</f>
        <v/>
      </c>
      <c r="I1933" s="70">
        <f>IF(B1933="","",IFERROR(A1933-LOOKUP(2,1/($B$4:$B1932=B1933),$A$4:$A1932),""))</f>
        <v/>
      </c>
      <c r="J1933" s="32">
        <f>IF(B1933="","",IFERROR(D1933/I1933,""))</f>
        <v/>
      </c>
      <c r="K1933" s="71">
        <f>IF(B1933="","",IFERROR(AVERAGEIFS($J$4:$J1933,$B$4:$B1933,B1933,$J$4:$J1933,"&gt;"&amp;0),""))</f>
        <v/>
      </c>
      <c r="L1933" s="11" t="n"/>
    </row>
    <row r="1934" ht="14" customHeight="1" s="72">
      <c r="A1934" s="80" t="n"/>
      <c r="B1934" s="81" t="n"/>
      <c r="C1934" s="69">
        <f>IF(B1934="","",IFERROR(INDEX(Client_List!$B:$B,MATCH(B1934,Client_List!$A:$A,0)),"⚠ NOT FOUND"))</f>
        <v/>
      </c>
      <c r="D1934" s="45" t="n"/>
      <c r="E1934" s="32">
        <f>IF(B1934="","",IFERROR(INDEX(Client_List!$C:$C,MATCH(VALUE(B1934),Client_List!$A:$A,0)),""))</f>
        <v/>
      </c>
      <c r="F1934" s="53">
        <f>IF(B1934="","",IFERROR(INDEX(Client_List!$D:$D,MATCH(VALUE(B1934),Client_List!$A:$A,0)),""))</f>
        <v/>
      </c>
      <c r="G1934" s="53">
        <f>IF(B1934="","",IFERROR(INDEX(Client_List!$K:$K,MATCH(VALUE(B1934),Client_List!$A:$A,0)),""))</f>
        <v/>
      </c>
      <c r="H1934" s="32">
        <f>IF(B1934="","",IFERROR(INDEX(Client_List!$J:$J,MATCH(VALUE(B1934),Client_List!$A:$A,0)),""))</f>
        <v/>
      </c>
      <c r="I1934" s="70">
        <f>IF(B1934="","",IFERROR(A1934-LOOKUP(2,1/($B$4:$B1933=B1934),$A$4:$A1933),""))</f>
        <v/>
      </c>
      <c r="J1934" s="32">
        <f>IF(B1934="","",IFERROR(D1934/I1934,""))</f>
        <v/>
      </c>
      <c r="K1934" s="71">
        <f>IF(B1934="","",IFERROR(AVERAGEIFS($J$4:$J1934,$B$4:$B1934,B1934,$J$4:$J1934,"&gt;"&amp;0),""))</f>
        <v/>
      </c>
      <c r="L1934" s="12" t="n"/>
    </row>
    <row r="1935" ht="14" customHeight="1" s="72">
      <c r="A1935" s="78" t="n"/>
      <c r="B1935" s="79" t="n"/>
      <c r="C1935" s="69">
        <f>IF(B1935="","",IFERROR(INDEX(Client_List!$B:$B,MATCH(B1935,Client_List!$A:$A,0)),"⚠ NOT FOUND"))</f>
        <v/>
      </c>
      <c r="D1935" s="44" t="n"/>
      <c r="E1935" s="32">
        <f>IF(B1935="","",IFERROR(INDEX(Client_List!$C:$C,MATCH(VALUE(B1935),Client_List!$A:$A,0)),""))</f>
        <v/>
      </c>
      <c r="F1935" s="53">
        <f>IF(B1935="","",IFERROR(INDEX(Client_List!$D:$D,MATCH(VALUE(B1935),Client_List!$A:$A,0)),""))</f>
        <v/>
      </c>
      <c r="G1935" s="53">
        <f>IF(B1935="","",IFERROR(INDEX(Client_List!$K:$K,MATCH(VALUE(B1935),Client_List!$A:$A,0)),""))</f>
        <v/>
      </c>
      <c r="H1935" s="32">
        <f>IF(B1935="","",IFERROR(INDEX(Client_List!$J:$J,MATCH(VALUE(B1935),Client_List!$A:$A,0)),""))</f>
        <v/>
      </c>
      <c r="I1935" s="70">
        <f>IF(B1935="","",IFERROR(A1935-LOOKUP(2,1/($B$4:$B1934=B1935),$A$4:$A1934),""))</f>
        <v/>
      </c>
      <c r="J1935" s="32">
        <f>IF(B1935="","",IFERROR(D1935/I1935,""))</f>
        <v/>
      </c>
      <c r="K1935" s="71">
        <f>IF(B1935="","",IFERROR(AVERAGEIFS($J$4:$J1935,$B$4:$B1935,B1935,$J$4:$J1935,"&gt;"&amp;0),""))</f>
        <v/>
      </c>
      <c r="L1935" s="11" t="n"/>
    </row>
    <row r="1936" ht="14" customHeight="1" s="72">
      <c r="A1936" s="80" t="n"/>
      <c r="B1936" s="81" t="n"/>
      <c r="C1936" s="69">
        <f>IF(B1936="","",IFERROR(INDEX(Client_List!$B:$B,MATCH(B1936,Client_List!$A:$A,0)),"⚠ NOT FOUND"))</f>
        <v/>
      </c>
      <c r="D1936" s="45" t="n"/>
      <c r="E1936" s="32">
        <f>IF(B1936="","",IFERROR(INDEX(Client_List!$C:$C,MATCH(VALUE(B1936),Client_List!$A:$A,0)),""))</f>
        <v/>
      </c>
      <c r="F1936" s="53">
        <f>IF(B1936="","",IFERROR(INDEX(Client_List!$D:$D,MATCH(VALUE(B1936),Client_List!$A:$A,0)),""))</f>
        <v/>
      </c>
      <c r="G1936" s="53">
        <f>IF(B1936="","",IFERROR(INDEX(Client_List!$K:$K,MATCH(VALUE(B1936),Client_List!$A:$A,0)),""))</f>
        <v/>
      </c>
      <c r="H1936" s="32">
        <f>IF(B1936="","",IFERROR(INDEX(Client_List!$J:$J,MATCH(VALUE(B1936),Client_List!$A:$A,0)),""))</f>
        <v/>
      </c>
      <c r="I1936" s="70">
        <f>IF(B1936="","",IFERROR(A1936-LOOKUP(2,1/($B$4:$B1935=B1936),$A$4:$A1935),""))</f>
        <v/>
      </c>
      <c r="J1936" s="32">
        <f>IF(B1936="","",IFERROR(D1936/I1936,""))</f>
        <v/>
      </c>
      <c r="K1936" s="71">
        <f>IF(B1936="","",IFERROR(AVERAGEIFS($J$4:$J1936,$B$4:$B1936,B1936,$J$4:$J1936,"&gt;"&amp;0),""))</f>
        <v/>
      </c>
      <c r="L1936" s="12" t="n"/>
    </row>
    <row r="1937" ht="14" customHeight="1" s="72">
      <c r="A1937" s="78" t="n"/>
      <c r="B1937" s="79" t="n"/>
      <c r="C1937" s="69">
        <f>IF(B1937="","",IFERROR(INDEX(Client_List!$B:$B,MATCH(B1937,Client_List!$A:$A,0)),"⚠ NOT FOUND"))</f>
        <v/>
      </c>
      <c r="D1937" s="44" t="n"/>
      <c r="E1937" s="32">
        <f>IF(B1937="","",IFERROR(INDEX(Client_List!$C:$C,MATCH(VALUE(B1937),Client_List!$A:$A,0)),""))</f>
        <v/>
      </c>
      <c r="F1937" s="53">
        <f>IF(B1937="","",IFERROR(INDEX(Client_List!$D:$D,MATCH(VALUE(B1937),Client_List!$A:$A,0)),""))</f>
        <v/>
      </c>
      <c r="G1937" s="53">
        <f>IF(B1937="","",IFERROR(INDEX(Client_List!$K:$K,MATCH(VALUE(B1937),Client_List!$A:$A,0)),""))</f>
        <v/>
      </c>
      <c r="H1937" s="32">
        <f>IF(B1937="","",IFERROR(INDEX(Client_List!$J:$J,MATCH(VALUE(B1937),Client_List!$A:$A,0)),""))</f>
        <v/>
      </c>
      <c r="I1937" s="70">
        <f>IF(B1937="","",IFERROR(A1937-LOOKUP(2,1/($B$4:$B1936=B1937),$A$4:$A1936),""))</f>
        <v/>
      </c>
      <c r="J1937" s="32">
        <f>IF(B1937="","",IFERROR(D1937/I1937,""))</f>
        <v/>
      </c>
      <c r="K1937" s="71">
        <f>IF(B1937="","",IFERROR(AVERAGEIFS($J$4:$J1937,$B$4:$B1937,B1937,$J$4:$J1937,"&gt;"&amp;0),""))</f>
        <v/>
      </c>
      <c r="L1937" s="11" t="n"/>
    </row>
    <row r="1938" ht="14" customHeight="1" s="72">
      <c r="A1938" s="80" t="n"/>
      <c r="B1938" s="81" t="n"/>
      <c r="C1938" s="69">
        <f>IF(B1938="","",IFERROR(INDEX(Client_List!$B:$B,MATCH(B1938,Client_List!$A:$A,0)),"⚠ NOT FOUND"))</f>
        <v/>
      </c>
      <c r="D1938" s="45" t="n"/>
      <c r="E1938" s="32">
        <f>IF(B1938="","",IFERROR(INDEX(Client_List!$C:$C,MATCH(VALUE(B1938),Client_List!$A:$A,0)),""))</f>
        <v/>
      </c>
      <c r="F1938" s="53">
        <f>IF(B1938="","",IFERROR(INDEX(Client_List!$D:$D,MATCH(VALUE(B1938),Client_List!$A:$A,0)),""))</f>
        <v/>
      </c>
      <c r="G1938" s="53">
        <f>IF(B1938="","",IFERROR(INDEX(Client_List!$K:$K,MATCH(VALUE(B1938),Client_List!$A:$A,0)),""))</f>
        <v/>
      </c>
      <c r="H1938" s="32">
        <f>IF(B1938="","",IFERROR(INDEX(Client_List!$J:$J,MATCH(VALUE(B1938),Client_List!$A:$A,0)),""))</f>
        <v/>
      </c>
      <c r="I1938" s="70">
        <f>IF(B1938="","",IFERROR(A1938-LOOKUP(2,1/($B$4:$B1937=B1938),$A$4:$A1937),""))</f>
        <v/>
      </c>
      <c r="J1938" s="32">
        <f>IF(B1938="","",IFERROR(D1938/I1938,""))</f>
        <v/>
      </c>
      <c r="K1938" s="71">
        <f>IF(B1938="","",IFERROR(AVERAGEIFS($J$4:$J1938,$B$4:$B1938,B1938,$J$4:$J1938,"&gt;"&amp;0),""))</f>
        <v/>
      </c>
      <c r="L1938" s="12" t="n"/>
    </row>
    <row r="1939" ht="14" customHeight="1" s="72">
      <c r="A1939" s="78" t="n"/>
      <c r="B1939" s="79" t="n"/>
      <c r="C1939" s="69">
        <f>IF(B1939="","",IFERROR(INDEX(Client_List!$B:$B,MATCH(B1939,Client_List!$A:$A,0)),"⚠ NOT FOUND"))</f>
        <v/>
      </c>
      <c r="D1939" s="44" t="n"/>
      <c r="E1939" s="32">
        <f>IF(B1939="","",IFERROR(INDEX(Client_List!$C:$C,MATCH(VALUE(B1939),Client_List!$A:$A,0)),""))</f>
        <v/>
      </c>
      <c r="F1939" s="53">
        <f>IF(B1939="","",IFERROR(INDEX(Client_List!$D:$D,MATCH(VALUE(B1939),Client_List!$A:$A,0)),""))</f>
        <v/>
      </c>
      <c r="G1939" s="53">
        <f>IF(B1939="","",IFERROR(INDEX(Client_List!$K:$K,MATCH(VALUE(B1939),Client_List!$A:$A,0)),""))</f>
        <v/>
      </c>
      <c r="H1939" s="32">
        <f>IF(B1939="","",IFERROR(INDEX(Client_List!$J:$J,MATCH(VALUE(B1939),Client_List!$A:$A,0)),""))</f>
        <v/>
      </c>
      <c r="I1939" s="70">
        <f>IF(B1939="","",IFERROR(A1939-LOOKUP(2,1/($B$4:$B1938=B1939),$A$4:$A1938),""))</f>
        <v/>
      </c>
      <c r="J1939" s="32">
        <f>IF(B1939="","",IFERROR(D1939/I1939,""))</f>
        <v/>
      </c>
      <c r="K1939" s="71">
        <f>IF(B1939="","",IFERROR(AVERAGEIFS($J$4:$J1939,$B$4:$B1939,B1939,$J$4:$J1939,"&gt;"&amp;0),""))</f>
        <v/>
      </c>
      <c r="L1939" s="11" t="n"/>
    </row>
    <row r="1940" ht="14" customHeight="1" s="72">
      <c r="A1940" s="80" t="n"/>
      <c r="B1940" s="81" t="n"/>
      <c r="C1940" s="69">
        <f>IF(B1940="","",IFERROR(INDEX(Client_List!$B:$B,MATCH(B1940,Client_List!$A:$A,0)),"⚠ NOT FOUND"))</f>
        <v/>
      </c>
      <c r="D1940" s="45" t="n"/>
      <c r="E1940" s="32">
        <f>IF(B1940="","",IFERROR(INDEX(Client_List!$C:$C,MATCH(VALUE(B1940),Client_List!$A:$A,0)),""))</f>
        <v/>
      </c>
      <c r="F1940" s="53">
        <f>IF(B1940="","",IFERROR(INDEX(Client_List!$D:$D,MATCH(VALUE(B1940),Client_List!$A:$A,0)),""))</f>
        <v/>
      </c>
      <c r="G1940" s="53">
        <f>IF(B1940="","",IFERROR(INDEX(Client_List!$K:$K,MATCH(VALUE(B1940),Client_List!$A:$A,0)),""))</f>
        <v/>
      </c>
      <c r="H1940" s="32">
        <f>IF(B1940="","",IFERROR(INDEX(Client_List!$J:$J,MATCH(VALUE(B1940),Client_List!$A:$A,0)),""))</f>
        <v/>
      </c>
      <c r="I1940" s="70">
        <f>IF(B1940="","",IFERROR(A1940-LOOKUP(2,1/($B$4:$B1939=B1940),$A$4:$A1939),""))</f>
        <v/>
      </c>
      <c r="J1940" s="32">
        <f>IF(B1940="","",IFERROR(D1940/I1940,""))</f>
        <v/>
      </c>
      <c r="K1940" s="71">
        <f>IF(B1940="","",IFERROR(AVERAGEIFS($J$4:$J1940,$B$4:$B1940,B1940,$J$4:$J1940,"&gt;"&amp;0),""))</f>
        <v/>
      </c>
      <c r="L1940" s="12" t="n"/>
    </row>
    <row r="1941" ht="14" customHeight="1" s="72">
      <c r="A1941" s="78" t="n"/>
      <c r="B1941" s="79" t="n"/>
      <c r="C1941" s="69">
        <f>IF(B1941="","",IFERROR(INDEX(Client_List!$B:$B,MATCH(B1941,Client_List!$A:$A,0)),"⚠ NOT FOUND"))</f>
        <v/>
      </c>
      <c r="D1941" s="44" t="n"/>
      <c r="E1941" s="32">
        <f>IF(B1941="","",IFERROR(INDEX(Client_List!$C:$C,MATCH(VALUE(B1941),Client_List!$A:$A,0)),""))</f>
        <v/>
      </c>
      <c r="F1941" s="53">
        <f>IF(B1941="","",IFERROR(INDEX(Client_List!$D:$D,MATCH(VALUE(B1941),Client_List!$A:$A,0)),""))</f>
        <v/>
      </c>
      <c r="G1941" s="53">
        <f>IF(B1941="","",IFERROR(INDEX(Client_List!$K:$K,MATCH(VALUE(B1941),Client_List!$A:$A,0)),""))</f>
        <v/>
      </c>
      <c r="H1941" s="32">
        <f>IF(B1941="","",IFERROR(INDEX(Client_List!$J:$J,MATCH(VALUE(B1941),Client_List!$A:$A,0)),""))</f>
        <v/>
      </c>
      <c r="I1941" s="70">
        <f>IF(B1941="","",IFERROR(A1941-LOOKUP(2,1/($B$4:$B1940=B1941),$A$4:$A1940),""))</f>
        <v/>
      </c>
      <c r="J1941" s="32">
        <f>IF(B1941="","",IFERROR(D1941/I1941,""))</f>
        <v/>
      </c>
      <c r="K1941" s="71">
        <f>IF(B1941="","",IFERROR(AVERAGEIFS($J$4:$J1941,$B$4:$B1941,B1941,$J$4:$J1941,"&gt;"&amp;0),""))</f>
        <v/>
      </c>
      <c r="L1941" s="11" t="n"/>
    </row>
    <row r="1942" ht="14" customHeight="1" s="72">
      <c r="A1942" s="80" t="n"/>
      <c r="B1942" s="81" t="n"/>
      <c r="C1942" s="69">
        <f>IF(B1942="","",IFERROR(INDEX(Client_List!$B:$B,MATCH(B1942,Client_List!$A:$A,0)),"⚠ NOT FOUND"))</f>
        <v/>
      </c>
      <c r="D1942" s="45" t="n"/>
      <c r="E1942" s="32">
        <f>IF(B1942="","",IFERROR(INDEX(Client_List!$C:$C,MATCH(VALUE(B1942),Client_List!$A:$A,0)),""))</f>
        <v/>
      </c>
      <c r="F1942" s="53">
        <f>IF(B1942="","",IFERROR(INDEX(Client_List!$D:$D,MATCH(VALUE(B1942),Client_List!$A:$A,0)),""))</f>
        <v/>
      </c>
      <c r="G1942" s="53">
        <f>IF(B1942="","",IFERROR(INDEX(Client_List!$K:$K,MATCH(VALUE(B1942),Client_List!$A:$A,0)),""))</f>
        <v/>
      </c>
      <c r="H1942" s="32">
        <f>IF(B1942="","",IFERROR(INDEX(Client_List!$J:$J,MATCH(VALUE(B1942),Client_List!$A:$A,0)),""))</f>
        <v/>
      </c>
      <c r="I1942" s="70">
        <f>IF(B1942="","",IFERROR(A1942-LOOKUP(2,1/($B$4:$B1941=B1942),$A$4:$A1941),""))</f>
        <v/>
      </c>
      <c r="J1942" s="32">
        <f>IF(B1942="","",IFERROR(D1942/I1942,""))</f>
        <v/>
      </c>
      <c r="K1942" s="71">
        <f>IF(B1942="","",IFERROR(AVERAGEIFS($J$4:$J1942,$B$4:$B1942,B1942,$J$4:$J1942,"&gt;"&amp;0),""))</f>
        <v/>
      </c>
      <c r="L1942" s="12" t="n"/>
    </row>
    <row r="1943" ht="14" customHeight="1" s="72">
      <c r="A1943" s="78" t="n"/>
      <c r="B1943" s="79" t="n"/>
      <c r="C1943" s="69">
        <f>IF(B1943="","",IFERROR(INDEX(Client_List!$B:$B,MATCH(B1943,Client_List!$A:$A,0)),"⚠ NOT FOUND"))</f>
        <v/>
      </c>
      <c r="D1943" s="44" t="n"/>
      <c r="E1943" s="32">
        <f>IF(B1943="","",IFERROR(INDEX(Client_List!$C:$C,MATCH(VALUE(B1943),Client_List!$A:$A,0)),""))</f>
        <v/>
      </c>
      <c r="F1943" s="53">
        <f>IF(B1943="","",IFERROR(INDEX(Client_List!$D:$D,MATCH(VALUE(B1943),Client_List!$A:$A,0)),""))</f>
        <v/>
      </c>
      <c r="G1943" s="53">
        <f>IF(B1943="","",IFERROR(INDEX(Client_List!$K:$K,MATCH(VALUE(B1943),Client_List!$A:$A,0)),""))</f>
        <v/>
      </c>
      <c r="H1943" s="32">
        <f>IF(B1943="","",IFERROR(INDEX(Client_List!$J:$J,MATCH(VALUE(B1943),Client_List!$A:$A,0)),""))</f>
        <v/>
      </c>
      <c r="I1943" s="70">
        <f>IF(B1943="","",IFERROR(A1943-LOOKUP(2,1/($B$4:$B1942=B1943),$A$4:$A1942),""))</f>
        <v/>
      </c>
      <c r="J1943" s="32">
        <f>IF(B1943="","",IFERROR(D1943/I1943,""))</f>
        <v/>
      </c>
      <c r="K1943" s="71">
        <f>IF(B1943="","",IFERROR(AVERAGEIFS($J$4:$J1943,$B$4:$B1943,B1943,$J$4:$J1943,"&gt;"&amp;0),""))</f>
        <v/>
      </c>
      <c r="L1943" s="11" t="n"/>
    </row>
    <row r="1944" ht="14" customHeight="1" s="72">
      <c r="A1944" s="80" t="n"/>
      <c r="B1944" s="81" t="n"/>
      <c r="C1944" s="69">
        <f>IF(B1944="","",IFERROR(INDEX(Client_List!$B:$B,MATCH(B1944,Client_List!$A:$A,0)),"⚠ NOT FOUND"))</f>
        <v/>
      </c>
      <c r="D1944" s="45" t="n"/>
      <c r="E1944" s="32">
        <f>IF(B1944="","",IFERROR(INDEX(Client_List!$C:$C,MATCH(VALUE(B1944),Client_List!$A:$A,0)),""))</f>
        <v/>
      </c>
      <c r="F1944" s="53">
        <f>IF(B1944="","",IFERROR(INDEX(Client_List!$D:$D,MATCH(VALUE(B1944),Client_List!$A:$A,0)),""))</f>
        <v/>
      </c>
      <c r="G1944" s="53">
        <f>IF(B1944="","",IFERROR(INDEX(Client_List!$K:$K,MATCH(VALUE(B1944),Client_List!$A:$A,0)),""))</f>
        <v/>
      </c>
      <c r="H1944" s="32">
        <f>IF(B1944="","",IFERROR(INDEX(Client_List!$J:$J,MATCH(VALUE(B1944),Client_List!$A:$A,0)),""))</f>
        <v/>
      </c>
      <c r="I1944" s="70">
        <f>IF(B1944="","",IFERROR(A1944-LOOKUP(2,1/($B$4:$B1943=B1944),$A$4:$A1943),""))</f>
        <v/>
      </c>
      <c r="J1944" s="32">
        <f>IF(B1944="","",IFERROR(D1944/I1944,""))</f>
        <v/>
      </c>
      <c r="K1944" s="71">
        <f>IF(B1944="","",IFERROR(AVERAGEIFS($J$4:$J1944,$B$4:$B1944,B1944,$J$4:$J1944,"&gt;"&amp;0),""))</f>
        <v/>
      </c>
      <c r="L1944" s="12" t="n"/>
    </row>
    <row r="1945" ht="14" customHeight="1" s="72">
      <c r="A1945" s="78" t="n"/>
      <c r="B1945" s="79" t="n"/>
      <c r="C1945" s="69">
        <f>IF(B1945="","",IFERROR(INDEX(Client_List!$B:$B,MATCH(B1945,Client_List!$A:$A,0)),"⚠ NOT FOUND"))</f>
        <v/>
      </c>
      <c r="D1945" s="44" t="n"/>
      <c r="E1945" s="32">
        <f>IF(B1945="","",IFERROR(INDEX(Client_List!$C:$C,MATCH(VALUE(B1945),Client_List!$A:$A,0)),""))</f>
        <v/>
      </c>
      <c r="F1945" s="53">
        <f>IF(B1945="","",IFERROR(INDEX(Client_List!$D:$D,MATCH(VALUE(B1945),Client_List!$A:$A,0)),""))</f>
        <v/>
      </c>
      <c r="G1945" s="53">
        <f>IF(B1945="","",IFERROR(INDEX(Client_List!$K:$K,MATCH(VALUE(B1945),Client_List!$A:$A,0)),""))</f>
        <v/>
      </c>
      <c r="H1945" s="32">
        <f>IF(B1945="","",IFERROR(INDEX(Client_List!$J:$J,MATCH(VALUE(B1945),Client_List!$A:$A,0)),""))</f>
        <v/>
      </c>
      <c r="I1945" s="70">
        <f>IF(B1945="","",IFERROR(A1945-LOOKUP(2,1/($B$4:$B1944=B1945),$A$4:$A1944),""))</f>
        <v/>
      </c>
      <c r="J1945" s="32">
        <f>IF(B1945="","",IFERROR(D1945/I1945,""))</f>
        <v/>
      </c>
      <c r="K1945" s="71">
        <f>IF(B1945="","",IFERROR(AVERAGEIFS($J$4:$J1945,$B$4:$B1945,B1945,$J$4:$J1945,"&gt;"&amp;0),""))</f>
        <v/>
      </c>
      <c r="L1945" s="11" t="n"/>
    </row>
    <row r="1946" ht="14" customHeight="1" s="72">
      <c r="A1946" s="80" t="n"/>
      <c r="B1946" s="81" t="n"/>
      <c r="C1946" s="69">
        <f>IF(B1946="","",IFERROR(INDEX(Client_List!$B:$B,MATCH(B1946,Client_List!$A:$A,0)),"⚠ NOT FOUND"))</f>
        <v/>
      </c>
      <c r="D1946" s="45" t="n"/>
      <c r="E1946" s="32">
        <f>IF(B1946="","",IFERROR(INDEX(Client_List!$C:$C,MATCH(VALUE(B1946),Client_List!$A:$A,0)),""))</f>
        <v/>
      </c>
      <c r="F1946" s="53">
        <f>IF(B1946="","",IFERROR(INDEX(Client_List!$D:$D,MATCH(VALUE(B1946),Client_List!$A:$A,0)),""))</f>
        <v/>
      </c>
      <c r="G1946" s="53">
        <f>IF(B1946="","",IFERROR(INDEX(Client_List!$K:$K,MATCH(VALUE(B1946),Client_List!$A:$A,0)),""))</f>
        <v/>
      </c>
      <c r="H1946" s="32">
        <f>IF(B1946="","",IFERROR(INDEX(Client_List!$J:$J,MATCH(VALUE(B1946),Client_List!$A:$A,0)),""))</f>
        <v/>
      </c>
      <c r="I1946" s="70">
        <f>IF(B1946="","",IFERROR(A1946-LOOKUP(2,1/($B$4:$B1945=B1946),$A$4:$A1945),""))</f>
        <v/>
      </c>
      <c r="J1946" s="32">
        <f>IF(B1946="","",IFERROR(D1946/I1946,""))</f>
        <v/>
      </c>
      <c r="K1946" s="71">
        <f>IF(B1946="","",IFERROR(AVERAGEIFS($J$4:$J1946,$B$4:$B1946,B1946,$J$4:$J1946,"&gt;"&amp;0),""))</f>
        <v/>
      </c>
      <c r="L1946" s="12" t="n"/>
    </row>
    <row r="1947" ht="14" customHeight="1" s="72">
      <c r="A1947" s="78" t="n"/>
      <c r="B1947" s="79" t="n"/>
      <c r="C1947" s="69">
        <f>IF(B1947="","",IFERROR(INDEX(Client_List!$B:$B,MATCH(B1947,Client_List!$A:$A,0)),"⚠ NOT FOUND"))</f>
        <v/>
      </c>
      <c r="D1947" s="44" t="n"/>
      <c r="E1947" s="32">
        <f>IF(B1947="","",IFERROR(INDEX(Client_List!$C:$C,MATCH(VALUE(B1947),Client_List!$A:$A,0)),""))</f>
        <v/>
      </c>
      <c r="F1947" s="53">
        <f>IF(B1947="","",IFERROR(INDEX(Client_List!$D:$D,MATCH(VALUE(B1947),Client_List!$A:$A,0)),""))</f>
        <v/>
      </c>
      <c r="G1947" s="53">
        <f>IF(B1947="","",IFERROR(INDEX(Client_List!$K:$K,MATCH(VALUE(B1947),Client_List!$A:$A,0)),""))</f>
        <v/>
      </c>
      <c r="H1947" s="32">
        <f>IF(B1947="","",IFERROR(INDEX(Client_List!$J:$J,MATCH(VALUE(B1947),Client_List!$A:$A,0)),""))</f>
        <v/>
      </c>
      <c r="I1947" s="70">
        <f>IF(B1947="","",IFERROR(A1947-LOOKUP(2,1/($B$4:$B1946=B1947),$A$4:$A1946),""))</f>
        <v/>
      </c>
      <c r="J1947" s="32">
        <f>IF(B1947="","",IFERROR(D1947/I1947,""))</f>
        <v/>
      </c>
      <c r="K1947" s="71">
        <f>IF(B1947="","",IFERROR(AVERAGEIFS($J$4:$J1947,$B$4:$B1947,B1947,$J$4:$J1947,"&gt;"&amp;0),""))</f>
        <v/>
      </c>
      <c r="L1947" s="11" t="n"/>
    </row>
    <row r="1948" ht="14" customHeight="1" s="72">
      <c r="A1948" s="80" t="n"/>
      <c r="B1948" s="81" t="n"/>
      <c r="C1948" s="69">
        <f>IF(B1948="","",IFERROR(INDEX(Client_List!$B:$B,MATCH(B1948,Client_List!$A:$A,0)),"⚠ NOT FOUND"))</f>
        <v/>
      </c>
      <c r="D1948" s="45" t="n"/>
      <c r="E1948" s="32">
        <f>IF(B1948="","",IFERROR(INDEX(Client_List!$C:$C,MATCH(VALUE(B1948),Client_List!$A:$A,0)),""))</f>
        <v/>
      </c>
      <c r="F1948" s="53">
        <f>IF(B1948="","",IFERROR(INDEX(Client_List!$D:$D,MATCH(VALUE(B1948),Client_List!$A:$A,0)),""))</f>
        <v/>
      </c>
      <c r="G1948" s="53">
        <f>IF(B1948="","",IFERROR(INDEX(Client_List!$K:$K,MATCH(VALUE(B1948),Client_List!$A:$A,0)),""))</f>
        <v/>
      </c>
      <c r="H1948" s="32">
        <f>IF(B1948="","",IFERROR(INDEX(Client_List!$J:$J,MATCH(VALUE(B1948),Client_List!$A:$A,0)),""))</f>
        <v/>
      </c>
      <c r="I1948" s="70">
        <f>IF(B1948="","",IFERROR(A1948-LOOKUP(2,1/($B$4:$B1947=B1948),$A$4:$A1947),""))</f>
        <v/>
      </c>
      <c r="J1948" s="32">
        <f>IF(B1948="","",IFERROR(D1948/I1948,""))</f>
        <v/>
      </c>
      <c r="K1948" s="71">
        <f>IF(B1948="","",IFERROR(AVERAGEIFS($J$4:$J1948,$B$4:$B1948,B1948,$J$4:$J1948,"&gt;"&amp;0),""))</f>
        <v/>
      </c>
      <c r="L1948" s="12" t="n"/>
    </row>
    <row r="1949" ht="14" customHeight="1" s="72">
      <c r="A1949" s="78" t="n"/>
      <c r="B1949" s="79" t="n"/>
      <c r="C1949" s="69">
        <f>IF(B1949="","",IFERROR(INDEX(Client_List!$B:$B,MATCH(B1949,Client_List!$A:$A,0)),"⚠ NOT FOUND"))</f>
        <v/>
      </c>
      <c r="D1949" s="44" t="n"/>
      <c r="E1949" s="32">
        <f>IF(B1949="","",IFERROR(INDEX(Client_List!$C:$C,MATCH(VALUE(B1949),Client_List!$A:$A,0)),""))</f>
        <v/>
      </c>
      <c r="F1949" s="53">
        <f>IF(B1949="","",IFERROR(INDEX(Client_List!$D:$D,MATCH(VALUE(B1949),Client_List!$A:$A,0)),""))</f>
        <v/>
      </c>
      <c r="G1949" s="53">
        <f>IF(B1949="","",IFERROR(INDEX(Client_List!$K:$K,MATCH(VALUE(B1949),Client_List!$A:$A,0)),""))</f>
        <v/>
      </c>
      <c r="H1949" s="32">
        <f>IF(B1949="","",IFERROR(INDEX(Client_List!$J:$J,MATCH(VALUE(B1949),Client_List!$A:$A,0)),""))</f>
        <v/>
      </c>
      <c r="I1949" s="70">
        <f>IF(B1949="","",IFERROR(A1949-LOOKUP(2,1/($B$4:$B1948=B1949),$A$4:$A1948),""))</f>
        <v/>
      </c>
      <c r="J1949" s="32">
        <f>IF(B1949="","",IFERROR(D1949/I1949,""))</f>
        <v/>
      </c>
      <c r="K1949" s="71">
        <f>IF(B1949="","",IFERROR(AVERAGEIFS($J$4:$J1949,$B$4:$B1949,B1949,$J$4:$J1949,"&gt;"&amp;0),""))</f>
        <v/>
      </c>
      <c r="L1949" s="11" t="n"/>
    </row>
    <row r="1950" ht="14" customHeight="1" s="72">
      <c r="A1950" s="80" t="n"/>
      <c r="B1950" s="81" t="n"/>
      <c r="C1950" s="69">
        <f>IF(B1950="","",IFERROR(INDEX(Client_List!$B:$B,MATCH(B1950,Client_List!$A:$A,0)),"⚠ NOT FOUND"))</f>
        <v/>
      </c>
      <c r="D1950" s="45" t="n"/>
      <c r="E1950" s="32">
        <f>IF(B1950="","",IFERROR(INDEX(Client_List!$C:$C,MATCH(VALUE(B1950),Client_List!$A:$A,0)),""))</f>
        <v/>
      </c>
      <c r="F1950" s="53">
        <f>IF(B1950="","",IFERROR(INDEX(Client_List!$D:$D,MATCH(VALUE(B1950),Client_List!$A:$A,0)),""))</f>
        <v/>
      </c>
      <c r="G1950" s="53">
        <f>IF(B1950="","",IFERROR(INDEX(Client_List!$K:$K,MATCH(VALUE(B1950),Client_List!$A:$A,0)),""))</f>
        <v/>
      </c>
      <c r="H1950" s="32">
        <f>IF(B1950="","",IFERROR(INDEX(Client_List!$J:$J,MATCH(VALUE(B1950),Client_List!$A:$A,0)),""))</f>
        <v/>
      </c>
      <c r="I1950" s="70">
        <f>IF(B1950="","",IFERROR(A1950-LOOKUP(2,1/($B$4:$B1949=B1950),$A$4:$A1949),""))</f>
        <v/>
      </c>
      <c r="J1950" s="32">
        <f>IF(B1950="","",IFERROR(D1950/I1950,""))</f>
        <v/>
      </c>
      <c r="K1950" s="71">
        <f>IF(B1950="","",IFERROR(AVERAGEIFS($J$4:$J1950,$B$4:$B1950,B1950,$J$4:$J1950,"&gt;"&amp;0),""))</f>
        <v/>
      </c>
      <c r="L1950" s="12" t="n"/>
    </row>
    <row r="1951" ht="14" customHeight="1" s="72">
      <c r="A1951" s="78" t="n"/>
      <c r="B1951" s="79" t="n"/>
      <c r="C1951" s="69">
        <f>IF(B1951="","",IFERROR(INDEX(Client_List!$B:$B,MATCH(B1951,Client_List!$A:$A,0)),"⚠ NOT FOUND"))</f>
        <v/>
      </c>
      <c r="D1951" s="44" t="n"/>
      <c r="E1951" s="32">
        <f>IF(B1951="","",IFERROR(INDEX(Client_List!$C:$C,MATCH(VALUE(B1951),Client_List!$A:$A,0)),""))</f>
        <v/>
      </c>
      <c r="F1951" s="53">
        <f>IF(B1951="","",IFERROR(INDEX(Client_List!$D:$D,MATCH(VALUE(B1951),Client_List!$A:$A,0)),""))</f>
        <v/>
      </c>
      <c r="G1951" s="53">
        <f>IF(B1951="","",IFERROR(INDEX(Client_List!$K:$K,MATCH(VALUE(B1951),Client_List!$A:$A,0)),""))</f>
        <v/>
      </c>
      <c r="H1951" s="32">
        <f>IF(B1951="","",IFERROR(INDEX(Client_List!$J:$J,MATCH(VALUE(B1951),Client_List!$A:$A,0)),""))</f>
        <v/>
      </c>
      <c r="I1951" s="70">
        <f>IF(B1951="","",IFERROR(A1951-LOOKUP(2,1/($B$4:$B1950=B1951),$A$4:$A1950),""))</f>
        <v/>
      </c>
      <c r="J1951" s="32">
        <f>IF(B1951="","",IFERROR(D1951/I1951,""))</f>
        <v/>
      </c>
      <c r="K1951" s="71">
        <f>IF(B1951="","",IFERROR(AVERAGEIFS($J$4:$J1951,$B$4:$B1951,B1951,$J$4:$J1951,"&gt;"&amp;0),""))</f>
        <v/>
      </c>
      <c r="L1951" s="11" t="n"/>
    </row>
    <row r="1952" ht="14" customHeight="1" s="72">
      <c r="A1952" s="80" t="n"/>
      <c r="B1952" s="81" t="n"/>
      <c r="C1952" s="69">
        <f>IF(B1952="","",IFERROR(INDEX(Client_List!$B:$B,MATCH(B1952,Client_List!$A:$A,0)),"⚠ NOT FOUND"))</f>
        <v/>
      </c>
      <c r="D1952" s="45" t="n"/>
      <c r="E1952" s="32">
        <f>IF(B1952="","",IFERROR(INDEX(Client_List!$C:$C,MATCH(VALUE(B1952),Client_List!$A:$A,0)),""))</f>
        <v/>
      </c>
      <c r="F1952" s="53">
        <f>IF(B1952="","",IFERROR(INDEX(Client_List!$D:$D,MATCH(VALUE(B1952),Client_List!$A:$A,0)),""))</f>
        <v/>
      </c>
      <c r="G1952" s="53">
        <f>IF(B1952="","",IFERROR(INDEX(Client_List!$K:$K,MATCH(VALUE(B1952),Client_List!$A:$A,0)),""))</f>
        <v/>
      </c>
      <c r="H1952" s="32">
        <f>IF(B1952="","",IFERROR(INDEX(Client_List!$J:$J,MATCH(VALUE(B1952),Client_List!$A:$A,0)),""))</f>
        <v/>
      </c>
      <c r="I1952" s="70">
        <f>IF(B1952="","",IFERROR(A1952-LOOKUP(2,1/($B$4:$B1951=B1952),$A$4:$A1951),""))</f>
        <v/>
      </c>
      <c r="J1952" s="32">
        <f>IF(B1952="","",IFERROR(D1952/I1952,""))</f>
        <v/>
      </c>
      <c r="K1952" s="71">
        <f>IF(B1952="","",IFERROR(AVERAGEIFS($J$4:$J1952,$B$4:$B1952,B1952,$J$4:$J1952,"&gt;"&amp;0),""))</f>
        <v/>
      </c>
      <c r="L1952" s="12" t="n"/>
    </row>
    <row r="1953" ht="14" customHeight="1" s="72">
      <c r="A1953" s="78" t="n"/>
      <c r="B1953" s="79" t="n"/>
      <c r="C1953" s="69">
        <f>IF(B1953="","",IFERROR(INDEX(Client_List!$B:$B,MATCH(B1953,Client_List!$A:$A,0)),"⚠ NOT FOUND"))</f>
        <v/>
      </c>
      <c r="D1953" s="44" t="n"/>
      <c r="E1953" s="32">
        <f>IF(B1953="","",IFERROR(INDEX(Client_List!$C:$C,MATCH(VALUE(B1953),Client_List!$A:$A,0)),""))</f>
        <v/>
      </c>
      <c r="F1953" s="53">
        <f>IF(B1953="","",IFERROR(INDEX(Client_List!$D:$D,MATCH(VALUE(B1953),Client_List!$A:$A,0)),""))</f>
        <v/>
      </c>
      <c r="G1953" s="53">
        <f>IF(B1953="","",IFERROR(INDEX(Client_List!$K:$K,MATCH(VALUE(B1953),Client_List!$A:$A,0)),""))</f>
        <v/>
      </c>
      <c r="H1953" s="32">
        <f>IF(B1953="","",IFERROR(INDEX(Client_List!$J:$J,MATCH(VALUE(B1953),Client_List!$A:$A,0)),""))</f>
        <v/>
      </c>
      <c r="I1953" s="70">
        <f>IF(B1953="","",IFERROR(A1953-LOOKUP(2,1/($B$4:$B1952=B1953),$A$4:$A1952),""))</f>
        <v/>
      </c>
      <c r="J1953" s="32">
        <f>IF(B1953="","",IFERROR(D1953/I1953,""))</f>
        <v/>
      </c>
      <c r="K1953" s="71">
        <f>IF(B1953="","",IFERROR(AVERAGEIFS($J$4:$J1953,$B$4:$B1953,B1953,$J$4:$J1953,"&gt;"&amp;0),""))</f>
        <v/>
      </c>
      <c r="L1953" s="11" t="n"/>
    </row>
    <row r="1954" ht="14" customHeight="1" s="72">
      <c r="A1954" s="80" t="n"/>
      <c r="B1954" s="81" t="n"/>
      <c r="C1954" s="69">
        <f>IF(B1954="","",IFERROR(INDEX(Client_List!$B:$B,MATCH(B1954,Client_List!$A:$A,0)),"⚠ NOT FOUND"))</f>
        <v/>
      </c>
      <c r="D1954" s="45" t="n"/>
      <c r="E1954" s="32">
        <f>IF(B1954="","",IFERROR(INDEX(Client_List!$C:$C,MATCH(VALUE(B1954),Client_List!$A:$A,0)),""))</f>
        <v/>
      </c>
      <c r="F1954" s="53">
        <f>IF(B1954="","",IFERROR(INDEX(Client_List!$D:$D,MATCH(VALUE(B1954),Client_List!$A:$A,0)),""))</f>
        <v/>
      </c>
      <c r="G1954" s="53">
        <f>IF(B1954="","",IFERROR(INDEX(Client_List!$K:$K,MATCH(VALUE(B1954),Client_List!$A:$A,0)),""))</f>
        <v/>
      </c>
      <c r="H1954" s="32">
        <f>IF(B1954="","",IFERROR(INDEX(Client_List!$J:$J,MATCH(VALUE(B1954),Client_List!$A:$A,0)),""))</f>
        <v/>
      </c>
      <c r="I1954" s="70">
        <f>IF(B1954="","",IFERROR(A1954-LOOKUP(2,1/($B$4:$B1953=B1954),$A$4:$A1953),""))</f>
        <v/>
      </c>
      <c r="J1954" s="32">
        <f>IF(B1954="","",IFERROR(D1954/I1954,""))</f>
        <v/>
      </c>
      <c r="K1954" s="71">
        <f>IF(B1954="","",IFERROR(AVERAGEIFS($J$4:$J1954,$B$4:$B1954,B1954,$J$4:$J1954,"&gt;"&amp;0),""))</f>
        <v/>
      </c>
      <c r="L1954" s="12" t="n"/>
    </row>
    <row r="1955" ht="14" customHeight="1" s="72">
      <c r="A1955" s="78" t="n"/>
      <c r="B1955" s="79" t="n"/>
      <c r="C1955" s="69">
        <f>IF(B1955="","",IFERROR(INDEX(Client_List!$B:$B,MATCH(B1955,Client_List!$A:$A,0)),"⚠ NOT FOUND"))</f>
        <v/>
      </c>
      <c r="D1955" s="44" t="n"/>
      <c r="E1955" s="32">
        <f>IF(B1955="","",IFERROR(INDEX(Client_List!$C:$C,MATCH(VALUE(B1955),Client_List!$A:$A,0)),""))</f>
        <v/>
      </c>
      <c r="F1955" s="53">
        <f>IF(B1955="","",IFERROR(INDEX(Client_List!$D:$D,MATCH(VALUE(B1955),Client_List!$A:$A,0)),""))</f>
        <v/>
      </c>
      <c r="G1955" s="53">
        <f>IF(B1955="","",IFERROR(INDEX(Client_List!$K:$K,MATCH(VALUE(B1955),Client_List!$A:$A,0)),""))</f>
        <v/>
      </c>
      <c r="H1955" s="32">
        <f>IF(B1955="","",IFERROR(INDEX(Client_List!$J:$J,MATCH(VALUE(B1955),Client_List!$A:$A,0)),""))</f>
        <v/>
      </c>
      <c r="I1955" s="70">
        <f>IF(B1955="","",IFERROR(A1955-LOOKUP(2,1/($B$4:$B1954=B1955),$A$4:$A1954),""))</f>
        <v/>
      </c>
      <c r="J1955" s="32">
        <f>IF(B1955="","",IFERROR(D1955/I1955,""))</f>
        <v/>
      </c>
      <c r="K1955" s="71">
        <f>IF(B1955="","",IFERROR(AVERAGEIFS($J$4:$J1955,$B$4:$B1955,B1955,$J$4:$J1955,"&gt;"&amp;0),""))</f>
        <v/>
      </c>
      <c r="L1955" s="11" t="n"/>
    </row>
    <row r="1956" ht="14" customHeight="1" s="72">
      <c r="A1956" s="80" t="n"/>
      <c r="B1956" s="81" t="n"/>
      <c r="C1956" s="69">
        <f>IF(B1956="","",IFERROR(INDEX(Client_List!$B:$B,MATCH(B1956,Client_List!$A:$A,0)),"⚠ NOT FOUND"))</f>
        <v/>
      </c>
      <c r="D1956" s="45" t="n"/>
      <c r="E1956" s="32">
        <f>IF(B1956="","",IFERROR(INDEX(Client_List!$C:$C,MATCH(VALUE(B1956),Client_List!$A:$A,0)),""))</f>
        <v/>
      </c>
      <c r="F1956" s="53">
        <f>IF(B1956="","",IFERROR(INDEX(Client_List!$D:$D,MATCH(VALUE(B1956),Client_List!$A:$A,0)),""))</f>
        <v/>
      </c>
      <c r="G1956" s="53">
        <f>IF(B1956="","",IFERROR(INDEX(Client_List!$K:$K,MATCH(VALUE(B1956),Client_List!$A:$A,0)),""))</f>
        <v/>
      </c>
      <c r="H1956" s="32">
        <f>IF(B1956="","",IFERROR(INDEX(Client_List!$J:$J,MATCH(VALUE(B1956),Client_List!$A:$A,0)),""))</f>
        <v/>
      </c>
      <c r="I1956" s="70">
        <f>IF(B1956="","",IFERROR(A1956-LOOKUP(2,1/($B$4:$B1955=B1956),$A$4:$A1955),""))</f>
        <v/>
      </c>
      <c r="J1956" s="32">
        <f>IF(B1956="","",IFERROR(D1956/I1956,""))</f>
        <v/>
      </c>
      <c r="K1956" s="71">
        <f>IF(B1956="","",IFERROR(AVERAGEIFS($J$4:$J1956,$B$4:$B1956,B1956,$J$4:$J1956,"&gt;"&amp;0),""))</f>
        <v/>
      </c>
      <c r="L1956" s="12" t="n"/>
    </row>
    <row r="1957" ht="14" customHeight="1" s="72">
      <c r="A1957" s="78" t="n"/>
      <c r="B1957" s="79" t="n"/>
      <c r="C1957" s="69">
        <f>IF(B1957="","",IFERROR(INDEX(Client_List!$B:$B,MATCH(B1957,Client_List!$A:$A,0)),"⚠ NOT FOUND"))</f>
        <v/>
      </c>
      <c r="D1957" s="44" t="n"/>
      <c r="E1957" s="32">
        <f>IF(B1957="","",IFERROR(INDEX(Client_List!$C:$C,MATCH(VALUE(B1957),Client_List!$A:$A,0)),""))</f>
        <v/>
      </c>
      <c r="F1957" s="53">
        <f>IF(B1957="","",IFERROR(INDEX(Client_List!$D:$D,MATCH(VALUE(B1957),Client_List!$A:$A,0)),""))</f>
        <v/>
      </c>
      <c r="G1957" s="53">
        <f>IF(B1957="","",IFERROR(INDEX(Client_List!$K:$K,MATCH(VALUE(B1957),Client_List!$A:$A,0)),""))</f>
        <v/>
      </c>
      <c r="H1957" s="32">
        <f>IF(B1957="","",IFERROR(INDEX(Client_List!$J:$J,MATCH(VALUE(B1957),Client_List!$A:$A,0)),""))</f>
        <v/>
      </c>
      <c r="I1957" s="70">
        <f>IF(B1957="","",IFERROR(A1957-LOOKUP(2,1/($B$4:$B1956=B1957),$A$4:$A1956),""))</f>
        <v/>
      </c>
      <c r="J1957" s="32">
        <f>IF(B1957="","",IFERROR(D1957/I1957,""))</f>
        <v/>
      </c>
      <c r="K1957" s="71">
        <f>IF(B1957="","",IFERROR(AVERAGEIFS($J$4:$J1957,$B$4:$B1957,B1957,$J$4:$J1957,"&gt;"&amp;0),""))</f>
        <v/>
      </c>
      <c r="L1957" s="11" t="n"/>
    </row>
    <row r="1958" ht="14" customHeight="1" s="72">
      <c r="A1958" s="80" t="n"/>
      <c r="B1958" s="81" t="n"/>
      <c r="C1958" s="69">
        <f>IF(B1958="","",IFERROR(INDEX(Client_List!$B:$B,MATCH(B1958,Client_List!$A:$A,0)),"⚠ NOT FOUND"))</f>
        <v/>
      </c>
      <c r="D1958" s="45" t="n"/>
      <c r="E1958" s="32">
        <f>IF(B1958="","",IFERROR(INDEX(Client_List!$C:$C,MATCH(VALUE(B1958),Client_List!$A:$A,0)),""))</f>
        <v/>
      </c>
      <c r="F1958" s="53">
        <f>IF(B1958="","",IFERROR(INDEX(Client_List!$D:$D,MATCH(VALUE(B1958),Client_List!$A:$A,0)),""))</f>
        <v/>
      </c>
      <c r="G1958" s="53">
        <f>IF(B1958="","",IFERROR(INDEX(Client_List!$K:$K,MATCH(VALUE(B1958),Client_List!$A:$A,0)),""))</f>
        <v/>
      </c>
      <c r="H1958" s="32">
        <f>IF(B1958="","",IFERROR(INDEX(Client_List!$J:$J,MATCH(VALUE(B1958),Client_List!$A:$A,0)),""))</f>
        <v/>
      </c>
      <c r="I1958" s="70">
        <f>IF(B1958="","",IFERROR(A1958-LOOKUP(2,1/($B$4:$B1957=B1958),$A$4:$A1957),""))</f>
        <v/>
      </c>
      <c r="J1958" s="32">
        <f>IF(B1958="","",IFERROR(D1958/I1958,""))</f>
        <v/>
      </c>
      <c r="K1958" s="71">
        <f>IF(B1958="","",IFERROR(AVERAGEIFS($J$4:$J1958,$B$4:$B1958,B1958,$J$4:$J1958,"&gt;"&amp;0),""))</f>
        <v/>
      </c>
      <c r="L1958" s="12" t="n"/>
    </row>
    <row r="1959" ht="14" customHeight="1" s="72">
      <c r="A1959" s="78" t="n"/>
      <c r="B1959" s="79" t="n"/>
      <c r="C1959" s="69">
        <f>IF(B1959="","",IFERROR(INDEX(Client_List!$B:$B,MATCH(B1959,Client_List!$A:$A,0)),"⚠ NOT FOUND"))</f>
        <v/>
      </c>
      <c r="D1959" s="44" t="n"/>
      <c r="E1959" s="32">
        <f>IF(B1959="","",IFERROR(INDEX(Client_List!$C:$C,MATCH(VALUE(B1959),Client_List!$A:$A,0)),""))</f>
        <v/>
      </c>
      <c r="F1959" s="53">
        <f>IF(B1959="","",IFERROR(INDEX(Client_List!$D:$D,MATCH(VALUE(B1959),Client_List!$A:$A,0)),""))</f>
        <v/>
      </c>
      <c r="G1959" s="53">
        <f>IF(B1959="","",IFERROR(INDEX(Client_List!$K:$K,MATCH(VALUE(B1959),Client_List!$A:$A,0)),""))</f>
        <v/>
      </c>
      <c r="H1959" s="32">
        <f>IF(B1959="","",IFERROR(INDEX(Client_List!$J:$J,MATCH(VALUE(B1959),Client_List!$A:$A,0)),""))</f>
        <v/>
      </c>
      <c r="I1959" s="70">
        <f>IF(B1959="","",IFERROR(A1959-LOOKUP(2,1/($B$4:$B1958=B1959),$A$4:$A1958),""))</f>
        <v/>
      </c>
      <c r="J1959" s="32">
        <f>IF(B1959="","",IFERROR(D1959/I1959,""))</f>
        <v/>
      </c>
      <c r="K1959" s="71">
        <f>IF(B1959="","",IFERROR(AVERAGEIFS($J$4:$J1959,$B$4:$B1959,B1959,$J$4:$J1959,"&gt;"&amp;0),""))</f>
        <v/>
      </c>
      <c r="L1959" s="11" t="n"/>
    </row>
    <row r="1960" ht="14" customHeight="1" s="72">
      <c r="A1960" s="80" t="n"/>
      <c r="B1960" s="81" t="n"/>
      <c r="C1960" s="69">
        <f>IF(B1960="","",IFERROR(INDEX(Client_List!$B:$B,MATCH(B1960,Client_List!$A:$A,0)),"⚠ NOT FOUND"))</f>
        <v/>
      </c>
      <c r="D1960" s="45" t="n"/>
      <c r="E1960" s="32">
        <f>IF(B1960="","",IFERROR(INDEX(Client_List!$C:$C,MATCH(VALUE(B1960),Client_List!$A:$A,0)),""))</f>
        <v/>
      </c>
      <c r="F1960" s="53">
        <f>IF(B1960="","",IFERROR(INDEX(Client_List!$D:$D,MATCH(VALUE(B1960),Client_List!$A:$A,0)),""))</f>
        <v/>
      </c>
      <c r="G1960" s="53">
        <f>IF(B1960="","",IFERROR(INDEX(Client_List!$K:$K,MATCH(VALUE(B1960),Client_List!$A:$A,0)),""))</f>
        <v/>
      </c>
      <c r="H1960" s="32">
        <f>IF(B1960="","",IFERROR(INDEX(Client_List!$J:$J,MATCH(VALUE(B1960),Client_List!$A:$A,0)),""))</f>
        <v/>
      </c>
      <c r="I1960" s="70">
        <f>IF(B1960="","",IFERROR(A1960-LOOKUP(2,1/($B$4:$B1959=B1960),$A$4:$A1959),""))</f>
        <v/>
      </c>
      <c r="J1960" s="32">
        <f>IF(B1960="","",IFERROR(D1960/I1960,""))</f>
        <v/>
      </c>
      <c r="K1960" s="71">
        <f>IF(B1960="","",IFERROR(AVERAGEIFS($J$4:$J1960,$B$4:$B1960,B1960,$J$4:$J1960,"&gt;"&amp;0),""))</f>
        <v/>
      </c>
      <c r="L1960" s="12" t="n"/>
    </row>
    <row r="1961" ht="14" customHeight="1" s="72">
      <c r="A1961" s="78" t="n"/>
      <c r="B1961" s="79" t="n"/>
      <c r="C1961" s="69">
        <f>IF(B1961="","",IFERROR(INDEX(Client_List!$B:$B,MATCH(B1961,Client_List!$A:$A,0)),"⚠ NOT FOUND"))</f>
        <v/>
      </c>
      <c r="D1961" s="44" t="n"/>
      <c r="E1961" s="32">
        <f>IF(B1961="","",IFERROR(INDEX(Client_List!$C:$C,MATCH(VALUE(B1961),Client_List!$A:$A,0)),""))</f>
        <v/>
      </c>
      <c r="F1961" s="53">
        <f>IF(B1961="","",IFERROR(INDEX(Client_List!$D:$D,MATCH(VALUE(B1961),Client_List!$A:$A,0)),""))</f>
        <v/>
      </c>
      <c r="G1961" s="53">
        <f>IF(B1961="","",IFERROR(INDEX(Client_List!$K:$K,MATCH(VALUE(B1961),Client_List!$A:$A,0)),""))</f>
        <v/>
      </c>
      <c r="H1961" s="32">
        <f>IF(B1961="","",IFERROR(INDEX(Client_List!$J:$J,MATCH(VALUE(B1961),Client_List!$A:$A,0)),""))</f>
        <v/>
      </c>
      <c r="I1961" s="70">
        <f>IF(B1961="","",IFERROR(A1961-LOOKUP(2,1/($B$4:$B1960=B1961),$A$4:$A1960),""))</f>
        <v/>
      </c>
      <c r="J1961" s="32">
        <f>IF(B1961="","",IFERROR(D1961/I1961,""))</f>
        <v/>
      </c>
      <c r="K1961" s="71">
        <f>IF(B1961="","",IFERROR(AVERAGEIFS($J$4:$J1961,$B$4:$B1961,B1961,$J$4:$J1961,"&gt;"&amp;0),""))</f>
        <v/>
      </c>
      <c r="L1961" s="11" t="n"/>
    </row>
    <row r="1962" ht="14" customHeight="1" s="72">
      <c r="A1962" s="80" t="n"/>
      <c r="B1962" s="81" t="n"/>
      <c r="C1962" s="69">
        <f>IF(B1962="","",IFERROR(INDEX(Client_List!$B:$B,MATCH(B1962,Client_List!$A:$A,0)),"⚠ NOT FOUND"))</f>
        <v/>
      </c>
      <c r="D1962" s="45" t="n"/>
      <c r="E1962" s="32">
        <f>IF(B1962="","",IFERROR(INDEX(Client_List!$C:$C,MATCH(VALUE(B1962),Client_List!$A:$A,0)),""))</f>
        <v/>
      </c>
      <c r="F1962" s="53">
        <f>IF(B1962="","",IFERROR(INDEX(Client_List!$D:$D,MATCH(VALUE(B1962),Client_List!$A:$A,0)),""))</f>
        <v/>
      </c>
      <c r="G1962" s="53">
        <f>IF(B1962="","",IFERROR(INDEX(Client_List!$K:$K,MATCH(VALUE(B1962),Client_List!$A:$A,0)),""))</f>
        <v/>
      </c>
      <c r="H1962" s="32">
        <f>IF(B1962="","",IFERROR(INDEX(Client_List!$J:$J,MATCH(VALUE(B1962),Client_List!$A:$A,0)),""))</f>
        <v/>
      </c>
      <c r="I1962" s="70">
        <f>IF(B1962="","",IFERROR(A1962-LOOKUP(2,1/($B$4:$B1961=B1962),$A$4:$A1961),""))</f>
        <v/>
      </c>
      <c r="J1962" s="32">
        <f>IF(B1962="","",IFERROR(D1962/I1962,""))</f>
        <v/>
      </c>
      <c r="K1962" s="71">
        <f>IF(B1962="","",IFERROR(AVERAGEIFS($J$4:$J1962,$B$4:$B1962,B1962,$J$4:$J1962,"&gt;"&amp;0),""))</f>
        <v/>
      </c>
      <c r="L1962" s="12" t="n"/>
    </row>
    <row r="1963" ht="14" customHeight="1" s="72">
      <c r="A1963" s="78" t="n"/>
      <c r="B1963" s="79" t="n"/>
      <c r="C1963" s="69">
        <f>IF(B1963="","",IFERROR(INDEX(Client_List!$B:$B,MATCH(B1963,Client_List!$A:$A,0)),"⚠ NOT FOUND"))</f>
        <v/>
      </c>
      <c r="D1963" s="44" t="n"/>
      <c r="E1963" s="32">
        <f>IF(B1963="","",IFERROR(INDEX(Client_List!$C:$C,MATCH(VALUE(B1963),Client_List!$A:$A,0)),""))</f>
        <v/>
      </c>
      <c r="F1963" s="53">
        <f>IF(B1963="","",IFERROR(INDEX(Client_List!$D:$D,MATCH(VALUE(B1963),Client_List!$A:$A,0)),""))</f>
        <v/>
      </c>
      <c r="G1963" s="53">
        <f>IF(B1963="","",IFERROR(INDEX(Client_List!$K:$K,MATCH(VALUE(B1963),Client_List!$A:$A,0)),""))</f>
        <v/>
      </c>
      <c r="H1963" s="32">
        <f>IF(B1963="","",IFERROR(INDEX(Client_List!$J:$J,MATCH(VALUE(B1963),Client_List!$A:$A,0)),""))</f>
        <v/>
      </c>
      <c r="I1963" s="70">
        <f>IF(B1963="","",IFERROR(A1963-LOOKUP(2,1/($B$4:$B1962=B1963),$A$4:$A1962),""))</f>
        <v/>
      </c>
      <c r="J1963" s="32">
        <f>IF(B1963="","",IFERROR(D1963/I1963,""))</f>
        <v/>
      </c>
      <c r="K1963" s="71">
        <f>IF(B1963="","",IFERROR(AVERAGEIFS($J$4:$J1963,$B$4:$B1963,B1963,$J$4:$J1963,"&gt;"&amp;0),""))</f>
        <v/>
      </c>
      <c r="L1963" s="11" t="n"/>
    </row>
    <row r="1964" ht="14" customHeight="1" s="72">
      <c r="A1964" s="80" t="n"/>
      <c r="B1964" s="81" t="n"/>
      <c r="C1964" s="69">
        <f>IF(B1964="","",IFERROR(INDEX(Client_List!$B:$B,MATCH(B1964,Client_List!$A:$A,0)),"⚠ NOT FOUND"))</f>
        <v/>
      </c>
      <c r="D1964" s="45" t="n"/>
      <c r="E1964" s="32">
        <f>IF(B1964="","",IFERROR(INDEX(Client_List!$C:$C,MATCH(VALUE(B1964),Client_List!$A:$A,0)),""))</f>
        <v/>
      </c>
      <c r="F1964" s="53">
        <f>IF(B1964="","",IFERROR(INDEX(Client_List!$D:$D,MATCH(VALUE(B1964),Client_List!$A:$A,0)),""))</f>
        <v/>
      </c>
      <c r="G1964" s="53">
        <f>IF(B1964="","",IFERROR(INDEX(Client_List!$K:$K,MATCH(VALUE(B1964),Client_List!$A:$A,0)),""))</f>
        <v/>
      </c>
      <c r="H1964" s="32">
        <f>IF(B1964="","",IFERROR(INDEX(Client_List!$J:$J,MATCH(VALUE(B1964),Client_List!$A:$A,0)),""))</f>
        <v/>
      </c>
      <c r="I1964" s="70">
        <f>IF(B1964="","",IFERROR(A1964-LOOKUP(2,1/($B$4:$B1963=B1964),$A$4:$A1963),""))</f>
        <v/>
      </c>
      <c r="J1964" s="32">
        <f>IF(B1964="","",IFERROR(D1964/I1964,""))</f>
        <v/>
      </c>
      <c r="K1964" s="71">
        <f>IF(B1964="","",IFERROR(AVERAGEIFS($J$4:$J1964,$B$4:$B1964,B1964,$J$4:$J1964,"&gt;"&amp;0),""))</f>
        <v/>
      </c>
      <c r="L1964" s="12" t="n"/>
    </row>
    <row r="1965" ht="14" customHeight="1" s="72">
      <c r="A1965" s="78" t="n"/>
      <c r="B1965" s="79" t="n"/>
      <c r="C1965" s="69">
        <f>IF(B1965="","",IFERROR(INDEX(Client_List!$B:$B,MATCH(B1965,Client_List!$A:$A,0)),"⚠ NOT FOUND"))</f>
        <v/>
      </c>
      <c r="D1965" s="44" t="n"/>
      <c r="E1965" s="32">
        <f>IF(B1965="","",IFERROR(INDEX(Client_List!$C:$C,MATCH(VALUE(B1965),Client_List!$A:$A,0)),""))</f>
        <v/>
      </c>
      <c r="F1965" s="53">
        <f>IF(B1965="","",IFERROR(INDEX(Client_List!$D:$D,MATCH(VALUE(B1965),Client_List!$A:$A,0)),""))</f>
        <v/>
      </c>
      <c r="G1965" s="53">
        <f>IF(B1965="","",IFERROR(INDEX(Client_List!$K:$K,MATCH(VALUE(B1965),Client_List!$A:$A,0)),""))</f>
        <v/>
      </c>
      <c r="H1965" s="32">
        <f>IF(B1965="","",IFERROR(INDEX(Client_List!$J:$J,MATCH(VALUE(B1965),Client_List!$A:$A,0)),""))</f>
        <v/>
      </c>
      <c r="I1965" s="70">
        <f>IF(B1965="","",IFERROR(A1965-LOOKUP(2,1/($B$4:$B1964=B1965),$A$4:$A1964),""))</f>
        <v/>
      </c>
      <c r="J1965" s="32">
        <f>IF(B1965="","",IFERROR(D1965/I1965,""))</f>
        <v/>
      </c>
      <c r="K1965" s="71">
        <f>IF(B1965="","",IFERROR(AVERAGEIFS($J$4:$J1965,$B$4:$B1965,B1965,$J$4:$J1965,"&gt;"&amp;0),""))</f>
        <v/>
      </c>
      <c r="L1965" s="11" t="n"/>
    </row>
    <row r="1966" ht="14" customHeight="1" s="72">
      <c r="A1966" s="80" t="n"/>
      <c r="B1966" s="81" t="n"/>
      <c r="C1966" s="69">
        <f>IF(B1966="","",IFERROR(INDEX(Client_List!$B:$B,MATCH(B1966,Client_List!$A:$A,0)),"⚠ NOT FOUND"))</f>
        <v/>
      </c>
      <c r="D1966" s="45" t="n"/>
      <c r="E1966" s="32">
        <f>IF(B1966="","",IFERROR(INDEX(Client_List!$C:$C,MATCH(VALUE(B1966),Client_List!$A:$A,0)),""))</f>
        <v/>
      </c>
      <c r="F1966" s="53">
        <f>IF(B1966="","",IFERROR(INDEX(Client_List!$D:$D,MATCH(VALUE(B1966),Client_List!$A:$A,0)),""))</f>
        <v/>
      </c>
      <c r="G1966" s="53">
        <f>IF(B1966="","",IFERROR(INDEX(Client_List!$K:$K,MATCH(VALUE(B1966),Client_List!$A:$A,0)),""))</f>
        <v/>
      </c>
      <c r="H1966" s="32">
        <f>IF(B1966="","",IFERROR(INDEX(Client_List!$J:$J,MATCH(VALUE(B1966),Client_List!$A:$A,0)),""))</f>
        <v/>
      </c>
      <c r="I1966" s="70">
        <f>IF(B1966="","",IFERROR(A1966-LOOKUP(2,1/($B$4:$B1965=B1966),$A$4:$A1965),""))</f>
        <v/>
      </c>
      <c r="J1966" s="32">
        <f>IF(B1966="","",IFERROR(D1966/I1966,""))</f>
        <v/>
      </c>
      <c r="K1966" s="71">
        <f>IF(B1966="","",IFERROR(AVERAGEIFS($J$4:$J1966,$B$4:$B1966,B1966,$J$4:$J1966,"&gt;"&amp;0),""))</f>
        <v/>
      </c>
      <c r="L1966" s="12" t="n"/>
    </row>
    <row r="1967" ht="14" customHeight="1" s="72">
      <c r="A1967" s="78" t="n"/>
      <c r="B1967" s="79" t="n"/>
      <c r="C1967" s="69">
        <f>IF(B1967="","",IFERROR(INDEX(Client_List!$B:$B,MATCH(B1967,Client_List!$A:$A,0)),"⚠ NOT FOUND"))</f>
        <v/>
      </c>
      <c r="D1967" s="44" t="n"/>
      <c r="E1967" s="32">
        <f>IF(B1967="","",IFERROR(INDEX(Client_List!$C:$C,MATCH(VALUE(B1967),Client_List!$A:$A,0)),""))</f>
        <v/>
      </c>
      <c r="F1967" s="53">
        <f>IF(B1967="","",IFERROR(INDEX(Client_List!$D:$D,MATCH(VALUE(B1967),Client_List!$A:$A,0)),""))</f>
        <v/>
      </c>
      <c r="G1967" s="53">
        <f>IF(B1967="","",IFERROR(INDEX(Client_List!$K:$K,MATCH(VALUE(B1967),Client_List!$A:$A,0)),""))</f>
        <v/>
      </c>
      <c r="H1967" s="32">
        <f>IF(B1967="","",IFERROR(INDEX(Client_List!$J:$J,MATCH(VALUE(B1967),Client_List!$A:$A,0)),""))</f>
        <v/>
      </c>
      <c r="I1967" s="70">
        <f>IF(B1967="","",IFERROR(A1967-LOOKUP(2,1/($B$4:$B1966=B1967),$A$4:$A1966),""))</f>
        <v/>
      </c>
      <c r="J1967" s="32">
        <f>IF(B1967="","",IFERROR(D1967/I1967,""))</f>
        <v/>
      </c>
      <c r="K1967" s="71">
        <f>IF(B1967="","",IFERROR(AVERAGEIFS($J$4:$J1967,$B$4:$B1967,B1967,$J$4:$J1967,"&gt;"&amp;0),""))</f>
        <v/>
      </c>
      <c r="L1967" s="11" t="n"/>
    </row>
    <row r="1968" ht="14" customHeight="1" s="72">
      <c r="A1968" s="80" t="n"/>
      <c r="B1968" s="81" t="n"/>
      <c r="C1968" s="69">
        <f>IF(B1968="","",IFERROR(INDEX(Client_List!$B:$B,MATCH(B1968,Client_List!$A:$A,0)),"⚠ NOT FOUND"))</f>
        <v/>
      </c>
      <c r="D1968" s="45" t="n"/>
      <c r="E1968" s="32">
        <f>IF(B1968="","",IFERROR(INDEX(Client_List!$C:$C,MATCH(VALUE(B1968),Client_List!$A:$A,0)),""))</f>
        <v/>
      </c>
      <c r="F1968" s="53">
        <f>IF(B1968="","",IFERROR(INDEX(Client_List!$D:$D,MATCH(VALUE(B1968),Client_List!$A:$A,0)),""))</f>
        <v/>
      </c>
      <c r="G1968" s="53">
        <f>IF(B1968="","",IFERROR(INDEX(Client_List!$K:$K,MATCH(VALUE(B1968),Client_List!$A:$A,0)),""))</f>
        <v/>
      </c>
      <c r="H1968" s="32">
        <f>IF(B1968="","",IFERROR(INDEX(Client_List!$J:$J,MATCH(VALUE(B1968),Client_List!$A:$A,0)),""))</f>
        <v/>
      </c>
      <c r="I1968" s="70">
        <f>IF(B1968="","",IFERROR(A1968-LOOKUP(2,1/($B$4:$B1967=B1968),$A$4:$A1967),""))</f>
        <v/>
      </c>
      <c r="J1968" s="32">
        <f>IF(B1968="","",IFERROR(D1968/I1968,""))</f>
        <v/>
      </c>
      <c r="K1968" s="71">
        <f>IF(B1968="","",IFERROR(AVERAGEIFS($J$4:$J1968,$B$4:$B1968,B1968,$J$4:$J1968,"&gt;"&amp;0),""))</f>
        <v/>
      </c>
      <c r="L1968" s="12" t="n"/>
    </row>
    <row r="1969" ht="14" customHeight="1" s="72">
      <c r="A1969" s="78" t="n"/>
      <c r="B1969" s="79" t="n"/>
      <c r="C1969" s="69">
        <f>IF(B1969="","",IFERROR(INDEX(Client_List!$B:$B,MATCH(B1969,Client_List!$A:$A,0)),"⚠ NOT FOUND"))</f>
        <v/>
      </c>
      <c r="D1969" s="44" t="n"/>
      <c r="E1969" s="32">
        <f>IF(B1969="","",IFERROR(INDEX(Client_List!$C:$C,MATCH(VALUE(B1969),Client_List!$A:$A,0)),""))</f>
        <v/>
      </c>
      <c r="F1969" s="53">
        <f>IF(B1969="","",IFERROR(INDEX(Client_List!$D:$D,MATCH(VALUE(B1969),Client_List!$A:$A,0)),""))</f>
        <v/>
      </c>
      <c r="G1969" s="53">
        <f>IF(B1969="","",IFERROR(INDEX(Client_List!$K:$K,MATCH(VALUE(B1969),Client_List!$A:$A,0)),""))</f>
        <v/>
      </c>
      <c r="H1969" s="32">
        <f>IF(B1969="","",IFERROR(INDEX(Client_List!$J:$J,MATCH(VALUE(B1969),Client_List!$A:$A,0)),""))</f>
        <v/>
      </c>
      <c r="I1969" s="70">
        <f>IF(B1969="","",IFERROR(A1969-LOOKUP(2,1/($B$4:$B1968=B1969),$A$4:$A1968),""))</f>
        <v/>
      </c>
      <c r="J1969" s="32">
        <f>IF(B1969="","",IFERROR(D1969/I1969,""))</f>
        <v/>
      </c>
      <c r="K1969" s="71">
        <f>IF(B1969="","",IFERROR(AVERAGEIFS($J$4:$J1969,$B$4:$B1969,B1969,$J$4:$J1969,"&gt;"&amp;0),""))</f>
        <v/>
      </c>
      <c r="L1969" s="11" t="n"/>
    </row>
    <row r="1970" ht="14" customHeight="1" s="72">
      <c r="A1970" s="80" t="n"/>
      <c r="B1970" s="81" t="n"/>
      <c r="C1970" s="69">
        <f>IF(B1970="","",IFERROR(INDEX(Client_List!$B:$B,MATCH(B1970,Client_List!$A:$A,0)),"⚠ NOT FOUND"))</f>
        <v/>
      </c>
      <c r="D1970" s="45" t="n"/>
      <c r="E1970" s="32">
        <f>IF(B1970="","",IFERROR(INDEX(Client_List!$C:$C,MATCH(VALUE(B1970),Client_List!$A:$A,0)),""))</f>
        <v/>
      </c>
      <c r="F1970" s="53">
        <f>IF(B1970="","",IFERROR(INDEX(Client_List!$D:$D,MATCH(VALUE(B1970),Client_List!$A:$A,0)),""))</f>
        <v/>
      </c>
      <c r="G1970" s="53">
        <f>IF(B1970="","",IFERROR(INDEX(Client_List!$K:$K,MATCH(VALUE(B1970),Client_List!$A:$A,0)),""))</f>
        <v/>
      </c>
      <c r="H1970" s="32">
        <f>IF(B1970="","",IFERROR(INDEX(Client_List!$J:$J,MATCH(VALUE(B1970),Client_List!$A:$A,0)),""))</f>
        <v/>
      </c>
      <c r="I1970" s="70">
        <f>IF(B1970="","",IFERROR(A1970-LOOKUP(2,1/($B$4:$B1969=B1970),$A$4:$A1969),""))</f>
        <v/>
      </c>
      <c r="J1970" s="32">
        <f>IF(B1970="","",IFERROR(D1970/I1970,""))</f>
        <v/>
      </c>
      <c r="K1970" s="71">
        <f>IF(B1970="","",IFERROR(AVERAGEIFS($J$4:$J1970,$B$4:$B1970,B1970,$J$4:$J1970,"&gt;"&amp;0),""))</f>
        <v/>
      </c>
      <c r="L1970" s="12" t="n"/>
    </row>
    <row r="1971" ht="14" customHeight="1" s="72">
      <c r="A1971" s="78" t="n"/>
      <c r="B1971" s="79" t="n"/>
      <c r="C1971" s="69">
        <f>IF(B1971="","",IFERROR(INDEX(Client_List!$B:$B,MATCH(B1971,Client_List!$A:$A,0)),"⚠ NOT FOUND"))</f>
        <v/>
      </c>
      <c r="D1971" s="44" t="n"/>
      <c r="E1971" s="32">
        <f>IF(B1971="","",IFERROR(INDEX(Client_List!$C:$C,MATCH(VALUE(B1971),Client_List!$A:$A,0)),""))</f>
        <v/>
      </c>
      <c r="F1971" s="53">
        <f>IF(B1971="","",IFERROR(INDEX(Client_List!$D:$D,MATCH(VALUE(B1971),Client_List!$A:$A,0)),""))</f>
        <v/>
      </c>
      <c r="G1971" s="53">
        <f>IF(B1971="","",IFERROR(INDEX(Client_List!$K:$K,MATCH(VALUE(B1971),Client_List!$A:$A,0)),""))</f>
        <v/>
      </c>
      <c r="H1971" s="32">
        <f>IF(B1971="","",IFERROR(INDEX(Client_List!$J:$J,MATCH(VALUE(B1971),Client_List!$A:$A,0)),""))</f>
        <v/>
      </c>
      <c r="I1971" s="70">
        <f>IF(B1971="","",IFERROR(A1971-LOOKUP(2,1/($B$4:$B1970=B1971),$A$4:$A1970),""))</f>
        <v/>
      </c>
      <c r="J1971" s="32">
        <f>IF(B1971="","",IFERROR(D1971/I1971,""))</f>
        <v/>
      </c>
      <c r="K1971" s="71">
        <f>IF(B1971="","",IFERROR(AVERAGEIFS($J$4:$J1971,$B$4:$B1971,B1971,$J$4:$J1971,"&gt;"&amp;0),""))</f>
        <v/>
      </c>
      <c r="L1971" s="11" t="n"/>
    </row>
    <row r="1972" ht="14" customHeight="1" s="72">
      <c r="A1972" s="80" t="n"/>
      <c r="B1972" s="81" t="n"/>
      <c r="C1972" s="69">
        <f>IF(B1972="","",IFERROR(INDEX(Client_List!$B:$B,MATCH(B1972,Client_List!$A:$A,0)),"⚠ NOT FOUND"))</f>
        <v/>
      </c>
      <c r="D1972" s="45" t="n"/>
      <c r="E1972" s="32">
        <f>IF(B1972="","",IFERROR(INDEX(Client_List!$C:$C,MATCH(VALUE(B1972),Client_List!$A:$A,0)),""))</f>
        <v/>
      </c>
      <c r="F1972" s="53">
        <f>IF(B1972="","",IFERROR(INDEX(Client_List!$D:$D,MATCH(VALUE(B1972),Client_List!$A:$A,0)),""))</f>
        <v/>
      </c>
      <c r="G1972" s="53">
        <f>IF(B1972="","",IFERROR(INDEX(Client_List!$K:$K,MATCH(VALUE(B1972),Client_List!$A:$A,0)),""))</f>
        <v/>
      </c>
      <c r="H1972" s="32">
        <f>IF(B1972="","",IFERROR(INDEX(Client_List!$J:$J,MATCH(VALUE(B1972),Client_List!$A:$A,0)),""))</f>
        <v/>
      </c>
      <c r="I1972" s="70">
        <f>IF(B1972="","",IFERROR(A1972-LOOKUP(2,1/($B$4:$B1971=B1972),$A$4:$A1971),""))</f>
        <v/>
      </c>
      <c r="J1972" s="32">
        <f>IF(B1972="","",IFERROR(D1972/I1972,""))</f>
        <v/>
      </c>
      <c r="K1972" s="71">
        <f>IF(B1972="","",IFERROR(AVERAGEIFS($J$4:$J1972,$B$4:$B1972,B1972,$J$4:$J1972,"&gt;"&amp;0),""))</f>
        <v/>
      </c>
      <c r="L1972" s="12" t="n"/>
    </row>
    <row r="1973" ht="14" customHeight="1" s="72">
      <c r="A1973" s="78" t="n"/>
      <c r="B1973" s="79" t="n"/>
      <c r="C1973" s="69">
        <f>IF(B1973="","",IFERROR(INDEX(Client_List!$B:$B,MATCH(B1973,Client_List!$A:$A,0)),"⚠ NOT FOUND"))</f>
        <v/>
      </c>
      <c r="D1973" s="44" t="n"/>
      <c r="E1973" s="32">
        <f>IF(B1973="","",IFERROR(INDEX(Client_List!$C:$C,MATCH(VALUE(B1973),Client_List!$A:$A,0)),""))</f>
        <v/>
      </c>
      <c r="F1973" s="53">
        <f>IF(B1973="","",IFERROR(INDEX(Client_List!$D:$D,MATCH(VALUE(B1973),Client_List!$A:$A,0)),""))</f>
        <v/>
      </c>
      <c r="G1973" s="53">
        <f>IF(B1973="","",IFERROR(INDEX(Client_List!$K:$K,MATCH(VALUE(B1973),Client_List!$A:$A,0)),""))</f>
        <v/>
      </c>
      <c r="H1973" s="32">
        <f>IF(B1973="","",IFERROR(INDEX(Client_List!$J:$J,MATCH(VALUE(B1973),Client_List!$A:$A,0)),""))</f>
        <v/>
      </c>
      <c r="I1973" s="70">
        <f>IF(B1973="","",IFERROR(A1973-LOOKUP(2,1/($B$4:$B1972=B1973),$A$4:$A1972),""))</f>
        <v/>
      </c>
      <c r="J1973" s="32">
        <f>IF(B1973="","",IFERROR(D1973/I1973,""))</f>
        <v/>
      </c>
      <c r="K1973" s="71">
        <f>IF(B1973="","",IFERROR(AVERAGEIFS($J$4:$J1973,$B$4:$B1973,B1973,$J$4:$J1973,"&gt;"&amp;0),""))</f>
        <v/>
      </c>
      <c r="L1973" s="11" t="n"/>
    </row>
    <row r="1974" ht="14" customHeight="1" s="72">
      <c r="A1974" s="80" t="n"/>
      <c r="B1974" s="81" t="n"/>
      <c r="C1974" s="69">
        <f>IF(B1974="","",IFERROR(INDEX(Client_List!$B:$B,MATCH(B1974,Client_List!$A:$A,0)),"⚠ NOT FOUND"))</f>
        <v/>
      </c>
      <c r="D1974" s="45" t="n"/>
      <c r="E1974" s="32">
        <f>IF(B1974="","",IFERROR(INDEX(Client_List!$C:$C,MATCH(VALUE(B1974),Client_List!$A:$A,0)),""))</f>
        <v/>
      </c>
      <c r="F1974" s="53">
        <f>IF(B1974="","",IFERROR(INDEX(Client_List!$D:$D,MATCH(VALUE(B1974),Client_List!$A:$A,0)),""))</f>
        <v/>
      </c>
      <c r="G1974" s="53">
        <f>IF(B1974="","",IFERROR(INDEX(Client_List!$K:$K,MATCH(VALUE(B1974),Client_List!$A:$A,0)),""))</f>
        <v/>
      </c>
      <c r="H1974" s="32">
        <f>IF(B1974="","",IFERROR(INDEX(Client_List!$J:$J,MATCH(VALUE(B1974),Client_List!$A:$A,0)),""))</f>
        <v/>
      </c>
      <c r="I1974" s="70">
        <f>IF(B1974="","",IFERROR(A1974-LOOKUP(2,1/($B$4:$B1973=B1974),$A$4:$A1973),""))</f>
        <v/>
      </c>
      <c r="J1974" s="32">
        <f>IF(B1974="","",IFERROR(D1974/I1974,""))</f>
        <v/>
      </c>
      <c r="K1974" s="71">
        <f>IF(B1974="","",IFERROR(AVERAGEIFS($J$4:$J1974,$B$4:$B1974,B1974,$J$4:$J1974,"&gt;"&amp;0),""))</f>
        <v/>
      </c>
      <c r="L1974" s="12" t="n"/>
    </row>
    <row r="1975" ht="14" customHeight="1" s="72">
      <c r="A1975" s="78" t="n"/>
      <c r="B1975" s="79" t="n"/>
      <c r="C1975" s="69">
        <f>IF(B1975="","",IFERROR(INDEX(Client_List!$B:$B,MATCH(B1975,Client_List!$A:$A,0)),"⚠ NOT FOUND"))</f>
        <v/>
      </c>
      <c r="D1975" s="44" t="n"/>
      <c r="E1975" s="32">
        <f>IF(B1975="","",IFERROR(INDEX(Client_List!$C:$C,MATCH(VALUE(B1975),Client_List!$A:$A,0)),""))</f>
        <v/>
      </c>
      <c r="F1975" s="53">
        <f>IF(B1975="","",IFERROR(INDEX(Client_List!$D:$D,MATCH(VALUE(B1975),Client_List!$A:$A,0)),""))</f>
        <v/>
      </c>
      <c r="G1975" s="53">
        <f>IF(B1975="","",IFERROR(INDEX(Client_List!$K:$K,MATCH(VALUE(B1975),Client_List!$A:$A,0)),""))</f>
        <v/>
      </c>
      <c r="H1975" s="32">
        <f>IF(B1975="","",IFERROR(INDEX(Client_List!$J:$J,MATCH(VALUE(B1975),Client_List!$A:$A,0)),""))</f>
        <v/>
      </c>
      <c r="I1975" s="70">
        <f>IF(B1975="","",IFERROR(A1975-LOOKUP(2,1/($B$4:$B1974=B1975),$A$4:$A1974),""))</f>
        <v/>
      </c>
      <c r="J1975" s="32">
        <f>IF(B1975="","",IFERROR(D1975/I1975,""))</f>
        <v/>
      </c>
      <c r="K1975" s="71">
        <f>IF(B1975="","",IFERROR(AVERAGEIFS($J$4:$J1975,$B$4:$B1975,B1975,$J$4:$J1975,"&gt;"&amp;0),""))</f>
        <v/>
      </c>
      <c r="L1975" s="11" t="n"/>
    </row>
    <row r="1976" ht="14" customHeight="1" s="72">
      <c r="A1976" s="80" t="n"/>
      <c r="B1976" s="81" t="n"/>
      <c r="C1976" s="69">
        <f>IF(B1976="","",IFERROR(INDEX(Client_List!$B:$B,MATCH(B1976,Client_List!$A:$A,0)),"⚠ NOT FOUND"))</f>
        <v/>
      </c>
      <c r="D1976" s="45" t="n"/>
      <c r="E1976" s="32">
        <f>IF(B1976="","",IFERROR(INDEX(Client_List!$C:$C,MATCH(VALUE(B1976),Client_List!$A:$A,0)),""))</f>
        <v/>
      </c>
      <c r="F1976" s="53">
        <f>IF(B1976="","",IFERROR(INDEX(Client_List!$D:$D,MATCH(VALUE(B1976),Client_List!$A:$A,0)),""))</f>
        <v/>
      </c>
      <c r="G1976" s="53">
        <f>IF(B1976="","",IFERROR(INDEX(Client_List!$K:$K,MATCH(VALUE(B1976),Client_List!$A:$A,0)),""))</f>
        <v/>
      </c>
      <c r="H1976" s="32">
        <f>IF(B1976="","",IFERROR(INDEX(Client_List!$J:$J,MATCH(VALUE(B1976),Client_List!$A:$A,0)),""))</f>
        <v/>
      </c>
      <c r="I1976" s="70">
        <f>IF(B1976="","",IFERROR(A1976-LOOKUP(2,1/($B$4:$B1975=B1976),$A$4:$A1975),""))</f>
        <v/>
      </c>
      <c r="J1976" s="32">
        <f>IF(B1976="","",IFERROR(D1976/I1976,""))</f>
        <v/>
      </c>
      <c r="K1976" s="71">
        <f>IF(B1976="","",IFERROR(AVERAGEIFS($J$4:$J1976,$B$4:$B1976,B1976,$J$4:$J1976,"&gt;"&amp;0),""))</f>
        <v/>
      </c>
      <c r="L1976" s="12" t="n"/>
    </row>
    <row r="1977" ht="14" customHeight="1" s="72">
      <c r="A1977" s="78" t="n"/>
      <c r="B1977" s="79" t="n"/>
      <c r="C1977" s="69">
        <f>IF(B1977="","",IFERROR(INDEX(Client_List!$B:$B,MATCH(B1977,Client_List!$A:$A,0)),"⚠ NOT FOUND"))</f>
        <v/>
      </c>
      <c r="D1977" s="44" t="n"/>
      <c r="E1977" s="32">
        <f>IF(B1977="","",IFERROR(INDEX(Client_List!$C:$C,MATCH(VALUE(B1977),Client_List!$A:$A,0)),""))</f>
        <v/>
      </c>
      <c r="F1977" s="53">
        <f>IF(B1977="","",IFERROR(INDEX(Client_List!$D:$D,MATCH(VALUE(B1977),Client_List!$A:$A,0)),""))</f>
        <v/>
      </c>
      <c r="G1977" s="53">
        <f>IF(B1977="","",IFERROR(INDEX(Client_List!$K:$K,MATCH(VALUE(B1977),Client_List!$A:$A,0)),""))</f>
        <v/>
      </c>
      <c r="H1977" s="32">
        <f>IF(B1977="","",IFERROR(INDEX(Client_List!$J:$J,MATCH(VALUE(B1977),Client_List!$A:$A,0)),""))</f>
        <v/>
      </c>
      <c r="I1977" s="70">
        <f>IF(B1977="","",IFERROR(A1977-LOOKUP(2,1/($B$4:$B1976=B1977),$A$4:$A1976),""))</f>
        <v/>
      </c>
      <c r="J1977" s="32">
        <f>IF(B1977="","",IFERROR(D1977/I1977,""))</f>
        <v/>
      </c>
      <c r="K1977" s="71">
        <f>IF(B1977="","",IFERROR(AVERAGEIFS($J$4:$J1977,$B$4:$B1977,B1977,$J$4:$J1977,"&gt;"&amp;0),""))</f>
        <v/>
      </c>
      <c r="L1977" s="11" t="n"/>
    </row>
    <row r="1978" ht="14" customHeight="1" s="72">
      <c r="A1978" s="80" t="n"/>
      <c r="B1978" s="81" t="n"/>
      <c r="C1978" s="69">
        <f>IF(B1978="","",IFERROR(INDEX(Client_List!$B:$B,MATCH(B1978,Client_List!$A:$A,0)),"⚠ NOT FOUND"))</f>
        <v/>
      </c>
      <c r="D1978" s="45" t="n"/>
      <c r="E1978" s="32">
        <f>IF(B1978="","",IFERROR(INDEX(Client_List!$C:$C,MATCH(VALUE(B1978),Client_List!$A:$A,0)),""))</f>
        <v/>
      </c>
      <c r="F1978" s="53">
        <f>IF(B1978="","",IFERROR(INDEX(Client_List!$D:$D,MATCH(VALUE(B1978),Client_List!$A:$A,0)),""))</f>
        <v/>
      </c>
      <c r="G1978" s="53">
        <f>IF(B1978="","",IFERROR(INDEX(Client_List!$K:$K,MATCH(VALUE(B1978),Client_List!$A:$A,0)),""))</f>
        <v/>
      </c>
      <c r="H1978" s="32">
        <f>IF(B1978="","",IFERROR(INDEX(Client_List!$J:$J,MATCH(VALUE(B1978),Client_List!$A:$A,0)),""))</f>
        <v/>
      </c>
      <c r="I1978" s="70">
        <f>IF(B1978="","",IFERROR(A1978-LOOKUP(2,1/($B$4:$B1977=B1978),$A$4:$A1977),""))</f>
        <v/>
      </c>
      <c r="J1978" s="32">
        <f>IF(B1978="","",IFERROR(D1978/I1978,""))</f>
        <v/>
      </c>
      <c r="K1978" s="71">
        <f>IF(B1978="","",IFERROR(AVERAGEIFS($J$4:$J1978,$B$4:$B1978,B1978,$J$4:$J1978,"&gt;"&amp;0),""))</f>
        <v/>
      </c>
      <c r="L1978" s="12" t="n"/>
    </row>
    <row r="1979" ht="14" customHeight="1" s="72">
      <c r="A1979" s="78" t="n"/>
      <c r="B1979" s="79" t="n"/>
      <c r="C1979" s="69">
        <f>IF(B1979="","",IFERROR(INDEX(Client_List!$B:$B,MATCH(B1979,Client_List!$A:$A,0)),"⚠ NOT FOUND"))</f>
        <v/>
      </c>
      <c r="D1979" s="44" t="n"/>
      <c r="E1979" s="32">
        <f>IF(B1979="","",IFERROR(INDEX(Client_List!$C:$C,MATCH(VALUE(B1979),Client_List!$A:$A,0)),""))</f>
        <v/>
      </c>
      <c r="F1979" s="53">
        <f>IF(B1979="","",IFERROR(INDEX(Client_List!$D:$D,MATCH(VALUE(B1979),Client_List!$A:$A,0)),""))</f>
        <v/>
      </c>
      <c r="G1979" s="53">
        <f>IF(B1979="","",IFERROR(INDEX(Client_List!$K:$K,MATCH(VALUE(B1979),Client_List!$A:$A,0)),""))</f>
        <v/>
      </c>
      <c r="H1979" s="32">
        <f>IF(B1979="","",IFERROR(INDEX(Client_List!$J:$J,MATCH(VALUE(B1979),Client_List!$A:$A,0)),""))</f>
        <v/>
      </c>
      <c r="I1979" s="70">
        <f>IF(B1979="","",IFERROR(A1979-LOOKUP(2,1/($B$4:$B1978=B1979),$A$4:$A1978),""))</f>
        <v/>
      </c>
      <c r="J1979" s="32">
        <f>IF(B1979="","",IFERROR(D1979/I1979,""))</f>
        <v/>
      </c>
      <c r="K1979" s="71">
        <f>IF(B1979="","",IFERROR(AVERAGEIFS($J$4:$J1979,$B$4:$B1979,B1979,$J$4:$J1979,"&gt;"&amp;0),""))</f>
        <v/>
      </c>
      <c r="L1979" s="11" t="n"/>
    </row>
    <row r="1980" ht="14" customHeight="1" s="72">
      <c r="A1980" s="80" t="n"/>
      <c r="B1980" s="81" t="n"/>
      <c r="C1980" s="69">
        <f>IF(B1980="","",IFERROR(INDEX(Client_List!$B:$B,MATCH(B1980,Client_List!$A:$A,0)),"⚠ NOT FOUND"))</f>
        <v/>
      </c>
      <c r="D1980" s="45" t="n"/>
      <c r="E1980" s="32">
        <f>IF(B1980="","",IFERROR(INDEX(Client_List!$C:$C,MATCH(VALUE(B1980),Client_List!$A:$A,0)),""))</f>
        <v/>
      </c>
      <c r="F1980" s="53">
        <f>IF(B1980="","",IFERROR(INDEX(Client_List!$D:$D,MATCH(VALUE(B1980),Client_List!$A:$A,0)),""))</f>
        <v/>
      </c>
      <c r="G1980" s="53">
        <f>IF(B1980="","",IFERROR(INDEX(Client_List!$K:$K,MATCH(VALUE(B1980),Client_List!$A:$A,0)),""))</f>
        <v/>
      </c>
      <c r="H1980" s="32">
        <f>IF(B1980="","",IFERROR(INDEX(Client_List!$J:$J,MATCH(VALUE(B1980),Client_List!$A:$A,0)),""))</f>
        <v/>
      </c>
      <c r="I1980" s="70">
        <f>IF(B1980="","",IFERROR(A1980-LOOKUP(2,1/($B$4:$B1979=B1980),$A$4:$A1979),""))</f>
        <v/>
      </c>
      <c r="J1980" s="32">
        <f>IF(B1980="","",IFERROR(D1980/I1980,""))</f>
        <v/>
      </c>
      <c r="K1980" s="71">
        <f>IF(B1980="","",IFERROR(AVERAGEIFS($J$4:$J1980,$B$4:$B1980,B1980,$J$4:$J1980,"&gt;"&amp;0),""))</f>
        <v/>
      </c>
      <c r="L1980" s="12" t="n"/>
    </row>
    <row r="1981" ht="14" customHeight="1" s="72">
      <c r="A1981" s="78" t="n"/>
      <c r="B1981" s="79" t="n"/>
      <c r="C1981" s="69">
        <f>IF(B1981="","",IFERROR(INDEX(Client_List!$B:$B,MATCH(B1981,Client_List!$A:$A,0)),"⚠ NOT FOUND"))</f>
        <v/>
      </c>
      <c r="D1981" s="44" t="n"/>
      <c r="E1981" s="32">
        <f>IF(B1981="","",IFERROR(INDEX(Client_List!$C:$C,MATCH(VALUE(B1981),Client_List!$A:$A,0)),""))</f>
        <v/>
      </c>
      <c r="F1981" s="53">
        <f>IF(B1981="","",IFERROR(INDEX(Client_List!$D:$D,MATCH(VALUE(B1981),Client_List!$A:$A,0)),""))</f>
        <v/>
      </c>
      <c r="G1981" s="53">
        <f>IF(B1981="","",IFERROR(INDEX(Client_List!$K:$K,MATCH(VALUE(B1981),Client_List!$A:$A,0)),""))</f>
        <v/>
      </c>
      <c r="H1981" s="32">
        <f>IF(B1981="","",IFERROR(INDEX(Client_List!$J:$J,MATCH(VALUE(B1981),Client_List!$A:$A,0)),""))</f>
        <v/>
      </c>
      <c r="I1981" s="70">
        <f>IF(B1981="","",IFERROR(A1981-LOOKUP(2,1/($B$4:$B1980=B1981),$A$4:$A1980),""))</f>
        <v/>
      </c>
      <c r="J1981" s="32">
        <f>IF(B1981="","",IFERROR(D1981/I1981,""))</f>
        <v/>
      </c>
      <c r="K1981" s="71">
        <f>IF(B1981="","",IFERROR(AVERAGEIFS($J$4:$J1981,$B$4:$B1981,B1981,$J$4:$J1981,"&gt;"&amp;0),""))</f>
        <v/>
      </c>
      <c r="L1981" s="11" t="n"/>
    </row>
    <row r="1982" ht="14" customHeight="1" s="72">
      <c r="A1982" s="80" t="n"/>
      <c r="B1982" s="81" t="n"/>
      <c r="C1982" s="69">
        <f>IF(B1982="","",IFERROR(INDEX(Client_List!$B:$B,MATCH(B1982,Client_List!$A:$A,0)),"⚠ NOT FOUND"))</f>
        <v/>
      </c>
      <c r="D1982" s="45" t="n"/>
      <c r="E1982" s="32">
        <f>IF(B1982="","",IFERROR(INDEX(Client_List!$C:$C,MATCH(VALUE(B1982),Client_List!$A:$A,0)),""))</f>
        <v/>
      </c>
      <c r="F1982" s="53">
        <f>IF(B1982="","",IFERROR(INDEX(Client_List!$D:$D,MATCH(VALUE(B1982),Client_List!$A:$A,0)),""))</f>
        <v/>
      </c>
      <c r="G1982" s="53">
        <f>IF(B1982="","",IFERROR(INDEX(Client_List!$K:$K,MATCH(VALUE(B1982),Client_List!$A:$A,0)),""))</f>
        <v/>
      </c>
      <c r="H1982" s="32">
        <f>IF(B1982="","",IFERROR(INDEX(Client_List!$J:$J,MATCH(VALUE(B1982),Client_List!$A:$A,0)),""))</f>
        <v/>
      </c>
      <c r="I1982" s="70">
        <f>IF(B1982="","",IFERROR(A1982-LOOKUP(2,1/($B$4:$B1981=B1982),$A$4:$A1981),""))</f>
        <v/>
      </c>
      <c r="J1982" s="32">
        <f>IF(B1982="","",IFERROR(D1982/I1982,""))</f>
        <v/>
      </c>
      <c r="K1982" s="71">
        <f>IF(B1982="","",IFERROR(AVERAGEIFS($J$4:$J1982,$B$4:$B1982,B1982,$J$4:$J1982,"&gt;"&amp;0),""))</f>
        <v/>
      </c>
      <c r="L1982" s="12" t="n"/>
    </row>
    <row r="1983" ht="14" customHeight="1" s="72">
      <c r="A1983" s="78" t="n"/>
      <c r="B1983" s="79" t="n"/>
      <c r="C1983" s="69">
        <f>IF(B1983="","",IFERROR(INDEX(Client_List!$B:$B,MATCH(B1983,Client_List!$A:$A,0)),"⚠ NOT FOUND"))</f>
        <v/>
      </c>
      <c r="D1983" s="44" t="n"/>
      <c r="E1983" s="32">
        <f>IF(B1983="","",IFERROR(INDEX(Client_List!$C:$C,MATCH(VALUE(B1983),Client_List!$A:$A,0)),""))</f>
        <v/>
      </c>
      <c r="F1983" s="53">
        <f>IF(B1983="","",IFERROR(INDEX(Client_List!$D:$D,MATCH(VALUE(B1983),Client_List!$A:$A,0)),""))</f>
        <v/>
      </c>
      <c r="G1983" s="53">
        <f>IF(B1983="","",IFERROR(INDEX(Client_List!$K:$K,MATCH(VALUE(B1983),Client_List!$A:$A,0)),""))</f>
        <v/>
      </c>
      <c r="H1983" s="32">
        <f>IF(B1983="","",IFERROR(INDEX(Client_List!$J:$J,MATCH(VALUE(B1983),Client_List!$A:$A,0)),""))</f>
        <v/>
      </c>
      <c r="I1983" s="70">
        <f>IF(B1983="","",IFERROR(A1983-LOOKUP(2,1/($B$4:$B1982=B1983),$A$4:$A1982),""))</f>
        <v/>
      </c>
      <c r="J1983" s="32">
        <f>IF(B1983="","",IFERROR(D1983/I1983,""))</f>
        <v/>
      </c>
      <c r="K1983" s="71">
        <f>IF(B1983="","",IFERROR(AVERAGEIFS($J$4:$J1983,$B$4:$B1983,B1983,$J$4:$J1983,"&gt;"&amp;0),""))</f>
        <v/>
      </c>
      <c r="L1983" s="11" t="n"/>
    </row>
    <row r="1984" ht="14" customHeight="1" s="72">
      <c r="A1984" s="80" t="n"/>
      <c r="B1984" s="81" t="n"/>
      <c r="C1984" s="69">
        <f>IF(B1984="","",IFERROR(INDEX(Client_List!$B:$B,MATCH(B1984,Client_List!$A:$A,0)),"⚠ NOT FOUND"))</f>
        <v/>
      </c>
      <c r="D1984" s="45" t="n"/>
      <c r="E1984" s="32">
        <f>IF(B1984="","",IFERROR(INDEX(Client_List!$C:$C,MATCH(VALUE(B1984),Client_List!$A:$A,0)),""))</f>
        <v/>
      </c>
      <c r="F1984" s="53">
        <f>IF(B1984="","",IFERROR(INDEX(Client_List!$D:$D,MATCH(VALUE(B1984),Client_List!$A:$A,0)),""))</f>
        <v/>
      </c>
      <c r="G1984" s="53">
        <f>IF(B1984="","",IFERROR(INDEX(Client_List!$K:$K,MATCH(VALUE(B1984),Client_List!$A:$A,0)),""))</f>
        <v/>
      </c>
      <c r="H1984" s="32">
        <f>IF(B1984="","",IFERROR(INDEX(Client_List!$J:$J,MATCH(VALUE(B1984),Client_List!$A:$A,0)),""))</f>
        <v/>
      </c>
      <c r="I1984" s="70">
        <f>IF(B1984="","",IFERROR(A1984-LOOKUP(2,1/($B$4:$B1983=B1984),$A$4:$A1983),""))</f>
        <v/>
      </c>
      <c r="J1984" s="32">
        <f>IF(B1984="","",IFERROR(D1984/I1984,""))</f>
        <v/>
      </c>
      <c r="K1984" s="71">
        <f>IF(B1984="","",IFERROR(AVERAGEIFS($J$4:$J1984,$B$4:$B1984,B1984,$J$4:$J1984,"&gt;"&amp;0),""))</f>
        <v/>
      </c>
      <c r="L1984" s="12" t="n"/>
    </row>
    <row r="1985" ht="14" customHeight="1" s="72">
      <c r="A1985" s="78" t="n"/>
      <c r="B1985" s="79" t="n"/>
      <c r="C1985" s="69">
        <f>IF(B1985="","",IFERROR(INDEX(Client_List!$B:$B,MATCH(B1985,Client_List!$A:$A,0)),"⚠ NOT FOUND"))</f>
        <v/>
      </c>
      <c r="D1985" s="44" t="n"/>
      <c r="E1985" s="32">
        <f>IF(B1985="","",IFERROR(INDEX(Client_List!$C:$C,MATCH(VALUE(B1985),Client_List!$A:$A,0)),""))</f>
        <v/>
      </c>
      <c r="F1985" s="53">
        <f>IF(B1985="","",IFERROR(INDEX(Client_List!$D:$D,MATCH(VALUE(B1985),Client_List!$A:$A,0)),""))</f>
        <v/>
      </c>
      <c r="G1985" s="53">
        <f>IF(B1985="","",IFERROR(INDEX(Client_List!$K:$K,MATCH(VALUE(B1985),Client_List!$A:$A,0)),""))</f>
        <v/>
      </c>
      <c r="H1985" s="32">
        <f>IF(B1985="","",IFERROR(INDEX(Client_List!$J:$J,MATCH(VALUE(B1985),Client_List!$A:$A,0)),""))</f>
        <v/>
      </c>
      <c r="I1985" s="70">
        <f>IF(B1985="","",IFERROR(A1985-LOOKUP(2,1/($B$4:$B1984=B1985),$A$4:$A1984),""))</f>
        <v/>
      </c>
      <c r="J1985" s="32">
        <f>IF(B1985="","",IFERROR(D1985/I1985,""))</f>
        <v/>
      </c>
      <c r="K1985" s="71">
        <f>IF(B1985="","",IFERROR(AVERAGEIFS($J$4:$J1985,$B$4:$B1985,B1985,$J$4:$J1985,"&gt;"&amp;0),""))</f>
        <v/>
      </c>
      <c r="L1985" s="11" t="n"/>
    </row>
    <row r="1986" ht="14" customHeight="1" s="72">
      <c r="A1986" s="80" t="n"/>
      <c r="B1986" s="81" t="n"/>
      <c r="C1986" s="69">
        <f>IF(B1986="","",IFERROR(INDEX(Client_List!$B:$B,MATCH(B1986,Client_List!$A:$A,0)),"⚠ NOT FOUND"))</f>
        <v/>
      </c>
      <c r="D1986" s="45" t="n"/>
      <c r="E1986" s="32">
        <f>IF(B1986="","",IFERROR(INDEX(Client_List!$C:$C,MATCH(VALUE(B1986),Client_List!$A:$A,0)),""))</f>
        <v/>
      </c>
      <c r="F1986" s="53">
        <f>IF(B1986="","",IFERROR(INDEX(Client_List!$D:$D,MATCH(VALUE(B1986),Client_List!$A:$A,0)),""))</f>
        <v/>
      </c>
      <c r="G1986" s="53">
        <f>IF(B1986="","",IFERROR(INDEX(Client_List!$K:$K,MATCH(VALUE(B1986),Client_List!$A:$A,0)),""))</f>
        <v/>
      </c>
      <c r="H1986" s="32">
        <f>IF(B1986="","",IFERROR(INDEX(Client_List!$J:$J,MATCH(VALUE(B1986),Client_List!$A:$A,0)),""))</f>
        <v/>
      </c>
      <c r="I1986" s="70">
        <f>IF(B1986="","",IFERROR(A1986-LOOKUP(2,1/($B$4:$B1985=B1986),$A$4:$A1985),""))</f>
        <v/>
      </c>
      <c r="J1986" s="32">
        <f>IF(B1986="","",IFERROR(D1986/I1986,""))</f>
        <v/>
      </c>
      <c r="K1986" s="71">
        <f>IF(B1986="","",IFERROR(AVERAGEIFS($J$4:$J1986,$B$4:$B1986,B1986,$J$4:$J1986,"&gt;"&amp;0),""))</f>
        <v/>
      </c>
      <c r="L1986" s="12" t="n"/>
    </row>
    <row r="1987" ht="14" customHeight="1" s="72">
      <c r="A1987" s="78" t="n"/>
      <c r="B1987" s="79" t="n"/>
      <c r="C1987" s="69">
        <f>IF(B1987="","",IFERROR(INDEX(Client_List!$B:$B,MATCH(B1987,Client_List!$A:$A,0)),"⚠ NOT FOUND"))</f>
        <v/>
      </c>
      <c r="D1987" s="44" t="n"/>
      <c r="E1987" s="32">
        <f>IF(B1987="","",IFERROR(INDEX(Client_List!$C:$C,MATCH(VALUE(B1987),Client_List!$A:$A,0)),""))</f>
        <v/>
      </c>
      <c r="F1987" s="53">
        <f>IF(B1987="","",IFERROR(INDEX(Client_List!$D:$D,MATCH(VALUE(B1987),Client_List!$A:$A,0)),""))</f>
        <v/>
      </c>
      <c r="G1987" s="53">
        <f>IF(B1987="","",IFERROR(INDEX(Client_List!$K:$K,MATCH(VALUE(B1987),Client_List!$A:$A,0)),""))</f>
        <v/>
      </c>
      <c r="H1987" s="32">
        <f>IF(B1987="","",IFERROR(INDEX(Client_List!$J:$J,MATCH(VALUE(B1987),Client_List!$A:$A,0)),""))</f>
        <v/>
      </c>
      <c r="I1987" s="70">
        <f>IF(B1987="","",IFERROR(A1987-LOOKUP(2,1/($B$4:$B1986=B1987),$A$4:$A1986),""))</f>
        <v/>
      </c>
      <c r="J1987" s="32">
        <f>IF(B1987="","",IFERROR(D1987/I1987,""))</f>
        <v/>
      </c>
      <c r="K1987" s="71">
        <f>IF(B1987="","",IFERROR(AVERAGEIFS($J$4:$J1987,$B$4:$B1987,B1987,$J$4:$J1987,"&gt;"&amp;0),""))</f>
        <v/>
      </c>
      <c r="L1987" s="11" t="n"/>
    </row>
    <row r="1988" ht="14" customHeight="1" s="72">
      <c r="A1988" s="80" t="n"/>
      <c r="B1988" s="81" t="n"/>
      <c r="C1988" s="69">
        <f>IF(B1988="","",IFERROR(INDEX(Client_List!$B:$B,MATCH(B1988,Client_List!$A:$A,0)),"⚠ NOT FOUND"))</f>
        <v/>
      </c>
      <c r="D1988" s="45" t="n"/>
      <c r="E1988" s="32">
        <f>IF(B1988="","",IFERROR(INDEX(Client_List!$C:$C,MATCH(VALUE(B1988),Client_List!$A:$A,0)),""))</f>
        <v/>
      </c>
      <c r="F1988" s="53">
        <f>IF(B1988="","",IFERROR(INDEX(Client_List!$D:$D,MATCH(VALUE(B1988),Client_List!$A:$A,0)),""))</f>
        <v/>
      </c>
      <c r="G1988" s="53">
        <f>IF(B1988="","",IFERROR(INDEX(Client_List!$K:$K,MATCH(VALUE(B1988),Client_List!$A:$A,0)),""))</f>
        <v/>
      </c>
      <c r="H1988" s="32">
        <f>IF(B1988="","",IFERROR(INDEX(Client_List!$J:$J,MATCH(VALUE(B1988),Client_List!$A:$A,0)),""))</f>
        <v/>
      </c>
      <c r="I1988" s="70">
        <f>IF(B1988="","",IFERROR(A1988-LOOKUP(2,1/($B$4:$B1987=B1988),$A$4:$A1987),""))</f>
        <v/>
      </c>
      <c r="J1988" s="32">
        <f>IF(B1988="","",IFERROR(D1988/I1988,""))</f>
        <v/>
      </c>
      <c r="K1988" s="71">
        <f>IF(B1988="","",IFERROR(AVERAGEIFS($J$4:$J1988,$B$4:$B1988,B1988,$J$4:$J1988,"&gt;"&amp;0),""))</f>
        <v/>
      </c>
      <c r="L1988" s="12" t="n"/>
    </row>
    <row r="1989" ht="14" customHeight="1" s="72">
      <c r="A1989" s="78" t="n"/>
      <c r="B1989" s="79" t="n"/>
      <c r="C1989" s="69">
        <f>IF(B1989="","",IFERROR(INDEX(Client_List!$B:$B,MATCH(B1989,Client_List!$A:$A,0)),"⚠ NOT FOUND"))</f>
        <v/>
      </c>
      <c r="D1989" s="44" t="n"/>
      <c r="E1989" s="32">
        <f>IF(B1989="","",IFERROR(INDEX(Client_List!$C:$C,MATCH(VALUE(B1989),Client_List!$A:$A,0)),""))</f>
        <v/>
      </c>
      <c r="F1989" s="53">
        <f>IF(B1989="","",IFERROR(INDEX(Client_List!$D:$D,MATCH(VALUE(B1989),Client_List!$A:$A,0)),""))</f>
        <v/>
      </c>
      <c r="G1989" s="53">
        <f>IF(B1989="","",IFERROR(INDEX(Client_List!$K:$K,MATCH(VALUE(B1989),Client_List!$A:$A,0)),""))</f>
        <v/>
      </c>
      <c r="H1989" s="32">
        <f>IF(B1989="","",IFERROR(INDEX(Client_List!$J:$J,MATCH(VALUE(B1989),Client_List!$A:$A,0)),""))</f>
        <v/>
      </c>
      <c r="I1989" s="70">
        <f>IF(B1989="","",IFERROR(A1989-LOOKUP(2,1/($B$4:$B1988=B1989),$A$4:$A1988),""))</f>
        <v/>
      </c>
      <c r="J1989" s="32">
        <f>IF(B1989="","",IFERROR(D1989/I1989,""))</f>
        <v/>
      </c>
      <c r="K1989" s="71">
        <f>IF(B1989="","",IFERROR(AVERAGEIFS($J$4:$J1989,$B$4:$B1989,B1989,$J$4:$J1989,"&gt;"&amp;0),""))</f>
        <v/>
      </c>
      <c r="L1989" s="11" t="n"/>
    </row>
    <row r="1990" ht="14" customHeight="1" s="72">
      <c r="A1990" s="80" t="n"/>
      <c r="B1990" s="81" t="n"/>
      <c r="C1990" s="69">
        <f>IF(B1990="","",IFERROR(INDEX(Client_List!$B:$B,MATCH(B1990,Client_List!$A:$A,0)),"⚠ NOT FOUND"))</f>
        <v/>
      </c>
      <c r="D1990" s="45" t="n"/>
      <c r="E1990" s="32">
        <f>IF(B1990="","",IFERROR(INDEX(Client_List!$C:$C,MATCH(VALUE(B1990),Client_List!$A:$A,0)),""))</f>
        <v/>
      </c>
      <c r="F1990" s="53">
        <f>IF(B1990="","",IFERROR(INDEX(Client_List!$D:$D,MATCH(VALUE(B1990),Client_List!$A:$A,0)),""))</f>
        <v/>
      </c>
      <c r="G1990" s="53">
        <f>IF(B1990="","",IFERROR(INDEX(Client_List!$K:$K,MATCH(VALUE(B1990),Client_List!$A:$A,0)),""))</f>
        <v/>
      </c>
      <c r="H1990" s="32">
        <f>IF(B1990="","",IFERROR(INDEX(Client_List!$J:$J,MATCH(VALUE(B1990),Client_List!$A:$A,0)),""))</f>
        <v/>
      </c>
      <c r="I1990" s="70">
        <f>IF(B1990="","",IFERROR(A1990-LOOKUP(2,1/($B$4:$B1989=B1990),$A$4:$A1989),""))</f>
        <v/>
      </c>
      <c r="J1990" s="32">
        <f>IF(B1990="","",IFERROR(D1990/I1990,""))</f>
        <v/>
      </c>
      <c r="K1990" s="71">
        <f>IF(B1990="","",IFERROR(AVERAGEIFS($J$4:$J1990,$B$4:$B1990,B1990,$J$4:$J1990,"&gt;"&amp;0),""))</f>
        <v/>
      </c>
      <c r="L1990" s="12" t="n"/>
    </row>
    <row r="1991" ht="14" customHeight="1" s="72">
      <c r="A1991" s="78" t="n"/>
      <c r="B1991" s="79" t="n"/>
      <c r="C1991" s="69">
        <f>IF(B1991="","",IFERROR(INDEX(Client_List!$B:$B,MATCH(B1991,Client_List!$A:$A,0)),"⚠ NOT FOUND"))</f>
        <v/>
      </c>
      <c r="D1991" s="44" t="n"/>
      <c r="E1991" s="32">
        <f>IF(B1991="","",IFERROR(INDEX(Client_List!$C:$C,MATCH(VALUE(B1991),Client_List!$A:$A,0)),""))</f>
        <v/>
      </c>
      <c r="F1991" s="53">
        <f>IF(B1991="","",IFERROR(INDEX(Client_List!$D:$D,MATCH(VALUE(B1991),Client_List!$A:$A,0)),""))</f>
        <v/>
      </c>
      <c r="G1991" s="53">
        <f>IF(B1991="","",IFERROR(INDEX(Client_List!$K:$K,MATCH(VALUE(B1991),Client_List!$A:$A,0)),""))</f>
        <v/>
      </c>
      <c r="H1991" s="32">
        <f>IF(B1991="","",IFERROR(INDEX(Client_List!$J:$J,MATCH(VALUE(B1991),Client_List!$A:$A,0)),""))</f>
        <v/>
      </c>
      <c r="I1991" s="70">
        <f>IF(B1991="","",IFERROR(A1991-LOOKUP(2,1/($B$4:$B1990=B1991),$A$4:$A1990),""))</f>
        <v/>
      </c>
      <c r="J1991" s="32">
        <f>IF(B1991="","",IFERROR(D1991/I1991,""))</f>
        <v/>
      </c>
      <c r="K1991" s="71">
        <f>IF(B1991="","",IFERROR(AVERAGEIFS($J$4:$J1991,$B$4:$B1991,B1991,$J$4:$J1991,"&gt;"&amp;0),""))</f>
        <v/>
      </c>
      <c r="L1991" s="11" t="n"/>
    </row>
    <row r="1992" ht="14" customHeight="1" s="72">
      <c r="A1992" s="80" t="n"/>
      <c r="B1992" s="81" t="n"/>
      <c r="C1992" s="69">
        <f>IF(B1992="","",IFERROR(INDEX(Client_List!$B:$B,MATCH(B1992,Client_List!$A:$A,0)),"⚠ NOT FOUND"))</f>
        <v/>
      </c>
      <c r="D1992" s="45" t="n"/>
      <c r="E1992" s="32">
        <f>IF(B1992="","",IFERROR(INDEX(Client_List!$C:$C,MATCH(VALUE(B1992),Client_List!$A:$A,0)),""))</f>
        <v/>
      </c>
      <c r="F1992" s="53">
        <f>IF(B1992="","",IFERROR(INDEX(Client_List!$D:$D,MATCH(VALUE(B1992),Client_List!$A:$A,0)),""))</f>
        <v/>
      </c>
      <c r="G1992" s="53">
        <f>IF(B1992="","",IFERROR(INDEX(Client_List!$K:$K,MATCH(VALUE(B1992),Client_List!$A:$A,0)),""))</f>
        <v/>
      </c>
      <c r="H1992" s="32">
        <f>IF(B1992="","",IFERROR(INDEX(Client_List!$J:$J,MATCH(VALUE(B1992),Client_List!$A:$A,0)),""))</f>
        <v/>
      </c>
      <c r="I1992" s="70">
        <f>IF(B1992="","",IFERROR(A1992-LOOKUP(2,1/($B$4:$B1991=B1992),$A$4:$A1991),""))</f>
        <v/>
      </c>
      <c r="J1992" s="32">
        <f>IF(B1992="","",IFERROR(D1992/I1992,""))</f>
        <v/>
      </c>
      <c r="K1992" s="71">
        <f>IF(B1992="","",IFERROR(AVERAGEIFS($J$4:$J1992,$B$4:$B1992,B1992,$J$4:$J1992,"&gt;"&amp;0),""))</f>
        <v/>
      </c>
      <c r="L1992" s="12" t="n"/>
    </row>
    <row r="1993" ht="14" customHeight="1" s="72">
      <c r="A1993" s="78" t="n"/>
      <c r="B1993" s="79" t="n"/>
      <c r="C1993" s="69">
        <f>IF(B1993="","",IFERROR(INDEX(Client_List!$B:$B,MATCH(B1993,Client_List!$A:$A,0)),"⚠ NOT FOUND"))</f>
        <v/>
      </c>
      <c r="D1993" s="44" t="n"/>
      <c r="E1993" s="32">
        <f>IF(B1993="","",IFERROR(INDEX(Client_List!$C:$C,MATCH(VALUE(B1993),Client_List!$A:$A,0)),""))</f>
        <v/>
      </c>
      <c r="F1993" s="53">
        <f>IF(B1993="","",IFERROR(INDEX(Client_List!$D:$D,MATCH(VALUE(B1993),Client_List!$A:$A,0)),""))</f>
        <v/>
      </c>
      <c r="G1993" s="53">
        <f>IF(B1993="","",IFERROR(INDEX(Client_List!$K:$K,MATCH(VALUE(B1993),Client_List!$A:$A,0)),""))</f>
        <v/>
      </c>
      <c r="H1993" s="32">
        <f>IF(B1993="","",IFERROR(INDEX(Client_List!$J:$J,MATCH(VALUE(B1993),Client_List!$A:$A,0)),""))</f>
        <v/>
      </c>
      <c r="I1993" s="70">
        <f>IF(B1993="","",IFERROR(A1993-LOOKUP(2,1/($B$4:$B1992=B1993),$A$4:$A1992),""))</f>
        <v/>
      </c>
      <c r="J1993" s="32">
        <f>IF(B1993="","",IFERROR(D1993/I1993,""))</f>
        <v/>
      </c>
      <c r="K1993" s="71">
        <f>IF(B1993="","",IFERROR(AVERAGEIFS($J$4:$J1993,$B$4:$B1993,B1993,$J$4:$J1993,"&gt;"&amp;0),""))</f>
        <v/>
      </c>
      <c r="L1993" s="11" t="n"/>
    </row>
    <row r="1994" ht="14" customHeight="1" s="72">
      <c r="A1994" s="80" t="n"/>
      <c r="B1994" s="81" t="n"/>
      <c r="C1994" s="69">
        <f>IF(B1994="","",IFERROR(INDEX(Client_List!$B:$B,MATCH(B1994,Client_List!$A:$A,0)),"⚠ NOT FOUND"))</f>
        <v/>
      </c>
      <c r="D1994" s="45" t="n"/>
      <c r="E1994" s="32">
        <f>IF(B1994="","",IFERROR(INDEX(Client_List!$C:$C,MATCH(VALUE(B1994),Client_List!$A:$A,0)),""))</f>
        <v/>
      </c>
      <c r="F1994" s="53">
        <f>IF(B1994="","",IFERROR(INDEX(Client_List!$D:$D,MATCH(VALUE(B1994),Client_List!$A:$A,0)),""))</f>
        <v/>
      </c>
      <c r="G1994" s="53">
        <f>IF(B1994="","",IFERROR(INDEX(Client_List!$K:$K,MATCH(VALUE(B1994),Client_List!$A:$A,0)),""))</f>
        <v/>
      </c>
      <c r="H1994" s="32">
        <f>IF(B1994="","",IFERROR(INDEX(Client_List!$J:$J,MATCH(VALUE(B1994),Client_List!$A:$A,0)),""))</f>
        <v/>
      </c>
      <c r="I1994" s="70">
        <f>IF(B1994="","",IFERROR(A1994-LOOKUP(2,1/($B$4:$B1993=B1994),$A$4:$A1993),""))</f>
        <v/>
      </c>
      <c r="J1994" s="32">
        <f>IF(B1994="","",IFERROR(D1994/I1994,""))</f>
        <v/>
      </c>
      <c r="K1994" s="71">
        <f>IF(B1994="","",IFERROR(AVERAGEIFS($J$4:$J1994,$B$4:$B1994,B1994,$J$4:$J1994,"&gt;"&amp;0),""))</f>
        <v/>
      </c>
      <c r="L1994" s="12" t="n"/>
    </row>
    <row r="1995" ht="14" customHeight="1" s="72">
      <c r="A1995" s="78" t="n"/>
      <c r="B1995" s="79" t="n"/>
      <c r="C1995" s="69">
        <f>IF(B1995="","",IFERROR(INDEX(Client_List!$B:$B,MATCH(B1995,Client_List!$A:$A,0)),"⚠ NOT FOUND"))</f>
        <v/>
      </c>
      <c r="D1995" s="44" t="n"/>
      <c r="E1995" s="32">
        <f>IF(B1995="","",IFERROR(INDEX(Client_List!$C:$C,MATCH(VALUE(B1995),Client_List!$A:$A,0)),""))</f>
        <v/>
      </c>
      <c r="F1995" s="53">
        <f>IF(B1995="","",IFERROR(INDEX(Client_List!$D:$D,MATCH(VALUE(B1995),Client_List!$A:$A,0)),""))</f>
        <v/>
      </c>
      <c r="G1995" s="53">
        <f>IF(B1995="","",IFERROR(INDEX(Client_List!$K:$K,MATCH(VALUE(B1995),Client_List!$A:$A,0)),""))</f>
        <v/>
      </c>
      <c r="H1995" s="32">
        <f>IF(B1995="","",IFERROR(INDEX(Client_List!$J:$J,MATCH(VALUE(B1995),Client_List!$A:$A,0)),""))</f>
        <v/>
      </c>
      <c r="I1995" s="70">
        <f>IF(B1995="","",IFERROR(A1995-LOOKUP(2,1/($B$4:$B1994=B1995),$A$4:$A1994),""))</f>
        <v/>
      </c>
      <c r="J1995" s="32">
        <f>IF(B1995="","",IFERROR(D1995/I1995,""))</f>
        <v/>
      </c>
      <c r="K1995" s="71">
        <f>IF(B1995="","",IFERROR(AVERAGEIFS($J$4:$J1995,$B$4:$B1995,B1995,$J$4:$J1995,"&gt;"&amp;0),""))</f>
        <v/>
      </c>
      <c r="L1995" s="11" t="n"/>
    </row>
    <row r="1996" ht="14" customHeight="1" s="72">
      <c r="A1996" s="80" t="n"/>
      <c r="B1996" s="81" t="n"/>
      <c r="C1996" s="69">
        <f>IF(B1996="","",IFERROR(INDEX(Client_List!$B:$B,MATCH(B1996,Client_List!$A:$A,0)),"⚠ NOT FOUND"))</f>
        <v/>
      </c>
      <c r="D1996" s="45" t="n"/>
      <c r="E1996" s="32">
        <f>IF(B1996="","",IFERROR(INDEX(Client_List!$C:$C,MATCH(VALUE(B1996),Client_List!$A:$A,0)),""))</f>
        <v/>
      </c>
      <c r="F1996" s="53">
        <f>IF(B1996="","",IFERROR(INDEX(Client_List!$D:$D,MATCH(VALUE(B1996),Client_List!$A:$A,0)),""))</f>
        <v/>
      </c>
      <c r="G1996" s="53">
        <f>IF(B1996="","",IFERROR(INDEX(Client_List!$K:$K,MATCH(VALUE(B1996),Client_List!$A:$A,0)),""))</f>
        <v/>
      </c>
      <c r="H1996" s="32">
        <f>IF(B1996="","",IFERROR(INDEX(Client_List!$J:$J,MATCH(VALUE(B1996),Client_List!$A:$A,0)),""))</f>
        <v/>
      </c>
      <c r="I1996" s="70">
        <f>IF(B1996="","",IFERROR(A1996-LOOKUP(2,1/($B$4:$B1995=B1996),$A$4:$A1995),""))</f>
        <v/>
      </c>
      <c r="J1996" s="32">
        <f>IF(B1996="","",IFERROR(D1996/I1996,""))</f>
        <v/>
      </c>
      <c r="K1996" s="71">
        <f>IF(B1996="","",IFERROR(AVERAGEIFS($J$4:$J1996,$B$4:$B1996,B1996,$J$4:$J1996,"&gt;"&amp;0),""))</f>
        <v/>
      </c>
      <c r="L1996" s="12" t="n"/>
    </row>
    <row r="1997" ht="14" customHeight="1" s="72">
      <c r="A1997" s="78" t="n"/>
      <c r="B1997" s="79" t="n"/>
      <c r="C1997" s="69">
        <f>IF(B1997="","",IFERROR(INDEX(Client_List!$B:$B,MATCH(B1997,Client_List!$A:$A,0)),"⚠ NOT FOUND"))</f>
        <v/>
      </c>
      <c r="D1997" s="44" t="n"/>
      <c r="E1997" s="32">
        <f>IF(B1997="","",IFERROR(INDEX(Client_List!$C:$C,MATCH(VALUE(B1997),Client_List!$A:$A,0)),""))</f>
        <v/>
      </c>
      <c r="F1997" s="53">
        <f>IF(B1997="","",IFERROR(INDEX(Client_List!$D:$D,MATCH(VALUE(B1997),Client_List!$A:$A,0)),""))</f>
        <v/>
      </c>
      <c r="G1997" s="53">
        <f>IF(B1997="","",IFERROR(INDEX(Client_List!$K:$K,MATCH(VALUE(B1997),Client_List!$A:$A,0)),""))</f>
        <v/>
      </c>
      <c r="H1997" s="32">
        <f>IF(B1997="","",IFERROR(INDEX(Client_List!$J:$J,MATCH(VALUE(B1997),Client_List!$A:$A,0)),""))</f>
        <v/>
      </c>
      <c r="I1997" s="70">
        <f>IF(B1997="","",IFERROR(A1997-LOOKUP(2,1/($B$4:$B1996=B1997),$A$4:$A1996),""))</f>
        <v/>
      </c>
      <c r="J1997" s="32">
        <f>IF(B1997="","",IFERROR(D1997/I1997,""))</f>
        <v/>
      </c>
      <c r="K1997" s="71">
        <f>IF(B1997="","",IFERROR(AVERAGEIFS($J$4:$J1997,$B$4:$B1997,B1997,$J$4:$J1997,"&gt;"&amp;0),""))</f>
        <v/>
      </c>
      <c r="L1997" s="11" t="n"/>
    </row>
    <row r="1998" ht="14" customHeight="1" s="72">
      <c r="A1998" s="80" t="n"/>
      <c r="B1998" s="81" t="n"/>
      <c r="C1998" s="69">
        <f>IF(B1998="","",IFERROR(INDEX(Client_List!$B:$B,MATCH(B1998,Client_List!$A:$A,0)),"⚠ NOT FOUND"))</f>
        <v/>
      </c>
      <c r="D1998" s="45" t="n"/>
      <c r="E1998" s="32">
        <f>IF(B1998="","",IFERROR(INDEX(Client_List!$C:$C,MATCH(VALUE(B1998),Client_List!$A:$A,0)),""))</f>
        <v/>
      </c>
      <c r="F1998" s="53">
        <f>IF(B1998="","",IFERROR(INDEX(Client_List!$D:$D,MATCH(VALUE(B1998),Client_List!$A:$A,0)),""))</f>
        <v/>
      </c>
      <c r="G1998" s="53">
        <f>IF(B1998="","",IFERROR(INDEX(Client_List!$K:$K,MATCH(VALUE(B1998),Client_List!$A:$A,0)),""))</f>
        <v/>
      </c>
      <c r="H1998" s="32">
        <f>IF(B1998="","",IFERROR(INDEX(Client_List!$J:$J,MATCH(VALUE(B1998),Client_List!$A:$A,0)),""))</f>
        <v/>
      </c>
      <c r="I1998" s="70">
        <f>IF(B1998="","",IFERROR(A1998-LOOKUP(2,1/($B$4:$B1997=B1998),$A$4:$A1997),""))</f>
        <v/>
      </c>
      <c r="J1998" s="32">
        <f>IF(B1998="","",IFERROR(D1998/I1998,""))</f>
        <v/>
      </c>
      <c r="K1998" s="71">
        <f>IF(B1998="","",IFERROR(AVERAGEIFS($J$4:$J1998,$B$4:$B1998,B1998,$J$4:$J1998,"&gt;"&amp;0),""))</f>
        <v/>
      </c>
      <c r="L1998" s="12" t="n"/>
    </row>
    <row r="1999" ht="14" customHeight="1" s="72">
      <c r="A1999" s="78" t="n"/>
      <c r="B1999" s="79" t="n"/>
      <c r="C1999" s="69">
        <f>IF(B1999="","",IFERROR(INDEX(Client_List!$B:$B,MATCH(B1999,Client_List!$A:$A,0)),"⚠ NOT FOUND"))</f>
        <v/>
      </c>
      <c r="D1999" s="44" t="n"/>
      <c r="E1999" s="32">
        <f>IF(B1999="","",IFERROR(INDEX(Client_List!$C:$C,MATCH(VALUE(B1999),Client_List!$A:$A,0)),""))</f>
        <v/>
      </c>
      <c r="F1999" s="53">
        <f>IF(B1999="","",IFERROR(INDEX(Client_List!$D:$D,MATCH(VALUE(B1999),Client_List!$A:$A,0)),""))</f>
        <v/>
      </c>
      <c r="G1999" s="53">
        <f>IF(B1999="","",IFERROR(INDEX(Client_List!$K:$K,MATCH(VALUE(B1999),Client_List!$A:$A,0)),""))</f>
        <v/>
      </c>
      <c r="H1999" s="32">
        <f>IF(B1999="","",IFERROR(INDEX(Client_List!$J:$J,MATCH(VALUE(B1999),Client_List!$A:$A,0)),""))</f>
        <v/>
      </c>
      <c r="I1999" s="70">
        <f>IF(B1999="","",IFERROR(A1999-LOOKUP(2,1/($B$4:$B1998=B1999),$A$4:$A1998),""))</f>
        <v/>
      </c>
      <c r="J1999" s="32">
        <f>IF(B1999="","",IFERROR(D1999/I1999,""))</f>
        <v/>
      </c>
      <c r="K1999" s="71">
        <f>IF(B1999="","",IFERROR(AVERAGEIFS($J$4:$J1999,$B$4:$B1999,B1999,$J$4:$J1999,"&gt;"&amp;0),""))</f>
        <v/>
      </c>
      <c r="L1999" s="11" t="n"/>
    </row>
    <row r="2000" ht="14" customHeight="1" s="72">
      <c r="A2000" s="80" t="n"/>
      <c r="B2000" s="81" t="n"/>
      <c r="C2000" s="69">
        <f>IF(B2000="","",IFERROR(INDEX(Client_List!$B:$B,MATCH(B2000,Client_List!$A:$A,0)),"⚠ NOT FOUND"))</f>
        <v/>
      </c>
      <c r="D2000" s="45" t="n"/>
      <c r="E2000" s="32">
        <f>IF(B2000="","",IFERROR(INDEX(Client_List!$C:$C,MATCH(VALUE(B2000),Client_List!$A:$A,0)),""))</f>
        <v/>
      </c>
      <c r="F2000" s="53">
        <f>IF(B2000="","",IFERROR(INDEX(Client_List!$D:$D,MATCH(VALUE(B2000),Client_List!$A:$A,0)),""))</f>
        <v/>
      </c>
      <c r="G2000" s="53">
        <f>IF(B2000="","",IFERROR(INDEX(Client_List!$K:$K,MATCH(VALUE(B2000),Client_List!$A:$A,0)),""))</f>
        <v/>
      </c>
      <c r="H2000" s="32">
        <f>IF(B2000="","",IFERROR(INDEX(Client_List!$J:$J,MATCH(VALUE(B2000),Client_List!$A:$A,0)),""))</f>
        <v/>
      </c>
      <c r="I2000" s="70">
        <f>IF(B2000="","",IFERROR(A2000-LOOKUP(2,1/($B$4:$B1999=B2000),$A$4:$A1999),""))</f>
        <v/>
      </c>
      <c r="J2000" s="32">
        <f>IF(B2000="","",IFERROR(D2000/I2000,""))</f>
        <v/>
      </c>
      <c r="K2000" s="71">
        <f>IF(B2000="","",IFERROR(AVERAGEIFS($J$4:$J2000,$B$4:$B2000,B2000,$J$4:$J2000,"&gt;"&amp;0),""))</f>
        <v/>
      </c>
      <c r="L2000" s="12" t="n"/>
    </row>
    <row r="2001" ht="14" customHeight="1" s="72">
      <c r="A2001" s="78" t="n"/>
      <c r="B2001" s="79" t="n"/>
      <c r="C2001" s="69">
        <f>IF(B2001="","",IFERROR(INDEX(Client_List!$B:$B,MATCH(B2001,Client_List!$A:$A,0)),"⚠ NOT FOUND"))</f>
        <v/>
      </c>
      <c r="D2001" s="44" t="n"/>
      <c r="E2001" s="32">
        <f>IF(B2001="","",IFERROR(INDEX(Client_List!$C:$C,MATCH(VALUE(B2001),Client_List!$A:$A,0)),""))</f>
        <v/>
      </c>
      <c r="F2001" s="53">
        <f>IF(B2001="","",IFERROR(INDEX(Client_List!$D:$D,MATCH(VALUE(B2001),Client_List!$A:$A,0)),""))</f>
        <v/>
      </c>
      <c r="G2001" s="53">
        <f>IF(B2001="","",IFERROR(INDEX(Client_List!$K:$K,MATCH(VALUE(B2001),Client_List!$A:$A,0)),""))</f>
        <v/>
      </c>
      <c r="H2001" s="32">
        <f>IF(B2001="","",IFERROR(INDEX(Client_List!$J:$J,MATCH(VALUE(B2001),Client_List!$A:$A,0)),""))</f>
        <v/>
      </c>
      <c r="I2001" s="70">
        <f>IF(B2001="","",IFERROR(A2001-LOOKUP(2,1/($B$4:$B2000=B2001),$A$4:$A2000),""))</f>
        <v/>
      </c>
      <c r="J2001" s="32">
        <f>IF(B2001="","",IFERROR(D2001/I2001,""))</f>
        <v/>
      </c>
      <c r="K2001" s="71">
        <f>IF(B2001="","",IFERROR(AVERAGEIFS($J$4:$J2001,$B$4:$B2001,B2001,$J$4:$J2001,"&gt;"&amp;0),""))</f>
        <v/>
      </c>
      <c r="L2001" s="11" t="n"/>
    </row>
    <row r="2002" ht="14" customHeight="1" s="72">
      <c r="A2002" s="80" t="n"/>
      <c r="B2002" s="81" t="n"/>
      <c r="C2002" s="69">
        <f>IF(B2002="","",IFERROR(INDEX(Client_List!$B:$B,MATCH(B2002,Client_List!$A:$A,0)),"⚠ NOT FOUND"))</f>
        <v/>
      </c>
      <c r="D2002" s="45" t="n"/>
      <c r="E2002" s="32">
        <f>IF(B2002="","",IFERROR(INDEX(Client_List!$C:$C,MATCH(VALUE(B2002),Client_List!$A:$A,0)),""))</f>
        <v/>
      </c>
      <c r="F2002" s="53">
        <f>IF(B2002="","",IFERROR(INDEX(Client_List!$D:$D,MATCH(VALUE(B2002),Client_List!$A:$A,0)),""))</f>
        <v/>
      </c>
      <c r="G2002" s="53">
        <f>IF(B2002="","",IFERROR(INDEX(Client_List!$K:$K,MATCH(VALUE(B2002),Client_List!$A:$A,0)),""))</f>
        <v/>
      </c>
      <c r="H2002" s="32">
        <f>IF(B2002="","",IFERROR(INDEX(Client_List!$J:$J,MATCH(VALUE(B2002),Client_List!$A:$A,0)),""))</f>
        <v/>
      </c>
      <c r="I2002" s="70">
        <f>IF(B2002="","",IFERROR(A2002-LOOKUP(2,1/($B$4:$B2001=B2002),$A$4:$A2001),""))</f>
        <v/>
      </c>
      <c r="J2002" s="32">
        <f>IF(B2002="","",IFERROR(D2002/I2002,""))</f>
        <v/>
      </c>
      <c r="K2002" s="71">
        <f>IF(B2002="","",IFERROR(AVERAGEIFS($J$4:$J2002,$B$4:$B2002,B2002,$J$4:$J2002,"&gt;"&amp;0),""))</f>
        <v/>
      </c>
      <c r="L2002" s="12" t="n"/>
    </row>
    <row r="2003" ht="14" customHeight="1" s="72">
      <c r="A2003" s="78" t="n"/>
      <c r="B2003" s="79" t="n"/>
      <c r="C2003" s="69">
        <f>IF(B2003="","",IFERROR(INDEX(Client_List!$B:$B,MATCH(B2003,Client_List!$A:$A,0)),"⚠ NOT FOUND"))</f>
        <v/>
      </c>
      <c r="D2003" s="44" t="n"/>
      <c r="E2003" s="32">
        <f>IF(B2003="","",IFERROR(INDEX(Client_List!$C:$C,MATCH(VALUE(B2003),Client_List!$A:$A,0)),""))</f>
        <v/>
      </c>
      <c r="F2003" s="53">
        <f>IF(B2003="","",IFERROR(INDEX(Client_List!$D:$D,MATCH(VALUE(B2003),Client_List!$A:$A,0)),""))</f>
        <v/>
      </c>
      <c r="G2003" s="53">
        <f>IF(B2003="","",IFERROR(INDEX(Client_List!$K:$K,MATCH(VALUE(B2003),Client_List!$A:$A,0)),""))</f>
        <v/>
      </c>
      <c r="H2003" s="32">
        <f>IF(B2003="","",IFERROR(INDEX(Client_List!$J:$J,MATCH(VALUE(B2003),Client_List!$A:$A,0)),""))</f>
        <v/>
      </c>
      <c r="I2003" s="70">
        <f>IF(B2003="","",IFERROR(A2003-LOOKUP(2,1/($B$4:$B2002=B2003),$A$4:$A2002),""))</f>
        <v/>
      </c>
      <c r="J2003" s="32">
        <f>IF(B2003="","",IFERROR(D2003/I2003,""))</f>
        <v/>
      </c>
      <c r="K2003" s="71">
        <f>IF(B2003="","",IFERROR(AVERAGEIFS($J$4:$J2003,$B$4:$B2003,B2003,$J$4:$J2003,"&gt;"&amp;0),""))</f>
        <v/>
      </c>
      <c r="L2003" s="11" t="n"/>
    </row>
    <row r="2004" ht="14" customHeight="1" s="72">
      <c r="A2004" s="80" t="n"/>
      <c r="B2004" s="81" t="n"/>
      <c r="C2004" s="69">
        <f>IF(B2004="","",IFERROR(INDEX(Client_List!$B:$B,MATCH(B2004,Client_List!$A:$A,0)),"⚠ NOT FOUND"))</f>
        <v/>
      </c>
      <c r="D2004" s="45" t="n"/>
      <c r="E2004" s="32">
        <f>IF(B2004="","",IFERROR(INDEX(Client_List!$C:$C,MATCH(VALUE(B2004),Client_List!$A:$A,0)),""))</f>
        <v/>
      </c>
      <c r="F2004" s="53">
        <f>IF(B2004="","",IFERROR(INDEX(Client_List!$D:$D,MATCH(VALUE(B2004),Client_List!$A:$A,0)),""))</f>
        <v/>
      </c>
      <c r="G2004" s="53">
        <f>IF(B2004="","",IFERROR(INDEX(Client_List!$K:$K,MATCH(VALUE(B2004),Client_List!$A:$A,0)),""))</f>
        <v/>
      </c>
      <c r="H2004" s="32">
        <f>IF(B2004="","",IFERROR(INDEX(Client_List!$J:$J,MATCH(VALUE(B2004),Client_List!$A:$A,0)),""))</f>
        <v/>
      </c>
      <c r="I2004" s="70">
        <f>IF(B2004="","",IFERROR(A2004-LOOKUP(2,1/($B$4:$B2003=B2004),$A$4:$A2003),""))</f>
        <v/>
      </c>
      <c r="J2004" s="32">
        <f>IF(B2004="","",IFERROR(D2004/I2004,""))</f>
        <v/>
      </c>
      <c r="K2004" s="71">
        <f>IF(B2004="","",IFERROR(AVERAGEIFS($J$4:$J2004,$B$4:$B2004,B2004,$J$4:$J2004,"&gt;"&amp;0),""))</f>
        <v/>
      </c>
      <c r="L2004" s="12" t="n"/>
    </row>
    <row r="2005" ht="14" customHeight="1" s="72">
      <c r="A2005" s="78" t="n"/>
      <c r="B2005" s="79" t="n"/>
      <c r="C2005" s="69">
        <f>IF(B2005="","",IFERROR(INDEX(Client_List!$B:$B,MATCH(B2005,Client_List!$A:$A,0)),"⚠ NOT FOUND"))</f>
        <v/>
      </c>
      <c r="D2005" s="44" t="n"/>
      <c r="E2005" s="32">
        <f>IF(B2005="","",IFERROR(INDEX(Client_List!$C:$C,MATCH(VALUE(B2005),Client_List!$A:$A,0)),""))</f>
        <v/>
      </c>
      <c r="F2005" s="53">
        <f>IF(B2005="","",IFERROR(INDEX(Client_List!$D:$D,MATCH(VALUE(B2005),Client_List!$A:$A,0)),""))</f>
        <v/>
      </c>
      <c r="G2005" s="53">
        <f>IF(B2005="","",IFERROR(INDEX(Client_List!$K:$K,MATCH(VALUE(B2005),Client_List!$A:$A,0)),""))</f>
        <v/>
      </c>
      <c r="H2005" s="32">
        <f>IF(B2005="","",IFERROR(INDEX(Client_List!$J:$J,MATCH(VALUE(B2005),Client_List!$A:$A,0)),""))</f>
        <v/>
      </c>
      <c r="I2005" s="70">
        <f>IF(B2005="","",IFERROR(A2005-LOOKUP(2,1/($B$4:$B2004=B2005),$A$4:$A2004),""))</f>
        <v/>
      </c>
      <c r="J2005" s="32">
        <f>IF(B2005="","",IFERROR(D2005/I2005,""))</f>
        <v/>
      </c>
      <c r="K2005" s="71">
        <f>IF(B2005="","",IFERROR(AVERAGEIFS($J$4:$J2005,$B$4:$B2005,B2005,$J$4:$J2005,"&gt;"&amp;0),""))</f>
        <v/>
      </c>
      <c r="L2005" s="11" t="n"/>
    </row>
    <row r="2006" ht="14" customHeight="1" s="72">
      <c r="A2006" s="80" t="n"/>
      <c r="B2006" s="81" t="n"/>
      <c r="C2006" s="69">
        <f>IF(B2006="","",IFERROR(INDEX(Client_List!$B:$B,MATCH(B2006,Client_List!$A:$A,0)),"⚠ NOT FOUND"))</f>
        <v/>
      </c>
      <c r="D2006" s="45" t="n"/>
      <c r="E2006" s="32">
        <f>IF(B2006="","",IFERROR(INDEX(Client_List!$C:$C,MATCH(VALUE(B2006),Client_List!$A:$A,0)),""))</f>
        <v/>
      </c>
      <c r="F2006" s="53">
        <f>IF(B2006="","",IFERROR(INDEX(Client_List!$D:$D,MATCH(VALUE(B2006),Client_List!$A:$A,0)),""))</f>
        <v/>
      </c>
      <c r="G2006" s="53">
        <f>IF(B2006="","",IFERROR(INDEX(Client_List!$K:$K,MATCH(VALUE(B2006),Client_List!$A:$A,0)),""))</f>
        <v/>
      </c>
      <c r="H2006" s="32">
        <f>IF(B2006="","",IFERROR(INDEX(Client_List!$J:$J,MATCH(VALUE(B2006),Client_List!$A:$A,0)),""))</f>
        <v/>
      </c>
      <c r="I2006" s="70">
        <f>IF(B2006="","",IFERROR(A2006-LOOKUP(2,1/($B$4:$B2005=B2006),$A$4:$A2005),""))</f>
        <v/>
      </c>
      <c r="J2006" s="32">
        <f>IF(B2006="","",IFERROR(D2006/I2006,""))</f>
        <v/>
      </c>
      <c r="K2006" s="71">
        <f>IF(B2006="","",IFERROR(AVERAGEIFS($J$4:$J2006,$B$4:$B2006,B2006,$J$4:$J2006,"&gt;"&amp;0),""))</f>
        <v/>
      </c>
      <c r="L2006" s="12" t="n"/>
    </row>
    <row r="2007" ht="14" customHeight="1" s="72">
      <c r="A2007" s="78" t="n"/>
      <c r="B2007" s="79" t="n"/>
      <c r="C2007" s="69">
        <f>IF(B2007="","",IFERROR(INDEX(Client_List!$B:$B,MATCH(B2007,Client_List!$A:$A,0)),"⚠ NOT FOUND"))</f>
        <v/>
      </c>
      <c r="D2007" s="44" t="n"/>
      <c r="E2007" s="32">
        <f>IF(B2007="","",IFERROR(INDEX(Client_List!$C:$C,MATCH(VALUE(B2007),Client_List!$A:$A,0)),""))</f>
        <v/>
      </c>
      <c r="F2007" s="53">
        <f>IF(B2007="","",IFERROR(INDEX(Client_List!$D:$D,MATCH(VALUE(B2007),Client_List!$A:$A,0)),""))</f>
        <v/>
      </c>
      <c r="G2007" s="53">
        <f>IF(B2007="","",IFERROR(INDEX(Client_List!$K:$K,MATCH(VALUE(B2007),Client_List!$A:$A,0)),""))</f>
        <v/>
      </c>
      <c r="H2007" s="32">
        <f>IF(B2007="","",IFERROR(INDEX(Client_List!$J:$J,MATCH(VALUE(B2007),Client_List!$A:$A,0)),""))</f>
        <v/>
      </c>
      <c r="I2007" s="70">
        <f>IF(B2007="","",IFERROR(A2007-LOOKUP(2,1/($B$4:$B2006=B2007),$A$4:$A2006),""))</f>
        <v/>
      </c>
      <c r="J2007" s="32">
        <f>IF(B2007="","",IFERROR(D2007/I2007,""))</f>
        <v/>
      </c>
      <c r="K2007" s="71">
        <f>IF(B2007="","",IFERROR(AVERAGEIFS($J$4:$J2007,$B$4:$B2007,B2007,$J$4:$J2007,"&gt;"&amp;0),""))</f>
        <v/>
      </c>
      <c r="L2007" s="11" t="n"/>
    </row>
    <row r="2008" ht="14" customHeight="1" s="72">
      <c r="A2008" s="80" t="n"/>
      <c r="B2008" s="81" t="n"/>
      <c r="C2008" s="69">
        <f>IF(B2008="","",IFERROR(INDEX(Client_List!$B:$B,MATCH(B2008,Client_List!$A:$A,0)),"⚠ NOT FOUND"))</f>
        <v/>
      </c>
      <c r="D2008" s="45" t="n"/>
      <c r="E2008" s="32">
        <f>IF(B2008="","",IFERROR(INDEX(Client_List!$C:$C,MATCH(VALUE(B2008),Client_List!$A:$A,0)),""))</f>
        <v/>
      </c>
      <c r="F2008" s="53">
        <f>IF(B2008="","",IFERROR(INDEX(Client_List!$D:$D,MATCH(VALUE(B2008),Client_List!$A:$A,0)),""))</f>
        <v/>
      </c>
      <c r="G2008" s="53">
        <f>IF(B2008="","",IFERROR(INDEX(Client_List!$K:$K,MATCH(VALUE(B2008),Client_List!$A:$A,0)),""))</f>
        <v/>
      </c>
      <c r="H2008" s="32">
        <f>IF(B2008="","",IFERROR(INDEX(Client_List!$J:$J,MATCH(VALUE(B2008),Client_List!$A:$A,0)),""))</f>
        <v/>
      </c>
      <c r="I2008" s="70">
        <f>IF(B2008="","",IFERROR(A2008-LOOKUP(2,1/($B$4:$B2007=B2008),$A$4:$A2007),""))</f>
        <v/>
      </c>
      <c r="J2008" s="32">
        <f>IF(B2008="","",IFERROR(D2008/I2008,""))</f>
        <v/>
      </c>
      <c r="K2008" s="71">
        <f>IF(B2008="","",IFERROR(AVERAGEIFS($J$4:$J2008,$B$4:$B2008,B2008,$J$4:$J2008,"&gt;"&amp;0),""))</f>
        <v/>
      </c>
      <c r="L2008" s="12" t="n"/>
    </row>
    <row r="2009" ht="14" customHeight="1" s="72">
      <c r="A2009" s="78" t="n"/>
      <c r="B2009" s="79" t="n"/>
      <c r="C2009" s="69">
        <f>IF(B2009="","",IFERROR(INDEX(Client_List!$B:$B,MATCH(B2009,Client_List!$A:$A,0)),"⚠ NOT FOUND"))</f>
        <v/>
      </c>
      <c r="D2009" s="44" t="n"/>
      <c r="E2009" s="32">
        <f>IF(B2009="","",IFERROR(INDEX(Client_List!$C:$C,MATCH(VALUE(B2009),Client_List!$A:$A,0)),""))</f>
        <v/>
      </c>
      <c r="F2009" s="53">
        <f>IF(B2009="","",IFERROR(INDEX(Client_List!$D:$D,MATCH(VALUE(B2009),Client_List!$A:$A,0)),""))</f>
        <v/>
      </c>
      <c r="G2009" s="53">
        <f>IF(B2009="","",IFERROR(INDEX(Client_List!$K:$K,MATCH(VALUE(B2009),Client_List!$A:$A,0)),""))</f>
        <v/>
      </c>
      <c r="H2009" s="32">
        <f>IF(B2009="","",IFERROR(INDEX(Client_List!$J:$J,MATCH(VALUE(B2009),Client_List!$A:$A,0)),""))</f>
        <v/>
      </c>
      <c r="I2009" s="70">
        <f>IF(B2009="","",IFERROR(A2009-LOOKUP(2,1/($B$4:$B2008=B2009),$A$4:$A2008),""))</f>
        <v/>
      </c>
      <c r="J2009" s="32">
        <f>IF(B2009="","",IFERROR(D2009/I2009,""))</f>
        <v/>
      </c>
      <c r="K2009" s="71">
        <f>IF(B2009="","",IFERROR(AVERAGEIFS($J$4:$J2009,$B$4:$B2009,B2009,$J$4:$J2009,"&gt;"&amp;0),""))</f>
        <v/>
      </c>
      <c r="L2009" s="11" t="n"/>
    </row>
    <row r="2010" ht="14" customHeight="1" s="72">
      <c r="A2010" s="80" t="n"/>
      <c r="B2010" s="81" t="n"/>
      <c r="C2010" s="69">
        <f>IF(B2010="","",IFERROR(INDEX(Client_List!$B:$B,MATCH(B2010,Client_List!$A:$A,0)),"⚠ NOT FOUND"))</f>
        <v/>
      </c>
      <c r="D2010" s="45" t="n"/>
      <c r="E2010" s="32">
        <f>IF(B2010="","",IFERROR(INDEX(Client_List!$C:$C,MATCH(VALUE(B2010),Client_List!$A:$A,0)),""))</f>
        <v/>
      </c>
      <c r="F2010" s="53">
        <f>IF(B2010="","",IFERROR(INDEX(Client_List!$D:$D,MATCH(VALUE(B2010),Client_List!$A:$A,0)),""))</f>
        <v/>
      </c>
      <c r="G2010" s="53">
        <f>IF(B2010="","",IFERROR(INDEX(Client_List!$K:$K,MATCH(VALUE(B2010),Client_List!$A:$A,0)),""))</f>
        <v/>
      </c>
      <c r="H2010" s="32">
        <f>IF(B2010="","",IFERROR(INDEX(Client_List!$J:$J,MATCH(VALUE(B2010),Client_List!$A:$A,0)),""))</f>
        <v/>
      </c>
      <c r="I2010" s="70">
        <f>IF(B2010="","",IFERROR(A2010-LOOKUP(2,1/($B$4:$B2009=B2010),$A$4:$A2009),""))</f>
        <v/>
      </c>
      <c r="J2010" s="32">
        <f>IF(B2010="","",IFERROR(D2010/I2010,""))</f>
        <v/>
      </c>
      <c r="K2010" s="71">
        <f>IF(B2010="","",IFERROR(AVERAGEIFS($J$4:$J2010,$B$4:$B2010,B2010,$J$4:$J2010,"&gt;"&amp;0),""))</f>
        <v/>
      </c>
      <c r="L2010" s="12" t="n"/>
    </row>
    <row r="2011" ht="14" customHeight="1" s="72">
      <c r="A2011" s="78" t="n"/>
      <c r="B2011" s="79" t="n"/>
      <c r="C2011" s="69">
        <f>IF(B2011="","",IFERROR(INDEX(Client_List!$B:$B,MATCH(B2011,Client_List!$A:$A,0)),"⚠ NOT FOUND"))</f>
        <v/>
      </c>
      <c r="D2011" s="44" t="n"/>
      <c r="E2011" s="32">
        <f>IF(B2011="","",IFERROR(INDEX(Client_List!$C:$C,MATCH(VALUE(B2011),Client_List!$A:$A,0)),""))</f>
        <v/>
      </c>
      <c r="F2011" s="53">
        <f>IF(B2011="","",IFERROR(INDEX(Client_List!$D:$D,MATCH(VALUE(B2011),Client_List!$A:$A,0)),""))</f>
        <v/>
      </c>
      <c r="G2011" s="53">
        <f>IF(B2011="","",IFERROR(INDEX(Client_List!$K:$K,MATCH(VALUE(B2011),Client_List!$A:$A,0)),""))</f>
        <v/>
      </c>
      <c r="H2011" s="32">
        <f>IF(B2011="","",IFERROR(INDEX(Client_List!$J:$J,MATCH(VALUE(B2011),Client_List!$A:$A,0)),""))</f>
        <v/>
      </c>
      <c r="I2011" s="70">
        <f>IF(B2011="","",IFERROR(A2011-LOOKUP(2,1/($B$4:$B2010=B2011),$A$4:$A2010),""))</f>
        <v/>
      </c>
      <c r="J2011" s="32">
        <f>IF(B2011="","",IFERROR(D2011/I2011,""))</f>
        <v/>
      </c>
      <c r="K2011" s="71">
        <f>IF(B2011="","",IFERROR(AVERAGEIFS($J$4:$J2011,$B$4:$B2011,B2011,$J$4:$J2011,"&gt;"&amp;0),""))</f>
        <v/>
      </c>
      <c r="L2011" s="11" t="n"/>
    </row>
    <row r="2012" ht="14" customHeight="1" s="72">
      <c r="A2012" s="80" t="n"/>
      <c r="B2012" s="81" t="n"/>
      <c r="C2012" s="69">
        <f>IF(B2012="","",IFERROR(INDEX(Client_List!$B:$B,MATCH(B2012,Client_List!$A:$A,0)),"⚠ NOT FOUND"))</f>
        <v/>
      </c>
      <c r="D2012" s="45" t="n"/>
      <c r="E2012" s="32">
        <f>IF(B2012="","",IFERROR(INDEX(Client_List!$C:$C,MATCH(VALUE(B2012),Client_List!$A:$A,0)),""))</f>
        <v/>
      </c>
      <c r="F2012" s="53">
        <f>IF(B2012="","",IFERROR(INDEX(Client_List!$D:$D,MATCH(VALUE(B2012),Client_List!$A:$A,0)),""))</f>
        <v/>
      </c>
      <c r="G2012" s="53">
        <f>IF(B2012="","",IFERROR(INDEX(Client_List!$K:$K,MATCH(VALUE(B2012),Client_List!$A:$A,0)),""))</f>
        <v/>
      </c>
      <c r="H2012" s="32">
        <f>IF(B2012="","",IFERROR(INDEX(Client_List!$J:$J,MATCH(VALUE(B2012),Client_List!$A:$A,0)),""))</f>
        <v/>
      </c>
      <c r="I2012" s="70">
        <f>IF(B2012="","",IFERROR(A2012-LOOKUP(2,1/($B$4:$B2011=B2012),$A$4:$A2011),""))</f>
        <v/>
      </c>
      <c r="J2012" s="32">
        <f>IF(B2012="","",IFERROR(D2012/I2012,""))</f>
        <v/>
      </c>
      <c r="K2012" s="71">
        <f>IF(B2012="","",IFERROR(AVERAGEIFS($J$4:$J2012,$B$4:$B2012,B2012,$J$4:$J2012,"&gt;"&amp;0),""))</f>
        <v/>
      </c>
      <c r="L2012" s="12" t="n"/>
    </row>
    <row r="2013" ht="14" customHeight="1" s="72">
      <c r="A2013" s="78" t="n"/>
      <c r="B2013" s="79" t="n"/>
      <c r="C2013" s="69">
        <f>IF(B2013="","",IFERROR(INDEX(Client_List!$B:$B,MATCH(B2013,Client_List!$A:$A,0)),"⚠ NOT FOUND"))</f>
        <v/>
      </c>
      <c r="D2013" s="44" t="n"/>
      <c r="E2013" s="32">
        <f>IF(B2013="","",IFERROR(INDEX(Client_List!$C:$C,MATCH(VALUE(B2013),Client_List!$A:$A,0)),""))</f>
        <v/>
      </c>
      <c r="F2013" s="53">
        <f>IF(B2013="","",IFERROR(INDEX(Client_List!$D:$D,MATCH(VALUE(B2013),Client_List!$A:$A,0)),""))</f>
        <v/>
      </c>
      <c r="G2013" s="53">
        <f>IF(B2013="","",IFERROR(INDEX(Client_List!$K:$K,MATCH(VALUE(B2013),Client_List!$A:$A,0)),""))</f>
        <v/>
      </c>
      <c r="H2013" s="32">
        <f>IF(B2013="","",IFERROR(INDEX(Client_List!$J:$J,MATCH(VALUE(B2013),Client_List!$A:$A,0)),""))</f>
        <v/>
      </c>
      <c r="I2013" s="70">
        <f>IF(B2013="","",IFERROR(A2013-LOOKUP(2,1/($B$4:$B2012=B2013),$A$4:$A2012),""))</f>
        <v/>
      </c>
      <c r="J2013" s="32">
        <f>IF(B2013="","",IFERROR(D2013/I2013,""))</f>
        <v/>
      </c>
      <c r="K2013" s="71">
        <f>IF(B2013="","",IFERROR(AVERAGEIFS($J$4:$J2013,$B$4:$B2013,B2013,$J$4:$J2013,"&gt;"&amp;0),""))</f>
        <v/>
      </c>
      <c r="L2013" s="11" t="n"/>
    </row>
    <row r="2014" ht="14" customHeight="1" s="72">
      <c r="A2014" s="80" t="n"/>
      <c r="B2014" s="81" t="n"/>
      <c r="C2014" s="69">
        <f>IF(B2014="","",IFERROR(INDEX(Client_List!$B:$B,MATCH(B2014,Client_List!$A:$A,0)),"⚠ NOT FOUND"))</f>
        <v/>
      </c>
      <c r="D2014" s="45" t="n"/>
      <c r="E2014" s="32">
        <f>IF(B2014="","",IFERROR(INDEX(Client_List!$C:$C,MATCH(VALUE(B2014),Client_List!$A:$A,0)),""))</f>
        <v/>
      </c>
      <c r="F2014" s="53">
        <f>IF(B2014="","",IFERROR(INDEX(Client_List!$D:$D,MATCH(VALUE(B2014),Client_List!$A:$A,0)),""))</f>
        <v/>
      </c>
      <c r="G2014" s="53">
        <f>IF(B2014="","",IFERROR(INDEX(Client_List!$K:$K,MATCH(VALUE(B2014),Client_List!$A:$A,0)),""))</f>
        <v/>
      </c>
      <c r="H2014" s="32">
        <f>IF(B2014="","",IFERROR(INDEX(Client_List!$J:$J,MATCH(VALUE(B2014),Client_List!$A:$A,0)),""))</f>
        <v/>
      </c>
      <c r="I2014" s="70">
        <f>IF(B2014="","",IFERROR(A2014-LOOKUP(2,1/($B$4:$B2013=B2014),$A$4:$A2013),""))</f>
        <v/>
      </c>
      <c r="J2014" s="32">
        <f>IF(B2014="","",IFERROR(D2014/I2014,""))</f>
        <v/>
      </c>
      <c r="K2014" s="71">
        <f>IF(B2014="","",IFERROR(AVERAGEIFS($J$4:$J2014,$B$4:$B2014,B2014,$J$4:$J2014,"&gt;"&amp;0),""))</f>
        <v/>
      </c>
      <c r="L2014" s="12" t="n"/>
    </row>
    <row r="2015" ht="14" customHeight="1" s="72">
      <c r="A2015" s="78" t="n"/>
      <c r="B2015" s="79" t="n"/>
      <c r="C2015" s="69">
        <f>IF(B2015="","",IFERROR(INDEX(Client_List!$B:$B,MATCH(B2015,Client_List!$A:$A,0)),"⚠ NOT FOUND"))</f>
        <v/>
      </c>
      <c r="D2015" s="44" t="n"/>
      <c r="E2015" s="32">
        <f>IF(B2015="","",IFERROR(INDEX(Client_List!$C:$C,MATCH(VALUE(B2015),Client_List!$A:$A,0)),""))</f>
        <v/>
      </c>
      <c r="F2015" s="53">
        <f>IF(B2015="","",IFERROR(INDEX(Client_List!$D:$D,MATCH(VALUE(B2015),Client_List!$A:$A,0)),""))</f>
        <v/>
      </c>
      <c r="G2015" s="53">
        <f>IF(B2015="","",IFERROR(INDEX(Client_List!$K:$K,MATCH(VALUE(B2015),Client_List!$A:$A,0)),""))</f>
        <v/>
      </c>
      <c r="H2015" s="32">
        <f>IF(B2015="","",IFERROR(INDEX(Client_List!$J:$J,MATCH(VALUE(B2015),Client_List!$A:$A,0)),""))</f>
        <v/>
      </c>
      <c r="I2015" s="70">
        <f>IF(B2015="","",IFERROR(A2015-LOOKUP(2,1/($B$4:$B2014=B2015),$A$4:$A2014),""))</f>
        <v/>
      </c>
      <c r="J2015" s="32">
        <f>IF(B2015="","",IFERROR(D2015/I2015,""))</f>
        <v/>
      </c>
      <c r="K2015" s="71">
        <f>IF(B2015="","",IFERROR(AVERAGEIFS($J$4:$J2015,$B$4:$B2015,B2015,$J$4:$J2015,"&gt;"&amp;0),""))</f>
        <v/>
      </c>
      <c r="L2015" s="11" t="n"/>
    </row>
    <row r="2016" ht="14" customHeight="1" s="72">
      <c r="A2016" s="80" t="n"/>
      <c r="B2016" s="81" t="n"/>
      <c r="C2016" s="69">
        <f>IF(B2016="","",IFERROR(INDEX(Client_List!$B:$B,MATCH(B2016,Client_List!$A:$A,0)),"⚠ NOT FOUND"))</f>
        <v/>
      </c>
      <c r="D2016" s="45" t="n"/>
      <c r="E2016" s="32">
        <f>IF(B2016="","",IFERROR(INDEX(Client_List!$C:$C,MATCH(VALUE(B2016),Client_List!$A:$A,0)),""))</f>
        <v/>
      </c>
      <c r="F2016" s="53">
        <f>IF(B2016="","",IFERROR(INDEX(Client_List!$D:$D,MATCH(VALUE(B2016),Client_List!$A:$A,0)),""))</f>
        <v/>
      </c>
      <c r="G2016" s="53">
        <f>IF(B2016="","",IFERROR(INDEX(Client_List!$K:$K,MATCH(VALUE(B2016),Client_List!$A:$A,0)),""))</f>
        <v/>
      </c>
      <c r="H2016" s="32">
        <f>IF(B2016="","",IFERROR(INDEX(Client_List!$J:$J,MATCH(VALUE(B2016),Client_List!$A:$A,0)),""))</f>
        <v/>
      </c>
      <c r="I2016" s="70">
        <f>IF(B2016="","",IFERROR(A2016-LOOKUP(2,1/($B$4:$B2015=B2016),$A$4:$A2015),""))</f>
        <v/>
      </c>
      <c r="J2016" s="32">
        <f>IF(B2016="","",IFERROR(D2016/I2016,""))</f>
        <v/>
      </c>
      <c r="K2016" s="71">
        <f>IF(B2016="","",IFERROR(AVERAGEIFS($J$4:$J2016,$B$4:$B2016,B2016,$J$4:$J2016,"&gt;"&amp;0),""))</f>
        <v/>
      </c>
      <c r="L2016" s="12" t="n"/>
    </row>
    <row r="2017" ht="14" customHeight="1" s="72">
      <c r="A2017" s="78" t="n"/>
      <c r="B2017" s="79" t="n"/>
      <c r="C2017" s="69">
        <f>IF(B2017="","",IFERROR(INDEX(Client_List!$B:$B,MATCH(B2017,Client_List!$A:$A,0)),"⚠ NOT FOUND"))</f>
        <v/>
      </c>
      <c r="D2017" s="44" t="n"/>
      <c r="E2017" s="32">
        <f>IF(B2017="","",IFERROR(INDEX(Client_List!$C:$C,MATCH(VALUE(B2017),Client_List!$A:$A,0)),""))</f>
        <v/>
      </c>
      <c r="F2017" s="53">
        <f>IF(B2017="","",IFERROR(INDEX(Client_List!$D:$D,MATCH(VALUE(B2017),Client_List!$A:$A,0)),""))</f>
        <v/>
      </c>
      <c r="G2017" s="53">
        <f>IF(B2017="","",IFERROR(INDEX(Client_List!$K:$K,MATCH(VALUE(B2017),Client_List!$A:$A,0)),""))</f>
        <v/>
      </c>
      <c r="H2017" s="32">
        <f>IF(B2017="","",IFERROR(INDEX(Client_List!$J:$J,MATCH(VALUE(B2017),Client_List!$A:$A,0)),""))</f>
        <v/>
      </c>
      <c r="I2017" s="70">
        <f>IF(B2017="","",IFERROR(A2017-LOOKUP(2,1/($B$4:$B2016=B2017),$A$4:$A2016),""))</f>
        <v/>
      </c>
      <c r="J2017" s="32">
        <f>IF(B2017="","",IFERROR(D2017/I2017,""))</f>
        <v/>
      </c>
      <c r="K2017" s="71">
        <f>IF(B2017="","",IFERROR(AVERAGEIFS($J$4:$J2017,$B$4:$B2017,B2017,$J$4:$J2017,"&gt;"&amp;0),""))</f>
        <v/>
      </c>
      <c r="L2017" s="11" t="n"/>
    </row>
    <row r="2018" ht="14" customHeight="1" s="72">
      <c r="A2018" s="80" t="n"/>
      <c r="B2018" s="81" t="n"/>
      <c r="C2018" s="69">
        <f>IF(B2018="","",IFERROR(INDEX(Client_List!$B:$B,MATCH(B2018,Client_List!$A:$A,0)),"⚠ NOT FOUND"))</f>
        <v/>
      </c>
      <c r="D2018" s="45" t="n"/>
      <c r="E2018" s="32">
        <f>IF(B2018="","",IFERROR(INDEX(Client_List!$C:$C,MATCH(VALUE(B2018),Client_List!$A:$A,0)),""))</f>
        <v/>
      </c>
      <c r="F2018" s="53">
        <f>IF(B2018="","",IFERROR(INDEX(Client_List!$D:$D,MATCH(VALUE(B2018),Client_List!$A:$A,0)),""))</f>
        <v/>
      </c>
      <c r="G2018" s="53">
        <f>IF(B2018="","",IFERROR(INDEX(Client_List!$K:$K,MATCH(VALUE(B2018),Client_List!$A:$A,0)),""))</f>
        <v/>
      </c>
      <c r="H2018" s="32">
        <f>IF(B2018="","",IFERROR(INDEX(Client_List!$J:$J,MATCH(VALUE(B2018),Client_List!$A:$A,0)),""))</f>
        <v/>
      </c>
      <c r="I2018" s="70">
        <f>IF(B2018="","",IFERROR(A2018-LOOKUP(2,1/($B$4:$B2017=B2018),$A$4:$A2017),""))</f>
        <v/>
      </c>
      <c r="J2018" s="32">
        <f>IF(B2018="","",IFERROR(D2018/I2018,""))</f>
        <v/>
      </c>
      <c r="K2018" s="71">
        <f>IF(B2018="","",IFERROR(AVERAGEIFS($J$4:$J2018,$B$4:$B2018,B2018,$J$4:$J2018,"&gt;"&amp;0),""))</f>
        <v/>
      </c>
      <c r="L2018" s="12" t="n"/>
    </row>
    <row r="2019" ht="14" customHeight="1" s="72">
      <c r="A2019" s="78" t="n"/>
      <c r="B2019" s="79" t="n"/>
      <c r="C2019" s="69">
        <f>IF(B2019="","",IFERROR(INDEX(Client_List!$B:$B,MATCH(B2019,Client_List!$A:$A,0)),"⚠ NOT FOUND"))</f>
        <v/>
      </c>
      <c r="D2019" s="44" t="n"/>
      <c r="E2019" s="32">
        <f>IF(B2019="","",IFERROR(INDEX(Client_List!$C:$C,MATCH(VALUE(B2019),Client_List!$A:$A,0)),""))</f>
        <v/>
      </c>
      <c r="F2019" s="53">
        <f>IF(B2019="","",IFERROR(INDEX(Client_List!$D:$D,MATCH(VALUE(B2019),Client_List!$A:$A,0)),""))</f>
        <v/>
      </c>
      <c r="G2019" s="53">
        <f>IF(B2019="","",IFERROR(INDEX(Client_List!$K:$K,MATCH(VALUE(B2019),Client_List!$A:$A,0)),""))</f>
        <v/>
      </c>
      <c r="H2019" s="32">
        <f>IF(B2019="","",IFERROR(INDEX(Client_List!$J:$J,MATCH(VALUE(B2019),Client_List!$A:$A,0)),""))</f>
        <v/>
      </c>
      <c r="I2019" s="70">
        <f>IF(B2019="","",IFERROR(A2019-LOOKUP(2,1/($B$4:$B2018=B2019),$A$4:$A2018),""))</f>
        <v/>
      </c>
      <c r="J2019" s="32">
        <f>IF(B2019="","",IFERROR(D2019/I2019,""))</f>
        <v/>
      </c>
      <c r="K2019" s="71">
        <f>IF(B2019="","",IFERROR(AVERAGEIFS($J$4:$J2019,$B$4:$B2019,B2019,$J$4:$J2019,"&gt;"&amp;0),""))</f>
        <v/>
      </c>
      <c r="L2019" s="11" t="n"/>
    </row>
    <row r="2020" ht="14" customHeight="1" s="72">
      <c r="A2020" s="80" t="n"/>
      <c r="B2020" s="81" t="n"/>
      <c r="C2020" s="69">
        <f>IF(B2020="","",IFERROR(INDEX(Client_List!$B:$B,MATCH(B2020,Client_List!$A:$A,0)),"⚠ NOT FOUND"))</f>
        <v/>
      </c>
      <c r="D2020" s="45" t="n"/>
      <c r="E2020" s="32">
        <f>IF(B2020="","",IFERROR(INDEX(Client_List!$C:$C,MATCH(VALUE(B2020),Client_List!$A:$A,0)),""))</f>
        <v/>
      </c>
      <c r="F2020" s="53">
        <f>IF(B2020="","",IFERROR(INDEX(Client_List!$D:$D,MATCH(VALUE(B2020),Client_List!$A:$A,0)),""))</f>
        <v/>
      </c>
      <c r="G2020" s="53">
        <f>IF(B2020="","",IFERROR(INDEX(Client_List!$K:$K,MATCH(VALUE(B2020),Client_List!$A:$A,0)),""))</f>
        <v/>
      </c>
      <c r="H2020" s="32">
        <f>IF(B2020="","",IFERROR(INDEX(Client_List!$J:$J,MATCH(VALUE(B2020),Client_List!$A:$A,0)),""))</f>
        <v/>
      </c>
      <c r="I2020" s="70">
        <f>IF(B2020="","",IFERROR(A2020-LOOKUP(2,1/($B$4:$B2019=B2020),$A$4:$A2019),""))</f>
        <v/>
      </c>
      <c r="J2020" s="32">
        <f>IF(B2020="","",IFERROR(D2020/I2020,""))</f>
        <v/>
      </c>
      <c r="K2020" s="71">
        <f>IF(B2020="","",IFERROR(AVERAGEIFS($J$4:$J2020,$B$4:$B2020,B2020,$J$4:$J2020,"&gt;"&amp;0),""))</f>
        <v/>
      </c>
      <c r="L2020" s="12" t="n"/>
    </row>
    <row r="2021" ht="14" customHeight="1" s="72">
      <c r="A2021" s="78" t="n"/>
      <c r="B2021" s="79" t="n"/>
      <c r="C2021" s="69">
        <f>IF(B2021="","",IFERROR(INDEX(Client_List!$B:$B,MATCH(B2021,Client_List!$A:$A,0)),"⚠ NOT FOUND"))</f>
        <v/>
      </c>
      <c r="D2021" s="44" t="n"/>
      <c r="E2021" s="32">
        <f>IF(B2021="","",IFERROR(INDEX(Client_List!$C:$C,MATCH(VALUE(B2021),Client_List!$A:$A,0)),""))</f>
        <v/>
      </c>
      <c r="F2021" s="53">
        <f>IF(B2021="","",IFERROR(INDEX(Client_List!$D:$D,MATCH(VALUE(B2021),Client_List!$A:$A,0)),""))</f>
        <v/>
      </c>
      <c r="G2021" s="53">
        <f>IF(B2021="","",IFERROR(INDEX(Client_List!$K:$K,MATCH(VALUE(B2021),Client_List!$A:$A,0)),""))</f>
        <v/>
      </c>
      <c r="H2021" s="32">
        <f>IF(B2021="","",IFERROR(INDEX(Client_List!$J:$J,MATCH(VALUE(B2021),Client_List!$A:$A,0)),""))</f>
        <v/>
      </c>
      <c r="I2021" s="70">
        <f>IF(B2021="","",IFERROR(A2021-LOOKUP(2,1/($B$4:$B2020=B2021),$A$4:$A2020),""))</f>
        <v/>
      </c>
      <c r="J2021" s="32">
        <f>IF(B2021="","",IFERROR(D2021/I2021,""))</f>
        <v/>
      </c>
      <c r="K2021" s="71">
        <f>IF(B2021="","",IFERROR(AVERAGEIFS($J$4:$J2021,$B$4:$B2021,B2021,$J$4:$J2021,"&gt;"&amp;0),""))</f>
        <v/>
      </c>
      <c r="L2021" s="11" t="n"/>
    </row>
    <row r="2022" ht="14" customHeight="1" s="72">
      <c r="A2022" s="80" t="n"/>
      <c r="B2022" s="81" t="n"/>
      <c r="C2022" s="69">
        <f>IF(B2022="","",IFERROR(INDEX(Client_List!$B:$B,MATCH(B2022,Client_List!$A:$A,0)),"⚠ NOT FOUND"))</f>
        <v/>
      </c>
      <c r="D2022" s="45" t="n"/>
      <c r="E2022" s="32">
        <f>IF(B2022="","",IFERROR(INDEX(Client_List!$C:$C,MATCH(VALUE(B2022),Client_List!$A:$A,0)),""))</f>
        <v/>
      </c>
      <c r="F2022" s="53">
        <f>IF(B2022="","",IFERROR(INDEX(Client_List!$D:$D,MATCH(VALUE(B2022),Client_List!$A:$A,0)),""))</f>
        <v/>
      </c>
      <c r="G2022" s="53">
        <f>IF(B2022="","",IFERROR(INDEX(Client_List!$K:$K,MATCH(VALUE(B2022),Client_List!$A:$A,0)),""))</f>
        <v/>
      </c>
      <c r="H2022" s="32">
        <f>IF(B2022="","",IFERROR(INDEX(Client_List!$J:$J,MATCH(VALUE(B2022),Client_List!$A:$A,0)),""))</f>
        <v/>
      </c>
      <c r="I2022" s="70">
        <f>IF(B2022="","",IFERROR(A2022-LOOKUP(2,1/($B$4:$B2021=B2022),$A$4:$A2021),""))</f>
        <v/>
      </c>
      <c r="J2022" s="32">
        <f>IF(B2022="","",IFERROR(D2022/I2022,""))</f>
        <v/>
      </c>
      <c r="K2022" s="71">
        <f>IF(B2022="","",IFERROR(AVERAGEIFS($J$4:$J2022,$B$4:$B2022,B2022,$J$4:$J2022,"&gt;"&amp;0),""))</f>
        <v/>
      </c>
      <c r="L2022" s="12" t="n"/>
    </row>
    <row r="2023" ht="14" customHeight="1" s="72">
      <c r="A2023" s="78" t="n"/>
      <c r="B2023" s="79" t="n"/>
      <c r="C2023" s="69">
        <f>IF(B2023="","",IFERROR(INDEX(Client_List!$B:$B,MATCH(B2023,Client_List!$A:$A,0)),"⚠ NOT FOUND"))</f>
        <v/>
      </c>
      <c r="D2023" s="44" t="n"/>
      <c r="E2023" s="32">
        <f>IF(B2023="","",IFERROR(INDEX(Client_List!$C:$C,MATCH(VALUE(B2023),Client_List!$A:$A,0)),""))</f>
        <v/>
      </c>
      <c r="F2023" s="53">
        <f>IF(B2023="","",IFERROR(INDEX(Client_List!$D:$D,MATCH(VALUE(B2023),Client_List!$A:$A,0)),""))</f>
        <v/>
      </c>
      <c r="G2023" s="53">
        <f>IF(B2023="","",IFERROR(INDEX(Client_List!$K:$K,MATCH(VALUE(B2023),Client_List!$A:$A,0)),""))</f>
        <v/>
      </c>
      <c r="H2023" s="32">
        <f>IF(B2023="","",IFERROR(INDEX(Client_List!$J:$J,MATCH(VALUE(B2023),Client_List!$A:$A,0)),""))</f>
        <v/>
      </c>
      <c r="I2023" s="70">
        <f>IF(B2023="","",IFERROR(A2023-LOOKUP(2,1/($B$4:$B2022=B2023),$A$4:$A2022),""))</f>
        <v/>
      </c>
      <c r="J2023" s="32">
        <f>IF(B2023="","",IFERROR(D2023/I2023,""))</f>
        <v/>
      </c>
      <c r="K2023" s="71">
        <f>IF(B2023="","",IFERROR(AVERAGEIFS($J$4:$J2023,$B$4:$B2023,B2023,$J$4:$J2023,"&gt;"&amp;0),""))</f>
        <v/>
      </c>
      <c r="L2023" s="11" t="n"/>
    </row>
    <row r="2024" ht="14" customHeight="1" s="72">
      <c r="A2024" s="80" t="n"/>
      <c r="B2024" s="81" t="n"/>
      <c r="C2024" s="69">
        <f>IF(B2024="","",IFERROR(INDEX(Client_List!$B:$B,MATCH(B2024,Client_List!$A:$A,0)),"⚠ NOT FOUND"))</f>
        <v/>
      </c>
      <c r="D2024" s="45" t="n"/>
      <c r="E2024" s="32">
        <f>IF(B2024="","",IFERROR(INDEX(Client_List!$C:$C,MATCH(VALUE(B2024),Client_List!$A:$A,0)),""))</f>
        <v/>
      </c>
      <c r="F2024" s="53">
        <f>IF(B2024="","",IFERROR(INDEX(Client_List!$D:$D,MATCH(VALUE(B2024),Client_List!$A:$A,0)),""))</f>
        <v/>
      </c>
      <c r="G2024" s="53">
        <f>IF(B2024="","",IFERROR(INDEX(Client_List!$K:$K,MATCH(VALUE(B2024),Client_List!$A:$A,0)),""))</f>
        <v/>
      </c>
      <c r="H2024" s="32">
        <f>IF(B2024="","",IFERROR(INDEX(Client_List!$J:$J,MATCH(VALUE(B2024),Client_List!$A:$A,0)),""))</f>
        <v/>
      </c>
      <c r="I2024" s="70">
        <f>IF(B2024="","",IFERROR(A2024-LOOKUP(2,1/($B$4:$B2023=B2024),$A$4:$A2023),""))</f>
        <v/>
      </c>
      <c r="J2024" s="32">
        <f>IF(B2024="","",IFERROR(D2024/I2024,""))</f>
        <v/>
      </c>
      <c r="K2024" s="71">
        <f>IF(B2024="","",IFERROR(AVERAGEIFS($J$4:$J2024,$B$4:$B2024,B2024,$J$4:$J2024,"&gt;"&amp;0),""))</f>
        <v/>
      </c>
      <c r="L2024" s="12" t="n"/>
    </row>
    <row r="2025" ht="14" customHeight="1" s="72">
      <c r="A2025" s="78" t="n"/>
      <c r="B2025" s="79" t="n"/>
      <c r="C2025" s="69">
        <f>IF(B2025="","",IFERROR(INDEX(Client_List!$B:$B,MATCH(B2025,Client_List!$A:$A,0)),"⚠ NOT FOUND"))</f>
        <v/>
      </c>
      <c r="D2025" s="44" t="n"/>
      <c r="E2025" s="32">
        <f>IF(B2025="","",IFERROR(INDEX(Client_List!$C:$C,MATCH(VALUE(B2025),Client_List!$A:$A,0)),""))</f>
        <v/>
      </c>
      <c r="F2025" s="53">
        <f>IF(B2025="","",IFERROR(INDEX(Client_List!$D:$D,MATCH(VALUE(B2025),Client_List!$A:$A,0)),""))</f>
        <v/>
      </c>
      <c r="G2025" s="53">
        <f>IF(B2025="","",IFERROR(INDEX(Client_List!$K:$K,MATCH(VALUE(B2025),Client_List!$A:$A,0)),""))</f>
        <v/>
      </c>
      <c r="H2025" s="32">
        <f>IF(B2025="","",IFERROR(INDEX(Client_List!$J:$J,MATCH(VALUE(B2025),Client_List!$A:$A,0)),""))</f>
        <v/>
      </c>
      <c r="I2025" s="70">
        <f>IF(B2025="","",IFERROR(A2025-LOOKUP(2,1/($B$4:$B2024=B2025),$A$4:$A2024),""))</f>
        <v/>
      </c>
      <c r="J2025" s="32">
        <f>IF(B2025="","",IFERROR(D2025/I2025,""))</f>
        <v/>
      </c>
      <c r="K2025" s="71">
        <f>IF(B2025="","",IFERROR(AVERAGEIFS($J$4:$J2025,$B$4:$B2025,B2025,$J$4:$J2025,"&gt;"&amp;0),""))</f>
        <v/>
      </c>
      <c r="L2025" s="11" t="n"/>
    </row>
    <row r="2026" ht="14" customHeight="1" s="72">
      <c r="A2026" s="80" t="n"/>
      <c r="B2026" s="81" t="n"/>
      <c r="C2026" s="69">
        <f>IF(B2026="","",IFERROR(INDEX(Client_List!$B:$B,MATCH(B2026,Client_List!$A:$A,0)),"⚠ NOT FOUND"))</f>
        <v/>
      </c>
      <c r="D2026" s="45" t="n"/>
      <c r="E2026" s="32">
        <f>IF(B2026="","",IFERROR(INDEX(Client_List!$C:$C,MATCH(VALUE(B2026),Client_List!$A:$A,0)),""))</f>
        <v/>
      </c>
      <c r="F2026" s="53">
        <f>IF(B2026="","",IFERROR(INDEX(Client_List!$D:$D,MATCH(VALUE(B2026),Client_List!$A:$A,0)),""))</f>
        <v/>
      </c>
      <c r="G2026" s="53">
        <f>IF(B2026="","",IFERROR(INDEX(Client_List!$K:$K,MATCH(VALUE(B2026),Client_List!$A:$A,0)),""))</f>
        <v/>
      </c>
      <c r="H2026" s="32">
        <f>IF(B2026="","",IFERROR(INDEX(Client_List!$J:$J,MATCH(VALUE(B2026),Client_List!$A:$A,0)),""))</f>
        <v/>
      </c>
      <c r="I2026" s="70">
        <f>IF(B2026="","",IFERROR(A2026-LOOKUP(2,1/($B$4:$B2025=B2026),$A$4:$A2025),""))</f>
        <v/>
      </c>
      <c r="J2026" s="32">
        <f>IF(B2026="","",IFERROR(D2026/I2026,""))</f>
        <v/>
      </c>
      <c r="K2026" s="71">
        <f>IF(B2026="","",IFERROR(AVERAGEIFS($J$4:$J2026,$B$4:$B2026,B2026,$J$4:$J2026,"&gt;"&amp;0),""))</f>
        <v/>
      </c>
      <c r="L2026" s="12" t="n"/>
    </row>
    <row r="2027" ht="14" customHeight="1" s="72">
      <c r="A2027" s="78" t="n"/>
      <c r="B2027" s="79" t="n"/>
      <c r="C2027" s="69">
        <f>IF(B2027="","",IFERROR(INDEX(Client_List!$B:$B,MATCH(B2027,Client_List!$A:$A,0)),"⚠ NOT FOUND"))</f>
        <v/>
      </c>
      <c r="D2027" s="44" t="n"/>
      <c r="E2027" s="32">
        <f>IF(B2027="","",IFERROR(INDEX(Client_List!$C:$C,MATCH(VALUE(B2027),Client_List!$A:$A,0)),""))</f>
        <v/>
      </c>
      <c r="F2027" s="53">
        <f>IF(B2027="","",IFERROR(INDEX(Client_List!$D:$D,MATCH(VALUE(B2027),Client_List!$A:$A,0)),""))</f>
        <v/>
      </c>
      <c r="G2027" s="53">
        <f>IF(B2027="","",IFERROR(INDEX(Client_List!$K:$K,MATCH(VALUE(B2027),Client_List!$A:$A,0)),""))</f>
        <v/>
      </c>
      <c r="H2027" s="32">
        <f>IF(B2027="","",IFERROR(INDEX(Client_List!$J:$J,MATCH(VALUE(B2027),Client_List!$A:$A,0)),""))</f>
        <v/>
      </c>
      <c r="I2027" s="70">
        <f>IF(B2027="","",IFERROR(A2027-LOOKUP(2,1/($B$4:$B2026=B2027),$A$4:$A2026),""))</f>
        <v/>
      </c>
      <c r="J2027" s="32">
        <f>IF(B2027="","",IFERROR(D2027/I2027,""))</f>
        <v/>
      </c>
      <c r="K2027" s="71">
        <f>IF(B2027="","",IFERROR(AVERAGEIFS($J$4:$J2027,$B$4:$B2027,B2027,$J$4:$J2027,"&gt;"&amp;0),""))</f>
        <v/>
      </c>
      <c r="L2027" s="11" t="n"/>
    </row>
    <row r="2028" ht="14" customHeight="1" s="72">
      <c r="A2028" s="80" t="n"/>
      <c r="B2028" s="81" t="n"/>
      <c r="C2028" s="69">
        <f>IF(B2028="","",IFERROR(INDEX(Client_List!$B:$B,MATCH(B2028,Client_List!$A:$A,0)),"⚠ NOT FOUND"))</f>
        <v/>
      </c>
      <c r="D2028" s="45" t="n"/>
      <c r="E2028" s="32">
        <f>IF(B2028="","",IFERROR(INDEX(Client_List!$C:$C,MATCH(VALUE(B2028),Client_List!$A:$A,0)),""))</f>
        <v/>
      </c>
      <c r="F2028" s="53">
        <f>IF(B2028="","",IFERROR(INDEX(Client_List!$D:$D,MATCH(VALUE(B2028),Client_List!$A:$A,0)),""))</f>
        <v/>
      </c>
      <c r="G2028" s="53">
        <f>IF(B2028="","",IFERROR(INDEX(Client_List!$K:$K,MATCH(VALUE(B2028),Client_List!$A:$A,0)),""))</f>
        <v/>
      </c>
      <c r="H2028" s="32">
        <f>IF(B2028="","",IFERROR(INDEX(Client_List!$J:$J,MATCH(VALUE(B2028),Client_List!$A:$A,0)),""))</f>
        <v/>
      </c>
      <c r="I2028" s="70">
        <f>IF(B2028="","",IFERROR(A2028-LOOKUP(2,1/($B$4:$B2027=B2028),$A$4:$A2027),""))</f>
        <v/>
      </c>
      <c r="J2028" s="32">
        <f>IF(B2028="","",IFERROR(D2028/I2028,""))</f>
        <v/>
      </c>
      <c r="K2028" s="71">
        <f>IF(B2028="","",IFERROR(AVERAGEIFS($J$4:$J2028,$B$4:$B2028,B2028,$J$4:$J2028,"&gt;"&amp;0),""))</f>
        <v/>
      </c>
      <c r="L2028" s="12" t="n"/>
    </row>
    <row r="2029" ht="14" customHeight="1" s="72">
      <c r="A2029" s="78" t="n"/>
      <c r="B2029" s="79" t="n"/>
      <c r="C2029" s="69">
        <f>IF(B2029="","",IFERROR(INDEX(Client_List!$B:$B,MATCH(B2029,Client_List!$A:$A,0)),"⚠ NOT FOUND"))</f>
        <v/>
      </c>
      <c r="D2029" s="44" t="n"/>
      <c r="E2029" s="32">
        <f>IF(B2029="","",IFERROR(INDEX(Client_List!$C:$C,MATCH(VALUE(B2029),Client_List!$A:$A,0)),""))</f>
        <v/>
      </c>
      <c r="F2029" s="53">
        <f>IF(B2029="","",IFERROR(INDEX(Client_List!$D:$D,MATCH(VALUE(B2029),Client_List!$A:$A,0)),""))</f>
        <v/>
      </c>
      <c r="G2029" s="53">
        <f>IF(B2029="","",IFERROR(INDEX(Client_List!$K:$K,MATCH(VALUE(B2029),Client_List!$A:$A,0)),""))</f>
        <v/>
      </c>
      <c r="H2029" s="32">
        <f>IF(B2029="","",IFERROR(INDEX(Client_List!$J:$J,MATCH(VALUE(B2029),Client_List!$A:$A,0)),""))</f>
        <v/>
      </c>
      <c r="I2029" s="70">
        <f>IF(B2029="","",IFERROR(A2029-LOOKUP(2,1/($B$4:$B2028=B2029),$A$4:$A2028),""))</f>
        <v/>
      </c>
      <c r="J2029" s="32">
        <f>IF(B2029="","",IFERROR(D2029/I2029,""))</f>
        <v/>
      </c>
      <c r="K2029" s="71">
        <f>IF(B2029="","",IFERROR(AVERAGEIFS($J$4:$J2029,$B$4:$B2029,B2029,$J$4:$J2029,"&gt;"&amp;0),""))</f>
        <v/>
      </c>
      <c r="L2029" s="11" t="n"/>
    </row>
    <row r="2030" ht="14" customHeight="1" s="72">
      <c r="A2030" s="80" t="n"/>
      <c r="B2030" s="81" t="n"/>
      <c r="C2030" s="69">
        <f>IF(B2030="","",IFERROR(INDEX(Client_List!$B:$B,MATCH(B2030,Client_List!$A:$A,0)),"⚠ NOT FOUND"))</f>
        <v/>
      </c>
      <c r="D2030" s="45" t="n"/>
      <c r="E2030" s="32">
        <f>IF(B2030="","",IFERROR(INDEX(Client_List!$C:$C,MATCH(VALUE(B2030),Client_List!$A:$A,0)),""))</f>
        <v/>
      </c>
      <c r="F2030" s="53">
        <f>IF(B2030="","",IFERROR(INDEX(Client_List!$D:$D,MATCH(VALUE(B2030),Client_List!$A:$A,0)),""))</f>
        <v/>
      </c>
      <c r="G2030" s="53">
        <f>IF(B2030="","",IFERROR(INDEX(Client_List!$K:$K,MATCH(VALUE(B2030),Client_List!$A:$A,0)),""))</f>
        <v/>
      </c>
      <c r="H2030" s="32">
        <f>IF(B2030="","",IFERROR(INDEX(Client_List!$J:$J,MATCH(VALUE(B2030),Client_List!$A:$A,0)),""))</f>
        <v/>
      </c>
      <c r="I2030" s="70">
        <f>IF(B2030="","",IFERROR(A2030-LOOKUP(2,1/($B$4:$B2029=B2030),$A$4:$A2029),""))</f>
        <v/>
      </c>
      <c r="J2030" s="32">
        <f>IF(B2030="","",IFERROR(D2030/I2030,""))</f>
        <v/>
      </c>
      <c r="K2030" s="71">
        <f>IF(B2030="","",IFERROR(AVERAGEIFS($J$4:$J2030,$B$4:$B2030,B2030,$J$4:$J2030,"&gt;"&amp;0),""))</f>
        <v/>
      </c>
      <c r="L2030" s="12" t="n"/>
    </row>
    <row r="2031" ht="14" customHeight="1" s="72">
      <c r="A2031" s="78" t="n"/>
      <c r="B2031" s="79" t="n"/>
      <c r="C2031" s="69">
        <f>IF(B2031="","",IFERROR(INDEX(Client_List!$B:$B,MATCH(B2031,Client_List!$A:$A,0)),"⚠ NOT FOUND"))</f>
        <v/>
      </c>
      <c r="D2031" s="44" t="n"/>
      <c r="E2031" s="32">
        <f>IF(B2031="","",IFERROR(INDEX(Client_List!$C:$C,MATCH(VALUE(B2031),Client_List!$A:$A,0)),""))</f>
        <v/>
      </c>
      <c r="F2031" s="53">
        <f>IF(B2031="","",IFERROR(INDEX(Client_List!$D:$D,MATCH(VALUE(B2031),Client_List!$A:$A,0)),""))</f>
        <v/>
      </c>
      <c r="G2031" s="53">
        <f>IF(B2031="","",IFERROR(INDEX(Client_List!$K:$K,MATCH(VALUE(B2031),Client_List!$A:$A,0)),""))</f>
        <v/>
      </c>
      <c r="H2031" s="32">
        <f>IF(B2031="","",IFERROR(INDEX(Client_List!$J:$J,MATCH(VALUE(B2031),Client_List!$A:$A,0)),""))</f>
        <v/>
      </c>
      <c r="I2031" s="70">
        <f>IF(B2031="","",IFERROR(A2031-LOOKUP(2,1/($B$4:$B2030=B2031),$A$4:$A2030),""))</f>
        <v/>
      </c>
      <c r="J2031" s="32">
        <f>IF(B2031="","",IFERROR(D2031/I2031,""))</f>
        <v/>
      </c>
      <c r="K2031" s="71">
        <f>IF(B2031="","",IFERROR(AVERAGEIFS($J$4:$J2031,$B$4:$B2031,B2031,$J$4:$J2031,"&gt;"&amp;0),""))</f>
        <v/>
      </c>
      <c r="L2031" s="11" t="n"/>
    </row>
    <row r="2032" ht="14" customHeight="1" s="72">
      <c r="A2032" s="80" t="n"/>
      <c r="B2032" s="81" t="n"/>
      <c r="C2032" s="69">
        <f>IF(B2032="","",IFERROR(INDEX(Client_List!$B:$B,MATCH(B2032,Client_List!$A:$A,0)),"⚠ NOT FOUND"))</f>
        <v/>
      </c>
      <c r="D2032" s="45" t="n"/>
      <c r="E2032" s="32">
        <f>IF(B2032="","",IFERROR(INDEX(Client_List!$C:$C,MATCH(VALUE(B2032),Client_List!$A:$A,0)),""))</f>
        <v/>
      </c>
      <c r="F2032" s="53">
        <f>IF(B2032="","",IFERROR(INDEX(Client_List!$D:$D,MATCH(VALUE(B2032),Client_List!$A:$A,0)),""))</f>
        <v/>
      </c>
      <c r="G2032" s="53">
        <f>IF(B2032="","",IFERROR(INDEX(Client_List!$K:$K,MATCH(VALUE(B2032),Client_List!$A:$A,0)),""))</f>
        <v/>
      </c>
      <c r="H2032" s="32">
        <f>IF(B2032="","",IFERROR(INDEX(Client_List!$J:$J,MATCH(VALUE(B2032),Client_List!$A:$A,0)),""))</f>
        <v/>
      </c>
      <c r="I2032" s="70">
        <f>IF(B2032="","",IFERROR(A2032-LOOKUP(2,1/($B$4:$B2031=B2032),$A$4:$A2031),""))</f>
        <v/>
      </c>
      <c r="J2032" s="32">
        <f>IF(B2032="","",IFERROR(D2032/I2032,""))</f>
        <v/>
      </c>
      <c r="K2032" s="71">
        <f>IF(B2032="","",IFERROR(AVERAGEIFS($J$4:$J2032,$B$4:$B2032,B2032,$J$4:$J2032,"&gt;"&amp;0),""))</f>
        <v/>
      </c>
      <c r="L2032" s="12" t="n"/>
    </row>
    <row r="2033" ht="14" customHeight="1" s="72">
      <c r="A2033" s="78" t="n"/>
      <c r="B2033" s="79" t="n"/>
      <c r="C2033" s="69">
        <f>IF(B2033="","",IFERROR(INDEX(Client_List!$B:$B,MATCH(B2033,Client_List!$A:$A,0)),"⚠ NOT FOUND"))</f>
        <v/>
      </c>
      <c r="D2033" s="44" t="n"/>
      <c r="E2033" s="32">
        <f>IF(B2033="","",IFERROR(INDEX(Client_List!$C:$C,MATCH(VALUE(B2033),Client_List!$A:$A,0)),""))</f>
        <v/>
      </c>
      <c r="F2033" s="53">
        <f>IF(B2033="","",IFERROR(INDEX(Client_List!$D:$D,MATCH(VALUE(B2033),Client_List!$A:$A,0)),""))</f>
        <v/>
      </c>
      <c r="G2033" s="53">
        <f>IF(B2033="","",IFERROR(INDEX(Client_List!$K:$K,MATCH(VALUE(B2033),Client_List!$A:$A,0)),""))</f>
        <v/>
      </c>
      <c r="H2033" s="32">
        <f>IF(B2033="","",IFERROR(INDEX(Client_List!$J:$J,MATCH(VALUE(B2033),Client_List!$A:$A,0)),""))</f>
        <v/>
      </c>
      <c r="I2033" s="70">
        <f>IF(B2033="","",IFERROR(A2033-LOOKUP(2,1/($B$4:$B2032=B2033),$A$4:$A2032),""))</f>
        <v/>
      </c>
      <c r="J2033" s="32">
        <f>IF(B2033="","",IFERROR(D2033/I2033,""))</f>
        <v/>
      </c>
      <c r="K2033" s="71">
        <f>IF(B2033="","",IFERROR(AVERAGEIFS($J$4:$J2033,$B$4:$B2033,B2033,$J$4:$J2033,"&gt;"&amp;0),""))</f>
        <v/>
      </c>
      <c r="L2033" s="11" t="n"/>
    </row>
    <row r="2034" ht="14" customHeight="1" s="72">
      <c r="A2034" s="80" t="n"/>
      <c r="B2034" s="81" t="n"/>
      <c r="C2034" s="69">
        <f>IF(B2034="","",IFERROR(INDEX(Client_List!$B:$B,MATCH(B2034,Client_List!$A:$A,0)),"⚠ NOT FOUND"))</f>
        <v/>
      </c>
      <c r="D2034" s="45" t="n"/>
      <c r="E2034" s="32">
        <f>IF(B2034="","",IFERROR(INDEX(Client_List!$C:$C,MATCH(VALUE(B2034),Client_List!$A:$A,0)),""))</f>
        <v/>
      </c>
      <c r="F2034" s="53">
        <f>IF(B2034="","",IFERROR(INDEX(Client_List!$D:$D,MATCH(VALUE(B2034),Client_List!$A:$A,0)),""))</f>
        <v/>
      </c>
      <c r="G2034" s="53">
        <f>IF(B2034="","",IFERROR(INDEX(Client_List!$K:$K,MATCH(VALUE(B2034),Client_List!$A:$A,0)),""))</f>
        <v/>
      </c>
      <c r="H2034" s="32">
        <f>IF(B2034="","",IFERROR(INDEX(Client_List!$J:$J,MATCH(VALUE(B2034),Client_List!$A:$A,0)),""))</f>
        <v/>
      </c>
      <c r="I2034" s="70">
        <f>IF(B2034="","",IFERROR(A2034-LOOKUP(2,1/($B$4:$B2033=B2034),$A$4:$A2033),""))</f>
        <v/>
      </c>
      <c r="J2034" s="32">
        <f>IF(B2034="","",IFERROR(D2034/I2034,""))</f>
        <v/>
      </c>
      <c r="K2034" s="71">
        <f>IF(B2034="","",IFERROR(AVERAGEIFS($J$4:$J2034,$B$4:$B2034,B2034,$J$4:$J2034,"&gt;"&amp;0),""))</f>
        <v/>
      </c>
      <c r="L2034" s="12" t="n"/>
    </row>
    <row r="2035" ht="14" customHeight="1" s="72">
      <c r="A2035" s="78" t="n"/>
      <c r="B2035" s="79" t="n"/>
      <c r="C2035" s="69">
        <f>IF(B2035="","",IFERROR(INDEX(Client_List!$B:$B,MATCH(B2035,Client_List!$A:$A,0)),"⚠ NOT FOUND"))</f>
        <v/>
      </c>
      <c r="D2035" s="44" t="n"/>
      <c r="E2035" s="32">
        <f>IF(B2035="","",IFERROR(INDEX(Client_List!$C:$C,MATCH(VALUE(B2035),Client_List!$A:$A,0)),""))</f>
        <v/>
      </c>
      <c r="F2035" s="53">
        <f>IF(B2035="","",IFERROR(INDEX(Client_List!$D:$D,MATCH(VALUE(B2035),Client_List!$A:$A,0)),""))</f>
        <v/>
      </c>
      <c r="G2035" s="53">
        <f>IF(B2035="","",IFERROR(INDEX(Client_List!$K:$K,MATCH(VALUE(B2035),Client_List!$A:$A,0)),""))</f>
        <v/>
      </c>
      <c r="H2035" s="32">
        <f>IF(B2035="","",IFERROR(INDEX(Client_List!$J:$J,MATCH(VALUE(B2035),Client_List!$A:$A,0)),""))</f>
        <v/>
      </c>
      <c r="I2035" s="70">
        <f>IF(B2035="","",IFERROR(A2035-LOOKUP(2,1/($B$4:$B2034=B2035),$A$4:$A2034),""))</f>
        <v/>
      </c>
      <c r="J2035" s="32">
        <f>IF(B2035="","",IFERROR(D2035/I2035,""))</f>
        <v/>
      </c>
      <c r="K2035" s="71">
        <f>IF(B2035="","",IFERROR(AVERAGEIFS($J$4:$J2035,$B$4:$B2035,B2035,$J$4:$J2035,"&gt;"&amp;0),""))</f>
        <v/>
      </c>
      <c r="L2035" s="11" t="n"/>
    </row>
    <row r="2036" ht="14" customHeight="1" s="72">
      <c r="A2036" s="80" t="n"/>
      <c r="B2036" s="81" t="n"/>
      <c r="C2036" s="69">
        <f>IF(B2036="","",IFERROR(INDEX(Client_List!$B:$B,MATCH(B2036,Client_List!$A:$A,0)),"⚠ NOT FOUND"))</f>
        <v/>
      </c>
      <c r="D2036" s="45" t="n"/>
      <c r="E2036" s="32">
        <f>IF(B2036="","",IFERROR(INDEX(Client_List!$C:$C,MATCH(VALUE(B2036),Client_List!$A:$A,0)),""))</f>
        <v/>
      </c>
      <c r="F2036" s="53">
        <f>IF(B2036="","",IFERROR(INDEX(Client_List!$D:$D,MATCH(VALUE(B2036),Client_List!$A:$A,0)),""))</f>
        <v/>
      </c>
      <c r="G2036" s="53">
        <f>IF(B2036="","",IFERROR(INDEX(Client_List!$K:$K,MATCH(VALUE(B2036),Client_List!$A:$A,0)),""))</f>
        <v/>
      </c>
      <c r="H2036" s="32">
        <f>IF(B2036="","",IFERROR(INDEX(Client_List!$J:$J,MATCH(VALUE(B2036),Client_List!$A:$A,0)),""))</f>
        <v/>
      </c>
      <c r="I2036" s="70">
        <f>IF(B2036="","",IFERROR(A2036-LOOKUP(2,1/($B$4:$B2035=B2036),$A$4:$A2035),""))</f>
        <v/>
      </c>
      <c r="J2036" s="32">
        <f>IF(B2036="","",IFERROR(D2036/I2036,""))</f>
        <v/>
      </c>
      <c r="K2036" s="71">
        <f>IF(B2036="","",IFERROR(AVERAGEIFS($J$4:$J2036,$B$4:$B2036,B2036,$J$4:$J2036,"&gt;"&amp;0),""))</f>
        <v/>
      </c>
      <c r="L2036" s="12" t="n"/>
    </row>
    <row r="2037" ht="14" customHeight="1" s="72">
      <c r="A2037" s="78" t="n"/>
      <c r="B2037" s="79" t="n"/>
      <c r="C2037" s="69">
        <f>IF(B2037="","",IFERROR(INDEX(Client_List!$B:$B,MATCH(B2037,Client_List!$A:$A,0)),"⚠ NOT FOUND"))</f>
        <v/>
      </c>
      <c r="D2037" s="44" t="n"/>
      <c r="E2037" s="32">
        <f>IF(B2037="","",IFERROR(INDEX(Client_List!$C:$C,MATCH(VALUE(B2037),Client_List!$A:$A,0)),""))</f>
        <v/>
      </c>
      <c r="F2037" s="53">
        <f>IF(B2037="","",IFERROR(INDEX(Client_List!$D:$D,MATCH(VALUE(B2037),Client_List!$A:$A,0)),""))</f>
        <v/>
      </c>
      <c r="G2037" s="53">
        <f>IF(B2037="","",IFERROR(INDEX(Client_List!$K:$K,MATCH(VALUE(B2037),Client_List!$A:$A,0)),""))</f>
        <v/>
      </c>
      <c r="H2037" s="32">
        <f>IF(B2037="","",IFERROR(INDEX(Client_List!$J:$J,MATCH(VALUE(B2037),Client_List!$A:$A,0)),""))</f>
        <v/>
      </c>
      <c r="I2037" s="70">
        <f>IF(B2037="","",IFERROR(A2037-LOOKUP(2,1/($B$4:$B2036=B2037),$A$4:$A2036),""))</f>
        <v/>
      </c>
      <c r="J2037" s="32">
        <f>IF(B2037="","",IFERROR(D2037/I2037,""))</f>
        <v/>
      </c>
      <c r="K2037" s="71">
        <f>IF(B2037="","",IFERROR(AVERAGEIFS($J$4:$J2037,$B$4:$B2037,B2037,$J$4:$J2037,"&gt;"&amp;0),""))</f>
        <v/>
      </c>
      <c r="L2037" s="11" t="n"/>
    </row>
    <row r="2038" ht="14" customHeight="1" s="72">
      <c r="A2038" s="80" t="n"/>
      <c r="B2038" s="81" t="n"/>
      <c r="C2038" s="69">
        <f>IF(B2038="","",IFERROR(INDEX(Client_List!$B:$B,MATCH(B2038,Client_List!$A:$A,0)),"⚠ NOT FOUND"))</f>
        <v/>
      </c>
      <c r="D2038" s="45" t="n"/>
      <c r="E2038" s="32">
        <f>IF(B2038="","",IFERROR(INDEX(Client_List!$C:$C,MATCH(VALUE(B2038),Client_List!$A:$A,0)),""))</f>
        <v/>
      </c>
      <c r="F2038" s="53">
        <f>IF(B2038="","",IFERROR(INDEX(Client_List!$D:$D,MATCH(VALUE(B2038),Client_List!$A:$A,0)),""))</f>
        <v/>
      </c>
      <c r="G2038" s="53">
        <f>IF(B2038="","",IFERROR(INDEX(Client_List!$K:$K,MATCH(VALUE(B2038),Client_List!$A:$A,0)),""))</f>
        <v/>
      </c>
      <c r="H2038" s="32">
        <f>IF(B2038="","",IFERROR(INDEX(Client_List!$J:$J,MATCH(VALUE(B2038),Client_List!$A:$A,0)),""))</f>
        <v/>
      </c>
      <c r="I2038" s="70">
        <f>IF(B2038="","",IFERROR(A2038-LOOKUP(2,1/($B$4:$B2037=B2038),$A$4:$A2037),""))</f>
        <v/>
      </c>
      <c r="J2038" s="32">
        <f>IF(B2038="","",IFERROR(D2038/I2038,""))</f>
        <v/>
      </c>
      <c r="K2038" s="71">
        <f>IF(B2038="","",IFERROR(AVERAGEIFS($J$4:$J2038,$B$4:$B2038,B2038,$J$4:$J2038,"&gt;"&amp;0),""))</f>
        <v/>
      </c>
      <c r="L2038" s="12" t="n"/>
    </row>
    <row r="2039" ht="14" customHeight="1" s="72">
      <c r="A2039" s="78" t="n"/>
      <c r="B2039" s="79" t="n"/>
      <c r="C2039" s="69">
        <f>IF(B2039="","",IFERROR(INDEX(Client_List!$B:$B,MATCH(B2039,Client_List!$A:$A,0)),"⚠ NOT FOUND"))</f>
        <v/>
      </c>
      <c r="D2039" s="44" t="n"/>
      <c r="E2039" s="32">
        <f>IF(B2039="","",IFERROR(INDEX(Client_List!$C:$C,MATCH(VALUE(B2039),Client_List!$A:$A,0)),""))</f>
        <v/>
      </c>
      <c r="F2039" s="53">
        <f>IF(B2039="","",IFERROR(INDEX(Client_List!$D:$D,MATCH(VALUE(B2039),Client_List!$A:$A,0)),""))</f>
        <v/>
      </c>
      <c r="G2039" s="53">
        <f>IF(B2039="","",IFERROR(INDEX(Client_List!$K:$K,MATCH(VALUE(B2039),Client_List!$A:$A,0)),""))</f>
        <v/>
      </c>
      <c r="H2039" s="32">
        <f>IF(B2039="","",IFERROR(INDEX(Client_List!$J:$J,MATCH(VALUE(B2039),Client_List!$A:$A,0)),""))</f>
        <v/>
      </c>
      <c r="I2039" s="70">
        <f>IF(B2039="","",IFERROR(A2039-LOOKUP(2,1/($B$4:$B2038=B2039),$A$4:$A2038),""))</f>
        <v/>
      </c>
      <c r="J2039" s="32">
        <f>IF(B2039="","",IFERROR(D2039/I2039,""))</f>
        <v/>
      </c>
      <c r="K2039" s="71">
        <f>IF(B2039="","",IFERROR(AVERAGEIFS($J$4:$J2039,$B$4:$B2039,B2039,$J$4:$J2039,"&gt;"&amp;0),""))</f>
        <v/>
      </c>
      <c r="L2039" s="11" t="n"/>
    </row>
    <row r="2040" ht="14" customHeight="1" s="72">
      <c r="A2040" s="80" t="n"/>
      <c r="B2040" s="81" t="n"/>
      <c r="C2040" s="69">
        <f>IF(B2040="","",IFERROR(INDEX(Client_List!$B:$B,MATCH(B2040,Client_List!$A:$A,0)),"⚠ NOT FOUND"))</f>
        <v/>
      </c>
      <c r="D2040" s="45" t="n"/>
      <c r="E2040" s="32">
        <f>IF(B2040="","",IFERROR(INDEX(Client_List!$C:$C,MATCH(VALUE(B2040),Client_List!$A:$A,0)),""))</f>
        <v/>
      </c>
      <c r="F2040" s="53">
        <f>IF(B2040="","",IFERROR(INDEX(Client_List!$D:$D,MATCH(VALUE(B2040),Client_List!$A:$A,0)),""))</f>
        <v/>
      </c>
      <c r="G2040" s="53">
        <f>IF(B2040="","",IFERROR(INDEX(Client_List!$K:$K,MATCH(VALUE(B2040),Client_List!$A:$A,0)),""))</f>
        <v/>
      </c>
      <c r="H2040" s="32">
        <f>IF(B2040="","",IFERROR(INDEX(Client_List!$J:$J,MATCH(VALUE(B2040),Client_List!$A:$A,0)),""))</f>
        <v/>
      </c>
      <c r="I2040" s="70">
        <f>IF(B2040="","",IFERROR(A2040-LOOKUP(2,1/($B$4:$B2039=B2040),$A$4:$A2039),""))</f>
        <v/>
      </c>
      <c r="J2040" s="32">
        <f>IF(B2040="","",IFERROR(D2040/I2040,""))</f>
        <v/>
      </c>
      <c r="K2040" s="71">
        <f>IF(B2040="","",IFERROR(AVERAGEIFS($J$4:$J2040,$B$4:$B2040,B2040,$J$4:$J2040,"&gt;"&amp;0),""))</f>
        <v/>
      </c>
      <c r="L2040" s="12" t="n"/>
    </row>
    <row r="2041" ht="14" customHeight="1" s="72">
      <c r="A2041" s="78" t="n"/>
      <c r="B2041" s="79" t="n"/>
      <c r="C2041" s="69">
        <f>IF(B2041="","",IFERROR(INDEX(Client_List!$B:$B,MATCH(B2041,Client_List!$A:$A,0)),"⚠ NOT FOUND"))</f>
        <v/>
      </c>
      <c r="D2041" s="44" t="n"/>
      <c r="E2041" s="32">
        <f>IF(B2041="","",IFERROR(INDEX(Client_List!$C:$C,MATCH(VALUE(B2041),Client_List!$A:$A,0)),""))</f>
        <v/>
      </c>
      <c r="F2041" s="53">
        <f>IF(B2041="","",IFERROR(INDEX(Client_List!$D:$D,MATCH(VALUE(B2041),Client_List!$A:$A,0)),""))</f>
        <v/>
      </c>
      <c r="G2041" s="53">
        <f>IF(B2041="","",IFERROR(INDEX(Client_List!$K:$K,MATCH(VALUE(B2041),Client_List!$A:$A,0)),""))</f>
        <v/>
      </c>
      <c r="H2041" s="32">
        <f>IF(B2041="","",IFERROR(INDEX(Client_List!$J:$J,MATCH(VALUE(B2041),Client_List!$A:$A,0)),""))</f>
        <v/>
      </c>
      <c r="I2041" s="70">
        <f>IF(B2041="","",IFERROR(A2041-LOOKUP(2,1/($B$4:$B2040=B2041),$A$4:$A2040),""))</f>
        <v/>
      </c>
      <c r="J2041" s="32">
        <f>IF(B2041="","",IFERROR(D2041/I2041,""))</f>
        <v/>
      </c>
      <c r="K2041" s="71">
        <f>IF(B2041="","",IFERROR(AVERAGEIFS($J$4:$J2041,$B$4:$B2041,B2041,$J$4:$J2041,"&gt;"&amp;0),""))</f>
        <v/>
      </c>
      <c r="L2041" s="11" t="n"/>
    </row>
    <row r="2042" ht="14" customHeight="1" s="72">
      <c r="A2042" s="80" t="n"/>
      <c r="B2042" s="81" t="n"/>
      <c r="C2042" s="69">
        <f>IF(B2042="","",IFERROR(INDEX(Client_List!$B:$B,MATCH(B2042,Client_List!$A:$A,0)),"⚠ NOT FOUND"))</f>
        <v/>
      </c>
      <c r="D2042" s="45" t="n"/>
      <c r="E2042" s="32">
        <f>IF(B2042="","",IFERROR(INDEX(Client_List!$C:$C,MATCH(VALUE(B2042),Client_List!$A:$A,0)),""))</f>
        <v/>
      </c>
      <c r="F2042" s="53">
        <f>IF(B2042="","",IFERROR(INDEX(Client_List!$D:$D,MATCH(VALUE(B2042),Client_List!$A:$A,0)),""))</f>
        <v/>
      </c>
      <c r="G2042" s="53">
        <f>IF(B2042="","",IFERROR(INDEX(Client_List!$K:$K,MATCH(VALUE(B2042),Client_List!$A:$A,0)),""))</f>
        <v/>
      </c>
      <c r="H2042" s="32">
        <f>IF(B2042="","",IFERROR(INDEX(Client_List!$J:$J,MATCH(VALUE(B2042),Client_List!$A:$A,0)),""))</f>
        <v/>
      </c>
      <c r="I2042" s="70">
        <f>IF(B2042="","",IFERROR(A2042-LOOKUP(2,1/($B$4:$B2041=B2042),$A$4:$A2041),""))</f>
        <v/>
      </c>
      <c r="J2042" s="32">
        <f>IF(B2042="","",IFERROR(D2042/I2042,""))</f>
        <v/>
      </c>
      <c r="K2042" s="71">
        <f>IF(B2042="","",IFERROR(AVERAGEIFS($J$4:$J2042,$B$4:$B2042,B2042,$J$4:$J2042,"&gt;"&amp;0),""))</f>
        <v/>
      </c>
      <c r="L2042" s="12" t="n"/>
    </row>
    <row r="2043" ht="14" customHeight="1" s="72">
      <c r="A2043" s="78" t="n"/>
      <c r="B2043" s="79" t="n"/>
      <c r="C2043" s="69">
        <f>IF(B2043="","",IFERROR(INDEX(Client_List!$B:$B,MATCH(B2043,Client_List!$A:$A,0)),"⚠ NOT FOUND"))</f>
        <v/>
      </c>
      <c r="D2043" s="44" t="n"/>
      <c r="E2043" s="32">
        <f>IF(B2043="","",IFERROR(INDEX(Client_List!$C:$C,MATCH(VALUE(B2043),Client_List!$A:$A,0)),""))</f>
        <v/>
      </c>
      <c r="F2043" s="53">
        <f>IF(B2043="","",IFERROR(INDEX(Client_List!$D:$D,MATCH(VALUE(B2043),Client_List!$A:$A,0)),""))</f>
        <v/>
      </c>
      <c r="G2043" s="53">
        <f>IF(B2043="","",IFERROR(INDEX(Client_List!$K:$K,MATCH(VALUE(B2043),Client_List!$A:$A,0)),""))</f>
        <v/>
      </c>
      <c r="H2043" s="32">
        <f>IF(B2043="","",IFERROR(INDEX(Client_List!$J:$J,MATCH(VALUE(B2043),Client_List!$A:$A,0)),""))</f>
        <v/>
      </c>
      <c r="I2043" s="70">
        <f>IF(B2043="","",IFERROR(A2043-LOOKUP(2,1/($B$4:$B2042=B2043),$A$4:$A2042),""))</f>
        <v/>
      </c>
      <c r="J2043" s="32">
        <f>IF(B2043="","",IFERROR(D2043/I2043,""))</f>
        <v/>
      </c>
      <c r="K2043" s="71">
        <f>IF(B2043="","",IFERROR(AVERAGEIFS($J$4:$J2043,$B$4:$B2043,B2043,$J$4:$J2043,"&gt;"&amp;0),""))</f>
        <v/>
      </c>
      <c r="L2043" s="11" t="n"/>
    </row>
    <row r="2044" ht="14" customHeight="1" s="72">
      <c r="A2044" s="80" t="n"/>
      <c r="B2044" s="81" t="n"/>
      <c r="C2044" s="69">
        <f>IF(B2044="","",IFERROR(INDEX(Client_List!$B:$B,MATCH(B2044,Client_List!$A:$A,0)),"⚠ NOT FOUND"))</f>
        <v/>
      </c>
      <c r="D2044" s="45" t="n"/>
      <c r="E2044" s="32">
        <f>IF(B2044="","",IFERROR(INDEX(Client_List!$C:$C,MATCH(VALUE(B2044),Client_List!$A:$A,0)),""))</f>
        <v/>
      </c>
      <c r="F2044" s="53">
        <f>IF(B2044="","",IFERROR(INDEX(Client_List!$D:$D,MATCH(VALUE(B2044),Client_List!$A:$A,0)),""))</f>
        <v/>
      </c>
      <c r="G2044" s="53">
        <f>IF(B2044="","",IFERROR(INDEX(Client_List!$K:$K,MATCH(VALUE(B2044),Client_List!$A:$A,0)),""))</f>
        <v/>
      </c>
      <c r="H2044" s="32">
        <f>IF(B2044="","",IFERROR(INDEX(Client_List!$J:$J,MATCH(VALUE(B2044),Client_List!$A:$A,0)),""))</f>
        <v/>
      </c>
      <c r="I2044" s="70">
        <f>IF(B2044="","",IFERROR(A2044-LOOKUP(2,1/($B$4:$B2043=B2044),$A$4:$A2043),""))</f>
        <v/>
      </c>
      <c r="J2044" s="32">
        <f>IF(B2044="","",IFERROR(D2044/I2044,""))</f>
        <v/>
      </c>
      <c r="K2044" s="71">
        <f>IF(B2044="","",IFERROR(AVERAGEIFS($J$4:$J2044,$B$4:$B2044,B2044,$J$4:$J2044,"&gt;"&amp;0),""))</f>
        <v/>
      </c>
      <c r="L2044" s="12" t="n"/>
    </row>
    <row r="2045" ht="14" customHeight="1" s="72">
      <c r="A2045" s="78" t="n"/>
      <c r="B2045" s="79" t="n"/>
      <c r="C2045" s="69">
        <f>IF(B2045="","",IFERROR(INDEX(Client_List!$B:$B,MATCH(B2045,Client_List!$A:$A,0)),"⚠ NOT FOUND"))</f>
        <v/>
      </c>
      <c r="D2045" s="44" t="n"/>
      <c r="E2045" s="32">
        <f>IF(B2045="","",IFERROR(INDEX(Client_List!$C:$C,MATCH(VALUE(B2045),Client_List!$A:$A,0)),""))</f>
        <v/>
      </c>
      <c r="F2045" s="53">
        <f>IF(B2045="","",IFERROR(INDEX(Client_List!$D:$D,MATCH(VALUE(B2045),Client_List!$A:$A,0)),""))</f>
        <v/>
      </c>
      <c r="G2045" s="53">
        <f>IF(B2045="","",IFERROR(INDEX(Client_List!$K:$K,MATCH(VALUE(B2045),Client_List!$A:$A,0)),""))</f>
        <v/>
      </c>
      <c r="H2045" s="32">
        <f>IF(B2045="","",IFERROR(INDEX(Client_List!$J:$J,MATCH(VALUE(B2045),Client_List!$A:$A,0)),""))</f>
        <v/>
      </c>
      <c r="I2045" s="70">
        <f>IF(B2045="","",IFERROR(A2045-LOOKUP(2,1/($B$4:$B2044=B2045),$A$4:$A2044),""))</f>
        <v/>
      </c>
      <c r="J2045" s="32">
        <f>IF(B2045="","",IFERROR(D2045/I2045,""))</f>
        <v/>
      </c>
      <c r="K2045" s="71">
        <f>IF(B2045="","",IFERROR(AVERAGEIFS($J$4:$J2045,$B$4:$B2045,B2045,$J$4:$J2045,"&gt;"&amp;0),""))</f>
        <v/>
      </c>
      <c r="L2045" s="11" t="n"/>
    </row>
    <row r="2046" ht="14" customHeight="1" s="72">
      <c r="A2046" s="80" t="n"/>
      <c r="B2046" s="81" t="n"/>
      <c r="C2046" s="69">
        <f>IF(B2046="","",IFERROR(INDEX(Client_List!$B:$B,MATCH(B2046,Client_List!$A:$A,0)),"⚠ NOT FOUND"))</f>
        <v/>
      </c>
      <c r="D2046" s="45" t="n"/>
      <c r="E2046" s="32">
        <f>IF(B2046="","",IFERROR(INDEX(Client_List!$C:$C,MATCH(VALUE(B2046),Client_List!$A:$A,0)),""))</f>
        <v/>
      </c>
      <c r="F2046" s="53">
        <f>IF(B2046="","",IFERROR(INDEX(Client_List!$D:$D,MATCH(VALUE(B2046),Client_List!$A:$A,0)),""))</f>
        <v/>
      </c>
      <c r="G2046" s="53">
        <f>IF(B2046="","",IFERROR(INDEX(Client_List!$K:$K,MATCH(VALUE(B2046),Client_List!$A:$A,0)),""))</f>
        <v/>
      </c>
      <c r="H2046" s="32">
        <f>IF(B2046="","",IFERROR(INDEX(Client_List!$J:$J,MATCH(VALUE(B2046),Client_List!$A:$A,0)),""))</f>
        <v/>
      </c>
      <c r="I2046" s="70">
        <f>IF(B2046="","",IFERROR(A2046-LOOKUP(2,1/($B$4:$B2045=B2046),$A$4:$A2045),""))</f>
        <v/>
      </c>
      <c r="J2046" s="32">
        <f>IF(B2046="","",IFERROR(D2046/I2046,""))</f>
        <v/>
      </c>
      <c r="K2046" s="71">
        <f>IF(B2046="","",IFERROR(AVERAGEIFS($J$4:$J2046,$B$4:$B2046,B2046,$J$4:$J2046,"&gt;"&amp;0),""))</f>
        <v/>
      </c>
      <c r="L2046" s="12" t="n"/>
    </row>
    <row r="2047" ht="14" customHeight="1" s="72">
      <c r="A2047" s="78" t="n"/>
      <c r="B2047" s="79" t="n"/>
      <c r="C2047" s="69">
        <f>IF(B2047="","",IFERROR(INDEX(Client_List!$B:$B,MATCH(B2047,Client_List!$A:$A,0)),"⚠ NOT FOUND"))</f>
        <v/>
      </c>
      <c r="D2047" s="44" t="n"/>
      <c r="E2047" s="32">
        <f>IF(B2047="","",IFERROR(INDEX(Client_List!$C:$C,MATCH(VALUE(B2047),Client_List!$A:$A,0)),""))</f>
        <v/>
      </c>
      <c r="F2047" s="53">
        <f>IF(B2047="","",IFERROR(INDEX(Client_List!$D:$D,MATCH(VALUE(B2047),Client_List!$A:$A,0)),""))</f>
        <v/>
      </c>
      <c r="G2047" s="53">
        <f>IF(B2047="","",IFERROR(INDEX(Client_List!$K:$K,MATCH(VALUE(B2047),Client_List!$A:$A,0)),""))</f>
        <v/>
      </c>
      <c r="H2047" s="32">
        <f>IF(B2047="","",IFERROR(INDEX(Client_List!$J:$J,MATCH(VALUE(B2047),Client_List!$A:$A,0)),""))</f>
        <v/>
      </c>
      <c r="I2047" s="70">
        <f>IF(B2047="","",IFERROR(A2047-LOOKUP(2,1/($B$4:$B2046=B2047),$A$4:$A2046),""))</f>
        <v/>
      </c>
      <c r="J2047" s="32">
        <f>IF(B2047="","",IFERROR(D2047/I2047,""))</f>
        <v/>
      </c>
      <c r="K2047" s="71">
        <f>IF(B2047="","",IFERROR(AVERAGEIFS($J$4:$J2047,$B$4:$B2047,B2047,$J$4:$J2047,"&gt;"&amp;0),""))</f>
        <v/>
      </c>
      <c r="L2047" s="11" t="n"/>
    </row>
    <row r="2048" ht="14" customHeight="1" s="72">
      <c r="A2048" s="80" t="n"/>
      <c r="B2048" s="81" t="n"/>
      <c r="C2048" s="69">
        <f>IF(B2048="","",IFERROR(INDEX(Client_List!$B:$B,MATCH(B2048,Client_List!$A:$A,0)),"⚠ NOT FOUND"))</f>
        <v/>
      </c>
      <c r="D2048" s="45" t="n"/>
      <c r="E2048" s="32">
        <f>IF(B2048="","",IFERROR(INDEX(Client_List!$C:$C,MATCH(VALUE(B2048),Client_List!$A:$A,0)),""))</f>
        <v/>
      </c>
      <c r="F2048" s="53">
        <f>IF(B2048="","",IFERROR(INDEX(Client_List!$D:$D,MATCH(VALUE(B2048),Client_List!$A:$A,0)),""))</f>
        <v/>
      </c>
      <c r="G2048" s="53">
        <f>IF(B2048="","",IFERROR(INDEX(Client_List!$K:$K,MATCH(VALUE(B2048),Client_List!$A:$A,0)),""))</f>
        <v/>
      </c>
      <c r="H2048" s="32">
        <f>IF(B2048="","",IFERROR(INDEX(Client_List!$J:$J,MATCH(VALUE(B2048),Client_List!$A:$A,0)),""))</f>
        <v/>
      </c>
      <c r="I2048" s="70">
        <f>IF(B2048="","",IFERROR(A2048-LOOKUP(2,1/($B$4:$B2047=B2048),$A$4:$A2047),""))</f>
        <v/>
      </c>
      <c r="J2048" s="32">
        <f>IF(B2048="","",IFERROR(D2048/I2048,""))</f>
        <v/>
      </c>
      <c r="K2048" s="71">
        <f>IF(B2048="","",IFERROR(AVERAGEIFS($J$4:$J2048,$B$4:$B2048,B2048,$J$4:$J2048,"&gt;"&amp;0),""))</f>
        <v/>
      </c>
      <c r="L2048" s="12" t="n"/>
    </row>
    <row r="2049" ht="14" customHeight="1" s="72">
      <c r="A2049" s="78" t="n"/>
      <c r="B2049" s="79" t="n"/>
      <c r="C2049" s="69">
        <f>IF(B2049="","",IFERROR(INDEX(Client_List!$B:$B,MATCH(B2049,Client_List!$A:$A,0)),"⚠ NOT FOUND"))</f>
        <v/>
      </c>
      <c r="D2049" s="44" t="n"/>
      <c r="E2049" s="32">
        <f>IF(B2049="","",IFERROR(INDEX(Client_List!$C:$C,MATCH(VALUE(B2049),Client_List!$A:$A,0)),""))</f>
        <v/>
      </c>
      <c r="F2049" s="53">
        <f>IF(B2049="","",IFERROR(INDEX(Client_List!$D:$D,MATCH(VALUE(B2049),Client_List!$A:$A,0)),""))</f>
        <v/>
      </c>
      <c r="G2049" s="53">
        <f>IF(B2049="","",IFERROR(INDEX(Client_List!$K:$K,MATCH(VALUE(B2049),Client_List!$A:$A,0)),""))</f>
        <v/>
      </c>
      <c r="H2049" s="32">
        <f>IF(B2049="","",IFERROR(INDEX(Client_List!$J:$J,MATCH(VALUE(B2049),Client_List!$A:$A,0)),""))</f>
        <v/>
      </c>
      <c r="I2049" s="70">
        <f>IF(B2049="","",IFERROR(A2049-LOOKUP(2,1/($B$4:$B2048=B2049),$A$4:$A2048),""))</f>
        <v/>
      </c>
      <c r="J2049" s="32">
        <f>IF(B2049="","",IFERROR(D2049/I2049,""))</f>
        <v/>
      </c>
      <c r="K2049" s="71">
        <f>IF(B2049="","",IFERROR(AVERAGEIFS($J$4:$J2049,$B$4:$B2049,B2049,$J$4:$J2049,"&gt;"&amp;0),""))</f>
        <v/>
      </c>
      <c r="L2049" s="11" t="n"/>
    </row>
    <row r="2050" ht="14" customHeight="1" s="72">
      <c r="A2050" s="80" t="n"/>
      <c r="B2050" s="81" t="n"/>
      <c r="C2050" s="69">
        <f>IF(B2050="","",IFERROR(INDEX(Client_List!$B:$B,MATCH(B2050,Client_List!$A:$A,0)),"⚠ NOT FOUND"))</f>
        <v/>
      </c>
      <c r="D2050" s="45" t="n"/>
      <c r="E2050" s="32">
        <f>IF(B2050="","",IFERROR(INDEX(Client_List!$C:$C,MATCH(VALUE(B2050),Client_List!$A:$A,0)),""))</f>
        <v/>
      </c>
      <c r="F2050" s="53">
        <f>IF(B2050="","",IFERROR(INDEX(Client_List!$D:$D,MATCH(VALUE(B2050),Client_List!$A:$A,0)),""))</f>
        <v/>
      </c>
      <c r="G2050" s="53">
        <f>IF(B2050="","",IFERROR(INDEX(Client_List!$K:$K,MATCH(VALUE(B2050),Client_List!$A:$A,0)),""))</f>
        <v/>
      </c>
      <c r="H2050" s="32">
        <f>IF(B2050="","",IFERROR(INDEX(Client_List!$J:$J,MATCH(VALUE(B2050),Client_List!$A:$A,0)),""))</f>
        <v/>
      </c>
      <c r="I2050" s="70">
        <f>IF(B2050="","",IFERROR(A2050-LOOKUP(2,1/($B$4:$B2049=B2050),$A$4:$A2049),""))</f>
        <v/>
      </c>
      <c r="J2050" s="32">
        <f>IF(B2050="","",IFERROR(D2050/I2050,""))</f>
        <v/>
      </c>
      <c r="K2050" s="71">
        <f>IF(B2050="","",IFERROR(AVERAGEIFS($J$4:$J2050,$B$4:$B2050,B2050,$J$4:$J2050,"&gt;"&amp;0),""))</f>
        <v/>
      </c>
      <c r="L2050" s="12" t="n"/>
    </row>
    <row r="2051" ht="14" customHeight="1" s="72">
      <c r="A2051" s="78" t="n"/>
      <c r="B2051" s="79" t="n"/>
      <c r="C2051" s="69">
        <f>IF(B2051="","",IFERROR(INDEX(Client_List!$B:$B,MATCH(B2051,Client_List!$A:$A,0)),"⚠ NOT FOUND"))</f>
        <v/>
      </c>
      <c r="D2051" s="44" t="n"/>
      <c r="E2051" s="32">
        <f>IF(B2051="","",IFERROR(INDEX(Client_List!$C:$C,MATCH(VALUE(B2051),Client_List!$A:$A,0)),""))</f>
        <v/>
      </c>
      <c r="F2051" s="53">
        <f>IF(B2051="","",IFERROR(INDEX(Client_List!$D:$D,MATCH(VALUE(B2051),Client_List!$A:$A,0)),""))</f>
        <v/>
      </c>
      <c r="G2051" s="53">
        <f>IF(B2051="","",IFERROR(INDEX(Client_List!$K:$K,MATCH(VALUE(B2051),Client_List!$A:$A,0)),""))</f>
        <v/>
      </c>
      <c r="H2051" s="32">
        <f>IF(B2051="","",IFERROR(INDEX(Client_List!$J:$J,MATCH(VALUE(B2051),Client_List!$A:$A,0)),""))</f>
        <v/>
      </c>
      <c r="I2051" s="70">
        <f>IF(B2051="","",IFERROR(A2051-LOOKUP(2,1/($B$4:$B2050=B2051),$A$4:$A2050),""))</f>
        <v/>
      </c>
      <c r="J2051" s="32">
        <f>IF(B2051="","",IFERROR(D2051/I2051,""))</f>
        <v/>
      </c>
      <c r="K2051" s="71">
        <f>IF(B2051="","",IFERROR(AVERAGEIFS($J$4:$J2051,$B$4:$B2051,B2051,$J$4:$J2051,"&gt;"&amp;0),""))</f>
        <v/>
      </c>
      <c r="L2051" s="11" t="n"/>
    </row>
    <row r="2052" ht="14" customHeight="1" s="72">
      <c r="A2052" s="80" t="n"/>
      <c r="B2052" s="81" t="n"/>
      <c r="C2052" s="69">
        <f>IF(B2052="","",IFERROR(INDEX(Client_List!$B:$B,MATCH(B2052,Client_List!$A:$A,0)),"⚠ NOT FOUND"))</f>
        <v/>
      </c>
      <c r="D2052" s="45" t="n"/>
      <c r="E2052" s="32">
        <f>IF(B2052="","",IFERROR(INDEX(Client_List!$C:$C,MATCH(VALUE(B2052),Client_List!$A:$A,0)),""))</f>
        <v/>
      </c>
      <c r="F2052" s="53">
        <f>IF(B2052="","",IFERROR(INDEX(Client_List!$D:$D,MATCH(VALUE(B2052),Client_List!$A:$A,0)),""))</f>
        <v/>
      </c>
      <c r="G2052" s="53">
        <f>IF(B2052="","",IFERROR(INDEX(Client_List!$K:$K,MATCH(VALUE(B2052),Client_List!$A:$A,0)),""))</f>
        <v/>
      </c>
      <c r="H2052" s="32">
        <f>IF(B2052="","",IFERROR(INDEX(Client_List!$J:$J,MATCH(VALUE(B2052),Client_List!$A:$A,0)),""))</f>
        <v/>
      </c>
      <c r="I2052" s="70">
        <f>IF(B2052="","",IFERROR(A2052-LOOKUP(2,1/($B$4:$B2051=B2052),$A$4:$A2051),""))</f>
        <v/>
      </c>
      <c r="J2052" s="32">
        <f>IF(B2052="","",IFERROR(D2052/I2052,""))</f>
        <v/>
      </c>
      <c r="K2052" s="71">
        <f>IF(B2052="","",IFERROR(AVERAGEIFS($J$4:$J2052,$B$4:$B2052,B2052,$J$4:$J2052,"&gt;"&amp;0),""))</f>
        <v/>
      </c>
      <c r="L2052" s="12" t="n"/>
    </row>
    <row r="2053" ht="14" customHeight="1" s="72">
      <c r="A2053" s="78" t="n"/>
      <c r="B2053" s="79" t="n"/>
      <c r="C2053" s="69">
        <f>IF(B2053="","",IFERROR(INDEX(Client_List!$B:$B,MATCH(B2053,Client_List!$A:$A,0)),"⚠ NOT FOUND"))</f>
        <v/>
      </c>
      <c r="D2053" s="44" t="n"/>
      <c r="E2053" s="32">
        <f>IF(B2053="","",IFERROR(INDEX(Client_List!$C:$C,MATCH(VALUE(B2053),Client_List!$A:$A,0)),""))</f>
        <v/>
      </c>
      <c r="F2053" s="53">
        <f>IF(B2053="","",IFERROR(INDEX(Client_List!$D:$D,MATCH(VALUE(B2053),Client_List!$A:$A,0)),""))</f>
        <v/>
      </c>
      <c r="G2053" s="53">
        <f>IF(B2053="","",IFERROR(INDEX(Client_List!$K:$K,MATCH(VALUE(B2053),Client_List!$A:$A,0)),""))</f>
        <v/>
      </c>
      <c r="H2053" s="32">
        <f>IF(B2053="","",IFERROR(INDEX(Client_List!$J:$J,MATCH(VALUE(B2053),Client_List!$A:$A,0)),""))</f>
        <v/>
      </c>
      <c r="I2053" s="70">
        <f>IF(B2053="","",IFERROR(A2053-LOOKUP(2,1/($B$4:$B2052=B2053),$A$4:$A2052),""))</f>
        <v/>
      </c>
      <c r="J2053" s="32">
        <f>IF(B2053="","",IFERROR(D2053/I2053,""))</f>
        <v/>
      </c>
      <c r="K2053" s="71">
        <f>IF(B2053="","",IFERROR(AVERAGEIFS($J$4:$J2053,$B$4:$B2053,B2053,$J$4:$J2053,"&gt;"&amp;0),""))</f>
        <v/>
      </c>
      <c r="L2053" s="11" t="n"/>
    </row>
    <row r="2054" ht="14" customHeight="1" s="72">
      <c r="A2054" s="80" t="n"/>
      <c r="B2054" s="81" t="n"/>
      <c r="C2054" s="69">
        <f>IF(B2054="","",IFERROR(INDEX(Client_List!$B:$B,MATCH(B2054,Client_List!$A:$A,0)),"⚠ NOT FOUND"))</f>
        <v/>
      </c>
      <c r="D2054" s="45" t="n"/>
      <c r="E2054" s="32">
        <f>IF(B2054="","",IFERROR(INDEX(Client_List!$C:$C,MATCH(VALUE(B2054),Client_List!$A:$A,0)),""))</f>
        <v/>
      </c>
      <c r="F2054" s="53">
        <f>IF(B2054="","",IFERROR(INDEX(Client_List!$D:$D,MATCH(VALUE(B2054),Client_List!$A:$A,0)),""))</f>
        <v/>
      </c>
      <c r="G2054" s="53">
        <f>IF(B2054="","",IFERROR(INDEX(Client_List!$K:$K,MATCH(VALUE(B2054),Client_List!$A:$A,0)),""))</f>
        <v/>
      </c>
      <c r="H2054" s="32">
        <f>IF(B2054="","",IFERROR(INDEX(Client_List!$J:$J,MATCH(VALUE(B2054),Client_List!$A:$A,0)),""))</f>
        <v/>
      </c>
      <c r="I2054" s="70">
        <f>IF(B2054="","",IFERROR(A2054-LOOKUP(2,1/($B$4:$B2053=B2054),$A$4:$A2053),""))</f>
        <v/>
      </c>
      <c r="J2054" s="32">
        <f>IF(B2054="","",IFERROR(D2054/I2054,""))</f>
        <v/>
      </c>
      <c r="K2054" s="71">
        <f>IF(B2054="","",IFERROR(AVERAGEIFS($J$4:$J2054,$B$4:$B2054,B2054,$J$4:$J2054,"&gt;"&amp;0),""))</f>
        <v/>
      </c>
      <c r="L2054" s="12" t="n"/>
    </row>
    <row r="2055" ht="14" customHeight="1" s="72">
      <c r="A2055" s="78" t="n"/>
      <c r="B2055" s="79" t="n"/>
      <c r="C2055" s="69">
        <f>IF(B2055="","",IFERROR(INDEX(Client_List!$B:$B,MATCH(B2055,Client_List!$A:$A,0)),"⚠ NOT FOUND"))</f>
        <v/>
      </c>
      <c r="D2055" s="44" t="n"/>
      <c r="E2055" s="32">
        <f>IF(B2055="","",IFERROR(INDEX(Client_List!$C:$C,MATCH(VALUE(B2055),Client_List!$A:$A,0)),""))</f>
        <v/>
      </c>
      <c r="F2055" s="53">
        <f>IF(B2055="","",IFERROR(INDEX(Client_List!$D:$D,MATCH(VALUE(B2055),Client_List!$A:$A,0)),""))</f>
        <v/>
      </c>
      <c r="G2055" s="53">
        <f>IF(B2055="","",IFERROR(INDEX(Client_List!$K:$K,MATCH(VALUE(B2055),Client_List!$A:$A,0)),""))</f>
        <v/>
      </c>
      <c r="H2055" s="32">
        <f>IF(B2055="","",IFERROR(INDEX(Client_List!$J:$J,MATCH(VALUE(B2055),Client_List!$A:$A,0)),""))</f>
        <v/>
      </c>
      <c r="I2055" s="70">
        <f>IF(B2055="","",IFERROR(A2055-LOOKUP(2,1/($B$4:$B2054=B2055),$A$4:$A2054),""))</f>
        <v/>
      </c>
      <c r="J2055" s="32">
        <f>IF(B2055="","",IFERROR(D2055/I2055,""))</f>
        <v/>
      </c>
      <c r="K2055" s="71">
        <f>IF(B2055="","",IFERROR(AVERAGEIFS($J$4:$J2055,$B$4:$B2055,B2055,$J$4:$J2055,"&gt;"&amp;0),""))</f>
        <v/>
      </c>
      <c r="L2055" s="11" t="n"/>
    </row>
    <row r="2056" ht="14" customHeight="1" s="72">
      <c r="A2056" s="80" t="n"/>
      <c r="B2056" s="81" t="n"/>
      <c r="C2056" s="69">
        <f>IF(B2056="","",IFERROR(INDEX(Client_List!$B:$B,MATCH(B2056,Client_List!$A:$A,0)),"⚠ NOT FOUND"))</f>
        <v/>
      </c>
      <c r="D2056" s="45" t="n"/>
      <c r="E2056" s="32">
        <f>IF(B2056="","",IFERROR(INDEX(Client_List!$C:$C,MATCH(VALUE(B2056),Client_List!$A:$A,0)),""))</f>
        <v/>
      </c>
      <c r="F2056" s="53">
        <f>IF(B2056="","",IFERROR(INDEX(Client_List!$D:$D,MATCH(VALUE(B2056),Client_List!$A:$A,0)),""))</f>
        <v/>
      </c>
      <c r="G2056" s="53">
        <f>IF(B2056="","",IFERROR(INDEX(Client_List!$K:$K,MATCH(VALUE(B2056),Client_List!$A:$A,0)),""))</f>
        <v/>
      </c>
      <c r="H2056" s="32">
        <f>IF(B2056="","",IFERROR(INDEX(Client_List!$J:$J,MATCH(VALUE(B2056),Client_List!$A:$A,0)),""))</f>
        <v/>
      </c>
      <c r="I2056" s="70">
        <f>IF(B2056="","",IFERROR(A2056-LOOKUP(2,1/($B$4:$B2055=B2056),$A$4:$A2055),""))</f>
        <v/>
      </c>
      <c r="J2056" s="32">
        <f>IF(B2056="","",IFERROR(D2056/I2056,""))</f>
        <v/>
      </c>
      <c r="K2056" s="71">
        <f>IF(B2056="","",IFERROR(AVERAGEIFS($J$4:$J2056,$B$4:$B2056,B2056,$J$4:$J2056,"&gt;"&amp;0),""))</f>
        <v/>
      </c>
      <c r="L2056" s="12" t="n"/>
    </row>
    <row r="2057" ht="14" customHeight="1" s="72">
      <c r="A2057" s="78" t="n"/>
      <c r="B2057" s="79" t="n"/>
      <c r="C2057" s="69">
        <f>IF(B2057="","",IFERROR(INDEX(Client_List!$B:$B,MATCH(B2057,Client_List!$A:$A,0)),"⚠ NOT FOUND"))</f>
        <v/>
      </c>
      <c r="D2057" s="44" t="n"/>
      <c r="E2057" s="32">
        <f>IF(B2057="","",IFERROR(INDEX(Client_List!$C:$C,MATCH(VALUE(B2057),Client_List!$A:$A,0)),""))</f>
        <v/>
      </c>
      <c r="F2057" s="53">
        <f>IF(B2057="","",IFERROR(INDEX(Client_List!$D:$D,MATCH(VALUE(B2057),Client_List!$A:$A,0)),""))</f>
        <v/>
      </c>
      <c r="G2057" s="53">
        <f>IF(B2057="","",IFERROR(INDEX(Client_List!$K:$K,MATCH(VALUE(B2057),Client_List!$A:$A,0)),""))</f>
        <v/>
      </c>
      <c r="H2057" s="32">
        <f>IF(B2057="","",IFERROR(INDEX(Client_List!$J:$J,MATCH(VALUE(B2057),Client_List!$A:$A,0)),""))</f>
        <v/>
      </c>
      <c r="I2057" s="70">
        <f>IF(B2057="","",IFERROR(A2057-LOOKUP(2,1/($B$4:$B2056=B2057),$A$4:$A2056),""))</f>
        <v/>
      </c>
      <c r="J2057" s="32">
        <f>IF(B2057="","",IFERROR(D2057/I2057,""))</f>
        <v/>
      </c>
      <c r="K2057" s="71">
        <f>IF(B2057="","",IFERROR(AVERAGEIFS($J$4:$J2057,$B$4:$B2057,B2057,$J$4:$J2057,"&gt;"&amp;0),""))</f>
        <v/>
      </c>
      <c r="L2057" s="11" t="n"/>
    </row>
    <row r="2058" ht="14" customHeight="1" s="72">
      <c r="A2058" s="80" t="n"/>
      <c r="B2058" s="81" t="n"/>
      <c r="C2058" s="69">
        <f>IF(B2058="","",IFERROR(INDEX(Client_List!$B:$B,MATCH(B2058,Client_List!$A:$A,0)),"⚠ NOT FOUND"))</f>
        <v/>
      </c>
      <c r="D2058" s="45" t="n"/>
      <c r="E2058" s="32">
        <f>IF(B2058="","",IFERROR(INDEX(Client_List!$C:$C,MATCH(VALUE(B2058),Client_List!$A:$A,0)),""))</f>
        <v/>
      </c>
      <c r="F2058" s="53">
        <f>IF(B2058="","",IFERROR(INDEX(Client_List!$D:$D,MATCH(VALUE(B2058),Client_List!$A:$A,0)),""))</f>
        <v/>
      </c>
      <c r="G2058" s="53">
        <f>IF(B2058="","",IFERROR(INDEX(Client_List!$K:$K,MATCH(VALUE(B2058),Client_List!$A:$A,0)),""))</f>
        <v/>
      </c>
      <c r="H2058" s="32">
        <f>IF(B2058="","",IFERROR(INDEX(Client_List!$J:$J,MATCH(VALUE(B2058),Client_List!$A:$A,0)),""))</f>
        <v/>
      </c>
      <c r="I2058" s="70">
        <f>IF(B2058="","",IFERROR(A2058-LOOKUP(2,1/($B$4:$B2057=B2058),$A$4:$A2057),""))</f>
        <v/>
      </c>
      <c r="J2058" s="32">
        <f>IF(B2058="","",IFERROR(D2058/I2058,""))</f>
        <v/>
      </c>
      <c r="K2058" s="71">
        <f>IF(B2058="","",IFERROR(AVERAGEIFS($J$4:$J2058,$B$4:$B2058,B2058,$J$4:$J2058,"&gt;"&amp;0),""))</f>
        <v/>
      </c>
      <c r="L2058" s="12" t="n"/>
    </row>
    <row r="2059" ht="14" customHeight="1" s="72">
      <c r="A2059" s="78" t="n"/>
      <c r="B2059" s="79" t="n"/>
      <c r="C2059" s="69">
        <f>IF(B2059="","",IFERROR(INDEX(Client_List!$B:$B,MATCH(B2059,Client_List!$A:$A,0)),"⚠ NOT FOUND"))</f>
        <v/>
      </c>
      <c r="D2059" s="44" t="n"/>
      <c r="E2059" s="32">
        <f>IF(B2059="","",IFERROR(INDEX(Client_List!$C:$C,MATCH(VALUE(B2059),Client_List!$A:$A,0)),""))</f>
        <v/>
      </c>
      <c r="F2059" s="53">
        <f>IF(B2059="","",IFERROR(INDEX(Client_List!$D:$D,MATCH(VALUE(B2059),Client_List!$A:$A,0)),""))</f>
        <v/>
      </c>
      <c r="G2059" s="53">
        <f>IF(B2059="","",IFERROR(INDEX(Client_List!$K:$K,MATCH(VALUE(B2059),Client_List!$A:$A,0)),""))</f>
        <v/>
      </c>
      <c r="H2059" s="32">
        <f>IF(B2059="","",IFERROR(INDEX(Client_List!$J:$J,MATCH(VALUE(B2059),Client_List!$A:$A,0)),""))</f>
        <v/>
      </c>
      <c r="I2059" s="70">
        <f>IF(B2059="","",IFERROR(A2059-LOOKUP(2,1/($B$4:$B2058=B2059),$A$4:$A2058),""))</f>
        <v/>
      </c>
      <c r="J2059" s="32">
        <f>IF(B2059="","",IFERROR(D2059/I2059,""))</f>
        <v/>
      </c>
      <c r="K2059" s="71">
        <f>IF(B2059="","",IFERROR(AVERAGEIFS($J$4:$J2059,$B$4:$B2059,B2059,$J$4:$J2059,"&gt;"&amp;0),""))</f>
        <v/>
      </c>
      <c r="L2059" s="11" t="n"/>
    </row>
    <row r="2060" ht="14" customHeight="1" s="72">
      <c r="A2060" s="80" t="n"/>
      <c r="B2060" s="81" t="n"/>
      <c r="C2060" s="69">
        <f>IF(B2060="","",IFERROR(INDEX(Client_List!$B:$B,MATCH(B2060,Client_List!$A:$A,0)),"⚠ NOT FOUND"))</f>
        <v/>
      </c>
      <c r="D2060" s="45" t="n"/>
      <c r="E2060" s="32">
        <f>IF(B2060="","",IFERROR(INDEX(Client_List!$C:$C,MATCH(VALUE(B2060),Client_List!$A:$A,0)),""))</f>
        <v/>
      </c>
      <c r="F2060" s="53">
        <f>IF(B2060="","",IFERROR(INDEX(Client_List!$D:$D,MATCH(VALUE(B2060),Client_List!$A:$A,0)),""))</f>
        <v/>
      </c>
      <c r="G2060" s="53">
        <f>IF(B2060="","",IFERROR(INDEX(Client_List!$K:$K,MATCH(VALUE(B2060),Client_List!$A:$A,0)),""))</f>
        <v/>
      </c>
      <c r="H2060" s="32">
        <f>IF(B2060="","",IFERROR(INDEX(Client_List!$J:$J,MATCH(VALUE(B2060),Client_List!$A:$A,0)),""))</f>
        <v/>
      </c>
      <c r="I2060" s="70">
        <f>IF(B2060="","",IFERROR(A2060-LOOKUP(2,1/($B$4:$B2059=B2060),$A$4:$A2059),""))</f>
        <v/>
      </c>
      <c r="J2060" s="32">
        <f>IF(B2060="","",IFERROR(D2060/I2060,""))</f>
        <v/>
      </c>
      <c r="K2060" s="71">
        <f>IF(B2060="","",IFERROR(AVERAGEIFS($J$4:$J2060,$B$4:$B2060,B2060,$J$4:$J2060,"&gt;"&amp;0),""))</f>
        <v/>
      </c>
      <c r="L2060" s="12" t="n"/>
    </row>
    <row r="2061" ht="14" customHeight="1" s="72">
      <c r="A2061" s="78" t="n"/>
      <c r="B2061" s="79" t="n"/>
      <c r="C2061" s="69">
        <f>IF(B2061="","",IFERROR(INDEX(Client_List!$B:$B,MATCH(B2061,Client_List!$A:$A,0)),"⚠ NOT FOUND"))</f>
        <v/>
      </c>
      <c r="D2061" s="44" t="n"/>
      <c r="E2061" s="32">
        <f>IF(B2061="","",IFERROR(INDEX(Client_List!$C:$C,MATCH(VALUE(B2061),Client_List!$A:$A,0)),""))</f>
        <v/>
      </c>
      <c r="F2061" s="53">
        <f>IF(B2061="","",IFERROR(INDEX(Client_List!$D:$D,MATCH(VALUE(B2061),Client_List!$A:$A,0)),""))</f>
        <v/>
      </c>
      <c r="G2061" s="53">
        <f>IF(B2061="","",IFERROR(INDEX(Client_List!$K:$K,MATCH(VALUE(B2061),Client_List!$A:$A,0)),""))</f>
        <v/>
      </c>
      <c r="H2061" s="32">
        <f>IF(B2061="","",IFERROR(INDEX(Client_List!$J:$J,MATCH(VALUE(B2061),Client_List!$A:$A,0)),""))</f>
        <v/>
      </c>
      <c r="I2061" s="70">
        <f>IF(B2061="","",IFERROR(A2061-LOOKUP(2,1/($B$4:$B2060=B2061),$A$4:$A2060),""))</f>
        <v/>
      </c>
      <c r="J2061" s="32">
        <f>IF(B2061="","",IFERROR(D2061/I2061,""))</f>
        <v/>
      </c>
      <c r="K2061" s="71">
        <f>IF(B2061="","",IFERROR(AVERAGEIFS($J$4:$J2061,$B$4:$B2061,B2061,$J$4:$J2061,"&gt;"&amp;0),""))</f>
        <v/>
      </c>
      <c r="L2061" s="11" t="n"/>
    </row>
    <row r="2062" ht="14" customHeight="1" s="72">
      <c r="A2062" s="80" t="n"/>
      <c r="B2062" s="81" t="n"/>
      <c r="C2062" s="69">
        <f>IF(B2062="","",IFERROR(INDEX(Client_List!$B:$B,MATCH(B2062,Client_List!$A:$A,0)),"⚠ NOT FOUND"))</f>
        <v/>
      </c>
      <c r="D2062" s="45" t="n"/>
      <c r="E2062" s="32">
        <f>IF(B2062="","",IFERROR(INDEX(Client_List!$C:$C,MATCH(VALUE(B2062),Client_List!$A:$A,0)),""))</f>
        <v/>
      </c>
      <c r="F2062" s="53">
        <f>IF(B2062="","",IFERROR(INDEX(Client_List!$D:$D,MATCH(VALUE(B2062),Client_List!$A:$A,0)),""))</f>
        <v/>
      </c>
      <c r="G2062" s="53">
        <f>IF(B2062="","",IFERROR(INDEX(Client_List!$K:$K,MATCH(VALUE(B2062),Client_List!$A:$A,0)),""))</f>
        <v/>
      </c>
      <c r="H2062" s="32">
        <f>IF(B2062="","",IFERROR(INDEX(Client_List!$J:$J,MATCH(VALUE(B2062),Client_List!$A:$A,0)),""))</f>
        <v/>
      </c>
      <c r="I2062" s="70">
        <f>IF(B2062="","",IFERROR(A2062-LOOKUP(2,1/($B$4:$B2061=B2062),$A$4:$A2061),""))</f>
        <v/>
      </c>
      <c r="J2062" s="32">
        <f>IF(B2062="","",IFERROR(D2062/I2062,""))</f>
        <v/>
      </c>
      <c r="K2062" s="71">
        <f>IF(B2062="","",IFERROR(AVERAGEIFS($J$4:$J2062,$B$4:$B2062,B2062,$J$4:$J2062,"&gt;"&amp;0),""))</f>
        <v/>
      </c>
      <c r="L2062" s="12" t="n"/>
    </row>
    <row r="2063" ht="14" customHeight="1" s="72">
      <c r="A2063" s="78" t="n"/>
      <c r="B2063" s="79" t="n"/>
      <c r="C2063" s="69">
        <f>IF(B2063="","",IFERROR(INDEX(Client_List!$B:$B,MATCH(B2063,Client_List!$A:$A,0)),"⚠ NOT FOUND"))</f>
        <v/>
      </c>
      <c r="D2063" s="44" t="n"/>
      <c r="E2063" s="32">
        <f>IF(B2063="","",IFERROR(INDEX(Client_List!$C:$C,MATCH(VALUE(B2063),Client_List!$A:$A,0)),""))</f>
        <v/>
      </c>
      <c r="F2063" s="53">
        <f>IF(B2063="","",IFERROR(INDEX(Client_List!$D:$D,MATCH(VALUE(B2063),Client_List!$A:$A,0)),""))</f>
        <v/>
      </c>
      <c r="G2063" s="53">
        <f>IF(B2063="","",IFERROR(INDEX(Client_List!$K:$K,MATCH(VALUE(B2063),Client_List!$A:$A,0)),""))</f>
        <v/>
      </c>
      <c r="H2063" s="32">
        <f>IF(B2063="","",IFERROR(INDEX(Client_List!$J:$J,MATCH(VALUE(B2063),Client_List!$A:$A,0)),""))</f>
        <v/>
      </c>
      <c r="I2063" s="70">
        <f>IF(B2063="","",IFERROR(A2063-LOOKUP(2,1/($B$4:$B2062=B2063),$A$4:$A2062),""))</f>
        <v/>
      </c>
      <c r="J2063" s="32">
        <f>IF(B2063="","",IFERROR(D2063/I2063,""))</f>
        <v/>
      </c>
      <c r="K2063" s="71">
        <f>IF(B2063="","",IFERROR(AVERAGEIFS($J$4:$J2063,$B$4:$B2063,B2063,$J$4:$J2063,"&gt;"&amp;0),""))</f>
        <v/>
      </c>
      <c r="L2063" s="11" t="n"/>
    </row>
    <row r="2064" ht="14" customHeight="1" s="72">
      <c r="A2064" s="80" t="n"/>
      <c r="B2064" s="81" t="n"/>
      <c r="C2064" s="69">
        <f>IF(B2064="","",IFERROR(INDEX(Client_List!$B:$B,MATCH(B2064,Client_List!$A:$A,0)),"⚠ NOT FOUND"))</f>
        <v/>
      </c>
      <c r="D2064" s="45" t="n"/>
      <c r="E2064" s="32">
        <f>IF(B2064="","",IFERROR(INDEX(Client_List!$C:$C,MATCH(VALUE(B2064),Client_List!$A:$A,0)),""))</f>
        <v/>
      </c>
      <c r="F2064" s="53">
        <f>IF(B2064="","",IFERROR(INDEX(Client_List!$D:$D,MATCH(VALUE(B2064),Client_List!$A:$A,0)),""))</f>
        <v/>
      </c>
      <c r="G2064" s="53">
        <f>IF(B2064="","",IFERROR(INDEX(Client_List!$K:$K,MATCH(VALUE(B2064),Client_List!$A:$A,0)),""))</f>
        <v/>
      </c>
      <c r="H2064" s="32">
        <f>IF(B2064="","",IFERROR(INDEX(Client_List!$J:$J,MATCH(VALUE(B2064),Client_List!$A:$A,0)),""))</f>
        <v/>
      </c>
      <c r="I2064" s="70">
        <f>IF(B2064="","",IFERROR(A2064-LOOKUP(2,1/($B$4:$B2063=B2064),$A$4:$A2063),""))</f>
        <v/>
      </c>
      <c r="J2064" s="32">
        <f>IF(B2064="","",IFERROR(D2064/I2064,""))</f>
        <v/>
      </c>
      <c r="K2064" s="71">
        <f>IF(B2064="","",IFERROR(AVERAGEIFS($J$4:$J2064,$B$4:$B2064,B2064,$J$4:$J2064,"&gt;"&amp;0),""))</f>
        <v/>
      </c>
      <c r="L2064" s="12" t="n"/>
    </row>
    <row r="2065" ht="14" customHeight="1" s="72">
      <c r="A2065" s="78" t="n"/>
      <c r="B2065" s="79" t="n"/>
      <c r="C2065" s="69">
        <f>IF(B2065="","",IFERROR(INDEX(Client_List!$B:$B,MATCH(B2065,Client_List!$A:$A,0)),"⚠ NOT FOUND"))</f>
        <v/>
      </c>
      <c r="D2065" s="44" t="n"/>
      <c r="E2065" s="32">
        <f>IF(B2065="","",IFERROR(INDEX(Client_List!$C:$C,MATCH(VALUE(B2065),Client_List!$A:$A,0)),""))</f>
        <v/>
      </c>
      <c r="F2065" s="53">
        <f>IF(B2065="","",IFERROR(INDEX(Client_List!$D:$D,MATCH(VALUE(B2065),Client_List!$A:$A,0)),""))</f>
        <v/>
      </c>
      <c r="G2065" s="53">
        <f>IF(B2065="","",IFERROR(INDEX(Client_List!$K:$K,MATCH(VALUE(B2065),Client_List!$A:$A,0)),""))</f>
        <v/>
      </c>
      <c r="H2065" s="32">
        <f>IF(B2065="","",IFERROR(INDEX(Client_List!$J:$J,MATCH(VALUE(B2065),Client_List!$A:$A,0)),""))</f>
        <v/>
      </c>
      <c r="I2065" s="70">
        <f>IF(B2065="","",IFERROR(A2065-LOOKUP(2,1/($B$4:$B2064=B2065),$A$4:$A2064),""))</f>
        <v/>
      </c>
      <c r="J2065" s="32">
        <f>IF(B2065="","",IFERROR(D2065/I2065,""))</f>
        <v/>
      </c>
      <c r="K2065" s="71">
        <f>IF(B2065="","",IFERROR(AVERAGEIFS($J$4:$J2065,$B$4:$B2065,B2065,$J$4:$J2065,"&gt;"&amp;0),""))</f>
        <v/>
      </c>
      <c r="L2065" s="11" t="n"/>
    </row>
    <row r="2066" ht="14" customHeight="1" s="72">
      <c r="A2066" s="80" t="n"/>
      <c r="B2066" s="81" t="n"/>
      <c r="C2066" s="69">
        <f>IF(B2066="","",IFERROR(INDEX(Client_List!$B:$B,MATCH(B2066,Client_List!$A:$A,0)),"⚠ NOT FOUND"))</f>
        <v/>
      </c>
      <c r="D2066" s="45" t="n"/>
      <c r="E2066" s="32">
        <f>IF(B2066="","",IFERROR(INDEX(Client_List!$C:$C,MATCH(VALUE(B2066),Client_List!$A:$A,0)),""))</f>
        <v/>
      </c>
      <c r="F2066" s="53">
        <f>IF(B2066="","",IFERROR(INDEX(Client_List!$D:$D,MATCH(VALUE(B2066),Client_List!$A:$A,0)),""))</f>
        <v/>
      </c>
      <c r="G2066" s="53">
        <f>IF(B2066="","",IFERROR(INDEX(Client_List!$K:$K,MATCH(VALUE(B2066),Client_List!$A:$A,0)),""))</f>
        <v/>
      </c>
      <c r="H2066" s="32">
        <f>IF(B2066="","",IFERROR(INDEX(Client_List!$J:$J,MATCH(VALUE(B2066),Client_List!$A:$A,0)),""))</f>
        <v/>
      </c>
      <c r="I2066" s="70">
        <f>IF(B2066="","",IFERROR(A2066-LOOKUP(2,1/($B$4:$B2065=B2066),$A$4:$A2065),""))</f>
        <v/>
      </c>
      <c r="J2066" s="32">
        <f>IF(B2066="","",IFERROR(D2066/I2066,""))</f>
        <v/>
      </c>
      <c r="K2066" s="71">
        <f>IF(B2066="","",IFERROR(AVERAGEIFS($J$4:$J2066,$B$4:$B2066,B2066,$J$4:$J2066,"&gt;"&amp;0),""))</f>
        <v/>
      </c>
      <c r="L2066" s="12" t="n"/>
    </row>
    <row r="2067" ht="14" customHeight="1" s="72">
      <c r="A2067" s="78" t="n"/>
      <c r="B2067" s="79" t="n"/>
      <c r="C2067" s="69">
        <f>IF(B2067="","",IFERROR(INDEX(Client_List!$B:$B,MATCH(B2067,Client_List!$A:$A,0)),"⚠ NOT FOUND"))</f>
        <v/>
      </c>
      <c r="D2067" s="44" t="n"/>
      <c r="E2067" s="32">
        <f>IF(B2067="","",IFERROR(INDEX(Client_List!$C:$C,MATCH(VALUE(B2067),Client_List!$A:$A,0)),""))</f>
        <v/>
      </c>
      <c r="F2067" s="53">
        <f>IF(B2067="","",IFERROR(INDEX(Client_List!$D:$D,MATCH(VALUE(B2067),Client_List!$A:$A,0)),""))</f>
        <v/>
      </c>
      <c r="G2067" s="53">
        <f>IF(B2067="","",IFERROR(INDEX(Client_List!$K:$K,MATCH(VALUE(B2067),Client_List!$A:$A,0)),""))</f>
        <v/>
      </c>
      <c r="H2067" s="32">
        <f>IF(B2067="","",IFERROR(INDEX(Client_List!$J:$J,MATCH(VALUE(B2067),Client_List!$A:$A,0)),""))</f>
        <v/>
      </c>
      <c r="I2067" s="70">
        <f>IF(B2067="","",IFERROR(A2067-LOOKUP(2,1/($B$4:$B2066=B2067),$A$4:$A2066),""))</f>
        <v/>
      </c>
      <c r="J2067" s="32">
        <f>IF(B2067="","",IFERROR(D2067/I2067,""))</f>
        <v/>
      </c>
      <c r="K2067" s="71">
        <f>IF(B2067="","",IFERROR(AVERAGEIFS($J$4:$J2067,$B$4:$B2067,B2067,$J$4:$J2067,"&gt;"&amp;0),""))</f>
        <v/>
      </c>
      <c r="L2067" s="11" t="n"/>
    </row>
    <row r="2068" ht="14" customHeight="1" s="72">
      <c r="A2068" s="80" t="n"/>
      <c r="B2068" s="81" t="n"/>
      <c r="C2068" s="69">
        <f>IF(B2068="","",IFERROR(INDEX(Client_List!$B:$B,MATCH(B2068,Client_List!$A:$A,0)),"⚠ NOT FOUND"))</f>
        <v/>
      </c>
      <c r="D2068" s="45" t="n"/>
      <c r="E2068" s="32">
        <f>IF(B2068="","",IFERROR(INDEX(Client_List!$C:$C,MATCH(VALUE(B2068),Client_List!$A:$A,0)),""))</f>
        <v/>
      </c>
      <c r="F2068" s="53">
        <f>IF(B2068="","",IFERROR(INDEX(Client_List!$D:$D,MATCH(VALUE(B2068),Client_List!$A:$A,0)),""))</f>
        <v/>
      </c>
      <c r="G2068" s="53">
        <f>IF(B2068="","",IFERROR(INDEX(Client_List!$K:$K,MATCH(VALUE(B2068),Client_List!$A:$A,0)),""))</f>
        <v/>
      </c>
      <c r="H2068" s="32">
        <f>IF(B2068="","",IFERROR(INDEX(Client_List!$J:$J,MATCH(VALUE(B2068),Client_List!$A:$A,0)),""))</f>
        <v/>
      </c>
      <c r="I2068" s="70">
        <f>IF(B2068="","",IFERROR(A2068-LOOKUP(2,1/($B$4:$B2067=B2068),$A$4:$A2067),""))</f>
        <v/>
      </c>
      <c r="J2068" s="32">
        <f>IF(B2068="","",IFERROR(D2068/I2068,""))</f>
        <v/>
      </c>
      <c r="K2068" s="71">
        <f>IF(B2068="","",IFERROR(AVERAGEIFS($J$4:$J2068,$B$4:$B2068,B2068,$J$4:$J2068,"&gt;"&amp;0),""))</f>
        <v/>
      </c>
      <c r="L2068" s="12" t="n"/>
    </row>
    <row r="2069" ht="14" customHeight="1" s="72">
      <c r="A2069" s="78" t="n"/>
      <c r="B2069" s="79" t="n"/>
      <c r="C2069" s="69">
        <f>IF(B2069="","",IFERROR(INDEX(Client_List!$B:$B,MATCH(B2069,Client_List!$A:$A,0)),"⚠ NOT FOUND"))</f>
        <v/>
      </c>
      <c r="D2069" s="44" t="n"/>
      <c r="E2069" s="32">
        <f>IF(B2069="","",IFERROR(INDEX(Client_List!$C:$C,MATCH(VALUE(B2069),Client_List!$A:$A,0)),""))</f>
        <v/>
      </c>
      <c r="F2069" s="53">
        <f>IF(B2069="","",IFERROR(INDEX(Client_List!$D:$D,MATCH(VALUE(B2069),Client_List!$A:$A,0)),""))</f>
        <v/>
      </c>
      <c r="G2069" s="53">
        <f>IF(B2069="","",IFERROR(INDEX(Client_List!$K:$K,MATCH(VALUE(B2069),Client_List!$A:$A,0)),""))</f>
        <v/>
      </c>
      <c r="H2069" s="32">
        <f>IF(B2069="","",IFERROR(INDEX(Client_List!$J:$J,MATCH(VALUE(B2069),Client_List!$A:$A,0)),""))</f>
        <v/>
      </c>
      <c r="I2069" s="70">
        <f>IF(B2069="","",IFERROR(A2069-LOOKUP(2,1/($B$4:$B2068=B2069),$A$4:$A2068),""))</f>
        <v/>
      </c>
      <c r="J2069" s="32">
        <f>IF(B2069="","",IFERROR(D2069/I2069,""))</f>
        <v/>
      </c>
      <c r="K2069" s="71">
        <f>IF(B2069="","",IFERROR(AVERAGEIFS($J$4:$J2069,$B$4:$B2069,B2069,$J$4:$J2069,"&gt;"&amp;0),""))</f>
        <v/>
      </c>
      <c r="L2069" s="11" t="n"/>
    </row>
    <row r="2070" ht="14" customHeight="1" s="72">
      <c r="A2070" s="80" t="n"/>
      <c r="B2070" s="81" t="n"/>
      <c r="C2070" s="69">
        <f>IF(B2070="","",IFERROR(INDEX(Client_List!$B:$B,MATCH(B2070,Client_List!$A:$A,0)),"⚠ NOT FOUND"))</f>
        <v/>
      </c>
      <c r="D2070" s="45" t="n"/>
      <c r="E2070" s="32">
        <f>IF(B2070="","",IFERROR(INDEX(Client_List!$C:$C,MATCH(VALUE(B2070),Client_List!$A:$A,0)),""))</f>
        <v/>
      </c>
      <c r="F2070" s="53">
        <f>IF(B2070="","",IFERROR(INDEX(Client_List!$D:$D,MATCH(VALUE(B2070),Client_List!$A:$A,0)),""))</f>
        <v/>
      </c>
      <c r="G2070" s="53">
        <f>IF(B2070="","",IFERROR(INDEX(Client_List!$K:$K,MATCH(VALUE(B2070),Client_List!$A:$A,0)),""))</f>
        <v/>
      </c>
      <c r="H2070" s="32">
        <f>IF(B2070="","",IFERROR(INDEX(Client_List!$J:$J,MATCH(VALUE(B2070),Client_List!$A:$A,0)),""))</f>
        <v/>
      </c>
      <c r="I2070" s="70">
        <f>IF(B2070="","",IFERROR(A2070-LOOKUP(2,1/($B$4:$B2069=B2070),$A$4:$A2069),""))</f>
        <v/>
      </c>
      <c r="J2070" s="32">
        <f>IF(B2070="","",IFERROR(D2070/I2070,""))</f>
        <v/>
      </c>
      <c r="K2070" s="71">
        <f>IF(B2070="","",IFERROR(AVERAGEIFS($J$4:$J2070,$B$4:$B2070,B2070,$J$4:$J2070,"&gt;"&amp;0),""))</f>
        <v/>
      </c>
      <c r="L2070" s="12" t="n"/>
    </row>
    <row r="2071" ht="14" customHeight="1" s="72">
      <c r="A2071" s="78" t="n"/>
      <c r="B2071" s="79" t="n"/>
      <c r="C2071" s="69">
        <f>IF(B2071="","",IFERROR(INDEX(Client_List!$B:$B,MATCH(B2071,Client_List!$A:$A,0)),"⚠ NOT FOUND"))</f>
        <v/>
      </c>
      <c r="D2071" s="44" t="n"/>
      <c r="E2071" s="32">
        <f>IF(B2071="","",IFERROR(INDEX(Client_List!$C:$C,MATCH(VALUE(B2071),Client_List!$A:$A,0)),""))</f>
        <v/>
      </c>
      <c r="F2071" s="53">
        <f>IF(B2071="","",IFERROR(INDEX(Client_List!$D:$D,MATCH(VALUE(B2071),Client_List!$A:$A,0)),""))</f>
        <v/>
      </c>
      <c r="G2071" s="53">
        <f>IF(B2071="","",IFERROR(INDEX(Client_List!$K:$K,MATCH(VALUE(B2071),Client_List!$A:$A,0)),""))</f>
        <v/>
      </c>
      <c r="H2071" s="32">
        <f>IF(B2071="","",IFERROR(INDEX(Client_List!$J:$J,MATCH(VALUE(B2071),Client_List!$A:$A,0)),""))</f>
        <v/>
      </c>
      <c r="I2071" s="70">
        <f>IF(B2071="","",IFERROR(A2071-LOOKUP(2,1/($B$4:$B2070=B2071),$A$4:$A2070),""))</f>
        <v/>
      </c>
      <c r="J2071" s="32">
        <f>IF(B2071="","",IFERROR(D2071/I2071,""))</f>
        <v/>
      </c>
      <c r="K2071" s="71">
        <f>IF(B2071="","",IFERROR(AVERAGEIFS($J$4:$J2071,$B$4:$B2071,B2071,$J$4:$J2071,"&gt;"&amp;0),""))</f>
        <v/>
      </c>
      <c r="L2071" s="11" t="n"/>
    </row>
    <row r="2072" ht="14" customHeight="1" s="72">
      <c r="A2072" s="80" t="n"/>
      <c r="B2072" s="81" t="n"/>
      <c r="C2072" s="69">
        <f>IF(B2072="","",IFERROR(INDEX(Client_List!$B:$B,MATCH(B2072,Client_List!$A:$A,0)),"⚠ NOT FOUND"))</f>
        <v/>
      </c>
      <c r="D2072" s="45" t="n"/>
      <c r="E2072" s="32">
        <f>IF(B2072="","",IFERROR(INDEX(Client_List!$C:$C,MATCH(VALUE(B2072),Client_List!$A:$A,0)),""))</f>
        <v/>
      </c>
      <c r="F2072" s="53">
        <f>IF(B2072="","",IFERROR(INDEX(Client_List!$D:$D,MATCH(VALUE(B2072),Client_List!$A:$A,0)),""))</f>
        <v/>
      </c>
      <c r="G2072" s="53">
        <f>IF(B2072="","",IFERROR(INDEX(Client_List!$K:$K,MATCH(VALUE(B2072),Client_List!$A:$A,0)),""))</f>
        <v/>
      </c>
      <c r="H2072" s="32">
        <f>IF(B2072="","",IFERROR(INDEX(Client_List!$J:$J,MATCH(VALUE(B2072),Client_List!$A:$A,0)),""))</f>
        <v/>
      </c>
      <c r="I2072" s="70">
        <f>IF(B2072="","",IFERROR(A2072-LOOKUP(2,1/($B$4:$B2071=B2072),$A$4:$A2071),""))</f>
        <v/>
      </c>
      <c r="J2072" s="32">
        <f>IF(B2072="","",IFERROR(D2072/I2072,""))</f>
        <v/>
      </c>
      <c r="K2072" s="71">
        <f>IF(B2072="","",IFERROR(AVERAGEIFS($J$4:$J2072,$B$4:$B2072,B2072,$J$4:$J2072,"&gt;"&amp;0),""))</f>
        <v/>
      </c>
      <c r="L2072" s="12" t="n"/>
    </row>
    <row r="2073" ht="14" customHeight="1" s="72">
      <c r="A2073" s="78" t="n"/>
      <c r="B2073" s="79" t="n"/>
      <c r="C2073" s="69">
        <f>IF(B2073="","",IFERROR(INDEX(Client_List!$B:$B,MATCH(B2073,Client_List!$A:$A,0)),"⚠ NOT FOUND"))</f>
        <v/>
      </c>
      <c r="D2073" s="44" t="n"/>
      <c r="E2073" s="32">
        <f>IF(B2073="","",IFERROR(INDEX(Client_List!$C:$C,MATCH(VALUE(B2073),Client_List!$A:$A,0)),""))</f>
        <v/>
      </c>
      <c r="F2073" s="53">
        <f>IF(B2073="","",IFERROR(INDEX(Client_List!$D:$D,MATCH(VALUE(B2073),Client_List!$A:$A,0)),""))</f>
        <v/>
      </c>
      <c r="G2073" s="53">
        <f>IF(B2073="","",IFERROR(INDEX(Client_List!$K:$K,MATCH(VALUE(B2073),Client_List!$A:$A,0)),""))</f>
        <v/>
      </c>
      <c r="H2073" s="32">
        <f>IF(B2073="","",IFERROR(INDEX(Client_List!$J:$J,MATCH(VALUE(B2073),Client_List!$A:$A,0)),""))</f>
        <v/>
      </c>
      <c r="I2073" s="70">
        <f>IF(B2073="","",IFERROR(A2073-LOOKUP(2,1/($B$4:$B2072=B2073),$A$4:$A2072),""))</f>
        <v/>
      </c>
      <c r="J2073" s="32">
        <f>IF(B2073="","",IFERROR(D2073/I2073,""))</f>
        <v/>
      </c>
      <c r="K2073" s="71">
        <f>IF(B2073="","",IFERROR(AVERAGEIFS($J$4:$J2073,$B$4:$B2073,B2073,$J$4:$J2073,"&gt;"&amp;0),""))</f>
        <v/>
      </c>
      <c r="L2073" s="11" t="n"/>
    </row>
    <row r="2074" ht="14" customHeight="1" s="72">
      <c r="A2074" s="80" t="n"/>
      <c r="B2074" s="81" t="n"/>
      <c r="C2074" s="69">
        <f>IF(B2074="","",IFERROR(INDEX(Client_List!$B:$B,MATCH(B2074,Client_List!$A:$A,0)),"⚠ NOT FOUND"))</f>
        <v/>
      </c>
      <c r="D2074" s="45" t="n"/>
      <c r="E2074" s="32">
        <f>IF(B2074="","",IFERROR(INDEX(Client_List!$C:$C,MATCH(VALUE(B2074),Client_List!$A:$A,0)),""))</f>
        <v/>
      </c>
      <c r="F2074" s="53">
        <f>IF(B2074="","",IFERROR(INDEX(Client_List!$D:$D,MATCH(VALUE(B2074),Client_List!$A:$A,0)),""))</f>
        <v/>
      </c>
      <c r="G2074" s="53">
        <f>IF(B2074="","",IFERROR(INDEX(Client_List!$K:$K,MATCH(VALUE(B2074),Client_List!$A:$A,0)),""))</f>
        <v/>
      </c>
      <c r="H2074" s="32">
        <f>IF(B2074="","",IFERROR(INDEX(Client_List!$J:$J,MATCH(VALUE(B2074),Client_List!$A:$A,0)),""))</f>
        <v/>
      </c>
      <c r="I2074" s="70">
        <f>IF(B2074="","",IFERROR(A2074-LOOKUP(2,1/($B$4:$B2073=B2074),$A$4:$A2073),""))</f>
        <v/>
      </c>
      <c r="J2074" s="32">
        <f>IF(B2074="","",IFERROR(D2074/I2074,""))</f>
        <v/>
      </c>
      <c r="K2074" s="71">
        <f>IF(B2074="","",IFERROR(AVERAGEIFS($J$4:$J2074,$B$4:$B2074,B2074,$J$4:$J2074,"&gt;"&amp;0),""))</f>
        <v/>
      </c>
      <c r="L2074" s="12" t="n"/>
    </row>
    <row r="2075" ht="14" customHeight="1" s="72">
      <c r="A2075" s="78" t="n"/>
      <c r="B2075" s="79" t="n"/>
      <c r="C2075" s="69">
        <f>IF(B2075="","",IFERROR(INDEX(Client_List!$B:$B,MATCH(B2075,Client_List!$A:$A,0)),"⚠ NOT FOUND"))</f>
        <v/>
      </c>
      <c r="D2075" s="44" t="n"/>
      <c r="E2075" s="32">
        <f>IF(B2075="","",IFERROR(INDEX(Client_List!$C:$C,MATCH(VALUE(B2075),Client_List!$A:$A,0)),""))</f>
        <v/>
      </c>
      <c r="F2075" s="53">
        <f>IF(B2075="","",IFERROR(INDEX(Client_List!$D:$D,MATCH(VALUE(B2075),Client_List!$A:$A,0)),""))</f>
        <v/>
      </c>
      <c r="G2075" s="53">
        <f>IF(B2075="","",IFERROR(INDEX(Client_List!$K:$K,MATCH(VALUE(B2075),Client_List!$A:$A,0)),""))</f>
        <v/>
      </c>
      <c r="H2075" s="32">
        <f>IF(B2075="","",IFERROR(INDEX(Client_List!$J:$J,MATCH(VALUE(B2075),Client_List!$A:$A,0)),""))</f>
        <v/>
      </c>
      <c r="I2075" s="70">
        <f>IF(B2075="","",IFERROR(A2075-LOOKUP(2,1/($B$4:$B2074=B2075),$A$4:$A2074),""))</f>
        <v/>
      </c>
      <c r="J2075" s="32">
        <f>IF(B2075="","",IFERROR(D2075/I2075,""))</f>
        <v/>
      </c>
      <c r="K2075" s="71">
        <f>IF(B2075="","",IFERROR(AVERAGEIFS($J$4:$J2075,$B$4:$B2075,B2075,$J$4:$J2075,"&gt;"&amp;0),""))</f>
        <v/>
      </c>
      <c r="L2075" s="11" t="n"/>
    </row>
    <row r="2076" ht="14" customHeight="1" s="72">
      <c r="A2076" s="80" t="n"/>
      <c r="B2076" s="81" t="n"/>
      <c r="C2076" s="69">
        <f>IF(B2076="","",IFERROR(INDEX(Client_List!$B:$B,MATCH(B2076,Client_List!$A:$A,0)),"⚠ NOT FOUND"))</f>
        <v/>
      </c>
      <c r="D2076" s="45" t="n"/>
      <c r="E2076" s="32">
        <f>IF(B2076="","",IFERROR(INDEX(Client_List!$C:$C,MATCH(VALUE(B2076),Client_List!$A:$A,0)),""))</f>
        <v/>
      </c>
      <c r="F2076" s="53">
        <f>IF(B2076="","",IFERROR(INDEX(Client_List!$D:$D,MATCH(VALUE(B2076),Client_List!$A:$A,0)),""))</f>
        <v/>
      </c>
      <c r="G2076" s="53">
        <f>IF(B2076="","",IFERROR(INDEX(Client_List!$K:$K,MATCH(VALUE(B2076),Client_List!$A:$A,0)),""))</f>
        <v/>
      </c>
      <c r="H2076" s="32">
        <f>IF(B2076="","",IFERROR(INDEX(Client_List!$J:$J,MATCH(VALUE(B2076),Client_List!$A:$A,0)),""))</f>
        <v/>
      </c>
      <c r="I2076" s="70">
        <f>IF(B2076="","",IFERROR(A2076-LOOKUP(2,1/($B$4:$B2075=B2076),$A$4:$A2075),""))</f>
        <v/>
      </c>
      <c r="J2076" s="32">
        <f>IF(B2076="","",IFERROR(D2076/I2076,""))</f>
        <v/>
      </c>
      <c r="K2076" s="71">
        <f>IF(B2076="","",IFERROR(AVERAGEIFS($J$4:$J2076,$B$4:$B2076,B2076,$J$4:$J2076,"&gt;"&amp;0),""))</f>
        <v/>
      </c>
      <c r="L2076" s="12" t="n"/>
    </row>
    <row r="2077" ht="14" customHeight="1" s="72">
      <c r="A2077" s="78" t="n"/>
      <c r="B2077" s="79" t="n"/>
      <c r="C2077" s="69">
        <f>IF(B2077="","",IFERROR(INDEX(Client_List!$B:$B,MATCH(B2077,Client_List!$A:$A,0)),"⚠ NOT FOUND"))</f>
        <v/>
      </c>
      <c r="D2077" s="44" t="n"/>
      <c r="E2077" s="32">
        <f>IF(B2077="","",IFERROR(INDEX(Client_List!$C:$C,MATCH(VALUE(B2077),Client_List!$A:$A,0)),""))</f>
        <v/>
      </c>
      <c r="F2077" s="53">
        <f>IF(B2077="","",IFERROR(INDEX(Client_List!$D:$D,MATCH(VALUE(B2077),Client_List!$A:$A,0)),""))</f>
        <v/>
      </c>
      <c r="G2077" s="53">
        <f>IF(B2077="","",IFERROR(INDEX(Client_List!$K:$K,MATCH(VALUE(B2077),Client_List!$A:$A,0)),""))</f>
        <v/>
      </c>
      <c r="H2077" s="32">
        <f>IF(B2077="","",IFERROR(INDEX(Client_List!$J:$J,MATCH(VALUE(B2077),Client_List!$A:$A,0)),""))</f>
        <v/>
      </c>
      <c r="I2077" s="70">
        <f>IF(B2077="","",IFERROR(A2077-LOOKUP(2,1/($B$4:$B2076=B2077),$A$4:$A2076),""))</f>
        <v/>
      </c>
      <c r="J2077" s="32">
        <f>IF(B2077="","",IFERROR(D2077/I2077,""))</f>
        <v/>
      </c>
      <c r="K2077" s="71">
        <f>IF(B2077="","",IFERROR(AVERAGEIFS($J$4:$J2077,$B$4:$B2077,B2077,$J$4:$J2077,"&gt;"&amp;0),""))</f>
        <v/>
      </c>
      <c r="L2077" s="11" t="n"/>
    </row>
    <row r="2078" ht="14" customHeight="1" s="72">
      <c r="A2078" s="80" t="n"/>
      <c r="B2078" s="81" t="n"/>
      <c r="C2078" s="69">
        <f>IF(B2078="","",IFERROR(INDEX(Client_List!$B:$B,MATCH(B2078,Client_List!$A:$A,0)),"⚠ NOT FOUND"))</f>
        <v/>
      </c>
      <c r="D2078" s="45" t="n"/>
      <c r="E2078" s="32">
        <f>IF(B2078="","",IFERROR(INDEX(Client_List!$C:$C,MATCH(VALUE(B2078),Client_List!$A:$A,0)),""))</f>
        <v/>
      </c>
      <c r="F2078" s="53">
        <f>IF(B2078="","",IFERROR(INDEX(Client_List!$D:$D,MATCH(VALUE(B2078),Client_List!$A:$A,0)),""))</f>
        <v/>
      </c>
      <c r="G2078" s="53">
        <f>IF(B2078="","",IFERROR(INDEX(Client_List!$K:$K,MATCH(VALUE(B2078),Client_List!$A:$A,0)),""))</f>
        <v/>
      </c>
      <c r="H2078" s="32">
        <f>IF(B2078="","",IFERROR(INDEX(Client_List!$J:$J,MATCH(VALUE(B2078),Client_List!$A:$A,0)),""))</f>
        <v/>
      </c>
      <c r="I2078" s="70">
        <f>IF(B2078="","",IFERROR(A2078-LOOKUP(2,1/($B$4:$B2077=B2078),$A$4:$A2077),""))</f>
        <v/>
      </c>
      <c r="J2078" s="32">
        <f>IF(B2078="","",IFERROR(D2078/I2078,""))</f>
        <v/>
      </c>
      <c r="K2078" s="71">
        <f>IF(B2078="","",IFERROR(AVERAGEIFS($J$4:$J2078,$B$4:$B2078,B2078,$J$4:$J2078,"&gt;"&amp;0),""))</f>
        <v/>
      </c>
      <c r="L2078" s="12" t="n"/>
    </row>
    <row r="2079" ht="14" customHeight="1" s="72">
      <c r="A2079" s="78" t="n"/>
      <c r="B2079" s="79" t="n"/>
      <c r="C2079" s="69">
        <f>IF(B2079="","",IFERROR(INDEX(Client_List!$B:$B,MATCH(B2079,Client_List!$A:$A,0)),"⚠ NOT FOUND"))</f>
        <v/>
      </c>
      <c r="D2079" s="44" t="n"/>
      <c r="E2079" s="32">
        <f>IF(B2079="","",IFERROR(INDEX(Client_List!$C:$C,MATCH(VALUE(B2079),Client_List!$A:$A,0)),""))</f>
        <v/>
      </c>
      <c r="F2079" s="53">
        <f>IF(B2079="","",IFERROR(INDEX(Client_List!$D:$D,MATCH(VALUE(B2079),Client_List!$A:$A,0)),""))</f>
        <v/>
      </c>
      <c r="G2079" s="53">
        <f>IF(B2079="","",IFERROR(INDEX(Client_List!$K:$K,MATCH(VALUE(B2079),Client_List!$A:$A,0)),""))</f>
        <v/>
      </c>
      <c r="H2079" s="32">
        <f>IF(B2079="","",IFERROR(INDEX(Client_List!$J:$J,MATCH(VALUE(B2079),Client_List!$A:$A,0)),""))</f>
        <v/>
      </c>
      <c r="I2079" s="70">
        <f>IF(B2079="","",IFERROR(A2079-LOOKUP(2,1/($B$4:$B2078=B2079),$A$4:$A2078),""))</f>
        <v/>
      </c>
      <c r="J2079" s="32">
        <f>IF(B2079="","",IFERROR(D2079/I2079,""))</f>
        <v/>
      </c>
      <c r="K2079" s="71">
        <f>IF(B2079="","",IFERROR(AVERAGEIFS($J$4:$J2079,$B$4:$B2079,B2079,$J$4:$J2079,"&gt;"&amp;0),""))</f>
        <v/>
      </c>
      <c r="L2079" s="11" t="n"/>
    </row>
    <row r="2080" ht="14" customHeight="1" s="72">
      <c r="A2080" s="80" t="n"/>
      <c r="B2080" s="81" t="n"/>
      <c r="C2080" s="69">
        <f>IF(B2080="","",IFERROR(INDEX(Client_List!$B:$B,MATCH(B2080,Client_List!$A:$A,0)),"⚠ NOT FOUND"))</f>
        <v/>
      </c>
      <c r="D2080" s="45" t="n"/>
      <c r="E2080" s="32">
        <f>IF(B2080="","",IFERROR(INDEX(Client_List!$C:$C,MATCH(VALUE(B2080),Client_List!$A:$A,0)),""))</f>
        <v/>
      </c>
      <c r="F2080" s="53">
        <f>IF(B2080="","",IFERROR(INDEX(Client_List!$D:$D,MATCH(VALUE(B2080),Client_List!$A:$A,0)),""))</f>
        <v/>
      </c>
      <c r="G2080" s="53">
        <f>IF(B2080="","",IFERROR(INDEX(Client_List!$K:$K,MATCH(VALUE(B2080),Client_List!$A:$A,0)),""))</f>
        <v/>
      </c>
      <c r="H2080" s="32">
        <f>IF(B2080="","",IFERROR(INDEX(Client_List!$J:$J,MATCH(VALUE(B2080),Client_List!$A:$A,0)),""))</f>
        <v/>
      </c>
      <c r="I2080" s="70">
        <f>IF(B2080="","",IFERROR(A2080-LOOKUP(2,1/($B$4:$B2079=B2080),$A$4:$A2079),""))</f>
        <v/>
      </c>
      <c r="J2080" s="32">
        <f>IF(B2080="","",IFERROR(D2080/I2080,""))</f>
        <v/>
      </c>
      <c r="K2080" s="71">
        <f>IF(B2080="","",IFERROR(AVERAGEIFS($J$4:$J2080,$B$4:$B2080,B2080,$J$4:$J2080,"&gt;"&amp;0),""))</f>
        <v/>
      </c>
      <c r="L2080" s="12" t="n"/>
    </row>
    <row r="2081" ht="14" customHeight="1" s="72">
      <c r="A2081" s="78" t="n"/>
      <c r="B2081" s="79" t="n"/>
      <c r="C2081" s="69">
        <f>IF(B2081="","",IFERROR(INDEX(Client_List!$B:$B,MATCH(B2081,Client_List!$A:$A,0)),"⚠ NOT FOUND"))</f>
        <v/>
      </c>
      <c r="D2081" s="44" t="n"/>
      <c r="E2081" s="32">
        <f>IF(B2081="","",IFERROR(INDEX(Client_List!$C:$C,MATCH(VALUE(B2081),Client_List!$A:$A,0)),""))</f>
        <v/>
      </c>
      <c r="F2081" s="53">
        <f>IF(B2081="","",IFERROR(INDEX(Client_List!$D:$D,MATCH(VALUE(B2081),Client_List!$A:$A,0)),""))</f>
        <v/>
      </c>
      <c r="G2081" s="53">
        <f>IF(B2081="","",IFERROR(INDEX(Client_List!$K:$K,MATCH(VALUE(B2081),Client_List!$A:$A,0)),""))</f>
        <v/>
      </c>
      <c r="H2081" s="32">
        <f>IF(B2081="","",IFERROR(INDEX(Client_List!$J:$J,MATCH(VALUE(B2081),Client_List!$A:$A,0)),""))</f>
        <v/>
      </c>
      <c r="I2081" s="70">
        <f>IF(B2081="","",IFERROR(A2081-LOOKUP(2,1/($B$4:$B2080=B2081),$A$4:$A2080),""))</f>
        <v/>
      </c>
      <c r="J2081" s="32">
        <f>IF(B2081="","",IFERROR(D2081/I2081,""))</f>
        <v/>
      </c>
      <c r="K2081" s="71">
        <f>IF(B2081="","",IFERROR(AVERAGEIFS($J$4:$J2081,$B$4:$B2081,B2081,$J$4:$J2081,"&gt;"&amp;0),""))</f>
        <v/>
      </c>
      <c r="L2081" s="11" t="n"/>
    </row>
    <row r="2082" ht="14" customHeight="1" s="72">
      <c r="A2082" s="80" t="n"/>
      <c r="B2082" s="81" t="n"/>
      <c r="C2082" s="69">
        <f>IF(B2082="","",IFERROR(INDEX(Client_List!$B:$B,MATCH(B2082,Client_List!$A:$A,0)),"⚠ NOT FOUND"))</f>
        <v/>
      </c>
      <c r="D2082" s="45" t="n"/>
      <c r="E2082" s="32">
        <f>IF(B2082="","",IFERROR(INDEX(Client_List!$C:$C,MATCH(VALUE(B2082),Client_List!$A:$A,0)),""))</f>
        <v/>
      </c>
      <c r="F2082" s="53">
        <f>IF(B2082="","",IFERROR(INDEX(Client_List!$D:$D,MATCH(VALUE(B2082),Client_List!$A:$A,0)),""))</f>
        <v/>
      </c>
      <c r="G2082" s="53">
        <f>IF(B2082="","",IFERROR(INDEX(Client_List!$K:$K,MATCH(VALUE(B2082),Client_List!$A:$A,0)),""))</f>
        <v/>
      </c>
      <c r="H2082" s="32">
        <f>IF(B2082="","",IFERROR(INDEX(Client_List!$J:$J,MATCH(VALUE(B2082),Client_List!$A:$A,0)),""))</f>
        <v/>
      </c>
      <c r="I2082" s="70">
        <f>IF(B2082="","",IFERROR(A2082-LOOKUP(2,1/($B$4:$B2081=B2082),$A$4:$A2081),""))</f>
        <v/>
      </c>
      <c r="J2082" s="32">
        <f>IF(B2082="","",IFERROR(D2082/I2082,""))</f>
        <v/>
      </c>
      <c r="K2082" s="71">
        <f>IF(B2082="","",IFERROR(AVERAGEIFS($J$4:$J2082,$B$4:$B2082,B2082,$J$4:$J2082,"&gt;"&amp;0),""))</f>
        <v/>
      </c>
      <c r="L2082" s="12" t="n"/>
    </row>
    <row r="2083" ht="14" customHeight="1" s="72">
      <c r="A2083" s="78" t="n"/>
      <c r="B2083" s="79" t="n"/>
      <c r="C2083" s="69">
        <f>IF(B2083="","",IFERROR(INDEX(Client_List!$B:$B,MATCH(B2083,Client_List!$A:$A,0)),"⚠ NOT FOUND"))</f>
        <v/>
      </c>
      <c r="D2083" s="44" t="n"/>
      <c r="E2083" s="32">
        <f>IF(B2083="","",IFERROR(INDEX(Client_List!$C:$C,MATCH(VALUE(B2083),Client_List!$A:$A,0)),""))</f>
        <v/>
      </c>
      <c r="F2083" s="53">
        <f>IF(B2083="","",IFERROR(INDEX(Client_List!$D:$D,MATCH(VALUE(B2083),Client_List!$A:$A,0)),""))</f>
        <v/>
      </c>
      <c r="G2083" s="53">
        <f>IF(B2083="","",IFERROR(INDEX(Client_List!$K:$K,MATCH(VALUE(B2083),Client_List!$A:$A,0)),""))</f>
        <v/>
      </c>
      <c r="H2083" s="32">
        <f>IF(B2083="","",IFERROR(INDEX(Client_List!$J:$J,MATCH(VALUE(B2083),Client_List!$A:$A,0)),""))</f>
        <v/>
      </c>
      <c r="I2083" s="70">
        <f>IF(B2083="","",IFERROR(A2083-LOOKUP(2,1/($B$4:$B2082=B2083),$A$4:$A2082),""))</f>
        <v/>
      </c>
      <c r="J2083" s="32">
        <f>IF(B2083="","",IFERROR(D2083/I2083,""))</f>
        <v/>
      </c>
      <c r="K2083" s="71">
        <f>IF(B2083="","",IFERROR(AVERAGEIFS($J$4:$J2083,$B$4:$B2083,B2083,$J$4:$J2083,"&gt;"&amp;0),""))</f>
        <v/>
      </c>
      <c r="L2083" s="11" t="n"/>
    </row>
    <row r="2084" ht="14" customHeight="1" s="72">
      <c r="A2084" s="80" t="n"/>
      <c r="B2084" s="81" t="n"/>
      <c r="C2084" s="69">
        <f>IF(B2084="","",IFERROR(INDEX(Client_List!$B:$B,MATCH(B2084,Client_List!$A:$A,0)),"⚠ NOT FOUND"))</f>
        <v/>
      </c>
      <c r="D2084" s="45" t="n"/>
      <c r="E2084" s="32">
        <f>IF(B2084="","",IFERROR(INDEX(Client_List!$C:$C,MATCH(VALUE(B2084),Client_List!$A:$A,0)),""))</f>
        <v/>
      </c>
      <c r="F2084" s="53">
        <f>IF(B2084="","",IFERROR(INDEX(Client_List!$D:$D,MATCH(VALUE(B2084),Client_List!$A:$A,0)),""))</f>
        <v/>
      </c>
      <c r="G2084" s="53">
        <f>IF(B2084="","",IFERROR(INDEX(Client_List!$K:$K,MATCH(VALUE(B2084),Client_List!$A:$A,0)),""))</f>
        <v/>
      </c>
      <c r="H2084" s="32">
        <f>IF(B2084="","",IFERROR(INDEX(Client_List!$J:$J,MATCH(VALUE(B2084),Client_List!$A:$A,0)),""))</f>
        <v/>
      </c>
      <c r="I2084" s="70">
        <f>IF(B2084="","",IFERROR(A2084-LOOKUP(2,1/($B$4:$B2083=B2084),$A$4:$A2083),""))</f>
        <v/>
      </c>
      <c r="J2084" s="32">
        <f>IF(B2084="","",IFERROR(D2084/I2084,""))</f>
        <v/>
      </c>
      <c r="K2084" s="71">
        <f>IF(B2084="","",IFERROR(AVERAGEIFS($J$4:$J2084,$B$4:$B2084,B2084,$J$4:$J2084,"&gt;"&amp;0),""))</f>
        <v/>
      </c>
      <c r="L2084" s="12" t="n"/>
    </row>
    <row r="2085" ht="14" customHeight="1" s="72">
      <c r="A2085" s="78" t="n"/>
      <c r="B2085" s="79" t="n"/>
      <c r="C2085" s="69">
        <f>IF(B2085="","",IFERROR(INDEX(Client_List!$B:$B,MATCH(B2085,Client_List!$A:$A,0)),"⚠ NOT FOUND"))</f>
        <v/>
      </c>
      <c r="D2085" s="44" t="n"/>
      <c r="E2085" s="32">
        <f>IF(B2085="","",IFERROR(INDEX(Client_List!$C:$C,MATCH(VALUE(B2085),Client_List!$A:$A,0)),""))</f>
        <v/>
      </c>
      <c r="F2085" s="53">
        <f>IF(B2085="","",IFERROR(INDEX(Client_List!$D:$D,MATCH(VALUE(B2085),Client_List!$A:$A,0)),""))</f>
        <v/>
      </c>
      <c r="G2085" s="53">
        <f>IF(B2085="","",IFERROR(INDEX(Client_List!$K:$K,MATCH(VALUE(B2085),Client_List!$A:$A,0)),""))</f>
        <v/>
      </c>
      <c r="H2085" s="32">
        <f>IF(B2085="","",IFERROR(INDEX(Client_List!$J:$J,MATCH(VALUE(B2085),Client_List!$A:$A,0)),""))</f>
        <v/>
      </c>
      <c r="I2085" s="70">
        <f>IF(B2085="","",IFERROR(A2085-LOOKUP(2,1/($B$4:$B2084=B2085),$A$4:$A2084),""))</f>
        <v/>
      </c>
      <c r="J2085" s="32">
        <f>IF(B2085="","",IFERROR(D2085/I2085,""))</f>
        <v/>
      </c>
      <c r="K2085" s="71">
        <f>IF(B2085="","",IFERROR(AVERAGEIFS($J$4:$J2085,$B$4:$B2085,B2085,$J$4:$J2085,"&gt;"&amp;0),""))</f>
        <v/>
      </c>
      <c r="L2085" s="11" t="n"/>
    </row>
    <row r="2086" ht="14" customHeight="1" s="72">
      <c r="A2086" s="80" t="n"/>
      <c r="B2086" s="81" t="n"/>
      <c r="C2086" s="69">
        <f>IF(B2086="","",IFERROR(INDEX(Client_List!$B:$B,MATCH(B2086,Client_List!$A:$A,0)),"⚠ NOT FOUND"))</f>
        <v/>
      </c>
      <c r="D2086" s="45" t="n"/>
      <c r="E2086" s="32">
        <f>IF(B2086="","",IFERROR(INDEX(Client_List!$C:$C,MATCH(VALUE(B2086),Client_List!$A:$A,0)),""))</f>
        <v/>
      </c>
      <c r="F2086" s="53">
        <f>IF(B2086="","",IFERROR(INDEX(Client_List!$D:$D,MATCH(VALUE(B2086),Client_List!$A:$A,0)),""))</f>
        <v/>
      </c>
      <c r="G2086" s="53">
        <f>IF(B2086="","",IFERROR(INDEX(Client_List!$K:$K,MATCH(VALUE(B2086),Client_List!$A:$A,0)),""))</f>
        <v/>
      </c>
      <c r="H2086" s="32">
        <f>IF(B2086="","",IFERROR(INDEX(Client_List!$J:$J,MATCH(VALUE(B2086),Client_List!$A:$A,0)),""))</f>
        <v/>
      </c>
      <c r="I2086" s="70">
        <f>IF(B2086="","",IFERROR(A2086-LOOKUP(2,1/($B$4:$B2085=B2086),$A$4:$A2085),""))</f>
        <v/>
      </c>
      <c r="J2086" s="32">
        <f>IF(B2086="","",IFERROR(D2086/I2086,""))</f>
        <v/>
      </c>
      <c r="K2086" s="71">
        <f>IF(B2086="","",IFERROR(AVERAGEIFS($J$4:$J2086,$B$4:$B2086,B2086,$J$4:$J2086,"&gt;"&amp;0),""))</f>
        <v/>
      </c>
      <c r="L2086" s="12" t="n"/>
    </row>
    <row r="2087" ht="14" customHeight="1" s="72">
      <c r="A2087" s="78" t="n"/>
      <c r="B2087" s="79" t="n"/>
      <c r="C2087" s="69">
        <f>IF(B2087="","",IFERROR(INDEX(Client_List!$B:$B,MATCH(B2087,Client_List!$A:$A,0)),"⚠ NOT FOUND"))</f>
        <v/>
      </c>
      <c r="D2087" s="44" t="n"/>
      <c r="E2087" s="32">
        <f>IF(B2087="","",IFERROR(INDEX(Client_List!$C:$C,MATCH(VALUE(B2087),Client_List!$A:$A,0)),""))</f>
        <v/>
      </c>
      <c r="F2087" s="53">
        <f>IF(B2087="","",IFERROR(INDEX(Client_List!$D:$D,MATCH(VALUE(B2087),Client_List!$A:$A,0)),""))</f>
        <v/>
      </c>
      <c r="G2087" s="53">
        <f>IF(B2087="","",IFERROR(INDEX(Client_List!$K:$K,MATCH(VALUE(B2087),Client_List!$A:$A,0)),""))</f>
        <v/>
      </c>
      <c r="H2087" s="32">
        <f>IF(B2087="","",IFERROR(INDEX(Client_List!$J:$J,MATCH(VALUE(B2087),Client_List!$A:$A,0)),""))</f>
        <v/>
      </c>
      <c r="I2087" s="70">
        <f>IF(B2087="","",IFERROR(A2087-LOOKUP(2,1/($B$4:$B2086=B2087),$A$4:$A2086),""))</f>
        <v/>
      </c>
      <c r="J2087" s="32">
        <f>IF(B2087="","",IFERROR(D2087/I2087,""))</f>
        <v/>
      </c>
      <c r="K2087" s="71">
        <f>IF(B2087="","",IFERROR(AVERAGEIFS($J$4:$J2087,$B$4:$B2087,B2087,$J$4:$J2087,"&gt;"&amp;0),""))</f>
        <v/>
      </c>
      <c r="L2087" s="11" t="n"/>
    </row>
    <row r="2088" ht="14" customHeight="1" s="72">
      <c r="A2088" s="80" t="n"/>
      <c r="B2088" s="81" t="n"/>
      <c r="C2088" s="69">
        <f>IF(B2088="","",IFERROR(INDEX(Client_List!$B:$B,MATCH(B2088,Client_List!$A:$A,0)),"⚠ NOT FOUND"))</f>
        <v/>
      </c>
      <c r="D2088" s="45" t="n"/>
      <c r="E2088" s="32">
        <f>IF(B2088="","",IFERROR(INDEX(Client_List!$C:$C,MATCH(VALUE(B2088),Client_List!$A:$A,0)),""))</f>
        <v/>
      </c>
      <c r="F2088" s="53">
        <f>IF(B2088="","",IFERROR(INDEX(Client_List!$D:$D,MATCH(VALUE(B2088),Client_List!$A:$A,0)),""))</f>
        <v/>
      </c>
      <c r="G2088" s="53">
        <f>IF(B2088="","",IFERROR(INDEX(Client_List!$K:$K,MATCH(VALUE(B2088),Client_List!$A:$A,0)),""))</f>
        <v/>
      </c>
      <c r="H2088" s="32">
        <f>IF(B2088="","",IFERROR(INDEX(Client_List!$J:$J,MATCH(VALUE(B2088),Client_List!$A:$A,0)),""))</f>
        <v/>
      </c>
      <c r="I2088" s="70">
        <f>IF(B2088="","",IFERROR(A2088-LOOKUP(2,1/($B$4:$B2087=B2088),$A$4:$A2087),""))</f>
        <v/>
      </c>
      <c r="J2088" s="32">
        <f>IF(B2088="","",IFERROR(D2088/I2088,""))</f>
        <v/>
      </c>
      <c r="K2088" s="71">
        <f>IF(B2088="","",IFERROR(AVERAGEIFS($J$4:$J2088,$B$4:$B2088,B2088,$J$4:$J2088,"&gt;"&amp;0),""))</f>
        <v/>
      </c>
      <c r="L2088" s="12" t="n"/>
    </row>
    <row r="2089" ht="14" customHeight="1" s="72">
      <c r="A2089" s="78" t="n"/>
      <c r="B2089" s="79" t="n"/>
      <c r="C2089" s="69">
        <f>IF(B2089="","",IFERROR(INDEX(Client_List!$B:$B,MATCH(B2089,Client_List!$A:$A,0)),"⚠ NOT FOUND"))</f>
        <v/>
      </c>
      <c r="D2089" s="44" t="n"/>
      <c r="E2089" s="32">
        <f>IF(B2089="","",IFERROR(INDEX(Client_List!$C:$C,MATCH(VALUE(B2089),Client_List!$A:$A,0)),""))</f>
        <v/>
      </c>
      <c r="F2089" s="53">
        <f>IF(B2089="","",IFERROR(INDEX(Client_List!$D:$D,MATCH(VALUE(B2089),Client_List!$A:$A,0)),""))</f>
        <v/>
      </c>
      <c r="G2089" s="53">
        <f>IF(B2089="","",IFERROR(INDEX(Client_List!$K:$K,MATCH(VALUE(B2089),Client_List!$A:$A,0)),""))</f>
        <v/>
      </c>
      <c r="H2089" s="32">
        <f>IF(B2089="","",IFERROR(INDEX(Client_List!$J:$J,MATCH(VALUE(B2089),Client_List!$A:$A,0)),""))</f>
        <v/>
      </c>
      <c r="I2089" s="70">
        <f>IF(B2089="","",IFERROR(A2089-LOOKUP(2,1/($B$4:$B2088=B2089),$A$4:$A2088),""))</f>
        <v/>
      </c>
      <c r="J2089" s="32">
        <f>IF(B2089="","",IFERROR(D2089/I2089,""))</f>
        <v/>
      </c>
      <c r="K2089" s="71">
        <f>IF(B2089="","",IFERROR(AVERAGEIFS($J$4:$J2089,$B$4:$B2089,B2089,$J$4:$J2089,"&gt;"&amp;0),""))</f>
        <v/>
      </c>
      <c r="L2089" s="11" t="n"/>
    </row>
    <row r="2090" ht="14" customHeight="1" s="72">
      <c r="A2090" s="80" t="n"/>
      <c r="B2090" s="81" t="n"/>
      <c r="C2090" s="69">
        <f>IF(B2090="","",IFERROR(INDEX(Client_List!$B:$B,MATCH(B2090,Client_List!$A:$A,0)),"⚠ NOT FOUND"))</f>
        <v/>
      </c>
      <c r="D2090" s="45" t="n"/>
      <c r="E2090" s="32">
        <f>IF(B2090="","",IFERROR(INDEX(Client_List!$C:$C,MATCH(VALUE(B2090),Client_List!$A:$A,0)),""))</f>
        <v/>
      </c>
      <c r="F2090" s="53">
        <f>IF(B2090="","",IFERROR(INDEX(Client_List!$D:$D,MATCH(VALUE(B2090),Client_List!$A:$A,0)),""))</f>
        <v/>
      </c>
      <c r="G2090" s="53">
        <f>IF(B2090="","",IFERROR(INDEX(Client_List!$K:$K,MATCH(VALUE(B2090),Client_List!$A:$A,0)),""))</f>
        <v/>
      </c>
      <c r="H2090" s="32">
        <f>IF(B2090="","",IFERROR(INDEX(Client_List!$J:$J,MATCH(VALUE(B2090),Client_List!$A:$A,0)),""))</f>
        <v/>
      </c>
      <c r="I2090" s="70">
        <f>IF(B2090="","",IFERROR(A2090-LOOKUP(2,1/($B$4:$B2089=B2090),$A$4:$A2089),""))</f>
        <v/>
      </c>
      <c r="J2090" s="32">
        <f>IF(B2090="","",IFERROR(D2090/I2090,""))</f>
        <v/>
      </c>
      <c r="K2090" s="71">
        <f>IF(B2090="","",IFERROR(AVERAGEIFS($J$4:$J2090,$B$4:$B2090,B2090,$J$4:$J2090,"&gt;"&amp;0),""))</f>
        <v/>
      </c>
      <c r="L2090" s="12" t="n"/>
    </row>
    <row r="2091" ht="14" customHeight="1" s="72">
      <c r="A2091" s="78" t="n"/>
      <c r="B2091" s="79" t="n"/>
      <c r="C2091" s="69">
        <f>IF(B2091="","",IFERROR(INDEX(Client_List!$B:$B,MATCH(B2091,Client_List!$A:$A,0)),"⚠ NOT FOUND"))</f>
        <v/>
      </c>
      <c r="D2091" s="44" t="n"/>
      <c r="E2091" s="32">
        <f>IF(B2091="","",IFERROR(INDEX(Client_List!$C:$C,MATCH(VALUE(B2091),Client_List!$A:$A,0)),""))</f>
        <v/>
      </c>
      <c r="F2091" s="53">
        <f>IF(B2091="","",IFERROR(INDEX(Client_List!$D:$D,MATCH(VALUE(B2091),Client_List!$A:$A,0)),""))</f>
        <v/>
      </c>
      <c r="G2091" s="53">
        <f>IF(B2091="","",IFERROR(INDEX(Client_List!$K:$K,MATCH(VALUE(B2091),Client_List!$A:$A,0)),""))</f>
        <v/>
      </c>
      <c r="H2091" s="32">
        <f>IF(B2091="","",IFERROR(INDEX(Client_List!$J:$J,MATCH(VALUE(B2091),Client_List!$A:$A,0)),""))</f>
        <v/>
      </c>
      <c r="I2091" s="70">
        <f>IF(B2091="","",IFERROR(A2091-LOOKUP(2,1/($B$4:$B2090=B2091),$A$4:$A2090),""))</f>
        <v/>
      </c>
      <c r="J2091" s="32">
        <f>IF(B2091="","",IFERROR(D2091/I2091,""))</f>
        <v/>
      </c>
      <c r="K2091" s="71">
        <f>IF(B2091="","",IFERROR(AVERAGEIFS($J$4:$J2091,$B$4:$B2091,B2091,$J$4:$J2091,"&gt;"&amp;0),""))</f>
        <v/>
      </c>
      <c r="L2091" s="11" t="n"/>
    </row>
    <row r="2092" ht="14" customHeight="1" s="72">
      <c r="A2092" s="80" t="n"/>
      <c r="B2092" s="81" t="n"/>
      <c r="C2092" s="69">
        <f>IF(B2092="","",IFERROR(INDEX(Client_List!$B:$B,MATCH(B2092,Client_List!$A:$A,0)),"⚠ NOT FOUND"))</f>
        <v/>
      </c>
      <c r="D2092" s="45" t="n"/>
      <c r="E2092" s="32">
        <f>IF(B2092="","",IFERROR(INDEX(Client_List!$C:$C,MATCH(VALUE(B2092),Client_List!$A:$A,0)),""))</f>
        <v/>
      </c>
      <c r="F2092" s="53">
        <f>IF(B2092="","",IFERROR(INDEX(Client_List!$D:$D,MATCH(VALUE(B2092),Client_List!$A:$A,0)),""))</f>
        <v/>
      </c>
      <c r="G2092" s="53">
        <f>IF(B2092="","",IFERROR(INDEX(Client_List!$K:$K,MATCH(VALUE(B2092),Client_List!$A:$A,0)),""))</f>
        <v/>
      </c>
      <c r="H2092" s="32">
        <f>IF(B2092="","",IFERROR(INDEX(Client_List!$J:$J,MATCH(VALUE(B2092),Client_List!$A:$A,0)),""))</f>
        <v/>
      </c>
      <c r="I2092" s="70">
        <f>IF(B2092="","",IFERROR(A2092-LOOKUP(2,1/($B$4:$B2091=B2092),$A$4:$A2091),""))</f>
        <v/>
      </c>
      <c r="J2092" s="32">
        <f>IF(B2092="","",IFERROR(D2092/I2092,""))</f>
        <v/>
      </c>
      <c r="K2092" s="71">
        <f>IF(B2092="","",IFERROR(AVERAGEIFS($J$4:$J2092,$B$4:$B2092,B2092,$J$4:$J2092,"&gt;"&amp;0),""))</f>
        <v/>
      </c>
      <c r="L2092" s="12" t="n"/>
    </row>
    <row r="2093" ht="14" customHeight="1" s="72">
      <c r="A2093" s="78" t="n"/>
      <c r="B2093" s="79" t="n"/>
      <c r="C2093" s="69">
        <f>IF(B2093="","",IFERROR(INDEX(Client_List!$B:$B,MATCH(B2093,Client_List!$A:$A,0)),"⚠ NOT FOUND"))</f>
        <v/>
      </c>
      <c r="D2093" s="44" t="n"/>
      <c r="E2093" s="32">
        <f>IF(B2093="","",IFERROR(INDEX(Client_List!$C:$C,MATCH(VALUE(B2093),Client_List!$A:$A,0)),""))</f>
        <v/>
      </c>
      <c r="F2093" s="53">
        <f>IF(B2093="","",IFERROR(INDEX(Client_List!$D:$D,MATCH(VALUE(B2093),Client_List!$A:$A,0)),""))</f>
        <v/>
      </c>
      <c r="G2093" s="53">
        <f>IF(B2093="","",IFERROR(INDEX(Client_List!$K:$K,MATCH(VALUE(B2093),Client_List!$A:$A,0)),""))</f>
        <v/>
      </c>
      <c r="H2093" s="32">
        <f>IF(B2093="","",IFERROR(INDEX(Client_List!$J:$J,MATCH(VALUE(B2093),Client_List!$A:$A,0)),""))</f>
        <v/>
      </c>
      <c r="I2093" s="70">
        <f>IF(B2093="","",IFERROR(A2093-LOOKUP(2,1/($B$4:$B2092=B2093),$A$4:$A2092),""))</f>
        <v/>
      </c>
      <c r="J2093" s="32">
        <f>IF(B2093="","",IFERROR(D2093/I2093,""))</f>
        <v/>
      </c>
      <c r="K2093" s="71">
        <f>IF(B2093="","",IFERROR(AVERAGEIFS($J$4:$J2093,$B$4:$B2093,B2093,$J$4:$J2093,"&gt;"&amp;0),""))</f>
        <v/>
      </c>
      <c r="L2093" s="11" t="n"/>
    </row>
    <row r="2094" ht="14" customHeight="1" s="72">
      <c r="A2094" s="80" t="n"/>
      <c r="B2094" s="81" t="n"/>
      <c r="C2094" s="69">
        <f>IF(B2094="","",IFERROR(INDEX(Client_List!$B:$B,MATCH(B2094,Client_List!$A:$A,0)),"⚠ NOT FOUND"))</f>
        <v/>
      </c>
      <c r="D2094" s="45" t="n"/>
      <c r="E2094" s="32">
        <f>IF(B2094="","",IFERROR(INDEX(Client_List!$C:$C,MATCH(VALUE(B2094),Client_List!$A:$A,0)),""))</f>
        <v/>
      </c>
      <c r="F2094" s="53">
        <f>IF(B2094="","",IFERROR(INDEX(Client_List!$D:$D,MATCH(VALUE(B2094),Client_List!$A:$A,0)),""))</f>
        <v/>
      </c>
      <c r="G2094" s="53">
        <f>IF(B2094="","",IFERROR(INDEX(Client_List!$K:$K,MATCH(VALUE(B2094),Client_List!$A:$A,0)),""))</f>
        <v/>
      </c>
      <c r="H2094" s="32">
        <f>IF(B2094="","",IFERROR(INDEX(Client_List!$J:$J,MATCH(VALUE(B2094),Client_List!$A:$A,0)),""))</f>
        <v/>
      </c>
      <c r="I2094" s="70">
        <f>IF(B2094="","",IFERROR(A2094-LOOKUP(2,1/($B$4:$B2093=B2094),$A$4:$A2093),""))</f>
        <v/>
      </c>
      <c r="J2094" s="32">
        <f>IF(B2094="","",IFERROR(D2094/I2094,""))</f>
        <v/>
      </c>
      <c r="K2094" s="71">
        <f>IF(B2094="","",IFERROR(AVERAGEIFS($J$4:$J2094,$B$4:$B2094,B2094,$J$4:$J2094,"&gt;"&amp;0),""))</f>
        <v/>
      </c>
      <c r="L2094" s="12" t="n"/>
    </row>
    <row r="2095" ht="14" customHeight="1" s="72">
      <c r="A2095" s="78" t="n"/>
      <c r="B2095" s="79" t="n"/>
      <c r="C2095" s="69">
        <f>IF(B2095="","",IFERROR(INDEX(Client_List!$B:$B,MATCH(B2095,Client_List!$A:$A,0)),"⚠ NOT FOUND"))</f>
        <v/>
      </c>
      <c r="D2095" s="44" t="n"/>
      <c r="E2095" s="32">
        <f>IF(B2095="","",IFERROR(INDEX(Client_List!$C:$C,MATCH(VALUE(B2095),Client_List!$A:$A,0)),""))</f>
        <v/>
      </c>
      <c r="F2095" s="53">
        <f>IF(B2095="","",IFERROR(INDEX(Client_List!$D:$D,MATCH(VALUE(B2095),Client_List!$A:$A,0)),""))</f>
        <v/>
      </c>
      <c r="G2095" s="53">
        <f>IF(B2095="","",IFERROR(INDEX(Client_List!$K:$K,MATCH(VALUE(B2095),Client_List!$A:$A,0)),""))</f>
        <v/>
      </c>
      <c r="H2095" s="32">
        <f>IF(B2095="","",IFERROR(INDEX(Client_List!$J:$J,MATCH(VALUE(B2095),Client_List!$A:$A,0)),""))</f>
        <v/>
      </c>
      <c r="I2095" s="70">
        <f>IF(B2095="","",IFERROR(A2095-LOOKUP(2,1/($B$4:$B2094=B2095),$A$4:$A2094),""))</f>
        <v/>
      </c>
      <c r="J2095" s="32">
        <f>IF(B2095="","",IFERROR(D2095/I2095,""))</f>
        <v/>
      </c>
      <c r="K2095" s="71">
        <f>IF(B2095="","",IFERROR(AVERAGEIFS($J$4:$J2095,$B$4:$B2095,B2095,$J$4:$J2095,"&gt;"&amp;0),""))</f>
        <v/>
      </c>
      <c r="L2095" s="11" t="n"/>
    </row>
    <row r="2096" ht="14" customHeight="1" s="72">
      <c r="A2096" s="80" t="n"/>
      <c r="B2096" s="81" t="n"/>
      <c r="C2096" s="69">
        <f>IF(B2096="","",IFERROR(INDEX(Client_List!$B:$B,MATCH(B2096,Client_List!$A:$A,0)),"⚠ NOT FOUND"))</f>
        <v/>
      </c>
      <c r="D2096" s="45" t="n"/>
      <c r="E2096" s="32">
        <f>IF(B2096="","",IFERROR(INDEX(Client_List!$C:$C,MATCH(VALUE(B2096),Client_List!$A:$A,0)),""))</f>
        <v/>
      </c>
      <c r="F2096" s="53">
        <f>IF(B2096="","",IFERROR(INDEX(Client_List!$D:$D,MATCH(VALUE(B2096),Client_List!$A:$A,0)),""))</f>
        <v/>
      </c>
      <c r="G2096" s="53">
        <f>IF(B2096="","",IFERROR(INDEX(Client_List!$K:$K,MATCH(VALUE(B2096),Client_List!$A:$A,0)),""))</f>
        <v/>
      </c>
      <c r="H2096" s="32">
        <f>IF(B2096="","",IFERROR(INDEX(Client_List!$J:$J,MATCH(VALUE(B2096),Client_List!$A:$A,0)),""))</f>
        <v/>
      </c>
      <c r="I2096" s="70">
        <f>IF(B2096="","",IFERROR(A2096-LOOKUP(2,1/($B$4:$B2095=B2096),$A$4:$A2095),""))</f>
        <v/>
      </c>
      <c r="J2096" s="32">
        <f>IF(B2096="","",IFERROR(D2096/I2096,""))</f>
        <v/>
      </c>
      <c r="K2096" s="71">
        <f>IF(B2096="","",IFERROR(AVERAGEIFS($J$4:$J2096,$B$4:$B2096,B2096,$J$4:$J2096,"&gt;"&amp;0),""))</f>
        <v/>
      </c>
      <c r="L2096" s="12" t="n"/>
    </row>
    <row r="2097" ht="14" customHeight="1" s="72">
      <c r="A2097" s="78" t="n"/>
      <c r="B2097" s="79" t="n"/>
      <c r="C2097" s="69">
        <f>IF(B2097="","",IFERROR(INDEX(Client_List!$B:$B,MATCH(B2097,Client_List!$A:$A,0)),"⚠ NOT FOUND"))</f>
        <v/>
      </c>
      <c r="D2097" s="44" t="n"/>
      <c r="E2097" s="32">
        <f>IF(B2097="","",IFERROR(INDEX(Client_List!$C:$C,MATCH(VALUE(B2097),Client_List!$A:$A,0)),""))</f>
        <v/>
      </c>
      <c r="F2097" s="53">
        <f>IF(B2097="","",IFERROR(INDEX(Client_List!$D:$D,MATCH(VALUE(B2097),Client_List!$A:$A,0)),""))</f>
        <v/>
      </c>
      <c r="G2097" s="53">
        <f>IF(B2097="","",IFERROR(INDEX(Client_List!$K:$K,MATCH(VALUE(B2097),Client_List!$A:$A,0)),""))</f>
        <v/>
      </c>
      <c r="H2097" s="32">
        <f>IF(B2097="","",IFERROR(INDEX(Client_List!$J:$J,MATCH(VALUE(B2097),Client_List!$A:$A,0)),""))</f>
        <v/>
      </c>
      <c r="I2097" s="70">
        <f>IF(B2097="","",IFERROR(A2097-LOOKUP(2,1/($B$4:$B2096=B2097),$A$4:$A2096),""))</f>
        <v/>
      </c>
      <c r="J2097" s="32">
        <f>IF(B2097="","",IFERROR(D2097/I2097,""))</f>
        <v/>
      </c>
      <c r="K2097" s="71">
        <f>IF(B2097="","",IFERROR(AVERAGEIFS($J$4:$J2097,$B$4:$B2097,B2097,$J$4:$J2097,"&gt;"&amp;0),""))</f>
        <v/>
      </c>
      <c r="L2097" s="11" t="n"/>
    </row>
    <row r="2098" ht="14" customHeight="1" s="72">
      <c r="A2098" s="80" t="n"/>
      <c r="B2098" s="81" t="n"/>
      <c r="C2098" s="69">
        <f>IF(B2098="","",IFERROR(INDEX(Client_List!$B:$B,MATCH(B2098,Client_List!$A:$A,0)),"⚠ NOT FOUND"))</f>
        <v/>
      </c>
      <c r="D2098" s="45" t="n"/>
      <c r="E2098" s="32">
        <f>IF(B2098="","",IFERROR(INDEX(Client_List!$C:$C,MATCH(VALUE(B2098),Client_List!$A:$A,0)),""))</f>
        <v/>
      </c>
      <c r="F2098" s="53">
        <f>IF(B2098="","",IFERROR(INDEX(Client_List!$D:$D,MATCH(VALUE(B2098),Client_List!$A:$A,0)),""))</f>
        <v/>
      </c>
      <c r="G2098" s="53">
        <f>IF(B2098="","",IFERROR(INDEX(Client_List!$K:$K,MATCH(VALUE(B2098),Client_List!$A:$A,0)),""))</f>
        <v/>
      </c>
      <c r="H2098" s="32">
        <f>IF(B2098="","",IFERROR(INDEX(Client_List!$J:$J,MATCH(VALUE(B2098),Client_List!$A:$A,0)),""))</f>
        <v/>
      </c>
      <c r="I2098" s="70">
        <f>IF(B2098="","",IFERROR(A2098-LOOKUP(2,1/($B$4:$B2097=B2098),$A$4:$A2097),""))</f>
        <v/>
      </c>
      <c r="J2098" s="32">
        <f>IF(B2098="","",IFERROR(D2098/I2098,""))</f>
        <v/>
      </c>
      <c r="K2098" s="71">
        <f>IF(B2098="","",IFERROR(AVERAGEIFS($J$4:$J2098,$B$4:$B2098,B2098,$J$4:$J2098,"&gt;"&amp;0),""))</f>
        <v/>
      </c>
      <c r="L2098" s="12" t="n"/>
    </row>
    <row r="2099" ht="14" customHeight="1" s="72">
      <c r="A2099" s="78" t="n"/>
      <c r="B2099" s="79" t="n"/>
      <c r="C2099" s="69">
        <f>IF(B2099="","",IFERROR(INDEX(Client_List!$B:$B,MATCH(B2099,Client_List!$A:$A,0)),"⚠ NOT FOUND"))</f>
        <v/>
      </c>
      <c r="D2099" s="44" t="n"/>
      <c r="E2099" s="32">
        <f>IF(B2099="","",IFERROR(INDEX(Client_List!$C:$C,MATCH(VALUE(B2099),Client_List!$A:$A,0)),""))</f>
        <v/>
      </c>
      <c r="F2099" s="53">
        <f>IF(B2099="","",IFERROR(INDEX(Client_List!$D:$D,MATCH(VALUE(B2099),Client_List!$A:$A,0)),""))</f>
        <v/>
      </c>
      <c r="G2099" s="53">
        <f>IF(B2099="","",IFERROR(INDEX(Client_List!$K:$K,MATCH(VALUE(B2099),Client_List!$A:$A,0)),""))</f>
        <v/>
      </c>
      <c r="H2099" s="32">
        <f>IF(B2099="","",IFERROR(INDEX(Client_List!$J:$J,MATCH(VALUE(B2099),Client_List!$A:$A,0)),""))</f>
        <v/>
      </c>
      <c r="I2099" s="70">
        <f>IF(B2099="","",IFERROR(A2099-LOOKUP(2,1/($B$4:$B2098=B2099),$A$4:$A2098),""))</f>
        <v/>
      </c>
      <c r="J2099" s="32">
        <f>IF(B2099="","",IFERROR(D2099/I2099,""))</f>
        <v/>
      </c>
      <c r="K2099" s="71">
        <f>IF(B2099="","",IFERROR(AVERAGEIFS($J$4:$J2099,$B$4:$B2099,B2099,$J$4:$J2099,"&gt;"&amp;0),""))</f>
        <v/>
      </c>
      <c r="L2099" s="11" t="n"/>
    </row>
    <row r="2100" ht="14" customHeight="1" s="72">
      <c r="A2100" s="80" t="n"/>
      <c r="B2100" s="81" t="n"/>
      <c r="C2100" s="69">
        <f>IF(B2100="","",IFERROR(INDEX(Client_List!$B:$B,MATCH(B2100,Client_List!$A:$A,0)),"⚠ NOT FOUND"))</f>
        <v/>
      </c>
      <c r="D2100" s="45" t="n"/>
      <c r="E2100" s="32">
        <f>IF(B2100="","",IFERROR(INDEX(Client_List!$C:$C,MATCH(VALUE(B2100),Client_List!$A:$A,0)),""))</f>
        <v/>
      </c>
      <c r="F2100" s="53">
        <f>IF(B2100="","",IFERROR(INDEX(Client_List!$D:$D,MATCH(VALUE(B2100),Client_List!$A:$A,0)),""))</f>
        <v/>
      </c>
      <c r="G2100" s="53">
        <f>IF(B2100="","",IFERROR(INDEX(Client_List!$K:$K,MATCH(VALUE(B2100),Client_List!$A:$A,0)),""))</f>
        <v/>
      </c>
      <c r="H2100" s="32">
        <f>IF(B2100="","",IFERROR(INDEX(Client_List!$J:$J,MATCH(VALUE(B2100),Client_List!$A:$A,0)),""))</f>
        <v/>
      </c>
      <c r="I2100" s="70">
        <f>IF(B2100="","",IFERROR(A2100-LOOKUP(2,1/($B$4:$B2099=B2100),$A$4:$A2099),""))</f>
        <v/>
      </c>
      <c r="J2100" s="32">
        <f>IF(B2100="","",IFERROR(D2100/I2100,""))</f>
        <v/>
      </c>
      <c r="K2100" s="71">
        <f>IF(B2100="","",IFERROR(AVERAGEIFS($J$4:$J2100,$B$4:$B2100,B2100,$J$4:$J2100,"&gt;"&amp;0),""))</f>
        <v/>
      </c>
      <c r="L2100" s="12" t="n"/>
    </row>
    <row r="2101" ht="14" customHeight="1" s="72">
      <c r="A2101" s="78" t="n"/>
      <c r="B2101" s="79" t="n"/>
      <c r="C2101" s="69">
        <f>IF(B2101="","",IFERROR(INDEX(Client_List!$B:$B,MATCH(B2101,Client_List!$A:$A,0)),"⚠ NOT FOUND"))</f>
        <v/>
      </c>
      <c r="D2101" s="44" t="n"/>
      <c r="E2101" s="32">
        <f>IF(B2101="","",IFERROR(INDEX(Client_List!$C:$C,MATCH(VALUE(B2101),Client_List!$A:$A,0)),""))</f>
        <v/>
      </c>
      <c r="F2101" s="53">
        <f>IF(B2101="","",IFERROR(INDEX(Client_List!$D:$D,MATCH(VALUE(B2101),Client_List!$A:$A,0)),""))</f>
        <v/>
      </c>
      <c r="G2101" s="53">
        <f>IF(B2101="","",IFERROR(INDEX(Client_List!$K:$K,MATCH(VALUE(B2101),Client_List!$A:$A,0)),""))</f>
        <v/>
      </c>
      <c r="H2101" s="32">
        <f>IF(B2101="","",IFERROR(INDEX(Client_List!$J:$J,MATCH(VALUE(B2101),Client_List!$A:$A,0)),""))</f>
        <v/>
      </c>
      <c r="I2101" s="70">
        <f>IF(B2101="","",IFERROR(A2101-LOOKUP(2,1/($B$4:$B2100=B2101),$A$4:$A2100),""))</f>
        <v/>
      </c>
      <c r="J2101" s="32">
        <f>IF(B2101="","",IFERROR(D2101/I2101,""))</f>
        <v/>
      </c>
      <c r="K2101" s="71">
        <f>IF(B2101="","",IFERROR(AVERAGEIFS($J$4:$J2101,$B$4:$B2101,B2101,$J$4:$J2101,"&gt;"&amp;0),""))</f>
        <v/>
      </c>
      <c r="L2101" s="11" t="n"/>
    </row>
    <row r="2102" ht="14" customHeight="1" s="72">
      <c r="A2102" s="80" t="n"/>
      <c r="B2102" s="81" t="n"/>
      <c r="C2102" s="69">
        <f>IF(B2102="","",IFERROR(INDEX(Client_List!$B:$B,MATCH(B2102,Client_List!$A:$A,0)),"⚠ NOT FOUND"))</f>
        <v/>
      </c>
      <c r="D2102" s="45" t="n"/>
      <c r="E2102" s="32">
        <f>IF(B2102="","",IFERROR(INDEX(Client_List!$C:$C,MATCH(VALUE(B2102),Client_List!$A:$A,0)),""))</f>
        <v/>
      </c>
      <c r="F2102" s="53">
        <f>IF(B2102="","",IFERROR(INDEX(Client_List!$D:$D,MATCH(VALUE(B2102),Client_List!$A:$A,0)),""))</f>
        <v/>
      </c>
      <c r="G2102" s="53">
        <f>IF(B2102="","",IFERROR(INDEX(Client_List!$K:$K,MATCH(VALUE(B2102),Client_List!$A:$A,0)),""))</f>
        <v/>
      </c>
      <c r="H2102" s="32">
        <f>IF(B2102="","",IFERROR(INDEX(Client_List!$J:$J,MATCH(VALUE(B2102),Client_List!$A:$A,0)),""))</f>
        <v/>
      </c>
      <c r="I2102" s="70">
        <f>IF(B2102="","",IFERROR(A2102-LOOKUP(2,1/($B$4:$B2101=B2102),$A$4:$A2101),""))</f>
        <v/>
      </c>
      <c r="J2102" s="32">
        <f>IF(B2102="","",IFERROR(D2102/I2102,""))</f>
        <v/>
      </c>
      <c r="K2102" s="71">
        <f>IF(B2102="","",IFERROR(AVERAGEIFS($J$4:$J2102,$B$4:$B2102,B2102,$J$4:$J2102,"&gt;"&amp;0),""))</f>
        <v/>
      </c>
      <c r="L2102" s="12" t="n"/>
    </row>
    <row r="2103" ht="14" customHeight="1" s="72">
      <c r="A2103" s="78" t="n"/>
      <c r="B2103" s="79" t="n"/>
      <c r="C2103" s="69">
        <f>IF(B2103="","",IFERROR(INDEX(Client_List!$B:$B,MATCH(B2103,Client_List!$A:$A,0)),"⚠ NOT FOUND"))</f>
        <v/>
      </c>
      <c r="D2103" s="44" t="n"/>
      <c r="E2103" s="32">
        <f>IF(B2103="","",IFERROR(INDEX(Client_List!$C:$C,MATCH(VALUE(B2103),Client_List!$A:$A,0)),""))</f>
        <v/>
      </c>
      <c r="F2103" s="53">
        <f>IF(B2103="","",IFERROR(INDEX(Client_List!$D:$D,MATCH(VALUE(B2103),Client_List!$A:$A,0)),""))</f>
        <v/>
      </c>
      <c r="G2103" s="53">
        <f>IF(B2103="","",IFERROR(INDEX(Client_List!$K:$K,MATCH(VALUE(B2103),Client_List!$A:$A,0)),""))</f>
        <v/>
      </c>
      <c r="H2103" s="32">
        <f>IF(B2103="","",IFERROR(INDEX(Client_List!$J:$J,MATCH(VALUE(B2103),Client_List!$A:$A,0)),""))</f>
        <v/>
      </c>
      <c r="I2103" s="70">
        <f>IF(B2103="","",IFERROR(A2103-LOOKUP(2,1/($B$4:$B2102=B2103),$A$4:$A2102),""))</f>
        <v/>
      </c>
      <c r="J2103" s="32">
        <f>IF(B2103="","",IFERROR(D2103/I2103,""))</f>
        <v/>
      </c>
      <c r="K2103" s="71">
        <f>IF(B2103="","",IFERROR(AVERAGEIFS($J$4:$J2103,$B$4:$B2103,B2103,$J$4:$J2103,"&gt;"&amp;0),""))</f>
        <v/>
      </c>
      <c r="L2103" s="11" t="n"/>
    </row>
    <row r="2104" ht="14" customHeight="1" s="72">
      <c r="A2104" s="80" t="n"/>
      <c r="B2104" s="81" t="n"/>
      <c r="C2104" s="69">
        <f>IF(B2104="","",IFERROR(INDEX(Client_List!$B:$B,MATCH(B2104,Client_List!$A:$A,0)),"⚠ NOT FOUND"))</f>
        <v/>
      </c>
      <c r="D2104" s="45" t="n"/>
      <c r="E2104" s="32">
        <f>IF(B2104="","",IFERROR(INDEX(Client_List!$C:$C,MATCH(VALUE(B2104),Client_List!$A:$A,0)),""))</f>
        <v/>
      </c>
      <c r="F2104" s="53">
        <f>IF(B2104="","",IFERROR(INDEX(Client_List!$D:$D,MATCH(VALUE(B2104),Client_List!$A:$A,0)),""))</f>
        <v/>
      </c>
      <c r="G2104" s="53">
        <f>IF(B2104="","",IFERROR(INDEX(Client_List!$K:$K,MATCH(VALUE(B2104),Client_List!$A:$A,0)),""))</f>
        <v/>
      </c>
      <c r="H2104" s="32">
        <f>IF(B2104="","",IFERROR(INDEX(Client_List!$J:$J,MATCH(VALUE(B2104),Client_List!$A:$A,0)),""))</f>
        <v/>
      </c>
      <c r="I2104" s="70">
        <f>IF(B2104="","",IFERROR(A2104-LOOKUP(2,1/($B$4:$B2103=B2104),$A$4:$A2103),""))</f>
        <v/>
      </c>
      <c r="J2104" s="32">
        <f>IF(B2104="","",IFERROR(D2104/I2104,""))</f>
        <v/>
      </c>
      <c r="K2104" s="71">
        <f>IF(B2104="","",IFERROR(AVERAGEIFS($J$4:$J2104,$B$4:$B2104,B2104,$J$4:$J2104,"&gt;"&amp;0),""))</f>
        <v/>
      </c>
      <c r="L2104" s="12" t="n"/>
    </row>
    <row r="2105" ht="14" customHeight="1" s="72">
      <c r="A2105" s="78" t="n"/>
      <c r="B2105" s="79" t="n"/>
      <c r="C2105" s="69">
        <f>IF(B2105="","",IFERROR(INDEX(Client_List!$B:$B,MATCH(B2105,Client_List!$A:$A,0)),"⚠ NOT FOUND"))</f>
        <v/>
      </c>
      <c r="D2105" s="44" t="n"/>
      <c r="E2105" s="32">
        <f>IF(B2105="","",IFERROR(INDEX(Client_List!$C:$C,MATCH(VALUE(B2105),Client_List!$A:$A,0)),""))</f>
        <v/>
      </c>
      <c r="F2105" s="53">
        <f>IF(B2105="","",IFERROR(INDEX(Client_List!$D:$D,MATCH(VALUE(B2105),Client_List!$A:$A,0)),""))</f>
        <v/>
      </c>
      <c r="G2105" s="53">
        <f>IF(B2105="","",IFERROR(INDEX(Client_List!$K:$K,MATCH(VALUE(B2105),Client_List!$A:$A,0)),""))</f>
        <v/>
      </c>
      <c r="H2105" s="32">
        <f>IF(B2105="","",IFERROR(INDEX(Client_List!$J:$J,MATCH(VALUE(B2105),Client_List!$A:$A,0)),""))</f>
        <v/>
      </c>
      <c r="I2105" s="70">
        <f>IF(B2105="","",IFERROR(A2105-LOOKUP(2,1/($B$4:$B2104=B2105),$A$4:$A2104),""))</f>
        <v/>
      </c>
      <c r="J2105" s="32">
        <f>IF(B2105="","",IFERROR(D2105/I2105,""))</f>
        <v/>
      </c>
      <c r="K2105" s="71">
        <f>IF(B2105="","",IFERROR(AVERAGEIFS($J$4:$J2105,$B$4:$B2105,B2105,$J$4:$J2105,"&gt;"&amp;0),""))</f>
        <v/>
      </c>
      <c r="L2105" s="11" t="n"/>
    </row>
    <row r="2106" ht="14" customHeight="1" s="72">
      <c r="A2106" s="80" t="n"/>
      <c r="B2106" s="81" t="n"/>
      <c r="C2106" s="69">
        <f>IF(B2106="","",IFERROR(INDEX(Client_List!$B:$B,MATCH(B2106,Client_List!$A:$A,0)),"⚠ NOT FOUND"))</f>
        <v/>
      </c>
      <c r="D2106" s="45" t="n"/>
      <c r="E2106" s="32">
        <f>IF(B2106="","",IFERROR(INDEX(Client_List!$C:$C,MATCH(VALUE(B2106),Client_List!$A:$A,0)),""))</f>
        <v/>
      </c>
      <c r="F2106" s="53">
        <f>IF(B2106="","",IFERROR(INDEX(Client_List!$D:$D,MATCH(VALUE(B2106),Client_List!$A:$A,0)),""))</f>
        <v/>
      </c>
      <c r="G2106" s="53">
        <f>IF(B2106="","",IFERROR(INDEX(Client_List!$K:$K,MATCH(VALUE(B2106),Client_List!$A:$A,0)),""))</f>
        <v/>
      </c>
      <c r="H2106" s="32">
        <f>IF(B2106="","",IFERROR(INDEX(Client_List!$J:$J,MATCH(VALUE(B2106),Client_List!$A:$A,0)),""))</f>
        <v/>
      </c>
      <c r="I2106" s="70">
        <f>IF(B2106="","",IFERROR(A2106-LOOKUP(2,1/($B$4:$B2105=B2106),$A$4:$A2105),""))</f>
        <v/>
      </c>
      <c r="J2106" s="32">
        <f>IF(B2106="","",IFERROR(D2106/I2106,""))</f>
        <v/>
      </c>
      <c r="K2106" s="71">
        <f>IF(B2106="","",IFERROR(AVERAGEIFS($J$4:$J2106,$B$4:$B2106,B2106,$J$4:$J2106,"&gt;"&amp;0),""))</f>
        <v/>
      </c>
      <c r="L2106" s="12" t="n"/>
    </row>
    <row r="2107" ht="14" customHeight="1" s="72">
      <c r="A2107" s="78" t="n"/>
      <c r="B2107" s="79" t="n"/>
      <c r="C2107" s="69">
        <f>IF(B2107="","",IFERROR(INDEX(Client_List!$B:$B,MATCH(B2107,Client_List!$A:$A,0)),"⚠ NOT FOUND"))</f>
        <v/>
      </c>
      <c r="D2107" s="44" t="n"/>
      <c r="E2107" s="32">
        <f>IF(B2107="","",IFERROR(INDEX(Client_List!$C:$C,MATCH(VALUE(B2107),Client_List!$A:$A,0)),""))</f>
        <v/>
      </c>
      <c r="F2107" s="53">
        <f>IF(B2107="","",IFERROR(INDEX(Client_List!$D:$D,MATCH(VALUE(B2107),Client_List!$A:$A,0)),""))</f>
        <v/>
      </c>
      <c r="G2107" s="53">
        <f>IF(B2107="","",IFERROR(INDEX(Client_List!$K:$K,MATCH(VALUE(B2107),Client_List!$A:$A,0)),""))</f>
        <v/>
      </c>
      <c r="H2107" s="32">
        <f>IF(B2107="","",IFERROR(INDEX(Client_List!$J:$J,MATCH(VALUE(B2107),Client_List!$A:$A,0)),""))</f>
        <v/>
      </c>
      <c r="I2107" s="70">
        <f>IF(B2107="","",IFERROR(A2107-LOOKUP(2,1/($B$4:$B2106=B2107),$A$4:$A2106),""))</f>
        <v/>
      </c>
      <c r="J2107" s="32">
        <f>IF(B2107="","",IFERROR(D2107/I2107,""))</f>
        <v/>
      </c>
      <c r="K2107" s="71">
        <f>IF(B2107="","",IFERROR(AVERAGEIFS($J$4:$J2107,$B$4:$B2107,B2107,$J$4:$J2107,"&gt;"&amp;0),""))</f>
        <v/>
      </c>
      <c r="L2107" s="11" t="n"/>
    </row>
    <row r="2108" ht="14" customHeight="1" s="72">
      <c r="A2108" s="80" t="n"/>
      <c r="B2108" s="81" t="n"/>
      <c r="C2108" s="69">
        <f>IF(B2108="","",IFERROR(INDEX(Client_List!$B:$B,MATCH(B2108,Client_List!$A:$A,0)),"⚠ NOT FOUND"))</f>
        <v/>
      </c>
      <c r="D2108" s="45" t="n"/>
      <c r="E2108" s="32">
        <f>IF(B2108="","",IFERROR(INDEX(Client_List!$C:$C,MATCH(VALUE(B2108),Client_List!$A:$A,0)),""))</f>
        <v/>
      </c>
      <c r="F2108" s="53">
        <f>IF(B2108="","",IFERROR(INDEX(Client_List!$D:$D,MATCH(VALUE(B2108),Client_List!$A:$A,0)),""))</f>
        <v/>
      </c>
      <c r="G2108" s="53">
        <f>IF(B2108="","",IFERROR(INDEX(Client_List!$K:$K,MATCH(VALUE(B2108),Client_List!$A:$A,0)),""))</f>
        <v/>
      </c>
      <c r="H2108" s="32">
        <f>IF(B2108="","",IFERROR(INDEX(Client_List!$J:$J,MATCH(VALUE(B2108),Client_List!$A:$A,0)),""))</f>
        <v/>
      </c>
      <c r="I2108" s="70">
        <f>IF(B2108="","",IFERROR(A2108-LOOKUP(2,1/($B$4:$B2107=B2108),$A$4:$A2107),""))</f>
        <v/>
      </c>
      <c r="J2108" s="32">
        <f>IF(B2108="","",IFERROR(D2108/I2108,""))</f>
        <v/>
      </c>
      <c r="K2108" s="71">
        <f>IF(B2108="","",IFERROR(AVERAGEIFS($J$4:$J2108,$B$4:$B2108,B2108,$J$4:$J2108,"&gt;"&amp;0),""))</f>
        <v/>
      </c>
      <c r="L2108" s="12" t="n"/>
    </row>
    <row r="2109" ht="14" customHeight="1" s="72">
      <c r="A2109" s="78" t="n"/>
      <c r="B2109" s="79" t="n"/>
      <c r="C2109" s="69">
        <f>IF(B2109="","",IFERROR(INDEX(Client_List!$B:$B,MATCH(B2109,Client_List!$A:$A,0)),"⚠ NOT FOUND"))</f>
        <v/>
      </c>
      <c r="D2109" s="44" t="n"/>
      <c r="E2109" s="32">
        <f>IF(B2109="","",IFERROR(INDEX(Client_List!$C:$C,MATCH(VALUE(B2109),Client_List!$A:$A,0)),""))</f>
        <v/>
      </c>
      <c r="F2109" s="53">
        <f>IF(B2109="","",IFERROR(INDEX(Client_List!$D:$D,MATCH(VALUE(B2109),Client_List!$A:$A,0)),""))</f>
        <v/>
      </c>
      <c r="G2109" s="53">
        <f>IF(B2109="","",IFERROR(INDEX(Client_List!$K:$K,MATCH(VALUE(B2109),Client_List!$A:$A,0)),""))</f>
        <v/>
      </c>
      <c r="H2109" s="32">
        <f>IF(B2109="","",IFERROR(INDEX(Client_List!$J:$J,MATCH(VALUE(B2109),Client_List!$A:$A,0)),""))</f>
        <v/>
      </c>
      <c r="I2109" s="70">
        <f>IF(B2109="","",IFERROR(A2109-LOOKUP(2,1/($B$4:$B2108=B2109),$A$4:$A2108),""))</f>
        <v/>
      </c>
      <c r="J2109" s="32">
        <f>IF(B2109="","",IFERROR(D2109/I2109,""))</f>
        <v/>
      </c>
      <c r="K2109" s="71">
        <f>IF(B2109="","",IFERROR(AVERAGEIFS($J$4:$J2109,$B$4:$B2109,B2109,$J$4:$J2109,"&gt;"&amp;0),""))</f>
        <v/>
      </c>
      <c r="L2109" s="11" t="n"/>
    </row>
    <row r="2110" ht="14" customHeight="1" s="72">
      <c r="A2110" s="80" t="n"/>
      <c r="B2110" s="81" t="n"/>
      <c r="C2110" s="69">
        <f>IF(B2110="","",IFERROR(INDEX(Client_List!$B:$B,MATCH(B2110,Client_List!$A:$A,0)),"⚠ NOT FOUND"))</f>
        <v/>
      </c>
      <c r="D2110" s="45" t="n"/>
      <c r="E2110" s="32">
        <f>IF(B2110="","",IFERROR(INDEX(Client_List!$C:$C,MATCH(VALUE(B2110),Client_List!$A:$A,0)),""))</f>
        <v/>
      </c>
      <c r="F2110" s="53">
        <f>IF(B2110="","",IFERROR(INDEX(Client_List!$D:$D,MATCH(VALUE(B2110),Client_List!$A:$A,0)),""))</f>
        <v/>
      </c>
      <c r="G2110" s="53">
        <f>IF(B2110="","",IFERROR(INDEX(Client_List!$K:$K,MATCH(VALUE(B2110),Client_List!$A:$A,0)),""))</f>
        <v/>
      </c>
      <c r="H2110" s="32">
        <f>IF(B2110="","",IFERROR(INDEX(Client_List!$J:$J,MATCH(VALUE(B2110),Client_List!$A:$A,0)),""))</f>
        <v/>
      </c>
      <c r="I2110" s="70">
        <f>IF(B2110="","",IFERROR(A2110-LOOKUP(2,1/($B$4:$B2109=B2110),$A$4:$A2109),""))</f>
        <v/>
      </c>
      <c r="J2110" s="32">
        <f>IF(B2110="","",IFERROR(D2110/I2110,""))</f>
        <v/>
      </c>
      <c r="K2110" s="71">
        <f>IF(B2110="","",IFERROR(AVERAGEIFS($J$4:$J2110,$B$4:$B2110,B2110,$J$4:$J2110,"&gt;"&amp;0),""))</f>
        <v/>
      </c>
      <c r="L2110" s="12" t="n"/>
    </row>
    <row r="2111" ht="14" customHeight="1" s="72">
      <c r="A2111" s="78" t="n"/>
      <c r="B2111" s="79" t="n"/>
      <c r="C2111" s="69">
        <f>IF(B2111="","",IFERROR(INDEX(Client_List!$B:$B,MATCH(B2111,Client_List!$A:$A,0)),"⚠ NOT FOUND"))</f>
        <v/>
      </c>
      <c r="D2111" s="44" t="n"/>
      <c r="E2111" s="32">
        <f>IF(B2111="","",IFERROR(INDEX(Client_List!$C:$C,MATCH(VALUE(B2111),Client_List!$A:$A,0)),""))</f>
        <v/>
      </c>
      <c r="F2111" s="53">
        <f>IF(B2111="","",IFERROR(INDEX(Client_List!$D:$D,MATCH(VALUE(B2111),Client_List!$A:$A,0)),""))</f>
        <v/>
      </c>
      <c r="G2111" s="53">
        <f>IF(B2111="","",IFERROR(INDEX(Client_List!$K:$K,MATCH(VALUE(B2111),Client_List!$A:$A,0)),""))</f>
        <v/>
      </c>
      <c r="H2111" s="32">
        <f>IF(B2111="","",IFERROR(INDEX(Client_List!$J:$J,MATCH(VALUE(B2111),Client_List!$A:$A,0)),""))</f>
        <v/>
      </c>
      <c r="I2111" s="70">
        <f>IF(B2111="","",IFERROR(A2111-LOOKUP(2,1/($B$4:$B2110=B2111),$A$4:$A2110),""))</f>
        <v/>
      </c>
      <c r="J2111" s="32">
        <f>IF(B2111="","",IFERROR(D2111/I2111,""))</f>
        <v/>
      </c>
      <c r="K2111" s="71">
        <f>IF(B2111="","",IFERROR(AVERAGEIFS($J$4:$J2111,$B$4:$B2111,B2111,$J$4:$J2111,"&gt;"&amp;0),""))</f>
        <v/>
      </c>
      <c r="L2111" s="11" t="n"/>
    </row>
    <row r="2112" ht="14" customHeight="1" s="72">
      <c r="A2112" s="80" t="n"/>
      <c r="B2112" s="81" t="n"/>
      <c r="C2112" s="69">
        <f>IF(B2112="","",IFERROR(INDEX(Client_List!$B:$B,MATCH(B2112,Client_List!$A:$A,0)),"⚠ NOT FOUND"))</f>
        <v/>
      </c>
      <c r="D2112" s="45" t="n"/>
      <c r="E2112" s="32">
        <f>IF(B2112="","",IFERROR(INDEX(Client_List!$C:$C,MATCH(VALUE(B2112),Client_List!$A:$A,0)),""))</f>
        <v/>
      </c>
      <c r="F2112" s="53">
        <f>IF(B2112="","",IFERROR(INDEX(Client_List!$D:$D,MATCH(VALUE(B2112),Client_List!$A:$A,0)),""))</f>
        <v/>
      </c>
      <c r="G2112" s="53">
        <f>IF(B2112="","",IFERROR(INDEX(Client_List!$K:$K,MATCH(VALUE(B2112),Client_List!$A:$A,0)),""))</f>
        <v/>
      </c>
      <c r="H2112" s="32">
        <f>IF(B2112="","",IFERROR(INDEX(Client_List!$J:$J,MATCH(VALUE(B2112),Client_List!$A:$A,0)),""))</f>
        <v/>
      </c>
      <c r="I2112" s="70">
        <f>IF(B2112="","",IFERROR(A2112-LOOKUP(2,1/($B$4:$B2111=B2112),$A$4:$A2111),""))</f>
        <v/>
      </c>
      <c r="J2112" s="32">
        <f>IF(B2112="","",IFERROR(D2112/I2112,""))</f>
        <v/>
      </c>
      <c r="K2112" s="71">
        <f>IF(B2112="","",IFERROR(AVERAGEIFS($J$4:$J2112,$B$4:$B2112,B2112,$J$4:$J2112,"&gt;"&amp;0),""))</f>
        <v/>
      </c>
      <c r="L2112" s="12" t="n"/>
    </row>
    <row r="2113" ht="14" customHeight="1" s="72">
      <c r="A2113" s="78" t="n"/>
      <c r="B2113" s="79" t="n"/>
      <c r="C2113" s="69">
        <f>IF(B2113="","",IFERROR(INDEX(Client_List!$B:$B,MATCH(B2113,Client_List!$A:$A,0)),"⚠ NOT FOUND"))</f>
        <v/>
      </c>
      <c r="D2113" s="44" t="n"/>
      <c r="E2113" s="32">
        <f>IF(B2113="","",IFERROR(INDEX(Client_List!$C:$C,MATCH(VALUE(B2113),Client_List!$A:$A,0)),""))</f>
        <v/>
      </c>
      <c r="F2113" s="53">
        <f>IF(B2113="","",IFERROR(INDEX(Client_List!$D:$D,MATCH(VALUE(B2113),Client_List!$A:$A,0)),""))</f>
        <v/>
      </c>
      <c r="G2113" s="53">
        <f>IF(B2113="","",IFERROR(INDEX(Client_List!$K:$K,MATCH(VALUE(B2113),Client_List!$A:$A,0)),""))</f>
        <v/>
      </c>
      <c r="H2113" s="32">
        <f>IF(B2113="","",IFERROR(INDEX(Client_List!$J:$J,MATCH(VALUE(B2113),Client_List!$A:$A,0)),""))</f>
        <v/>
      </c>
      <c r="I2113" s="70">
        <f>IF(B2113="","",IFERROR(A2113-LOOKUP(2,1/($B$4:$B2112=B2113),$A$4:$A2112),""))</f>
        <v/>
      </c>
      <c r="J2113" s="32">
        <f>IF(B2113="","",IFERROR(D2113/I2113,""))</f>
        <v/>
      </c>
      <c r="K2113" s="71">
        <f>IF(B2113="","",IFERROR(AVERAGEIFS($J$4:$J2113,$B$4:$B2113,B2113,$J$4:$J2113,"&gt;"&amp;0),""))</f>
        <v/>
      </c>
      <c r="L2113" s="11" t="n"/>
    </row>
    <row r="2114" ht="14" customHeight="1" s="72">
      <c r="A2114" s="80" t="n"/>
      <c r="B2114" s="81" t="n"/>
      <c r="C2114" s="69">
        <f>IF(B2114="","",IFERROR(INDEX(Client_List!$B:$B,MATCH(B2114,Client_List!$A:$A,0)),"⚠ NOT FOUND"))</f>
        <v/>
      </c>
      <c r="D2114" s="45" t="n"/>
      <c r="E2114" s="32">
        <f>IF(B2114="","",IFERROR(INDEX(Client_List!$C:$C,MATCH(VALUE(B2114),Client_List!$A:$A,0)),""))</f>
        <v/>
      </c>
      <c r="F2114" s="53">
        <f>IF(B2114="","",IFERROR(INDEX(Client_List!$D:$D,MATCH(VALUE(B2114),Client_List!$A:$A,0)),""))</f>
        <v/>
      </c>
      <c r="G2114" s="53">
        <f>IF(B2114="","",IFERROR(INDEX(Client_List!$K:$K,MATCH(VALUE(B2114),Client_List!$A:$A,0)),""))</f>
        <v/>
      </c>
      <c r="H2114" s="32">
        <f>IF(B2114="","",IFERROR(INDEX(Client_List!$J:$J,MATCH(VALUE(B2114),Client_List!$A:$A,0)),""))</f>
        <v/>
      </c>
      <c r="I2114" s="70">
        <f>IF(B2114="","",IFERROR(A2114-LOOKUP(2,1/($B$4:$B2113=B2114),$A$4:$A2113),""))</f>
        <v/>
      </c>
      <c r="J2114" s="32">
        <f>IF(B2114="","",IFERROR(D2114/I2114,""))</f>
        <v/>
      </c>
      <c r="K2114" s="71">
        <f>IF(B2114="","",IFERROR(AVERAGEIFS($J$4:$J2114,$B$4:$B2114,B2114,$J$4:$J2114,"&gt;"&amp;0),""))</f>
        <v/>
      </c>
      <c r="L2114" s="12" t="n"/>
    </row>
    <row r="2115" ht="14" customHeight="1" s="72">
      <c r="A2115" s="78" t="n"/>
      <c r="B2115" s="79" t="n"/>
      <c r="C2115" s="69">
        <f>IF(B2115="","",IFERROR(INDEX(Client_List!$B:$B,MATCH(B2115,Client_List!$A:$A,0)),"⚠ NOT FOUND"))</f>
        <v/>
      </c>
      <c r="D2115" s="44" t="n"/>
      <c r="E2115" s="32">
        <f>IF(B2115="","",IFERROR(INDEX(Client_List!$C:$C,MATCH(VALUE(B2115),Client_List!$A:$A,0)),""))</f>
        <v/>
      </c>
      <c r="F2115" s="53">
        <f>IF(B2115="","",IFERROR(INDEX(Client_List!$D:$D,MATCH(VALUE(B2115),Client_List!$A:$A,0)),""))</f>
        <v/>
      </c>
      <c r="G2115" s="53">
        <f>IF(B2115="","",IFERROR(INDEX(Client_List!$K:$K,MATCH(VALUE(B2115),Client_List!$A:$A,0)),""))</f>
        <v/>
      </c>
      <c r="H2115" s="32">
        <f>IF(B2115="","",IFERROR(INDEX(Client_List!$J:$J,MATCH(VALUE(B2115),Client_List!$A:$A,0)),""))</f>
        <v/>
      </c>
      <c r="I2115" s="70">
        <f>IF(B2115="","",IFERROR(A2115-LOOKUP(2,1/($B$4:$B2114=B2115),$A$4:$A2114),""))</f>
        <v/>
      </c>
      <c r="J2115" s="32">
        <f>IF(B2115="","",IFERROR(D2115/I2115,""))</f>
        <v/>
      </c>
      <c r="K2115" s="71">
        <f>IF(B2115="","",IFERROR(AVERAGEIFS($J$4:$J2115,$B$4:$B2115,B2115,$J$4:$J2115,"&gt;"&amp;0),""))</f>
        <v/>
      </c>
      <c r="L2115" s="11" t="n"/>
    </row>
    <row r="2116" ht="14" customHeight="1" s="72">
      <c r="A2116" s="80" t="n"/>
      <c r="B2116" s="81" t="n"/>
      <c r="C2116" s="69">
        <f>IF(B2116="","",IFERROR(INDEX(Client_List!$B:$B,MATCH(B2116,Client_List!$A:$A,0)),"⚠ NOT FOUND"))</f>
        <v/>
      </c>
      <c r="D2116" s="45" t="n"/>
      <c r="E2116" s="32">
        <f>IF(B2116="","",IFERROR(INDEX(Client_List!$C:$C,MATCH(VALUE(B2116),Client_List!$A:$A,0)),""))</f>
        <v/>
      </c>
      <c r="F2116" s="53">
        <f>IF(B2116="","",IFERROR(INDEX(Client_List!$D:$D,MATCH(VALUE(B2116),Client_List!$A:$A,0)),""))</f>
        <v/>
      </c>
      <c r="G2116" s="53">
        <f>IF(B2116="","",IFERROR(INDEX(Client_List!$K:$K,MATCH(VALUE(B2116),Client_List!$A:$A,0)),""))</f>
        <v/>
      </c>
      <c r="H2116" s="32">
        <f>IF(B2116="","",IFERROR(INDEX(Client_List!$J:$J,MATCH(VALUE(B2116),Client_List!$A:$A,0)),""))</f>
        <v/>
      </c>
      <c r="I2116" s="70">
        <f>IF(B2116="","",IFERROR(A2116-LOOKUP(2,1/($B$4:$B2115=B2116),$A$4:$A2115),""))</f>
        <v/>
      </c>
      <c r="J2116" s="32">
        <f>IF(B2116="","",IFERROR(D2116/I2116,""))</f>
        <v/>
      </c>
      <c r="K2116" s="71">
        <f>IF(B2116="","",IFERROR(AVERAGEIFS($J$4:$J2116,$B$4:$B2116,B2116,$J$4:$J2116,"&gt;"&amp;0),""))</f>
        <v/>
      </c>
      <c r="L2116" s="12" t="n"/>
    </row>
    <row r="2117" ht="14" customHeight="1" s="72">
      <c r="A2117" s="78" t="n"/>
      <c r="B2117" s="79" t="n"/>
      <c r="C2117" s="69">
        <f>IF(B2117="","",IFERROR(INDEX(Client_List!$B:$B,MATCH(B2117,Client_List!$A:$A,0)),"⚠ NOT FOUND"))</f>
        <v/>
      </c>
      <c r="D2117" s="44" t="n"/>
      <c r="E2117" s="32">
        <f>IF(B2117="","",IFERROR(INDEX(Client_List!$C:$C,MATCH(VALUE(B2117),Client_List!$A:$A,0)),""))</f>
        <v/>
      </c>
      <c r="F2117" s="53">
        <f>IF(B2117="","",IFERROR(INDEX(Client_List!$D:$D,MATCH(VALUE(B2117),Client_List!$A:$A,0)),""))</f>
        <v/>
      </c>
      <c r="G2117" s="53">
        <f>IF(B2117="","",IFERROR(INDEX(Client_List!$K:$K,MATCH(VALUE(B2117),Client_List!$A:$A,0)),""))</f>
        <v/>
      </c>
      <c r="H2117" s="32">
        <f>IF(B2117="","",IFERROR(INDEX(Client_List!$J:$J,MATCH(VALUE(B2117),Client_List!$A:$A,0)),""))</f>
        <v/>
      </c>
      <c r="I2117" s="70">
        <f>IF(B2117="","",IFERROR(A2117-LOOKUP(2,1/($B$4:$B2116=B2117),$A$4:$A2116),""))</f>
        <v/>
      </c>
      <c r="J2117" s="32">
        <f>IF(B2117="","",IFERROR(D2117/I2117,""))</f>
        <v/>
      </c>
      <c r="K2117" s="71">
        <f>IF(B2117="","",IFERROR(AVERAGEIFS($J$4:$J2117,$B$4:$B2117,B2117,$J$4:$J2117,"&gt;"&amp;0),""))</f>
        <v/>
      </c>
      <c r="L2117" s="11" t="n"/>
    </row>
    <row r="2118" ht="14" customHeight="1" s="72">
      <c r="A2118" s="80" t="n"/>
      <c r="B2118" s="81" t="n"/>
      <c r="C2118" s="69">
        <f>IF(B2118="","",IFERROR(INDEX(Client_List!$B:$B,MATCH(B2118,Client_List!$A:$A,0)),"⚠ NOT FOUND"))</f>
        <v/>
      </c>
      <c r="D2118" s="45" t="n"/>
      <c r="E2118" s="32">
        <f>IF(B2118="","",IFERROR(INDEX(Client_List!$C:$C,MATCH(VALUE(B2118),Client_List!$A:$A,0)),""))</f>
        <v/>
      </c>
      <c r="F2118" s="53">
        <f>IF(B2118="","",IFERROR(INDEX(Client_List!$D:$D,MATCH(VALUE(B2118),Client_List!$A:$A,0)),""))</f>
        <v/>
      </c>
      <c r="G2118" s="53">
        <f>IF(B2118="","",IFERROR(INDEX(Client_List!$K:$K,MATCH(VALUE(B2118),Client_List!$A:$A,0)),""))</f>
        <v/>
      </c>
      <c r="H2118" s="32">
        <f>IF(B2118="","",IFERROR(INDEX(Client_List!$J:$J,MATCH(VALUE(B2118),Client_List!$A:$A,0)),""))</f>
        <v/>
      </c>
      <c r="I2118" s="70">
        <f>IF(B2118="","",IFERROR(A2118-LOOKUP(2,1/($B$4:$B2117=B2118),$A$4:$A2117),""))</f>
        <v/>
      </c>
      <c r="J2118" s="32">
        <f>IF(B2118="","",IFERROR(D2118/I2118,""))</f>
        <v/>
      </c>
      <c r="K2118" s="71">
        <f>IF(B2118="","",IFERROR(AVERAGEIFS($J$4:$J2118,$B$4:$B2118,B2118,$J$4:$J2118,"&gt;"&amp;0),""))</f>
        <v/>
      </c>
      <c r="L2118" s="12" t="n"/>
    </row>
    <row r="2119" ht="14" customHeight="1" s="72">
      <c r="A2119" s="78" t="n"/>
      <c r="B2119" s="79" t="n"/>
      <c r="C2119" s="69">
        <f>IF(B2119="","",IFERROR(INDEX(Client_List!$B:$B,MATCH(B2119,Client_List!$A:$A,0)),"⚠ NOT FOUND"))</f>
        <v/>
      </c>
      <c r="D2119" s="44" t="n"/>
      <c r="E2119" s="32">
        <f>IF(B2119="","",IFERROR(INDEX(Client_List!$C:$C,MATCH(VALUE(B2119),Client_List!$A:$A,0)),""))</f>
        <v/>
      </c>
      <c r="F2119" s="53">
        <f>IF(B2119="","",IFERROR(INDEX(Client_List!$D:$D,MATCH(VALUE(B2119),Client_List!$A:$A,0)),""))</f>
        <v/>
      </c>
      <c r="G2119" s="53">
        <f>IF(B2119="","",IFERROR(INDEX(Client_List!$K:$K,MATCH(VALUE(B2119),Client_List!$A:$A,0)),""))</f>
        <v/>
      </c>
      <c r="H2119" s="32">
        <f>IF(B2119="","",IFERROR(INDEX(Client_List!$J:$J,MATCH(VALUE(B2119),Client_List!$A:$A,0)),""))</f>
        <v/>
      </c>
      <c r="I2119" s="70">
        <f>IF(B2119="","",IFERROR(A2119-LOOKUP(2,1/($B$4:$B2118=B2119),$A$4:$A2118),""))</f>
        <v/>
      </c>
      <c r="J2119" s="32">
        <f>IF(B2119="","",IFERROR(D2119/I2119,""))</f>
        <v/>
      </c>
      <c r="K2119" s="71">
        <f>IF(B2119="","",IFERROR(AVERAGEIFS($J$4:$J2119,$B$4:$B2119,B2119,$J$4:$J2119,"&gt;"&amp;0),""))</f>
        <v/>
      </c>
      <c r="L2119" s="11" t="n"/>
    </row>
    <row r="2120" ht="14" customHeight="1" s="72">
      <c r="A2120" s="80" t="n"/>
      <c r="B2120" s="81" t="n"/>
      <c r="C2120" s="69">
        <f>IF(B2120="","",IFERROR(INDEX(Client_List!$B:$B,MATCH(B2120,Client_List!$A:$A,0)),"⚠ NOT FOUND"))</f>
        <v/>
      </c>
      <c r="D2120" s="45" t="n"/>
      <c r="E2120" s="32">
        <f>IF(B2120="","",IFERROR(INDEX(Client_List!$C:$C,MATCH(VALUE(B2120),Client_List!$A:$A,0)),""))</f>
        <v/>
      </c>
      <c r="F2120" s="53">
        <f>IF(B2120="","",IFERROR(INDEX(Client_List!$D:$D,MATCH(VALUE(B2120),Client_List!$A:$A,0)),""))</f>
        <v/>
      </c>
      <c r="G2120" s="53">
        <f>IF(B2120="","",IFERROR(INDEX(Client_List!$K:$K,MATCH(VALUE(B2120),Client_List!$A:$A,0)),""))</f>
        <v/>
      </c>
      <c r="H2120" s="32">
        <f>IF(B2120="","",IFERROR(INDEX(Client_List!$J:$J,MATCH(VALUE(B2120),Client_List!$A:$A,0)),""))</f>
        <v/>
      </c>
      <c r="I2120" s="70">
        <f>IF(B2120="","",IFERROR(A2120-LOOKUP(2,1/($B$4:$B2119=B2120),$A$4:$A2119),""))</f>
        <v/>
      </c>
      <c r="J2120" s="32">
        <f>IF(B2120="","",IFERROR(D2120/I2120,""))</f>
        <v/>
      </c>
      <c r="K2120" s="71">
        <f>IF(B2120="","",IFERROR(AVERAGEIFS($J$4:$J2120,$B$4:$B2120,B2120,$J$4:$J2120,"&gt;"&amp;0),""))</f>
        <v/>
      </c>
      <c r="L2120" s="12" t="n"/>
    </row>
    <row r="2121" ht="14" customHeight="1" s="72">
      <c r="A2121" s="78" t="n"/>
      <c r="B2121" s="79" t="n"/>
      <c r="C2121" s="69">
        <f>IF(B2121="","",IFERROR(INDEX(Client_List!$B:$B,MATCH(B2121,Client_List!$A:$A,0)),"⚠ NOT FOUND"))</f>
        <v/>
      </c>
      <c r="D2121" s="44" t="n"/>
      <c r="E2121" s="32">
        <f>IF(B2121="","",IFERROR(INDEX(Client_List!$C:$C,MATCH(VALUE(B2121),Client_List!$A:$A,0)),""))</f>
        <v/>
      </c>
      <c r="F2121" s="53">
        <f>IF(B2121="","",IFERROR(INDEX(Client_List!$D:$D,MATCH(VALUE(B2121),Client_List!$A:$A,0)),""))</f>
        <v/>
      </c>
      <c r="G2121" s="53">
        <f>IF(B2121="","",IFERROR(INDEX(Client_List!$K:$K,MATCH(VALUE(B2121),Client_List!$A:$A,0)),""))</f>
        <v/>
      </c>
      <c r="H2121" s="32">
        <f>IF(B2121="","",IFERROR(INDEX(Client_List!$J:$J,MATCH(VALUE(B2121),Client_List!$A:$A,0)),""))</f>
        <v/>
      </c>
      <c r="I2121" s="70">
        <f>IF(B2121="","",IFERROR(A2121-LOOKUP(2,1/($B$4:$B2120=B2121),$A$4:$A2120),""))</f>
        <v/>
      </c>
      <c r="J2121" s="32">
        <f>IF(B2121="","",IFERROR(D2121/I2121,""))</f>
        <v/>
      </c>
      <c r="K2121" s="71">
        <f>IF(B2121="","",IFERROR(AVERAGEIFS($J$4:$J2121,$B$4:$B2121,B2121,$J$4:$J2121,"&gt;"&amp;0),""))</f>
        <v/>
      </c>
      <c r="L2121" s="11" t="n"/>
    </row>
    <row r="2122" ht="14" customHeight="1" s="72">
      <c r="A2122" s="80" t="n"/>
      <c r="B2122" s="81" t="n"/>
      <c r="C2122" s="69">
        <f>IF(B2122="","",IFERROR(INDEX(Client_List!$B:$B,MATCH(B2122,Client_List!$A:$A,0)),"⚠ NOT FOUND"))</f>
        <v/>
      </c>
      <c r="D2122" s="45" t="n"/>
      <c r="E2122" s="32">
        <f>IF(B2122="","",IFERROR(INDEX(Client_List!$C:$C,MATCH(VALUE(B2122),Client_List!$A:$A,0)),""))</f>
        <v/>
      </c>
      <c r="F2122" s="53">
        <f>IF(B2122="","",IFERROR(INDEX(Client_List!$D:$D,MATCH(VALUE(B2122),Client_List!$A:$A,0)),""))</f>
        <v/>
      </c>
      <c r="G2122" s="53">
        <f>IF(B2122="","",IFERROR(INDEX(Client_List!$K:$K,MATCH(VALUE(B2122),Client_List!$A:$A,0)),""))</f>
        <v/>
      </c>
      <c r="H2122" s="32">
        <f>IF(B2122="","",IFERROR(INDEX(Client_List!$J:$J,MATCH(VALUE(B2122),Client_List!$A:$A,0)),""))</f>
        <v/>
      </c>
      <c r="I2122" s="70">
        <f>IF(B2122="","",IFERROR(A2122-LOOKUP(2,1/($B$4:$B2121=B2122),$A$4:$A2121),""))</f>
        <v/>
      </c>
      <c r="J2122" s="32">
        <f>IF(B2122="","",IFERROR(D2122/I2122,""))</f>
        <v/>
      </c>
      <c r="K2122" s="71">
        <f>IF(B2122="","",IFERROR(AVERAGEIFS($J$4:$J2122,$B$4:$B2122,B2122,$J$4:$J2122,"&gt;"&amp;0),""))</f>
        <v/>
      </c>
      <c r="L2122" s="12" t="n"/>
    </row>
    <row r="2123" ht="14" customHeight="1" s="72">
      <c r="A2123" s="78" t="n"/>
      <c r="B2123" s="79" t="n"/>
      <c r="C2123" s="69">
        <f>IF(B2123="","",IFERROR(INDEX(Client_List!$B:$B,MATCH(B2123,Client_List!$A:$A,0)),"⚠ NOT FOUND"))</f>
        <v/>
      </c>
      <c r="D2123" s="44" t="n"/>
      <c r="E2123" s="32">
        <f>IF(B2123="","",IFERROR(INDEX(Client_List!$C:$C,MATCH(VALUE(B2123),Client_List!$A:$A,0)),""))</f>
        <v/>
      </c>
      <c r="F2123" s="53">
        <f>IF(B2123="","",IFERROR(INDEX(Client_List!$D:$D,MATCH(VALUE(B2123),Client_List!$A:$A,0)),""))</f>
        <v/>
      </c>
      <c r="G2123" s="53">
        <f>IF(B2123="","",IFERROR(INDEX(Client_List!$K:$K,MATCH(VALUE(B2123),Client_List!$A:$A,0)),""))</f>
        <v/>
      </c>
      <c r="H2123" s="32">
        <f>IF(B2123="","",IFERROR(INDEX(Client_List!$J:$J,MATCH(VALUE(B2123),Client_List!$A:$A,0)),""))</f>
        <v/>
      </c>
      <c r="I2123" s="70">
        <f>IF(B2123="","",IFERROR(A2123-LOOKUP(2,1/($B$4:$B2122=B2123),$A$4:$A2122),""))</f>
        <v/>
      </c>
      <c r="J2123" s="32">
        <f>IF(B2123="","",IFERROR(D2123/I2123,""))</f>
        <v/>
      </c>
      <c r="K2123" s="71">
        <f>IF(B2123="","",IFERROR(AVERAGEIFS($J$4:$J2123,$B$4:$B2123,B2123,$J$4:$J2123,"&gt;"&amp;0),""))</f>
        <v/>
      </c>
      <c r="L2123" s="11" t="n"/>
    </row>
    <row r="2124" ht="14" customHeight="1" s="72">
      <c r="A2124" s="80" t="n"/>
      <c r="B2124" s="81" t="n"/>
      <c r="C2124" s="69">
        <f>IF(B2124="","",IFERROR(INDEX(Client_List!$B:$B,MATCH(B2124,Client_List!$A:$A,0)),"⚠ NOT FOUND"))</f>
        <v/>
      </c>
      <c r="D2124" s="45" t="n"/>
      <c r="E2124" s="32">
        <f>IF(B2124="","",IFERROR(INDEX(Client_List!$C:$C,MATCH(VALUE(B2124),Client_List!$A:$A,0)),""))</f>
        <v/>
      </c>
      <c r="F2124" s="53">
        <f>IF(B2124="","",IFERROR(INDEX(Client_List!$D:$D,MATCH(VALUE(B2124),Client_List!$A:$A,0)),""))</f>
        <v/>
      </c>
      <c r="G2124" s="53">
        <f>IF(B2124="","",IFERROR(INDEX(Client_List!$K:$K,MATCH(VALUE(B2124),Client_List!$A:$A,0)),""))</f>
        <v/>
      </c>
      <c r="H2124" s="32">
        <f>IF(B2124="","",IFERROR(INDEX(Client_List!$J:$J,MATCH(VALUE(B2124),Client_List!$A:$A,0)),""))</f>
        <v/>
      </c>
      <c r="I2124" s="70">
        <f>IF(B2124="","",IFERROR(A2124-LOOKUP(2,1/($B$4:$B2123=B2124),$A$4:$A2123),""))</f>
        <v/>
      </c>
      <c r="J2124" s="32">
        <f>IF(B2124="","",IFERROR(D2124/I2124,""))</f>
        <v/>
      </c>
      <c r="K2124" s="71">
        <f>IF(B2124="","",IFERROR(AVERAGEIFS($J$4:$J2124,$B$4:$B2124,B2124,$J$4:$J2124,"&gt;"&amp;0),""))</f>
        <v/>
      </c>
      <c r="L2124" s="12" t="n"/>
    </row>
    <row r="2125" ht="14" customHeight="1" s="72">
      <c r="A2125" s="78" t="n"/>
      <c r="B2125" s="79" t="n"/>
      <c r="C2125" s="69">
        <f>IF(B2125="","",IFERROR(INDEX(Client_List!$B:$B,MATCH(B2125,Client_List!$A:$A,0)),"⚠ NOT FOUND"))</f>
        <v/>
      </c>
      <c r="D2125" s="44" t="n"/>
      <c r="E2125" s="32">
        <f>IF(B2125="","",IFERROR(INDEX(Client_List!$C:$C,MATCH(VALUE(B2125),Client_List!$A:$A,0)),""))</f>
        <v/>
      </c>
      <c r="F2125" s="53">
        <f>IF(B2125="","",IFERROR(INDEX(Client_List!$D:$D,MATCH(VALUE(B2125),Client_List!$A:$A,0)),""))</f>
        <v/>
      </c>
      <c r="G2125" s="53">
        <f>IF(B2125="","",IFERROR(INDEX(Client_List!$K:$K,MATCH(VALUE(B2125),Client_List!$A:$A,0)),""))</f>
        <v/>
      </c>
      <c r="H2125" s="32">
        <f>IF(B2125="","",IFERROR(INDEX(Client_List!$J:$J,MATCH(VALUE(B2125),Client_List!$A:$A,0)),""))</f>
        <v/>
      </c>
      <c r="I2125" s="70">
        <f>IF(B2125="","",IFERROR(A2125-LOOKUP(2,1/($B$4:$B2124=B2125),$A$4:$A2124),""))</f>
        <v/>
      </c>
      <c r="J2125" s="32">
        <f>IF(B2125="","",IFERROR(D2125/I2125,""))</f>
        <v/>
      </c>
      <c r="K2125" s="71">
        <f>IF(B2125="","",IFERROR(AVERAGEIFS($J$4:$J2125,$B$4:$B2125,B2125,$J$4:$J2125,"&gt;"&amp;0),""))</f>
        <v/>
      </c>
      <c r="L2125" s="11" t="n"/>
    </row>
    <row r="2126" ht="14" customHeight="1" s="72">
      <c r="A2126" s="80" t="n"/>
      <c r="B2126" s="81" t="n"/>
      <c r="C2126" s="69">
        <f>IF(B2126="","",IFERROR(INDEX(Client_List!$B:$B,MATCH(B2126,Client_List!$A:$A,0)),"⚠ NOT FOUND"))</f>
        <v/>
      </c>
      <c r="D2126" s="45" t="n"/>
      <c r="E2126" s="32">
        <f>IF(B2126="","",IFERROR(INDEX(Client_List!$C:$C,MATCH(VALUE(B2126),Client_List!$A:$A,0)),""))</f>
        <v/>
      </c>
      <c r="F2126" s="53">
        <f>IF(B2126="","",IFERROR(INDEX(Client_List!$D:$D,MATCH(VALUE(B2126),Client_List!$A:$A,0)),""))</f>
        <v/>
      </c>
      <c r="G2126" s="53">
        <f>IF(B2126="","",IFERROR(INDEX(Client_List!$K:$K,MATCH(VALUE(B2126),Client_List!$A:$A,0)),""))</f>
        <v/>
      </c>
      <c r="H2126" s="32">
        <f>IF(B2126="","",IFERROR(INDEX(Client_List!$J:$J,MATCH(VALUE(B2126),Client_List!$A:$A,0)),""))</f>
        <v/>
      </c>
      <c r="I2126" s="70">
        <f>IF(B2126="","",IFERROR(A2126-LOOKUP(2,1/($B$4:$B2125=B2126),$A$4:$A2125),""))</f>
        <v/>
      </c>
      <c r="J2126" s="32">
        <f>IF(B2126="","",IFERROR(D2126/I2126,""))</f>
        <v/>
      </c>
      <c r="K2126" s="71">
        <f>IF(B2126="","",IFERROR(AVERAGEIFS($J$4:$J2126,$B$4:$B2126,B2126,$J$4:$J2126,"&gt;"&amp;0),""))</f>
        <v/>
      </c>
      <c r="L2126" s="12" t="n"/>
    </row>
    <row r="2127" ht="14" customHeight="1" s="72">
      <c r="A2127" s="78" t="n"/>
      <c r="B2127" s="79" t="n"/>
      <c r="C2127" s="69">
        <f>IF(B2127="","",IFERROR(INDEX(Client_List!$B:$B,MATCH(B2127,Client_List!$A:$A,0)),"⚠ NOT FOUND"))</f>
        <v/>
      </c>
      <c r="D2127" s="44" t="n"/>
      <c r="E2127" s="32">
        <f>IF(B2127="","",IFERROR(INDEX(Client_List!$C:$C,MATCH(VALUE(B2127),Client_List!$A:$A,0)),""))</f>
        <v/>
      </c>
      <c r="F2127" s="53">
        <f>IF(B2127="","",IFERROR(INDEX(Client_List!$D:$D,MATCH(VALUE(B2127),Client_List!$A:$A,0)),""))</f>
        <v/>
      </c>
      <c r="G2127" s="53">
        <f>IF(B2127="","",IFERROR(INDEX(Client_List!$K:$K,MATCH(VALUE(B2127),Client_List!$A:$A,0)),""))</f>
        <v/>
      </c>
      <c r="H2127" s="32">
        <f>IF(B2127="","",IFERROR(INDEX(Client_List!$J:$J,MATCH(VALUE(B2127),Client_List!$A:$A,0)),""))</f>
        <v/>
      </c>
      <c r="I2127" s="70">
        <f>IF(B2127="","",IFERROR(A2127-LOOKUP(2,1/($B$4:$B2126=B2127),$A$4:$A2126),""))</f>
        <v/>
      </c>
      <c r="J2127" s="32">
        <f>IF(B2127="","",IFERROR(D2127/I2127,""))</f>
        <v/>
      </c>
      <c r="K2127" s="71">
        <f>IF(B2127="","",IFERROR(AVERAGEIFS($J$4:$J2127,$B$4:$B2127,B2127,$J$4:$J2127,"&gt;"&amp;0),""))</f>
        <v/>
      </c>
      <c r="L2127" s="11" t="n"/>
    </row>
    <row r="2128" ht="14" customHeight="1" s="72">
      <c r="A2128" s="80" t="n"/>
      <c r="B2128" s="81" t="n"/>
      <c r="C2128" s="69">
        <f>IF(B2128="","",IFERROR(INDEX(Client_List!$B:$B,MATCH(B2128,Client_List!$A:$A,0)),"⚠ NOT FOUND"))</f>
        <v/>
      </c>
      <c r="D2128" s="45" t="n"/>
      <c r="E2128" s="32">
        <f>IF(B2128="","",IFERROR(INDEX(Client_List!$C:$C,MATCH(VALUE(B2128),Client_List!$A:$A,0)),""))</f>
        <v/>
      </c>
      <c r="F2128" s="53">
        <f>IF(B2128="","",IFERROR(INDEX(Client_List!$D:$D,MATCH(VALUE(B2128),Client_List!$A:$A,0)),""))</f>
        <v/>
      </c>
      <c r="G2128" s="53">
        <f>IF(B2128="","",IFERROR(INDEX(Client_List!$K:$K,MATCH(VALUE(B2128),Client_List!$A:$A,0)),""))</f>
        <v/>
      </c>
      <c r="H2128" s="32">
        <f>IF(B2128="","",IFERROR(INDEX(Client_List!$J:$J,MATCH(VALUE(B2128),Client_List!$A:$A,0)),""))</f>
        <v/>
      </c>
      <c r="I2128" s="70">
        <f>IF(B2128="","",IFERROR(A2128-LOOKUP(2,1/($B$4:$B2127=B2128),$A$4:$A2127),""))</f>
        <v/>
      </c>
      <c r="J2128" s="32">
        <f>IF(B2128="","",IFERROR(D2128/I2128,""))</f>
        <v/>
      </c>
      <c r="K2128" s="71">
        <f>IF(B2128="","",IFERROR(AVERAGEIFS($J$4:$J2128,$B$4:$B2128,B2128,$J$4:$J2128,"&gt;"&amp;0),""))</f>
        <v/>
      </c>
      <c r="L2128" s="12" t="n"/>
    </row>
    <row r="2129" ht="14" customHeight="1" s="72">
      <c r="A2129" s="78" t="n"/>
      <c r="B2129" s="79" t="n"/>
      <c r="C2129" s="69">
        <f>IF(B2129="","",IFERROR(INDEX(Client_List!$B:$B,MATCH(B2129,Client_List!$A:$A,0)),"⚠ NOT FOUND"))</f>
        <v/>
      </c>
      <c r="D2129" s="44" t="n"/>
      <c r="E2129" s="32">
        <f>IF(B2129="","",IFERROR(INDEX(Client_List!$C:$C,MATCH(VALUE(B2129),Client_List!$A:$A,0)),""))</f>
        <v/>
      </c>
      <c r="F2129" s="53">
        <f>IF(B2129="","",IFERROR(INDEX(Client_List!$D:$D,MATCH(VALUE(B2129),Client_List!$A:$A,0)),""))</f>
        <v/>
      </c>
      <c r="G2129" s="53">
        <f>IF(B2129="","",IFERROR(INDEX(Client_List!$K:$K,MATCH(VALUE(B2129),Client_List!$A:$A,0)),""))</f>
        <v/>
      </c>
      <c r="H2129" s="32">
        <f>IF(B2129="","",IFERROR(INDEX(Client_List!$J:$J,MATCH(VALUE(B2129),Client_List!$A:$A,0)),""))</f>
        <v/>
      </c>
      <c r="I2129" s="70">
        <f>IF(B2129="","",IFERROR(A2129-LOOKUP(2,1/($B$4:$B2128=B2129),$A$4:$A2128),""))</f>
        <v/>
      </c>
      <c r="J2129" s="32">
        <f>IF(B2129="","",IFERROR(D2129/I2129,""))</f>
        <v/>
      </c>
      <c r="K2129" s="71">
        <f>IF(B2129="","",IFERROR(AVERAGEIFS($J$4:$J2129,$B$4:$B2129,B2129,$J$4:$J2129,"&gt;"&amp;0),""))</f>
        <v/>
      </c>
      <c r="L2129" s="11" t="n"/>
    </row>
    <row r="2130" ht="14" customHeight="1" s="72">
      <c r="A2130" s="80" t="n"/>
      <c r="B2130" s="81" t="n"/>
      <c r="C2130" s="69">
        <f>IF(B2130="","",IFERROR(INDEX(Client_List!$B:$B,MATCH(B2130,Client_List!$A:$A,0)),"⚠ NOT FOUND"))</f>
        <v/>
      </c>
      <c r="D2130" s="45" t="n"/>
      <c r="E2130" s="32">
        <f>IF(B2130="","",IFERROR(INDEX(Client_List!$C:$C,MATCH(VALUE(B2130),Client_List!$A:$A,0)),""))</f>
        <v/>
      </c>
      <c r="F2130" s="53">
        <f>IF(B2130="","",IFERROR(INDEX(Client_List!$D:$D,MATCH(VALUE(B2130),Client_List!$A:$A,0)),""))</f>
        <v/>
      </c>
      <c r="G2130" s="53">
        <f>IF(B2130="","",IFERROR(INDEX(Client_List!$K:$K,MATCH(VALUE(B2130),Client_List!$A:$A,0)),""))</f>
        <v/>
      </c>
      <c r="H2130" s="32">
        <f>IF(B2130="","",IFERROR(INDEX(Client_List!$J:$J,MATCH(VALUE(B2130),Client_List!$A:$A,0)),""))</f>
        <v/>
      </c>
      <c r="I2130" s="70">
        <f>IF(B2130="","",IFERROR(A2130-LOOKUP(2,1/($B$4:$B2129=B2130),$A$4:$A2129),""))</f>
        <v/>
      </c>
      <c r="J2130" s="32">
        <f>IF(B2130="","",IFERROR(D2130/I2130,""))</f>
        <v/>
      </c>
      <c r="K2130" s="71">
        <f>IF(B2130="","",IFERROR(AVERAGEIFS($J$4:$J2130,$B$4:$B2130,B2130,$J$4:$J2130,"&gt;"&amp;0),""))</f>
        <v/>
      </c>
      <c r="L2130" s="12" t="n"/>
    </row>
    <row r="2131" ht="14" customHeight="1" s="72">
      <c r="A2131" s="78" t="n"/>
      <c r="B2131" s="79" t="n"/>
      <c r="C2131" s="69">
        <f>IF(B2131="","",IFERROR(INDEX(Client_List!$B:$B,MATCH(B2131,Client_List!$A:$A,0)),"⚠ NOT FOUND"))</f>
        <v/>
      </c>
      <c r="D2131" s="44" t="n"/>
      <c r="E2131" s="32">
        <f>IF(B2131="","",IFERROR(INDEX(Client_List!$C:$C,MATCH(VALUE(B2131),Client_List!$A:$A,0)),""))</f>
        <v/>
      </c>
      <c r="F2131" s="53">
        <f>IF(B2131="","",IFERROR(INDEX(Client_List!$D:$D,MATCH(VALUE(B2131),Client_List!$A:$A,0)),""))</f>
        <v/>
      </c>
      <c r="G2131" s="53">
        <f>IF(B2131="","",IFERROR(INDEX(Client_List!$K:$K,MATCH(VALUE(B2131),Client_List!$A:$A,0)),""))</f>
        <v/>
      </c>
      <c r="H2131" s="32">
        <f>IF(B2131="","",IFERROR(INDEX(Client_List!$J:$J,MATCH(VALUE(B2131),Client_List!$A:$A,0)),""))</f>
        <v/>
      </c>
      <c r="I2131" s="70">
        <f>IF(B2131="","",IFERROR(A2131-LOOKUP(2,1/($B$4:$B2130=B2131),$A$4:$A2130),""))</f>
        <v/>
      </c>
      <c r="J2131" s="32">
        <f>IF(B2131="","",IFERROR(D2131/I2131,""))</f>
        <v/>
      </c>
      <c r="K2131" s="71">
        <f>IF(B2131="","",IFERROR(AVERAGEIFS($J$4:$J2131,$B$4:$B2131,B2131,$J$4:$J2131,"&gt;"&amp;0),""))</f>
        <v/>
      </c>
      <c r="L2131" s="11" t="n"/>
    </row>
    <row r="2132" ht="14" customHeight="1" s="72">
      <c r="A2132" s="80" t="n"/>
      <c r="B2132" s="81" t="n"/>
      <c r="C2132" s="69">
        <f>IF(B2132="","",IFERROR(INDEX(Client_List!$B:$B,MATCH(B2132,Client_List!$A:$A,0)),"⚠ NOT FOUND"))</f>
        <v/>
      </c>
      <c r="D2132" s="45" t="n"/>
      <c r="E2132" s="32">
        <f>IF(B2132="","",IFERROR(INDEX(Client_List!$C:$C,MATCH(VALUE(B2132),Client_List!$A:$A,0)),""))</f>
        <v/>
      </c>
      <c r="F2132" s="53">
        <f>IF(B2132="","",IFERROR(INDEX(Client_List!$D:$D,MATCH(VALUE(B2132),Client_List!$A:$A,0)),""))</f>
        <v/>
      </c>
      <c r="G2132" s="53">
        <f>IF(B2132="","",IFERROR(INDEX(Client_List!$K:$K,MATCH(VALUE(B2132),Client_List!$A:$A,0)),""))</f>
        <v/>
      </c>
      <c r="H2132" s="32">
        <f>IF(B2132="","",IFERROR(INDEX(Client_List!$J:$J,MATCH(VALUE(B2132),Client_List!$A:$A,0)),""))</f>
        <v/>
      </c>
      <c r="I2132" s="70">
        <f>IF(B2132="","",IFERROR(A2132-LOOKUP(2,1/($B$4:$B2131=B2132),$A$4:$A2131),""))</f>
        <v/>
      </c>
      <c r="J2132" s="32">
        <f>IF(B2132="","",IFERROR(D2132/I2132,""))</f>
        <v/>
      </c>
      <c r="K2132" s="71">
        <f>IF(B2132="","",IFERROR(AVERAGEIFS($J$4:$J2132,$B$4:$B2132,B2132,$J$4:$J2132,"&gt;"&amp;0),""))</f>
        <v/>
      </c>
      <c r="L2132" s="12" t="n"/>
    </row>
    <row r="2133" ht="14" customHeight="1" s="72">
      <c r="A2133" s="78" t="n"/>
      <c r="B2133" s="79" t="n"/>
      <c r="C2133" s="69">
        <f>IF(B2133="","",IFERROR(INDEX(Client_List!$B:$B,MATCH(B2133,Client_List!$A:$A,0)),"⚠ NOT FOUND"))</f>
        <v/>
      </c>
      <c r="D2133" s="44" t="n"/>
      <c r="E2133" s="32">
        <f>IF(B2133="","",IFERROR(INDEX(Client_List!$C:$C,MATCH(VALUE(B2133),Client_List!$A:$A,0)),""))</f>
        <v/>
      </c>
      <c r="F2133" s="53">
        <f>IF(B2133="","",IFERROR(INDEX(Client_List!$D:$D,MATCH(VALUE(B2133),Client_List!$A:$A,0)),""))</f>
        <v/>
      </c>
      <c r="G2133" s="53">
        <f>IF(B2133="","",IFERROR(INDEX(Client_List!$K:$K,MATCH(VALUE(B2133),Client_List!$A:$A,0)),""))</f>
        <v/>
      </c>
      <c r="H2133" s="32">
        <f>IF(B2133="","",IFERROR(INDEX(Client_List!$J:$J,MATCH(VALUE(B2133),Client_List!$A:$A,0)),""))</f>
        <v/>
      </c>
      <c r="I2133" s="70">
        <f>IF(B2133="","",IFERROR(A2133-LOOKUP(2,1/($B$4:$B2132=B2133),$A$4:$A2132),""))</f>
        <v/>
      </c>
      <c r="J2133" s="32">
        <f>IF(B2133="","",IFERROR(D2133/I2133,""))</f>
        <v/>
      </c>
      <c r="K2133" s="71">
        <f>IF(B2133="","",IFERROR(AVERAGEIFS($J$4:$J2133,$B$4:$B2133,B2133,$J$4:$J2133,"&gt;"&amp;0),""))</f>
        <v/>
      </c>
      <c r="L2133" s="11" t="n"/>
    </row>
    <row r="2134" ht="14" customHeight="1" s="72">
      <c r="A2134" s="80" t="n"/>
      <c r="B2134" s="81" t="n"/>
      <c r="C2134" s="69">
        <f>IF(B2134="","",IFERROR(INDEX(Client_List!$B:$B,MATCH(B2134,Client_List!$A:$A,0)),"⚠ NOT FOUND"))</f>
        <v/>
      </c>
      <c r="D2134" s="45" t="n"/>
      <c r="E2134" s="32">
        <f>IF(B2134="","",IFERROR(INDEX(Client_List!$C:$C,MATCH(VALUE(B2134),Client_List!$A:$A,0)),""))</f>
        <v/>
      </c>
      <c r="F2134" s="53">
        <f>IF(B2134="","",IFERROR(INDEX(Client_List!$D:$D,MATCH(VALUE(B2134),Client_List!$A:$A,0)),""))</f>
        <v/>
      </c>
      <c r="G2134" s="53">
        <f>IF(B2134="","",IFERROR(INDEX(Client_List!$K:$K,MATCH(VALUE(B2134),Client_List!$A:$A,0)),""))</f>
        <v/>
      </c>
      <c r="H2134" s="32">
        <f>IF(B2134="","",IFERROR(INDEX(Client_List!$J:$J,MATCH(VALUE(B2134),Client_List!$A:$A,0)),""))</f>
        <v/>
      </c>
      <c r="I2134" s="70">
        <f>IF(B2134="","",IFERROR(A2134-LOOKUP(2,1/($B$4:$B2133=B2134),$A$4:$A2133),""))</f>
        <v/>
      </c>
      <c r="J2134" s="32">
        <f>IF(B2134="","",IFERROR(D2134/I2134,""))</f>
        <v/>
      </c>
      <c r="K2134" s="71">
        <f>IF(B2134="","",IFERROR(AVERAGEIFS($J$4:$J2134,$B$4:$B2134,B2134,$J$4:$J2134,"&gt;"&amp;0),""))</f>
        <v/>
      </c>
      <c r="L2134" s="12" t="n"/>
    </row>
    <row r="2135" ht="14" customHeight="1" s="72">
      <c r="A2135" s="78" t="n"/>
      <c r="B2135" s="79" t="n"/>
      <c r="C2135" s="69">
        <f>IF(B2135="","",IFERROR(INDEX(Client_List!$B:$B,MATCH(B2135,Client_List!$A:$A,0)),"⚠ NOT FOUND"))</f>
        <v/>
      </c>
      <c r="D2135" s="44" t="n"/>
      <c r="E2135" s="32">
        <f>IF(B2135="","",IFERROR(INDEX(Client_List!$C:$C,MATCH(VALUE(B2135),Client_List!$A:$A,0)),""))</f>
        <v/>
      </c>
      <c r="F2135" s="53">
        <f>IF(B2135="","",IFERROR(INDEX(Client_List!$D:$D,MATCH(VALUE(B2135),Client_List!$A:$A,0)),""))</f>
        <v/>
      </c>
      <c r="G2135" s="53">
        <f>IF(B2135="","",IFERROR(INDEX(Client_List!$K:$K,MATCH(VALUE(B2135),Client_List!$A:$A,0)),""))</f>
        <v/>
      </c>
      <c r="H2135" s="32">
        <f>IF(B2135="","",IFERROR(INDEX(Client_List!$J:$J,MATCH(VALUE(B2135),Client_List!$A:$A,0)),""))</f>
        <v/>
      </c>
      <c r="I2135" s="70">
        <f>IF(B2135="","",IFERROR(A2135-LOOKUP(2,1/($B$4:$B2134=B2135),$A$4:$A2134),""))</f>
        <v/>
      </c>
      <c r="J2135" s="32">
        <f>IF(B2135="","",IFERROR(D2135/I2135,""))</f>
        <v/>
      </c>
      <c r="K2135" s="71">
        <f>IF(B2135="","",IFERROR(AVERAGEIFS($J$4:$J2135,$B$4:$B2135,B2135,$J$4:$J2135,"&gt;"&amp;0),""))</f>
        <v/>
      </c>
      <c r="L2135" s="11" t="n"/>
    </row>
    <row r="2136" ht="14" customHeight="1" s="72">
      <c r="A2136" s="80" t="n"/>
      <c r="B2136" s="81" t="n"/>
      <c r="C2136" s="69">
        <f>IF(B2136="","",IFERROR(INDEX(Client_List!$B:$B,MATCH(B2136,Client_List!$A:$A,0)),"⚠ NOT FOUND"))</f>
        <v/>
      </c>
      <c r="D2136" s="45" t="n"/>
      <c r="E2136" s="32">
        <f>IF(B2136="","",IFERROR(INDEX(Client_List!$C:$C,MATCH(VALUE(B2136),Client_List!$A:$A,0)),""))</f>
        <v/>
      </c>
      <c r="F2136" s="53">
        <f>IF(B2136="","",IFERROR(INDEX(Client_List!$D:$D,MATCH(VALUE(B2136),Client_List!$A:$A,0)),""))</f>
        <v/>
      </c>
      <c r="G2136" s="53">
        <f>IF(B2136="","",IFERROR(INDEX(Client_List!$K:$K,MATCH(VALUE(B2136),Client_List!$A:$A,0)),""))</f>
        <v/>
      </c>
      <c r="H2136" s="32">
        <f>IF(B2136="","",IFERROR(INDEX(Client_List!$J:$J,MATCH(VALUE(B2136),Client_List!$A:$A,0)),""))</f>
        <v/>
      </c>
      <c r="I2136" s="70">
        <f>IF(B2136="","",IFERROR(A2136-LOOKUP(2,1/($B$4:$B2135=B2136),$A$4:$A2135),""))</f>
        <v/>
      </c>
      <c r="J2136" s="32">
        <f>IF(B2136="","",IFERROR(D2136/I2136,""))</f>
        <v/>
      </c>
      <c r="K2136" s="71">
        <f>IF(B2136="","",IFERROR(AVERAGEIFS($J$4:$J2136,$B$4:$B2136,B2136,$J$4:$J2136,"&gt;"&amp;0),""))</f>
        <v/>
      </c>
      <c r="L2136" s="12" t="n"/>
    </row>
    <row r="2137" ht="14" customHeight="1" s="72">
      <c r="A2137" s="78" t="n"/>
      <c r="B2137" s="79" t="n"/>
      <c r="C2137" s="69">
        <f>IF(B2137="","",IFERROR(INDEX(Client_List!$B:$B,MATCH(B2137,Client_List!$A:$A,0)),"⚠ NOT FOUND"))</f>
        <v/>
      </c>
      <c r="D2137" s="44" t="n"/>
      <c r="E2137" s="32">
        <f>IF(B2137="","",IFERROR(INDEX(Client_List!$C:$C,MATCH(VALUE(B2137),Client_List!$A:$A,0)),""))</f>
        <v/>
      </c>
      <c r="F2137" s="53">
        <f>IF(B2137="","",IFERROR(INDEX(Client_List!$D:$D,MATCH(VALUE(B2137),Client_List!$A:$A,0)),""))</f>
        <v/>
      </c>
      <c r="G2137" s="53">
        <f>IF(B2137="","",IFERROR(INDEX(Client_List!$K:$K,MATCH(VALUE(B2137),Client_List!$A:$A,0)),""))</f>
        <v/>
      </c>
      <c r="H2137" s="32">
        <f>IF(B2137="","",IFERROR(INDEX(Client_List!$J:$J,MATCH(VALUE(B2137),Client_List!$A:$A,0)),""))</f>
        <v/>
      </c>
      <c r="I2137" s="70">
        <f>IF(B2137="","",IFERROR(A2137-LOOKUP(2,1/($B$4:$B2136=B2137),$A$4:$A2136),""))</f>
        <v/>
      </c>
      <c r="J2137" s="32">
        <f>IF(B2137="","",IFERROR(D2137/I2137,""))</f>
        <v/>
      </c>
      <c r="K2137" s="71">
        <f>IF(B2137="","",IFERROR(AVERAGEIFS($J$4:$J2137,$B$4:$B2137,B2137,$J$4:$J2137,"&gt;"&amp;0),""))</f>
        <v/>
      </c>
      <c r="L2137" s="11" t="n"/>
    </row>
    <row r="2138" ht="14" customHeight="1" s="72">
      <c r="A2138" s="80" t="n"/>
      <c r="B2138" s="81" t="n"/>
      <c r="C2138" s="69">
        <f>IF(B2138="","",IFERROR(INDEX(Client_List!$B:$B,MATCH(B2138,Client_List!$A:$A,0)),"⚠ NOT FOUND"))</f>
        <v/>
      </c>
      <c r="D2138" s="45" t="n"/>
      <c r="E2138" s="32">
        <f>IF(B2138="","",IFERROR(INDEX(Client_List!$C:$C,MATCH(VALUE(B2138),Client_List!$A:$A,0)),""))</f>
        <v/>
      </c>
      <c r="F2138" s="53">
        <f>IF(B2138="","",IFERROR(INDEX(Client_List!$D:$D,MATCH(VALUE(B2138),Client_List!$A:$A,0)),""))</f>
        <v/>
      </c>
      <c r="G2138" s="53">
        <f>IF(B2138="","",IFERROR(INDEX(Client_List!$K:$K,MATCH(VALUE(B2138),Client_List!$A:$A,0)),""))</f>
        <v/>
      </c>
      <c r="H2138" s="32">
        <f>IF(B2138="","",IFERROR(INDEX(Client_List!$J:$J,MATCH(VALUE(B2138),Client_List!$A:$A,0)),""))</f>
        <v/>
      </c>
      <c r="I2138" s="70">
        <f>IF(B2138="","",IFERROR(A2138-LOOKUP(2,1/($B$4:$B2137=B2138),$A$4:$A2137),""))</f>
        <v/>
      </c>
      <c r="J2138" s="32">
        <f>IF(B2138="","",IFERROR(D2138/I2138,""))</f>
        <v/>
      </c>
      <c r="K2138" s="71">
        <f>IF(B2138="","",IFERROR(AVERAGEIFS($J$4:$J2138,$B$4:$B2138,B2138,$J$4:$J2138,"&gt;"&amp;0),""))</f>
        <v/>
      </c>
      <c r="L2138" s="12" t="n"/>
    </row>
    <row r="2139" ht="14" customHeight="1" s="72">
      <c r="A2139" s="78" t="n"/>
      <c r="B2139" s="79" t="n"/>
      <c r="C2139" s="69">
        <f>IF(B2139="","",IFERROR(INDEX(Client_List!$B:$B,MATCH(B2139,Client_List!$A:$A,0)),"⚠ NOT FOUND"))</f>
        <v/>
      </c>
      <c r="D2139" s="44" t="n"/>
      <c r="E2139" s="32">
        <f>IF(B2139="","",IFERROR(INDEX(Client_List!$C:$C,MATCH(VALUE(B2139),Client_List!$A:$A,0)),""))</f>
        <v/>
      </c>
      <c r="F2139" s="53">
        <f>IF(B2139="","",IFERROR(INDEX(Client_List!$D:$D,MATCH(VALUE(B2139),Client_List!$A:$A,0)),""))</f>
        <v/>
      </c>
      <c r="G2139" s="53">
        <f>IF(B2139="","",IFERROR(INDEX(Client_List!$K:$K,MATCH(VALUE(B2139),Client_List!$A:$A,0)),""))</f>
        <v/>
      </c>
      <c r="H2139" s="32">
        <f>IF(B2139="","",IFERROR(INDEX(Client_List!$J:$J,MATCH(VALUE(B2139),Client_List!$A:$A,0)),""))</f>
        <v/>
      </c>
      <c r="I2139" s="70">
        <f>IF(B2139="","",IFERROR(A2139-LOOKUP(2,1/($B$4:$B2138=B2139),$A$4:$A2138),""))</f>
        <v/>
      </c>
      <c r="J2139" s="32">
        <f>IF(B2139="","",IFERROR(D2139/I2139,""))</f>
        <v/>
      </c>
      <c r="K2139" s="71">
        <f>IF(B2139="","",IFERROR(AVERAGEIFS($J$4:$J2139,$B$4:$B2139,B2139,$J$4:$J2139,"&gt;"&amp;0),""))</f>
        <v/>
      </c>
      <c r="L2139" s="11" t="n"/>
    </row>
    <row r="2140" ht="14" customHeight="1" s="72">
      <c r="A2140" s="80" t="n"/>
      <c r="B2140" s="81" t="n"/>
      <c r="C2140" s="69">
        <f>IF(B2140="","",IFERROR(INDEX(Client_List!$B:$B,MATCH(B2140,Client_List!$A:$A,0)),"⚠ NOT FOUND"))</f>
        <v/>
      </c>
      <c r="D2140" s="45" t="n"/>
      <c r="E2140" s="32">
        <f>IF(B2140="","",IFERROR(INDEX(Client_List!$C:$C,MATCH(VALUE(B2140),Client_List!$A:$A,0)),""))</f>
        <v/>
      </c>
      <c r="F2140" s="53">
        <f>IF(B2140="","",IFERROR(INDEX(Client_List!$D:$D,MATCH(VALUE(B2140),Client_List!$A:$A,0)),""))</f>
        <v/>
      </c>
      <c r="G2140" s="53">
        <f>IF(B2140="","",IFERROR(INDEX(Client_List!$K:$K,MATCH(VALUE(B2140),Client_List!$A:$A,0)),""))</f>
        <v/>
      </c>
      <c r="H2140" s="32">
        <f>IF(B2140="","",IFERROR(INDEX(Client_List!$J:$J,MATCH(VALUE(B2140),Client_List!$A:$A,0)),""))</f>
        <v/>
      </c>
      <c r="I2140" s="70">
        <f>IF(B2140="","",IFERROR(A2140-LOOKUP(2,1/($B$4:$B2139=B2140),$A$4:$A2139),""))</f>
        <v/>
      </c>
      <c r="J2140" s="32">
        <f>IF(B2140="","",IFERROR(D2140/I2140,""))</f>
        <v/>
      </c>
      <c r="K2140" s="71">
        <f>IF(B2140="","",IFERROR(AVERAGEIFS($J$4:$J2140,$B$4:$B2140,B2140,$J$4:$J2140,"&gt;"&amp;0),""))</f>
        <v/>
      </c>
      <c r="L2140" s="12" t="n"/>
    </row>
    <row r="2141" ht="14" customHeight="1" s="72">
      <c r="A2141" s="78" t="n"/>
      <c r="B2141" s="79" t="n"/>
      <c r="C2141" s="69">
        <f>IF(B2141="","",IFERROR(INDEX(Client_List!$B:$B,MATCH(B2141,Client_List!$A:$A,0)),"⚠ NOT FOUND"))</f>
        <v/>
      </c>
      <c r="D2141" s="44" t="n"/>
      <c r="E2141" s="32">
        <f>IF(B2141="","",IFERROR(INDEX(Client_List!$C:$C,MATCH(VALUE(B2141),Client_List!$A:$A,0)),""))</f>
        <v/>
      </c>
      <c r="F2141" s="53">
        <f>IF(B2141="","",IFERROR(INDEX(Client_List!$D:$D,MATCH(VALUE(B2141),Client_List!$A:$A,0)),""))</f>
        <v/>
      </c>
      <c r="G2141" s="53">
        <f>IF(B2141="","",IFERROR(INDEX(Client_List!$K:$K,MATCH(VALUE(B2141),Client_List!$A:$A,0)),""))</f>
        <v/>
      </c>
      <c r="H2141" s="32">
        <f>IF(B2141="","",IFERROR(INDEX(Client_List!$J:$J,MATCH(VALUE(B2141),Client_List!$A:$A,0)),""))</f>
        <v/>
      </c>
      <c r="I2141" s="70">
        <f>IF(B2141="","",IFERROR(A2141-LOOKUP(2,1/($B$4:$B2140=B2141),$A$4:$A2140),""))</f>
        <v/>
      </c>
      <c r="J2141" s="32">
        <f>IF(B2141="","",IFERROR(D2141/I2141,""))</f>
        <v/>
      </c>
      <c r="K2141" s="71">
        <f>IF(B2141="","",IFERROR(AVERAGEIFS($J$4:$J2141,$B$4:$B2141,B2141,$J$4:$J2141,"&gt;"&amp;0),""))</f>
        <v/>
      </c>
      <c r="L2141" s="11" t="n"/>
    </row>
    <row r="2142" ht="14" customHeight="1" s="72">
      <c r="A2142" s="80" t="n"/>
      <c r="B2142" s="81" t="n"/>
      <c r="C2142" s="69">
        <f>IF(B2142="","",IFERROR(INDEX(Client_List!$B:$B,MATCH(B2142,Client_List!$A:$A,0)),"⚠ NOT FOUND"))</f>
        <v/>
      </c>
      <c r="D2142" s="45" t="n"/>
      <c r="E2142" s="32">
        <f>IF(B2142="","",IFERROR(INDEX(Client_List!$C:$C,MATCH(VALUE(B2142),Client_List!$A:$A,0)),""))</f>
        <v/>
      </c>
      <c r="F2142" s="53">
        <f>IF(B2142="","",IFERROR(INDEX(Client_List!$D:$D,MATCH(VALUE(B2142),Client_List!$A:$A,0)),""))</f>
        <v/>
      </c>
      <c r="G2142" s="53">
        <f>IF(B2142="","",IFERROR(INDEX(Client_List!$K:$K,MATCH(VALUE(B2142),Client_List!$A:$A,0)),""))</f>
        <v/>
      </c>
      <c r="H2142" s="32">
        <f>IF(B2142="","",IFERROR(INDEX(Client_List!$J:$J,MATCH(VALUE(B2142),Client_List!$A:$A,0)),""))</f>
        <v/>
      </c>
      <c r="I2142" s="70">
        <f>IF(B2142="","",IFERROR(A2142-LOOKUP(2,1/($B$4:$B2141=B2142),$A$4:$A2141),""))</f>
        <v/>
      </c>
      <c r="J2142" s="32">
        <f>IF(B2142="","",IFERROR(D2142/I2142,""))</f>
        <v/>
      </c>
      <c r="K2142" s="71">
        <f>IF(B2142="","",IFERROR(AVERAGEIFS($J$4:$J2142,$B$4:$B2142,B2142,$J$4:$J2142,"&gt;"&amp;0),""))</f>
        <v/>
      </c>
      <c r="L2142" s="12" t="n"/>
    </row>
    <row r="2143" ht="14" customHeight="1" s="72">
      <c r="A2143" s="78" t="n"/>
      <c r="B2143" s="79" t="n"/>
      <c r="C2143" s="69">
        <f>IF(B2143="","",IFERROR(INDEX(Client_List!$B:$B,MATCH(B2143,Client_List!$A:$A,0)),"⚠ NOT FOUND"))</f>
        <v/>
      </c>
      <c r="D2143" s="44" t="n"/>
      <c r="E2143" s="32">
        <f>IF(B2143="","",IFERROR(INDEX(Client_List!$C:$C,MATCH(VALUE(B2143),Client_List!$A:$A,0)),""))</f>
        <v/>
      </c>
      <c r="F2143" s="53">
        <f>IF(B2143="","",IFERROR(INDEX(Client_List!$D:$D,MATCH(VALUE(B2143),Client_List!$A:$A,0)),""))</f>
        <v/>
      </c>
      <c r="G2143" s="53">
        <f>IF(B2143="","",IFERROR(INDEX(Client_List!$K:$K,MATCH(VALUE(B2143),Client_List!$A:$A,0)),""))</f>
        <v/>
      </c>
      <c r="H2143" s="32">
        <f>IF(B2143="","",IFERROR(INDEX(Client_List!$J:$J,MATCH(VALUE(B2143),Client_List!$A:$A,0)),""))</f>
        <v/>
      </c>
      <c r="I2143" s="70">
        <f>IF(B2143="","",IFERROR(A2143-LOOKUP(2,1/($B$4:$B2142=B2143),$A$4:$A2142),""))</f>
        <v/>
      </c>
      <c r="J2143" s="32">
        <f>IF(B2143="","",IFERROR(D2143/I2143,""))</f>
        <v/>
      </c>
      <c r="K2143" s="71">
        <f>IF(B2143="","",IFERROR(AVERAGEIFS($J$4:$J2143,$B$4:$B2143,B2143,$J$4:$J2143,"&gt;"&amp;0),""))</f>
        <v/>
      </c>
      <c r="L2143" s="11" t="n"/>
    </row>
    <row r="2144" ht="14" customHeight="1" s="72">
      <c r="A2144" s="80" t="n"/>
      <c r="B2144" s="81" t="n"/>
      <c r="C2144" s="69">
        <f>IF(B2144="","",IFERROR(INDEX(Client_List!$B:$B,MATCH(B2144,Client_List!$A:$A,0)),"⚠ NOT FOUND"))</f>
        <v/>
      </c>
      <c r="D2144" s="45" t="n"/>
      <c r="E2144" s="32">
        <f>IF(B2144="","",IFERROR(INDEX(Client_List!$C:$C,MATCH(VALUE(B2144),Client_List!$A:$A,0)),""))</f>
        <v/>
      </c>
      <c r="F2144" s="53">
        <f>IF(B2144="","",IFERROR(INDEX(Client_List!$D:$D,MATCH(VALUE(B2144),Client_List!$A:$A,0)),""))</f>
        <v/>
      </c>
      <c r="G2144" s="53">
        <f>IF(B2144="","",IFERROR(INDEX(Client_List!$K:$K,MATCH(VALUE(B2144),Client_List!$A:$A,0)),""))</f>
        <v/>
      </c>
      <c r="H2144" s="32">
        <f>IF(B2144="","",IFERROR(INDEX(Client_List!$J:$J,MATCH(VALUE(B2144),Client_List!$A:$A,0)),""))</f>
        <v/>
      </c>
      <c r="I2144" s="70">
        <f>IF(B2144="","",IFERROR(A2144-LOOKUP(2,1/($B$4:$B2143=B2144),$A$4:$A2143),""))</f>
        <v/>
      </c>
      <c r="J2144" s="32">
        <f>IF(B2144="","",IFERROR(D2144/I2144,""))</f>
        <v/>
      </c>
      <c r="K2144" s="71">
        <f>IF(B2144="","",IFERROR(AVERAGEIFS($J$4:$J2144,$B$4:$B2144,B2144,$J$4:$J2144,"&gt;"&amp;0),""))</f>
        <v/>
      </c>
      <c r="L2144" s="12" t="n"/>
    </row>
    <row r="2145" ht="14" customHeight="1" s="72">
      <c r="A2145" s="78" t="n"/>
      <c r="B2145" s="79" t="n"/>
      <c r="C2145" s="69">
        <f>IF(B2145="","",IFERROR(INDEX(Client_List!$B:$B,MATCH(B2145,Client_List!$A:$A,0)),"⚠ NOT FOUND"))</f>
        <v/>
      </c>
      <c r="D2145" s="44" t="n"/>
      <c r="E2145" s="32">
        <f>IF(B2145="","",IFERROR(INDEX(Client_List!$C:$C,MATCH(VALUE(B2145),Client_List!$A:$A,0)),""))</f>
        <v/>
      </c>
      <c r="F2145" s="53">
        <f>IF(B2145="","",IFERROR(INDEX(Client_List!$D:$D,MATCH(VALUE(B2145),Client_List!$A:$A,0)),""))</f>
        <v/>
      </c>
      <c r="G2145" s="53">
        <f>IF(B2145="","",IFERROR(INDEX(Client_List!$K:$K,MATCH(VALUE(B2145),Client_List!$A:$A,0)),""))</f>
        <v/>
      </c>
      <c r="H2145" s="32">
        <f>IF(B2145="","",IFERROR(INDEX(Client_List!$J:$J,MATCH(VALUE(B2145),Client_List!$A:$A,0)),""))</f>
        <v/>
      </c>
      <c r="I2145" s="70">
        <f>IF(B2145="","",IFERROR(A2145-LOOKUP(2,1/($B$4:$B2144=B2145),$A$4:$A2144),""))</f>
        <v/>
      </c>
      <c r="J2145" s="32">
        <f>IF(B2145="","",IFERROR(D2145/I2145,""))</f>
        <v/>
      </c>
      <c r="K2145" s="71">
        <f>IF(B2145="","",IFERROR(AVERAGEIFS($J$4:$J2145,$B$4:$B2145,B2145,$J$4:$J2145,"&gt;"&amp;0),""))</f>
        <v/>
      </c>
      <c r="L2145" s="11" t="n"/>
    </row>
    <row r="2146" ht="14" customHeight="1" s="72">
      <c r="A2146" s="80" t="n"/>
      <c r="B2146" s="81" t="n"/>
      <c r="C2146" s="69">
        <f>IF(B2146="","",IFERROR(INDEX(Client_List!$B:$B,MATCH(B2146,Client_List!$A:$A,0)),"⚠ NOT FOUND"))</f>
        <v/>
      </c>
      <c r="D2146" s="45" t="n"/>
      <c r="E2146" s="32">
        <f>IF(B2146="","",IFERROR(INDEX(Client_List!$C:$C,MATCH(VALUE(B2146),Client_List!$A:$A,0)),""))</f>
        <v/>
      </c>
      <c r="F2146" s="53">
        <f>IF(B2146="","",IFERROR(INDEX(Client_List!$D:$D,MATCH(VALUE(B2146),Client_List!$A:$A,0)),""))</f>
        <v/>
      </c>
      <c r="G2146" s="53">
        <f>IF(B2146="","",IFERROR(INDEX(Client_List!$K:$K,MATCH(VALUE(B2146),Client_List!$A:$A,0)),""))</f>
        <v/>
      </c>
      <c r="H2146" s="32">
        <f>IF(B2146="","",IFERROR(INDEX(Client_List!$J:$J,MATCH(VALUE(B2146),Client_List!$A:$A,0)),""))</f>
        <v/>
      </c>
      <c r="I2146" s="70">
        <f>IF(B2146="","",IFERROR(A2146-LOOKUP(2,1/($B$4:$B2145=B2146),$A$4:$A2145),""))</f>
        <v/>
      </c>
      <c r="J2146" s="32">
        <f>IF(B2146="","",IFERROR(D2146/I2146,""))</f>
        <v/>
      </c>
      <c r="K2146" s="71">
        <f>IF(B2146="","",IFERROR(AVERAGEIFS($J$4:$J2146,$B$4:$B2146,B2146,$J$4:$J2146,"&gt;"&amp;0),""))</f>
        <v/>
      </c>
      <c r="L2146" s="12" t="n"/>
    </row>
    <row r="2147" ht="14" customHeight="1" s="72">
      <c r="A2147" s="78" t="n"/>
      <c r="B2147" s="79" t="n"/>
      <c r="C2147" s="69">
        <f>IF(B2147="","",IFERROR(INDEX(Client_List!$B:$B,MATCH(B2147,Client_List!$A:$A,0)),"⚠ NOT FOUND"))</f>
        <v/>
      </c>
      <c r="D2147" s="44" t="n"/>
      <c r="E2147" s="32">
        <f>IF(B2147="","",IFERROR(INDEX(Client_List!$C:$C,MATCH(VALUE(B2147),Client_List!$A:$A,0)),""))</f>
        <v/>
      </c>
      <c r="F2147" s="53">
        <f>IF(B2147="","",IFERROR(INDEX(Client_List!$D:$D,MATCH(VALUE(B2147),Client_List!$A:$A,0)),""))</f>
        <v/>
      </c>
      <c r="G2147" s="53">
        <f>IF(B2147="","",IFERROR(INDEX(Client_List!$K:$K,MATCH(VALUE(B2147),Client_List!$A:$A,0)),""))</f>
        <v/>
      </c>
      <c r="H2147" s="32">
        <f>IF(B2147="","",IFERROR(INDEX(Client_List!$J:$J,MATCH(VALUE(B2147),Client_List!$A:$A,0)),""))</f>
        <v/>
      </c>
      <c r="I2147" s="70">
        <f>IF(B2147="","",IFERROR(A2147-LOOKUP(2,1/($B$4:$B2146=B2147),$A$4:$A2146),""))</f>
        <v/>
      </c>
      <c r="J2147" s="32">
        <f>IF(B2147="","",IFERROR(D2147/I2147,""))</f>
        <v/>
      </c>
      <c r="K2147" s="71">
        <f>IF(B2147="","",IFERROR(AVERAGEIFS($J$4:$J2147,$B$4:$B2147,B2147,$J$4:$J2147,"&gt;"&amp;0),""))</f>
        <v/>
      </c>
      <c r="L2147" s="11" t="n"/>
    </row>
    <row r="2148" ht="14" customHeight="1" s="72">
      <c r="A2148" s="80" t="n"/>
      <c r="B2148" s="81" t="n"/>
      <c r="C2148" s="69">
        <f>IF(B2148="","",IFERROR(INDEX(Client_List!$B:$B,MATCH(B2148,Client_List!$A:$A,0)),"⚠ NOT FOUND"))</f>
        <v/>
      </c>
      <c r="D2148" s="45" t="n"/>
      <c r="E2148" s="32">
        <f>IF(B2148="","",IFERROR(INDEX(Client_List!$C:$C,MATCH(VALUE(B2148),Client_List!$A:$A,0)),""))</f>
        <v/>
      </c>
      <c r="F2148" s="53">
        <f>IF(B2148="","",IFERROR(INDEX(Client_List!$D:$D,MATCH(VALUE(B2148),Client_List!$A:$A,0)),""))</f>
        <v/>
      </c>
      <c r="G2148" s="53">
        <f>IF(B2148="","",IFERROR(INDEX(Client_List!$K:$K,MATCH(VALUE(B2148),Client_List!$A:$A,0)),""))</f>
        <v/>
      </c>
      <c r="H2148" s="32">
        <f>IF(B2148="","",IFERROR(INDEX(Client_List!$J:$J,MATCH(VALUE(B2148),Client_List!$A:$A,0)),""))</f>
        <v/>
      </c>
      <c r="I2148" s="70">
        <f>IF(B2148="","",IFERROR(A2148-LOOKUP(2,1/($B$4:$B2147=B2148),$A$4:$A2147),""))</f>
        <v/>
      </c>
      <c r="J2148" s="32">
        <f>IF(B2148="","",IFERROR(D2148/I2148,""))</f>
        <v/>
      </c>
      <c r="K2148" s="71">
        <f>IF(B2148="","",IFERROR(AVERAGEIFS($J$4:$J2148,$B$4:$B2148,B2148,$J$4:$J2148,"&gt;"&amp;0),""))</f>
        <v/>
      </c>
      <c r="L2148" s="12" t="n"/>
    </row>
    <row r="2149" ht="14" customHeight="1" s="72">
      <c r="A2149" s="78" t="n"/>
      <c r="B2149" s="79" t="n"/>
      <c r="C2149" s="69">
        <f>IF(B2149="","",IFERROR(INDEX(Client_List!$B:$B,MATCH(B2149,Client_List!$A:$A,0)),"⚠ NOT FOUND"))</f>
        <v/>
      </c>
      <c r="D2149" s="44" t="n"/>
      <c r="E2149" s="32">
        <f>IF(B2149="","",IFERROR(INDEX(Client_List!$C:$C,MATCH(VALUE(B2149),Client_List!$A:$A,0)),""))</f>
        <v/>
      </c>
      <c r="F2149" s="53">
        <f>IF(B2149="","",IFERROR(INDEX(Client_List!$D:$D,MATCH(VALUE(B2149),Client_List!$A:$A,0)),""))</f>
        <v/>
      </c>
      <c r="G2149" s="53">
        <f>IF(B2149="","",IFERROR(INDEX(Client_List!$K:$K,MATCH(VALUE(B2149),Client_List!$A:$A,0)),""))</f>
        <v/>
      </c>
      <c r="H2149" s="32">
        <f>IF(B2149="","",IFERROR(INDEX(Client_List!$J:$J,MATCH(VALUE(B2149),Client_List!$A:$A,0)),""))</f>
        <v/>
      </c>
      <c r="I2149" s="70">
        <f>IF(B2149="","",IFERROR(A2149-LOOKUP(2,1/($B$4:$B2148=B2149),$A$4:$A2148),""))</f>
        <v/>
      </c>
      <c r="J2149" s="32">
        <f>IF(B2149="","",IFERROR(D2149/I2149,""))</f>
        <v/>
      </c>
      <c r="K2149" s="71">
        <f>IF(B2149="","",IFERROR(AVERAGEIFS($J$4:$J2149,$B$4:$B2149,B2149,$J$4:$J2149,"&gt;"&amp;0),""))</f>
        <v/>
      </c>
      <c r="L2149" s="11" t="n"/>
    </row>
    <row r="2150" ht="14" customHeight="1" s="72">
      <c r="A2150" s="80" t="n"/>
      <c r="B2150" s="81" t="n"/>
      <c r="C2150" s="69">
        <f>IF(B2150="","",IFERROR(INDEX(Client_List!$B:$B,MATCH(B2150,Client_List!$A:$A,0)),"⚠ NOT FOUND"))</f>
        <v/>
      </c>
      <c r="D2150" s="45" t="n"/>
      <c r="E2150" s="32">
        <f>IF(B2150="","",IFERROR(INDEX(Client_List!$C:$C,MATCH(VALUE(B2150),Client_List!$A:$A,0)),""))</f>
        <v/>
      </c>
      <c r="F2150" s="53">
        <f>IF(B2150="","",IFERROR(INDEX(Client_List!$D:$D,MATCH(VALUE(B2150),Client_List!$A:$A,0)),""))</f>
        <v/>
      </c>
      <c r="G2150" s="53">
        <f>IF(B2150="","",IFERROR(INDEX(Client_List!$K:$K,MATCH(VALUE(B2150),Client_List!$A:$A,0)),""))</f>
        <v/>
      </c>
      <c r="H2150" s="32">
        <f>IF(B2150="","",IFERROR(INDEX(Client_List!$J:$J,MATCH(VALUE(B2150),Client_List!$A:$A,0)),""))</f>
        <v/>
      </c>
      <c r="I2150" s="70">
        <f>IF(B2150="","",IFERROR(A2150-LOOKUP(2,1/($B$4:$B2149=B2150),$A$4:$A2149),""))</f>
        <v/>
      </c>
      <c r="J2150" s="32">
        <f>IF(B2150="","",IFERROR(D2150/I2150,""))</f>
        <v/>
      </c>
      <c r="K2150" s="71">
        <f>IF(B2150="","",IFERROR(AVERAGEIFS($J$4:$J2150,$B$4:$B2150,B2150,$J$4:$J2150,"&gt;"&amp;0),""))</f>
        <v/>
      </c>
      <c r="L2150" s="12" t="n"/>
    </row>
    <row r="2151" ht="14" customHeight="1" s="72">
      <c r="A2151" s="78" t="n"/>
      <c r="B2151" s="79" t="n"/>
      <c r="C2151" s="69">
        <f>IF(B2151="","",IFERROR(INDEX(Client_List!$B:$B,MATCH(B2151,Client_List!$A:$A,0)),"⚠ NOT FOUND"))</f>
        <v/>
      </c>
      <c r="D2151" s="44" t="n"/>
      <c r="E2151" s="32">
        <f>IF(B2151="","",IFERROR(INDEX(Client_List!$C:$C,MATCH(VALUE(B2151),Client_List!$A:$A,0)),""))</f>
        <v/>
      </c>
      <c r="F2151" s="53">
        <f>IF(B2151="","",IFERROR(INDEX(Client_List!$D:$D,MATCH(VALUE(B2151),Client_List!$A:$A,0)),""))</f>
        <v/>
      </c>
      <c r="G2151" s="53">
        <f>IF(B2151="","",IFERROR(INDEX(Client_List!$K:$K,MATCH(VALUE(B2151),Client_List!$A:$A,0)),""))</f>
        <v/>
      </c>
      <c r="H2151" s="32">
        <f>IF(B2151="","",IFERROR(INDEX(Client_List!$J:$J,MATCH(VALUE(B2151),Client_List!$A:$A,0)),""))</f>
        <v/>
      </c>
      <c r="I2151" s="70">
        <f>IF(B2151="","",IFERROR(A2151-LOOKUP(2,1/($B$4:$B2150=B2151),$A$4:$A2150),""))</f>
        <v/>
      </c>
      <c r="J2151" s="32">
        <f>IF(B2151="","",IFERROR(D2151/I2151,""))</f>
        <v/>
      </c>
      <c r="K2151" s="71">
        <f>IF(B2151="","",IFERROR(AVERAGEIFS($J$4:$J2151,$B$4:$B2151,B2151,$J$4:$J2151,"&gt;"&amp;0),""))</f>
        <v/>
      </c>
      <c r="L2151" s="11" t="n"/>
    </row>
    <row r="2152" ht="14" customHeight="1" s="72">
      <c r="A2152" s="80" t="n"/>
      <c r="B2152" s="81" t="n"/>
      <c r="C2152" s="69">
        <f>IF(B2152="","",IFERROR(INDEX(Client_List!$B:$B,MATCH(B2152,Client_List!$A:$A,0)),"⚠ NOT FOUND"))</f>
        <v/>
      </c>
      <c r="D2152" s="45" t="n"/>
      <c r="E2152" s="32">
        <f>IF(B2152="","",IFERROR(INDEX(Client_List!$C:$C,MATCH(VALUE(B2152),Client_List!$A:$A,0)),""))</f>
        <v/>
      </c>
      <c r="F2152" s="53">
        <f>IF(B2152="","",IFERROR(INDEX(Client_List!$D:$D,MATCH(VALUE(B2152),Client_List!$A:$A,0)),""))</f>
        <v/>
      </c>
      <c r="G2152" s="53">
        <f>IF(B2152="","",IFERROR(INDEX(Client_List!$K:$K,MATCH(VALUE(B2152),Client_List!$A:$A,0)),""))</f>
        <v/>
      </c>
      <c r="H2152" s="32">
        <f>IF(B2152="","",IFERROR(INDEX(Client_List!$J:$J,MATCH(VALUE(B2152),Client_List!$A:$A,0)),""))</f>
        <v/>
      </c>
      <c r="I2152" s="70">
        <f>IF(B2152="","",IFERROR(A2152-LOOKUP(2,1/($B$4:$B2151=B2152),$A$4:$A2151),""))</f>
        <v/>
      </c>
      <c r="J2152" s="32">
        <f>IF(B2152="","",IFERROR(D2152/I2152,""))</f>
        <v/>
      </c>
      <c r="K2152" s="71">
        <f>IF(B2152="","",IFERROR(AVERAGEIFS($J$4:$J2152,$B$4:$B2152,B2152,$J$4:$J2152,"&gt;"&amp;0),""))</f>
        <v/>
      </c>
      <c r="L2152" s="12" t="n"/>
    </row>
    <row r="2153" ht="14" customHeight="1" s="72">
      <c r="A2153" s="78" t="n"/>
      <c r="B2153" s="79" t="n"/>
      <c r="C2153" s="69">
        <f>IF(B2153="","",IFERROR(INDEX(Client_List!$B:$B,MATCH(B2153,Client_List!$A:$A,0)),"⚠ NOT FOUND"))</f>
        <v/>
      </c>
      <c r="D2153" s="44" t="n"/>
      <c r="E2153" s="32">
        <f>IF(B2153="","",IFERROR(INDEX(Client_List!$C:$C,MATCH(VALUE(B2153),Client_List!$A:$A,0)),""))</f>
        <v/>
      </c>
      <c r="F2153" s="53">
        <f>IF(B2153="","",IFERROR(INDEX(Client_List!$D:$D,MATCH(VALUE(B2153),Client_List!$A:$A,0)),""))</f>
        <v/>
      </c>
      <c r="G2153" s="53">
        <f>IF(B2153="","",IFERROR(INDEX(Client_List!$K:$K,MATCH(VALUE(B2153),Client_List!$A:$A,0)),""))</f>
        <v/>
      </c>
      <c r="H2153" s="32">
        <f>IF(B2153="","",IFERROR(INDEX(Client_List!$J:$J,MATCH(VALUE(B2153),Client_List!$A:$A,0)),""))</f>
        <v/>
      </c>
      <c r="I2153" s="70">
        <f>IF(B2153="","",IFERROR(A2153-LOOKUP(2,1/($B$4:$B2152=B2153),$A$4:$A2152),""))</f>
        <v/>
      </c>
      <c r="J2153" s="32">
        <f>IF(B2153="","",IFERROR(D2153/I2153,""))</f>
        <v/>
      </c>
      <c r="K2153" s="71">
        <f>IF(B2153="","",IFERROR(AVERAGEIFS($J$4:$J2153,$B$4:$B2153,B2153,$J$4:$J2153,"&gt;"&amp;0),""))</f>
        <v/>
      </c>
      <c r="L2153" s="11" t="n"/>
    </row>
    <row r="2154" ht="14" customHeight="1" s="72">
      <c r="A2154" s="80" t="n"/>
      <c r="B2154" s="81" t="n"/>
      <c r="C2154" s="69">
        <f>IF(B2154="","",IFERROR(INDEX(Client_List!$B:$B,MATCH(B2154,Client_List!$A:$A,0)),"⚠ NOT FOUND"))</f>
        <v/>
      </c>
      <c r="D2154" s="45" t="n"/>
      <c r="E2154" s="32">
        <f>IF(B2154="","",IFERROR(INDEX(Client_List!$C:$C,MATCH(VALUE(B2154),Client_List!$A:$A,0)),""))</f>
        <v/>
      </c>
      <c r="F2154" s="53">
        <f>IF(B2154="","",IFERROR(INDEX(Client_List!$D:$D,MATCH(VALUE(B2154),Client_List!$A:$A,0)),""))</f>
        <v/>
      </c>
      <c r="G2154" s="53">
        <f>IF(B2154="","",IFERROR(INDEX(Client_List!$K:$K,MATCH(VALUE(B2154),Client_List!$A:$A,0)),""))</f>
        <v/>
      </c>
      <c r="H2154" s="32">
        <f>IF(B2154="","",IFERROR(INDEX(Client_List!$J:$J,MATCH(VALUE(B2154),Client_List!$A:$A,0)),""))</f>
        <v/>
      </c>
      <c r="I2154" s="70">
        <f>IF(B2154="","",IFERROR(A2154-LOOKUP(2,1/($B$4:$B2153=B2154),$A$4:$A2153),""))</f>
        <v/>
      </c>
      <c r="J2154" s="32">
        <f>IF(B2154="","",IFERROR(D2154/I2154,""))</f>
        <v/>
      </c>
      <c r="K2154" s="71">
        <f>IF(B2154="","",IFERROR(AVERAGEIFS($J$4:$J2154,$B$4:$B2154,B2154,$J$4:$J2154,"&gt;"&amp;0),""))</f>
        <v/>
      </c>
      <c r="L2154" s="12" t="n"/>
    </row>
    <row r="2155" ht="14" customHeight="1" s="72">
      <c r="A2155" s="78" t="n"/>
      <c r="B2155" s="79" t="n"/>
      <c r="C2155" s="69">
        <f>IF(B2155="","",IFERROR(INDEX(Client_List!$B:$B,MATCH(B2155,Client_List!$A:$A,0)),"⚠ NOT FOUND"))</f>
        <v/>
      </c>
      <c r="D2155" s="44" t="n"/>
      <c r="E2155" s="32">
        <f>IF(B2155="","",IFERROR(INDEX(Client_List!$C:$C,MATCH(VALUE(B2155),Client_List!$A:$A,0)),""))</f>
        <v/>
      </c>
      <c r="F2155" s="53">
        <f>IF(B2155="","",IFERROR(INDEX(Client_List!$D:$D,MATCH(VALUE(B2155),Client_List!$A:$A,0)),""))</f>
        <v/>
      </c>
      <c r="G2155" s="53">
        <f>IF(B2155="","",IFERROR(INDEX(Client_List!$K:$K,MATCH(VALUE(B2155),Client_List!$A:$A,0)),""))</f>
        <v/>
      </c>
      <c r="H2155" s="32">
        <f>IF(B2155="","",IFERROR(INDEX(Client_List!$J:$J,MATCH(VALUE(B2155),Client_List!$A:$A,0)),""))</f>
        <v/>
      </c>
      <c r="I2155" s="70">
        <f>IF(B2155="","",IFERROR(A2155-LOOKUP(2,1/($B$4:$B2154=B2155),$A$4:$A2154),""))</f>
        <v/>
      </c>
      <c r="J2155" s="32">
        <f>IF(B2155="","",IFERROR(D2155/I2155,""))</f>
        <v/>
      </c>
      <c r="K2155" s="71">
        <f>IF(B2155="","",IFERROR(AVERAGEIFS($J$4:$J2155,$B$4:$B2155,B2155,$J$4:$J2155,"&gt;"&amp;0),""))</f>
        <v/>
      </c>
      <c r="L2155" s="11" t="n"/>
    </row>
    <row r="2156" ht="14" customHeight="1" s="72">
      <c r="A2156" s="80" t="n"/>
      <c r="B2156" s="81" t="n"/>
      <c r="C2156" s="69">
        <f>IF(B2156="","",IFERROR(INDEX(Client_List!$B:$B,MATCH(B2156,Client_List!$A:$A,0)),"⚠ NOT FOUND"))</f>
        <v/>
      </c>
      <c r="D2156" s="45" t="n"/>
      <c r="E2156" s="32">
        <f>IF(B2156="","",IFERROR(INDEX(Client_List!$C:$C,MATCH(VALUE(B2156),Client_List!$A:$A,0)),""))</f>
        <v/>
      </c>
      <c r="F2156" s="53">
        <f>IF(B2156="","",IFERROR(INDEX(Client_List!$D:$D,MATCH(VALUE(B2156),Client_List!$A:$A,0)),""))</f>
        <v/>
      </c>
      <c r="G2156" s="53">
        <f>IF(B2156="","",IFERROR(INDEX(Client_List!$K:$K,MATCH(VALUE(B2156),Client_List!$A:$A,0)),""))</f>
        <v/>
      </c>
      <c r="H2156" s="32">
        <f>IF(B2156="","",IFERROR(INDEX(Client_List!$J:$J,MATCH(VALUE(B2156),Client_List!$A:$A,0)),""))</f>
        <v/>
      </c>
      <c r="I2156" s="70">
        <f>IF(B2156="","",IFERROR(A2156-LOOKUP(2,1/($B$4:$B2155=B2156),$A$4:$A2155),""))</f>
        <v/>
      </c>
      <c r="J2156" s="32">
        <f>IF(B2156="","",IFERROR(D2156/I2156,""))</f>
        <v/>
      </c>
      <c r="K2156" s="71">
        <f>IF(B2156="","",IFERROR(AVERAGEIFS($J$4:$J2156,$B$4:$B2156,B2156,$J$4:$J2156,"&gt;"&amp;0),""))</f>
        <v/>
      </c>
      <c r="L2156" s="12" t="n"/>
    </row>
    <row r="2157" ht="14" customHeight="1" s="72">
      <c r="A2157" s="78" t="n"/>
      <c r="B2157" s="79" t="n"/>
      <c r="C2157" s="69">
        <f>IF(B2157="","",IFERROR(INDEX(Client_List!$B:$B,MATCH(B2157,Client_List!$A:$A,0)),"⚠ NOT FOUND"))</f>
        <v/>
      </c>
      <c r="D2157" s="44" t="n"/>
      <c r="E2157" s="32">
        <f>IF(B2157="","",IFERROR(INDEX(Client_List!$C:$C,MATCH(VALUE(B2157),Client_List!$A:$A,0)),""))</f>
        <v/>
      </c>
      <c r="F2157" s="53">
        <f>IF(B2157="","",IFERROR(INDEX(Client_List!$D:$D,MATCH(VALUE(B2157),Client_List!$A:$A,0)),""))</f>
        <v/>
      </c>
      <c r="G2157" s="53">
        <f>IF(B2157="","",IFERROR(INDEX(Client_List!$K:$K,MATCH(VALUE(B2157),Client_List!$A:$A,0)),""))</f>
        <v/>
      </c>
      <c r="H2157" s="32">
        <f>IF(B2157="","",IFERROR(INDEX(Client_List!$J:$J,MATCH(VALUE(B2157),Client_List!$A:$A,0)),""))</f>
        <v/>
      </c>
      <c r="I2157" s="70">
        <f>IF(B2157="","",IFERROR(A2157-LOOKUP(2,1/($B$4:$B2156=B2157),$A$4:$A2156),""))</f>
        <v/>
      </c>
      <c r="J2157" s="32">
        <f>IF(B2157="","",IFERROR(D2157/I2157,""))</f>
        <v/>
      </c>
      <c r="K2157" s="71">
        <f>IF(B2157="","",IFERROR(AVERAGEIFS($J$4:$J2157,$B$4:$B2157,B2157,$J$4:$J2157,"&gt;"&amp;0),""))</f>
        <v/>
      </c>
      <c r="L2157" s="11" t="n"/>
    </row>
    <row r="2158" ht="14" customHeight="1" s="72">
      <c r="A2158" s="80" t="n"/>
      <c r="B2158" s="81" t="n"/>
      <c r="C2158" s="69">
        <f>IF(B2158="","",IFERROR(INDEX(Client_List!$B:$B,MATCH(B2158,Client_List!$A:$A,0)),"⚠ NOT FOUND"))</f>
        <v/>
      </c>
      <c r="D2158" s="45" t="n"/>
      <c r="E2158" s="32">
        <f>IF(B2158="","",IFERROR(INDEX(Client_List!$C:$C,MATCH(VALUE(B2158),Client_List!$A:$A,0)),""))</f>
        <v/>
      </c>
      <c r="F2158" s="53">
        <f>IF(B2158="","",IFERROR(INDEX(Client_List!$D:$D,MATCH(VALUE(B2158),Client_List!$A:$A,0)),""))</f>
        <v/>
      </c>
      <c r="G2158" s="53">
        <f>IF(B2158="","",IFERROR(INDEX(Client_List!$K:$K,MATCH(VALUE(B2158),Client_List!$A:$A,0)),""))</f>
        <v/>
      </c>
      <c r="H2158" s="32">
        <f>IF(B2158="","",IFERROR(INDEX(Client_List!$J:$J,MATCH(VALUE(B2158),Client_List!$A:$A,0)),""))</f>
        <v/>
      </c>
      <c r="I2158" s="70">
        <f>IF(B2158="","",IFERROR(A2158-LOOKUP(2,1/($B$4:$B2157=B2158),$A$4:$A2157),""))</f>
        <v/>
      </c>
      <c r="J2158" s="32">
        <f>IF(B2158="","",IFERROR(D2158/I2158,""))</f>
        <v/>
      </c>
      <c r="K2158" s="71">
        <f>IF(B2158="","",IFERROR(AVERAGEIFS($J$4:$J2158,$B$4:$B2158,B2158,$J$4:$J2158,"&gt;"&amp;0),""))</f>
        <v/>
      </c>
      <c r="L2158" s="12" t="n"/>
    </row>
    <row r="2159" ht="14" customHeight="1" s="72">
      <c r="A2159" s="78" t="n"/>
      <c r="B2159" s="79" t="n"/>
      <c r="C2159" s="69">
        <f>IF(B2159="","",IFERROR(INDEX(Client_List!$B:$B,MATCH(B2159,Client_List!$A:$A,0)),"⚠ NOT FOUND"))</f>
        <v/>
      </c>
      <c r="D2159" s="44" t="n"/>
      <c r="E2159" s="32">
        <f>IF(B2159="","",IFERROR(INDEX(Client_List!$C:$C,MATCH(VALUE(B2159),Client_List!$A:$A,0)),""))</f>
        <v/>
      </c>
      <c r="F2159" s="53">
        <f>IF(B2159="","",IFERROR(INDEX(Client_List!$D:$D,MATCH(VALUE(B2159),Client_List!$A:$A,0)),""))</f>
        <v/>
      </c>
      <c r="G2159" s="53">
        <f>IF(B2159="","",IFERROR(INDEX(Client_List!$K:$K,MATCH(VALUE(B2159),Client_List!$A:$A,0)),""))</f>
        <v/>
      </c>
      <c r="H2159" s="32">
        <f>IF(B2159="","",IFERROR(INDEX(Client_List!$J:$J,MATCH(VALUE(B2159),Client_List!$A:$A,0)),""))</f>
        <v/>
      </c>
      <c r="I2159" s="70">
        <f>IF(B2159="","",IFERROR(A2159-LOOKUP(2,1/($B$4:$B2158=B2159),$A$4:$A2158),""))</f>
        <v/>
      </c>
      <c r="J2159" s="32">
        <f>IF(B2159="","",IFERROR(D2159/I2159,""))</f>
        <v/>
      </c>
      <c r="K2159" s="71">
        <f>IF(B2159="","",IFERROR(AVERAGEIFS($J$4:$J2159,$B$4:$B2159,B2159,$J$4:$J2159,"&gt;"&amp;0),""))</f>
        <v/>
      </c>
      <c r="L2159" s="11" t="n"/>
    </row>
    <row r="2160" ht="14" customHeight="1" s="72">
      <c r="A2160" s="80" t="n"/>
      <c r="B2160" s="81" t="n"/>
      <c r="C2160" s="69">
        <f>IF(B2160="","",IFERROR(INDEX(Client_List!$B:$B,MATCH(B2160,Client_List!$A:$A,0)),"⚠ NOT FOUND"))</f>
        <v/>
      </c>
      <c r="D2160" s="45" t="n"/>
      <c r="E2160" s="32">
        <f>IF(B2160="","",IFERROR(INDEX(Client_List!$C:$C,MATCH(VALUE(B2160),Client_List!$A:$A,0)),""))</f>
        <v/>
      </c>
      <c r="F2160" s="53">
        <f>IF(B2160="","",IFERROR(INDEX(Client_List!$D:$D,MATCH(VALUE(B2160),Client_List!$A:$A,0)),""))</f>
        <v/>
      </c>
      <c r="G2160" s="53">
        <f>IF(B2160="","",IFERROR(INDEX(Client_List!$K:$K,MATCH(VALUE(B2160),Client_List!$A:$A,0)),""))</f>
        <v/>
      </c>
      <c r="H2160" s="32">
        <f>IF(B2160="","",IFERROR(INDEX(Client_List!$J:$J,MATCH(VALUE(B2160),Client_List!$A:$A,0)),""))</f>
        <v/>
      </c>
      <c r="I2160" s="70">
        <f>IF(B2160="","",IFERROR(A2160-LOOKUP(2,1/($B$4:$B2159=B2160),$A$4:$A2159),""))</f>
        <v/>
      </c>
      <c r="J2160" s="32">
        <f>IF(B2160="","",IFERROR(D2160/I2160,""))</f>
        <v/>
      </c>
      <c r="K2160" s="71">
        <f>IF(B2160="","",IFERROR(AVERAGEIFS($J$4:$J2160,$B$4:$B2160,B2160,$J$4:$J2160,"&gt;"&amp;0),""))</f>
        <v/>
      </c>
      <c r="L2160" s="12" t="n"/>
    </row>
    <row r="2161" ht="14" customHeight="1" s="72">
      <c r="A2161" s="78" t="n"/>
      <c r="B2161" s="79" t="n"/>
      <c r="C2161" s="69">
        <f>IF(B2161="","",IFERROR(INDEX(Client_List!$B:$B,MATCH(B2161,Client_List!$A:$A,0)),"⚠ NOT FOUND"))</f>
        <v/>
      </c>
      <c r="D2161" s="44" t="n"/>
      <c r="E2161" s="32">
        <f>IF(B2161="","",IFERROR(INDEX(Client_List!$C:$C,MATCH(VALUE(B2161),Client_List!$A:$A,0)),""))</f>
        <v/>
      </c>
      <c r="F2161" s="53">
        <f>IF(B2161="","",IFERROR(INDEX(Client_List!$D:$D,MATCH(VALUE(B2161),Client_List!$A:$A,0)),""))</f>
        <v/>
      </c>
      <c r="G2161" s="53">
        <f>IF(B2161="","",IFERROR(INDEX(Client_List!$K:$K,MATCH(VALUE(B2161),Client_List!$A:$A,0)),""))</f>
        <v/>
      </c>
      <c r="H2161" s="32">
        <f>IF(B2161="","",IFERROR(INDEX(Client_List!$J:$J,MATCH(VALUE(B2161),Client_List!$A:$A,0)),""))</f>
        <v/>
      </c>
      <c r="I2161" s="70">
        <f>IF(B2161="","",IFERROR(A2161-LOOKUP(2,1/($B$4:$B2160=B2161),$A$4:$A2160),""))</f>
        <v/>
      </c>
      <c r="J2161" s="32">
        <f>IF(B2161="","",IFERROR(D2161/I2161,""))</f>
        <v/>
      </c>
      <c r="K2161" s="71">
        <f>IF(B2161="","",IFERROR(AVERAGEIFS($J$4:$J2161,$B$4:$B2161,B2161,$J$4:$J2161,"&gt;"&amp;0),""))</f>
        <v/>
      </c>
      <c r="L2161" s="11" t="n"/>
    </row>
    <row r="2162" ht="14" customHeight="1" s="72">
      <c r="A2162" s="80" t="n"/>
      <c r="B2162" s="81" t="n"/>
      <c r="C2162" s="69">
        <f>IF(B2162="","",IFERROR(INDEX(Client_List!$B:$B,MATCH(B2162,Client_List!$A:$A,0)),"⚠ NOT FOUND"))</f>
        <v/>
      </c>
      <c r="D2162" s="45" t="n"/>
      <c r="E2162" s="32">
        <f>IF(B2162="","",IFERROR(INDEX(Client_List!$C:$C,MATCH(VALUE(B2162),Client_List!$A:$A,0)),""))</f>
        <v/>
      </c>
      <c r="F2162" s="53">
        <f>IF(B2162="","",IFERROR(INDEX(Client_List!$D:$D,MATCH(VALUE(B2162),Client_List!$A:$A,0)),""))</f>
        <v/>
      </c>
      <c r="G2162" s="53">
        <f>IF(B2162="","",IFERROR(INDEX(Client_List!$K:$K,MATCH(VALUE(B2162),Client_List!$A:$A,0)),""))</f>
        <v/>
      </c>
      <c r="H2162" s="32">
        <f>IF(B2162="","",IFERROR(INDEX(Client_List!$J:$J,MATCH(VALUE(B2162),Client_List!$A:$A,0)),""))</f>
        <v/>
      </c>
      <c r="I2162" s="70">
        <f>IF(B2162="","",IFERROR(A2162-LOOKUP(2,1/($B$4:$B2161=B2162),$A$4:$A2161),""))</f>
        <v/>
      </c>
      <c r="J2162" s="32">
        <f>IF(B2162="","",IFERROR(D2162/I2162,""))</f>
        <v/>
      </c>
      <c r="K2162" s="71">
        <f>IF(B2162="","",IFERROR(AVERAGEIFS($J$4:$J2162,$B$4:$B2162,B2162,$J$4:$J2162,"&gt;"&amp;0),""))</f>
        <v/>
      </c>
      <c r="L2162" s="12" t="n"/>
    </row>
    <row r="2163" ht="14" customHeight="1" s="72">
      <c r="A2163" s="78" t="n"/>
      <c r="B2163" s="79" t="n"/>
      <c r="C2163" s="69">
        <f>IF(B2163="","",IFERROR(INDEX(Client_List!$B:$B,MATCH(B2163,Client_List!$A:$A,0)),"⚠ NOT FOUND"))</f>
        <v/>
      </c>
      <c r="D2163" s="44" t="n"/>
      <c r="E2163" s="32">
        <f>IF(B2163="","",IFERROR(INDEX(Client_List!$C:$C,MATCH(VALUE(B2163),Client_List!$A:$A,0)),""))</f>
        <v/>
      </c>
      <c r="F2163" s="53">
        <f>IF(B2163="","",IFERROR(INDEX(Client_List!$D:$D,MATCH(VALUE(B2163),Client_List!$A:$A,0)),""))</f>
        <v/>
      </c>
      <c r="G2163" s="53">
        <f>IF(B2163="","",IFERROR(INDEX(Client_List!$K:$K,MATCH(VALUE(B2163),Client_List!$A:$A,0)),""))</f>
        <v/>
      </c>
      <c r="H2163" s="32">
        <f>IF(B2163="","",IFERROR(INDEX(Client_List!$J:$J,MATCH(VALUE(B2163),Client_List!$A:$A,0)),""))</f>
        <v/>
      </c>
      <c r="I2163" s="70">
        <f>IF(B2163="","",IFERROR(A2163-LOOKUP(2,1/($B$4:$B2162=B2163),$A$4:$A2162),""))</f>
        <v/>
      </c>
      <c r="J2163" s="32">
        <f>IF(B2163="","",IFERROR(D2163/I2163,""))</f>
        <v/>
      </c>
      <c r="K2163" s="71">
        <f>IF(B2163="","",IFERROR(AVERAGEIFS($J$4:$J2163,$B$4:$B2163,B2163,$J$4:$J2163,"&gt;"&amp;0),""))</f>
        <v/>
      </c>
      <c r="L2163" s="11" t="n"/>
    </row>
    <row r="2164" ht="14" customHeight="1" s="72">
      <c r="A2164" s="80" t="n"/>
      <c r="B2164" s="81" t="n"/>
      <c r="C2164" s="69">
        <f>IF(B2164="","",IFERROR(INDEX(Client_List!$B:$B,MATCH(B2164,Client_List!$A:$A,0)),"⚠ NOT FOUND"))</f>
        <v/>
      </c>
      <c r="D2164" s="45" t="n"/>
      <c r="E2164" s="32">
        <f>IF(B2164="","",IFERROR(INDEX(Client_List!$C:$C,MATCH(VALUE(B2164),Client_List!$A:$A,0)),""))</f>
        <v/>
      </c>
      <c r="F2164" s="53">
        <f>IF(B2164="","",IFERROR(INDEX(Client_List!$D:$D,MATCH(VALUE(B2164),Client_List!$A:$A,0)),""))</f>
        <v/>
      </c>
      <c r="G2164" s="53">
        <f>IF(B2164="","",IFERROR(INDEX(Client_List!$K:$K,MATCH(VALUE(B2164),Client_List!$A:$A,0)),""))</f>
        <v/>
      </c>
      <c r="H2164" s="32">
        <f>IF(B2164="","",IFERROR(INDEX(Client_List!$J:$J,MATCH(VALUE(B2164),Client_List!$A:$A,0)),""))</f>
        <v/>
      </c>
      <c r="I2164" s="70">
        <f>IF(B2164="","",IFERROR(A2164-LOOKUP(2,1/($B$4:$B2163=B2164),$A$4:$A2163),""))</f>
        <v/>
      </c>
      <c r="J2164" s="32">
        <f>IF(B2164="","",IFERROR(D2164/I2164,""))</f>
        <v/>
      </c>
      <c r="K2164" s="71">
        <f>IF(B2164="","",IFERROR(AVERAGEIFS($J$4:$J2164,$B$4:$B2164,B2164,$J$4:$J2164,"&gt;"&amp;0),""))</f>
        <v/>
      </c>
      <c r="L2164" s="12" t="n"/>
    </row>
    <row r="2165" ht="14" customHeight="1" s="72">
      <c r="A2165" s="78" t="n"/>
      <c r="B2165" s="79" t="n"/>
      <c r="C2165" s="69">
        <f>IF(B2165="","",IFERROR(INDEX(Client_List!$B:$B,MATCH(B2165,Client_List!$A:$A,0)),"⚠ NOT FOUND"))</f>
        <v/>
      </c>
      <c r="D2165" s="44" t="n"/>
      <c r="E2165" s="32">
        <f>IF(B2165="","",IFERROR(INDEX(Client_List!$C:$C,MATCH(VALUE(B2165),Client_List!$A:$A,0)),""))</f>
        <v/>
      </c>
      <c r="F2165" s="53">
        <f>IF(B2165="","",IFERROR(INDEX(Client_List!$D:$D,MATCH(VALUE(B2165),Client_List!$A:$A,0)),""))</f>
        <v/>
      </c>
      <c r="G2165" s="53">
        <f>IF(B2165="","",IFERROR(INDEX(Client_List!$K:$K,MATCH(VALUE(B2165),Client_List!$A:$A,0)),""))</f>
        <v/>
      </c>
      <c r="H2165" s="32">
        <f>IF(B2165="","",IFERROR(INDEX(Client_List!$J:$J,MATCH(VALUE(B2165),Client_List!$A:$A,0)),""))</f>
        <v/>
      </c>
      <c r="I2165" s="70">
        <f>IF(B2165="","",IFERROR(A2165-LOOKUP(2,1/($B$4:$B2164=B2165),$A$4:$A2164),""))</f>
        <v/>
      </c>
      <c r="J2165" s="32">
        <f>IF(B2165="","",IFERROR(D2165/I2165,""))</f>
        <v/>
      </c>
      <c r="K2165" s="71">
        <f>IF(B2165="","",IFERROR(AVERAGEIFS($J$4:$J2165,$B$4:$B2165,B2165,$J$4:$J2165,"&gt;"&amp;0),""))</f>
        <v/>
      </c>
      <c r="L2165" s="11" t="n"/>
    </row>
    <row r="2166" ht="14" customHeight="1" s="72">
      <c r="A2166" s="80" t="n"/>
      <c r="B2166" s="81" t="n"/>
      <c r="C2166" s="69">
        <f>IF(B2166="","",IFERROR(INDEX(Client_List!$B:$B,MATCH(B2166,Client_List!$A:$A,0)),"⚠ NOT FOUND"))</f>
        <v/>
      </c>
      <c r="D2166" s="45" t="n"/>
      <c r="E2166" s="32">
        <f>IF(B2166="","",IFERROR(INDEX(Client_List!$C:$C,MATCH(VALUE(B2166),Client_List!$A:$A,0)),""))</f>
        <v/>
      </c>
      <c r="F2166" s="53">
        <f>IF(B2166="","",IFERROR(INDEX(Client_List!$D:$D,MATCH(VALUE(B2166),Client_List!$A:$A,0)),""))</f>
        <v/>
      </c>
      <c r="G2166" s="53">
        <f>IF(B2166="","",IFERROR(INDEX(Client_List!$K:$K,MATCH(VALUE(B2166),Client_List!$A:$A,0)),""))</f>
        <v/>
      </c>
      <c r="H2166" s="32">
        <f>IF(B2166="","",IFERROR(INDEX(Client_List!$J:$J,MATCH(VALUE(B2166),Client_List!$A:$A,0)),""))</f>
        <v/>
      </c>
      <c r="I2166" s="70">
        <f>IF(B2166="","",IFERROR(A2166-LOOKUP(2,1/($B$4:$B2165=B2166),$A$4:$A2165),""))</f>
        <v/>
      </c>
      <c r="J2166" s="32">
        <f>IF(B2166="","",IFERROR(D2166/I2166,""))</f>
        <v/>
      </c>
      <c r="K2166" s="71">
        <f>IF(B2166="","",IFERROR(AVERAGEIFS($J$4:$J2166,$B$4:$B2166,B2166,$J$4:$J2166,"&gt;"&amp;0),""))</f>
        <v/>
      </c>
      <c r="L2166" s="12" t="n"/>
    </row>
    <row r="2167" ht="14" customHeight="1" s="72">
      <c r="A2167" s="78" t="n"/>
      <c r="B2167" s="79" t="n"/>
      <c r="C2167" s="69">
        <f>IF(B2167="","",IFERROR(INDEX(Client_List!$B:$B,MATCH(B2167,Client_List!$A:$A,0)),"⚠ NOT FOUND"))</f>
        <v/>
      </c>
      <c r="D2167" s="44" t="n"/>
      <c r="E2167" s="32">
        <f>IF(B2167="","",IFERROR(INDEX(Client_List!$C:$C,MATCH(VALUE(B2167),Client_List!$A:$A,0)),""))</f>
        <v/>
      </c>
      <c r="F2167" s="53">
        <f>IF(B2167="","",IFERROR(INDEX(Client_List!$D:$D,MATCH(VALUE(B2167),Client_List!$A:$A,0)),""))</f>
        <v/>
      </c>
      <c r="G2167" s="53">
        <f>IF(B2167="","",IFERROR(INDEX(Client_List!$K:$K,MATCH(VALUE(B2167),Client_List!$A:$A,0)),""))</f>
        <v/>
      </c>
      <c r="H2167" s="32">
        <f>IF(B2167="","",IFERROR(INDEX(Client_List!$J:$J,MATCH(VALUE(B2167),Client_List!$A:$A,0)),""))</f>
        <v/>
      </c>
      <c r="I2167" s="70">
        <f>IF(B2167="","",IFERROR(A2167-LOOKUP(2,1/($B$4:$B2166=B2167),$A$4:$A2166),""))</f>
        <v/>
      </c>
      <c r="J2167" s="32">
        <f>IF(B2167="","",IFERROR(D2167/I2167,""))</f>
        <v/>
      </c>
      <c r="K2167" s="71">
        <f>IF(B2167="","",IFERROR(AVERAGEIFS($J$4:$J2167,$B$4:$B2167,B2167,$J$4:$J2167,"&gt;"&amp;0),""))</f>
        <v/>
      </c>
      <c r="L2167" s="11" t="n"/>
    </row>
    <row r="2168" ht="14" customHeight="1" s="72">
      <c r="A2168" s="80" t="n"/>
      <c r="B2168" s="81" t="n"/>
      <c r="C2168" s="69">
        <f>IF(B2168="","",IFERROR(INDEX(Client_List!$B:$B,MATCH(B2168,Client_List!$A:$A,0)),"⚠ NOT FOUND"))</f>
        <v/>
      </c>
      <c r="D2168" s="45" t="n"/>
      <c r="E2168" s="32">
        <f>IF(B2168="","",IFERROR(INDEX(Client_List!$C:$C,MATCH(VALUE(B2168),Client_List!$A:$A,0)),""))</f>
        <v/>
      </c>
      <c r="F2168" s="53">
        <f>IF(B2168="","",IFERROR(INDEX(Client_List!$D:$D,MATCH(VALUE(B2168),Client_List!$A:$A,0)),""))</f>
        <v/>
      </c>
      <c r="G2168" s="53">
        <f>IF(B2168="","",IFERROR(INDEX(Client_List!$K:$K,MATCH(VALUE(B2168),Client_List!$A:$A,0)),""))</f>
        <v/>
      </c>
      <c r="H2168" s="32">
        <f>IF(B2168="","",IFERROR(INDEX(Client_List!$J:$J,MATCH(VALUE(B2168),Client_List!$A:$A,0)),""))</f>
        <v/>
      </c>
      <c r="I2168" s="70">
        <f>IF(B2168="","",IFERROR(A2168-LOOKUP(2,1/($B$4:$B2167=B2168),$A$4:$A2167),""))</f>
        <v/>
      </c>
      <c r="J2168" s="32">
        <f>IF(B2168="","",IFERROR(D2168/I2168,""))</f>
        <v/>
      </c>
      <c r="K2168" s="71">
        <f>IF(B2168="","",IFERROR(AVERAGEIFS($J$4:$J2168,$B$4:$B2168,B2168,$J$4:$J2168,"&gt;"&amp;0),""))</f>
        <v/>
      </c>
      <c r="L2168" s="12" t="n"/>
    </row>
    <row r="2169" ht="14" customHeight="1" s="72">
      <c r="A2169" s="78" t="n"/>
      <c r="B2169" s="79" t="n"/>
      <c r="C2169" s="69">
        <f>IF(B2169="","",IFERROR(INDEX(Client_List!$B:$B,MATCH(B2169,Client_List!$A:$A,0)),"⚠ NOT FOUND"))</f>
        <v/>
      </c>
      <c r="D2169" s="44" t="n"/>
      <c r="E2169" s="32">
        <f>IF(B2169="","",IFERROR(INDEX(Client_List!$C:$C,MATCH(VALUE(B2169),Client_List!$A:$A,0)),""))</f>
        <v/>
      </c>
      <c r="F2169" s="53">
        <f>IF(B2169="","",IFERROR(INDEX(Client_List!$D:$D,MATCH(VALUE(B2169),Client_List!$A:$A,0)),""))</f>
        <v/>
      </c>
      <c r="G2169" s="53">
        <f>IF(B2169="","",IFERROR(INDEX(Client_List!$K:$K,MATCH(VALUE(B2169),Client_List!$A:$A,0)),""))</f>
        <v/>
      </c>
      <c r="H2169" s="32">
        <f>IF(B2169="","",IFERROR(INDEX(Client_List!$J:$J,MATCH(VALUE(B2169),Client_List!$A:$A,0)),""))</f>
        <v/>
      </c>
      <c r="I2169" s="70">
        <f>IF(B2169="","",IFERROR(A2169-LOOKUP(2,1/($B$4:$B2168=B2169),$A$4:$A2168),""))</f>
        <v/>
      </c>
      <c r="J2169" s="32">
        <f>IF(B2169="","",IFERROR(D2169/I2169,""))</f>
        <v/>
      </c>
      <c r="K2169" s="71">
        <f>IF(B2169="","",IFERROR(AVERAGEIFS($J$4:$J2169,$B$4:$B2169,B2169,$J$4:$J2169,"&gt;"&amp;0),""))</f>
        <v/>
      </c>
      <c r="L2169" s="11" t="n"/>
    </row>
    <row r="2170" ht="14" customHeight="1" s="72">
      <c r="A2170" s="80" t="n"/>
      <c r="B2170" s="81" t="n"/>
      <c r="C2170" s="69">
        <f>IF(B2170="","",IFERROR(INDEX(Client_List!$B:$B,MATCH(B2170,Client_List!$A:$A,0)),"⚠ NOT FOUND"))</f>
        <v/>
      </c>
      <c r="D2170" s="45" t="n"/>
      <c r="E2170" s="32">
        <f>IF(B2170="","",IFERROR(INDEX(Client_List!$C:$C,MATCH(VALUE(B2170),Client_List!$A:$A,0)),""))</f>
        <v/>
      </c>
      <c r="F2170" s="53">
        <f>IF(B2170="","",IFERROR(INDEX(Client_List!$D:$D,MATCH(VALUE(B2170),Client_List!$A:$A,0)),""))</f>
        <v/>
      </c>
      <c r="G2170" s="53">
        <f>IF(B2170="","",IFERROR(INDEX(Client_List!$K:$K,MATCH(VALUE(B2170),Client_List!$A:$A,0)),""))</f>
        <v/>
      </c>
      <c r="H2170" s="32">
        <f>IF(B2170="","",IFERROR(INDEX(Client_List!$J:$J,MATCH(VALUE(B2170),Client_List!$A:$A,0)),""))</f>
        <v/>
      </c>
      <c r="I2170" s="70">
        <f>IF(B2170="","",IFERROR(A2170-LOOKUP(2,1/($B$4:$B2169=B2170),$A$4:$A2169),""))</f>
        <v/>
      </c>
      <c r="J2170" s="32">
        <f>IF(B2170="","",IFERROR(D2170/I2170,""))</f>
        <v/>
      </c>
      <c r="K2170" s="71">
        <f>IF(B2170="","",IFERROR(AVERAGEIFS($J$4:$J2170,$B$4:$B2170,B2170,$J$4:$J2170,"&gt;"&amp;0),""))</f>
        <v/>
      </c>
      <c r="L2170" s="12" t="n"/>
    </row>
    <row r="2171" ht="14" customHeight="1" s="72">
      <c r="A2171" s="78" t="n"/>
      <c r="B2171" s="79" t="n"/>
      <c r="C2171" s="69">
        <f>IF(B2171="","",IFERROR(INDEX(Client_List!$B:$B,MATCH(B2171,Client_List!$A:$A,0)),"⚠ NOT FOUND"))</f>
        <v/>
      </c>
      <c r="D2171" s="44" t="n"/>
      <c r="E2171" s="32">
        <f>IF(B2171="","",IFERROR(INDEX(Client_List!$C:$C,MATCH(VALUE(B2171),Client_List!$A:$A,0)),""))</f>
        <v/>
      </c>
      <c r="F2171" s="53">
        <f>IF(B2171="","",IFERROR(INDEX(Client_List!$D:$D,MATCH(VALUE(B2171),Client_List!$A:$A,0)),""))</f>
        <v/>
      </c>
      <c r="G2171" s="53">
        <f>IF(B2171="","",IFERROR(INDEX(Client_List!$K:$K,MATCH(VALUE(B2171),Client_List!$A:$A,0)),""))</f>
        <v/>
      </c>
      <c r="H2171" s="32">
        <f>IF(B2171="","",IFERROR(INDEX(Client_List!$J:$J,MATCH(VALUE(B2171),Client_List!$A:$A,0)),""))</f>
        <v/>
      </c>
      <c r="I2171" s="70">
        <f>IF(B2171="","",IFERROR(A2171-LOOKUP(2,1/($B$4:$B2170=B2171),$A$4:$A2170),""))</f>
        <v/>
      </c>
      <c r="J2171" s="32">
        <f>IF(B2171="","",IFERROR(D2171/I2171,""))</f>
        <v/>
      </c>
      <c r="K2171" s="71">
        <f>IF(B2171="","",IFERROR(AVERAGEIFS($J$4:$J2171,$B$4:$B2171,B2171,$J$4:$J2171,"&gt;"&amp;0),""))</f>
        <v/>
      </c>
      <c r="L2171" s="11" t="n"/>
    </row>
    <row r="2172" ht="14" customHeight="1" s="72">
      <c r="A2172" s="80" t="n"/>
      <c r="B2172" s="81" t="n"/>
      <c r="C2172" s="69">
        <f>IF(B2172="","",IFERROR(INDEX(Client_List!$B:$B,MATCH(B2172,Client_List!$A:$A,0)),"⚠ NOT FOUND"))</f>
        <v/>
      </c>
      <c r="D2172" s="45" t="n"/>
      <c r="E2172" s="32">
        <f>IF(B2172="","",IFERROR(INDEX(Client_List!$C:$C,MATCH(VALUE(B2172),Client_List!$A:$A,0)),""))</f>
        <v/>
      </c>
      <c r="F2172" s="53">
        <f>IF(B2172="","",IFERROR(INDEX(Client_List!$D:$D,MATCH(VALUE(B2172),Client_List!$A:$A,0)),""))</f>
        <v/>
      </c>
      <c r="G2172" s="53">
        <f>IF(B2172="","",IFERROR(INDEX(Client_List!$K:$K,MATCH(VALUE(B2172),Client_List!$A:$A,0)),""))</f>
        <v/>
      </c>
      <c r="H2172" s="32">
        <f>IF(B2172="","",IFERROR(INDEX(Client_List!$J:$J,MATCH(VALUE(B2172),Client_List!$A:$A,0)),""))</f>
        <v/>
      </c>
      <c r="I2172" s="70">
        <f>IF(B2172="","",IFERROR(A2172-LOOKUP(2,1/($B$4:$B2171=B2172),$A$4:$A2171),""))</f>
        <v/>
      </c>
      <c r="J2172" s="32">
        <f>IF(B2172="","",IFERROR(D2172/I2172,""))</f>
        <v/>
      </c>
      <c r="K2172" s="71">
        <f>IF(B2172="","",IFERROR(AVERAGEIFS($J$4:$J2172,$B$4:$B2172,B2172,$J$4:$J2172,"&gt;"&amp;0),""))</f>
        <v/>
      </c>
      <c r="L2172" s="12" t="n"/>
    </row>
    <row r="2173" ht="14" customHeight="1" s="72">
      <c r="A2173" s="78" t="n"/>
      <c r="B2173" s="79" t="n"/>
      <c r="C2173" s="69">
        <f>IF(B2173="","",IFERROR(INDEX(Client_List!$B:$B,MATCH(B2173,Client_List!$A:$A,0)),"⚠ NOT FOUND"))</f>
        <v/>
      </c>
      <c r="D2173" s="44" t="n"/>
      <c r="E2173" s="32">
        <f>IF(B2173="","",IFERROR(INDEX(Client_List!$C:$C,MATCH(VALUE(B2173),Client_List!$A:$A,0)),""))</f>
        <v/>
      </c>
      <c r="F2173" s="53">
        <f>IF(B2173="","",IFERROR(INDEX(Client_List!$D:$D,MATCH(VALUE(B2173),Client_List!$A:$A,0)),""))</f>
        <v/>
      </c>
      <c r="G2173" s="53">
        <f>IF(B2173="","",IFERROR(INDEX(Client_List!$K:$K,MATCH(VALUE(B2173),Client_List!$A:$A,0)),""))</f>
        <v/>
      </c>
      <c r="H2173" s="32">
        <f>IF(B2173="","",IFERROR(INDEX(Client_List!$J:$J,MATCH(VALUE(B2173),Client_List!$A:$A,0)),""))</f>
        <v/>
      </c>
      <c r="I2173" s="70">
        <f>IF(B2173="","",IFERROR(A2173-LOOKUP(2,1/($B$4:$B2172=B2173),$A$4:$A2172),""))</f>
        <v/>
      </c>
      <c r="J2173" s="32">
        <f>IF(B2173="","",IFERROR(D2173/I2173,""))</f>
        <v/>
      </c>
      <c r="K2173" s="71">
        <f>IF(B2173="","",IFERROR(AVERAGEIFS($J$4:$J2173,$B$4:$B2173,B2173,$J$4:$J2173,"&gt;"&amp;0),""))</f>
        <v/>
      </c>
      <c r="L2173" s="11" t="n"/>
    </row>
    <row r="2174" ht="14" customHeight="1" s="72">
      <c r="A2174" s="80" t="n"/>
      <c r="B2174" s="81" t="n"/>
      <c r="C2174" s="69">
        <f>IF(B2174="","",IFERROR(INDEX(Client_List!$B:$B,MATCH(B2174,Client_List!$A:$A,0)),"⚠ NOT FOUND"))</f>
        <v/>
      </c>
      <c r="D2174" s="45" t="n"/>
      <c r="E2174" s="32">
        <f>IF(B2174="","",IFERROR(INDEX(Client_List!$C:$C,MATCH(VALUE(B2174),Client_List!$A:$A,0)),""))</f>
        <v/>
      </c>
      <c r="F2174" s="53">
        <f>IF(B2174="","",IFERROR(INDEX(Client_List!$D:$D,MATCH(VALUE(B2174),Client_List!$A:$A,0)),""))</f>
        <v/>
      </c>
      <c r="G2174" s="53">
        <f>IF(B2174="","",IFERROR(INDEX(Client_List!$K:$K,MATCH(VALUE(B2174),Client_List!$A:$A,0)),""))</f>
        <v/>
      </c>
      <c r="H2174" s="32">
        <f>IF(B2174="","",IFERROR(INDEX(Client_List!$J:$J,MATCH(VALUE(B2174),Client_List!$A:$A,0)),""))</f>
        <v/>
      </c>
      <c r="I2174" s="70">
        <f>IF(B2174="","",IFERROR(A2174-LOOKUP(2,1/($B$4:$B2173=B2174),$A$4:$A2173),""))</f>
        <v/>
      </c>
      <c r="J2174" s="32">
        <f>IF(B2174="","",IFERROR(D2174/I2174,""))</f>
        <v/>
      </c>
      <c r="K2174" s="71">
        <f>IF(B2174="","",IFERROR(AVERAGEIFS($J$4:$J2174,$B$4:$B2174,B2174,$J$4:$J2174,"&gt;"&amp;0),""))</f>
        <v/>
      </c>
      <c r="L2174" s="12" t="n"/>
    </row>
    <row r="2175" ht="14" customHeight="1" s="72">
      <c r="A2175" s="78" t="n"/>
      <c r="B2175" s="79" t="n"/>
      <c r="C2175" s="69">
        <f>IF(B2175="","",IFERROR(INDEX(Client_List!$B:$B,MATCH(B2175,Client_List!$A:$A,0)),"⚠ NOT FOUND"))</f>
        <v/>
      </c>
      <c r="D2175" s="44" t="n"/>
      <c r="E2175" s="32">
        <f>IF(B2175="","",IFERROR(INDEX(Client_List!$C:$C,MATCH(VALUE(B2175),Client_List!$A:$A,0)),""))</f>
        <v/>
      </c>
      <c r="F2175" s="53">
        <f>IF(B2175="","",IFERROR(INDEX(Client_List!$D:$D,MATCH(VALUE(B2175),Client_List!$A:$A,0)),""))</f>
        <v/>
      </c>
      <c r="G2175" s="53">
        <f>IF(B2175="","",IFERROR(INDEX(Client_List!$K:$K,MATCH(VALUE(B2175),Client_List!$A:$A,0)),""))</f>
        <v/>
      </c>
      <c r="H2175" s="32">
        <f>IF(B2175="","",IFERROR(INDEX(Client_List!$J:$J,MATCH(VALUE(B2175),Client_List!$A:$A,0)),""))</f>
        <v/>
      </c>
      <c r="I2175" s="70">
        <f>IF(B2175="","",IFERROR(A2175-LOOKUP(2,1/($B$4:$B2174=B2175),$A$4:$A2174),""))</f>
        <v/>
      </c>
      <c r="J2175" s="32">
        <f>IF(B2175="","",IFERROR(D2175/I2175,""))</f>
        <v/>
      </c>
      <c r="K2175" s="71">
        <f>IF(B2175="","",IFERROR(AVERAGEIFS($J$4:$J2175,$B$4:$B2175,B2175,$J$4:$J2175,"&gt;"&amp;0),""))</f>
        <v/>
      </c>
      <c r="L2175" s="11" t="n"/>
    </row>
    <row r="2176" ht="14" customHeight="1" s="72">
      <c r="A2176" s="80" t="n"/>
      <c r="B2176" s="81" t="n"/>
      <c r="C2176" s="69">
        <f>IF(B2176="","",IFERROR(INDEX(Client_List!$B:$B,MATCH(B2176,Client_List!$A:$A,0)),"⚠ NOT FOUND"))</f>
        <v/>
      </c>
      <c r="D2176" s="45" t="n"/>
      <c r="E2176" s="32">
        <f>IF(B2176="","",IFERROR(INDEX(Client_List!$C:$C,MATCH(VALUE(B2176),Client_List!$A:$A,0)),""))</f>
        <v/>
      </c>
      <c r="F2176" s="53">
        <f>IF(B2176="","",IFERROR(INDEX(Client_List!$D:$D,MATCH(VALUE(B2176),Client_List!$A:$A,0)),""))</f>
        <v/>
      </c>
      <c r="G2176" s="53">
        <f>IF(B2176="","",IFERROR(INDEX(Client_List!$K:$K,MATCH(VALUE(B2176),Client_List!$A:$A,0)),""))</f>
        <v/>
      </c>
      <c r="H2176" s="32">
        <f>IF(B2176="","",IFERROR(INDEX(Client_List!$J:$J,MATCH(VALUE(B2176),Client_List!$A:$A,0)),""))</f>
        <v/>
      </c>
      <c r="I2176" s="70">
        <f>IF(B2176="","",IFERROR(A2176-LOOKUP(2,1/($B$4:$B2175=B2176),$A$4:$A2175),""))</f>
        <v/>
      </c>
      <c r="J2176" s="32">
        <f>IF(B2176="","",IFERROR(D2176/I2176,""))</f>
        <v/>
      </c>
      <c r="K2176" s="71">
        <f>IF(B2176="","",IFERROR(AVERAGEIFS($J$4:$J2176,$B$4:$B2176,B2176,$J$4:$J2176,"&gt;"&amp;0),""))</f>
        <v/>
      </c>
      <c r="L2176" s="12" t="n"/>
    </row>
    <row r="2177" ht="14" customHeight="1" s="72">
      <c r="A2177" s="78" t="n"/>
      <c r="B2177" s="79" t="n"/>
      <c r="C2177" s="69">
        <f>IF(B2177="","",IFERROR(INDEX(Client_List!$B:$B,MATCH(B2177,Client_List!$A:$A,0)),"⚠ NOT FOUND"))</f>
        <v/>
      </c>
      <c r="D2177" s="44" t="n"/>
      <c r="E2177" s="32">
        <f>IF(B2177="","",IFERROR(INDEX(Client_List!$C:$C,MATCH(VALUE(B2177),Client_List!$A:$A,0)),""))</f>
        <v/>
      </c>
      <c r="F2177" s="53">
        <f>IF(B2177="","",IFERROR(INDEX(Client_List!$D:$D,MATCH(VALUE(B2177),Client_List!$A:$A,0)),""))</f>
        <v/>
      </c>
      <c r="G2177" s="53">
        <f>IF(B2177="","",IFERROR(INDEX(Client_List!$K:$K,MATCH(VALUE(B2177),Client_List!$A:$A,0)),""))</f>
        <v/>
      </c>
      <c r="H2177" s="32">
        <f>IF(B2177="","",IFERROR(INDEX(Client_List!$J:$J,MATCH(VALUE(B2177),Client_List!$A:$A,0)),""))</f>
        <v/>
      </c>
      <c r="I2177" s="70">
        <f>IF(B2177="","",IFERROR(A2177-LOOKUP(2,1/($B$4:$B2176=B2177),$A$4:$A2176),""))</f>
        <v/>
      </c>
      <c r="J2177" s="32">
        <f>IF(B2177="","",IFERROR(D2177/I2177,""))</f>
        <v/>
      </c>
      <c r="K2177" s="71">
        <f>IF(B2177="","",IFERROR(AVERAGEIFS($J$4:$J2177,$B$4:$B2177,B2177,$J$4:$J2177,"&gt;"&amp;0),""))</f>
        <v/>
      </c>
      <c r="L2177" s="11" t="n"/>
    </row>
    <row r="2178" ht="14" customHeight="1" s="72">
      <c r="A2178" s="80" t="n"/>
      <c r="B2178" s="81" t="n"/>
      <c r="C2178" s="69">
        <f>IF(B2178="","",IFERROR(INDEX(Client_List!$B:$B,MATCH(B2178,Client_List!$A:$A,0)),"⚠ NOT FOUND"))</f>
        <v/>
      </c>
      <c r="D2178" s="45" t="n"/>
      <c r="E2178" s="32">
        <f>IF(B2178="","",IFERROR(INDEX(Client_List!$C:$C,MATCH(VALUE(B2178),Client_List!$A:$A,0)),""))</f>
        <v/>
      </c>
      <c r="F2178" s="53">
        <f>IF(B2178="","",IFERROR(INDEX(Client_List!$D:$D,MATCH(VALUE(B2178),Client_List!$A:$A,0)),""))</f>
        <v/>
      </c>
      <c r="G2178" s="53">
        <f>IF(B2178="","",IFERROR(INDEX(Client_List!$K:$K,MATCH(VALUE(B2178),Client_List!$A:$A,0)),""))</f>
        <v/>
      </c>
      <c r="H2178" s="32">
        <f>IF(B2178="","",IFERROR(INDEX(Client_List!$J:$J,MATCH(VALUE(B2178),Client_List!$A:$A,0)),""))</f>
        <v/>
      </c>
      <c r="I2178" s="70">
        <f>IF(B2178="","",IFERROR(A2178-LOOKUP(2,1/($B$4:$B2177=B2178),$A$4:$A2177),""))</f>
        <v/>
      </c>
      <c r="J2178" s="32">
        <f>IF(B2178="","",IFERROR(D2178/I2178,""))</f>
        <v/>
      </c>
      <c r="K2178" s="71">
        <f>IF(B2178="","",IFERROR(AVERAGEIFS($J$4:$J2178,$B$4:$B2178,B2178,$J$4:$J2178,"&gt;"&amp;0),""))</f>
        <v/>
      </c>
      <c r="L2178" s="12" t="n"/>
    </row>
    <row r="2179" ht="14" customHeight="1" s="72">
      <c r="A2179" s="78" t="n"/>
      <c r="B2179" s="79" t="n"/>
      <c r="C2179" s="69">
        <f>IF(B2179="","",IFERROR(INDEX(Client_List!$B:$B,MATCH(B2179,Client_List!$A:$A,0)),"⚠ NOT FOUND"))</f>
        <v/>
      </c>
      <c r="D2179" s="44" t="n"/>
      <c r="E2179" s="32">
        <f>IF(B2179="","",IFERROR(INDEX(Client_List!$C:$C,MATCH(VALUE(B2179),Client_List!$A:$A,0)),""))</f>
        <v/>
      </c>
      <c r="F2179" s="53">
        <f>IF(B2179="","",IFERROR(INDEX(Client_List!$D:$D,MATCH(VALUE(B2179),Client_List!$A:$A,0)),""))</f>
        <v/>
      </c>
      <c r="G2179" s="53">
        <f>IF(B2179="","",IFERROR(INDEX(Client_List!$K:$K,MATCH(VALUE(B2179),Client_List!$A:$A,0)),""))</f>
        <v/>
      </c>
      <c r="H2179" s="32">
        <f>IF(B2179="","",IFERROR(INDEX(Client_List!$J:$J,MATCH(VALUE(B2179),Client_List!$A:$A,0)),""))</f>
        <v/>
      </c>
      <c r="I2179" s="70">
        <f>IF(B2179="","",IFERROR(A2179-LOOKUP(2,1/($B$4:$B2178=B2179),$A$4:$A2178),""))</f>
        <v/>
      </c>
      <c r="J2179" s="32">
        <f>IF(B2179="","",IFERROR(D2179/I2179,""))</f>
        <v/>
      </c>
      <c r="K2179" s="71">
        <f>IF(B2179="","",IFERROR(AVERAGEIFS($J$4:$J2179,$B$4:$B2179,B2179,$J$4:$J2179,"&gt;"&amp;0),""))</f>
        <v/>
      </c>
      <c r="L2179" s="11" t="n"/>
    </row>
    <row r="2180" ht="14" customHeight="1" s="72">
      <c r="A2180" s="80" t="n"/>
      <c r="B2180" s="81" t="n"/>
      <c r="C2180" s="69">
        <f>IF(B2180="","",IFERROR(INDEX(Client_List!$B:$B,MATCH(B2180,Client_List!$A:$A,0)),"⚠ NOT FOUND"))</f>
        <v/>
      </c>
      <c r="D2180" s="45" t="n"/>
      <c r="E2180" s="32">
        <f>IF(B2180="","",IFERROR(INDEX(Client_List!$C:$C,MATCH(VALUE(B2180),Client_List!$A:$A,0)),""))</f>
        <v/>
      </c>
      <c r="F2180" s="53">
        <f>IF(B2180="","",IFERROR(INDEX(Client_List!$D:$D,MATCH(VALUE(B2180),Client_List!$A:$A,0)),""))</f>
        <v/>
      </c>
      <c r="G2180" s="53">
        <f>IF(B2180="","",IFERROR(INDEX(Client_List!$K:$K,MATCH(VALUE(B2180),Client_List!$A:$A,0)),""))</f>
        <v/>
      </c>
      <c r="H2180" s="32">
        <f>IF(B2180="","",IFERROR(INDEX(Client_List!$J:$J,MATCH(VALUE(B2180),Client_List!$A:$A,0)),""))</f>
        <v/>
      </c>
      <c r="I2180" s="70">
        <f>IF(B2180="","",IFERROR(A2180-LOOKUP(2,1/($B$4:$B2179=B2180),$A$4:$A2179),""))</f>
        <v/>
      </c>
      <c r="J2180" s="32">
        <f>IF(B2180="","",IFERROR(D2180/I2180,""))</f>
        <v/>
      </c>
      <c r="K2180" s="71">
        <f>IF(B2180="","",IFERROR(AVERAGEIFS($J$4:$J2180,$B$4:$B2180,B2180,$J$4:$J2180,"&gt;"&amp;0),""))</f>
        <v/>
      </c>
      <c r="L2180" s="12" t="n"/>
    </row>
    <row r="2181" ht="14" customHeight="1" s="72">
      <c r="A2181" s="78" t="n"/>
      <c r="B2181" s="79" t="n"/>
      <c r="C2181" s="69">
        <f>IF(B2181="","",IFERROR(INDEX(Client_List!$B:$B,MATCH(B2181,Client_List!$A:$A,0)),"⚠ NOT FOUND"))</f>
        <v/>
      </c>
      <c r="D2181" s="44" t="n"/>
      <c r="E2181" s="32">
        <f>IF(B2181="","",IFERROR(INDEX(Client_List!$C:$C,MATCH(VALUE(B2181),Client_List!$A:$A,0)),""))</f>
        <v/>
      </c>
      <c r="F2181" s="53">
        <f>IF(B2181="","",IFERROR(INDEX(Client_List!$D:$D,MATCH(VALUE(B2181),Client_List!$A:$A,0)),""))</f>
        <v/>
      </c>
      <c r="G2181" s="53">
        <f>IF(B2181="","",IFERROR(INDEX(Client_List!$K:$K,MATCH(VALUE(B2181),Client_List!$A:$A,0)),""))</f>
        <v/>
      </c>
      <c r="H2181" s="32">
        <f>IF(B2181="","",IFERROR(INDEX(Client_List!$J:$J,MATCH(VALUE(B2181),Client_List!$A:$A,0)),""))</f>
        <v/>
      </c>
      <c r="I2181" s="70">
        <f>IF(B2181="","",IFERROR(A2181-LOOKUP(2,1/($B$4:$B2180=B2181),$A$4:$A2180),""))</f>
        <v/>
      </c>
      <c r="J2181" s="32">
        <f>IF(B2181="","",IFERROR(D2181/I2181,""))</f>
        <v/>
      </c>
      <c r="K2181" s="71">
        <f>IF(B2181="","",IFERROR(AVERAGEIFS($J$4:$J2181,$B$4:$B2181,B2181,$J$4:$J2181,"&gt;"&amp;0),""))</f>
        <v/>
      </c>
      <c r="L2181" s="11" t="n"/>
    </row>
    <row r="2182" ht="14" customHeight="1" s="72">
      <c r="A2182" s="80" t="n"/>
      <c r="B2182" s="81" t="n"/>
      <c r="C2182" s="69">
        <f>IF(B2182="","",IFERROR(INDEX(Client_List!$B:$B,MATCH(B2182,Client_List!$A:$A,0)),"⚠ NOT FOUND"))</f>
        <v/>
      </c>
      <c r="D2182" s="45" t="n"/>
      <c r="E2182" s="32">
        <f>IF(B2182="","",IFERROR(INDEX(Client_List!$C:$C,MATCH(VALUE(B2182),Client_List!$A:$A,0)),""))</f>
        <v/>
      </c>
      <c r="F2182" s="53">
        <f>IF(B2182="","",IFERROR(INDEX(Client_List!$D:$D,MATCH(VALUE(B2182),Client_List!$A:$A,0)),""))</f>
        <v/>
      </c>
      <c r="G2182" s="53">
        <f>IF(B2182="","",IFERROR(INDEX(Client_List!$K:$K,MATCH(VALUE(B2182),Client_List!$A:$A,0)),""))</f>
        <v/>
      </c>
      <c r="H2182" s="32">
        <f>IF(B2182="","",IFERROR(INDEX(Client_List!$J:$J,MATCH(VALUE(B2182),Client_List!$A:$A,0)),""))</f>
        <v/>
      </c>
      <c r="I2182" s="70">
        <f>IF(B2182="","",IFERROR(A2182-LOOKUP(2,1/($B$4:$B2181=B2182),$A$4:$A2181),""))</f>
        <v/>
      </c>
      <c r="J2182" s="32">
        <f>IF(B2182="","",IFERROR(D2182/I2182,""))</f>
        <v/>
      </c>
      <c r="K2182" s="71">
        <f>IF(B2182="","",IFERROR(AVERAGEIFS($J$4:$J2182,$B$4:$B2182,B2182,$J$4:$J2182,"&gt;"&amp;0),""))</f>
        <v/>
      </c>
      <c r="L2182" s="12" t="n"/>
    </row>
    <row r="2183" ht="14" customHeight="1" s="72">
      <c r="A2183" s="78" t="n"/>
      <c r="B2183" s="79" t="n"/>
      <c r="C2183" s="69">
        <f>IF(B2183="","",IFERROR(INDEX(Client_List!$B:$B,MATCH(B2183,Client_List!$A:$A,0)),"⚠ NOT FOUND"))</f>
        <v/>
      </c>
      <c r="D2183" s="44" t="n"/>
      <c r="E2183" s="32">
        <f>IF(B2183="","",IFERROR(INDEX(Client_List!$C:$C,MATCH(VALUE(B2183),Client_List!$A:$A,0)),""))</f>
        <v/>
      </c>
      <c r="F2183" s="53">
        <f>IF(B2183="","",IFERROR(INDEX(Client_List!$D:$D,MATCH(VALUE(B2183),Client_List!$A:$A,0)),""))</f>
        <v/>
      </c>
      <c r="G2183" s="53">
        <f>IF(B2183="","",IFERROR(INDEX(Client_List!$K:$K,MATCH(VALUE(B2183),Client_List!$A:$A,0)),""))</f>
        <v/>
      </c>
      <c r="H2183" s="32">
        <f>IF(B2183="","",IFERROR(INDEX(Client_List!$J:$J,MATCH(VALUE(B2183),Client_List!$A:$A,0)),""))</f>
        <v/>
      </c>
      <c r="I2183" s="70">
        <f>IF(B2183="","",IFERROR(A2183-LOOKUP(2,1/($B$4:$B2182=B2183),$A$4:$A2182),""))</f>
        <v/>
      </c>
      <c r="J2183" s="32">
        <f>IF(B2183="","",IFERROR(D2183/I2183,""))</f>
        <v/>
      </c>
      <c r="K2183" s="71">
        <f>IF(B2183="","",IFERROR(AVERAGEIFS($J$4:$J2183,$B$4:$B2183,B2183,$J$4:$J2183,"&gt;"&amp;0),""))</f>
        <v/>
      </c>
      <c r="L2183" s="11" t="n"/>
    </row>
    <row r="2184" ht="14" customHeight="1" s="72">
      <c r="A2184" s="80" t="n"/>
      <c r="B2184" s="81" t="n"/>
      <c r="C2184" s="69">
        <f>IF(B2184="","",IFERROR(INDEX(Client_List!$B:$B,MATCH(B2184,Client_List!$A:$A,0)),"⚠ NOT FOUND"))</f>
        <v/>
      </c>
      <c r="D2184" s="45" t="n"/>
      <c r="E2184" s="32">
        <f>IF(B2184="","",IFERROR(INDEX(Client_List!$C:$C,MATCH(VALUE(B2184),Client_List!$A:$A,0)),""))</f>
        <v/>
      </c>
      <c r="F2184" s="53">
        <f>IF(B2184="","",IFERROR(INDEX(Client_List!$D:$D,MATCH(VALUE(B2184),Client_List!$A:$A,0)),""))</f>
        <v/>
      </c>
      <c r="G2184" s="53">
        <f>IF(B2184="","",IFERROR(INDEX(Client_List!$K:$K,MATCH(VALUE(B2184),Client_List!$A:$A,0)),""))</f>
        <v/>
      </c>
      <c r="H2184" s="32">
        <f>IF(B2184="","",IFERROR(INDEX(Client_List!$J:$J,MATCH(VALUE(B2184),Client_List!$A:$A,0)),""))</f>
        <v/>
      </c>
      <c r="I2184" s="70">
        <f>IF(B2184="","",IFERROR(A2184-LOOKUP(2,1/($B$4:$B2183=B2184),$A$4:$A2183),""))</f>
        <v/>
      </c>
      <c r="J2184" s="32">
        <f>IF(B2184="","",IFERROR(D2184/I2184,""))</f>
        <v/>
      </c>
      <c r="K2184" s="71">
        <f>IF(B2184="","",IFERROR(AVERAGEIFS($J$4:$J2184,$B$4:$B2184,B2184,$J$4:$J2184,"&gt;"&amp;0),""))</f>
        <v/>
      </c>
      <c r="L2184" s="12" t="n"/>
    </row>
    <row r="2185" ht="14" customHeight="1" s="72">
      <c r="A2185" s="78" t="n"/>
      <c r="B2185" s="79" t="n"/>
      <c r="C2185" s="69">
        <f>IF(B2185="","",IFERROR(INDEX(Client_List!$B:$B,MATCH(B2185,Client_List!$A:$A,0)),"⚠ NOT FOUND"))</f>
        <v/>
      </c>
      <c r="D2185" s="44" t="n"/>
      <c r="E2185" s="32">
        <f>IF(B2185="","",IFERROR(INDEX(Client_List!$C:$C,MATCH(VALUE(B2185),Client_List!$A:$A,0)),""))</f>
        <v/>
      </c>
      <c r="F2185" s="53">
        <f>IF(B2185="","",IFERROR(INDEX(Client_List!$D:$D,MATCH(VALUE(B2185),Client_List!$A:$A,0)),""))</f>
        <v/>
      </c>
      <c r="G2185" s="53">
        <f>IF(B2185="","",IFERROR(INDEX(Client_List!$K:$K,MATCH(VALUE(B2185),Client_List!$A:$A,0)),""))</f>
        <v/>
      </c>
      <c r="H2185" s="32">
        <f>IF(B2185="","",IFERROR(INDEX(Client_List!$J:$J,MATCH(VALUE(B2185),Client_List!$A:$A,0)),""))</f>
        <v/>
      </c>
      <c r="I2185" s="70">
        <f>IF(B2185="","",IFERROR(A2185-LOOKUP(2,1/($B$4:$B2184=B2185),$A$4:$A2184),""))</f>
        <v/>
      </c>
      <c r="J2185" s="32">
        <f>IF(B2185="","",IFERROR(D2185/I2185,""))</f>
        <v/>
      </c>
      <c r="K2185" s="71">
        <f>IF(B2185="","",IFERROR(AVERAGEIFS($J$4:$J2185,$B$4:$B2185,B2185,$J$4:$J2185,"&gt;"&amp;0),""))</f>
        <v/>
      </c>
      <c r="L2185" s="11" t="n"/>
    </row>
    <row r="2186" ht="14" customHeight="1" s="72">
      <c r="A2186" s="80" t="n"/>
      <c r="B2186" s="81" t="n"/>
      <c r="C2186" s="69">
        <f>IF(B2186="","",IFERROR(INDEX(Client_List!$B:$B,MATCH(B2186,Client_List!$A:$A,0)),"⚠ NOT FOUND"))</f>
        <v/>
      </c>
      <c r="D2186" s="45" t="n"/>
      <c r="E2186" s="32">
        <f>IF(B2186="","",IFERROR(INDEX(Client_List!$C:$C,MATCH(VALUE(B2186),Client_List!$A:$A,0)),""))</f>
        <v/>
      </c>
      <c r="F2186" s="53">
        <f>IF(B2186="","",IFERROR(INDEX(Client_List!$D:$D,MATCH(VALUE(B2186),Client_List!$A:$A,0)),""))</f>
        <v/>
      </c>
      <c r="G2186" s="53">
        <f>IF(B2186="","",IFERROR(INDEX(Client_List!$K:$K,MATCH(VALUE(B2186),Client_List!$A:$A,0)),""))</f>
        <v/>
      </c>
      <c r="H2186" s="32">
        <f>IF(B2186="","",IFERROR(INDEX(Client_List!$J:$J,MATCH(VALUE(B2186),Client_List!$A:$A,0)),""))</f>
        <v/>
      </c>
      <c r="I2186" s="70">
        <f>IF(B2186="","",IFERROR(A2186-LOOKUP(2,1/($B$4:$B2185=B2186),$A$4:$A2185),""))</f>
        <v/>
      </c>
      <c r="J2186" s="32">
        <f>IF(B2186="","",IFERROR(D2186/I2186,""))</f>
        <v/>
      </c>
      <c r="K2186" s="71">
        <f>IF(B2186="","",IFERROR(AVERAGEIFS($J$4:$J2186,$B$4:$B2186,B2186,$J$4:$J2186,"&gt;"&amp;0),""))</f>
        <v/>
      </c>
      <c r="L2186" s="12" t="n"/>
    </row>
    <row r="2187" ht="14" customHeight="1" s="72">
      <c r="A2187" s="78" t="n"/>
      <c r="B2187" s="79" t="n"/>
      <c r="C2187" s="69">
        <f>IF(B2187="","",IFERROR(INDEX(Client_List!$B:$B,MATCH(B2187,Client_List!$A:$A,0)),"⚠ NOT FOUND"))</f>
        <v/>
      </c>
      <c r="D2187" s="44" t="n"/>
      <c r="E2187" s="32">
        <f>IF(B2187="","",IFERROR(INDEX(Client_List!$C:$C,MATCH(VALUE(B2187),Client_List!$A:$A,0)),""))</f>
        <v/>
      </c>
      <c r="F2187" s="53">
        <f>IF(B2187="","",IFERROR(INDEX(Client_List!$D:$D,MATCH(VALUE(B2187),Client_List!$A:$A,0)),""))</f>
        <v/>
      </c>
      <c r="G2187" s="53">
        <f>IF(B2187="","",IFERROR(INDEX(Client_List!$K:$K,MATCH(VALUE(B2187),Client_List!$A:$A,0)),""))</f>
        <v/>
      </c>
      <c r="H2187" s="32">
        <f>IF(B2187="","",IFERROR(INDEX(Client_List!$J:$J,MATCH(VALUE(B2187),Client_List!$A:$A,0)),""))</f>
        <v/>
      </c>
      <c r="I2187" s="70">
        <f>IF(B2187="","",IFERROR(A2187-LOOKUP(2,1/($B$4:$B2186=B2187),$A$4:$A2186),""))</f>
        <v/>
      </c>
      <c r="J2187" s="32">
        <f>IF(B2187="","",IFERROR(D2187/I2187,""))</f>
        <v/>
      </c>
      <c r="K2187" s="71">
        <f>IF(B2187="","",IFERROR(AVERAGEIFS($J$4:$J2187,$B$4:$B2187,B2187,$J$4:$J2187,"&gt;"&amp;0),""))</f>
        <v/>
      </c>
      <c r="L2187" s="11" t="n"/>
    </row>
    <row r="2188" ht="14" customHeight="1" s="72">
      <c r="A2188" s="80" t="n"/>
      <c r="B2188" s="81" t="n"/>
      <c r="C2188" s="69">
        <f>IF(B2188="","",IFERROR(INDEX(Client_List!$B:$B,MATCH(B2188,Client_List!$A:$A,0)),"⚠ NOT FOUND"))</f>
        <v/>
      </c>
      <c r="D2188" s="45" t="n"/>
      <c r="E2188" s="32">
        <f>IF(B2188="","",IFERROR(INDEX(Client_List!$C:$C,MATCH(VALUE(B2188),Client_List!$A:$A,0)),""))</f>
        <v/>
      </c>
      <c r="F2188" s="53">
        <f>IF(B2188="","",IFERROR(INDEX(Client_List!$D:$D,MATCH(VALUE(B2188),Client_List!$A:$A,0)),""))</f>
        <v/>
      </c>
      <c r="G2188" s="53">
        <f>IF(B2188="","",IFERROR(INDEX(Client_List!$K:$K,MATCH(VALUE(B2188),Client_List!$A:$A,0)),""))</f>
        <v/>
      </c>
      <c r="H2188" s="32">
        <f>IF(B2188="","",IFERROR(INDEX(Client_List!$J:$J,MATCH(VALUE(B2188),Client_List!$A:$A,0)),""))</f>
        <v/>
      </c>
      <c r="I2188" s="70">
        <f>IF(B2188="","",IFERROR(A2188-LOOKUP(2,1/($B$4:$B2187=B2188),$A$4:$A2187),""))</f>
        <v/>
      </c>
      <c r="J2188" s="32">
        <f>IF(B2188="","",IFERROR(D2188/I2188,""))</f>
        <v/>
      </c>
      <c r="K2188" s="71">
        <f>IF(B2188="","",IFERROR(AVERAGEIFS($J$4:$J2188,$B$4:$B2188,B2188,$J$4:$J2188,"&gt;"&amp;0),""))</f>
        <v/>
      </c>
      <c r="L2188" s="12" t="n"/>
    </row>
    <row r="2189" ht="14" customHeight="1" s="72">
      <c r="A2189" s="78" t="n"/>
      <c r="B2189" s="79" t="n"/>
      <c r="C2189" s="69">
        <f>IF(B2189="","",IFERROR(INDEX(Client_List!$B:$B,MATCH(B2189,Client_List!$A:$A,0)),"⚠ NOT FOUND"))</f>
        <v/>
      </c>
      <c r="D2189" s="44" t="n"/>
      <c r="E2189" s="32">
        <f>IF(B2189="","",IFERROR(INDEX(Client_List!$C:$C,MATCH(VALUE(B2189),Client_List!$A:$A,0)),""))</f>
        <v/>
      </c>
      <c r="F2189" s="53">
        <f>IF(B2189="","",IFERROR(INDEX(Client_List!$D:$D,MATCH(VALUE(B2189),Client_List!$A:$A,0)),""))</f>
        <v/>
      </c>
      <c r="G2189" s="53">
        <f>IF(B2189="","",IFERROR(INDEX(Client_List!$K:$K,MATCH(VALUE(B2189),Client_List!$A:$A,0)),""))</f>
        <v/>
      </c>
      <c r="H2189" s="32">
        <f>IF(B2189="","",IFERROR(INDEX(Client_List!$J:$J,MATCH(VALUE(B2189),Client_List!$A:$A,0)),""))</f>
        <v/>
      </c>
      <c r="I2189" s="70">
        <f>IF(B2189="","",IFERROR(A2189-LOOKUP(2,1/($B$4:$B2188=B2189),$A$4:$A2188),""))</f>
        <v/>
      </c>
      <c r="J2189" s="32">
        <f>IF(B2189="","",IFERROR(D2189/I2189,""))</f>
        <v/>
      </c>
      <c r="K2189" s="71">
        <f>IF(B2189="","",IFERROR(AVERAGEIFS($J$4:$J2189,$B$4:$B2189,B2189,$J$4:$J2189,"&gt;"&amp;0),""))</f>
        <v/>
      </c>
      <c r="L2189" s="11" t="n"/>
    </row>
    <row r="2190" ht="14" customHeight="1" s="72">
      <c r="A2190" s="80" t="n"/>
      <c r="B2190" s="81" t="n"/>
      <c r="C2190" s="69">
        <f>IF(B2190="","",IFERROR(INDEX(Client_List!$B:$B,MATCH(B2190,Client_List!$A:$A,0)),"⚠ NOT FOUND"))</f>
        <v/>
      </c>
      <c r="D2190" s="45" t="n"/>
      <c r="E2190" s="32">
        <f>IF(B2190="","",IFERROR(INDEX(Client_List!$C:$C,MATCH(VALUE(B2190),Client_List!$A:$A,0)),""))</f>
        <v/>
      </c>
      <c r="F2190" s="53">
        <f>IF(B2190="","",IFERROR(INDEX(Client_List!$D:$D,MATCH(VALUE(B2190),Client_List!$A:$A,0)),""))</f>
        <v/>
      </c>
      <c r="G2190" s="53">
        <f>IF(B2190="","",IFERROR(INDEX(Client_List!$K:$K,MATCH(VALUE(B2190),Client_List!$A:$A,0)),""))</f>
        <v/>
      </c>
      <c r="H2190" s="32">
        <f>IF(B2190="","",IFERROR(INDEX(Client_List!$J:$J,MATCH(VALUE(B2190),Client_List!$A:$A,0)),""))</f>
        <v/>
      </c>
      <c r="I2190" s="70">
        <f>IF(B2190="","",IFERROR(A2190-LOOKUP(2,1/($B$4:$B2189=B2190),$A$4:$A2189),""))</f>
        <v/>
      </c>
      <c r="J2190" s="32">
        <f>IF(B2190="","",IFERROR(D2190/I2190,""))</f>
        <v/>
      </c>
      <c r="K2190" s="71">
        <f>IF(B2190="","",IFERROR(AVERAGEIFS($J$4:$J2190,$B$4:$B2190,B2190,$J$4:$J2190,"&gt;"&amp;0),""))</f>
        <v/>
      </c>
      <c r="L2190" s="12" t="n"/>
    </row>
    <row r="2191" ht="14" customHeight="1" s="72">
      <c r="A2191" s="78" t="n"/>
      <c r="B2191" s="79" t="n"/>
      <c r="C2191" s="69">
        <f>IF(B2191="","",IFERROR(INDEX(Client_List!$B:$B,MATCH(B2191,Client_List!$A:$A,0)),"⚠ NOT FOUND"))</f>
        <v/>
      </c>
      <c r="D2191" s="44" t="n"/>
      <c r="E2191" s="32">
        <f>IF(B2191="","",IFERROR(INDEX(Client_List!$C:$C,MATCH(VALUE(B2191),Client_List!$A:$A,0)),""))</f>
        <v/>
      </c>
      <c r="F2191" s="53">
        <f>IF(B2191="","",IFERROR(INDEX(Client_List!$D:$D,MATCH(VALUE(B2191),Client_List!$A:$A,0)),""))</f>
        <v/>
      </c>
      <c r="G2191" s="53">
        <f>IF(B2191="","",IFERROR(INDEX(Client_List!$K:$K,MATCH(VALUE(B2191),Client_List!$A:$A,0)),""))</f>
        <v/>
      </c>
      <c r="H2191" s="32">
        <f>IF(B2191="","",IFERROR(INDEX(Client_List!$J:$J,MATCH(VALUE(B2191),Client_List!$A:$A,0)),""))</f>
        <v/>
      </c>
      <c r="I2191" s="70">
        <f>IF(B2191="","",IFERROR(A2191-LOOKUP(2,1/($B$4:$B2190=B2191),$A$4:$A2190),""))</f>
        <v/>
      </c>
      <c r="J2191" s="32">
        <f>IF(B2191="","",IFERROR(D2191/I2191,""))</f>
        <v/>
      </c>
      <c r="K2191" s="71">
        <f>IF(B2191="","",IFERROR(AVERAGEIFS($J$4:$J2191,$B$4:$B2191,B2191,$J$4:$J2191,"&gt;"&amp;0),""))</f>
        <v/>
      </c>
      <c r="L2191" s="11" t="n"/>
    </row>
    <row r="2192" ht="14" customHeight="1" s="72">
      <c r="A2192" s="80" t="n"/>
      <c r="B2192" s="81" t="n"/>
      <c r="C2192" s="69">
        <f>IF(B2192="","",IFERROR(INDEX(Client_List!$B:$B,MATCH(B2192,Client_List!$A:$A,0)),"⚠ NOT FOUND"))</f>
        <v/>
      </c>
      <c r="D2192" s="45" t="n"/>
      <c r="E2192" s="32">
        <f>IF(B2192="","",IFERROR(INDEX(Client_List!$C:$C,MATCH(VALUE(B2192),Client_List!$A:$A,0)),""))</f>
        <v/>
      </c>
      <c r="F2192" s="53">
        <f>IF(B2192="","",IFERROR(INDEX(Client_List!$D:$D,MATCH(VALUE(B2192),Client_List!$A:$A,0)),""))</f>
        <v/>
      </c>
      <c r="G2192" s="53">
        <f>IF(B2192="","",IFERROR(INDEX(Client_List!$K:$K,MATCH(VALUE(B2192),Client_List!$A:$A,0)),""))</f>
        <v/>
      </c>
      <c r="H2192" s="32">
        <f>IF(B2192="","",IFERROR(INDEX(Client_List!$J:$J,MATCH(VALUE(B2192),Client_List!$A:$A,0)),""))</f>
        <v/>
      </c>
      <c r="I2192" s="70">
        <f>IF(B2192="","",IFERROR(A2192-LOOKUP(2,1/($B$4:$B2191=B2192),$A$4:$A2191),""))</f>
        <v/>
      </c>
      <c r="J2192" s="32">
        <f>IF(B2192="","",IFERROR(D2192/I2192,""))</f>
        <v/>
      </c>
      <c r="K2192" s="71">
        <f>IF(B2192="","",IFERROR(AVERAGEIFS($J$4:$J2192,$B$4:$B2192,B2192,$J$4:$J2192,"&gt;"&amp;0),""))</f>
        <v/>
      </c>
      <c r="L2192" s="12" t="n"/>
    </row>
    <row r="2193" ht="14" customHeight="1" s="72">
      <c r="A2193" s="78" t="n"/>
      <c r="B2193" s="79" t="n"/>
      <c r="C2193" s="69">
        <f>IF(B2193="","",IFERROR(INDEX(Client_List!$B:$B,MATCH(B2193,Client_List!$A:$A,0)),"⚠ NOT FOUND"))</f>
        <v/>
      </c>
      <c r="D2193" s="44" t="n"/>
      <c r="E2193" s="32">
        <f>IF(B2193="","",IFERROR(INDEX(Client_List!$C:$C,MATCH(VALUE(B2193),Client_List!$A:$A,0)),""))</f>
        <v/>
      </c>
      <c r="F2193" s="53">
        <f>IF(B2193="","",IFERROR(INDEX(Client_List!$D:$D,MATCH(VALUE(B2193),Client_List!$A:$A,0)),""))</f>
        <v/>
      </c>
      <c r="G2193" s="53">
        <f>IF(B2193="","",IFERROR(INDEX(Client_List!$K:$K,MATCH(VALUE(B2193),Client_List!$A:$A,0)),""))</f>
        <v/>
      </c>
      <c r="H2193" s="32">
        <f>IF(B2193="","",IFERROR(INDEX(Client_List!$J:$J,MATCH(VALUE(B2193),Client_List!$A:$A,0)),""))</f>
        <v/>
      </c>
      <c r="I2193" s="70">
        <f>IF(B2193="","",IFERROR(A2193-LOOKUP(2,1/($B$4:$B2192=B2193),$A$4:$A2192),""))</f>
        <v/>
      </c>
      <c r="J2193" s="32">
        <f>IF(B2193="","",IFERROR(D2193/I2193,""))</f>
        <v/>
      </c>
      <c r="K2193" s="71">
        <f>IF(B2193="","",IFERROR(AVERAGEIFS($J$4:$J2193,$B$4:$B2193,B2193,$J$4:$J2193,"&gt;"&amp;0),""))</f>
        <v/>
      </c>
      <c r="L2193" s="11" t="n"/>
    </row>
    <row r="2194" ht="14" customHeight="1" s="72">
      <c r="A2194" s="80" t="n"/>
      <c r="B2194" s="81" t="n"/>
      <c r="C2194" s="69">
        <f>IF(B2194="","",IFERROR(INDEX(Client_List!$B:$B,MATCH(B2194,Client_List!$A:$A,0)),"⚠ NOT FOUND"))</f>
        <v/>
      </c>
      <c r="D2194" s="45" t="n"/>
      <c r="E2194" s="32">
        <f>IF(B2194="","",IFERROR(INDEX(Client_List!$C:$C,MATCH(VALUE(B2194),Client_List!$A:$A,0)),""))</f>
        <v/>
      </c>
      <c r="F2194" s="53">
        <f>IF(B2194="","",IFERROR(INDEX(Client_List!$D:$D,MATCH(VALUE(B2194),Client_List!$A:$A,0)),""))</f>
        <v/>
      </c>
      <c r="G2194" s="53">
        <f>IF(B2194="","",IFERROR(INDEX(Client_List!$K:$K,MATCH(VALUE(B2194),Client_List!$A:$A,0)),""))</f>
        <v/>
      </c>
      <c r="H2194" s="32">
        <f>IF(B2194="","",IFERROR(INDEX(Client_List!$J:$J,MATCH(VALUE(B2194),Client_List!$A:$A,0)),""))</f>
        <v/>
      </c>
      <c r="I2194" s="70">
        <f>IF(B2194="","",IFERROR(A2194-LOOKUP(2,1/($B$4:$B2193=B2194),$A$4:$A2193),""))</f>
        <v/>
      </c>
      <c r="J2194" s="32">
        <f>IF(B2194="","",IFERROR(D2194/I2194,""))</f>
        <v/>
      </c>
      <c r="K2194" s="71">
        <f>IF(B2194="","",IFERROR(AVERAGEIFS($J$4:$J2194,$B$4:$B2194,B2194,$J$4:$J2194,"&gt;"&amp;0),""))</f>
        <v/>
      </c>
      <c r="L2194" s="12" t="n"/>
    </row>
    <row r="2195" ht="14" customHeight="1" s="72">
      <c r="A2195" s="78" t="n"/>
      <c r="B2195" s="79" t="n"/>
      <c r="C2195" s="69">
        <f>IF(B2195="","",IFERROR(INDEX(Client_List!$B:$B,MATCH(B2195,Client_List!$A:$A,0)),"⚠ NOT FOUND"))</f>
        <v/>
      </c>
      <c r="D2195" s="44" t="n"/>
      <c r="E2195" s="32">
        <f>IF(B2195="","",IFERROR(INDEX(Client_List!$C:$C,MATCH(VALUE(B2195),Client_List!$A:$A,0)),""))</f>
        <v/>
      </c>
      <c r="F2195" s="53">
        <f>IF(B2195="","",IFERROR(INDEX(Client_List!$D:$D,MATCH(VALUE(B2195),Client_List!$A:$A,0)),""))</f>
        <v/>
      </c>
      <c r="G2195" s="53">
        <f>IF(B2195="","",IFERROR(INDEX(Client_List!$K:$K,MATCH(VALUE(B2195),Client_List!$A:$A,0)),""))</f>
        <v/>
      </c>
      <c r="H2195" s="32">
        <f>IF(B2195="","",IFERROR(INDEX(Client_List!$J:$J,MATCH(VALUE(B2195),Client_List!$A:$A,0)),""))</f>
        <v/>
      </c>
      <c r="I2195" s="70">
        <f>IF(B2195="","",IFERROR(A2195-LOOKUP(2,1/($B$4:$B2194=B2195),$A$4:$A2194),""))</f>
        <v/>
      </c>
      <c r="J2195" s="32">
        <f>IF(B2195="","",IFERROR(D2195/I2195,""))</f>
        <v/>
      </c>
      <c r="K2195" s="71">
        <f>IF(B2195="","",IFERROR(AVERAGEIFS($J$4:$J2195,$B$4:$B2195,B2195,$J$4:$J2195,"&gt;"&amp;0),""))</f>
        <v/>
      </c>
      <c r="L2195" s="11" t="n"/>
    </row>
    <row r="2196" ht="14" customHeight="1" s="72">
      <c r="A2196" s="80" t="n"/>
      <c r="B2196" s="81" t="n"/>
      <c r="C2196" s="69">
        <f>IF(B2196="","",IFERROR(INDEX(Client_List!$B:$B,MATCH(B2196,Client_List!$A:$A,0)),"⚠ NOT FOUND"))</f>
        <v/>
      </c>
      <c r="D2196" s="45" t="n"/>
      <c r="E2196" s="32">
        <f>IF(B2196="","",IFERROR(INDEX(Client_List!$C:$C,MATCH(VALUE(B2196),Client_List!$A:$A,0)),""))</f>
        <v/>
      </c>
      <c r="F2196" s="53">
        <f>IF(B2196="","",IFERROR(INDEX(Client_List!$D:$D,MATCH(VALUE(B2196),Client_List!$A:$A,0)),""))</f>
        <v/>
      </c>
      <c r="G2196" s="53">
        <f>IF(B2196="","",IFERROR(INDEX(Client_List!$K:$K,MATCH(VALUE(B2196),Client_List!$A:$A,0)),""))</f>
        <v/>
      </c>
      <c r="H2196" s="32">
        <f>IF(B2196="","",IFERROR(INDEX(Client_List!$J:$J,MATCH(VALUE(B2196),Client_List!$A:$A,0)),""))</f>
        <v/>
      </c>
      <c r="I2196" s="70">
        <f>IF(B2196="","",IFERROR(A2196-LOOKUP(2,1/($B$4:$B2195=B2196),$A$4:$A2195),""))</f>
        <v/>
      </c>
      <c r="J2196" s="32">
        <f>IF(B2196="","",IFERROR(D2196/I2196,""))</f>
        <v/>
      </c>
      <c r="K2196" s="71">
        <f>IF(B2196="","",IFERROR(AVERAGEIFS($J$4:$J2196,$B$4:$B2196,B2196,$J$4:$J2196,"&gt;"&amp;0),""))</f>
        <v/>
      </c>
      <c r="L2196" s="12" t="n"/>
    </row>
    <row r="2197" ht="14" customHeight="1" s="72">
      <c r="A2197" s="78" t="n"/>
      <c r="B2197" s="79" t="n"/>
      <c r="C2197" s="69">
        <f>IF(B2197="","",IFERROR(INDEX(Client_List!$B:$B,MATCH(B2197,Client_List!$A:$A,0)),"⚠ NOT FOUND"))</f>
        <v/>
      </c>
      <c r="D2197" s="44" t="n"/>
      <c r="E2197" s="32">
        <f>IF(B2197="","",IFERROR(INDEX(Client_List!$C:$C,MATCH(VALUE(B2197),Client_List!$A:$A,0)),""))</f>
        <v/>
      </c>
      <c r="F2197" s="53">
        <f>IF(B2197="","",IFERROR(INDEX(Client_List!$D:$D,MATCH(VALUE(B2197),Client_List!$A:$A,0)),""))</f>
        <v/>
      </c>
      <c r="G2197" s="53">
        <f>IF(B2197="","",IFERROR(INDEX(Client_List!$K:$K,MATCH(VALUE(B2197),Client_List!$A:$A,0)),""))</f>
        <v/>
      </c>
      <c r="H2197" s="32">
        <f>IF(B2197="","",IFERROR(INDEX(Client_List!$J:$J,MATCH(VALUE(B2197),Client_List!$A:$A,0)),""))</f>
        <v/>
      </c>
      <c r="I2197" s="70">
        <f>IF(B2197="","",IFERROR(A2197-LOOKUP(2,1/($B$4:$B2196=B2197),$A$4:$A2196),""))</f>
        <v/>
      </c>
      <c r="J2197" s="32">
        <f>IF(B2197="","",IFERROR(D2197/I2197,""))</f>
        <v/>
      </c>
      <c r="K2197" s="71">
        <f>IF(B2197="","",IFERROR(AVERAGEIFS($J$4:$J2197,$B$4:$B2197,B2197,$J$4:$J2197,"&gt;"&amp;0),""))</f>
        <v/>
      </c>
      <c r="L2197" s="11" t="n"/>
    </row>
    <row r="2198" ht="14" customHeight="1" s="72">
      <c r="A2198" s="80" t="n"/>
      <c r="B2198" s="81" t="n"/>
      <c r="C2198" s="69">
        <f>IF(B2198="","",IFERROR(INDEX(Client_List!$B:$B,MATCH(B2198,Client_List!$A:$A,0)),"⚠ NOT FOUND"))</f>
        <v/>
      </c>
      <c r="D2198" s="45" t="n"/>
      <c r="E2198" s="32">
        <f>IF(B2198="","",IFERROR(INDEX(Client_List!$C:$C,MATCH(VALUE(B2198),Client_List!$A:$A,0)),""))</f>
        <v/>
      </c>
      <c r="F2198" s="53">
        <f>IF(B2198="","",IFERROR(INDEX(Client_List!$D:$D,MATCH(VALUE(B2198),Client_List!$A:$A,0)),""))</f>
        <v/>
      </c>
      <c r="G2198" s="53">
        <f>IF(B2198="","",IFERROR(INDEX(Client_List!$K:$K,MATCH(VALUE(B2198),Client_List!$A:$A,0)),""))</f>
        <v/>
      </c>
      <c r="H2198" s="32">
        <f>IF(B2198="","",IFERROR(INDEX(Client_List!$J:$J,MATCH(VALUE(B2198),Client_List!$A:$A,0)),""))</f>
        <v/>
      </c>
      <c r="I2198" s="70">
        <f>IF(B2198="","",IFERROR(A2198-LOOKUP(2,1/($B$4:$B2197=B2198),$A$4:$A2197),""))</f>
        <v/>
      </c>
      <c r="J2198" s="32">
        <f>IF(B2198="","",IFERROR(D2198/I2198,""))</f>
        <v/>
      </c>
      <c r="K2198" s="71">
        <f>IF(B2198="","",IFERROR(AVERAGEIFS($J$4:$J2198,$B$4:$B2198,B2198,$J$4:$J2198,"&gt;"&amp;0),""))</f>
        <v/>
      </c>
      <c r="L2198" s="12" t="n"/>
    </row>
    <row r="2199" ht="14" customHeight="1" s="72">
      <c r="A2199" s="78" t="n"/>
      <c r="B2199" s="79" t="n"/>
      <c r="C2199" s="69">
        <f>IF(B2199="","",IFERROR(INDEX(Client_List!$B:$B,MATCH(B2199,Client_List!$A:$A,0)),"⚠ NOT FOUND"))</f>
        <v/>
      </c>
      <c r="D2199" s="44" t="n"/>
      <c r="E2199" s="32">
        <f>IF(B2199="","",IFERROR(INDEX(Client_List!$C:$C,MATCH(VALUE(B2199),Client_List!$A:$A,0)),""))</f>
        <v/>
      </c>
      <c r="F2199" s="53">
        <f>IF(B2199="","",IFERROR(INDEX(Client_List!$D:$D,MATCH(VALUE(B2199),Client_List!$A:$A,0)),""))</f>
        <v/>
      </c>
      <c r="G2199" s="53">
        <f>IF(B2199="","",IFERROR(INDEX(Client_List!$K:$K,MATCH(VALUE(B2199),Client_List!$A:$A,0)),""))</f>
        <v/>
      </c>
      <c r="H2199" s="32">
        <f>IF(B2199="","",IFERROR(INDEX(Client_List!$J:$J,MATCH(VALUE(B2199),Client_List!$A:$A,0)),""))</f>
        <v/>
      </c>
      <c r="I2199" s="70">
        <f>IF(B2199="","",IFERROR(A2199-LOOKUP(2,1/($B$4:$B2198=B2199),$A$4:$A2198),""))</f>
        <v/>
      </c>
      <c r="J2199" s="32">
        <f>IF(B2199="","",IFERROR(D2199/I2199,""))</f>
        <v/>
      </c>
      <c r="K2199" s="71">
        <f>IF(B2199="","",IFERROR(AVERAGEIFS($J$4:$J2199,$B$4:$B2199,B2199,$J$4:$J2199,"&gt;"&amp;0),""))</f>
        <v/>
      </c>
      <c r="L2199" s="11" t="n"/>
    </row>
    <row r="2200" ht="14" customHeight="1" s="72">
      <c r="A2200" s="80" t="n"/>
      <c r="B2200" s="81" t="n"/>
      <c r="C2200" s="69">
        <f>IF(B2200="","",IFERROR(INDEX(Client_List!$B:$B,MATCH(B2200,Client_List!$A:$A,0)),"⚠ NOT FOUND"))</f>
        <v/>
      </c>
      <c r="D2200" s="45" t="n"/>
      <c r="E2200" s="32">
        <f>IF(B2200="","",IFERROR(INDEX(Client_List!$C:$C,MATCH(VALUE(B2200),Client_List!$A:$A,0)),""))</f>
        <v/>
      </c>
      <c r="F2200" s="53">
        <f>IF(B2200="","",IFERROR(INDEX(Client_List!$D:$D,MATCH(VALUE(B2200),Client_List!$A:$A,0)),""))</f>
        <v/>
      </c>
      <c r="G2200" s="53">
        <f>IF(B2200="","",IFERROR(INDEX(Client_List!$K:$K,MATCH(VALUE(B2200),Client_List!$A:$A,0)),""))</f>
        <v/>
      </c>
      <c r="H2200" s="32">
        <f>IF(B2200="","",IFERROR(INDEX(Client_List!$J:$J,MATCH(VALUE(B2200),Client_List!$A:$A,0)),""))</f>
        <v/>
      </c>
      <c r="I2200" s="70">
        <f>IF(B2200="","",IFERROR(A2200-LOOKUP(2,1/($B$4:$B2199=B2200),$A$4:$A2199),""))</f>
        <v/>
      </c>
      <c r="J2200" s="32">
        <f>IF(B2200="","",IFERROR(D2200/I2200,""))</f>
        <v/>
      </c>
      <c r="K2200" s="71">
        <f>IF(B2200="","",IFERROR(AVERAGEIFS($J$4:$J2200,$B$4:$B2200,B2200,$J$4:$J2200,"&gt;"&amp;0),""))</f>
        <v/>
      </c>
      <c r="L2200" s="12" t="n"/>
    </row>
    <row r="2201" ht="14" customHeight="1" s="72">
      <c r="A2201" s="78" t="n"/>
      <c r="B2201" s="79" t="n"/>
      <c r="C2201" s="69">
        <f>IF(B2201="","",IFERROR(INDEX(Client_List!$B:$B,MATCH(B2201,Client_List!$A:$A,0)),"⚠ NOT FOUND"))</f>
        <v/>
      </c>
      <c r="D2201" s="44" t="n"/>
      <c r="E2201" s="32">
        <f>IF(B2201="","",IFERROR(INDEX(Client_List!$C:$C,MATCH(VALUE(B2201),Client_List!$A:$A,0)),""))</f>
        <v/>
      </c>
      <c r="F2201" s="53">
        <f>IF(B2201="","",IFERROR(INDEX(Client_List!$D:$D,MATCH(VALUE(B2201),Client_List!$A:$A,0)),""))</f>
        <v/>
      </c>
      <c r="G2201" s="53">
        <f>IF(B2201="","",IFERROR(INDEX(Client_List!$K:$K,MATCH(VALUE(B2201),Client_List!$A:$A,0)),""))</f>
        <v/>
      </c>
      <c r="H2201" s="32">
        <f>IF(B2201="","",IFERROR(INDEX(Client_List!$J:$J,MATCH(VALUE(B2201),Client_List!$A:$A,0)),""))</f>
        <v/>
      </c>
      <c r="I2201" s="70">
        <f>IF(B2201="","",IFERROR(A2201-LOOKUP(2,1/($B$4:$B2200=B2201),$A$4:$A2200),""))</f>
        <v/>
      </c>
      <c r="J2201" s="32">
        <f>IF(B2201="","",IFERROR(D2201/I2201,""))</f>
        <v/>
      </c>
      <c r="K2201" s="71">
        <f>IF(B2201="","",IFERROR(AVERAGEIFS($J$4:$J2201,$B$4:$B2201,B2201,$J$4:$J2201,"&gt;"&amp;0),""))</f>
        <v/>
      </c>
      <c r="L2201" s="11" t="n"/>
    </row>
    <row r="2202" ht="14" customHeight="1" s="72">
      <c r="A2202" s="80" t="n"/>
      <c r="B2202" s="81" t="n"/>
      <c r="C2202" s="69">
        <f>IF(B2202="","",IFERROR(INDEX(Client_List!$B:$B,MATCH(B2202,Client_List!$A:$A,0)),"⚠ NOT FOUND"))</f>
        <v/>
      </c>
      <c r="D2202" s="45" t="n"/>
      <c r="E2202" s="32">
        <f>IF(B2202="","",IFERROR(INDEX(Client_List!$C:$C,MATCH(VALUE(B2202),Client_List!$A:$A,0)),""))</f>
        <v/>
      </c>
      <c r="F2202" s="53">
        <f>IF(B2202="","",IFERROR(INDEX(Client_List!$D:$D,MATCH(VALUE(B2202),Client_List!$A:$A,0)),""))</f>
        <v/>
      </c>
      <c r="G2202" s="53">
        <f>IF(B2202="","",IFERROR(INDEX(Client_List!$K:$K,MATCH(VALUE(B2202),Client_List!$A:$A,0)),""))</f>
        <v/>
      </c>
      <c r="H2202" s="32">
        <f>IF(B2202="","",IFERROR(INDEX(Client_List!$J:$J,MATCH(VALUE(B2202),Client_List!$A:$A,0)),""))</f>
        <v/>
      </c>
      <c r="I2202" s="70">
        <f>IF(B2202="","",IFERROR(A2202-LOOKUP(2,1/($B$4:$B2201=B2202),$A$4:$A2201),""))</f>
        <v/>
      </c>
      <c r="J2202" s="32">
        <f>IF(B2202="","",IFERROR(D2202/I2202,""))</f>
        <v/>
      </c>
      <c r="K2202" s="71">
        <f>IF(B2202="","",IFERROR(AVERAGEIFS($J$4:$J2202,$B$4:$B2202,B2202,$J$4:$J2202,"&gt;"&amp;0),""))</f>
        <v/>
      </c>
      <c r="L2202" s="12" t="n"/>
    </row>
    <row r="2203" ht="14" customHeight="1" s="72">
      <c r="A2203" s="78" t="n"/>
      <c r="B2203" s="79" t="n"/>
      <c r="C2203" s="69">
        <f>IF(B2203="","",IFERROR(INDEX(Client_List!$B:$B,MATCH(B2203,Client_List!$A:$A,0)),"⚠ NOT FOUND"))</f>
        <v/>
      </c>
      <c r="D2203" s="44" t="n"/>
      <c r="E2203" s="32">
        <f>IF(B2203="","",IFERROR(INDEX(Client_List!$C:$C,MATCH(VALUE(B2203),Client_List!$A:$A,0)),""))</f>
        <v/>
      </c>
      <c r="F2203" s="53">
        <f>IF(B2203="","",IFERROR(INDEX(Client_List!$D:$D,MATCH(VALUE(B2203),Client_List!$A:$A,0)),""))</f>
        <v/>
      </c>
      <c r="G2203" s="53">
        <f>IF(B2203="","",IFERROR(INDEX(Client_List!$K:$K,MATCH(VALUE(B2203),Client_List!$A:$A,0)),""))</f>
        <v/>
      </c>
      <c r="H2203" s="32">
        <f>IF(B2203="","",IFERROR(INDEX(Client_List!$J:$J,MATCH(VALUE(B2203),Client_List!$A:$A,0)),""))</f>
        <v/>
      </c>
      <c r="I2203" s="70">
        <f>IF(B2203="","",IFERROR(A2203-LOOKUP(2,1/($B$4:$B2202=B2203),$A$4:$A2202),""))</f>
        <v/>
      </c>
      <c r="J2203" s="32">
        <f>IF(B2203="","",IFERROR(D2203/I2203,""))</f>
        <v/>
      </c>
      <c r="K2203" s="71">
        <f>IF(B2203="","",IFERROR(AVERAGEIFS($J$4:$J2203,$B$4:$B2203,B2203,$J$4:$J2203,"&gt;"&amp;0),""))</f>
        <v/>
      </c>
      <c r="L2203" s="11" t="n"/>
    </row>
    <row r="2204" ht="14" customHeight="1" s="72">
      <c r="A2204" s="80" t="n"/>
      <c r="B2204" s="81" t="n"/>
      <c r="C2204" s="69">
        <f>IF(B2204="","",IFERROR(INDEX(Client_List!$B:$B,MATCH(B2204,Client_List!$A:$A,0)),"⚠ NOT FOUND"))</f>
        <v/>
      </c>
      <c r="D2204" s="45" t="n"/>
      <c r="E2204" s="32">
        <f>IF(B2204="","",IFERROR(INDEX(Client_List!$C:$C,MATCH(VALUE(B2204),Client_List!$A:$A,0)),""))</f>
        <v/>
      </c>
      <c r="F2204" s="53">
        <f>IF(B2204="","",IFERROR(INDEX(Client_List!$D:$D,MATCH(VALUE(B2204),Client_List!$A:$A,0)),""))</f>
        <v/>
      </c>
      <c r="G2204" s="53">
        <f>IF(B2204="","",IFERROR(INDEX(Client_List!$K:$K,MATCH(VALUE(B2204),Client_List!$A:$A,0)),""))</f>
        <v/>
      </c>
      <c r="H2204" s="32">
        <f>IF(B2204="","",IFERROR(INDEX(Client_List!$J:$J,MATCH(VALUE(B2204),Client_List!$A:$A,0)),""))</f>
        <v/>
      </c>
      <c r="I2204" s="70">
        <f>IF(B2204="","",IFERROR(A2204-LOOKUP(2,1/($B$4:$B2203=B2204),$A$4:$A2203),""))</f>
        <v/>
      </c>
      <c r="J2204" s="32">
        <f>IF(B2204="","",IFERROR(D2204/I2204,""))</f>
        <v/>
      </c>
      <c r="K2204" s="71">
        <f>IF(B2204="","",IFERROR(AVERAGEIFS($J$4:$J2204,$B$4:$B2204,B2204,$J$4:$J2204,"&gt;"&amp;0),""))</f>
        <v/>
      </c>
      <c r="L2204" s="12" t="n"/>
    </row>
    <row r="2205" ht="14" customHeight="1" s="72">
      <c r="A2205" s="78" t="n"/>
      <c r="B2205" s="79" t="n"/>
      <c r="C2205" s="69">
        <f>IF(B2205="","",IFERROR(INDEX(Client_List!$B:$B,MATCH(B2205,Client_List!$A:$A,0)),"⚠ NOT FOUND"))</f>
        <v/>
      </c>
      <c r="D2205" s="44" t="n"/>
      <c r="E2205" s="32">
        <f>IF(B2205="","",IFERROR(INDEX(Client_List!$C:$C,MATCH(VALUE(B2205),Client_List!$A:$A,0)),""))</f>
        <v/>
      </c>
      <c r="F2205" s="53">
        <f>IF(B2205="","",IFERROR(INDEX(Client_List!$D:$D,MATCH(VALUE(B2205),Client_List!$A:$A,0)),""))</f>
        <v/>
      </c>
      <c r="G2205" s="53">
        <f>IF(B2205="","",IFERROR(INDEX(Client_List!$K:$K,MATCH(VALUE(B2205),Client_List!$A:$A,0)),""))</f>
        <v/>
      </c>
      <c r="H2205" s="32">
        <f>IF(B2205="","",IFERROR(INDEX(Client_List!$J:$J,MATCH(VALUE(B2205),Client_List!$A:$A,0)),""))</f>
        <v/>
      </c>
      <c r="I2205" s="70">
        <f>IF(B2205="","",IFERROR(A2205-LOOKUP(2,1/($B$4:$B2204=B2205),$A$4:$A2204),""))</f>
        <v/>
      </c>
      <c r="J2205" s="32">
        <f>IF(B2205="","",IFERROR(D2205/I2205,""))</f>
        <v/>
      </c>
      <c r="K2205" s="71">
        <f>IF(B2205="","",IFERROR(AVERAGEIFS($J$4:$J2205,$B$4:$B2205,B2205,$J$4:$J2205,"&gt;"&amp;0),""))</f>
        <v/>
      </c>
      <c r="L2205" s="11" t="n"/>
    </row>
    <row r="2206" ht="14" customHeight="1" s="72">
      <c r="A2206" s="80" t="n"/>
      <c r="B2206" s="81" t="n"/>
      <c r="C2206" s="69">
        <f>IF(B2206="","",IFERROR(INDEX(Client_List!$B:$B,MATCH(B2206,Client_List!$A:$A,0)),"⚠ NOT FOUND"))</f>
        <v/>
      </c>
      <c r="D2206" s="45" t="n"/>
      <c r="E2206" s="32">
        <f>IF(B2206="","",IFERROR(INDEX(Client_List!$C:$C,MATCH(VALUE(B2206),Client_List!$A:$A,0)),""))</f>
        <v/>
      </c>
      <c r="F2206" s="53">
        <f>IF(B2206="","",IFERROR(INDEX(Client_List!$D:$D,MATCH(VALUE(B2206),Client_List!$A:$A,0)),""))</f>
        <v/>
      </c>
      <c r="G2206" s="53">
        <f>IF(B2206="","",IFERROR(INDEX(Client_List!$K:$K,MATCH(VALUE(B2206),Client_List!$A:$A,0)),""))</f>
        <v/>
      </c>
      <c r="H2206" s="32">
        <f>IF(B2206="","",IFERROR(INDEX(Client_List!$J:$J,MATCH(VALUE(B2206),Client_List!$A:$A,0)),""))</f>
        <v/>
      </c>
      <c r="I2206" s="70">
        <f>IF(B2206="","",IFERROR(A2206-LOOKUP(2,1/($B$4:$B2205=B2206),$A$4:$A2205),""))</f>
        <v/>
      </c>
      <c r="J2206" s="32">
        <f>IF(B2206="","",IFERROR(D2206/I2206,""))</f>
        <v/>
      </c>
      <c r="K2206" s="71">
        <f>IF(B2206="","",IFERROR(AVERAGEIFS($J$4:$J2206,$B$4:$B2206,B2206,$J$4:$J2206,"&gt;"&amp;0),""))</f>
        <v/>
      </c>
      <c r="L2206" s="12" t="n"/>
    </row>
    <row r="2207" ht="14" customHeight="1" s="72">
      <c r="A2207" s="78" t="n"/>
      <c r="B2207" s="79" t="n"/>
      <c r="C2207" s="69">
        <f>IF(B2207="","",IFERROR(INDEX(Client_List!$B:$B,MATCH(B2207,Client_List!$A:$A,0)),"⚠ NOT FOUND"))</f>
        <v/>
      </c>
      <c r="D2207" s="44" t="n"/>
      <c r="E2207" s="32">
        <f>IF(B2207="","",IFERROR(INDEX(Client_List!$C:$C,MATCH(VALUE(B2207),Client_List!$A:$A,0)),""))</f>
        <v/>
      </c>
      <c r="F2207" s="53">
        <f>IF(B2207="","",IFERROR(INDEX(Client_List!$D:$D,MATCH(VALUE(B2207),Client_List!$A:$A,0)),""))</f>
        <v/>
      </c>
      <c r="G2207" s="53">
        <f>IF(B2207="","",IFERROR(INDEX(Client_List!$K:$K,MATCH(VALUE(B2207),Client_List!$A:$A,0)),""))</f>
        <v/>
      </c>
      <c r="H2207" s="32">
        <f>IF(B2207="","",IFERROR(INDEX(Client_List!$J:$J,MATCH(VALUE(B2207),Client_List!$A:$A,0)),""))</f>
        <v/>
      </c>
      <c r="I2207" s="70">
        <f>IF(B2207="","",IFERROR(A2207-LOOKUP(2,1/($B$4:$B2206=B2207),$A$4:$A2206),""))</f>
        <v/>
      </c>
      <c r="J2207" s="32">
        <f>IF(B2207="","",IFERROR(D2207/I2207,""))</f>
        <v/>
      </c>
      <c r="K2207" s="71">
        <f>IF(B2207="","",IFERROR(AVERAGEIFS($J$4:$J2207,$B$4:$B2207,B2207,$J$4:$J2207,"&gt;"&amp;0),""))</f>
        <v/>
      </c>
      <c r="L2207" s="11" t="n"/>
    </row>
    <row r="2208" ht="14" customHeight="1" s="72">
      <c r="A2208" s="80" t="n"/>
      <c r="B2208" s="81" t="n"/>
      <c r="C2208" s="69">
        <f>IF(B2208="","",IFERROR(INDEX(Client_List!$B:$B,MATCH(B2208,Client_List!$A:$A,0)),"⚠ NOT FOUND"))</f>
        <v/>
      </c>
      <c r="D2208" s="45" t="n"/>
      <c r="E2208" s="32">
        <f>IF(B2208="","",IFERROR(INDEX(Client_List!$C:$C,MATCH(VALUE(B2208),Client_List!$A:$A,0)),""))</f>
        <v/>
      </c>
      <c r="F2208" s="53">
        <f>IF(B2208="","",IFERROR(INDEX(Client_List!$D:$D,MATCH(VALUE(B2208),Client_List!$A:$A,0)),""))</f>
        <v/>
      </c>
      <c r="G2208" s="53">
        <f>IF(B2208="","",IFERROR(INDEX(Client_List!$K:$K,MATCH(VALUE(B2208),Client_List!$A:$A,0)),""))</f>
        <v/>
      </c>
      <c r="H2208" s="32">
        <f>IF(B2208="","",IFERROR(INDEX(Client_List!$J:$J,MATCH(VALUE(B2208),Client_List!$A:$A,0)),""))</f>
        <v/>
      </c>
      <c r="I2208" s="70">
        <f>IF(B2208="","",IFERROR(A2208-LOOKUP(2,1/($B$4:$B2207=B2208),$A$4:$A2207),""))</f>
        <v/>
      </c>
      <c r="J2208" s="32">
        <f>IF(B2208="","",IFERROR(D2208/I2208,""))</f>
        <v/>
      </c>
      <c r="K2208" s="71">
        <f>IF(B2208="","",IFERROR(AVERAGEIFS($J$4:$J2208,$B$4:$B2208,B2208,$J$4:$J2208,"&gt;"&amp;0),""))</f>
        <v/>
      </c>
      <c r="L2208" s="12" t="n"/>
    </row>
    <row r="2209" ht="14" customHeight="1" s="72">
      <c r="A2209" s="78" t="n"/>
      <c r="B2209" s="79" t="n"/>
      <c r="C2209" s="69">
        <f>IF(B2209="","",IFERROR(INDEX(Client_List!$B:$B,MATCH(B2209,Client_List!$A:$A,0)),"⚠ NOT FOUND"))</f>
        <v/>
      </c>
      <c r="D2209" s="44" t="n"/>
      <c r="E2209" s="32">
        <f>IF(B2209="","",IFERROR(INDEX(Client_List!$C:$C,MATCH(VALUE(B2209),Client_List!$A:$A,0)),""))</f>
        <v/>
      </c>
      <c r="F2209" s="53">
        <f>IF(B2209="","",IFERROR(INDEX(Client_List!$D:$D,MATCH(VALUE(B2209),Client_List!$A:$A,0)),""))</f>
        <v/>
      </c>
      <c r="G2209" s="53">
        <f>IF(B2209="","",IFERROR(INDEX(Client_List!$K:$K,MATCH(VALUE(B2209),Client_List!$A:$A,0)),""))</f>
        <v/>
      </c>
      <c r="H2209" s="32">
        <f>IF(B2209="","",IFERROR(INDEX(Client_List!$J:$J,MATCH(VALUE(B2209),Client_List!$A:$A,0)),""))</f>
        <v/>
      </c>
      <c r="I2209" s="70">
        <f>IF(B2209="","",IFERROR(A2209-LOOKUP(2,1/($B$4:$B2208=B2209),$A$4:$A2208),""))</f>
        <v/>
      </c>
      <c r="J2209" s="32">
        <f>IF(B2209="","",IFERROR(D2209/I2209,""))</f>
        <v/>
      </c>
      <c r="K2209" s="71">
        <f>IF(B2209="","",IFERROR(AVERAGEIFS($J$4:$J2209,$B$4:$B2209,B2209,$J$4:$J2209,"&gt;"&amp;0),""))</f>
        <v/>
      </c>
      <c r="L2209" s="11" t="n"/>
    </row>
    <row r="2210" ht="14" customHeight="1" s="72">
      <c r="A2210" s="80" t="n"/>
      <c r="B2210" s="81" t="n"/>
      <c r="C2210" s="69">
        <f>IF(B2210="","",IFERROR(INDEX(Client_List!$B:$B,MATCH(B2210,Client_List!$A:$A,0)),"⚠ NOT FOUND"))</f>
        <v/>
      </c>
      <c r="D2210" s="45" t="n"/>
      <c r="E2210" s="32">
        <f>IF(B2210="","",IFERROR(INDEX(Client_List!$C:$C,MATCH(VALUE(B2210),Client_List!$A:$A,0)),""))</f>
        <v/>
      </c>
      <c r="F2210" s="53">
        <f>IF(B2210="","",IFERROR(INDEX(Client_List!$D:$D,MATCH(VALUE(B2210),Client_List!$A:$A,0)),""))</f>
        <v/>
      </c>
      <c r="G2210" s="53">
        <f>IF(B2210="","",IFERROR(INDEX(Client_List!$K:$K,MATCH(VALUE(B2210),Client_List!$A:$A,0)),""))</f>
        <v/>
      </c>
      <c r="H2210" s="32">
        <f>IF(B2210="","",IFERROR(INDEX(Client_List!$J:$J,MATCH(VALUE(B2210),Client_List!$A:$A,0)),""))</f>
        <v/>
      </c>
      <c r="I2210" s="70">
        <f>IF(B2210="","",IFERROR(A2210-LOOKUP(2,1/($B$4:$B2209=B2210),$A$4:$A2209),""))</f>
        <v/>
      </c>
      <c r="J2210" s="32">
        <f>IF(B2210="","",IFERROR(D2210/I2210,""))</f>
        <v/>
      </c>
      <c r="K2210" s="71">
        <f>IF(B2210="","",IFERROR(AVERAGEIFS($J$4:$J2210,$B$4:$B2210,B2210,$J$4:$J2210,"&gt;"&amp;0),""))</f>
        <v/>
      </c>
      <c r="L2210" s="12" t="n"/>
    </row>
    <row r="2211" ht="14" customHeight="1" s="72">
      <c r="A2211" s="78" t="n"/>
      <c r="B2211" s="79" t="n"/>
      <c r="C2211" s="69">
        <f>IF(B2211="","",IFERROR(INDEX(Client_List!$B:$B,MATCH(B2211,Client_List!$A:$A,0)),"⚠ NOT FOUND"))</f>
        <v/>
      </c>
      <c r="D2211" s="44" t="n"/>
      <c r="E2211" s="32">
        <f>IF(B2211="","",IFERROR(INDEX(Client_List!$C:$C,MATCH(VALUE(B2211),Client_List!$A:$A,0)),""))</f>
        <v/>
      </c>
      <c r="F2211" s="53">
        <f>IF(B2211="","",IFERROR(INDEX(Client_List!$D:$D,MATCH(VALUE(B2211),Client_List!$A:$A,0)),""))</f>
        <v/>
      </c>
      <c r="G2211" s="53">
        <f>IF(B2211="","",IFERROR(INDEX(Client_List!$K:$K,MATCH(VALUE(B2211),Client_List!$A:$A,0)),""))</f>
        <v/>
      </c>
      <c r="H2211" s="32">
        <f>IF(B2211="","",IFERROR(INDEX(Client_List!$J:$J,MATCH(VALUE(B2211),Client_List!$A:$A,0)),""))</f>
        <v/>
      </c>
      <c r="I2211" s="70">
        <f>IF(B2211="","",IFERROR(A2211-LOOKUP(2,1/($B$4:$B2210=B2211),$A$4:$A2210),""))</f>
        <v/>
      </c>
      <c r="J2211" s="32">
        <f>IF(B2211="","",IFERROR(D2211/I2211,""))</f>
        <v/>
      </c>
      <c r="K2211" s="71">
        <f>IF(B2211="","",IFERROR(AVERAGEIFS($J$4:$J2211,$B$4:$B2211,B2211,$J$4:$J2211,"&gt;"&amp;0),""))</f>
        <v/>
      </c>
      <c r="L2211" s="11" t="n"/>
    </row>
    <row r="2212" ht="14" customHeight="1" s="72">
      <c r="A2212" s="80" t="n"/>
      <c r="B2212" s="81" t="n"/>
      <c r="C2212" s="69">
        <f>IF(B2212="","",IFERROR(INDEX(Client_List!$B:$B,MATCH(B2212,Client_List!$A:$A,0)),"⚠ NOT FOUND"))</f>
        <v/>
      </c>
      <c r="D2212" s="45" t="n"/>
      <c r="E2212" s="32">
        <f>IF(B2212="","",IFERROR(INDEX(Client_List!$C:$C,MATCH(VALUE(B2212),Client_List!$A:$A,0)),""))</f>
        <v/>
      </c>
      <c r="F2212" s="53">
        <f>IF(B2212="","",IFERROR(INDEX(Client_List!$D:$D,MATCH(VALUE(B2212),Client_List!$A:$A,0)),""))</f>
        <v/>
      </c>
      <c r="G2212" s="53">
        <f>IF(B2212="","",IFERROR(INDEX(Client_List!$K:$K,MATCH(VALUE(B2212),Client_List!$A:$A,0)),""))</f>
        <v/>
      </c>
      <c r="H2212" s="32">
        <f>IF(B2212="","",IFERROR(INDEX(Client_List!$J:$J,MATCH(VALUE(B2212),Client_List!$A:$A,0)),""))</f>
        <v/>
      </c>
      <c r="I2212" s="70">
        <f>IF(B2212="","",IFERROR(A2212-LOOKUP(2,1/($B$4:$B2211=B2212),$A$4:$A2211),""))</f>
        <v/>
      </c>
      <c r="J2212" s="32">
        <f>IF(B2212="","",IFERROR(D2212/I2212,""))</f>
        <v/>
      </c>
      <c r="K2212" s="71">
        <f>IF(B2212="","",IFERROR(AVERAGEIFS($J$4:$J2212,$B$4:$B2212,B2212,$J$4:$J2212,"&gt;"&amp;0),""))</f>
        <v/>
      </c>
      <c r="L2212" s="12" t="n"/>
    </row>
    <row r="2213" ht="14" customHeight="1" s="72">
      <c r="A2213" s="78" t="n"/>
      <c r="B2213" s="79" t="n"/>
      <c r="C2213" s="69">
        <f>IF(B2213="","",IFERROR(INDEX(Client_List!$B:$B,MATCH(B2213,Client_List!$A:$A,0)),"⚠ NOT FOUND"))</f>
        <v/>
      </c>
      <c r="D2213" s="44" t="n"/>
      <c r="E2213" s="32">
        <f>IF(B2213="","",IFERROR(INDEX(Client_List!$C:$C,MATCH(VALUE(B2213),Client_List!$A:$A,0)),""))</f>
        <v/>
      </c>
      <c r="F2213" s="53">
        <f>IF(B2213="","",IFERROR(INDEX(Client_List!$D:$D,MATCH(VALUE(B2213),Client_List!$A:$A,0)),""))</f>
        <v/>
      </c>
      <c r="G2213" s="53">
        <f>IF(B2213="","",IFERROR(INDEX(Client_List!$K:$K,MATCH(VALUE(B2213),Client_List!$A:$A,0)),""))</f>
        <v/>
      </c>
      <c r="H2213" s="32">
        <f>IF(B2213="","",IFERROR(INDEX(Client_List!$J:$J,MATCH(VALUE(B2213),Client_List!$A:$A,0)),""))</f>
        <v/>
      </c>
      <c r="I2213" s="70">
        <f>IF(B2213="","",IFERROR(A2213-LOOKUP(2,1/($B$4:$B2212=B2213),$A$4:$A2212),""))</f>
        <v/>
      </c>
      <c r="J2213" s="32">
        <f>IF(B2213="","",IFERROR(D2213/I2213,""))</f>
        <v/>
      </c>
      <c r="K2213" s="71">
        <f>IF(B2213="","",IFERROR(AVERAGEIFS($J$4:$J2213,$B$4:$B2213,B2213,$J$4:$J2213,"&gt;"&amp;0),""))</f>
        <v/>
      </c>
      <c r="L2213" s="11" t="n"/>
    </row>
    <row r="2214" ht="14" customHeight="1" s="72">
      <c r="A2214" s="80" t="n"/>
      <c r="B2214" s="81" t="n"/>
      <c r="C2214" s="69">
        <f>IF(B2214="","",IFERROR(INDEX(Client_List!$B:$B,MATCH(B2214,Client_List!$A:$A,0)),"⚠ NOT FOUND"))</f>
        <v/>
      </c>
      <c r="D2214" s="45" t="n"/>
      <c r="E2214" s="32">
        <f>IF(B2214="","",IFERROR(INDEX(Client_List!$C:$C,MATCH(VALUE(B2214),Client_List!$A:$A,0)),""))</f>
        <v/>
      </c>
      <c r="F2214" s="53">
        <f>IF(B2214="","",IFERROR(INDEX(Client_List!$D:$D,MATCH(VALUE(B2214),Client_List!$A:$A,0)),""))</f>
        <v/>
      </c>
      <c r="G2214" s="53">
        <f>IF(B2214="","",IFERROR(INDEX(Client_List!$K:$K,MATCH(VALUE(B2214),Client_List!$A:$A,0)),""))</f>
        <v/>
      </c>
      <c r="H2214" s="32">
        <f>IF(B2214="","",IFERROR(INDEX(Client_List!$J:$J,MATCH(VALUE(B2214),Client_List!$A:$A,0)),""))</f>
        <v/>
      </c>
      <c r="I2214" s="70">
        <f>IF(B2214="","",IFERROR(A2214-LOOKUP(2,1/($B$4:$B2213=B2214),$A$4:$A2213),""))</f>
        <v/>
      </c>
      <c r="J2214" s="32">
        <f>IF(B2214="","",IFERROR(D2214/I2214,""))</f>
        <v/>
      </c>
      <c r="K2214" s="71">
        <f>IF(B2214="","",IFERROR(AVERAGEIFS($J$4:$J2214,$B$4:$B2214,B2214,$J$4:$J2214,"&gt;"&amp;0),""))</f>
        <v/>
      </c>
      <c r="L2214" s="12" t="n"/>
    </row>
    <row r="2215" ht="14" customHeight="1" s="72">
      <c r="A2215" s="78" t="n"/>
      <c r="B2215" s="79" t="n"/>
      <c r="C2215" s="69">
        <f>IF(B2215="","",IFERROR(INDEX(Client_List!$B:$B,MATCH(B2215,Client_List!$A:$A,0)),"⚠ NOT FOUND"))</f>
        <v/>
      </c>
      <c r="D2215" s="44" t="n"/>
      <c r="E2215" s="32">
        <f>IF(B2215="","",IFERROR(INDEX(Client_List!$C:$C,MATCH(VALUE(B2215),Client_List!$A:$A,0)),""))</f>
        <v/>
      </c>
      <c r="F2215" s="53">
        <f>IF(B2215="","",IFERROR(INDEX(Client_List!$D:$D,MATCH(VALUE(B2215),Client_List!$A:$A,0)),""))</f>
        <v/>
      </c>
      <c r="G2215" s="53">
        <f>IF(B2215="","",IFERROR(INDEX(Client_List!$K:$K,MATCH(VALUE(B2215),Client_List!$A:$A,0)),""))</f>
        <v/>
      </c>
      <c r="H2215" s="32">
        <f>IF(B2215="","",IFERROR(INDEX(Client_List!$J:$J,MATCH(VALUE(B2215),Client_List!$A:$A,0)),""))</f>
        <v/>
      </c>
      <c r="I2215" s="70">
        <f>IF(B2215="","",IFERROR(A2215-LOOKUP(2,1/($B$4:$B2214=B2215),$A$4:$A2214),""))</f>
        <v/>
      </c>
      <c r="J2215" s="32">
        <f>IF(B2215="","",IFERROR(D2215/I2215,""))</f>
        <v/>
      </c>
      <c r="K2215" s="71">
        <f>IF(B2215="","",IFERROR(AVERAGEIFS($J$4:$J2215,$B$4:$B2215,B2215,$J$4:$J2215,"&gt;"&amp;0),""))</f>
        <v/>
      </c>
      <c r="L2215" s="11" t="n"/>
    </row>
    <row r="2216" ht="14" customHeight="1" s="72">
      <c r="A2216" s="80" t="n"/>
      <c r="B2216" s="81" t="n"/>
      <c r="C2216" s="69">
        <f>IF(B2216="","",IFERROR(INDEX(Client_List!$B:$B,MATCH(B2216,Client_List!$A:$A,0)),"⚠ NOT FOUND"))</f>
        <v/>
      </c>
      <c r="D2216" s="45" t="n"/>
      <c r="E2216" s="32">
        <f>IF(B2216="","",IFERROR(INDEX(Client_List!$C:$C,MATCH(VALUE(B2216),Client_List!$A:$A,0)),""))</f>
        <v/>
      </c>
      <c r="F2216" s="53">
        <f>IF(B2216="","",IFERROR(INDEX(Client_List!$D:$D,MATCH(VALUE(B2216),Client_List!$A:$A,0)),""))</f>
        <v/>
      </c>
      <c r="G2216" s="53">
        <f>IF(B2216="","",IFERROR(INDEX(Client_List!$K:$K,MATCH(VALUE(B2216),Client_List!$A:$A,0)),""))</f>
        <v/>
      </c>
      <c r="H2216" s="32">
        <f>IF(B2216="","",IFERROR(INDEX(Client_List!$J:$J,MATCH(VALUE(B2216),Client_List!$A:$A,0)),""))</f>
        <v/>
      </c>
      <c r="I2216" s="70">
        <f>IF(B2216="","",IFERROR(A2216-LOOKUP(2,1/($B$4:$B2215=B2216),$A$4:$A2215),""))</f>
        <v/>
      </c>
      <c r="J2216" s="32">
        <f>IF(B2216="","",IFERROR(D2216/I2216,""))</f>
        <v/>
      </c>
      <c r="K2216" s="71">
        <f>IF(B2216="","",IFERROR(AVERAGEIFS($J$4:$J2216,$B$4:$B2216,B2216,$J$4:$J2216,"&gt;"&amp;0),""))</f>
        <v/>
      </c>
      <c r="L2216" s="12" t="n"/>
    </row>
    <row r="2217" ht="14" customHeight="1" s="72">
      <c r="A2217" s="78" t="n"/>
      <c r="B2217" s="79" t="n"/>
      <c r="C2217" s="69">
        <f>IF(B2217="","",IFERROR(INDEX(Client_List!$B:$B,MATCH(B2217,Client_List!$A:$A,0)),"⚠ NOT FOUND"))</f>
        <v/>
      </c>
      <c r="D2217" s="44" t="n"/>
      <c r="E2217" s="32">
        <f>IF(B2217="","",IFERROR(INDEX(Client_List!$C:$C,MATCH(VALUE(B2217),Client_List!$A:$A,0)),""))</f>
        <v/>
      </c>
      <c r="F2217" s="53">
        <f>IF(B2217="","",IFERROR(INDEX(Client_List!$D:$D,MATCH(VALUE(B2217),Client_List!$A:$A,0)),""))</f>
        <v/>
      </c>
      <c r="G2217" s="53">
        <f>IF(B2217="","",IFERROR(INDEX(Client_List!$K:$K,MATCH(VALUE(B2217),Client_List!$A:$A,0)),""))</f>
        <v/>
      </c>
      <c r="H2217" s="32">
        <f>IF(B2217="","",IFERROR(INDEX(Client_List!$J:$J,MATCH(VALUE(B2217),Client_List!$A:$A,0)),""))</f>
        <v/>
      </c>
      <c r="I2217" s="70">
        <f>IF(B2217="","",IFERROR(A2217-LOOKUP(2,1/($B$4:$B2216=B2217),$A$4:$A2216),""))</f>
        <v/>
      </c>
      <c r="J2217" s="32">
        <f>IF(B2217="","",IFERROR(D2217/I2217,""))</f>
        <v/>
      </c>
      <c r="K2217" s="71">
        <f>IF(B2217="","",IFERROR(AVERAGEIFS($J$4:$J2217,$B$4:$B2217,B2217,$J$4:$J2217,"&gt;"&amp;0),""))</f>
        <v/>
      </c>
      <c r="L2217" s="11" t="n"/>
    </row>
    <row r="2218" ht="14" customHeight="1" s="72">
      <c r="A2218" s="80" t="n"/>
      <c r="B2218" s="81" t="n"/>
      <c r="C2218" s="69">
        <f>IF(B2218="","",IFERROR(INDEX(Client_List!$B:$B,MATCH(B2218,Client_List!$A:$A,0)),"⚠ NOT FOUND"))</f>
        <v/>
      </c>
      <c r="D2218" s="45" t="n"/>
      <c r="E2218" s="32">
        <f>IF(B2218="","",IFERROR(INDEX(Client_List!$C:$C,MATCH(VALUE(B2218),Client_List!$A:$A,0)),""))</f>
        <v/>
      </c>
      <c r="F2218" s="53">
        <f>IF(B2218="","",IFERROR(INDEX(Client_List!$D:$D,MATCH(VALUE(B2218),Client_List!$A:$A,0)),""))</f>
        <v/>
      </c>
      <c r="G2218" s="53">
        <f>IF(B2218="","",IFERROR(INDEX(Client_List!$K:$K,MATCH(VALUE(B2218),Client_List!$A:$A,0)),""))</f>
        <v/>
      </c>
      <c r="H2218" s="32">
        <f>IF(B2218="","",IFERROR(INDEX(Client_List!$J:$J,MATCH(VALUE(B2218),Client_List!$A:$A,0)),""))</f>
        <v/>
      </c>
      <c r="I2218" s="70">
        <f>IF(B2218="","",IFERROR(A2218-LOOKUP(2,1/($B$4:$B2217=B2218),$A$4:$A2217),""))</f>
        <v/>
      </c>
      <c r="J2218" s="32">
        <f>IF(B2218="","",IFERROR(D2218/I2218,""))</f>
        <v/>
      </c>
      <c r="K2218" s="71">
        <f>IF(B2218="","",IFERROR(AVERAGEIFS($J$4:$J2218,$B$4:$B2218,B2218,$J$4:$J2218,"&gt;"&amp;0),""))</f>
        <v/>
      </c>
      <c r="L2218" s="12" t="n"/>
    </row>
    <row r="2219" ht="14" customHeight="1" s="72">
      <c r="A2219" s="78" t="n"/>
      <c r="B2219" s="79" t="n"/>
      <c r="C2219" s="69">
        <f>IF(B2219="","",IFERROR(INDEX(Client_List!$B:$B,MATCH(B2219,Client_List!$A:$A,0)),"⚠ NOT FOUND"))</f>
        <v/>
      </c>
      <c r="D2219" s="44" t="n"/>
      <c r="E2219" s="32">
        <f>IF(B2219="","",IFERROR(INDEX(Client_List!$C:$C,MATCH(VALUE(B2219),Client_List!$A:$A,0)),""))</f>
        <v/>
      </c>
      <c r="F2219" s="53">
        <f>IF(B2219="","",IFERROR(INDEX(Client_List!$D:$D,MATCH(VALUE(B2219),Client_List!$A:$A,0)),""))</f>
        <v/>
      </c>
      <c r="G2219" s="53">
        <f>IF(B2219="","",IFERROR(INDEX(Client_List!$K:$K,MATCH(VALUE(B2219),Client_List!$A:$A,0)),""))</f>
        <v/>
      </c>
      <c r="H2219" s="32">
        <f>IF(B2219="","",IFERROR(INDEX(Client_List!$J:$J,MATCH(VALUE(B2219),Client_List!$A:$A,0)),""))</f>
        <v/>
      </c>
      <c r="I2219" s="70">
        <f>IF(B2219="","",IFERROR(A2219-LOOKUP(2,1/($B$4:$B2218=B2219),$A$4:$A2218),""))</f>
        <v/>
      </c>
      <c r="J2219" s="32">
        <f>IF(B2219="","",IFERROR(D2219/I2219,""))</f>
        <v/>
      </c>
      <c r="K2219" s="71">
        <f>IF(B2219="","",IFERROR(AVERAGEIFS($J$4:$J2219,$B$4:$B2219,B2219,$J$4:$J2219,"&gt;"&amp;0),""))</f>
        <v/>
      </c>
      <c r="L2219" s="11" t="n"/>
    </row>
    <row r="2220" ht="14" customHeight="1" s="72">
      <c r="A2220" s="80" t="n"/>
      <c r="B2220" s="81" t="n"/>
      <c r="C2220" s="69">
        <f>IF(B2220="","",IFERROR(INDEX(Client_List!$B:$B,MATCH(B2220,Client_List!$A:$A,0)),"⚠ NOT FOUND"))</f>
        <v/>
      </c>
      <c r="D2220" s="45" t="n"/>
      <c r="E2220" s="32">
        <f>IF(B2220="","",IFERROR(INDEX(Client_List!$C:$C,MATCH(VALUE(B2220),Client_List!$A:$A,0)),""))</f>
        <v/>
      </c>
      <c r="F2220" s="53">
        <f>IF(B2220="","",IFERROR(INDEX(Client_List!$D:$D,MATCH(VALUE(B2220),Client_List!$A:$A,0)),""))</f>
        <v/>
      </c>
      <c r="G2220" s="53">
        <f>IF(B2220="","",IFERROR(INDEX(Client_List!$K:$K,MATCH(VALUE(B2220),Client_List!$A:$A,0)),""))</f>
        <v/>
      </c>
      <c r="H2220" s="32">
        <f>IF(B2220="","",IFERROR(INDEX(Client_List!$J:$J,MATCH(VALUE(B2220),Client_List!$A:$A,0)),""))</f>
        <v/>
      </c>
      <c r="I2220" s="70">
        <f>IF(B2220="","",IFERROR(A2220-LOOKUP(2,1/($B$4:$B2219=B2220),$A$4:$A2219),""))</f>
        <v/>
      </c>
      <c r="J2220" s="32">
        <f>IF(B2220="","",IFERROR(D2220/I2220,""))</f>
        <v/>
      </c>
      <c r="K2220" s="71">
        <f>IF(B2220="","",IFERROR(AVERAGEIFS($J$4:$J2220,$B$4:$B2220,B2220,$J$4:$J2220,"&gt;"&amp;0),""))</f>
        <v/>
      </c>
      <c r="L2220" s="12" t="n"/>
    </row>
    <row r="2221" ht="14" customHeight="1" s="72">
      <c r="A2221" s="78" t="n"/>
      <c r="B2221" s="79" t="n"/>
      <c r="C2221" s="69">
        <f>IF(B2221="","",IFERROR(INDEX(Client_List!$B:$B,MATCH(B2221,Client_List!$A:$A,0)),"⚠ NOT FOUND"))</f>
        <v/>
      </c>
      <c r="D2221" s="44" t="n"/>
      <c r="E2221" s="32">
        <f>IF(B2221="","",IFERROR(INDEX(Client_List!$C:$C,MATCH(VALUE(B2221),Client_List!$A:$A,0)),""))</f>
        <v/>
      </c>
      <c r="F2221" s="53">
        <f>IF(B2221="","",IFERROR(INDEX(Client_List!$D:$D,MATCH(VALUE(B2221),Client_List!$A:$A,0)),""))</f>
        <v/>
      </c>
      <c r="G2221" s="53">
        <f>IF(B2221="","",IFERROR(INDEX(Client_List!$K:$K,MATCH(VALUE(B2221),Client_List!$A:$A,0)),""))</f>
        <v/>
      </c>
      <c r="H2221" s="32">
        <f>IF(B2221="","",IFERROR(INDEX(Client_List!$J:$J,MATCH(VALUE(B2221),Client_List!$A:$A,0)),""))</f>
        <v/>
      </c>
      <c r="I2221" s="70">
        <f>IF(B2221="","",IFERROR(A2221-LOOKUP(2,1/($B$4:$B2220=B2221),$A$4:$A2220),""))</f>
        <v/>
      </c>
      <c r="J2221" s="32">
        <f>IF(B2221="","",IFERROR(D2221/I2221,""))</f>
        <v/>
      </c>
      <c r="K2221" s="71">
        <f>IF(B2221="","",IFERROR(AVERAGEIFS($J$4:$J2221,$B$4:$B2221,B2221,$J$4:$J2221,"&gt;"&amp;0),""))</f>
        <v/>
      </c>
      <c r="L2221" s="11" t="n"/>
    </row>
    <row r="2222" ht="14" customHeight="1" s="72">
      <c r="A2222" s="80" t="n"/>
      <c r="B2222" s="81" t="n"/>
      <c r="C2222" s="69">
        <f>IF(B2222="","",IFERROR(INDEX(Client_List!$B:$B,MATCH(B2222,Client_List!$A:$A,0)),"⚠ NOT FOUND"))</f>
        <v/>
      </c>
      <c r="D2222" s="45" t="n"/>
      <c r="E2222" s="32">
        <f>IF(B2222="","",IFERROR(INDEX(Client_List!$C:$C,MATCH(VALUE(B2222),Client_List!$A:$A,0)),""))</f>
        <v/>
      </c>
      <c r="F2222" s="53">
        <f>IF(B2222="","",IFERROR(INDEX(Client_List!$D:$D,MATCH(VALUE(B2222),Client_List!$A:$A,0)),""))</f>
        <v/>
      </c>
      <c r="G2222" s="53">
        <f>IF(B2222="","",IFERROR(INDEX(Client_List!$K:$K,MATCH(VALUE(B2222),Client_List!$A:$A,0)),""))</f>
        <v/>
      </c>
      <c r="H2222" s="32">
        <f>IF(B2222="","",IFERROR(INDEX(Client_List!$J:$J,MATCH(VALUE(B2222),Client_List!$A:$A,0)),""))</f>
        <v/>
      </c>
      <c r="I2222" s="70">
        <f>IF(B2222="","",IFERROR(A2222-LOOKUP(2,1/($B$4:$B2221=B2222),$A$4:$A2221),""))</f>
        <v/>
      </c>
      <c r="J2222" s="32">
        <f>IF(B2222="","",IFERROR(D2222/I2222,""))</f>
        <v/>
      </c>
      <c r="K2222" s="71">
        <f>IF(B2222="","",IFERROR(AVERAGEIFS($J$4:$J2222,$B$4:$B2222,B2222,$J$4:$J2222,"&gt;"&amp;0),""))</f>
        <v/>
      </c>
      <c r="L2222" s="12" t="n"/>
    </row>
    <row r="2223" ht="14" customHeight="1" s="72">
      <c r="A2223" s="78" t="n"/>
      <c r="B2223" s="79" t="n"/>
      <c r="C2223" s="69">
        <f>IF(B2223="","",IFERROR(INDEX(Client_List!$B:$B,MATCH(B2223,Client_List!$A:$A,0)),"⚠ NOT FOUND"))</f>
        <v/>
      </c>
      <c r="D2223" s="44" t="n"/>
      <c r="E2223" s="32">
        <f>IF(B2223="","",IFERROR(INDEX(Client_List!$C:$C,MATCH(VALUE(B2223),Client_List!$A:$A,0)),""))</f>
        <v/>
      </c>
      <c r="F2223" s="53">
        <f>IF(B2223="","",IFERROR(INDEX(Client_List!$D:$D,MATCH(VALUE(B2223),Client_List!$A:$A,0)),""))</f>
        <v/>
      </c>
      <c r="G2223" s="53">
        <f>IF(B2223="","",IFERROR(INDEX(Client_List!$K:$K,MATCH(VALUE(B2223),Client_List!$A:$A,0)),""))</f>
        <v/>
      </c>
      <c r="H2223" s="32">
        <f>IF(B2223="","",IFERROR(INDEX(Client_List!$J:$J,MATCH(VALUE(B2223),Client_List!$A:$A,0)),""))</f>
        <v/>
      </c>
      <c r="I2223" s="70">
        <f>IF(B2223="","",IFERROR(A2223-LOOKUP(2,1/($B$4:$B2222=B2223),$A$4:$A2222),""))</f>
        <v/>
      </c>
      <c r="J2223" s="32">
        <f>IF(B2223="","",IFERROR(D2223/I2223,""))</f>
        <v/>
      </c>
      <c r="K2223" s="71">
        <f>IF(B2223="","",IFERROR(AVERAGEIFS($J$4:$J2223,$B$4:$B2223,B2223,$J$4:$J2223,"&gt;"&amp;0),""))</f>
        <v/>
      </c>
      <c r="L2223" s="11" t="n"/>
    </row>
    <row r="2224" ht="14" customHeight="1" s="72">
      <c r="A2224" s="80" t="n"/>
      <c r="B2224" s="81" t="n"/>
      <c r="C2224" s="69">
        <f>IF(B2224="","",IFERROR(INDEX(Client_List!$B:$B,MATCH(B2224,Client_List!$A:$A,0)),"⚠ NOT FOUND"))</f>
        <v/>
      </c>
      <c r="D2224" s="45" t="n"/>
      <c r="E2224" s="32">
        <f>IF(B2224="","",IFERROR(INDEX(Client_List!$C:$C,MATCH(VALUE(B2224),Client_List!$A:$A,0)),""))</f>
        <v/>
      </c>
      <c r="F2224" s="53">
        <f>IF(B2224="","",IFERROR(INDEX(Client_List!$D:$D,MATCH(VALUE(B2224),Client_List!$A:$A,0)),""))</f>
        <v/>
      </c>
      <c r="G2224" s="53">
        <f>IF(B2224="","",IFERROR(INDEX(Client_List!$K:$K,MATCH(VALUE(B2224),Client_List!$A:$A,0)),""))</f>
        <v/>
      </c>
      <c r="H2224" s="32">
        <f>IF(B2224="","",IFERROR(INDEX(Client_List!$J:$J,MATCH(VALUE(B2224),Client_List!$A:$A,0)),""))</f>
        <v/>
      </c>
      <c r="I2224" s="70">
        <f>IF(B2224="","",IFERROR(A2224-LOOKUP(2,1/($B$4:$B2223=B2224),$A$4:$A2223),""))</f>
        <v/>
      </c>
      <c r="J2224" s="32">
        <f>IF(B2224="","",IFERROR(D2224/I2224,""))</f>
        <v/>
      </c>
      <c r="K2224" s="71">
        <f>IF(B2224="","",IFERROR(AVERAGEIFS($J$4:$J2224,$B$4:$B2224,B2224,$J$4:$J2224,"&gt;"&amp;0),""))</f>
        <v/>
      </c>
      <c r="L2224" s="12" t="n"/>
    </row>
    <row r="2225" ht="14" customHeight="1" s="72">
      <c r="A2225" s="78" t="n"/>
      <c r="B2225" s="79" t="n"/>
      <c r="C2225" s="69">
        <f>IF(B2225="","",IFERROR(INDEX(Client_List!$B:$B,MATCH(B2225,Client_List!$A:$A,0)),"⚠ NOT FOUND"))</f>
        <v/>
      </c>
      <c r="D2225" s="44" t="n"/>
      <c r="E2225" s="32">
        <f>IF(B2225="","",IFERROR(INDEX(Client_List!$C:$C,MATCH(VALUE(B2225),Client_List!$A:$A,0)),""))</f>
        <v/>
      </c>
      <c r="F2225" s="53">
        <f>IF(B2225="","",IFERROR(INDEX(Client_List!$D:$D,MATCH(VALUE(B2225),Client_List!$A:$A,0)),""))</f>
        <v/>
      </c>
      <c r="G2225" s="53">
        <f>IF(B2225="","",IFERROR(INDEX(Client_List!$K:$K,MATCH(VALUE(B2225),Client_List!$A:$A,0)),""))</f>
        <v/>
      </c>
      <c r="H2225" s="32">
        <f>IF(B2225="","",IFERROR(INDEX(Client_List!$J:$J,MATCH(VALUE(B2225),Client_List!$A:$A,0)),""))</f>
        <v/>
      </c>
      <c r="I2225" s="70">
        <f>IF(B2225="","",IFERROR(A2225-LOOKUP(2,1/($B$4:$B2224=B2225),$A$4:$A2224),""))</f>
        <v/>
      </c>
      <c r="J2225" s="32">
        <f>IF(B2225="","",IFERROR(D2225/I2225,""))</f>
        <v/>
      </c>
      <c r="K2225" s="71">
        <f>IF(B2225="","",IFERROR(AVERAGEIFS($J$4:$J2225,$B$4:$B2225,B2225,$J$4:$J2225,"&gt;"&amp;0),""))</f>
        <v/>
      </c>
      <c r="L2225" s="11" t="n"/>
    </row>
    <row r="2226" ht="14" customHeight="1" s="72">
      <c r="A2226" s="80" t="n"/>
      <c r="B2226" s="81" t="n"/>
      <c r="C2226" s="69">
        <f>IF(B2226="","",IFERROR(INDEX(Client_List!$B:$B,MATCH(B2226,Client_List!$A:$A,0)),"⚠ NOT FOUND"))</f>
        <v/>
      </c>
      <c r="D2226" s="45" t="n"/>
      <c r="E2226" s="32">
        <f>IF(B2226="","",IFERROR(INDEX(Client_List!$C:$C,MATCH(VALUE(B2226),Client_List!$A:$A,0)),""))</f>
        <v/>
      </c>
      <c r="F2226" s="53">
        <f>IF(B2226="","",IFERROR(INDEX(Client_List!$D:$D,MATCH(VALUE(B2226),Client_List!$A:$A,0)),""))</f>
        <v/>
      </c>
      <c r="G2226" s="53">
        <f>IF(B2226="","",IFERROR(INDEX(Client_List!$K:$K,MATCH(VALUE(B2226),Client_List!$A:$A,0)),""))</f>
        <v/>
      </c>
      <c r="H2226" s="32">
        <f>IF(B2226="","",IFERROR(INDEX(Client_List!$J:$J,MATCH(VALUE(B2226),Client_List!$A:$A,0)),""))</f>
        <v/>
      </c>
      <c r="I2226" s="70">
        <f>IF(B2226="","",IFERROR(A2226-LOOKUP(2,1/($B$4:$B2225=B2226),$A$4:$A2225),""))</f>
        <v/>
      </c>
      <c r="J2226" s="32">
        <f>IF(B2226="","",IFERROR(D2226/I2226,""))</f>
        <v/>
      </c>
      <c r="K2226" s="71">
        <f>IF(B2226="","",IFERROR(AVERAGEIFS($J$4:$J2226,$B$4:$B2226,B2226,$J$4:$J2226,"&gt;"&amp;0),""))</f>
        <v/>
      </c>
      <c r="L2226" s="12" t="n"/>
    </row>
    <row r="2227" ht="14" customHeight="1" s="72">
      <c r="A2227" s="78" t="n"/>
      <c r="B2227" s="79" t="n"/>
      <c r="C2227" s="69">
        <f>IF(B2227="","",IFERROR(INDEX(Client_List!$B:$B,MATCH(B2227,Client_List!$A:$A,0)),"⚠ NOT FOUND"))</f>
        <v/>
      </c>
      <c r="D2227" s="44" t="n"/>
      <c r="E2227" s="32">
        <f>IF(B2227="","",IFERROR(INDEX(Client_List!$C:$C,MATCH(VALUE(B2227),Client_List!$A:$A,0)),""))</f>
        <v/>
      </c>
      <c r="F2227" s="53">
        <f>IF(B2227="","",IFERROR(INDEX(Client_List!$D:$D,MATCH(VALUE(B2227),Client_List!$A:$A,0)),""))</f>
        <v/>
      </c>
      <c r="G2227" s="53">
        <f>IF(B2227="","",IFERROR(INDEX(Client_List!$K:$K,MATCH(VALUE(B2227),Client_List!$A:$A,0)),""))</f>
        <v/>
      </c>
      <c r="H2227" s="32">
        <f>IF(B2227="","",IFERROR(INDEX(Client_List!$J:$J,MATCH(VALUE(B2227),Client_List!$A:$A,0)),""))</f>
        <v/>
      </c>
      <c r="I2227" s="70">
        <f>IF(B2227="","",IFERROR(A2227-LOOKUP(2,1/($B$4:$B2226=B2227),$A$4:$A2226),""))</f>
        <v/>
      </c>
      <c r="J2227" s="32">
        <f>IF(B2227="","",IFERROR(D2227/I2227,""))</f>
        <v/>
      </c>
      <c r="K2227" s="71">
        <f>IF(B2227="","",IFERROR(AVERAGEIFS($J$4:$J2227,$B$4:$B2227,B2227,$J$4:$J2227,"&gt;"&amp;0),""))</f>
        <v/>
      </c>
      <c r="L2227" s="11" t="n"/>
    </row>
    <row r="2228" ht="14" customHeight="1" s="72">
      <c r="A2228" s="80" t="n"/>
      <c r="B2228" s="81" t="n"/>
      <c r="C2228" s="69">
        <f>IF(B2228="","",IFERROR(INDEX(Client_List!$B:$B,MATCH(B2228,Client_List!$A:$A,0)),"⚠ NOT FOUND"))</f>
        <v/>
      </c>
      <c r="D2228" s="45" t="n"/>
      <c r="E2228" s="32">
        <f>IF(B2228="","",IFERROR(INDEX(Client_List!$C:$C,MATCH(VALUE(B2228),Client_List!$A:$A,0)),""))</f>
        <v/>
      </c>
      <c r="F2228" s="53">
        <f>IF(B2228="","",IFERROR(INDEX(Client_List!$D:$D,MATCH(VALUE(B2228),Client_List!$A:$A,0)),""))</f>
        <v/>
      </c>
      <c r="G2228" s="53">
        <f>IF(B2228="","",IFERROR(INDEX(Client_List!$K:$K,MATCH(VALUE(B2228),Client_List!$A:$A,0)),""))</f>
        <v/>
      </c>
      <c r="H2228" s="32">
        <f>IF(B2228="","",IFERROR(INDEX(Client_List!$J:$J,MATCH(VALUE(B2228),Client_List!$A:$A,0)),""))</f>
        <v/>
      </c>
      <c r="I2228" s="70">
        <f>IF(B2228="","",IFERROR(A2228-LOOKUP(2,1/($B$4:$B2227=B2228),$A$4:$A2227),""))</f>
        <v/>
      </c>
      <c r="J2228" s="32">
        <f>IF(B2228="","",IFERROR(D2228/I2228,""))</f>
        <v/>
      </c>
      <c r="K2228" s="71">
        <f>IF(B2228="","",IFERROR(AVERAGEIFS($J$4:$J2228,$B$4:$B2228,B2228,$J$4:$J2228,"&gt;"&amp;0),""))</f>
        <v/>
      </c>
      <c r="L2228" s="12" t="n"/>
    </row>
    <row r="2229" ht="14" customHeight="1" s="72">
      <c r="A2229" s="78" t="n"/>
      <c r="B2229" s="79" t="n"/>
      <c r="C2229" s="69">
        <f>IF(B2229="","",IFERROR(INDEX(Client_List!$B:$B,MATCH(B2229,Client_List!$A:$A,0)),"⚠ NOT FOUND"))</f>
        <v/>
      </c>
      <c r="D2229" s="44" t="n"/>
      <c r="E2229" s="32">
        <f>IF(B2229="","",IFERROR(INDEX(Client_List!$C:$C,MATCH(VALUE(B2229),Client_List!$A:$A,0)),""))</f>
        <v/>
      </c>
      <c r="F2229" s="53">
        <f>IF(B2229="","",IFERROR(INDEX(Client_List!$D:$D,MATCH(VALUE(B2229),Client_List!$A:$A,0)),""))</f>
        <v/>
      </c>
      <c r="G2229" s="53">
        <f>IF(B2229="","",IFERROR(INDEX(Client_List!$K:$K,MATCH(VALUE(B2229),Client_List!$A:$A,0)),""))</f>
        <v/>
      </c>
      <c r="H2229" s="32">
        <f>IF(B2229="","",IFERROR(INDEX(Client_List!$J:$J,MATCH(VALUE(B2229),Client_List!$A:$A,0)),""))</f>
        <v/>
      </c>
      <c r="I2229" s="70">
        <f>IF(B2229="","",IFERROR(A2229-LOOKUP(2,1/($B$4:$B2228=B2229),$A$4:$A2228),""))</f>
        <v/>
      </c>
      <c r="J2229" s="32">
        <f>IF(B2229="","",IFERROR(D2229/I2229,""))</f>
        <v/>
      </c>
      <c r="K2229" s="71">
        <f>IF(B2229="","",IFERROR(AVERAGEIFS($J$4:$J2229,$B$4:$B2229,B2229,$J$4:$J2229,"&gt;"&amp;0),""))</f>
        <v/>
      </c>
      <c r="L2229" s="11" t="n"/>
    </row>
    <row r="2230" ht="14" customHeight="1" s="72">
      <c r="A2230" s="80" t="n"/>
      <c r="B2230" s="81" t="n"/>
      <c r="C2230" s="69">
        <f>IF(B2230="","",IFERROR(INDEX(Client_List!$B:$B,MATCH(B2230,Client_List!$A:$A,0)),"⚠ NOT FOUND"))</f>
        <v/>
      </c>
      <c r="D2230" s="45" t="n"/>
      <c r="E2230" s="32">
        <f>IF(B2230="","",IFERROR(INDEX(Client_List!$C:$C,MATCH(VALUE(B2230),Client_List!$A:$A,0)),""))</f>
        <v/>
      </c>
      <c r="F2230" s="53">
        <f>IF(B2230="","",IFERROR(INDEX(Client_List!$D:$D,MATCH(VALUE(B2230),Client_List!$A:$A,0)),""))</f>
        <v/>
      </c>
      <c r="G2230" s="53">
        <f>IF(B2230="","",IFERROR(INDEX(Client_List!$K:$K,MATCH(VALUE(B2230),Client_List!$A:$A,0)),""))</f>
        <v/>
      </c>
      <c r="H2230" s="32">
        <f>IF(B2230="","",IFERROR(INDEX(Client_List!$J:$J,MATCH(VALUE(B2230),Client_List!$A:$A,0)),""))</f>
        <v/>
      </c>
      <c r="I2230" s="70">
        <f>IF(B2230="","",IFERROR(A2230-LOOKUP(2,1/($B$4:$B2229=B2230),$A$4:$A2229),""))</f>
        <v/>
      </c>
      <c r="J2230" s="32">
        <f>IF(B2230="","",IFERROR(D2230/I2230,""))</f>
        <v/>
      </c>
      <c r="K2230" s="71">
        <f>IF(B2230="","",IFERROR(AVERAGEIFS($J$4:$J2230,$B$4:$B2230,B2230,$J$4:$J2230,"&gt;"&amp;0),""))</f>
        <v/>
      </c>
      <c r="L2230" s="12" t="n"/>
    </row>
    <row r="2231" ht="14" customHeight="1" s="72">
      <c r="A2231" s="78" t="n"/>
      <c r="B2231" s="79" t="n"/>
      <c r="C2231" s="69">
        <f>IF(B2231="","",IFERROR(INDEX(Client_List!$B:$B,MATCH(B2231,Client_List!$A:$A,0)),"⚠ NOT FOUND"))</f>
        <v/>
      </c>
      <c r="D2231" s="44" t="n"/>
      <c r="E2231" s="32">
        <f>IF(B2231="","",IFERROR(INDEX(Client_List!$C:$C,MATCH(VALUE(B2231),Client_List!$A:$A,0)),""))</f>
        <v/>
      </c>
      <c r="F2231" s="53">
        <f>IF(B2231="","",IFERROR(INDEX(Client_List!$D:$D,MATCH(VALUE(B2231),Client_List!$A:$A,0)),""))</f>
        <v/>
      </c>
      <c r="G2231" s="53">
        <f>IF(B2231="","",IFERROR(INDEX(Client_List!$K:$K,MATCH(VALUE(B2231),Client_List!$A:$A,0)),""))</f>
        <v/>
      </c>
      <c r="H2231" s="32">
        <f>IF(B2231="","",IFERROR(INDEX(Client_List!$J:$J,MATCH(VALUE(B2231),Client_List!$A:$A,0)),""))</f>
        <v/>
      </c>
      <c r="I2231" s="70">
        <f>IF(B2231="","",IFERROR(A2231-LOOKUP(2,1/($B$4:$B2230=B2231),$A$4:$A2230),""))</f>
        <v/>
      </c>
      <c r="J2231" s="32">
        <f>IF(B2231="","",IFERROR(D2231/I2231,""))</f>
        <v/>
      </c>
      <c r="K2231" s="71">
        <f>IF(B2231="","",IFERROR(AVERAGEIFS($J$4:$J2231,$B$4:$B2231,B2231,$J$4:$J2231,"&gt;"&amp;0),""))</f>
        <v/>
      </c>
      <c r="L2231" s="11" t="n"/>
    </row>
    <row r="2232" ht="14" customHeight="1" s="72">
      <c r="A2232" s="80" t="n"/>
      <c r="B2232" s="81" t="n"/>
      <c r="C2232" s="69">
        <f>IF(B2232="","",IFERROR(INDEX(Client_List!$B:$B,MATCH(B2232,Client_List!$A:$A,0)),"⚠ NOT FOUND"))</f>
        <v/>
      </c>
      <c r="D2232" s="45" t="n"/>
      <c r="E2232" s="32">
        <f>IF(B2232="","",IFERROR(INDEX(Client_List!$C:$C,MATCH(VALUE(B2232),Client_List!$A:$A,0)),""))</f>
        <v/>
      </c>
      <c r="F2232" s="53">
        <f>IF(B2232="","",IFERROR(INDEX(Client_List!$D:$D,MATCH(VALUE(B2232),Client_List!$A:$A,0)),""))</f>
        <v/>
      </c>
      <c r="G2232" s="53">
        <f>IF(B2232="","",IFERROR(INDEX(Client_List!$K:$K,MATCH(VALUE(B2232),Client_List!$A:$A,0)),""))</f>
        <v/>
      </c>
      <c r="H2232" s="32">
        <f>IF(B2232="","",IFERROR(INDEX(Client_List!$J:$J,MATCH(VALUE(B2232),Client_List!$A:$A,0)),""))</f>
        <v/>
      </c>
      <c r="I2232" s="70">
        <f>IF(B2232="","",IFERROR(A2232-LOOKUP(2,1/($B$4:$B2231=B2232),$A$4:$A2231),""))</f>
        <v/>
      </c>
      <c r="J2232" s="32">
        <f>IF(B2232="","",IFERROR(D2232/I2232,""))</f>
        <v/>
      </c>
      <c r="K2232" s="71">
        <f>IF(B2232="","",IFERROR(AVERAGEIFS($J$4:$J2232,$B$4:$B2232,B2232,$J$4:$J2232,"&gt;"&amp;0),""))</f>
        <v/>
      </c>
      <c r="L2232" s="12" t="n"/>
    </row>
    <row r="2233" ht="14" customHeight="1" s="72">
      <c r="A2233" s="78" t="n"/>
      <c r="B2233" s="79" t="n"/>
      <c r="C2233" s="69">
        <f>IF(B2233="","",IFERROR(INDEX(Client_List!$B:$B,MATCH(B2233,Client_List!$A:$A,0)),"⚠ NOT FOUND"))</f>
        <v/>
      </c>
      <c r="D2233" s="44" t="n"/>
      <c r="E2233" s="32">
        <f>IF(B2233="","",IFERROR(INDEX(Client_List!$C:$C,MATCH(VALUE(B2233),Client_List!$A:$A,0)),""))</f>
        <v/>
      </c>
      <c r="F2233" s="53">
        <f>IF(B2233="","",IFERROR(INDEX(Client_List!$D:$D,MATCH(VALUE(B2233),Client_List!$A:$A,0)),""))</f>
        <v/>
      </c>
      <c r="G2233" s="53">
        <f>IF(B2233="","",IFERROR(INDEX(Client_List!$K:$K,MATCH(VALUE(B2233),Client_List!$A:$A,0)),""))</f>
        <v/>
      </c>
      <c r="H2233" s="32">
        <f>IF(B2233="","",IFERROR(INDEX(Client_List!$J:$J,MATCH(VALUE(B2233),Client_List!$A:$A,0)),""))</f>
        <v/>
      </c>
      <c r="I2233" s="70">
        <f>IF(B2233="","",IFERROR(A2233-LOOKUP(2,1/($B$4:$B2232=B2233),$A$4:$A2232),""))</f>
        <v/>
      </c>
      <c r="J2233" s="32">
        <f>IF(B2233="","",IFERROR(D2233/I2233,""))</f>
        <v/>
      </c>
      <c r="K2233" s="71">
        <f>IF(B2233="","",IFERROR(AVERAGEIFS($J$4:$J2233,$B$4:$B2233,B2233,$J$4:$J2233,"&gt;"&amp;0),""))</f>
        <v/>
      </c>
      <c r="L2233" s="11" t="n"/>
    </row>
    <row r="2234" ht="14" customHeight="1" s="72">
      <c r="A2234" s="80" t="n"/>
      <c r="B2234" s="81" t="n"/>
      <c r="C2234" s="69">
        <f>IF(B2234="","",IFERROR(INDEX(Client_List!$B:$B,MATCH(B2234,Client_List!$A:$A,0)),"⚠ NOT FOUND"))</f>
        <v/>
      </c>
      <c r="D2234" s="45" t="n"/>
      <c r="E2234" s="32">
        <f>IF(B2234="","",IFERROR(INDEX(Client_List!$C:$C,MATCH(VALUE(B2234),Client_List!$A:$A,0)),""))</f>
        <v/>
      </c>
      <c r="F2234" s="53">
        <f>IF(B2234="","",IFERROR(INDEX(Client_List!$D:$D,MATCH(VALUE(B2234),Client_List!$A:$A,0)),""))</f>
        <v/>
      </c>
      <c r="G2234" s="53">
        <f>IF(B2234="","",IFERROR(INDEX(Client_List!$K:$K,MATCH(VALUE(B2234),Client_List!$A:$A,0)),""))</f>
        <v/>
      </c>
      <c r="H2234" s="32">
        <f>IF(B2234="","",IFERROR(INDEX(Client_List!$J:$J,MATCH(VALUE(B2234),Client_List!$A:$A,0)),""))</f>
        <v/>
      </c>
      <c r="I2234" s="70">
        <f>IF(B2234="","",IFERROR(A2234-LOOKUP(2,1/($B$4:$B2233=B2234),$A$4:$A2233),""))</f>
        <v/>
      </c>
      <c r="J2234" s="32">
        <f>IF(B2234="","",IFERROR(D2234/I2234,""))</f>
        <v/>
      </c>
      <c r="K2234" s="71">
        <f>IF(B2234="","",IFERROR(AVERAGEIFS($J$4:$J2234,$B$4:$B2234,B2234,$J$4:$J2234,"&gt;"&amp;0),""))</f>
        <v/>
      </c>
      <c r="L2234" s="12" t="n"/>
    </row>
    <row r="2235" ht="14" customHeight="1" s="72">
      <c r="A2235" s="78" t="n"/>
      <c r="B2235" s="79" t="n"/>
      <c r="C2235" s="69">
        <f>IF(B2235="","",IFERROR(INDEX(Client_List!$B:$B,MATCH(B2235,Client_List!$A:$A,0)),"⚠ NOT FOUND"))</f>
        <v/>
      </c>
      <c r="D2235" s="44" t="n"/>
      <c r="E2235" s="32">
        <f>IF(B2235="","",IFERROR(INDEX(Client_List!$C:$C,MATCH(VALUE(B2235),Client_List!$A:$A,0)),""))</f>
        <v/>
      </c>
      <c r="F2235" s="53">
        <f>IF(B2235="","",IFERROR(INDEX(Client_List!$D:$D,MATCH(VALUE(B2235),Client_List!$A:$A,0)),""))</f>
        <v/>
      </c>
      <c r="G2235" s="53">
        <f>IF(B2235="","",IFERROR(INDEX(Client_List!$K:$K,MATCH(VALUE(B2235),Client_List!$A:$A,0)),""))</f>
        <v/>
      </c>
      <c r="H2235" s="32">
        <f>IF(B2235="","",IFERROR(INDEX(Client_List!$J:$J,MATCH(VALUE(B2235),Client_List!$A:$A,0)),""))</f>
        <v/>
      </c>
      <c r="I2235" s="70">
        <f>IF(B2235="","",IFERROR(A2235-LOOKUP(2,1/($B$4:$B2234=B2235),$A$4:$A2234),""))</f>
        <v/>
      </c>
      <c r="J2235" s="32">
        <f>IF(B2235="","",IFERROR(D2235/I2235,""))</f>
        <v/>
      </c>
      <c r="K2235" s="71">
        <f>IF(B2235="","",IFERROR(AVERAGEIFS($J$4:$J2235,$B$4:$B2235,B2235,$J$4:$J2235,"&gt;"&amp;0),""))</f>
        <v/>
      </c>
      <c r="L2235" s="11" t="n"/>
    </row>
    <row r="2236" ht="14" customHeight="1" s="72">
      <c r="A2236" s="80" t="n"/>
      <c r="B2236" s="81" t="n"/>
      <c r="C2236" s="69">
        <f>IF(B2236="","",IFERROR(INDEX(Client_List!$B:$B,MATCH(B2236,Client_List!$A:$A,0)),"⚠ NOT FOUND"))</f>
        <v/>
      </c>
      <c r="D2236" s="45" t="n"/>
      <c r="E2236" s="32">
        <f>IF(B2236="","",IFERROR(INDEX(Client_List!$C:$C,MATCH(VALUE(B2236),Client_List!$A:$A,0)),""))</f>
        <v/>
      </c>
      <c r="F2236" s="53">
        <f>IF(B2236="","",IFERROR(INDEX(Client_List!$D:$D,MATCH(VALUE(B2236),Client_List!$A:$A,0)),""))</f>
        <v/>
      </c>
      <c r="G2236" s="53">
        <f>IF(B2236="","",IFERROR(INDEX(Client_List!$K:$K,MATCH(VALUE(B2236),Client_List!$A:$A,0)),""))</f>
        <v/>
      </c>
      <c r="H2236" s="32">
        <f>IF(B2236="","",IFERROR(INDEX(Client_List!$J:$J,MATCH(VALUE(B2236),Client_List!$A:$A,0)),""))</f>
        <v/>
      </c>
      <c r="I2236" s="70">
        <f>IF(B2236="","",IFERROR(A2236-LOOKUP(2,1/($B$4:$B2235=B2236),$A$4:$A2235),""))</f>
        <v/>
      </c>
      <c r="J2236" s="32">
        <f>IF(B2236="","",IFERROR(D2236/I2236,""))</f>
        <v/>
      </c>
      <c r="K2236" s="71">
        <f>IF(B2236="","",IFERROR(AVERAGEIFS($J$4:$J2236,$B$4:$B2236,B2236,$J$4:$J2236,"&gt;"&amp;0),""))</f>
        <v/>
      </c>
      <c r="L2236" s="12" t="n"/>
    </row>
    <row r="2237" ht="14" customHeight="1" s="72">
      <c r="A2237" s="78" t="n"/>
      <c r="B2237" s="79" t="n"/>
      <c r="C2237" s="69">
        <f>IF(B2237="","",IFERROR(INDEX(Client_List!$B:$B,MATCH(B2237,Client_List!$A:$A,0)),"⚠ NOT FOUND"))</f>
        <v/>
      </c>
      <c r="D2237" s="44" t="n"/>
      <c r="E2237" s="32">
        <f>IF(B2237="","",IFERROR(INDEX(Client_List!$C:$C,MATCH(VALUE(B2237),Client_List!$A:$A,0)),""))</f>
        <v/>
      </c>
      <c r="F2237" s="53">
        <f>IF(B2237="","",IFERROR(INDEX(Client_List!$D:$D,MATCH(VALUE(B2237),Client_List!$A:$A,0)),""))</f>
        <v/>
      </c>
      <c r="G2237" s="53">
        <f>IF(B2237="","",IFERROR(INDEX(Client_List!$K:$K,MATCH(VALUE(B2237),Client_List!$A:$A,0)),""))</f>
        <v/>
      </c>
      <c r="H2237" s="32">
        <f>IF(B2237="","",IFERROR(INDEX(Client_List!$J:$J,MATCH(VALUE(B2237),Client_List!$A:$A,0)),""))</f>
        <v/>
      </c>
      <c r="I2237" s="70">
        <f>IF(B2237="","",IFERROR(A2237-LOOKUP(2,1/($B$4:$B2236=B2237),$A$4:$A2236),""))</f>
        <v/>
      </c>
      <c r="J2237" s="32">
        <f>IF(B2237="","",IFERROR(D2237/I2237,""))</f>
        <v/>
      </c>
      <c r="K2237" s="71">
        <f>IF(B2237="","",IFERROR(AVERAGEIFS($J$4:$J2237,$B$4:$B2237,B2237,$J$4:$J2237,"&gt;"&amp;0),""))</f>
        <v/>
      </c>
      <c r="L2237" s="11" t="n"/>
    </row>
    <row r="2238" ht="14" customHeight="1" s="72">
      <c r="A2238" s="80" t="n"/>
      <c r="B2238" s="81" t="n"/>
      <c r="C2238" s="69">
        <f>IF(B2238="","",IFERROR(INDEX(Client_List!$B:$B,MATCH(B2238,Client_List!$A:$A,0)),"⚠ NOT FOUND"))</f>
        <v/>
      </c>
      <c r="D2238" s="45" t="n"/>
      <c r="E2238" s="32">
        <f>IF(B2238="","",IFERROR(INDEX(Client_List!$C:$C,MATCH(VALUE(B2238),Client_List!$A:$A,0)),""))</f>
        <v/>
      </c>
      <c r="F2238" s="53">
        <f>IF(B2238="","",IFERROR(INDEX(Client_List!$D:$D,MATCH(VALUE(B2238),Client_List!$A:$A,0)),""))</f>
        <v/>
      </c>
      <c r="G2238" s="53">
        <f>IF(B2238="","",IFERROR(INDEX(Client_List!$K:$K,MATCH(VALUE(B2238),Client_List!$A:$A,0)),""))</f>
        <v/>
      </c>
      <c r="H2238" s="32">
        <f>IF(B2238="","",IFERROR(INDEX(Client_List!$J:$J,MATCH(VALUE(B2238),Client_List!$A:$A,0)),""))</f>
        <v/>
      </c>
      <c r="I2238" s="70">
        <f>IF(B2238="","",IFERROR(A2238-LOOKUP(2,1/($B$4:$B2237=B2238),$A$4:$A2237),""))</f>
        <v/>
      </c>
      <c r="J2238" s="32">
        <f>IF(B2238="","",IFERROR(D2238/I2238,""))</f>
        <v/>
      </c>
      <c r="K2238" s="71">
        <f>IF(B2238="","",IFERROR(AVERAGEIFS($J$4:$J2238,$B$4:$B2238,B2238,$J$4:$J2238,"&gt;"&amp;0),""))</f>
        <v/>
      </c>
      <c r="L2238" s="12" t="n"/>
    </row>
    <row r="2239" ht="14" customHeight="1" s="72">
      <c r="A2239" s="78" t="n"/>
      <c r="B2239" s="79" t="n"/>
      <c r="C2239" s="69">
        <f>IF(B2239="","",IFERROR(INDEX(Client_List!$B:$B,MATCH(B2239,Client_List!$A:$A,0)),"⚠ NOT FOUND"))</f>
        <v/>
      </c>
      <c r="D2239" s="44" t="n"/>
      <c r="E2239" s="32">
        <f>IF(B2239="","",IFERROR(INDEX(Client_List!$C:$C,MATCH(VALUE(B2239),Client_List!$A:$A,0)),""))</f>
        <v/>
      </c>
      <c r="F2239" s="53">
        <f>IF(B2239="","",IFERROR(INDEX(Client_List!$D:$D,MATCH(VALUE(B2239),Client_List!$A:$A,0)),""))</f>
        <v/>
      </c>
      <c r="G2239" s="53">
        <f>IF(B2239="","",IFERROR(INDEX(Client_List!$K:$K,MATCH(VALUE(B2239),Client_List!$A:$A,0)),""))</f>
        <v/>
      </c>
      <c r="H2239" s="32">
        <f>IF(B2239="","",IFERROR(INDEX(Client_List!$J:$J,MATCH(VALUE(B2239),Client_List!$A:$A,0)),""))</f>
        <v/>
      </c>
      <c r="I2239" s="70">
        <f>IF(B2239="","",IFERROR(A2239-LOOKUP(2,1/($B$4:$B2238=B2239),$A$4:$A2238),""))</f>
        <v/>
      </c>
      <c r="J2239" s="32">
        <f>IF(B2239="","",IFERROR(D2239/I2239,""))</f>
        <v/>
      </c>
      <c r="K2239" s="71">
        <f>IF(B2239="","",IFERROR(AVERAGEIFS($J$4:$J2239,$B$4:$B2239,B2239,$J$4:$J2239,"&gt;"&amp;0),""))</f>
        <v/>
      </c>
      <c r="L2239" s="11" t="n"/>
    </row>
    <row r="2240" ht="14" customHeight="1" s="72">
      <c r="A2240" s="80" t="n"/>
      <c r="B2240" s="81" t="n"/>
      <c r="C2240" s="69">
        <f>IF(B2240="","",IFERROR(INDEX(Client_List!$B:$B,MATCH(B2240,Client_List!$A:$A,0)),"⚠ NOT FOUND"))</f>
        <v/>
      </c>
      <c r="D2240" s="45" t="n"/>
      <c r="E2240" s="32">
        <f>IF(B2240="","",IFERROR(INDEX(Client_List!$C:$C,MATCH(VALUE(B2240),Client_List!$A:$A,0)),""))</f>
        <v/>
      </c>
      <c r="F2240" s="53">
        <f>IF(B2240="","",IFERROR(INDEX(Client_List!$D:$D,MATCH(VALUE(B2240),Client_List!$A:$A,0)),""))</f>
        <v/>
      </c>
      <c r="G2240" s="53">
        <f>IF(B2240="","",IFERROR(INDEX(Client_List!$K:$K,MATCH(VALUE(B2240),Client_List!$A:$A,0)),""))</f>
        <v/>
      </c>
      <c r="H2240" s="32">
        <f>IF(B2240="","",IFERROR(INDEX(Client_List!$J:$J,MATCH(VALUE(B2240),Client_List!$A:$A,0)),""))</f>
        <v/>
      </c>
      <c r="I2240" s="70">
        <f>IF(B2240="","",IFERROR(A2240-LOOKUP(2,1/($B$4:$B2239=B2240),$A$4:$A2239),""))</f>
        <v/>
      </c>
      <c r="J2240" s="32">
        <f>IF(B2240="","",IFERROR(D2240/I2240,""))</f>
        <v/>
      </c>
      <c r="K2240" s="71">
        <f>IF(B2240="","",IFERROR(AVERAGEIFS($J$4:$J2240,$B$4:$B2240,B2240,$J$4:$J2240,"&gt;"&amp;0),""))</f>
        <v/>
      </c>
      <c r="L2240" s="12" t="n"/>
    </row>
    <row r="2241" ht="14" customHeight="1" s="72">
      <c r="A2241" s="78" t="n"/>
      <c r="B2241" s="79" t="n"/>
      <c r="C2241" s="69">
        <f>IF(B2241="","",IFERROR(INDEX(Client_List!$B:$B,MATCH(B2241,Client_List!$A:$A,0)),"⚠ NOT FOUND"))</f>
        <v/>
      </c>
      <c r="D2241" s="44" t="n"/>
      <c r="E2241" s="32">
        <f>IF(B2241="","",IFERROR(INDEX(Client_List!$C:$C,MATCH(VALUE(B2241),Client_List!$A:$A,0)),""))</f>
        <v/>
      </c>
      <c r="F2241" s="53">
        <f>IF(B2241="","",IFERROR(INDEX(Client_List!$D:$D,MATCH(VALUE(B2241),Client_List!$A:$A,0)),""))</f>
        <v/>
      </c>
      <c r="G2241" s="53">
        <f>IF(B2241="","",IFERROR(INDEX(Client_List!$K:$K,MATCH(VALUE(B2241),Client_List!$A:$A,0)),""))</f>
        <v/>
      </c>
      <c r="H2241" s="32">
        <f>IF(B2241="","",IFERROR(INDEX(Client_List!$J:$J,MATCH(VALUE(B2241),Client_List!$A:$A,0)),""))</f>
        <v/>
      </c>
      <c r="I2241" s="70">
        <f>IF(B2241="","",IFERROR(A2241-LOOKUP(2,1/($B$4:$B2240=B2241),$A$4:$A2240),""))</f>
        <v/>
      </c>
      <c r="J2241" s="32">
        <f>IF(B2241="","",IFERROR(D2241/I2241,""))</f>
        <v/>
      </c>
      <c r="K2241" s="71">
        <f>IF(B2241="","",IFERROR(AVERAGEIFS($J$4:$J2241,$B$4:$B2241,B2241,$J$4:$J2241,"&gt;"&amp;0),""))</f>
        <v/>
      </c>
      <c r="L2241" s="11" t="n"/>
    </row>
    <row r="2242" ht="14" customHeight="1" s="72">
      <c r="A2242" s="80" t="n"/>
      <c r="B2242" s="81" t="n"/>
      <c r="C2242" s="69">
        <f>IF(B2242="","",IFERROR(INDEX(Client_List!$B:$B,MATCH(B2242,Client_List!$A:$A,0)),"⚠ NOT FOUND"))</f>
        <v/>
      </c>
      <c r="D2242" s="45" t="n"/>
      <c r="E2242" s="32">
        <f>IF(B2242="","",IFERROR(INDEX(Client_List!$C:$C,MATCH(VALUE(B2242),Client_List!$A:$A,0)),""))</f>
        <v/>
      </c>
      <c r="F2242" s="53">
        <f>IF(B2242="","",IFERROR(INDEX(Client_List!$D:$D,MATCH(VALUE(B2242),Client_List!$A:$A,0)),""))</f>
        <v/>
      </c>
      <c r="G2242" s="53">
        <f>IF(B2242="","",IFERROR(INDEX(Client_List!$K:$K,MATCH(VALUE(B2242),Client_List!$A:$A,0)),""))</f>
        <v/>
      </c>
      <c r="H2242" s="32">
        <f>IF(B2242="","",IFERROR(INDEX(Client_List!$J:$J,MATCH(VALUE(B2242),Client_List!$A:$A,0)),""))</f>
        <v/>
      </c>
      <c r="I2242" s="70">
        <f>IF(B2242="","",IFERROR(A2242-LOOKUP(2,1/($B$4:$B2241=B2242),$A$4:$A2241),""))</f>
        <v/>
      </c>
      <c r="J2242" s="32">
        <f>IF(B2242="","",IFERROR(D2242/I2242,""))</f>
        <v/>
      </c>
      <c r="K2242" s="71">
        <f>IF(B2242="","",IFERROR(AVERAGEIFS($J$4:$J2242,$B$4:$B2242,B2242,$J$4:$J2242,"&gt;"&amp;0),""))</f>
        <v/>
      </c>
      <c r="L2242" s="12" t="n"/>
    </row>
    <row r="2243" ht="14" customHeight="1" s="72">
      <c r="A2243" s="78" t="n"/>
      <c r="B2243" s="79" t="n"/>
      <c r="C2243" s="69">
        <f>IF(B2243="","",IFERROR(INDEX(Client_List!$B:$B,MATCH(B2243,Client_List!$A:$A,0)),"⚠ NOT FOUND"))</f>
        <v/>
      </c>
      <c r="D2243" s="44" t="n"/>
      <c r="E2243" s="32">
        <f>IF(B2243="","",IFERROR(INDEX(Client_List!$C:$C,MATCH(VALUE(B2243),Client_List!$A:$A,0)),""))</f>
        <v/>
      </c>
      <c r="F2243" s="53">
        <f>IF(B2243="","",IFERROR(INDEX(Client_List!$D:$D,MATCH(VALUE(B2243),Client_List!$A:$A,0)),""))</f>
        <v/>
      </c>
      <c r="G2243" s="53">
        <f>IF(B2243="","",IFERROR(INDEX(Client_List!$K:$K,MATCH(VALUE(B2243),Client_List!$A:$A,0)),""))</f>
        <v/>
      </c>
      <c r="H2243" s="32">
        <f>IF(B2243="","",IFERROR(INDEX(Client_List!$J:$J,MATCH(VALUE(B2243),Client_List!$A:$A,0)),""))</f>
        <v/>
      </c>
      <c r="I2243" s="70">
        <f>IF(B2243="","",IFERROR(A2243-LOOKUP(2,1/($B$4:$B2242=B2243),$A$4:$A2242),""))</f>
        <v/>
      </c>
      <c r="J2243" s="32">
        <f>IF(B2243="","",IFERROR(D2243/I2243,""))</f>
        <v/>
      </c>
      <c r="K2243" s="71">
        <f>IF(B2243="","",IFERROR(AVERAGEIFS($J$4:$J2243,$B$4:$B2243,B2243,$J$4:$J2243,"&gt;"&amp;0),""))</f>
        <v/>
      </c>
      <c r="L2243" s="11" t="n"/>
    </row>
    <row r="2244" ht="14" customHeight="1" s="72">
      <c r="A2244" s="80" t="n"/>
      <c r="B2244" s="81" t="n"/>
      <c r="C2244" s="69">
        <f>IF(B2244="","",IFERROR(INDEX(Client_List!$B:$B,MATCH(B2244,Client_List!$A:$A,0)),"⚠ NOT FOUND"))</f>
        <v/>
      </c>
      <c r="D2244" s="45" t="n"/>
      <c r="E2244" s="32">
        <f>IF(B2244="","",IFERROR(INDEX(Client_List!$C:$C,MATCH(VALUE(B2244),Client_List!$A:$A,0)),""))</f>
        <v/>
      </c>
      <c r="F2244" s="53">
        <f>IF(B2244="","",IFERROR(INDEX(Client_List!$D:$D,MATCH(VALUE(B2244),Client_List!$A:$A,0)),""))</f>
        <v/>
      </c>
      <c r="G2244" s="53">
        <f>IF(B2244="","",IFERROR(INDEX(Client_List!$K:$K,MATCH(VALUE(B2244),Client_List!$A:$A,0)),""))</f>
        <v/>
      </c>
      <c r="H2244" s="32">
        <f>IF(B2244="","",IFERROR(INDEX(Client_List!$J:$J,MATCH(VALUE(B2244),Client_List!$A:$A,0)),""))</f>
        <v/>
      </c>
      <c r="I2244" s="70">
        <f>IF(B2244="","",IFERROR(A2244-LOOKUP(2,1/($B$4:$B2243=B2244),$A$4:$A2243),""))</f>
        <v/>
      </c>
      <c r="J2244" s="32">
        <f>IF(B2244="","",IFERROR(D2244/I2244,""))</f>
        <v/>
      </c>
      <c r="K2244" s="71">
        <f>IF(B2244="","",IFERROR(AVERAGEIFS($J$4:$J2244,$B$4:$B2244,B2244,$J$4:$J2244,"&gt;"&amp;0),""))</f>
        <v/>
      </c>
      <c r="L2244" s="12" t="n"/>
    </row>
    <row r="2245" ht="14" customHeight="1" s="72">
      <c r="A2245" s="78" t="n"/>
      <c r="B2245" s="79" t="n"/>
      <c r="C2245" s="69">
        <f>IF(B2245="","",IFERROR(INDEX(Client_List!$B:$B,MATCH(B2245,Client_List!$A:$A,0)),"⚠ NOT FOUND"))</f>
        <v/>
      </c>
      <c r="D2245" s="44" t="n"/>
      <c r="E2245" s="32">
        <f>IF(B2245="","",IFERROR(INDEX(Client_List!$C:$C,MATCH(VALUE(B2245),Client_List!$A:$A,0)),""))</f>
        <v/>
      </c>
      <c r="F2245" s="53">
        <f>IF(B2245="","",IFERROR(INDEX(Client_List!$D:$D,MATCH(VALUE(B2245),Client_List!$A:$A,0)),""))</f>
        <v/>
      </c>
      <c r="G2245" s="53">
        <f>IF(B2245="","",IFERROR(INDEX(Client_List!$K:$K,MATCH(VALUE(B2245),Client_List!$A:$A,0)),""))</f>
        <v/>
      </c>
      <c r="H2245" s="32">
        <f>IF(B2245="","",IFERROR(INDEX(Client_List!$J:$J,MATCH(VALUE(B2245),Client_List!$A:$A,0)),""))</f>
        <v/>
      </c>
      <c r="I2245" s="70">
        <f>IF(B2245="","",IFERROR(A2245-LOOKUP(2,1/($B$4:$B2244=B2245),$A$4:$A2244),""))</f>
        <v/>
      </c>
      <c r="J2245" s="32">
        <f>IF(B2245="","",IFERROR(D2245/I2245,""))</f>
        <v/>
      </c>
      <c r="K2245" s="71">
        <f>IF(B2245="","",IFERROR(AVERAGEIFS($J$4:$J2245,$B$4:$B2245,B2245,$J$4:$J2245,"&gt;"&amp;0),""))</f>
        <v/>
      </c>
      <c r="L2245" s="11" t="n"/>
    </row>
    <row r="2246" ht="14" customHeight="1" s="72">
      <c r="A2246" s="80" t="n"/>
      <c r="B2246" s="81" t="n"/>
      <c r="C2246" s="69">
        <f>IF(B2246="","",IFERROR(INDEX(Client_List!$B:$B,MATCH(B2246,Client_List!$A:$A,0)),"⚠ NOT FOUND"))</f>
        <v/>
      </c>
      <c r="D2246" s="45" t="n"/>
      <c r="E2246" s="32">
        <f>IF(B2246="","",IFERROR(INDEX(Client_List!$C:$C,MATCH(VALUE(B2246),Client_List!$A:$A,0)),""))</f>
        <v/>
      </c>
      <c r="F2246" s="53">
        <f>IF(B2246="","",IFERROR(INDEX(Client_List!$D:$D,MATCH(VALUE(B2246),Client_List!$A:$A,0)),""))</f>
        <v/>
      </c>
      <c r="G2246" s="53">
        <f>IF(B2246="","",IFERROR(INDEX(Client_List!$K:$K,MATCH(VALUE(B2246),Client_List!$A:$A,0)),""))</f>
        <v/>
      </c>
      <c r="H2246" s="32">
        <f>IF(B2246="","",IFERROR(INDEX(Client_List!$J:$J,MATCH(VALUE(B2246),Client_List!$A:$A,0)),""))</f>
        <v/>
      </c>
      <c r="I2246" s="70">
        <f>IF(B2246="","",IFERROR(A2246-LOOKUP(2,1/($B$4:$B2245=B2246),$A$4:$A2245),""))</f>
        <v/>
      </c>
      <c r="J2246" s="32">
        <f>IF(B2246="","",IFERROR(D2246/I2246,""))</f>
        <v/>
      </c>
      <c r="K2246" s="71">
        <f>IF(B2246="","",IFERROR(AVERAGEIFS($J$4:$J2246,$B$4:$B2246,B2246,$J$4:$J2246,"&gt;"&amp;0),""))</f>
        <v/>
      </c>
      <c r="L2246" s="12" t="n"/>
    </row>
    <row r="2247" ht="14" customHeight="1" s="72">
      <c r="A2247" s="78" t="n"/>
      <c r="B2247" s="79" t="n"/>
      <c r="C2247" s="69">
        <f>IF(B2247="","",IFERROR(INDEX(Client_List!$B:$B,MATCH(B2247,Client_List!$A:$A,0)),"⚠ NOT FOUND"))</f>
        <v/>
      </c>
      <c r="D2247" s="44" t="n"/>
      <c r="E2247" s="32">
        <f>IF(B2247="","",IFERROR(INDEX(Client_List!$C:$C,MATCH(VALUE(B2247),Client_List!$A:$A,0)),""))</f>
        <v/>
      </c>
      <c r="F2247" s="53">
        <f>IF(B2247="","",IFERROR(INDEX(Client_List!$D:$D,MATCH(VALUE(B2247),Client_List!$A:$A,0)),""))</f>
        <v/>
      </c>
      <c r="G2247" s="53">
        <f>IF(B2247="","",IFERROR(INDEX(Client_List!$K:$K,MATCH(VALUE(B2247),Client_List!$A:$A,0)),""))</f>
        <v/>
      </c>
      <c r="H2247" s="32">
        <f>IF(B2247="","",IFERROR(INDEX(Client_List!$J:$J,MATCH(VALUE(B2247),Client_List!$A:$A,0)),""))</f>
        <v/>
      </c>
      <c r="I2247" s="70">
        <f>IF(B2247="","",IFERROR(A2247-LOOKUP(2,1/($B$4:$B2246=B2247),$A$4:$A2246),""))</f>
        <v/>
      </c>
      <c r="J2247" s="32">
        <f>IF(B2247="","",IFERROR(D2247/I2247,""))</f>
        <v/>
      </c>
      <c r="K2247" s="71">
        <f>IF(B2247="","",IFERROR(AVERAGEIFS($J$4:$J2247,$B$4:$B2247,B2247,$J$4:$J2247,"&gt;"&amp;0),""))</f>
        <v/>
      </c>
      <c r="L2247" s="11" t="n"/>
    </row>
    <row r="2248" ht="14" customHeight="1" s="72">
      <c r="A2248" s="80" t="n"/>
      <c r="B2248" s="81" t="n"/>
      <c r="C2248" s="69">
        <f>IF(B2248="","",IFERROR(INDEX(Client_List!$B:$B,MATCH(B2248,Client_List!$A:$A,0)),"⚠ NOT FOUND"))</f>
        <v/>
      </c>
      <c r="D2248" s="45" t="n"/>
      <c r="E2248" s="32">
        <f>IF(B2248="","",IFERROR(INDEX(Client_List!$C:$C,MATCH(VALUE(B2248),Client_List!$A:$A,0)),""))</f>
        <v/>
      </c>
      <c r="F2248" s="53">
        <f>IF(B2248="","",IFERROR(INDEX(Client_List!$D:$D,MATCH(VALUE(B2248),Client_List!$A:$A,0)),""))</f>
        <v/>
      </c>
      <c r="G2248" s="53">
        <f>IF(B2248="","",IFERROR(INDEX(Client_List!$K:$K,MATCH(VALUE(B2248),Client_List!$A:$A,0)),""))</f>
        <v/>
      </c>
      <c r="H2248" s="32">
        <f>IF(B2248="","",IFERROR(INDEX(Client_List!$J:$J,MATCH(VALUE(B2248),Client_List!$A:$A,0)),""))</f>
        <v/>
      </c>
      <c r="I2248" s="70">
        <f>IF(B2248="","",IFERROR(A2248-LOOKUP(2,1/($B$4:$B2247=B2248),$A$4:$A2247),""))</f>
        <v/>
      </c>
      <c r="J2248" s="32">
        <f>IF(B2248="","",IFERROR(D2248/I2248,""))</f>
        <v/>
      </c>
      <c r="K2248" s="71">
        <f>IF(B2248="","",IFERROR(AVERAGEIFS($J$4:$J2248,$B$4:$B2248,B2248,$J$4:$J2248,"&gt;"&amp;0),""))</f>
        <v/>
      </c>
      <c r="L2248" s="12" t="n"/>
    </row>
    <row r="2249" ht="14" customHeight="1" s="72">
      <c r="A2249" s="78" t="n"/>
      <c r="B2249" s="79" t="n"/>
      <c r="C2249" s="69">
        <f>IF(B2249="","",IFERROR(INDEX(Client_List!$B:$B,MATCH(B2249,Client_List!$A:$A,0)),"⚠ NOT FOUND"))</f>
        <v/>
      </c>
      <c r="D2249" s="44" t="n"/>
      <c r="E2249" s="32">
        <f>IF(B2249="","",IFERROR(INDEX(Client_List!$C:$C,MATCH(VALUE(B2249),Client_List!$A:$A,0)),""))</f>
        <v/>
      </c>
      <c r="F2249" s="53">
        <f>IF(B2249="","",IFERROR(INDEX(Client_List!$D:$D,MATCH(VALUE(B2249),Client_List!$A:$A,0)),""))</f>
        <v/>
      </c>
      <c r="G2249" s="53">
        <f>IF(B2249="","",IFERROR(INDEX(Client_List!$K:$K,MATCH(VALUE(B2249),Client_List!$A:$A,0)),""))</f>
        <v/>
      </c>
      <c r="H2249" s="32">
        <f>IF(B2249="","",IFERROR(INDEX(Client_List!$J:$J,MATCH(VALUE(B2249),Client_List!$A:$A,0)),""))</f>
        <v/>
      </c>
      <c r="I2249" s="70">
        <f>IF(B2249="","",IFERROR(A2249-LOOKUP(2,1/($B$4:$B2248=B2249),$A$4:$A2248),""))</f>
        <v/>
      </c>
      <c r="J2249" s="32">
        <f>IF(B2249="","",IFERROR(D2249/I2249,""))</f>
        <v/>
      </c>
      <c r="K2249" s="71">
        <f>IF(B2249="","",IFERROR(AVERAGEIFS($J$4:$J2249,$B$4:$B2249,B2249,$J$4:$J2249,"&gt;"&amp;0),""))</f>
        <v/>
      </c>
      <c r="L2249" s="11" t="n"/>
    </row>
    <row r="2250" ht="14" customHeight="1" s="72">
      <c r="A2250" s="80" t="n"/>
      <c r="B2250" s="81" t="n"/>
      <c r="C2250" s="69">
        <f>IF(B2250="","",IFERROR(INDEX(Client_List!$B:$B,MATCH(B2250,Client_List!$A:$A,0)),"⚠ NOT FOUND"))</f>
        <v/>
      </c>
      <c r="D2250" s="45" t="n"/>
      <c r="E2250" s="32">
        <f>IF(B2250="","",IFERROR(INDEX(Client_List!$C:$C,MATCH(VALUE(B2250),Client_List!$A:$A,0)),""))</f>
        <v/>
      </c>
      <c r="F2250" s="53">
        <f>IF(B2250="","",IFERROR(INDEX(Client_List!$D:$D,MATCH(VALUE(B2250),Client_List!$A:$A,0)),""))</f>
        <v/>
      </c>
      <c r="G2250" s="53">
        <f>IF(B2250="","",IFERROR(INDEX(Client_List!$K:$K,MATCH(VALUE(B2250),Client_List!$A:$A,0)),""))</f>
        <v/>
      </c>
      <c r="H2250" s="32">
        <f>IF(B2250="","",IFERROR(INDEX(Client_List!$J:$J,MATCH(VALUE(B2250),Client_List!$A:$A,0)),""))</f>
        <v/>
      </c>
      <c r="I2250" s="70">
        <f>IF(B2250="","",IFERROR(A2250-LOOKUP(2,1/($B$4:$B2249=B2250),$A$4:$A2249),""))</f>
        <v/>
      </c>
      <c r="J2250" s="32">
        <f>IF(B2250="","",IFERROR(D2250/I2250,""))</f>
        <v/>
      </c>
      <c r="K2250" s="71">
        <f>IF(B2250="","",IFERROR(AVERAGEIFS($J$4:$J2250,$B$4:$B2250,B2250,$J$4:$J2250,"&gt;"&amp;0),""))</f>
        <v/>
      </c>
      <c r="L2250" s="12" t="n"/>
    </row>
    <row r="2251" ht="14" customHeight="1" s="72">
      <c r="A2251" s="78" t="n"/>
      <c r="B2251" s="79" t="n"/>
      <c r="C2251" s="69">
        <f>IF(B2251="","",IFERROR(INDEX(Client_List!$B:$B,MATCH(B2251,Client_List!$A:$A,0)),"⚠ NOT FOUND"))</f>
        <v/>
      </c>
      <c r="D2251" s="44" t="n"/>
      <c r="E2251" s="32">
        <f>IF(B2251="","",IFERROR(INDEX(Client_List!$C:$C,MATCH(VALUE(B2251),Client_List!$A:$A,0)),""))</f>
        <v/>
      </c>
      <c r="F2251" s="53">
        <f>IF(B2251="","",IFERROR(INDEX(Client_List!$D:$D,MATCH(VALUE(B2251),Client_List!$A:$A,0)),""))</f>
        <v/>
      </c>
      <c r="G2251" s="53">
        <f>IF(B2251="","",IFERROR(INDEX(Client_List!$K:$K,MATCH(VALUE(B2251),Client_List!$A:$A,0)),""))</f>
        <v/>
      </c>
      <c r="H2251" s="32">
        <f>IF(B2251="","",IFERROR(INDEX(Client_List!$J:$J,MATCH(VALUE(B2251),Client_List!$A:$A,0)),""))</f>
        <v/>
      </c>
      <c r="I2251" s="70">
        <f>IF(B2251="","",IFERROR(A2251-LOOKUP(2,1/($B$4:$B2250=B2251),$A$4:$A2250),""))</f>
        <v/>
      </c>
      <c r="J2251" s="32">
        <f>IF(B2251="","",IFERROR(D2251/I2251,""))</f>
        <v/>
      </c>
      <c r="K2251" s="71">
        <f>IF(B2251="","",IFERROR(AVERAGEIFS($J$4:$J2251,$B$4:$B2251,B2251,$J$4:$J2251,"&gt;"&amp;0),""))</f>
        <v/>
      </c>
      <c r="L2251" s="11" t="n"/>
    </row>
    <row r="2252" ht="14" customHeight="1" s="72">
      <c r="A2252" s="80" t="n"/>
      <c r="B2252" s="81" t="n"/>
      <c r="C2252" s="69">
        <f>IF(B2252="","",IFERROR(INDEX(Client_List!$B:$B,MATCH(B2252,Client_List!$A:$A,0)),"⚠ NOT FOUND"))</f>
        <v/>
      </c>
      <c r="D2252" s="45" t="n"/>
      <c r="E2252" s="32">
        <f>IF(B2252="","",IFERROR(INDEX(Client_List!$C:$C,MATCH(VALUE(B2252),Client_List!$A:$A,0)),""))</f>
        <v/>
      </c>
      <c r="F2252" s="53">
        <f>IF(B2252="","",IFERROR(INDEX(Client_List!$D:$D,MATCH(VALUE(B2252),Client_List!$A:$A,0)),""))</f>
        <v/>
      </c>
      <c r="G2252" s="53">
        <f>IF(B2252="","",IFERROR(INDEX(Client_List!$K:$K,MATCH(VALUE(B2252),Client_List!$A:$A,0)),""))</f>
        <v/>
      </c>
      <c r="H2252" s="32">
        <f>IF(B2252="","",IFERROR(INDEX(Client_List!$J:$J,MATCH(VALUE(B2252),Client_List!$A:$A,0)),""))</f>
        <v/>
      </c>
      <c r="I2252" s="70">
        <f>IF(B2252="","",IFERROR(A2252-LOOKUP(2,1/($B$4:$B2251=B2252),$A$4:$A2251),""))</f>
        <v/>
      </c>
      <c r="J2252" s="32">
        <f>IF(B2252="","",IFERROR(D2252/I2252,""))</f>
        <v/>
      </c>
      <c r="K2252" s="71">
        <f>IF(B2252="","",IFERROR(AVERAGEIFS($J$4:$J2252,$B$4:$B2252,B2252,$J$4:$J2252,"&gt;"&amp;0),""))</f>
        <v/>
      </c>
      <c r="L2252" s="12" t="n"/>
    </row>
    <row r="2253" ht="14" customHeight="1" s="72">
      <c r="A2253" s="78" t="n"/>
      <c r="B2253" s="79" t="n"/>
      <c r="C2253" s="69">
        <f>IF(B2253="","",IFERROR(INDEX(Client_List!$B:$B,MATCH(B2253,Client_List!$A:$A,0)),"⚠ NOT FOUND"))</f>
        <v/>
      </c>
      <c r="D2253" s="44" t="n"/>
      <c r="E2253" s="32">
        <f>IF(B2253="","",IFERROR(INDEX(Client_List!$C:$C,MATCH(VALUE(B2253),Client_List!$A:$A,0)),""))</f>
        <v/>
      </c>
      <c r="F2253" s="53">
        <f>IF(B2253="","",IFERROR(INDEX(Client_List!$D:$D,MATCH(VALUE(B2253),Client_List!$A:$A,0)),""))</f>
        <v/>
      </c>
      <c r="G2253" s="53">
        <f>IF(B2253="","",IFERROR(INDEX(Client_List!$K:$K,MATCH(VALUE(B2253),Client_List!$A:$A,0)),""))</f>
        <v/>
      </c>
      <c r="H2253" s="32">
        <f>IF(B2253="","",IFERROR(INDEX(Client_List!$J:$J,MATCH(VALUE(B2253),Client_List!$A:$A,0)),""))</f>
        <v/>
      </c>
      <c r="I2253" s="70">
        <f>IF(B2253="","",IFERROR(A2253-LOOKUP(2,1/($B$4:$B2252=B2253),$A$4:$A2252),""))</f>
        <v/>
      </c>
      <c r="J2253" s="32">
        <f>IF(B2253="","",IFERROR(D2253/I2253,""))</f>
        <v/>
      </c>
      <c r="K2253" s="71">
        <f>IF(B2253="","",IFERROR(AVERAGEIFS($J$4:$J2253,$B$4:$B2253,B2253,$J$4:$J2253,"&gt;"&amp;0),""))</f>
        <v/>
      </c>
      <c r="L2253" s="11" t="n"/>
    </row>
    <row r="2254" ht="14" customHeight="1" s="72">
      <c r="A2254" s="80" t="n"/>
      <c r="B2254" s="81" t="n"/>
      <c r="C2254" s="69">
        <f>IF(B2254="","",IFERROR(INDEX(Client_List!$B:$B,MATCH(B2254,Client_List!$A:$A,0)),"⚠ NOT FOUND"))</f>
        <v/>
      </c>
      <c r="D2254" s="45" t="n"/>
      <c r="E2254" s="32">
        <f>IF(B2254="","",IFERROR(INDEX(Client_List!$C:$C,MATCH(VALUE(B2254),Client_List!$A:$A,0)),""))</f>
        <v/>
      </c>
      <c r="F2254" s="53">
        <f>IF(B2254="","",IFERROR(INDEX(Client_List!$D:$D,MATCH(VALUE(B2254),Client_List!$A:$A,0)),""))</f>
        <v/>
      </c>
      <c r="G2254" s="53">
        <f>IF(B2254="","",IFERROR(INDEX(Client_List!$K:$K,MATCH(VALUE(B2254),Client_List!$A:$A,0)),""))</f>
        <v/>
      </c>
      <c r="H2254" s="32">
        <f>IF(B2254="","",IFERROR(INDEX(Client_List!$J:$J,MATCH(VALUE(B2254),Client_List!$A:$A,0)),""))</f>
        <v/>
      </c>
      <c r="I2254" s="70">
        <f>IF(B2254="","",IFERROR(A2254-LOOKUP(2,1/($B$4:$B2253=B2254),$A$4:$A2253),""))</f>
        <v/>
      </c>
      <c r="J2254" s="32">
        <f>IF(B2254="","",IFERROR(D2254/I2254,""))</f>
        <v/>
      </c>
      <c r="K2254" s="71">
        <f>IF(B2254="","",IFERROR(AVERAGEIFS($J$4:$J2254,$B$4:$B2254,B2254,$J$4:$J2254,"&gt;"&amp;0),""))</f>
        <v/>
      </c>
      <c r="L2254" s="12" t="n"/>
    </row>
    <row r="2255" ht="14" customHeight="1" s="72">
      <c r="A2255" s="78" t="n"/>
      <c r="B2255" s="79" t="n"/>
      <c r="C2255" s="69">
        <f>IF(B2255="","",IFERROR(INDEX(Client_List!$B:$B,MATCH(B2255,Client_List!$A:$A,0)),"⚠ NOT FOUND"))</f>
        <v/>
      </c>
      <c r="D2255" s="44" t="n"/>
      <c r="E2255" s="32">
        <f>IF(B2255="","",IFERROR(INDEX(Client_List!$C:$C,MATCH(VALUE(B2255),Client_List!$A:$A,0)),""))</f>
        <v/>
      </c>
      <c r="F2255" s="53">
        <f>IF(B2255="","",IFERROR(INDEX(Client_List!$D:$D,MATCH(VALUE(B2255),Client_List!$A:$A,0)),""))</f>
        <v/>
      </c>
      <c r="G2255" s="53">
        <f>IF(B2255="","",IFERROR(INDEX(Client_List!$K:$K,MATCH(VALUE(B2255),Client_List!$A:$A,0)),""))</f>
        <v/>
      </c>
      <c r="H2255" s="32">
        <f>IF(B2255="","",IFERROR(INDEX(Client_List!$J:$J,MATCH(VALUE(B2255),Client_List!$A:$A,0)),""))</f>
        <v/>
      </c>
      <c r="I2255" s="70">
        <f>IF(B2255="","",IFERROR(A2255-LOOKUP(2,1/($B$4:$B2254=B2255),$A$4:$A2254),""))</f>
        <v/>
      </c>
      <c r="J2255" s="32">
        <f>IF(B2255="","",IFERROR(D2255/I2255,""))</f>
        <v/>
      </c>
      <c r="K2255" s="71">
        <f>IF(B2255="","",IFERROR(AVERAGEIFS($J$4:$J2255,$B$4:$B2255,B2255,$J$4:$J2255,"&gt;"&amp;0),""))</f>
        <v/>
      </c>
      <c r="L2255" s="11" t="n"/>
    </row>
    <row r="2256" ht="14" customHeight="1" s="72">
      <c r="A2256" s="80" t="n"/>
      <c r="B2256" s="81" t="n"/>
      <c r="C2256" s="69">
        <f>IF(B2256="","",IFERROR(INDEX(Client_List!$B:$B,MATCH(B2256,Client_List!$A:$A,0)),"⚠ NOT FOUND"))</f>
        <v/>
      </c>
      <c r="D2256" s="45" t="n"/>
      <c r="E2256" s="32">
        <f>IF(B2256="","",IFERROR(INDEX(Client_List!$C:$C,MATCH(VALUE(B2256),Client_List!$A:$A,0)),""))</f>
        <v/>
      </c>
      <c r="F2256" s="53">
        <f>IF(B2256="","",IFERROR(INDEX(Client_List!$D:$D,MATCH(VALUE(B2256),Client_List!$A:$A,0)),""))</f>
        <v/>
      </c>
      <c r="G2256" s="53">
        <f>IF(B2256="","",IFERROR(INDEX(Client_List!$K:$K,MATCH(VALUE(B2256),Client_List!$A:$A,0)),""))</f>
        <v/>
      </c>
      <c r="H2256" s="32">
        <f>IF(B2256="","",IFERROR(INDEX(Client_List!$J:$J,MATCH(VALUE(B2256),Client_List!$A:$A,0)),""))</f>
        <v/>
      </c>
      <c r="I2256" s="70">
        <f>IF(B2256="","",IFERROR(A2256-LOOKUP(2,1/($B$4:$B2255=B2256),$A$4:$A2255),""))</f>
        <v/>
      </c>
      <c r="J2256" s="32">
        <f>IF(B2256="","",IFERROR(D2256/I2256,""))</f>
        <v/>
      </c>
      <c r="K2256" s="71">
        <f>IF(B2256="","",IFERROR(AVERAGEIFS($J$4:$J2256,$B$4:$B2256,B2256,$J$4:$J2256,"&gt;"&amp;0),""))</f>
        <v/>
      </c>
      <c r="L2256" s="12" t="n"/>
    </row>
    <row r="2257" ht="14" customHeight="1" s="72">
      <c r="A2257" s="78" t="n"/>
      <c r="B2257" s="79" t="n"/>
      <c r="C2257" s="69">
        <f>IF(B2257="","",IFERROR(INDEX(Client_List!$B:$B,MATCH(B2257,Client_List!$A:$A,0)),"⚠ NOT FOUND"))</f>
        <v/>
      </c>
      <c r="D2257" s="44" t="n"/>
      <c r="E2257" s="32">
        <f>IF(B2257="","",IFERROR(INDEX(Client_List!$C:$C,MATCH(VALUE(B2257),Client_List!$A:$A,0)),""))</f>
        <v/>
      </c>
      <c r="F2257" s="53">
        <f>IF(B2257="","",IFERROR(INDEX(Client_List!$D:$D,MATCH(VALUE(B2257),Client_List!$A:$A,0)),""))</f>
        <v/>
      </c>
      <c r="G2257" s="53">
        <f>IF(B2257="","",IFERROR(INDEX(Client_List!$K:$K,MATCH(VALUE(B2257),Client_List!$A:$A,0)),""))</f>
        <v/>
      </c>
      <c r="H2257" s="32">
        <f>IF(B2257="","",IFERROR(INDEX(Client_List!$J:$J,MATCH(VALUE(B2257),Client_List!$A:$A,0)),""))</f>
        <v/>
      </c>
      <c r="I2257" s="70">
        <f>IF(B2257="","",IFERROR(A2257-LOOKUP(2,1/($B$4:$B2256=B2257),$A$4:$A2256),""))</f>
        <v/>
      </c>
      <c r="J2257" s="32">
        <f>IF(B2257="","",IFERROR(D2257/I2257,""))</f>
        <v/>
      </c>
      <c r="K2257" s="71">
        <f>IF(B2257="","",IFERROR(AVERAGEIFS($J$4:$J2257,$B$4:$B2257,B2257,$J$4:$J2257,"&gt;"&amp;0),""))</f>
        <v/>
      </c>
      <c r="L2257" s="11" t="n"/>
    </row>
    <row r="2258" ht="14" customHeight="1" s="72">
      <c r="A2258" s="80" t="n"/>
      <c r="B2258" s="81" t="n"/>
      <c r="C2258" s="69">
        <f>IF(B2258="","",IFERROR(INDEX(Client_List!$B:$B,MATCH(B2258,Client_List!$A:$A,0)),"⚠ NOT FOUND"))</f>
        <v/>
      </c>
      <c r="D2258" s="45" t="n"/>
      <c r="E2258" s="32">
        <f>IF(B2258="","",IFERROR(INDEX(Client_List!$C:$C,MATCH(VALUE(B2258),Client_List!$A:$A,0)),""))</f>
        <v/>
      </c>
      <c r="F2258" s="53">
        <f>IF(B2258="","",IFERROR(INDEX(Client_List!$D:$D,MATCH(VALUE(B2258),Client_List!$A:$A,0)),""))</f>
        <v/>
      </c>
      <c r="G2258" s="53">
        <f>IF(B2258="","",IFERROR(INDEX(Client_List!$K:$K,MATCH(VALUE(B2258),Client_List!$A:$A,0)),""))</f>
        <v/>
      </c>
      <c r="H2258" s="32">
        <f>IF(B2258="","",IFERROR(INDEX(Client_List!$J:$J,MATCH(VALUE(B2258),Client_List!$A:$A,0)),""))</f>
        <v/>
      </c>
      <c r="I2258" s="70">
        <f>IF(B2258="","",IFERROR(A2258-LOOKUP(2,1/($B$4:$B2257=B2258),$A$4:$A2257),""))</f>
        <v/>
      </c>
      <c r="J2258" s="32">
        <f>IF(B2258="","",IFERROR(D2258/I2258,""))</f>
        <v/>
      </c>
      <c r="K2258" s="71">
        <f>IF(B2258="","",IFERROR(AVERAGEIFS($J$4:$J2258,$B$4:$B2258,B2258,$J$4:$J2258,"&gt;"&amp;0),""))</f>
        <v/>
      </c>
      <c r="L2258" s="12" t="n"/>
    </row>
    <row r="2259" ht="14" customHeight="1" s="72">
      <c r="A2259" s="78" t="n"/>
      <c r="B2259" s="79" t="n"/>
      <c r="C2259" s="69">
        <f>IF(B2259="","",IFERROR(INDEX(Client_List!$B:$B,MATCH(B2259,Client_List!$A:$A,0)),"⚠ NOT FOUND"))</f>
        <v/>
      </c>
      <c r="D2259" s="44" t="n"/>
      <c r="E2259" s="32">
        <f>IF(B2259="","",IFERROR(INDEX(Client_List!$C:$C,MATCH(VALUE(B2259),Client_List!$A:$A,0)),""))</f>
        <v/>
      </c>
      <c r="F2259" s="53">
        <f>IF(B2259="","",IFERROR(INDEX(Client_List!$D:$D,MATCH(VALUE(B2259),Client_List!$A:$A,0)),""))</f>
        <v/>
      </c>
      <c r="G2259" s="53">
        <f>IF(B2259="","",IFERROR(INDEX(Client_List!$K:$K,MATCH(VALUE(B2259),Client_List!$A:$A,0)),""))</f>
        <v/>
      </c>
      <c r="H2259" s="32">
        <f>IF(B2259="","",IFERROR(INDEX(Client_List!$J:$J,MATCH(VALUE(B2259),Client_List!$A:$A,0)),""))</f>
        <v/>
      </c>
      <c r="I2259" s="70">
        <f>IF(B2259="","",IFERROR(A2259-LOOKUP(2,1/($B$4:$B2258=B2259),$A$4:$A2258),""))</f>
        <v/>
      </c>
      <c r="J2259" s="32">
        <f>IF(B2259="","",IFERROR(D2259/I2259,""))</f>
        <v/>
      </c>
      <c r="K2259" s="71">
        <f>IF(B2259="","",IFERROR(AVERAGEIFS($J$4:$J2259,$B$4:$B2259,B2259,$J$4:$J2259,"&gt;"&amp;0),""))</f>
        <v/>
      </c>
      <c r="L2259" s="11" t="n"/>
    </row>
    <row r="2260" ht="14" customHeight="1" s="72">
      <c r="A2260" s="80" t="n"/>
      <c r="B2260" s="81" t="n"/>
      <c r="C2260" s="69">
        <f>IF(B2260="","",IFERROR(INDEX(Client_List!$B:$B,MATCH(B2260,Client_List!$A:$A,0)),"⚠ NOT FOUND"))</f>
        <v/>
      </c>
      <c r="D2260" s="45" t="n"/>
      <c r="E2260" s="32">
        <f>IF(B2260="","",IFERROR(INDEX(Client_List!$C:$C,MATCH(VALUE(B2260),Client_List!$A:$A,0)),""))</f>
        <v/>
      </c>
      <c r="F2260" s="53">
        <f>IF(B2260="","",IFERROR(INDEX(Client_List!$D:$D,MATCH(VALUE(B2260),Client_List!$A:$A,0)),""))</f>
        <v/>
      </c>
      <c r="G2260" s="53">
        <f>IF(B2260="","",IFERROR(INDEX(Client_List!$K:$K,MATCH(VALUE(B2260),Client_List!$A:$A,0)),""))</f>
        <v/>
      </c>
      <c r="H2260" s="32">
        <f>IF(B2260="","",IFERROR(INDEX(Client_List!$J:$J,MATCH(VALUE(B2260),Client_List!$A:$A,0)),""))</f>
        <v/>
      </c>
      <c r="I2260" s="70">
        <f>IF(B2260="","",IFERROR(A2260-LOOKUP(2,1/($B$4:$B2259=B2260),$A$4:$A2259),""))</f>
        <v/>
      </c>
      <c r="J2260" s="32">
        <f>IF(B2260="","",IFERROR(D2260/I2260,""))</f>
        <v/>
      </c>
      <c r="K2260" s="71">
        <f>IF(B2260="","",IFERROR(AVERAGEIFS($J$4:$J2260,$B$4:$B2260,B2260,$J$4:$J2260,"&gt;"&amp;0),""))</f>
        <v/>
      </c>
      <c r="L2260" s="12" t="n"/>
    </row>
    <row r="2261" ht="14" customHeight="1" s="72">
      <c r="A2261" s="78" t="n"/>
      <c r="B2261" s="79" t="n"/>
      <c r="C2261" s="69">
        <f>IF(B2261="","",IFERROR(INDEX(Client_List!$B:$B,MATCH(B2261,Client_List!$A:$A,0)),"⚠ NOT FOUND"))</f>
        <v/>
      </c>
      <c r="D2261" s="44" t="n"/>
      <c r="E2261" s="32">
        <f>IF(B2261="","",IFERROR(INDEX(Client_List!$C:$C,MATCH(VALUE(B2261),Client_List!$A:$A,0)),""))</f>
        <v/>
      </c>
      <c r="F2261" s="53">
        <f>IF(B2261="","",IFERROR(INDEX(Client_List!$D:$D,MATCH(VALUE(B2261),Client_List!$A:$A,0)),""))</f>
        <v/>
      </c>
      <c r="G2261" s="53">
        <f>IF(B2261="","",IFERROR(INDEX(Client_List!$K:$K,MATCH(VALUE(B2261),Client_List!$A:$A,0)),""))</f>
        <v/>
      </c>
      <c r="H2261" s="32">
        <f>IF(B2261="","",IFERROR(INDEX(Client_List!$J:$J,MATCH(VALUE(B2261),Client_List!$A:$A,0)),""))</f>
        <v/>
      </c>
      <c r="I2261" s="70">
        <f>IF(B2261="","",IFERROR(A2261-LOOKUP(2,1/($B$4:$B2260=B2261),$A$4:$A2260),""))</f>
        <v/>
      </c>
      <c r="J2261" s="32">
        <f>IF(B2261="","",IFERROR(D2261/I2261,""))</f>
        <v/>
      </c>
      <c r="K2261" s="71">
        <f>IF(B2261="","",IFERROR(AVERAGEIFS($J$4:$J2261,$B$4:$B2261,B2261,$J$4:$J2261,"&gt;"&amp;0),""))</f>
        <v/>
      </c>
      <c r="L2261" s="11" t="n"/>
    </row>
    <row r="2262" ht="14" customHeight="1" s="72">
      <c r="A2262" s="80" t="n"/>
      <c r="B2262" s="81" t="n"/>
      <c r="C2262" s="69">
        <f>IF(B2262="","",IFERROR(INDEX(Client_List!$B:$B,MATCH(B2262,Client_List!$A:$A,0)),"⚠ NOT FOUND"))</f>
        <v/>
      </c>
      <c r="D2262" s="45" t="n"/>
      <c r="E2262" s="32">
        <f>IF(B2262="","",IFERROR(INDEX(Client_List!$C:$C,MATCH(VALUE(B2262),Client_List!$A:$A,0)),""))</f>
        <v/>
      </c>
      <c r="F2262" s="53">
        <f>IF(B2262="","",IFERROR(INDEX(Client_List!$D:$D,MATCH(VALUE(B2262),Client_List!$A:$A,0)),""))</f>
        <v/>
      </c>
      <c r="G2262" s="53">
        <f>IF(B2262="","",IFERROR(INDEX(Client_List!$K:$K,MATCH(VALUE(B2262),Client_List!$A:$A,0)),""))</f>
        <v/>
      </c>
      <c r="H2262" s="32">
        <f>IF(B2262="","",IFERROR(INDEX(Client_List!$J:$J,MATCH(VALUE(B2262),Client_List!$A:$A,0)),""))</f>
        <v/>
      </c>
      <c r="I2262" s="70">
        <f>IF(B2262="","",IFERROR(A2262-LOOKUP(2,1/($B$4:$B2261=B2262),$A$4:$A2261),""))</f>
        <v/>
      </c>
      <c r="J2262" s="32">
        <f>IF(B2262="","",IFERROR(D2262/I2262,""))</f>
        <v/>
      </c>
      <c r="K2262" s="71">
        <f>IF(B2262="","",IFERROR(AVERAGEIFS($J$4:$J2262,$B$4:$B2262,B2262,$J$4:$J2262,"&gt;"&amp;0),""))</f>
        <v/>
      </c>
      <c r="L2262" s="12" t="n"/>
    </row>
    <row r="2263" ht="14" customHeight="1" s="72">
      <c r="A2263" s="78" t="n"/>
      <c r="B2263" s="79" t="n"/>
      <c r="C2263" s="69">
        <f>IF(B2263="","",IFERROR(INDEX(Client_List!$B:$B,MATCH(B2263,Client_List!$A:$A,0)),"⚠ NOT FOUND"))</f>
        <v/>
      </c>
      <c r="D2263" s="44" t="n"/>
      <c r="E2263" s="32">
        <f>IF(B2263="","",IFERROR(INDEX(Client_List!$C:$C,MATCH(VALUE(B2263),Client_List!$A:$A,0)),""))</f>
        <v/>
      </c>
      <c r="F2263" s="53">
        <f>IF(B2263="","",IFERROR(INDEX(Client_List!$D:$D,MATCH(VALUE(B2263),Client_List!$A:$A,0)),""))</f>
        <v/>
      </c>
      <c r="G2263" s="53">
        <f>IF(B2263="","",IFERROR(INDEX(Client_List!$K:$K,MATCH(VALUE(B2263),Client_List!$A:$A,0)),""))</f>
        <v/>
      </c>
      <c r="H2263" s="32">
        <f>IF(B2263="","",IFERROR(INDEX(Client_List!$J:$J,MATCH(VALUE(B2263),Client_List!$A:$A,0)),""))</f>
        <v/>
      </c>
      <c r="I2263" s="70">
        <f>IF(B2263="","",IFERROR(A2263-LOOKUP(2,1/($B$4:$B2262=B2263),$A$4:$A2262),""))</f>
        <v/>
      </c>
      <c r="J2263" s="32">
        <f>IF(B2263="","",IFERROR(D2263/I2263,""))</f>
        <v/>
      </c>
      <c r="K2263" s="71">
        <f>IF(B2263="","",IFERROR(AVERAGEIFS($J$4:$J2263,$B$4:$B2263,B2263,$J$4:$J2263,"&gt;"&amp;0),""))</f>
        <v/>
      </c>
      <c r="L2263" s="11" t="n"/>
    </row>
    <row r="2264" ht="14" customHeight="1" s="72">
      <c r="A2264" s="80" t="n"/>
      <c r="B2264" s="81" t="n"/>
      <c r="C2264" s="69">
        <f>IF(B2264="","",IFERROR(INDEX(Client_List!$B:$B,MATCH(B2264,Client_List!$A:$A,0)),"⚠ NOT FOUND"))</f>
        <v/>
      </c>
      <c r="D2264" s="45" t="n"/>
      <c r="E2264" s="32">
        <f>IF(B2264="","",IFERROR(INDEX(Client_List!$C:$C,MATCH(VALUE(B2264),Client_List!$A:$A,0)),""))</f>
        <v/>
      </c>
      <c r="F2264" s="53">
        <f>IF(B2264="","",IFERROR(INDEX(Client_List!$D:$D,MATCH(VALUE(B2264),Client_List!$A:$A,0)),""))</f>
        <v/>
      </c>
      <c r="G2264" s="53">
        <f>IF(B2264="","",IFERROR(INDEX(Client_List!$K:$K,MATCH(VALUE(B2264),Client_List!$A:$A,0)),""))</f>
        <v/>
      </c>
      <c r="H2264" s="32">
        <f>IF(B2264="","",IFERROR(INDEX(Client_List!$J:$J,MATCH(VALUE(B2264),Client_List!$A:$A,0)),""))</f>
        <v/>
      </c>
      <c r="I2264" s="70">
        <f>IF(B2264="","",IFERROR(A2264-LOOKUP(2,1/($B$4:$B2263=B2264),$A$4:$A2263),""))</f>
        <v/>
      </c>
      <c r="J2264" s="32">
        <f>IF(B2264="","",IFERROR(D2264/I2264,""))</f>
        <v/>
      </c>
      <c r="K2264" s="71">
        <f>IF(B2264="","",IFERROR(AVERAGEIFS($J$4:$J2264,$B$4:$B2264,B2264,$J$4:$J2264,"&gt;"&amp;0),""))</f>
        <v/>
      </c>
      <c r="L2264" s="12" t="n"/>
    </row>
    <row r="2265" ht="14" customHeight="1" s="72">
      <c r="A2265" s="78" t="n"/>
      <c r="B2265" s="79" t="n"/>
      <c r="C2265" s="69">
        <f>IF(B2265="","",IFERROR(INDEX(Client_List!$B:$B,MATCH(B2265,Client_List!$A:$A,0)),"⚠ NOT FOUND"))</f>
        <v/>
      </c>
      <c r="D2265" s="44" t="n"/>
      <c r="E2265" s="32">
        <f>IF(B2265="","",IFERROR(INDEX(Client_List!$C:$C,MATCH(VALUE(B2265),Client_List!$A:$A,0)),""))</f>
        <v/>
      </c>
      <c r="F2265" s="53">
        <f>IF(B2265="","",IFERROR(INDEX(Client_List!$D:$D,MATCH(VALUE(B2265),Client_List!$A:$A,0)),""))</f>
        <v/>
      </c>
      <c r="G2265" s="53">
        <f>IF(B2265="","",IFERROR(INDEX(Client_List!$K:$K,MATCH(VALUE(B2265),Client_List!$A:$A,0)),""))</f>
        <v/>
      </c>
      <c r="H2265" s="32">
        <f>IF(B2265="","",IFERROR(INDEX(Client_List!$J:$J,MATCH(VALUE(B2265),Client_List!$A:$A,0)),""))</f>
        <v/>
      </c>
      <c r="I2265" s="70">
        <f>IF(B2265="","",IFERROR(A2265-LOOKUP(2,1/($B$4:$B2264=B2265),$A$4:$A2264),""))</f>
        <v/>
      </c>
      <c r="J2265" s="32">
        <f>IF(B2265="","",IFERROR(D2265/I2265,""))</f>
        <v/>
      </c>
      <c r="K2265" s="71">
        <f>IF(B2265="","",IFERROR(AVERAGEIFS($J$4:$J2265,$B$4:$B2265,B2265,$J$4:$J2265,"&gt;"&amp;0),""))</f>
        <v/>
      </c>
      <c r="L2265" s="11" t="n"/>
    </row>
    <row r="2266" ht="14" customHeight="1" s="72">
      <c r="A2266" s="80" t="n"/>
      <c r="B2266" s="81" t="n"/>
      <c r="C2266" s="69">
        <f>IF(B2266="","",IFERROR(INDEX(Client_List!$B:$B,MATCH(B2266,Client_List!$A:$A,0)),"⚠ NOT FOUND"))</f>
        <v/>
      </c>
      <c r="D2266" s="45" t="n"/>
      <c r="E2266" s="32">
        <f>IF(B2266="","",IFERROR(INDEX(Client_List!$C:$C,MATCH(VALUE(B2266),Client_List!$A:$A,0)),""))</f>
        <v/>
      </c>
      <c r="F2266" s="53">
        <f>IF(B2266="","",IFERROR(INDEX(Client_List!$D:$D,MATCH(VALUE(B2266),Client_List!$A:$A,0)),""))</f>
        <v/>
      </c>
      <c r="G2266" s="53">
        <f>IF(B2266="","",IFERROR(INDEX(Client_List!$K:$K,MATCH(VALUE(B2266),Client_List!$A:$A,0)),""))</f>
        <v/>
      </c>
      <c r="H2266" s="32">
        <f>IF(B2266="","",IFERROR(INDEX(Client_List!$J:$J,MATCH(VALUE(B2266),Client_List!$A:$A,0)),""))</f>
        <v/>
      </c>
      <c r="I2266" s="70">
        <f>IF(B2266="","",IFERROR(A2266-LOOKUP(2,1/($B$4:$B2265=B2266),$A$4:$A2265),""))</f>
        <v/>
      </c>
      <c r="J2266" s="32">
        <f>IF(B2266="","",IFERROR(D2266/I2266,""))</f>
        <v/>
      </c>
      <c r="K2266" s="71">
        <f>IF(B2266="","",IFERROR(AVERAGEIFS($J$4:$J2266,$B$4:$B2266,B2266,$J$4:$J2266,"&gt;"&amp;0),""))</f>
        <v/>
      </c>
      <c r="L2266" s="12" t="n"/>
    </row>
    <row r="2267" ht="14" customHeight="1" s="72">
      <c r="A2267" s="78" t="n"/>
      <c r="B2267" s="79" t="n"/>
      <c r="C2267" s="69">
        <f>IF(B2267="","",IFERROR(INDEX(Client_List!$B:$B,MATCH(B2267,Client_List!$A:$A,0)),"⚠ NOT FOUND"))</f>
        <v/>
      </c>
      <c r="D2267" s="44" t="n"/>
      <c r="E2267" s="32">
        <f>IF(B2267="","",IFERROR(INDEX(Client_List!$C:$C,MATCH(VALUE(B2267),Client_List!$A:$A,0)),""))</f>
        <v/>
      </c>
      <c r="F2267" s="53">
        <f>IF(B2267="","",IFERROR(INDEX(Client_List!$D:$D,MATCH(VALUE(B2267),Client_List!$A:$A,0)),""))</f>
        <v/>
      </c>
      <c r="G2267" s="53">
        <f>IF(B2267="","",IFERROR(INDEX(Client_List!$K:$K,MATCH(VALUE(B2267),Client_List!$A:$A,0)),""))</f>
        <v/>
      </c>
      <c r="H2267" s="32">
        <f>IF(B2267="","",IFERROR(INDEX(Client_List!$J:$J,MATCH(VALUE(B2267),Client_List!$A:$A,0)),""))</f>
        <v/>
      </c>
      <c r="I2267" s="70">
        <f>IF(B2267="","",IFERROR(A2267-LOOKUP(2,1/($B$4:$B2266=B2267),$A$4:$A2266),""))</f>
        <v/>
      </c>
      <c r="J2267" s="32">
        <f>IF(B2267="","",IFERROR(D2267/I2267,""))</f>
        <v/>
      </c>
      <c r="K2267" s="71">
        <f>IF(B2267="","",IFERROR(AVERAGEIFS($J$4:$J2267,$B$4:$B2267,B2267,$J$4:$J2267,"&gt;"&amp;0),""))</f>
        <v/>
      </c>
      <c r="L2267" s="11" t="n"/>
    </row>
    <row r="2268" ht="14" customHeight="1" s="72">
      <c r="A2268" s="80" t="n"/>
      <c r="B2268" s="81" t="n"/>
      <c r="C2268" s="69">
        <f>IF(B2268="","",IFERROR(INDEX(Client_List!$B:$B,MATCH(B2268,Client_List!$A:$A,0)),"⚠ NOT FOUND"))</f>
        <v/>
      </c>
      <c r="D2268" s="45" t="n"/>
      <c r="E2268" s="32">
        <f>IF(B2268="","",IFERROR(INDEX(Client_List!$C:$C,MATCH(VALUE(B2268),Client_List!$A:$A,0)),""))</f>
        <v/>
      </c>
      <c r="F2268" s="53">
        <f>IF(B2268="","",IFERROR(INDEX(Client_List!$D:$D,MATCH(VALUE(B2268),Client_List!$A:$A,0)),""))</f>
        <v/>
      </c>
      <c r="G2268" s="53">
        <f>IF(B2268="","",IFERROR(INDEX(Client_List!$K:$K,MATCH(VALUE(B2268),Client_List!$A:$A,0)),""))</f>
        <v/>
      </c>
      <c r="H2268" s="32">
        <f>IF(B2268="","",IFERROR(INDEX(Client_List!$J:$J,MATCH(VALUE(B2268),Client_List!$A:$A,0)),""))</f>
        <v/>
      </c>
      <c r="I2268" s="70">
        <f>IF(B2268="","",IFERROR(A2268-LOOKUP(2,1/($B$4:$B2267=B2268),$A$4:$A2267),""))</f>
        <v/>
      </c>
      <c r="J2268" s="32">
        <f>IF(B2268="","",IFERROR(D2268/I2268,""))</f>
        <v/>
      </c>
      <c r="K2268" s="71">
        <f>IF(B2268="","",IFERROR(AVERAGEIFS($J$4:$J2268,$B$4:$B2268,B2268,$J$4:$J2268,"&gt;"&amp;0),""))</f>
        <v/>
      </c>
      <c r="L2268" s="12" t="n"/>
    </row>
    <row r="2269" ht="14" customHeight="1" s="72">
      <c r="A2269" s="78" t="n"/>
      <c r="B2269" s="79" t="n"/>
      <c r="C2269" s="69">
        <f>IF(B2269="","",IFERROR(INDEX(Client_List!$B:$B,MATCH(B2269,Client_List!$A:$A,0)),"⚠ NOT FOUND"))</f>
        <v/>
      </c>
      <c r="D2269" s="44" t="n"/>
      <c r="E2269" s="32">
        <f>IF(B2269="","",IFERROR(INDEX(Client_List!$C:$C,MATCH(VALUE(B2269),Client_List!$A:$A,0)),""))</f>
        <v/>
      </c>
      <c r="F2269" s="53">
        <f>IF(B2269="","",IFERROR(INDEX(Client_List!$D:$D,MATCH(VALUE(B2269),Client_List!$A:$A,0)),""))</f>
        <v/>
      </c>
      <c r="G2269" s="53">
        <f>IF(B2269="","",IFERROR(INDEX(Client_List!$K:$K,MATCH(VALUE(B2269),Client_List!$A:$A,0)),""))</f>
        <v/>
      </c>
      <c r="H2269" s="32">
        <f>IF(B2269="","",IFERROR(INDEX(Client_List!$J:$J,MATCH(VALUE(B2269),Client_List!$A:$A,0)),""))</f>
        <v/>
      </c>
      <c r="I2269" s="70">
        <f>IF(B2269="","",IFERROR(A2269-LOOKUP(2,1/($B$4:$B2268=B2269),$A$4:$A2268),""))</f>
        <v/>
      </c>
      <c r="J2269" s="32">
        <f>IF(B2269="","",IFERROR(D2269/I2269,""))</f>
        <v/>
      </c>
      <c r="K2269" s="71">
        <f>IF(B2269="","",IFERROR(AVERAGEIFS($J$4:$J2269,$B$4:$B2269,B2269,$J$4:$J2269,"&gt;"&amp;0),""))</f>
        <v/>
      </c>
      <c r="L2269" s="11" t="n"/>
    </row>
    <row r="2270" ht="14" customHeight="1" s="72">
      <c r="A2270" s="80" t="n"/>
      <c r="B2270" s="81" t="n"/>
      <c r="C2270" s="69">
        <f>IF(B2270="","",IFERROR(INDEX(Client_List!$B:$B,MATCH(B2270,Client_List!$A:$A,0)),"⚠ NOT FOUND"))</f>
        <v/>
      </c>
      <c r="D2270" s="45" t="n"/>
      <c r="E2270" s="32">
        <f>IF(B2270="","",IFERROR(INDEX(Client_List!$C:$C,MATCH(VALUE(B2270),Client_List!$A:$A,0)),""))</f>
        <v/>
      </c>
      <c r="F2270" s="53">
        <f>IF(B2270="","",IFERROR(INDEX(Client_List!$D:$D,MATCH(VALUE(B2270),Client_List!$A:$A,0)),""))</f>
        <v/>
      </c>
      <c r="G2270" s="53">
        <f>IF(B2270="","",IFERROR(INDEX(Client_List!$K:$K,MATCH(VALUE(B2270),Client_List!$A:$A,0)),""))</f>
        <v/>
      </c>
      <c r="H2270" s="32">
        <f>IF(B2270="","",IFERROR(INDEX(Client_List!$J:$J,MATCH(VALUE(B2270),Client_List!$A:$A,0)),""))</f>
        <v/>
      </c>
      <c r="I2270" s="70">
        <f>IF(B2270="","",IFERROR(A2270-LOOKUP(2,1/($B$4:$B2269=B2270),$A$4:$A2269),""))</f>
        <v/>
      </c>
      <c r="J2270" s="32">
        <f>IF(B2270="","",IFERROR(D2270/I2270,""))</f>
        <v/>
      </c>
      <c r="K2270" s="71">
        <f>IF(B2270="","",IFERROR(AVERAGEIFS($J$4:$J2270,$B$4:$B2270,B2270,$J$4:$J2270,"&gt;"&amp;0),""))</f>
        <v/>
      </c>
      <c r="L2270" s="12" t="n"/>
    </row>
    <row r="2271" ht="14" customHeight="1" s="72">
      <c r="A2271" s="78" t="n"/>
      <c r="B2271" s="79" t="n"/>
      <c r="C2271" s="69">
        <f>IF(B2271="","",IFERROR(INDEX(Client_List!$B:$B,MATCH(B2271,Client_List!$A:$A,0)),"⚠ NOT FOUND"))</f>
        <v/>
      </c>
      <c r="D2271" s="44" t="n"/>
      <c r="E2271" s="32">
        <f>IF(B2271="","",IFERROR(INDEX(Client_List!$C:$C,MATCH(VALUE(B2271),Client_List!$A:$A,0)),""))</f>
        <v/>
      </c>
      <c r="F2271" s="53">
        <f>IF(B2271="","",IFERROR(INDEX(Client_List!$D:$D,MATCH(VALUE(B2271),Client_List!$A:$A,0)),""))</f>
        <v/>
      </c>
      <c r="G2271" s="53">
        <f>IF(B2271="","",IFERROR(INDEX(Client_List!$K:$K,MATCH(VALUE(B2271),Client_List!$A:$A,0)),""))</f>
        <v/>
      </c>
      <c r="H2271" s="32">
        <f>IF(B2271="","",IFERROR(INDEX(Client_List!$J:$J,MATCH(VALUE(B2271),Client_List!$A:$A,0)),""))</f>
        <v/>
      </c>
      <c r="I2271" s="70">
        <f>IF(B2271="","",IFERROR(A2271-LOOKUP(2,1/($B$4:$B2270=B2271),$A$4:$A2270),""))</f>
        <v/>
      </c>
      <c r="J2271" s="32">
        <f>IF(B2271="","",IFERROR(D2271/I2271,""))</f>
        <v/>
      </c>
      <c r="K2271" s="71">
        <f>IF(B2271="","",IFERROR(AVERAGEIFS($J$4:$J2271,$B$4:$B2271,B2271,$J$4:$J2271,"&gt;"&amp;0),""))</f>
        <v/>
      </c>
      <c r="L2271" s="11" t="n"/>
    </row>
    <row r="2272" ht="14" customHeight="1" s="72">
      <c r="A2272" s="80" t="n"/>
      <c r="B2272" s="81" t="n"/>
      <c r="C2272" s="69">
        <f>IF(B2272="","",IFERROR(INDEX(Client_List!$B:$B,MATCH(B2272,Client_List!$A:$A,0)),"⚠ NOT FOUND"))</f>
        <v/>
      </c>
      <c r="D2272" s="45" t="n"/>
      <c r="E2272" s="32">
        <f>IF(B2272="","",IFERROR(INDEX(Client_List!$C:$C,MATCH(VALUE(B2272),Client_List!$A:$A,0)),""))</f>
        <v/>
      </c>
      <c r="F2272" s="53">
        <f>IF(B2272="","",IFERROR(INDEX(Client_List!$D:$D,MATCH(VALUE(B2272),Client_List!$A:$A,0)),""))</f>
        <v/>
      </c>
      <c r="G2272" s="53">
        <f>IF(B2272="","",IFERROR(INDEX(Client_List!$K:$K,MATCH(VALUE(B2272),Client_List!$A:$A,0)),""))</f>
        <v/>
      </c>
      <c r="H2272" s="32">
        <f>IF(B2272="","",IFERROR(INDEX(Client_List!$J:$J,MATCH(VALUE(B2272),Client_List!$A:$A,0)),""))</f>
        <v/>
      </c>
      <c r="I2272" s="70">
        <f>IF(B2272="","",IFERROR(A2272-LOOKUP(2,1/($B$4:$B2271=B2272),$A$4:$A2271),""))</f>
        <v/>
      </c>
      <c r="J2272" s="32">
        <f>IF(B2272="","",IFERROR(D2272/I2272,""))</f>
        <v/>
      </c>
      <c r="K2272" s="71">
        <f>IF(B2272="","",IFERROR(AVERAGEIFS($J$4:$J2272,$B$4:$B2272,B2272,$J$4:$J2272,"&gt;"&amp;0),""))</f>
        <v/>
      </c>
      <c r="L2272" s="12" t="n"/>
    </row>
    <row r="2273" ht="14" customHeight="1" s="72">
      <c r="A2273" s="78" t="n"/>
      <c r="B2273" s="79" t="n"/>
      <c r="C2273" s="69">
        <f>IF(B2273="","",IFERROR(INDEX(Client_List!$B:$B,MATCH(B2273,Client_List!$A:$A,0)),"⚠ NOT FOUND"))</f>
        <v/>
      </c>
      <c r="D2273" s="44" t="n"/>
      <c r="E2273" s="32">
        <f>IF(B2273="","",IFERROR(INDEX(Client_List!$C:$C,MATCH(VALUE(B2273),Client_List!$A:$A,0)),""))</f>
        <v/>
      </c>
      <c r="F2273" s="53">
        <f>IF(B2273="","",IFERROR(INDEX(Client_List!$D:$D,MATCH(VALUE(B2273),Client_List!$A:$A,0)),""))</f>
        <v/>
      </c>
      <c r="G2273" s="53">
        <f>IF(B2273="","",IFERROR(INDEX(Client_List!$K:$K,MATCH(VALUE(B2273),Client_List!$A:$A,0)),""))</f>
        <v/>
      </c>
      <c r="H2273" s="32">
        <f>IF(B2273="","",IFERROR(INDEX(Client_List!$J:$J,MATCH(VALUE(B2273),Client_List!$A:$A,0)),""))</f>
        <v/>
      </c>
      <c r="I2273" s="70">
        <f>IF(B2273="","",IFERROR(A2273-LOOKUP(2,1/($B$4:$B2272=B2273),$A$4:$A2272),""))</f>
        <v/>
      </c>
      <c r="J2273" s="32">
        <f>IF(B2273="","",IFERROR(D2273/I2273,""))</f>
        <v/>
      </c>
      <c r="K2273" s="71">
        <f>IF(B2273="","",IFERROR(AVERAGEIFS($J$4:$J2273,$B$4:$B2273,B2273,$J$4:$J2273,"&gt;"&amp;0),""))</f>
        <v/>
      </c>
      <c r="L2273" s="11" t="n"/>
    </row>
    <row r="2274" ht="14" customHeight="1" s="72">
      <c r="A2274" s="80" t="n"/>
      <c r="B2274" s="81" t="n"/>
      <c r="C2274" s="69">
        <f>IF(B2274="","",IFERROR(INDEX(Client_List!$B:$B,MATCH(B2274,Client_List!$A:$A,0)),"⚠ NOT FOUND"))</f>
        <v/>
      </c>
      <c r="D2274" s="45" t="n"/>
      <c r="E2274" s="32">
        <f>IF(B2274="","",IFERROR(INDEX(Client_List!$C:$C,MATCH(VALUE(B2274),Client_List!$A:$A,0)),""))</f>
        <v/>
      </c>
      <c r="F2274" s="53">
        <f>IF(B2274="","",IFERROR(INDEX(Client_List!$D:$D,MATCH(VALUE(B2274),Client_List!$A:$A,0)),""))</f>
        <v/>
      </c>
      <c r="G2274" s="53">
        <f>IF(B2274="","",IFERROR(INDEX(Client_List!$K:$K,MATCH(VALUE(B2274),Client_List!$A:$A,0)),""))</f>
        <v/>
      </c>
      <c r="H2274" s="32">
        <f>IF(B2274="","",IFERROR(INDEX(Client_List!$J:$J,MATCH(VALUE(B2274),Client_List!$A:$A,0)),""))</f>
        <v/>
      </c>
      <c r="I2274" s="70">
        <f>IF(B2274="","",IFERROR(A2274-LOOKUP(2,1/($B$4:$B2273=B2274),$A$4:$A2273),""))</f>
        <v/>
      </c>
      <c r="J2274" s="32">
        <f>IF(B2274="","",IFERROR(D2274/I2274,""))</f>
        <v/>
      </c>
      <c r="K2274" s="71">
        <f>IF(B2274="","",IFERROR(AVERAGEIFS($J$4:$J2274,$B$4:$B2274,B2274,$J$4:$J2274,"&gt;"&amp;0),""))</f>
        <v/>
      </c>
      <c r="L2274" s="12" t="n"/>
    </row>
    <row r="2275" ht="14" customHeight="1" s="72">
      <c r="A2275" s="78" t="n"/>
      <c r="B2275" s="79" t="n"/>
      <c r="C2275" s="69">
        <f>IF(B2275="","",IFERROR(INDEX(Client_List!$B:$B,MATCH(B2275,Client_List!$A:$A,0)),"⚠ NOT FOUND"))</f>
        <v/>
      </c>
      <c r="D2275" s="44" t="n"/>
      <c r="E2275" s="32">
        <f>IF(B2275="","",IFERROR(INDEX(Client_List!$C:$C,MATCH(VALUE(B2275),Client_List!$A:$A,0)),""))</f>
        <v/>
      </c>
      <c r="F2275" s="53">
        <f>IF(B2275="","",IFERROR(INDEX(Client_List!$D:$D,MATCH(VALUE(B2275),Client_List!$A:$A,0)),""))</f>
        <v/>
      </c>
      <c r="G2275" s="53">
        <f>IF(B2275="","",IFERROR(INDEX(Client_List!$K:$K,MATCH(VALUE(B2275),Client_List!$A:$A,0)),""))</f>
        <v/>
      </c>
      <c r="H2275" s="32">
        <f>IF(B2275="","",IFERROR(INDEX(Client_List!$J:$J,MATCH(VALUE(B2275),Client_List!$A:$A,0)),""))</f>
        <v/>
      </c>
      <c r="I2275" s="70">
        <f>IF(B2275="","",IFERROR(A2275-LOOKUP(2,1/($B$4:$B2274=B2275),$A$4:$A2274),""))</f>
        <v/>
      </c>
      <c r="J2275" s="32">
        <f>IF(B2275="","",IFERROR(D2275/I2275,""))</f>
        <v/>
      </c>
      <c r="K2275" s="71">
        <f>IF(B2275="","",IFERROR(AVERAGEIFS($J$4:$J2275,$B$4:$B2275,B2275,$J$4:$J2275,"&gt;"&amp;0),""))</f>
        <v/>
      </c>
      <c r="L2275" s="11" t="n"/>
    </row>
    <row r="2276" ht="14" customHeight="1" s="72">
      <c r="A2276" s="80" t="n"/>
      <c r="B2276" s="81" t="n"/>
      <c r="C2276" s="69">
        <f>IF(B2276="","",IFERROR(INDEX(Client_List!$B:$B,MATCH(B2276,Client_List!$A:$A,0)),"⚠ NOT FOUND"))</f>
        <v/>
      </c>
      <c r="D2276" s="45" t="n"/>
      <c r="E2276" s="32">
        <f>IF(B2276="","",IFERROR(INDEX(Client_List!$C:$C,MATCH(VALUE(B2276),Client_List!$A:$A,0)),""))</f>
        <v/>
      </c>
      <c r="F2276" s="53">
        <f>IF(B2276="","",IFERROR(INDEX(Client_List!$D:$D,MATCH(VALUE(B2276),Client_List!$A:$A,0)),""))</f>
        <v/>
      </c>
      <c r="G2276" s="53">
        <f>IF(B2276="","",IFERROR(INDEX(Client_List!$K:$K,MATCH(VALUE(B2276),Client_List!$A:$A,0)),""))</f>
        <v/>
      </c>
      <c r="H2276" s="32">
        <f>IF(B2276="","",IFERROR(INDEX(Client_List!$J:$J,MATCH(VALUE(B2276),Client_List!$A:$A,0)),""))</f>
        <v/>
      </c>
      <c r="I2276" s="70">
        <f>IF(B2276="","",IFERROR(A2276-LOOKUP(2,1/($B$4:$B2275=B2276),$A$4:$A2275),""))</f>
        <v/>
      </c>
      <c r="J2276" s="32">
        <f>IF(B2276="","",IFERROR(D2276/I2276,""))</f>
        <v/>
      </c>
      <c r="K2276" s="71">
        <f>IF(B2276="","",IFERROR(AVERAGEIFS($J$4:$J2276,$B$4:$B2276,B2276,$J$4:$J2276,"&gt;"&amp;0),""))</f>
        <v/>
      </c>
      <c r="L2276" s="12" t="n"/>
    </row>
    <row r="2277" ht="14" customHeight="1" s="72">
      <c r="A2277" s="78" t="n"/>
      <c r="B2277" s="79" t="n"/>
      <c r="C2277" s="69">
        <f>IF(B2277="","",IFERROR(INDEX(Client_List!$B:$B,MATCH(B2277,Client_List!$A:$A,0)),"⚠ NOT FOUND"))</f>
        <v/>
      </c>
      <c r="D2277" s="44" t="n"/>
      <c r="E2277" s="32">
        <f>IF(B2277="","",IFERROR(INDEX(Client_List!$C:$C,MATCH(VALUE(B2277),Client_List!$A:$A,0)),""))</f>
        <v/>
      </c>
      <c r="F2277" s="53">
        <f>IF(B2277="","",IFERROR(INDEX(Client_List!$D:$D,MATCH(VALUE(B2277),Client_List!$A:$A,0)),""))</f>
        <v/>
      </c>
      <c r="G2277" s="53">
        <f>IF(B2277="","",IFERROR(INDEX(Client_List!$K:$K,MATCH(VALUE(B2277),Client_List!$A:$A,0)),""))</f>
        <v/>
      </c>
      <c r="H2277" s="32">
        <f>IF(B2277="","",IFERROR(INDEX(Client_List!$J:$J,MATCH(VALUE(B2277),Client_List!$A:$A,0)),""))</f>
        <v/>
      </c>
      <c r="I2277" s="70">
        <f>IF(B2277="","",IFERROR(A2277-LOOKUP(2,1/($B$4:$B2276=B2277),$A$4:$A2276),""))</f>
        <v/>
      </c>
      <c r="J2277" s="32">
        <f>IF(B2277="","",IFERROR(D2277/I2277,""))</f>
        <v/>
      </c>
      <c r="K2277" s="71">
        <f>IF(B2277="","",IFERROR(AVERAGEIFS($J$4:$J2277,$B$4:$B2277,B2277,$J$4:$J2277,"&gt;"&amp;0),""))</f>
        <v/>
      </c>
      <c r="L2277" s="11" t="n"/>
    </row>
    <row r="2278" ht="14" customHeight="1" s="72">
      <c r="A2278" s="80" t="n"/>
      <c r="B2278" s="81" t="n"/>
      <c r="C2278" s="69">
        <f>IF(B2278="","",IFERROR(INDEX(Client_List!$B:$B,MATCH(B2278,Client_List!$A:$A,0)),"⚠ NOT FOUND"))</f>
        <v/>
      </c>
      <c r="D2278" s="45" t="n"/>
      <c r="E2278" s="32">
        <f>IF(B2278="","",IFERROR(INDEX(Client_List!$C:$C,MATCH(VALUE(B2278),Client_List!$A:$A,0)),""))</f>
        <v/>
      </c>
      <c r="F2278" s="53">
        <f>IF(B2278="","",IFERROR(INDEX(Client_List!$D:$D,MATCH(VALUE(B2278),Client_List!$A:$A,0)),""))</f>
        <v/>
      </c>
      <c r="G2278" s="53">
        <f>IF(B2278="","",IFERROR(INDEX(Client_List!$K:$K,MATCH(VALUE(B2278),Client_List!$A:$A,0)),""))</f>
        <v/>
      </c>
      <c r="H2278" s="32">
        <f>IF(B2278="","",IFERROR(INDEX(Client_List!$J:$J,MATCH(VALUE(B2278),Client_List!$A:$A,0)),""))</f>
        <v/>
      </c>
      <c r="I2278" s="70">
        <f>IF(B2278="","",IFERROR(A2278-LOOKUP(2,1/($B$4:$B2277=B2278),$A$4:$A2277),""))</f>
        <v/>
      </c>
      <c r="J2278" s="32">
        <f>IF(B2278="","",IFERROR(D2278/I2278,""))</f>
        <v/>
      </c>
      <c r="K2278" s="71">
        <f>IF(B2278="","",IFERROR(AVERAGEIFS($J$4:$J2278,$B$4:$B2278,B2278,$J$4:$J2278,"&gt;"&amp;0),""))</f>
        <v/>
      </c>
      <c r="L2278" s="12" t="n"/>
    </row>
    <row r="2279" ht="14" customHeight="1" s="72">
      <c r="A2279" s="78" t="n"/>
      <c r="B2279" s="79" t="n"/>
      <c r="C2279" s="69">
        <f>IF(B2279="","",IFERROR(INDEX(Client_List!$B:$B,MATCH(B2279,Client_List!$A:$A,0)),"⚠ NOT FOUND"))</f>
        <v/>
      </c>
      <c r="D2279" s="44" t="n"/>
      <c r="E2279" s="32">
        <f>IF(B2279="","",IFERROR(INDEX(Client_List!$C:$C,MATCH(VALUE(B2279),Client_List!$A:$A,0)),""))</f>
        <v/>
      </c>
      <c r="F2279" s="53">
        <f>IF(B2279="","",IFERROR(INDEX(Client_List!$D:$D,MATCH(VALUE(B2279),Client_List!$A:$A,0)),""))</f>
        <v/>
      </c>
      <c r="G2279" s="53">
        <f>IF(B2279="","",IFERROR(INDEX(Client_List!$K:$K,MATCH(VALUE(B2279),Client_List!$A:$A,0)),""))</f>
        <v/>
      </c>
      <c r="H2279" s="32">
        <f>IF(B2279="","",IFERROR(INDEX(Client_List!$J:$J,MATCH(VALUE(B2279),Client_List!$A:$A,0)),""))</f>
        <v/>
      </c>
      <c r="I2279" s="70">
        <f>IF(B2279="","",IFERROR(A2279-LOOKUP(2,1/($B$4:$B2278=B2279),$A$4:$A2278),""))</f>
        <v/>
      </c>
      <c r="J2279" s="32">
        <f>IF(B2279="","",IFERROR(D2279/I2279,""))</f>
        <v/>
      </c>
      <c r="K2279" s="71">
        <f>IF(B2279="","",IFERROR(AVERAGEIFS($J$4:$J2279,$B$4:$B2279,B2279,$J$4:$J2279,"&gt;"&amp;0),""))</f>
        <v/>
      </c>
      <c r="L2279" s="11" t="n"/>
    </row>
    <row r="2280" ht="14" customHeight="1" s="72">
      <c r="A2280" s="80" t="n"/>
      <c r="B2280" s="81" t="n"/>
      <c r="C2280" s="69">
        <f>IF(B2280="","",IFERROR(INDEX(Client_List!$B:$B,MATCH(B2280,Client_List!$A:$A,0)),"⚠ NOT FOUND"))</f>
        <v/>
      </c>
      <c r="D2280" s="45" t="n"/>
      <c r="E2280" s="32">
        <f>IF(B2280="","",IFERROR(INDEX(Client_List!$C:$C,MATCH(VALUE(B2280),Client_List!$A:$A,0)),""))</f>
        <v/>
      </c>
      <c r="F2280" s="53">
        <f>IF(B2280="","",IFERROR(INDEX(Client_List!$D:$D,MATCH(VALUE(B2280),Client_List!$A:$A,0)),""))</f>
        <v/>
      </c>
      <c r="G2280" s="53">
        <f>IF(B2280="","",IFERROR(INDEX(Client_List!$K:$K,MATCH(VALUE(B2280),Client_List!$A:$A,0)),""))</f>
        <v/>
      </c>
      <c r="H2280" s="32">
        <f>IF(B2280="","",IFERROR(INDEX(Client_List!$J:$J,MATCH(VALUE(B2280),Client_List!$A:$A,0)),""))</f>
        <v/>
      </c>
      <c r="I2280" s="70">
        <f>IF(B2280="","",IFERROR(A2280-LOOKUP(2,1/($B$4:$B2279=B2280),$A$4:$A2279),""))</f>
        <v/>
      </c>
      <c r="J2280" s="32">
        <f>IF(B2280="","",IFERROR(D2280/I2280,""))</f>
        <v/>
      </c>
      <c r="K2280" s="71">
        <f>IF(B2280="","",IFERROR(AVERAGEIFS($J$4:$J2280,$B$4:$B2280,B2280,$J$4:$J2280,"&gt;"&amp;0),""))</f>
        <v/>
      </c>
      <c r="L2280" s="12" t="n"/>
    </row>
    <row r="2281" ht="14" customHeight="1" s="72">
      <c r="A2281" s="78" t="n"/>
      <c r="B2281" s="79" t="n"/>
      <c r="C2281" s="69">
        <f>IF(B2281="","",IFERROR(INDEX(Client_List!$B:$B,MATCH(B2281,Client_List!$A:$A,0)),"⚠ NOT FOUND"))</f>
        <v/>
      </c>
      <c r="D2281" s="44" t="n"/>
      <c r="E2281" s="32">
        <f>IF(B2281="","",IFERROR(INDEX(Client_List!$C:$C,MATCH(VALUE(B2281),Client_List!$A:$A,0)),""))</f>
        <v/>
      </c>
      <c r="F2281" s="53">
        <f>IF(B2281="","",IFERROR(INDEX(Client_List!$D:$D,MATCH(VALUE(B2281),Client_List!$A:$A,0)),""))</f>
        <v/>
      </c>
      <c r="G2281" s="53">
        <f>IF(B2281="","",IFERROR(INDEX(Client_List!$K:$K,MATCH(VALUE(B2281),Client_List!$A:$A,0)),""))</f>
        <v/>
      </c>
      <c r="H2281" s="32">
        <f>IF(B2281="","",IFERROR(INDEX(Client_List!$J:$J,MATCH(VALUE(B2281),Client_List!$A:$A,0)),""))</f>
        <v/>
      </c>
      <c r="I2281" s="70">
        <f>IF(B2281="","",IFERROR(A2281-LOOKUP(2,1/($B$4:$B2280=B2281),$A$4:$A2280),""))</f>
        <v/>
      </c>
      <c r="J2281" s="32">
        <f>IF(B2281="","",IFERROR(D2281/I2281,""))</f>
        <v/>
      </c>
      <c r="K2281" s="71">
        <f>IF(B2281="","",IFERROR(AVERAGEIFS($J$4:$J2281,$B$4:$B2281,B2281,$J$4:$J2281,"&gt;"&amp;0),""))</f>
        <v/>
      </c>
      <c r="L2281" s="11" t="n"/>
    </row>
    <row r="2282" ht="14" customHeight="1" s="72">
      <c r="A2282" s="80" t="n"/>
      <c r="B2282" s="81" t="n"/>
      <c r="C2282" s="69">
        <f>IF(B2282="","",IFERROR(INDEX(Client_List!$B:$B,MATCH(B2282,Client_List!$A:$A,0)),"⚠ NOT FOUND"))</f>
        <v/>
      </c>
      <c r="D2282" s="45" t="n"/>
      <c r="E2282" s="32">
        <f>IF(B2282="","",IFERROR(INDEX(Client_List!$C:$C,MATCH(VALUE(B2282),Client_List!$A:$A,0)),""))</f>
        <v/>
      </c>
      <c r="F2282" s="53">
        <f>IF(B2282="","",IFERROR(INDEX(Client_List!$D:$D,MATCH(VALUE(B2282),Client_List!$A:$A,0)),""))</f>
        <v/>
      </c>
      <c r="G2282" s="53">
        <f>IF(B2282="","",IFERROR(INDEX(Client_List!$K:$K,MATCH(VALUE(B2282),Client_List!$A:$A,0)),""))</f>
        <v/>
      </c>
      <c r="H2282" s="32">
        <f>IF(B2282="","",IFERROR(INDEX(Client_List!$J:$J,MATCH(VALUE(B2282),Client_List!$A:$A,0)),""))</f>
        <v/>
      </c>
      <c r="I2282" s="70">
        <f>IF(B2282="","",IFERROR(A2282-LOOKUP(2,1/($B$4:$B2281=B2282),$A$4:$A2281),""))</f>
        <v/>
      </c>
      <c r="J2282" s="32">
        <f>IF(B2282="","",IFERROR(D2282/I2282,""))</f>
        <v/>
      </c>
      <c r="K2282" s="71">
        <f>IF(B2282="","",IFERROR(AVERAGEIFS($J$4:$J2282,$B$4:$B2282,B2282,$J$4:$J2282,"&gt;"&amp;0),""))</f>
        <v/>
      </c>
      <c r="L2282" s="12" t="n"/>
    </row>
    <row r="2283" ht="14" customHeight="1" s="72">
      <c r="A2283" s="78" t="n"/>
      <c r="B2283" s="79" t="n"/>
      <c r="C2283" s="69">
        <f>IF(B2283="","",IFERROR(INDEX(Client_List!$B:$B,MATCH(B2283,Client_List!$A:$A,0)),"⚠ NOT FOUND"))</f>
        <v/>
      </c>
      <c r="D2283" s="44" t="n"/>
      <c r="E2283" s="32">
        <f>IF(B2283="","",IFERROR(INDEX(Client_List!$C:$C,MATCH(VALUE(B2283),Client_List!$A:$A,0)),""))</f>
        <v/>
      </c>
      <c r="F2283" s="53">
        <f>IF(B2283="","",IFERROR(INDEX(Client_List!$D:$D,MATCH(VALUE(B2283),Client_List!$A:$A,0)),""))</f>
        <v/>
      </c>
      <c r="G2283" s="53">
        <f>IF(B2283="","",IFERROR(INDEX(Client_List!$K:$K,MATCH(VALUE(B2283),Client_List!$A:$A,0)),""))</f>
        <v/>
      </c>
      <c r="H2283" s="32">
        <f>IF(B2283="","",IFERROR(INDEX(Client_List!$J:$J,MATCH(VALUE(B2283),Client_List!$A:$A,0)),""))</f>
        <v/>
      </c>
      <c r="I2283" s="70">
        <f>IF(B2283="","",IFERROR(A2283-LOOKUP(2,1/($B$4:$B2282=B2283),$A$4:$A2282),""))</f>
        <v/>
      </c>
      <c r="J2283" s="32">
        <f>IF(B2283="","",IFERROR(D2283/I2283,""))</f>
        <v/>
      </c>
      <c r="K2283" s="71">
        <f>IF(B2283="","",IFERROR(AVERAGEIFS($J$4:$J2283,$B$4:$B2283,B2283,$J$4:$J2283,"&gt;"&amp;0),""))</f>
        <v/>
      </c>
      <c r="L2283" s="11" t="n"/>
    </row>
    <row r="2284" ht="14" customHeight="1" s="72">
      <c r="A2284" s="80" t="n"/>
      <c r="B2284" s="81" t="n"/>
      <c r="C2284" s="69">
        <f>IF(B2284="","",IFERROR(INDEX(Client_List!$B:$B,MATCH(B2284,Client_List!$A:$A,0)),"⚠ NOT FOUND"))</f>
        <v/>
      </c>
      <c r="D2284" s="45" t="n"/>
      <c r="E2284" s="32">
        <f>IF(B2284="","",IFERROR(INDEX(Client_List!$C:$C,MATCH(VALUE(B2284),Client_List!$A:$A,0)),""))</f>
        <v/>
      </c>
      <c r="F2284" s="53">
        <f>IF(B2284="","",IFERROR(INDEX(Client_List!$D:$D,MATCH(VALUE(B2284),Client_List!$A:$A,0)),""))</f>
        <v/>
      </c>
      <c r="G2284" s="53">
        <f>IF(B2284="","",IFERROR(INDEX(Client_List!$K:$K,MATCH(VALUE(B2284),Client_List!$A:$A,0)),""))</f>
        <v/>
      </c>
      <c r="H2284" s="32">
        <f>IF(B2284="","",IFERROR(INDEX(Client_List!$J:$J,MATCH(VALUE(B2284),Client_List!$A:$A,0)),""))</f>
        <v/>
      </c>
      <c r="I2284" s="70">
        <f>IF(B2284="","",IFERROR(A2284-LOOKUP(2,1/($B$4:$B2283=B2284),$A$4:$A2283),""))</f>
        <v/>
      </c>
      <c r="J2284" s="32">
        <f>IF(B2284="","",IFERROR(D2284/I2284,""))</f>
        <v/>
      </c>
      <c r="K2284" s="71">
        <f>IF(B2284="","",IFERROR(AVERAGEIFS($J$4:$J2284,$B$4:$B2284,B2284,$J$4:$J2284,"&gt;"&amp;0),""))</f>
        <v/>
      </c>
      <c r="L2284" s="12" t="n"/>
    </row>
    <row r="2285" ht="14" customHeight="1" s="72">
      <c r="A2285" s="78" t="n"/>
      <c r="B2285" s="79" t="n"/>
      <c r="C2285" s="69">
        <f>IF(B2285="","",IFERROR(INDEX(Client_List!$B:$B,MATCH(B2285,Client_List!$A:$A,0)),"⚠ NOT FOUND"))</f>
        <v/>
      </c>
      <c r="D2285" s="44" t="n"/>
      <c r="E2285" s="32">
        <f>IF(B2285="","",IFERROR(INDEX(Client_List!$C:$C,MATCH(VALUE(B2285),Client_List!$A:$A,0)),""))</f>
        <v/>
      </c>
      <c r="F2285" s="53">
        <f>IF(B2285="","",IFERROR(INDEX(Client_List!$D:$D,MATCH(VALUE(B2285),Client_List!$A:$A,0)),""))</f>
        <v/>
      </c>
      <c r="G2285" s="53">
        <f>IF(B2285="","",IFERROR(INDEX(Client_List!$K:$K,MATCH(VALUE(B2285),Client_List!$A:$A,0)),""))</f>
        <v/>
      </c>
      <c r="H2285" s="32">
        <f>IF(B2285="","",IFERROR(INDEX(Client_List!$J:$J,MATCH(VALUE(B2285),Client_List!$A:$A,0)),""))</f>
        <v/>
      </c>
      <c r="I2285" s="70">
        <f>IF(B2285="","",IFERROR(A2285-LOOKUP(2,1/($B$4:$B2284=B2285),$A$4:$A2284),""))</f>
        <v/>
      </c>
      <c r="J2285" s="32">
        <f>IF(B2285="","",IFERROR(D2285/I2285,""))</f>
        <v/>
      </c>
      <c r="K2285" s="71">
        <f>IF(B2285="","",IFERROR(AVERAGEIFS($J$4:$J2285,$B$4:$B2285,B2285,$J$4:$J2285,"&gt;"&amp;0),""))</f>
        <v/>
      </c>
      <c r="L2285" s="11" t="n"/>
    </row>
    <row r="2286" ht="14" customHeight="1" s="72">
      <c r="A2286" s="80" t="n"/>
      <c r="B2286" s="81" t="n"/>
      <c r="C2286" s="69">
        <f>IF(B2286="","",IFERROR(INDEX(Client_List!$B:$B,MATCH(B2286,Client_List!$A:$A,0)),"⚠ NOT FOUND"))</f>
        <v/>
      </c>
      <c r="D2286" s="45" t="n"/>
      <c r="E2286" s="32">
        <f>IF(B2286="","",IFERROR(INDEX(Client_List!$C:$C,MATCH(VALUE(B2286),Client_List!$A:$A,0)),""))</f>
        <v/>
      </c>
      <c r="F2286" s="53">
        <f>IF(B2286="","",IFERROR(INDEX(Client_List!$D:$D,MATCH(VALUE(B2286),Client_List!$A:$A,0)),""))</f>
        <v/>
      </c>
      <c r="G2286" s="53">
        <f>IF(B2286="","",IFERROR(INDEX(Client_List!$K:$K,MATCH(VALUE(B2286),Client_List!$A:$A,0)),""))</f>
        <v/>
      </c>
      <c r="H2286" s="32">
        <f>IF(B2286="","",IFERROR(INDEX(Client_List!$J:$J,MATCH(VALUE(B2286),Client_List!$A:$A,0)),""))</f>
        <v/>
      </c>
      <c r="I2286" s="70">
        <f>IF(B2286="","",IFERROR(A2286-LOOKUP(2,1/($B$4:$B2285=B2286),$A$4:$A2285),""))</f>
        <v/>
      </c>
      <c r="J2286" s="32">
        <f>IF(B2286="","",IFERROR(D2286/I2286,""))</f>
        <v/>
      </c>
      <c r="K2286" s="71">
        <f>IF(B2286="","",IFERROR(AVERAGEIFS($J$4:$J2286,$B$4:$B2286,B2286,$J$4:$J2286,"&gt;"&amp;0),""))</f>
        <v/>
      </c>
      <c r="L2286" s="12" t="n"/>
    </row>
    <row r="2287" ht="14" customHeight="1" s="72">
      <c r="A2287" s="78" t="n"/>
      <c r="B2287" s="79" t="n"/>
      <c r="C2287" s="69">
        <f>IF(B2287="","",IFERROR(INDEX(Client_List!$B:$B,MATCH(B2287,Client_List!$A:$A,0)),"⚠ NOT FOUND"))</f>
        <v/>
      </c>
      <c r="D2287" s="44" t="n"/>
      <c r="E2287" s="32">
        <f>IF(B2287="","",IFERROR(INDEX(Client_List!$C:$C,MATCH(VALUE(B2287),Client_List!$A:$A,0)),""))</f>
        <v/>
      </c>
      <c r="F2287" s="53">
        <f>IF(B2287="","",IFERROR(INDEX(Client_List!$D:$D,MATCH(VALUE(B2287),Client_List!$A:$A,0)),""))</f>
        <v/>
      </c>
      <c r="G2287" s="53">
        <f>IF(B2287="","",IFERROR(INDEX(Client_List!$K:$K,MATCH(VALUE(B2287),Client_List!$A:$A,0)),""))</f>
        <v/>
      </c>
      <c r="H2287" s="32">
        <f>IF(B2287="","",IFERROR(INDEX(Client_List!$J:$J,MATCH(VALUE(B2287),Client_List!$A:$A,0)),""))</f>
        <v/>
      </c>
      <c r="I2287" s="70">
        <f>IF(B2287="","",IFERROR(A2287-LOOKUP(2,1/($B$4:$B2286=B2287),$A$4:$A2286),""))</f>
        <v/>
      </c>
      <c r="J2287" s="32">
        <f>IF(B2287="","",IFERROR(D2287/I2287,""))</f>
        <v/>
      </c>
      <c r="K2287" s="71">
        <f>IF(B2287="","",IFERROR(AVERAGEIFS($J$4:$J2287,$B$4:$B2287,B2287,$J$4:$J2287,"&gt;"&amp;0),""))</f>
        <v/>
      </c>
      <c r="L2287" s="11" t="n"/>
    </row>
    <row r="2288" ht="14" customHeight="1" s="72">
      <c r="A2288" s="80" t="n"/>
      <c r="B2288" s="81" t="n"/>
      <c r="C2288" s="69">
        <f>IF(B2288="","",IFERROR(INDEX(Client_List!$B:$B,MATCH(B2288,Client_List!$A:$A,0)),"⚠ NOT FOUND"))</f>
        <v/>
      </c>
      <c r="D2288" s="45" t="n"/>
      <c r="E2288" s="32">
        <f>IF(B2288="","",IFERROR(INDEX(Client_List!$C:$C,MATCH(VALUE(B2288),Client_List!$A:$A,0)),""))</f>
        <v/>
      </c>
      <c r="F2288" s="53">
        <f>IF(B2288="","",IFERROR(INDEX(Client_List!$D:$D,MATCH(VALUE(B2288),Client_List!$A:$A,0)),""))</f>
        <v/>
      </c>
      <c r="G2288" s="53">
        <f>IF(B2288="","",IFERROR(INDEX(Client_List!$K:$K,MATCH(VALUE(B2288),Client_List!$A:$A,0)),""))</f>
        <v/>
      </c>
      <c r="H2288" s="32">
        <f>IF(B2288="","",IFERROR(INDEX(Client_List!$J:$J,MATCH(VALUE(B2288),Client_List!$A:$A,0)),""))</f>
        <v/>
      </c>
      <c r="I2288" s="70">
        <f>IF(B2288="","",IFERROR(A2288-LOOKUP(2,1/($B$4:$B2287=B2288),$A$4:$A2287),""))</f>
        <v/>
      </c>
      <c r="J2288" s="32">
        <f>IF(B2288="","",IFERROR(D2288/I2288,""))</f>
        <v/>
      </c>
      <c r="K2288" s="71">
        <f>IF(B2288="","",IFERROR(AVERAGEIFS($J$4:$J2288,$B$4:$B2288,B2288,$J$4:$J2288,"&gt;"&amp;0),""))</f>
        <v/>
      </c>
      <c r="L2288" s="12" t="n"/>
    </row>
    <row r="2289" ht="14" customHeight="1" s="72">
      <c r="A2289" s="78" t="n"/>
      <c r="B2289" s="79" t="n"/>
      <c r="C2289" s="69">
        <f>IF(B2289="","",IFERROR(INDEX(Client_List!$B:$B,MATCH(B2289,Client_List!$A:$A,0)),"⚠ NOT FOUND"))</f>
        <v/>
      </c>
      <c r="D2289" s="44" t="n"/>
      <c r="E2289" s="32">
        <f>IF(B2289="","",IFERROR(INDEX(Client_List!$C:$C,MATCH(VALUE(B2289),Client_List!$A:$A,0)),""))</f>
        <v/>
      </c>
      <c r="F2289" s="53">
        <f>IF(B2289="","",IFERROR(INDEX(Client_List!$D:$D,MATCH(VALUE(B2289),Client_List!$A:$A,0)),""))</f>
        <v/>
      </c>
      <c r="G2289" s="53">
        <f>IF(B2289="","",IFERROR(INDEX(Client_List!$K:$K,MATCH(VALUE(B2289),Client_List!$A:$A,0)),""))</f>
        <v/>
      </c>
      <c r="H2289" s="32">
        <f>IF(B2289="","",IFERROR(INDEX(Client_List!$J:$J,MATCH(VALUE(B2289),Client_List!$A:$A,0)),""))</f>
        <v/>
      </c>
      <c r="I2289" s="70">
        <f>IF(B2289="","",IFERROR(A2289-LOOKUP(2,1/($B$4:$B2288=B2289),$A$4:$A2288),""))</f>
        <v/>
      </c>
      <c r="J2289" s="32">
        <f>IF(B2289="","",IFERROR(D2289/I2289,""))</f>
        <v/>
      </c>
      <c r="K2289" s="71">
        <f>IF(B2289="","",IFERROR(AVERAGEIFS($J$4:$J2289,$B$4:$B2289,B2289,$J$4:$J2289,"&gt;"&amp;0),""))</f>
        <v/>
      </c>
      <c r="L2289" s="11" t="n"/>
    </row>
    <row r="2290" ht="14" customHeight="1" s="72">
      <c r="A2290" s="80" t="n"/>
      <c r="B2290" s="81" t="n"/>
      <c r="C2290" s="69">
        <f>IF(B2290="","",IFERROR(INDEX(Client_List!$B:$B,MATCH(B2290,Client_List!$A:$A,0)),"⚠ NOT FOUND"))</f>
        <v/>
      </c>
      <c r="D2290" s="45" t="n"/>
      <c r="E2290" s="32">
        <f>IF(B2290="","",IFERROR(INDEX(Client_List!$C:$C,MATCH(VALUE(B2290),Client_List!$A:$A,0)),""))</f>
        <v/>
      </c>
      <c r="F2290" s="53">
        <f>IF(B2290="","",IFERROR(INDEX(Client_List!$D:$D,MATCH(VALUE(B2290),Client_List!$A:$A,0)),""))</f>
        <v/>
      </c>
      <c r="G2290" s="53">
        <f>IF(B2290="","",IFERROR(INDEX(Client_List!$K:$K,MATCH(VALUE(B2290),Client_List!$A:$A,0)),""))</f>
        <v/>
      </c>
      <c r="H2290" s="32">
        <f>IF(B2290="","",IFERROR(INDEX(Client_List!$J:$J,MATCH(VALUE(B2290),Client_List!$A:$A,0)),""))</f>
        <v/>
      </c>
      <c r="I2290" s="70">
        <f>IF(B2290="","",IFERROR(A2290-LOOKUP(2,1/($B$4:$B2289=B2290),$A$4:$A2289),""))</f>
        <v/>
      </c>
      <c r="J2290" s="32">
        <f>IF(B2290="","",IFERROR(D2290/I2290,""))</f>
        <v/>
      </c>
      <c r="K2290" s="71">
        <f>IF(B2290="","",IFERROR(AVERAGEIFS($J$4:$J2290,$B$4:$B2290,B2290,$J$4:$J2290,"&gt;"&amp;0),""))</f>
        <v/>
      </c>
      <c r="L2290" s="12" t="n"/>
    </row>
    <row r="2291" ht="14" customHeight="1" s="72">
      <c r="A2291" s="78" t="n"/>
      <c r="B2291" s="79" t="n"/>
      <c r="C2291" s="69">
        <f>IF(B2291="","",IFERROR(INDEX(Client_List!$B:$B,MATCH(B2291,Client_List!$A:$A,0)),"⚠ NOT FOUND"))</f>
        <v/>
      </c>
      <c r="D2291" s="44" t="n"/>
      <c r="E2291" s="32">
        <f>IF(B2291="","",IFERROR(INDEX(Client_List!$C:$C,MATCH(VALUE(B2291),Client_List!$A:$A,0)),""))</f>
        <v/>
      </c>
      <c r="F2291" s="53">
        <f>IF(B2291="","",IFERROR(INDEX(Client_List!$D:$D,MATCH(VALUE(B2291),Client_List!$A:$A,0)),""))</f>
        <v/>
      </c>
      <c r="G2291" s="53">
        <f>IF(B2291="","",IFERROR(INDEX(Client_List!$K:$K,MATCH(VALUE(B2291),Client_List!$A:$A,0)),""))</f>
        <v/>
      </c>
      <c r="H2291" s="32">
        <f>IF(B2291="","",IFERROR(INDEX(Client_List!$J:$J,MATCH(VALUE(B2291),Client_List!$A:$A,0)),""))</f>
        <v/>
      </c>
      <c r="I2291" s="70">
        <f>IF(B2291="","",IFERROR(A2291-LOOKUP(2,1/($B$4:$B2290=B2291),$A$4:$A2290),""))</f>
        <v/>
      </c>
      <c r="J2291" s="32">
        <f>IF(B2291="","",IFERROR(D2291/I2291,""))</f>
        <v/>
      </c>
      <c r="K2291" s="71">
        <f>IF(B2291="","",IFERROR(AVERAGEIFS($J$4:$J2291,$B$4:$B2291,B2291,$J$4:$J2291,"&gt;"&amp;0),""))</f>
        <v/>
      </c>
      <c r="L2291" s="11" t="n"/>
    </row>
    <row r="2292" ht="14" customHeight="1" s="72">
      <c r="A2292" s="80" t="n"/>
      <c r="B2292" s="81" t="n"/>
      <c r="C2292" s="69">
        <f>IF(B2292="","",IFERROR(INDEX(Client_List!$B:$B,MATCH(B2292,Client_List!$A:$A,0)),"⚠ NOT FOUND"))</f>
        <v/>
      </c>
      <c r="D2292" s="45" t="n"/>
      <c r="E2292" s="32">
        <f>IF(B2292="","",IFERROR(INDEX(Client_List!$C:$C,MATCH(VALUE(B2292),Client_List!$A:$A,0)),""))</f>
        <v/>
      </c>
      <c r="F2292" s="53">
        <f>IF(B2292="","",IFERROR(INDEX(Client_List!$D:$D,MATCH(VALUE(B2292),Client_List!$A:$A,0)),""))</f>
        <v/>
      </c>
      <c r="G2292" s="53">
        <f>IF(B2292="","",IFERROR(INDEX(Client_List!$K:$K,MATCH(VALUE(B2292),Client_List!$A:$A,0)),""))</f>
        <v/>
      </c>
      <c r="H2292" s="32">
        <f>IF(B2292="","",IFERROR(INDEX(Client_List!$J:$J,MATCH(VALUE(B2292),Client_List!$A:$A,0)),""))</f>
        <v/>
      </c>
      <c r="I2292" s="70">
        <f>IF(B2292="","",IFERROR(A2292-LOOKUP(2,1/($B$4:$B2291=B2292),$A$4:$A2291),""))</f>
        <v/>
      </c>
      <c r="J2292" s="32">
        <f>IF(B2292="","",IFERROR(D2292/I2292,""))</f>
        <v/>
      </c>
      <c r="K2292" s="71">
        <f>IF(B2292="","",IFERROR(AVERAGEIFS($J$4:$J2292,$B$4:$B2292,B2292,$J$4:$J2292,"&gt;"&amp;0),""))</f>
        <v/>
      </c>
      <c r="L2292" s="12" t="n"/>
    </row>
    <row r="2293" ht="14" customHeight="1" s="72">
      <c r="A2293" s="78" t="n"/>
      <c r="B2293" s="79" t="n"/>
      <c r="C2293" s="69">
        <f>IF(B2293="","",IFERROR(INDEX(Client_List!$B:$B,MATCH(B2293,Client_List!$A:$A,0)),"⚠ NOT FOUND"))</f>
        <v/>
      </c>
      <c r="D2293" s="44" t="n"/>
      <c r="E2293" s="32">
        <f>IF(B2293="","",IFERROR(INDEX(Client_List!$C:$C,MATCH(VALUE(B2293),Client_List!$A:$A,0)),""))</f>
        <v/>
      </c>
      <c r="F2293" s="53">
        <f>IF(B2293="","",IFERROR(INDEX(Client_List!$D:$D,MATCH(VALUE(B2293),Client_List!$A:$A,0)),""))</f>
        <v/>
      </c>
      <c r="G2293" s="53">
        <f>IF(B2293="","",IFERROR(INDEX(Client_List!$K:$K,MATCH(VALUE(B2293),Client_List!$A:$A,0)),""))</f>
        <v/>
      </c>
      <c r="H2293" s="32">
        <f>IF(B2293="","",IFERROR(INDEX(Client_List!$J:$J,MATCH(VALUE(B2293),Client_List!$A:$A,0)),""))</f>
        <v/>
      </c>
      <c r="I2293" s="70">
        <f>IF(B2293="","",IFERROR(A2293-LOOKUP(2,1/($B$4:$B2292=B2293),$A$4:$A2292),""))</f>
        <v/>
      </c>
      <c r="J2293" s="32">
        <f>IF(B2293="","",IFERROR(D2293/I2293,""))</f>
        <v/>
      </c>
      <c r="K2293" s="71">
        <f>IF(B2293="","",IFERROR(AVERAGEIFS($J$4:$J2293,$B$4:$B2293,B2293,$J$4:$J2293,"&gt;"&amp;0),""))</f>
        <v/>
      </c>
      <c r="L2293" s="11" t="n"/>
    </row>
    <row r="2294" ht="14" customHeight="1" s="72">
      <c r="A2294" s="80" t="n"/>
      <c r="B2294" s="81" t="n"/>
      <c r="C2294" s="69">
        <f>IF(B2294="","",IFERROR(INDEX(Client_List!$B:$B,MATCH(B2294,Client_List!$A:$A,0)),"⚠ NOT FOUND"))</f>
        <v/>
      </c>
      <c r="D2294" s="45" t="n"/>
      <c r="E2294" s="32">
        <f>IF(B2294="","",IFERROR(INDEX(Client_List!$C:$C,MATCH(VALUE(B2294),Client_List!$A:$A,0)),""))</f>
        <v/>
      </c>
      <c r="F2294" s="53">
        <f>IF(B2294="","",IFERROR(INDEX(Client_List!$D:$D,MATCH(VALUE(B2294),Client_List!$A:$A,0)),""))</f>
        <v/>
      </c>
      <c r="G2294" s="53">
        <f>IF(B2294="","",IFERROR(INDEX(Client_List!$K:$K,MATCH(VALUE(B2294),Client_List!$A:$A,0)),""))</f>
        <v/>
      </c>
      <c r="H2294" s="32">
        <f>IF(B2294="","",IFERROR(INDEX(Client_List!$J:$J,MATCH(VALUE(B2294),Client_List!$A:$A,0)),""))</f>
        <v/>
      </c>
      <c r="I2294" s="70">
        <f>IF(B2294="","",IFERROR(A2294-LOOKUP(2,1/($B$4:$B2293=B2294),$A$4:$A2293),""))</f>
        <v/>
      </c>
      <c r="J2294" s="32">
        <f>IF(B2294="","",IFERROR(D2294/I2294,""))</f>
        <v/>
      </c>
      <c r="K2294" s="71">
        <f>IF(B2294="","",IFERROR(AVERAGEIFS($J$4:$J2294,$B$4:$B2294,B2294,$J$4:$J2294,"&gt;"&amp;0),""))</f>
        <v/>
      </c>
      <c r="L2294" s="12" t="n"/>
    </row>
    <row r="2295" ht="14" customHeight="1" s="72">
      <c r="A2295" s="78" t="n"/>
      <c r="B2295" s="79" t="n"/>
      <c r="C2295" s="69">
        <f>IF(B2295="","",IFERROR(INDEX(Client_List!$B:$B,MATCH(B2295,Client_List!$A:$A,0)),"⚠ NOT FOUND"))</f>
        <v/>
      </c>
      <c r="D2295" s="44" t="n"/>
      <c r="E2295" s="32">
        <f>IF(B2295="","",IFERROR(INDEX(Client_List!$C:$C,MATCH(VALUE(B2295),Client_List!$A:$A,0)),""))</f>
        <v/>
      </c>
      <c r="F2295" s="53">
        <f>IF(B2295="","",IFERROR(INDEX(Client_List!$D:$D,MATCH(VALUE(B2295),Client_List!$A:$A,0)),""))</f>
        <v/>
      </c>
      <c r="G2295" s="53">
        <f>IF(B2295="","",IFERROR(INDEX(Client_List!$K:$K,MATCH(VALUE(B2295),Client_List!$A:$A,0)),""))</f>
        <v/>
      </c>
      <c r="H2295" s="32">
        <f>IF(B2295="","",IFERROR(INDEX(Client_List!$J:$J,MATCH(VALUE(B2295),Client_List!$A:$A,0)),""))</f>
        <v/>
      </c>
      <c r="I2295" s="70">
        <f>IF(B2295="","",IFERROR(A2295-LOOKUP(2,1/($B$4:$B2294=B2295),$A$4:$A2294),""))</f>
        <v/>
      </c>
      <c r="J2295" s="32">
        <f>IF(B2295="","",IFERROR(D2295/I2295,""))</f>
        <v/>
      </c>
      <c r="K2295" s="71">
        <f>IF(B2295="","",IFERROR(AVERAGEIFS($J$4:$J2295,$B$4:$B2295,B2295,$J$4:$J2295,"&gt;"&amp;0),""))</f>
        <v/>
      </c>
      <c r="L2295" s="11" t="n"/>
    </row>
    <row r="2296" ht="14" customHeight="1" s="72">
      <c r="A2296" s="80" t="n"/>
      <c r="B2296" s="81" t="n"/>
      <c r="C2296" s="69">
        <f>IF(B2296="","",IFERROR(INDEX(Client_List!$B:$B,MATCH(B2296,Client_List!$A:$A,0)),"⚠ NOT FOUND"))</f>
        <v/>
      </c>
      <c r="D2296" s="45" t="n"/>
      <c r="E2296" s="32">
        <f>IF(B2296="","",IFERROR(INDEX(Client_List!$C:$C,MATCH(VALUE(B2296),Client_List!$A:$A,0)),""))</f>
        <v/>
      </c>
      <c r="F2296" s="53">
        <f>IF(B2296="","",IFERROR(INDEX(Client_List!$D:$D,MATCH(VALUE(B2296),Client_List!$A:$A,0)),""))</f>
        <v/>
      </c>
      <c r="G2296" s="53">
        <f>IF(B2296="","",IFERROR(INDEX(Client_List!$K:$K,MATCH(VALUE(B2296),Client_List!$A:$A,0)),""))</f>
        <v/>
      </c>
      <c r="H2296" s="32">
        <f>IF(B2296="","",IFERROR(INDEX(Client_List!$J:$J,MATCH(VALUE(B2296),Client_List!$A:$A,0)),""))</f>
        <v/>
      </c>
      <c r="I2296" s="70">
        <f>IF(B2296="","",IFERROR(A2296-LOOKUP(2,1/($B$4:$B2295=B2296),$A$4:$A2295),""))</f>
        <v/>
      </c>
      <c r="J2296" s="32">
        <f>IF(B2296="","",IFERROR(D2296/I2296,""))</f>
        <v/>
      </c>
      <c r="K2296" s="71">
        <f>IF(B2296="","",IFERROR(AVERAGEIFS($J$4:$J2296,$B$4:$B2296,B2296,$J$4:$J2296,"&gt;"&amp;0),""))</f>
        <v/>
      </c>
      <c r="L2296" s="12" t="n"/>
    </row>
    <row r="2297" ht="14" customHeight="1" s="72">
      <c r="A2297" s="78" t="n"/>
      <c r="B2297" s="79" t="n"/>
      <c r="C2297" s="69">
        <f>IF(B2297="","",IFERROR(INDEX(Client_List!$B:$B,MATCH(B2297,Client_List!$A:$A,0)),"⚠ NOT FOUND"))</f>
        <v/>
      </c>
      <c r="D2297" s="44" t="n"/>
      <c r="E2297" s="32">
        <f>IF(B2297="","",IFERROR(INDEX(Client_List!$C:$C,MATCH(VALUE(B2297),Client_List!$A:$A,0)),""))</f>
        <v/>
      </c>
      <c r="F2297" s="53">
        <f>IF(B2297="","",IFERROR(INDEX(Client_List!$D:$D,MATCH(VALUE(B2297),Client_List!$A:$A,0)),""))</f>
        <v/>
      </c>
      <c r="G2297" s="53">
        <f>IF(B2297="","",IFERROR(INDEX(Client_List!$K:$K,MATCH(VALUE(B2297),Client_List!$A:$A,0)),""))</f>
        <v/>
      </c>
      <c r="H2297" s="32">
        <f>IF(B2297="","",IFERROR(INDEX(Client_List!$J:$J,MATCH(VALUE(B2297),Client_List!$A:$A,0)),""))</f>
        <v/>
      </c>
      <c r="I2297" s="70">
        <f>IF(B2297="","",IFERROR(A2297-LOOKUP(2,1/($B$4:$B2296=B2297),$A$4:$A2296),""))</f>
        <v/>
      </c>
      <c r="J2297" s="32">
        <f>IF(B2297="","",IFERROR(D2297/I2297,""))</f>
        <v/>
      </c>
      <c r="K2297" s="71">
        <f>IF(B2297="","",IFERROR(AVERAGEIFS($J$4:$J2297,$B$4:$B2297,B2297,$J$4:$J2297,"&gt;"&amp;0),""))</f>
        <v/>
      </c>
      <c r="L2297" s="11" t="n"/>
    </row>
    <row r="2298" ht="14" customHeight="1" s="72">
      <c r="A2298" s="80" t="n"/>
      <c r="B2298" s="81" t="n"/>
      <c r="C2298" s="69">
        <f>IF(B2298="","",IFERROR(INDEX(Client_List!$B:$B,MATCH(B2298,Client_List!$A:$A,0)),"⚠ NOT FOUND"))</f>
        <v/>
      </c>
      <c r="D2298" s="45" t="n"/>
      <c r="E2298" s="32">
        <f>IF(B2298="","",IFERROR(INDEX(Client_List!$C:$C,MATCH(VALUE(B2298),Client_List!$A:$A,0)),""))</f>
        <v/>
      </c>
      <c r="F2298" s="53">
        <f>IF(B2298="","",IFERROR(INDEX(Client_List!$D:$D,MATCH(VALUE(B2298),Client_List!$A:$A,0)),""))</f>
        <v/>
      </c>
      <c r="G2298" s="53">
        <f>IF(B2298="","",IFERROR(INDEX(Client_List!$K:$K,MATCH(VALUE(B2298),Client_List!$A:$A,0)),""))</f>
        <v/>
      </c>
      <c r="H2298" s="32">
        <f>IF(B2298="","",IFERROR(INDEX(Client_List!$J:$J,MATCH(VALUE(B2298),Client_List!$A:$A,0)),""))</f>
        <v/>
      </c>
      <c r="I2298" s="70">
        <f>IF(B2298="","",IFERROR(A2298-LOOKUP(2,1/($B$4:$B2297=B2298),$A$4:$A2297),""))</f>
        <v/>
      </c>
      <c r="J2298" s="32">
        <f>IF(B2298="","",IFERROR(D2298/I2298,""))</f>
        <v/>
      </c>
      <c r="K2298" s="71">
        <f>IF(B2298="","",IFERROR(AVERAGEIFS($J$4:$J2298,$B$4:$B2298,B2298,$J$4:$J2298,"&gt;"&amp;0),""))</f>
        <v/>
      </c>
      <c r="L2298" s="12" t="n"/>
    </row>
    <row r="2299" ht="14" customHeight="1" s="72">
      <c r="A2299" s="78" t="n"/>
      <c r="B2299" s="79" t="n"/>
      <c r="C2299" s="69">
        <f>IF(B2299="","",IFERROR(INDEX(Client_List!$B:$B,MATCH(B2299,Client_List!$A:$A,0)),"⚠ NOT FOUND"))</f>
        <v/>
      </c>
      <c r="D2299" s="44" t="n"/>
      <c r="E2299" s="32">
        <f>IF(B2299="","",IFERROR(INDEX(Client_List!$C:$C,MATCH(VALUE(B2299),Client_List!$A:$A,0)),""))</f>
        <v/>
      </c>
      <c r="F2299" s="53">
        <f>IF(B2299="","",IFERROR(INDEX(Client_List!$D:$D,MATCH(VALUE(B2299),Client_List!$A:$A,0)),""))</f>
        <v/>
      </c>
      <c r="G2299" s="53">
        <f>IF(B2299="","",IFERROR(INDEX(Client_List!$K:$K,MATCH(VALUE(B2299),Client_List!$A:$A,0)),""))</f>
        <v/>
      </c>
      <c r="H2299" s="32">
        <f>IF(B2299="","",IFERROR(INDEX(Client_List!$J:$J,MATCH(VALUE(B2299),Client_List!$A:$A,0)),""))</f>
        <v/>
      </c>
      <c r="I2299" s="70">
        <f>IF(B2299="","",IFERROR(A2299-LOOKUP(2,1/($B$4:$B2298=B2299),$A$4:$A2298),""))</f>
        <v/>
      </c>
      <c r="J2299" s="32">
        <f>IF(B2299="","",IFERROR(D2299/I2299,""))</f>
        <v/>
      </c>
      <c r="K2299" s="71">
        <f>IF(B2299="","",IFERROR(AVERAGEIFS($J$4:$J2299,$B$4:$B2299,B2299,$J$4:$J2299,"&gt;"&amp;0),""))</f>
        <v/>
      </c>
      <c r="L2299" s="11" t="n"/>
    </row>
    <row r="2300" ht="14" customHeight="1" s="72">
      <c r="A2300" s="80" t="n"/>
      <c r="B2300" s="81" t="n"/>
      <c r="C2300" s="69">
        <f>IF(B2300="","",IFERROR(INDEX(Client_List!$B:$B,MATCH(B2300,Client_List!$A:$A,0)),"⚠ NOT FOUND"))</f>
        <v/>
      </c>
      <c r="D2300" s="45" t="n"/>
      <c r="E2300" s="32">
        <f>IF(B2300="","",IFERROR(INDEX(Client_List!$C:$C,MATCH(VALUE(B2300),Client_List!$A:$A,0)),""))</f>
        <v/>
      </c>
      <c r="F2300" s="53">
        <f>IF(B2300="","",IFERROR(INDEX(Client_List!$D:$D,MATCH(VALUE(B2300),Client_List!$A:$A,0)),""))</f>
        <v/>
      </c>
      <c r="G2300" s="53">
        <f>IF(B2300="","",IFERROR(INDEX(Client_List!$K:$K,MATCH(VALUE(B2300),Client_List!$A:$A,0)),""))</f>
        <v/>
      </c>
      <c r="H2300" s="32">
        <f>IF(B2300="","",IFERROR(INDEX(Client_List!$J:$J,MATCH(VALUE(B2300),Client_List!$A:$A,0)),""))</f>
        <v/>
      </c>
      <c r="I2300" s="70">
        <f>IF(B2300="","",IFERROR(A2300-LOOKUP(2,1/($B$4:$B2299=B2300),$A$4:$A2299),""))</f>
        <v/>
      </c>
      <c r="J2300" s="32">
        <f>IF(B2300="","",IFERROR(D2300/I2300,""))</f>
        <v/>
      </c>
      <c r="K2300" s="71">
        <f>IF(B2300="","",IFERROR(AVERAGEIFS($J$4:$J2300,$B$4:$B2300,B2300,$J$4:$J2300,"&gt;"&amp;0),""))</f>
        <v/>
      </c>
      <c r="L2300" s="12" t="n"/>
    </row>
    <row r="2301" ht="14" customHeight="1" s="72">
      <c r="A2301" s="78" t="n"/>
      <c r="B2301" s="79" t="n"/>
      <c r="C2301" s="69">
        <f>IF(B2301="","",IFERROR(INDEX(Client_List!$B:$B,MATCH(B2301,Client_List!$A:$A,0)),"⚠ NOT FOUND"))</f>
        <v/>
      </c>
      <c r="D2301" s="44" t="n"/>
      <c r="E2301" s="32">
        <f>IF(B2301="","",IFERROR(INDEX(Client_List!$C:$C,MATCH(VALUE(B2301),Client_List!$A:$A,0)),""))</f>
        <v/>
      </c>
      <c r="F2301" s="53">
        <f>IF(B2301="","",IFERROR(INDEX(Client_List!$D:$D,MATCH(VALUE(B2301),Client_List!$A:$A,0)),""))</f>
        <v/>
      </c>
      <c r="G2301" s="53">
        <f>IF(B2301="","",IFERROR(INDEX(Client_List!$K:$K,MATCH(VALUE(B2301),Client_List!$A:$A,0)),""))</f>
        <v/>
      </c>
      <c r="H2301" s="32">
        <f>IF(B2301="","",IFERROR(INDEX(Client_List!$J:$J,MATCH(VALUE(B2301),Client_List!$A:$A,0)),""))</f>
        <v/>
      </c>
      <c r="I2301" s="70">
        <f>IF(B2301="","",IFERROR(A2301-LOOKUP(2,1/($B$4:$B2300=B2301),$A$4:$A2300),""))</f>
        <v/>
      </c>
      <c r="J2301" s="32">
        <f>IF(B2301="","",IFERROR(D2301/I2301,""))</f>
        <v/>
      </c>
      <c r="K2301" s="71">
        <f>IF(B2301="","",IFERROR(AVERAGEIFS($J$4:$J2301,$B$4:$B2301,B2301,$J$4:$J2301,"&gt;"&amp;0),""))</f>
        <v/>
      </c>
      <c r="L2301" s="11" t="n"/>
    </row>
    <row r="2302" ht="14" customHeight="1" s="72">
      <c r="A2302" s="80" t="n"/>
      <c r="B2302" s="81" t="n"/>
      <c r="C2302" s="69">
        <f>IF(B2302="","",IFERROR(INDEX(Client_List!$B:$B,MATCH(B2302,Client_List!$A:$A,0)),"⚠ NOT FOUND"))</f>
        <v/>
      </c>
      <c r="D2302" s="45" t="n"/>
      <c r="E2302" s="32">
        <f>IF(B2302="","",IFERROR(INDEX(Client_List!$C:$C,MATCH(VALUE(B2302),Client_List!$A:$A,0)),""))</f>
        <v/>
      </c>
      <c r="F2302" s="53">
        <f>IF(B2302="","",IFERROR(INDEX(Client_List!$D:$D,MATCH(VALUE(B2302),Client_List!$A:$A,0)),""))</f>
        <v/>
      </c>
      <c r="G2302" s="53">
        <f>IF(B2302="","",IFERROR(INDEX(Client_List!$K:$K,MATCH(VALUE(B2302),Client_List!$A:$A,0)),""))</f>
        <v/>
      </c>
      <c r="H2302" s="32">
        <f>IF(B2302="","",IFERROR(INDEX(Client_List!$J:$J,MATCH(VALUE(B2302),Client_List!$A:$A,0)),""))</f>
        <v/>
      </c>
      <c r="I2302" s="70">
        <f>IF(B2302="","",IFERROR(A2302-LOOKUP(2,1/($B$4:$B2301=B2302),$A$4:$A2301),""))</f>
        <v/>
      </c>
      <c r="J2302" s="32">
        <f>IF(B2302="","",IFERROR(D2302/I2302,""))</f>
        <v/>
      </c>
      <c r="K2302" s="71">
        <f>IF(B2302="","",IFERROR(AVERAGEIFS($J$4:$J2302,$B$4:$B2302,B2302,$J$4:$J2302,"&gt;"&amp;0),""))</f>
        <v/>
      </c>
      <c r="L2302" s="12" t="n"/>
    </row>
    <row r="2303" ht="14" customHeight="1" s="72">
      <c r="A2303" s="78" t="n"/>
      <c r="B2303" s="79" t="n"/>
      <c r="C2303" s="69">
        <f>IF(B2303="","",IFERROR(INDEX(Client_List!$B:$B,MATCH(B2303,Client_List!$A:$A,0)),"⚠ NOT FOUND"))</f>
        <v/>
      </c>
      <c r="D2303" s="44" t="n"/>
      <c r="E2303" s="32">
        <f>IF(B2303="","",IFERROR(INDEX(Client_List!$C:$C,MATCH(VALUE(B2303),Client_List!$A:$A,0)),""))</f>
        <v/>
      </c>
      <c r="F2303" s="53">
        <f>IF(B2303="","",IFERROR(INDEX(Client_List!$D:$D,MATCH(VALUE(B2303),Client_List!$A:$A,0)),""))</f>
        <v/>
      </c>
      <c r="G2303" s="53">
        <f>IF(B2303="","",IFERROR(INDEX(Client_List!$K:$K,MATCH(VALUE(B2303),Client_List!$A:$A,0)),""))</f>
        <v/>
      </c>
      <c r="H2303" s="32">
        <f>IF(B2303="","",IFERROR(INDEX(Client_List!$J:$J,MATCH(VALUE(B2303),Client_List!$A:$A,0)),""))</f>
        <v/>
      </c>
      <c r="I2303" s="70">
        <f>IF(B2303="","",IFERROR(A2303-LOOKUP(2,1/($B$4:$B2302=B2303),$A$4:$A2302),""))</f>
        <v/>
      </c>
      <c r="J2303" s="32">
        <f>IF(B2303="","",IFERROR(D2303/I2303,""))</f>
        <v/>
      </c>
      <c r="K2303" s="71">
        <f>IF(B2303="","",IFERROR(AVERAGEIFS($J$4:$J2303,$B$4:$B2303,B2303,$J$4:$J2303,"&gt;"&amp;0),""))</f>
        <v/>
      </c>
      <c r="L2303" s="11" t="n"/>
    </row>
    <row r="2304" ht="14" customHeight="1" s="72">
      <c r="A2304" s="80" t="n"/>
      <c r="B2304" s="81" t="n"/>
      <c r="C2304" s="69">
        <f>IF(B2304="","",IFERROR(INDEX(Client_List!$B:$B,MATCH(B2304,Client_List!$A:$A,0)),"⚠ NOT FOUND"))</f>
        <v/>
      </c>
      <c r="D2304" s="45" t="n"/>
      <c r="E2304" s="32">
        <f>IF(B2304="","",IFERROR(INDEX(Client_List!$C:$C,MATCH(VALUE(B2304),Client_List!$A:$A,0)),""))</f>
        <v/>
      </c>
      <c r="F2304" s="53">
        <f>IF(B2304="","",IFERROR(INDEX(Client_List!$D:$D,MATCH(VALUE(B2304),Client_List!$A:$A,0)),""))</f>
        <v/>
      </c>
      <c r="G2304" s="53">
        <f>IF(B2304="","",IFERROR(INDEX(Client_List!$K:$K,MATCH(VALUE(B2304),Client_List!$A:$A,0)),""))</f>
        <v/>
      </c>
      <c r="H2304" s="32">
        <f>IF(B2304="","",IFERROR(INDEX(Client_List!$J:$J,MATCH(VALUE(B2304),Client_List!$A:$A,0)),""))</f>
        <v/>
      </c>
      <c r="I2304" s="70">
        <f>IF(B2304="","",IFERROR(A2304-LOOKUP(2,1/($B$4:$B2303=B2304),$A$4:$A2303),""))</f>
        <v/>
      </c>
      <c r="J2304" s="32">
        <f>IF(B2304="","",IFERROR(D2304/I2304,""))</f>
        <v/>
      </c>
      <c r="K2304" s="71">
        <f>IF(B2304="","",IFERROR(AVERAGEIFS($J$4:$J2304,$B$4:$B2304,B2304,$J$4:$J2304,"&gt;"&amp;0),""))</f>
        <v/>
      </c>
      <c r="L2304" s="12" t="n"/>
    </row>
    <row r="2305" ht="14" customHeight="1" s="72">
      <c r="A2305" s="78" t="n"/>
      <c r="B2305" s="79" t="n"/>
      <c r="C2305" s="69">
        <f>IF(B2305="","",IFERROR(INDEX(Client_List!$B:$B,MATCH(B2305,Client_List!$A:$A,0)),"⚠ NOT FOUND"))</f>
        <v/>
      </c>
      <c r="D2305" s="44" t="n"/>
      <c r="E2305" s="32">
        <f>IF(B2305="","",IFERROR(INDEX(Client_List!$C:$C,MATCH(VALUE(B2305),Client_List!$A:$A,0)),""))</f>
        <v/>
      </c>
      <c r="F2305" s="53">
        <f>IF(B2305="","",IFERROR(INDEX(Client_List!$D:$D,MATCH(VALUE(B2305),Client_List!$A:$A,0)),""))</f>
        <v/>
      </c>
      <c r="G2305" s="53">
        <f>IF(B2305="","",IFERROR(INDEX(Client_List!$K:$K,MATCH(VALUE(B2305),Client_List!$A:$A,0)),""))</f>
        <v/>
      </c>
      <c r="H2305" s="32">
        <f>IF(B2305="","",IFERROR(INDEX(Client_List!$J:$J,MATCH(VALUE(B2305),Client_List!$A:$A,0)),""))</f>
        <v/>
      </c>
      <c r="I2305" s="70">
        <f>IF(B2305="","",IFERROR(A2305-LOOKUP(2,1/($B$4:$B2304=B2305),$A$4:$A2304),""))</f>
        <v/>
      </c>
      <c r="J2305" s="32">
        <f>IF(B2305="","",IFERROR(D2305/I2305,""))</f>
        <v/>
      </c>
      <c r="K2305" s="71">
        <f>IF(B2305="","",IFERROR(AVERAGEIFS($J$4:$J2305,$B$4:$B2305,B2305,$J$4:$J2305,"&gt;"&amp;0),""))</f>
        <v/>
      </c>
      <c r="L2305" s="11" t="n"/>
    </row>
    <row r="2306" ht="14" customHeight="1" s="72">
      <c r="A2306" s="80" t="n"/>
      <c r="B2306" s="81" t="n"/>
      <c r="C2306" s="69">
        <f>IF(B2306="","",IFERROR(INDEX(Client_List!$B:$B,MATCH(B2306,Client_List!$A:$A,0)),"⚠ NOT FOUND"))</f>
        <v/>
      </c>
      <c r="D2306" s="45" t="n"/>
      <c r="E2306" s="32">
        <f>IF(B2306="","",IFERROR(INDEX(Client_List!$C:$C,MATCH(VALUE(B2306),Client_List!$A:$A,0)),""))</f>
        <v/>
      </c>
      <c r="F2306" s="53">
        <f>IF(B2306="","",IFERROR(INDEX(Client_List!$D:$D,MATCH(VALUE(B2306),Client_List!$A:$A,0)),""))</f>
        <v/>
      </c>
      <c r="G2306" s="53">
        <f>IF(B2306="","",IFERROR(INDEX(Client_List!$K:$K,MATCH(VALUE(B2306),Client_List!$A:$A,0)),""))</f>
        <v/>
      </c>
      <c r="H2306" s="32">
        <f>IF(B2306="","",IFERROR(INDEX(Client_List!$J:$J,MATCH(VALUE(B2306),Client_List!$A:$A,0)),""))</f>
        <v/>
      </c>
      <c r="I2306" s="70">
        <f>IF(B2306="","",IFERROR(A2306-LOOKUP(2,1/($B$4:$B2305=B2306),$A$4:$A2305),""))</f>
        <v/>
      </c>
      <c r="J2306" s="32">
        <f>IF(B2306="","",IFERROR(D2306/I2306,""))</f>
        <v/>
      </c>
      <c r="K2306" s="71">
        <f>IF(B2306="","",IFERROR(AVERAGEIFS($J$4:$J2306,$B$4:$B2306,B2306,$J$4:$J2306,"&gt;"&amp;0),""))</f>
        <v/>
      </c>
      <c r="L2306" s="12" t="n"/>
    </row>
    <row r="2307" ht="14" customHeight="1" s="72">
      <c r="A2307" s="78" t="n"/>
      <c r="B2307" s="79" t="n"/>
      <c r="C2307" s="69">
        <f>IF(B2307="","",IFERROR(INDEX(Client_List!$B:$B,MATCH(B2307,Client_List!$A:$A,0)),"⚠ NOT FOUND"))</f>
        <v/>
      </c>
      <c r="D2307" s="44" t="n"/>
      <c r="E2307" s="32">
        <f>IF(B2307="","",IFERROR(INDEX(Client_List!$C:$C,MATCH(VALUE(B2307),Client_List!$A:$A,0)),""))</f>
        <v/>
      </c>
      <c r="F2307" s="53">
        <f>IF(B2307="","",IFERROR(INDEX(Client_List!$D:$D,MATCH(VALUE(B2307),Client_List!$A:$A,0)),""))</f>
        <v/>
      </c>
      <c r="G2307" s="53">
        <f>IF(B2307="","",IFERROR(INDEX(Client_List!$K:$K,MATCH(VALUE(B2307),Client_List!$A:$A,0)),""))</f>
        <v/>
      </c>
      <c r="H2307" s="32">
        <f>IF(B2307="","",IFERROR(INDEX(Client_List!$J:$J,MATCH(VALUE(B2307),Client_List!$A:$A,0)),""))</f>
        <v/>
      </c>
      <c r="I2307" s="70">
        <f>IF(B2307="","",IFERROR(A2307-LOOKUP(2,1/($B$4:$B2306=B2307),$A$4:$A2306),""))</f>
        <v/>
      </c>
      <c r="J2307" s="32">
        <f>IF(B2307="","",IFERROR(D2307/I2307,""))</f>
        <v/>
      </c>
      <c r="K2307" s="71">
        <f>IF(B2307="","",IFERROR(AVERAGEIFS($J$4:$J2307,$B$4:$B2307,B2307,$J$4:$J2307,"&gt;"&amp;0),""))</f>
        <v/>
      </c>
      <c r="L2307" s="11" t="n"/>
    </row>
    <row r="2308" ht="14" customHeight="1" s="72">
      <c r="A2308" s="80" t="n"/>
      <c r="B2308" s="81" t="n"/>
      <c r="C2308" s="69">
        <f>IF(B2308="","",IFERROR(INDEX(Client_List!$B:$B,MATCH(B2308,Client_List!$A:$A,0)),"⚠ NOT FOUND"))</f>
        <v/>
      </c>
      <c r="D2308" s="45" t="n"/>
      <c r="E2308" s="32">
        <f>IF(B2308="","",IFERROR(INDEX(Client_List!$C:$C,MATCH(VALUE(B2308),Client_List!$A:$A,0)),""))</f>
        <v/>
      </c>
      <c r="F2308" s="53">
        <f>IF(B2308="","",IFERROR(INDEX(Client_List!$D:$D,MATCH(VALUE(B2308),Client_List!$A:$A,0)),""))</f>
        <v/>
      </c>
      <c r="G2308" s="53">
        <f>IF(B2308="","",IFERROR(INDEX(Client_List!$K:$K,MATCH(VALUE(B2308),Client_List!$A:$A,0)),""))</f>
        <v/>
      </c>
      <c r="H2308" s="32">
        <f>IF(B2308="","",IFERROR(INDEX(Client_List!$J:$J,MATCH(VALUE(B2308),Client_List!$A:$A,0)),""))</f>
        <v/>
      </c>
      <c r="I2308" s="70">
        <f>IF(B2308="","",IFERROR(A2308-LOOKUP(2,1/($B$4:$B2307=B2308),$A$4:$A2307),""))</f>
        <v/>
      </c>
      <c r="J2308" s="32">
        <f>IF(B2308="","",IFERROR(D2308/I2308,""))</f>
        <v/>
      </c>
      <c r="K2308" s="71">
        <f>IF(B2308="","",IFERROR(AVERAGEIFS($J$4:$J2308,$B$4:$B2308,B2308,$J$4:$J2308,"&gt;"&amp;0),""))</f>
        <v/>
      </c>
      <c r="L2308" s="12" t="n"/>
    </row>
    <row r="2309" ht="14" customHeight="1" s="72">
      <c r="A2309" s="78" t="n"/>
      <c r="B2309" s="79" t="n"/>
      <c r="C2309" s="69">
        <f>IF(B2309="","",IFERROR(INDEX(Client_List!$B:$B,MATCH(B2309,Client_List!$A:$A,0)),"⚠ NOT FOUND"))</f>
        <v/>
      </c>
      <c r="D2309" s="44" t="n"/>
      <c r="E2309" s="32">
        <f>IF(B2309="","",IFERROR(INDEX(Client_List!$C:$C,MATCH(VALUE(B2309),Client_List!$A:$A,0)),""))</f>
        <v/>
      </c>
      <c r="F2309" s="53">
        <f>IF(B2309="","",IFERROR(INDEX(Client_List!$D:$D,MATCH(VALUE(B2309),Client_List!$A:$A,0)),""))</f>
        <v/>
      </c>
      <c r="G2309" s="53">
        <f>IF(B2309="","",IFERROR(INDEX(Client_List!$K:$K,MATCH(VALUE(B2309),Client_List!$A:$A,0)),""))</f>
        <v/>
      </c>
      <c r="H2309" s="32">
        <f>IF(B2309="","",IFERROR(INDEX(Client_List!$J:$J,MATCH(VALUE(B2309),Client_List!$A:$A,0)),""))</f>
        <v/>
      </c>
      <c r="I2309" s="70">
        <f>IF(B2309="","",IFERROR(A2309-LOOKUP(2,1/($B$4:$B2308=B2309),$A$4:$A2308),""))</f>
        <v/>
      </c>
      <c r="J2309" s="32">
        <f>IF(B2309="","",IFERROR(D2309/I2309,""))</f>
        <v/>
      </c>
      <c r="K2309" s="71">
        <f>IF(B2309="","",IFERROR(AVERAGEIFS($J$4:$J2309,$B$4:$B2309,B2309,$J$4:$J2309,"&gt;"&amp;0),""))</f>
        <v/>
      </c>
      <c r="L2309" s="11" t="n"/>
    </row>
    <row r="2310" ht="14" customHeight="1" s="72">
      <c r="A2310" s="80" t="n"/>
      <c r="B2310" s="81" t="n"/>
      <c r="C2310" s="69">
        <f>IF(B2310="","",IFERROR(INDEX(Client_List!$B:$B,MATCH(B2310,Client_List!$A:$A,0)),"⚠ NOT FOUND"))</f>
        <v/>
      </c>
      <c r="D2310" s="45" t="n"/>
      <c r="E2310" s="32">
        <f>IF(B2310="","",IFERROR(INDEX(Client_List!$C:$C,MATCH(VALUE(B2310),Client_List!$A:$A,0)),""))</f>
        <v/>
      </c>
      <c r="F2310" s="53">
        <f>IF(B2310="","",IFERROR(INDEX(Client_List!$D:$D,MATCH(VALUE(B2310),Client_List!$A:$A,0)),""))</f>
        <v/>
      </c>
      <c r="G2310" s="53">
        <f>IF(B2310="","",IFERROR(INDEX(Client_List!$K:$K,MATCH(VALUE(B2310),Client_List!$A:$A,0)),""))</f>
        <v/>
      </c>
      <c r="H2310" s="32">
        <f>IF(B2310="","",IFERROR(INDEX(Client_List!$J:$J,MATCH(VALUE(B2310),Client_List!$A:$A,0)),""))</f>
        <v/>
      </c>
      <c r="I2310" s="70">
        <f>IF(B2310="","",IFERROR(A2310-LOOKUP(2,1/($B$4:$B2309=B2310),$A$4:$A2309),""))</f>
        <v/>
      </c>
      <c r="J2310" s="32">
        <f>IF(B2310="","",IFERROR(D2310/I2310,""))</f>
        <v/>
      </c>
      <c r="K2310" s="71">
        <f>IF(B2310="","",IFERROR(AVERAGEIFS($J$4:$J2310,$B$4:$B2310,B2310,$J$4:$J2310,"&gt;"&amp;0),""))</f>
        <v/>
      </c>
      <c r="L2310" s="12" t="n"/>
    </row>
    <row r="2311" ht="14" customHeight="1" s="72">
      <c r="A2311" s="78" t="n"/>
      <c r="B2311" s="79" t="n"/>
      <c r="C2311" s="69">
        <f>IF(B2311="","",IFERROR(INDEX(Client_List!$B:$B,MATCH(B2311,Client_List!$A:$A,0)),"⚠ NOT FOUND"))</f>
        <v/>
      </c>
      <c r="D2311" s="44" t="n"/>
      <c r="E2311" s="32">
        <f>IF(B2311="","",IFERROR(INDEX(Client_List!$C:$C,MATCH(VALUE(B2311),Client_List!$A:$A,0)),""))</f>
        <v/>
      </c>
      <c r="F2311" s="53">
        <f>IF(B2311="","",IFERROR(INDEX(Client_List!$D:$D,MATCH(VALUE(B2311),Client_List!$A:$A,0)),""))</f>
        <v/>
      </c>
      <c r="G2311" s="53">
        <f>IF(B2311="","",IFERROR(INDEX(Client_List!$K:$K,MATCH(VALUE(B2311),Client_List!$A:$A,0)),""))</f>
        <v/>
      </c>
      <c r="H2311" s="32">
        <f>IF(B2311="","",IFERROR(INDEX(Client_List!$J:$J,MATCH(VALUE(B2311),Client_List!$A:$A,0)),""))</f>
        <v/>
      </c>
      <c r="I2311" s="70">
        <f>IF(B2311="","",IFERROR(A2311-LOOKUP(2,1/($B$4:$B2310=B2311),$A$4:$A2310),""))</f>
        <v/>
      </c>
      <c r="J2311" s="32">
        <f>IF(B2311="","",IFERROR(D2311/I2311,""))</f>
        <v/>
      </c>
      <c r="K2311" s="71">
        <f>IF(B2311="","",IFERROR(AVERAGEIFS($J$4:$J2311,$B$4:$B2311,B2311,$J$4:$J2311,"&gt;"&amp;0),""))</f>
        <v/>
      </c>
      <c r="L2311" s="11" t="n"/>
    </row>
    <row r="2312" ht="14" customHeight="1" s="72">
      <c r="A2312" s="80" t="n"/>
      <c r="B2312" s="81" t="n"/>
      <c r="C2312" s="69">
        <f>IF(B2312="","",IFERROR(INDEX(Client_List!$B:$B,MATCH(B2312,Client_List!$A:$A,0)),"⚠ NOT FOUND"))</f>
        <v/>
      </c>
      <c r="D2312" s="45" t="n"/>
      <c r="E2312" s="32">
        <f>IF(B2312="","",IFERROR(INDEX(Client_List!$C:$C,MATCH(VALUE(B2312),Client_List!$A:$A,0)),""))</f>
        <v/>
      </c>
      <c r="F2312" s="53">
        <f>IF(B2312="","",IFERROR(INDEX(Client_List!$D:$D,MATCH(VALUE(B2312),Client_List!$A:$A,0)),""))</f>
        <v/>
      </c>
      <c r="G2312" s="53">
        <f>IF(B2312="","",IFERROR(INDEX(Client_List!$K:$K,MATCH(VALUE(B2312),Client_List!$A:$A,0)),""))</f>
        <v/>
      </c>
      <c r="H2312" s="32">
        <f>IF(B2312="","",IFERROR(INDEX(Client_List!$J:$J,MATCH(VALUE(B2312),Client_List!$A:$A,0)),""))</f>
        <v/>
      </c>
      <c r="I2312" s="70">
        <f>IF(B2312="","",IFERROR(A2312-LOOKUP(2,1/($B$4:$B2311=B2312),$A$4:$A2311),""))</f>
        <v/>
      </c>
      <c r="J2312" s="32">
        <f>IF(B2312="","",IFERROR(D2312/I2312,""))</f>
        <v/>
      </c>
      <c r="K2312" s="71">
        <f>IF(B2312="","",IFERROR(AVERAGEIFS($J$4:$J2312,$B$4:$B2312,B2312,$J$4:$J2312,"&gt;"&amp;0),""))</f>
        <v/>
      </c>
      <c r="L2312" s="12" t="n"/>
    </row>
    <row r="2313" ht="14" customHeight="1" s="72">
      <c r="A2313" s="78" t="n"/>
      <c r="B2313" s="79" t="n"/>
      <c r="C2313" s="69">
        <f>IF(B2313="","",IFERROR(INDEX(Client_List!$B:$B,MATCH(B2313,Client_List!$A:$A,0)),"⚠ NOT FOUND"))</f>
        <v/>
      </c>
      <c r="D2313" s="44" t="n"/>
      <c r="E2313" s="32">
        <f>IF(B2313="","",IFERROR(INDEX(Client_List!$C:$C,MATCH(VALUE(B2313),Client_List!$A:$A,0)),""))</f>
        <v/>
      </c>
      <c r="F2313" s="53">
        <f>IF(B2313="","",IFERROR(INDEX(Client_List!$D:$D,MATCH(VALUE(B2313),Client_List!$A:$A,0)),""))</f>
        <v/>
      </c>
      <c r="G2313" s="53">
        <f>IF(B2313="","",IFERROR(INDEX(Client_List!$K:$K,MATCH(VALUE(B2313),Client_List!$A:$A,0)),""))</f>
        <v/>
      </c>
      <c r="H2313" s="32">
        <f>IF(B2313="","",IFERROR(INDEX(Client_List!$J:$J,MATCH(VALUE(B2313),Client_List!$A:$A,0)),""))</f>
        <v/>
      </c>
      <c r="I2313" s="70">
        <f>IF(B2313="","",IFERROR(A2313-LOOKUP(2,1/($B$4:$B2312=B2313),$A$4:$A2312),""))</f>
        <v/>
      </c>
      <c r="J2313" s="32">
        <f>IF(B2313="","",IFERROR(D2313/I2313,""))</f>
        <v/>
      </c>
      <c r="K2313" s="71">
        <f>IF(B2313="","",IFERROR(AVERAGEIFS($J$4:$J2313,$B$4:$B2313,B2313,$J$4:$J2313,"&gt;"&amp;0),""))</f>
        <v/>
      </c>
      <c r="L2313" s="11" t="n"/>
    </row>
    <row r="2314" ht="14" customHeight="1" s="72">
      <c r="A2314" s="80" t="n"/>
      <c r="B2314" s="81" t="n"/>
      <c r="C2314" s="69">
        <f>IF(B2314="","",IFERROR(INDEX(Client_List!$B:$B,MATCH(B2314,Client_List!$A:$A,0)),"⚠ NOT FOUND"))</f>
        <v/>
      </c>
      <c r="D2314" s="45" t="n"/>
      <c r="E2314" s="32">
        <f>IF(B2314="","",IFERROR(INDEX(Client_List!$C:$C,MATCH(VALUE(B2314),Client_List!$A:$A,0)),""))</f>
        <v/>
      </c>
      <c r="F2314" s="53">
        <f>IF(B2314="","",IFERROR(INDEX(Client_List!$D:$D,MATCH(VALUE(B2314),Client_List!$A:$A,0)),""))</f>
        <v/>
      </c>
      <c r="G2314" s="53">
        <f>IF(B2314="","",IFERROR(INDEX(Client_List!$K:$K,MATCH(VALUE(B2314),Client_List!$A:$A,0)),""))</f>
        <v/>
      </c>
      <c r="H2314" s="32">
        <f>IF(B2314="","",IFERROR(INDEX(Client_List!$J:$J,MATCH(VALUE(B2314),Client_List!$A:$A,0)),""))</f>
        <v/>
      </c>
      <c r="I2314" s="70">
        <f>IF(B2314="","",IFERROR(A2314-LOOKUP(2,1/($B$4:$B2313=B2314),$A$4:$A2313),""))</f>
        <v/>
      </c>
      <c r="J2314" s="32">
        <f>IF(B2314="","",IFERROR(D2314/I2314,""))</f>
        <v/>
      </c>
      <c r="K2314" s="71">
        <f>IF(B2314="","",IFERROR(AVERAGEIFS($J$4:$J2314,$B$4:$B2314,B2314,$J$4:$J2314,"&gt;"&amp;0),""))</f>
        <v/>
      </c>
      <c r="L2314" s="12" t="n"/>
    </row>
    <row r="2315" ht="14" customHeight="1" s="72">
      <c r="A2315" s="78" t="n"/>
      <c r="B2315" s="79" t="n"/>
      <c r="C2315" s="69">
        <f>IF(B2315="","",IFERROR(INDEX(Client_List!$B:$B,MATCH(B2315,Client_List!$A:$A,0)),"⚠ NOT FOUND"))</f>
        <v/>
      </c>
      <c r="D2315" s="44" t="n"/>
      <c r="E2315" s="32">
        <f>IF(B2315="","",IFERROR(INDEX(Client_List!$C:$C,MATCH(VALUE(B2315),Client_List!$A:$A,0)),""))</f>
        <v/>
      </c>
      <c r="F2315" s="53">
        <f>IF(B2315="","",IFERROR(INDEX(Client_List!$D:$D,MATCH(VALUE(B2315),Client_List!$A:$A,0)),""))</f>
        <v/>
      </c>
      <c r="G2315" s="53">
        <f>IF(B2315="","",IFERROR(INDEX(Client_List!$K:$K,MATCH(VALUE(B2315),Client_List!$A:$A,0)),""))</f>
        <v/>
      </c>
      <c r="H2315" s="32">
        <f>IF(B2315="","",IFERROR(INDEX(Client_List!$J:$J,MATCH(VALUE(B2315),Client_List!$A:$A,0)),""))</f>
        <v/>
      </c>
      <c r="I2315" s="70">
        <f>IF(B2315="","",IFERROR(A2315-LOOKUP(2,1/($B$4:$B2314=B2315),$A$4:$A2314),""))</f>
        <v/>
      </c>
      <c r="J2315" s="32">
        <f>IF(B2315="","",IFERROR(D2315/I2315,""))</f>
        <v/>
      </c>
      <c r="K2315" s="71">
        <f>IF(B2315="","",IFERROR(AVERAGEIFS($J$4:$J2315,$B$4:$B2315,B2315,$J$4:$J2315,"&gt;"&amp;0),""))</f>
        <v/>
      </c>
      <c r="L2315" s="11" t="n"/>
    </row>
    <row r="2316" ht="14" customHeight="1" s="72">
      <c r="A2316" s="80" t="n"/>
      <c r="B2316" s="81" t="n"/>
      <c r="C2316" s="69">
        <f>IF(B2316="","",IFERROR(INDEX(Client_List!$B:$B,MATCH(B2316,Client_List!$A:$A,0)),"⚠ NOT FOUND"))</f>
        <v/>
      </c>
      <c r="D2316" s="45" t="n"/>
      <c r="E2316" s="32">
        <f>IF(B2316="","",IFERROR(INDEX(Client_List!$C:$C,MATCH(VALUE(B2316),Client_List!$A:$A,0)),""))</f>
        <v/>
      </c>
      <c r="F2316" s="53">
        <f>IF(B2316="","",IFERROR(INDEX(Client_List!$D:$D,MATCH(VALUE(B2316),Client_List!$A:$A,0)),""))</f>
        <v/>
      </c>
      <c r="G2316" s="53">
        <f>IF(B2316="","",IFERROR(INDEX(Client_List!$K:$K,MATCH(VALUE(B2316),Client_List!$A:$A,0)),""))</f>
        <v/>
      </c>
      <c r="H2316" s="32">
        <f>IF(B2316="","",IFERROR(INDEX(Client_List!$J:$J,MATCH(VALUE(B2316),Client_List!$A:$A,0)),""))</f>
        <v/>
      </c>
      <c r="I2316" s="70">
        <f>IF(B2316="","",IFERROR(A2316-LOOKUP(2,1/($B$4:$B2315=B2316),$A$4:$A2315),""))</f>
        <v/>
      </c>
      <c r="J2316" s="32">
        <f>IF(B2316="","",IFERROR(D2316/I2316,""))</f>
        <v/>
      </c>
      <c r="K2316" s="71">
        <f>IF(B2316="","",IFERROR(AVERAGEIFS($J$4:$J2316,$B$4:$B2316,B2316,$J$4:$J2316,"&gt;"&amp;0),""))</f>
        <v/>
      </c>
      <c r="L2316" s="12" t="n"/>
    </row>
    <row r="2317" ht="14" customHeight="1" s="72">
      <c r="A2317" s="78" t="n"/>
      <c r="B2317" s="79" t="n"/>
      <c r="C2317" s="69">
        <f>IF(B2317="","",IFERROR(INDEX(Client_List!$B:$B,MATCH(B2317,Client_List!$A:$A,0)),"⚠ NOT FOUND"))</f>
        <v/>
      </c>
      <c r="D2317" s="44" t="n"/>
      <c r="E2317" s="32">
        <f>IF(B2317="","",IFERROR(INDEX(Client_List!$C:$C,MATCH(VALUE(B2317),Client_List!$A:$A,0)),""))</f>
        <v/>
      </c>
      <c r="F2317" s="53">
        <f>IF(B2317="","",IFERROR(INDEX(Client_List!$D:$D,MATCH(VALUE(B2317),Client_List!$A:$A,0)),""))</f>
        <v/>
      </c>
      <c r="G2317" s="53">
        <f>IF(B2317="","",IFERROR(INDEX(Client_List!$K:$K,MATCH(VALUE(B2317),Client_List!$A:$A,0)),""))</f>
        <v/>
      </c>
      <c r="H2317" s="32">
        <f>IF(B2317="","",IFERROR(INDEX(Client_List!$J:$J,MATCH(VALUE(B2317),Client_List!$A:$A,0)),""))</f>
        <v/>
      </c>
      <c r="I2317" s="70">
        <f>IF(B2317="","",IFERROR(A2317-LOOKUP(2,1/($B$4:$B2316=B2317),$A$4:$A2316),""))</f>
        <v/>
      </c>
      <c r="J2317" s="32">
        <f>IF(B2317="","",IFERROR(D2317/I2317,""))</f>
        <v/>
      </c>
      <c r="K2317" s="71">
        <f>IF(B2317="","",IFERROR(AVERAGEIFS($J$4:$J2317,$B$4:$B2317,B2317,$J$4:$J2317,"&gt;"&amp;0),""))</f>
        <v/>
      </c>
      <c r="L2317" s="11" t="n"/>
    </row>
    <row r="2318" ht="14" customHeight="1" s="72">
      <c r="A2318" s="80" t="n"/>
      <c r="B2318" s="81" t="n"/>
      <c r="C2318" s="69">
        <f>IF(B2318="","",IFERROR(INDEX(Client_List!$B:$B,MATCH(B2318,Client_List!$A:$A,0)),"⚠ NOT FOUND"))</f>
        <v/>
      </c>
      <c r="D2318" s="45" t="n"/>
      <c r="E2318" s="32">
        <f>IF(B2318="","",IFERROR(INDEX(Client_List!$C:$C,MATCH(VALUE(B2318),Client_List!$A:$A,0)),""))</f>
        <v/>
      </c>
      <c r="F2318" s="53">
        <f>IF(B2318="","",IFERROR(INDEX(Client_List!$D:$D,MATCH(VALUE(B2318),Client_List!$A:$A,0)),""))</f>
        <v/>
      </c>
      <c r="G2318" s="53">
        <f>IF(B2318="","",IFERROR(INDEX(Client_List!$K:$K,MATCH(VALUE(B2318),Client_List!$A:$A,0)),""))</f>
        <v/>
      </c>
      <c r="H2318" s="32">
        <f>IF(B2318="","",IFERROR(INDEX(Client_List!$J:$J,MATCH(VALUE(B2318),Client_List!$A:$A,0)),""))</f>
        <v/>
      </c>
      <c r="I2318" s="70">
        <f>IF(B2318="","",IFERROR(A2318-LOOKUP(2,1/($B$4:$B2317=B2318),$A$4:$A2317),""))</f>
        <v/>
      </c>
      <c r="J2318" s="32">
        <f>IF(B2318="","",IFERROR(D2318/I2318,""))</f>
        <v/>
      </c>
      <c r="K2318" s="71">
        <f>IF(B2318="","",IFERROR(AVERAGEIFS($J$4:$J2318,$B$4:$B2318,B2318,$J$4:$J2318,"&gt;"&amp;0),""))</f>
        <v/>
      </c>
      <c r="L2318" s="12" t="n"/>
    </row>
    <row r="2319" ht="14" customHeight="1" s="72">
      <c r="A2319" s="78" t="n"/>
      <c r="B2319" s="79" t="n"/>
      <c r="C2319" s="69">
        <f>IF(B2319="","",IFERROR(INDEX(Client_List!$B:$B,MATCH(B2319,Client_List!$A:$A,0)),"⚠ NOT FOUND"))</f>
        <v/>
      </c>
      <c r="D2319" s="44" t="n"/>
      <c r="E2319" s="32">
        <f>IF(B2319="","",IFERROR(INDEX(Client_List!$C:$C,MATCH(VALUE(B2319),Client_List!$A:$A,0)),""))</f>
        <v/>
      </c>
      <c r="F2319" s="53">
        <f>IF(B2319="","",IFERROR(INDEX(Client_List!$D:$D,MATCH(VALUE(B2319),Client_List!$A:$A,0)),""))</f>
        <v/>
      </c>
      <c r="G2319" s="53">
        <f>IF(B2319="","",IFERROR(INDEX(Client_List!$K:$K,MATCH(VALUE(B2319),Client_List!$A:$A,0)),""))</f>
        <v/>
      </c>
      <c r="H2319" s="32">
        <f>IF(B2319="","",IFERROR(INDEX(Client_List!$J:$J,MATCH(VALUE(B2319),Client_List!$A:$A,0)),""))</f>
        <v/>
      </c>
      <c r="I2319" s="70">
        <f>IF(B2319="","",IFERROR(A2319-LOOKUP(2,1/($B$4:$B2318=B2319),$A$4:$A2318),""))</f>
        <v/>
      </c>
      <c r="J2319" s="32">
        <f>IF(B2319="","",IFERROR(D2319/I2319,""))</f>
        <v/>
      </c>
      <c r="K2319" s="71">
        <f>IF(B2319="","",IFERROR(AVERAGEIFS($J$4:$J2319,$B$4:$B2319,B2319,$J$4:$J2319,"&gt;"&amp;0),""))</f>
        <v/>
      </c>
      <c r="L2319" s="11" t="n"/>
    </row>
    <row r="2320" ht="14" customHeight="1" s="72">
      <c r="A2320" s="80" t="n"/>
      <c r="B2320" s="81" t="n"/>
      <c r="C2320" s="69">
        <f>IF(B2320="","",IFERROR(INDEX(Client_List!$B:$B,MATCH(B2320,Client_List!$A:$A,0)),"⚠ NOT FOUND"))</f>
        <v/>
      </c>
      <c r="D2320" s="45" t="n"/>
      <c r="E2320" s="32">
        <f>IF(B2320="","",IFERROR(INDEX(Client_List!$C:$C,MATCH(VALUE(B2320),Client_List!$A:$A,0)),""))</f>
        <v/>
      </c>
      <c r="F2320" s="53">
        <f>IF(B2320="","",IFERROR(INDEX(Client_List!$D:$D,MATCH(VALUE(B2320),Client_List!$A:$A,0)),""))</f>
        <v/>
      </c>
      <c r="G2320" s="53">
        <f>IF(B2320="","",IFERROR(INDEX(Client_List!$K:$K,MATCH(VALUE(B2320),Client_List!$A:$A,0)),""))</f>
        <v/>
      </c>
      <c r="H2320" s="32">
        <f>IF(B2320="","",IFERROR(INDEX(Client_List!$J:$J,MATCH(VALUE(B2320),Client_List!$A:$A,0)),""))</f>
        <v/>
      </c>
      <c r="I2320" s="70">
        <f>IF(B2320="","",IFERROR(A2320-LOOKUP(2,1/($B$4:$B2319=B2320),$A$4:$A2319),""))</f>
        <v/>
      </c>
      <c r="J2320" s="32">
        <f>IF(B2320="","",IFERROR(D2320/I2320,""))</f>
        <v/>
      </c>
      <c r="K2320" s="71">
        <f>IF(B2320="","",IFERROR(AVERAGEIFS($J$4:$J2320,$B$4:$B2320,B2320,$J$4:$J2320,"&gt;"&amp;0),""))</f>
        <v/>
      </c>
      <c r="L2320" s="12" t="n"/>
    </row>
    <row r="2321" ht="14" customHeight="1" s="72">
      <c r="A2321" s="78" t="n"/>
      <c r="B2321" s="79" t="n"/>
      <c r="C2321" s="69">
        <f>IF(B2321="","",IFERROR(INDEX(Client_List!$B:$B,MATCH(B2321,Client_List!$A:$A,0)),"⚠ NOT FOUND"))</f>
        <v/>
      </c>
      <c r="D2321" s="44" t="n"/>
      <c r="E2321" s="32">
        <f>IF(B2321="","",IFERROR(INDEX(Client_List!$C:$C,MATCH(VALUE(B2321),Client_List!$A:$A,0)),""))</f>
        <v/>
      </c>
      <c r="F2321" s="53">
        <f>IF(B2321="","",IFERROR(INDEX(Client_List!$D:$D,MATCH(VALUE(B2321),Client_List!$A:$A,0)),""))</f>
        <v/>
      </c>
      <c r="G2321" s="53">
        <f>IF(B2321="","",IFERROR(INDEX(Client_List!$K:$K,MATCH(VALUE(B2321),Client_List!$A:$A,0)),""))</f>
        <v/>
      </c>
      <c r="H2321" s="32">
        <f>IF(B2321="","",IFERROR(INDEX(Client_List!$J:$J,MATCH(VALUE(B2321),Client_List!$A:$A,0)),""))</f>
        <v/>
      </c>
      <c r="I2321" s="70">
        <f>IF(B2321="","",IFERROR(A2321-LOOKUP(2,1/($B$4:$B2320=B2321),$A$4:$A2320),""))</f>
        <v/>
      </c>
      <c r="J2321" s="32">
        <f>IF(B2321="","",IFERROR(D2321/I2321,""))</f>
        <v/>
      </c>
      <c r="K2321" s="71">
        <f>IF(B2321="","",IFERROR(AVERAGEIFS($J$4:$J2321,$B$4:$B2321,B2321,$J$4:$J2321,"&gt;"&amp;0),""))</f>
        <v/>
      </c>
      <c r="L2321" s="11" t="n"/>
    </row>
    <row r="2322" ht="14" customHeight="1" s="72">
      <c r="A2322" s="80" t="n"/>
      <c r="B2322" s="81" t="n"/>
      <c r="C2322" s="69">
        <f>IF(B2322="","",IFERROR(INDEX(Client_List!$B:$B,MATCH(B2322,Client_List!$A:$A,0)),"⚠ NOT FOUND"))</f>
        <v/>
      </c>
      <c r="D2322" s="45" t="n"/>
      <c r="E2322" s="32">
        <f>IF(B2322="","",IFERROR(INDEX(Client_List!$C:$C,MATCH(VALUE(B2322),Client_List!$A:$A,0)),""))</f>
        <v/>
      </c>
      <c r="F2322" s="53">
        <f>IF(B2322="","",IFERROR(INDEX(Client_List!$D:$D,MATCH(VALUE(B2322),Client_List!$A:$A,0)),""))</f>
        <v/>
      </c>
      <c r="G2322" s="53">
        <f>IF(B2322="","",IFERROR(INDEX(Client_List!$K:$K,MATCH(VALUE(B2322),Client_List!$A:$A,0)),""))</f>
        <v/>
      </c>
      <c r="H2322" s="32">
        <f>IF(B2322="","",IFERROR(INDEX(Client_List!$J:$J,MATCH(VALUE(B2322),Client_List!$A:$A,0)),""))</f>
        <v/>
      </c>
      <c r="I2322" s="70">
        <f>IF(B2322="","",IFERROR(A2322-LOOKUP(2,1/($B$4:$B2321=B2322),$A$4:$A2321),""))</f>
        <v/>
      </c>
      <c r="J2322" s="32">
        <f>IF(B2322="","",IFERROR(D2322/I2322,""))</f>
        <v/>
      </c>
      <c r="K2322" s="71">
        <f>IF(B2322="","",IFERROR(AVERAGEIFS($J$4:$J2322,$B$4:$B2322,B2322,$J$4:$J2322,"&gt;"&amp;0),""))</f>
        <v/>
      </c>
      <c r="L2322" s="12" t="n"/>
    </row>
    <row r="2323" ht="14" customHeight="1" s="72">
      <c r="A2323" s="78" t="n"/>
      <c r="B2323" s="79" t="n"/>
      <c r="C2323" s="69">
        <f>IF(B2323="","",IFERROR(INDEX(Client_List!$B:$B,MATCH(B2323,Client_List!$A:$A,0)),"⚠ NOT FOUND"))</f>
        <v/>
      </c>
      <c r="D2323" s="44" t="n"/>
      <c r="E2323" s="32">
        <f>IF(B2323="","",IFERROR(INDEX(Client_List!$C:$C,MATCH(VALUE(B2323),Client_List!$A:$A,0)),""))</f>
        <v/>
      </c>
      <c r="F2323" s="53">
        <f>IF(B2323="","",IFERROR(INDEX(Client_List!$D:$D,MATCH(VALUE(B2323),Client_List!$A:$A,0)),""))</f>
        <v/>
      </c>
      <c r="G2323" s="53">
        <f>IF(B2323="","",IFERROR(INDEX(Client_List!$K:$K,MATCH(VALUE(B2323),Client_List!$A:$A,0)),""))</f>
        <v/>
      </c>
      <c r="H2323" s="32">
        <f>IF(B2323="","",IFERROR(INDEX(Client_List!$J:$J,MATCH(VALUE(B2323),Client_List!$A:$A,0)),""))</f>
        <v/>
      </c>
      <c r="I2323" s="70">
        <f>IF(B2323="","",IFERROR(A2323-LOOKUP(2,1/($B$4:$B2322=B2323),$A$4:$A2322),""))</f>
        <v/>
      </c>
      <c r="J2323" s="32">
        <f>IF(B2323="","",IFERROR(D2323/I2323,""))</f>
        <v/>
      </c>
      <c r="K2323" s="71">
        <f>IF(B2323="","",IFERROR(AVERAGEIFS($J$4:$J2323,$B$4:$B2323,B2323,$J$4:$J2323,"&gt;"&amp;0),""))</f>
        <v/>
      </c>
      <c r="L2323" s="11" t="n"/>
    </row>
    <row r="2324" ht="14" customHeight="1" s="72">
      <c r="A2324" s="80" t="n"/>
      <c r="B2324" s="81" t="n"/>
      <c r="C2324" s="69">
        <f>IF(B2324="","",IFERROR(INDEX(Client_List!$B:$B,MATCH(B2324,Client_List!$A:$A,0)),"⚠ NOT FOUND"))</f>
        <v/>
      </c>
      <c r="D2324" s="45" t="n"/>
      <c r="E2324" s="32">
        <f>IF(B2324="","",IFERROR(INDEX(Client_List!$C:$C,MATCH(VALUE(B2324),Client_List!$A:$A,0)),""))</f>
        <v/>
      </c>
      <c r="F2324" s="53">
        <f>IF(B2324="","",IFERROR(INDEX(Client_List!$D:$D,MATCH(VALUE(B2324),Client_List!$A:$A,0)),""))</f>
        <v/>
      </c>
      <c r="G2324" s="53">
        <f>IF(B2324="","",IFERROR(INDEX(Client_List!$K:$K,MATCH(VALUE(B2324),Client_List!$A:$A,0)),""))</f>
        <v/>
      </c>
      <c r="H2324" s="32">
        <f>IF(B2324="","",IFERROR(INDEX(Client_List!$J:$J,MATCH(VALUE(B2324),Client_List!$A:$A,0)),""))</f>
        <v/>
      </c>
      <c r="I2324" s="70">
        <f>IF(B2324="","",IFERROR(A2324-LOOKUP(2,1/($B$4:$B2323=B2324),$A$4:$A2323),""))</f>
        <v/>
      </c>
      <c r="J2324" s="32">
        <f>IF(B2324="","",IFERROR(D2324/I2324,""))</f>
        <v/>
      </c>
      <c r="K2324" s="71">
        <f>IF(B2324="","",IFERROR(AVERAGEIFS($J$4:$J2324,$B$4:$B2324,B2324,$J$4:$J2324,"&gt;"&amp;0),""))</f>
        <v/>
      </c>
      <c r="L2324" s="12" t="n"/>
    </row>
    <row r="2325" ht="14" customHeight="1" s="72">
      <c r="A2325" s="78" t="n"/>
      <c r="B2325" s="79" t="n"/>
      <c r="C2325" s="69">
        <f>IF(B2325="","",IFERROR(INDEX(Client_List!$B:$B,MATCH(B2325,Client_List!$A:$A,0)),"⚠ NOT FOUND"))</f>
        <v/>
      </c>
      <c r="D2325" s="44" t="n"/>
      <c r="E2325" s="32">
        <f>IF(B2325="","",IFERROR(INDEX(Client_List!$C:$C,MATCH(VALUE(B2325),Client_List!$A:$A,0)),""))</f>
        <v/>
      </c>
      <c r="F2325" s="53">
        <f>IF(B2325="","",IFERROR(INDEX(Client_List!$D:$D,MATCH(VALUE(B2325),Client_List!$A:$A,0)),""))</f>
        <v/>
      </c>
      <c r="G2325" s="53">
        <f>IF(B2325="","",IFERROR(INDEX(Client_List!$K:$K,MATCH(VALUE(B2325),Client_List!$A:$A,0)),""))</f>
        <v/>
      </c>
      <c r="H2325" s="32">
        <f>IF(B2325="","",IFERROR(INDEX(Client_List!$J:$J,MATCH(VALUE(B2325),Client_List!$A:$A,0)),""))</f>
        <v/>
      </c>
      <c r="I2325" s="70">
        <f>IF(B2325="","",IFERROR(A2325-LOOKUP(2,1/($B$4:$B2324=B2325),$A$4:$A2324),""))</f>
        <v/>
      </c>
      <c r="J2325" s="32">
        <f>IF(B2325="","",IFERROR(D2325/I2325,""))</f>
        <v/>
      </c>
      <c r="K2325" s="71">
        <f>IF(B2325="","",IFERROR(AVERAGEIFS($J$4:$J2325,$B$4:$B2325,B2325,$J$4:$J2325,"&gt;"&amp;0),""))</f>
        <v/>
      </c>
      <c r="L2325" s="11" t="n"/>
    </row>
    <row r="2326" ht="14" customHeight="1" s="72">
      <c r="A2326" s="80" t="n"/>
      <c r="B2326" s="81" t="n"/>
      <c r="C2326" s="69">
        <f>IF(B2326="","",IFERROR(INDEX(Client_List!$B:$B,MATCH(B2326,Client_List!$A:$A,0)),"⚠ NOT FOUND"))</f>
        <v/>
      </c>
      <c r="D2326" s="45" t="n"/>
      <c r="E2326" s="32">
        <f>IF(B2326="","",IFERROR(INDEX(Client_List!$C:$C,MATCH(VALUE(B2326),Client_List!$A:$A,0)),""))</f>
        <v/>
      </c>
      <c r="F2326" s="53">
        <f>IF(B2326="","",IFERROR(INDEX(Client_List!$D:$D,MATCH(VALUE(B2326),Client_List!$A:$A,0)),""))</f>
        <v/>
      </c>
      <c r="G2326" s="53">
        <f>IF(B2326="","",IFERROR(INDEX(Client_List!$K:$K,MATCH(VALUE(B2326),Client_List!$A:$A,0)),""))</f>
        <v/>
      </c>
      <c r="H2326" s="32">
        <f>IF(B2326="","",IFERROR(INDEX(Client_List!$J:$J,MATCH(VALUE(B2326),Client_List!$A:$A,0)),""))</f>
        <v/>
      </c>
      <c r="I2326" s="70">
        <f>IF(B2326="","",IFERROR(A2326-LOOKUP(2,1/($B$4:$B2325=B2326),$A$4:$A2325),""))</f>
        <v/>
      </c>
      <c r="J2326" s="32">
        <f>IF(B2326="","",IFERROR(D2326/I2326,""))</f>
        <v/>
      </c>
      <c r="K2326" s="71">
        <f>IF(B2326="","",IFERROR(AVERAGEIFS($J$4:$J2326,$B$4:$B2326,B2326,$J$4:$J2326,"&gt;"&amp;0),""))</f>
        <v/>
      </c>
      <c r="L2326" s="12" t="n"/>
    </row>
    <row r="2327" ht="14" customHeight="1" s="72">
      <c r="A2327" s="78" t="n"/>
      <c r="B2327" s="79" t="n"/>
      <c r="C2327" s="69">
        <f>IF(B2327="","",IFERROR(INDEX(Client_List!$B:$B,MATCH(B2327,Client_List!$A:$A,0)),"⚠ NOT FOUND"))</f>
        <v/>
      </c>
      <c r="D2327" s="44" t="n"/>
      <c r="E2327" s="32">
        <f>IF(B2327="","",IFERROR(INDEX(Client_List!$C:$C,MATCH(VALUE(B2327),Client_List!$A:$A,0)),""))</f>
        <v/>
      </c>
      <c r="F2327" s="53">
        <f>IF(B2327="","",IFERROR(INDEX(Client_List!$D:$D,MATCH(VALUE(B2327),Client_List!$A:$A,0)),""))</f>
        <v/>
      </c>
      <c r="G2327" s="53">
        <f>IF(B2327="","",IFERROR(INDEX(Client_List!$K:$K,MATCH(VALUE(B2327),Client_List!$A:$A,0)),""))</f>
        <v/>
      </c>
      <c r="H2327" s="32">
        <f>IF(B2327="","",IFERROR(INDEX(Client_List!$J:$J,MATCH(VALUE(B2327),Client_List!$A:$A,0)),""))</f>
        <v/>
      </c>
      <c r="I2327" s="70">
        <f>IF(B2327="","",IFERROR(A2327-LOOKUP(2,1/($B$4:$B2326=B2327),$A$4:$A2326),""))</f>
        <v/>
      </c>
      <c r="J2327" s="32">
        <f>IF(B2327="","",IFERROR(D2327/I2327,""))</f>
        <v/>
      </c>
      <c r="K2327" s="71">
        <f>IF(B2327="","",IFERROR(AVERAGEIFS($J$4:$J2327,$B$4:$B2327,B2327,$J$4:$J2327,"&gt;"&amp;0),""))</f>
        <v/>
      </c>
      <c r="L2327" s="11" t="n"/>
    </row>
    <row r="2328" ht="14" customHeight="1" s="72">
      <c r="A2328" s="80" t="n"/>
      <c r="B2328" s="81" t="n"/>
      <c r="C2328" s="69">
        <f>IF(B2328="","",IFERROR(INDEX(Client_List!$B:$B,MATCH(B2328,Client_List!$A:$A,0)),"⚠ NOT FOUND"))</f>
        <v/>
      </c>
      <c r="D2328" s="45" t="n"/>
      <c r="E2328" s="32">
        <f>IF(B2328="","",IFERROR(INDEX(Client_List!$C:$C,MATCH(VALUE(B2328),Client_List!$A:$A,0)),""))</f>
        <v/>
      </c>
      <c r="F2328" s="53">
        <f>IF(B2328="","",IFERROR(INDEX(Client_List!$D:$D,MATCH(VALUE(B2328),Client_List!$A:$A,0)),""))</f>
        <v/>
      </c>
      <c r="G2328" s="53">
        <f>IF(B2328="","",IFERROR(INDEX(Client_List!$K:$K,MATCH(VALUE(B2328),Client_List!$A:$A,0)),""))</f>
        <v/>
      </c>
      <c r="H2328" s="32">
        <f>IF(B2328="","",IFERROR(INDEX(Client_List!$J:$J,MATCH(VALUE(B2328),Client_List!$A:$A,0)),""))</f>
        <v/>
      </c>
      <c r="I2328" s="70">
        <f>IF(B2328="","",IFERROR(A2328-LOOKUP(2,1/($B$4:$B2327=B2328),$A$4:$A2327),""))</f>
        <v/>
      </c>
      <c r="J2328" s="32">
        <f>IF(B2328="","",IFERROR(D2328/I2328,""))</f>
        <v/>
      </c>
      <c r="K2328" s="71">
        <f>IF(B2328="","",IFERROR(AVERAGEIFS($J$4:$J2328,$B$4:$B2328,B2328,$J$4:$J2328,"&gt;"&amp;0),""))</f>
        <v/>
      </c>
      <c r="L2328" s="12" t="n"/>
    </row>
    <row r="2329" ht="14" customHeight="1" s="72">
      <c r="A2329" s="78" t="n"/>
      <c r="B2329" s="79" t="n"/>
      <c r="C2329" s="69">
        <f>IF(B2329="","",IFERROR(INDEX(Client_List!$B:$B,MATCH(B2329,Client_List!$A:$A,0)),"⚠ NOT FOUND"))</f>
        <v/>
      </c>
      <c r="D2329" s="44" t="n"/>
      <c r="E2329" s="32">
        <f>IF(B2329="","",IFERROR(INDEX(Client_List!$C:$C,MATCH(VALUE(B2329),Client_List!$A:$A,0)),""))</f>
        <v/>
      </c>
      <c r="F2329" s="53">
        <f>IF(B2329="","",IFERROR(INDEX(Client_List!$D:$D,MATCH(VALUE(B2329),Client_List!$A:$A,0)),""))</f>
        <v/>
      </c>
      <c r="G2329" s="53">
        <f>IF(B2329="","",IFERROR(INDEX(Client_List!$K:$K,MATCH(VALUE(B2329),Client_List!$A:$A,0)),""))</f>
        <v/>
      </c>
      <c r="H2329" s="32">
        <f>IF(B2329="","",IFERROR(INDEX(Client_List!$J:$J,MATCH(VALUE(B2329),Client_List!$A:$A,0)),""))</f>
        <v/>
      </c>
      <c r="I2329" s="70">
        <f>IF(B2329="","",IFERROR(A2329-LOOKUP(2,1/($B$4:$B2328=B2329),$A$4:$A2328),""))</f>
        <v/>
      </c>
      <c r="J2329" s="32">
        <f>IF(B2329="","",IFERROR(D2329/I2329,""))</f>
        <v/>
      </c>
      <c r="K2329" s="71">
        <f>IF(B2329="","",IFERROR(AVERAGEIFS($J$4:$J2329,$B$4:$B2329,B2329,$J$4:$J2329,"&gt;"&amp;0),""))</f>
        <v/>
      </c>
      <c r="L2329" s="11" t="n"/>
    </row>
    <row r="2330" ht="14" customHeight="1" s="72">
      <c r="A2330" s="80" t="n"/>
      <c r="B2330" s="81" t="n"/>
      <c r="C2330" s="69">
        <f>IF(B2330="","",IFERROR(INDEX(Client_List!$B:$B,MATCH(B2330,Client_List!$A:$A,0)),"⚠ NOT FOUND"))</f>
        <v/>
      </c>
      <c r="D2330" s="45" t="n"/>
      <c r="E2330" s="32">
        <f>IF(B2330="","",IFERROR(INDEX(Client_List!$C:$C,MATCH(VALUE(B2330),Client_List!$A:$A,0)),""))</f>
        <v/>
      </c>
      <c r="F2330" s="53">
        <f>IF(B2330="","",IFERROR(INDEX(Client_List!$D:$D,MATCH(VALUE(B2330),Client_List!$A:$A,0)),""))</f>
        <v/>
      </c>
      <c r="G2330" s="53">
        <f>IF(B2330="","",IFERROR(INDEX(Client_List!$K:$K,MATCH(VALUE(B2330),Client_List!$A:$A,0)),""))</f>
        <v/>
      </c>
      <c r="H2330" s="32">
        <f>IF(B2330="","",IFERROR(INDEX(Client_List!$J:$J,MATCH(VALUE(B2330),Client_List!$A:$A,0)),""))</f>
        <v/>
      </c>
      <c r="I2330" s="70">
        <f>IF(B2330="","",IFERROR(A2330-LOOKUP(2,1/($B$4:$B2329=B2330),$A$4:$A2329),""))</f>
        <v/>
      </c>
      <c r="J2330" s="32">
        <f>IF(B2330="","",IFERROR(D2330/I2330,""))</f>
        <v/>
      </c>
      <c r="K2330" s="71">
        <f>IF(B2330="","",IFERROR(AVERAGEIFS($J$4:$J2330,$B$4:$B2330,B2330,$J$4:$J2330,"&gt;"&amp;0),""))</f>
        <v/>
      </c>
      <c r="L2330" s="12" t="n"/>
    </row>
    <row r="2331" ht="14" customHeight="1" s="72">
      <c r="A2331" s="78" t="n"/>
      <c r="B2331" s="79" t="n"/>
      <c r="C2331" s="69">
        <f>IF(B2331="","",IFERROR(INDEX(Client_List!$B:$B,MATCH(B2331,Client_List!$A:$A,0)),"⚠ NOT FOUND"))</f>
        <v/>
      </c>
      <c r="D2331" s="44" t="n"/>
      <c r="E2331" s="32">
        <f>IF(B2331="","",IFERROR(INDEX(Client_List!$C:$C,MATCH(VALUE(B2331),Client_List!$A:$A,0)),""))</f>
        <v/>
      </c>
      <c r="F2331" s="53">
        <f>IF(B2331="","",IFERROR(INDEX(Client_List!$D:$D,MATCH(VALUE(B2331),Client_List!$A:$A,0)),""))</f>
        <v/>
      </c>
      <c r="G2331" s="53">
        <f>IF(B2331="","",IFERROR(INDEX(Client_List!$K:$K,MATCH(VALUE(B2331),Client_List!$A:$A,0)),""))</f>
        <v/>
      </c>
      <c r="H2331" s="32">
        <f>IF(B2331="","",IFERROR(INDEX(Client_List!$J:$J,MATCH(VALUE(B2331),Client_List!$A:$A,0)),""))</f>
        <v/>
      </c>
      <c r="I2331" s="70">
        <f>IF(B2331="","",IFERROR(A2331-LOOKUP(2,1/($B$4:$B2330=B2331),$A$4:$A2330),""))</f>
        <v/>
      </c>
      <c r="J2331" s="32">
        <f>IF(B2331="","",IFERROR(D2331/I2331,""))</f>
        <v/>
      </c>
      <c r="K2331" s="71">
        <f>IF(B2331="","",IFERROR(AVERAGEIFS($J$4:$J2331,$B$4:$B2331,B2331,$J$4:$J2331,"&gt;"&amp;0),""))</f>
        <v/>
      </c>
      <c r="L2331" s="11" t="n"/>
    </row>
    <row r="2332" ht="14" customHeight="1" s="72">
      <c r="A2332" s="80" t="n"/>
      <c r="B2332" s="81" t="n"/>
      <c r="C2332" s="69">
        <f>IF(B2332="","",IFERROR(INDEX(Client_List!$B:$B,MATCH(B2332,Client_List!$A:$A,0)),"⚠ NOT FOUND"))</f>
        <v/>
      </c>
      <c r="D2332" s="45" t="n"/>
      <c r="E2332" s="32">
        <f>IF(B2332="","",IFERROR(INDEX(Client_List!$C:$C,MATCH(VALUE(B2332),Client_List!$A:$A,0)),""))</f>
        <v/>
      </c>
      <c r="F2332" s="53">
        <f>IF(B2332="","",IFERROR(INDEX(Client_List!$D:$D,MATCH(VALUE(B2332),Client_List!$A:$A,0)),""))</f>
        <v/>
      </c>
      <c r="G2332" s="53">
        <f>IF(B2332="","",IFERROR(INDEX(Client_List!$K:$K,MATCH(VALUE(B2332),Client_List!$A:$A,0)),""))</f>
        <v/>
      </c>
      <c r="H2332" s="32">
        <f>IF(B2332="","",IFERROR(INDEX(Client_List!$J:$J,MATCH(VALUE(B2332),Client_List!$A:$A,0)),""))</f>
        <v/>
      </c>
      <c r="I2332" s="70">
        <f>IF(B2332="","",IFERROR(A2332-LOOKUP(2,1/($B$4:$B2331=B2332),$A$4:$A2331),""))</f>
        <v/>
      </c>
      <c r="J2332" s="32">
        <f>IF(B2332="","",IFERROR(D2332/I2332,""))</f>
        <v/>
      </c>
      <c r="K2332" s="71">
        <f>IF(B2332="","",IFERROR(AVERAGEIFS($J$4:$J2332,$B$4:$B2332,B2332,$J$4:$J2332,"&gt;"&amp;0),""))</f>
        <v/>
      </c>
      <c r="L2332" s="12" t="n"/>
    </row>
    <row r="2333" ht="14" customHeight="1" s="72">
      <c r="A2333" s="78" t="n"/>
      <c r="B2333" s="79" t="n"/>
      <c r="C2333" s="69">
        <f>IF(B2333="","",IFERROR(INDEX(Client_List!$B:$B,MATCH(B2333,Client_List!$A:$A,0)),"⚠ NOT FOUND"))</f>
        <v/>
      </c>
      <c r="D2333" s="44" t="n"/>
      <c r="E2333" s="32">
        <f>IF(B2333="","",IFERROR(INDEX(Client_List!$C:$C,MATCH(VALUE(B2333),Client_List!$A:$A,0)),""))</f>
        <v/>
      </c>
      <c r="F2333" s="53">
        <f>IF(B2333="","",IFERROR(INDEX(Client_List!$D:$D,MATCH(VALUE(B2333),Client_List!$A:$A,0)),""))</f>
        <v/>
      </c>
      <c r="G2333" s="53">
        <f>IF(B2333="","",IFERROR(INDEX(Client_List!$K:$K,MATCH(VALUE(B2333),Client_List!$A:$A,0)),""))</f>
        <v/>
      </c>
      <c r="H2333" s="32">
        <f>IF(B2333="","",IFERROR(INDEX(Client_List!$J:$J,MATCH(VALUE(B2333),Client_List!$A:$A,0)),""))</f>
        <v/>
      </c>
      <c r="I2333" s="70">
        <f>IF(B2333="","",IFERROR(A2333-LOOKUP(2,1/($B$4:$B2332=B2333),$A$4:$A2332),""))</f>
        <v/>
      </c>
      <c r="J2333" s="32">
        <f>IF(B2333="","",IFERROR(D2333/I2333,""))</f>
        <v/>
      </c>
      <c r="K2333" s="71">
        <f>IF(B2333="","",IFERROR(AVERAGEIFS($J$4:$J2333,$B$4:$B2333,B2333,$J$4:$J2333,"&gt;"&amp;0),""))</f>
        <v/>
      </c>
      <c r="L2333" s="11" t="n"/>
    </row>
    <row r="2334" ht="14" customHeight="1" s="72">
      <c r="A2334" s="80" t="n"/>
      <c r="B2334" s="81" t="n"/>
      <c r="C2334" s="69">
        <f>IF(B2334="","",IFERROR(INDEX(Client_List!$B:$B,MATCH(B2334,Client_List!$A:$A,0)),"⚠ NOT FOUND"))</f>
        <v/>
      </c>
      <c r="D2334" s="45" t="n"/>
      <c r="E2334" s="32">
        <f>IF(B2334="","",IFERROR(INDEX(Client_List!$C:$C,MATCH(VALUE(B2334),Client_List!$A:$A,0)),""))</f>
        <v/>
      </c>
      <c r="F2334" s="53">
        <f>IF(B2334="","",IFERROR(INDEX(Client_List!$D:$D,MATCH(VALUE(B2334),Client_List!$A:$A,0)),""))</f>
        <v/>
      </c>
      <c r="G2334" s="53">
        <f>IF(B2334="","",IFERROR(INDEX(Client_List!$K:$K,MATCH(VALUE(B2334),Client_List!$A:$A,0)),""))</f>
        <v/>
      </c>
      <c r="H2334" s="32">
        <f>IF(B2334="","",IFERROR(INDEX(Client_List!$J:$J,MATCH(VALUE(B2334),Client_List!$A:$A,0)),""))</f>
        <v/>
      </c>
      <c r="I2334" s="70">
        <f>IF(B2334="","",IFERROR(A2334-LOOKUP(2,1/($B$4:$B2333=B2334),$A$4:$A2333),""))</f>
        <v/>
      </c>
      <c r="J2334" s="32">
        <f>IF(B2334="","",IFERROR(D2334/I2334,""))</f>
        <v/>
      </c>
      <c r="K2334" s="71">
        <f>IF(B2334="","",IFERROR(AVERAGEIFS($J$4:$J2334,$B$4:$B2334,B2334,$J$4:$J2334,"&gt;"&amp;0),""))</f>
        <v/>
      </c>
      <c r="L2334" s="12" t="n"/>
    </row>
    <row r="2335" ht="14" customHeight="1" s="72">
      <c r="A2335" s="78" t="n"/>
      <c r="B2335" s="79" t="n"/>
      <c r="C2335" s="69">
        <f>IF(B2335="","",IFERROR(INDEX(Client_List!$B:$B,MATCH(B2335,Client_List!$A:$A,0)),"⚠ NOT FOUND"))</f>
        <v/>
      </c>
      <c r="D2335" s="44" t="n"/>
      <c r="E2335" s="32">
        <f>IF(B2335="","",IFERROR(INDEX(Client_List!$C:$C,MATCH(VALUE(B2335),Client_List!$A:$A,0)),""))</f>
        <v/>
      </c>
      <c r="F2335" s="53">
        <f>IF(B2335="","",IFERROR(INDEX(Client_List!$D:$D,MATCH(VALUE(B2335),Client_List!$A:$A,0)),""))</f>
        <v/>
      </c>
      <c r="G2335" s="53">
        <f>IF(B2335="","",IFERROR(INDEX(Client_List!$K:$K,MATCH(VALUE(B2335),Client_List!$A:$A,0)),""))</f>
        <v/>
      </c>
      <c r="H2335" s="32">
        <f>IF(B2335="","",IFERROR(INDEX(Client_List!$J:$J,MATCH(VALUE(B2335),Client_List!$A:$A,0)),""))</f>
        <v/>
      </c>
      <c r="I2335" s="70">
        <f>IF(B2335="","",IFERROR(A2335-LOOKUP(2,1/($B$4:$B2334=B2335),$A$4:$A2334),""))</f>
        <v/>
      </c>
      <c r="J2335" s="32">
        <f>IF(B2335="","",IFERROR(D2335/I2335,""))</f>
        <v/>
      </c>
      <c r="K2335" s="71">
        <f>IF(B2335="","",IFERROR(AVERAGEIFS($J$4:$J2335,$B$4:$B2335,B2335,$J$4:$J2335,"&gt;"&amp;0),""))</f>
        <v/>
      </c>
      <c r="L2335" s="11" t="n"/>
    </row>
    <row r="2336" ht="14" customHeight="1" s="72">
      <c r="A2336" s="80" t="n"/>
      <c r="B2336" s="81" t="n"/>
      <c r="C2336" s="69">
        <f>IF(B2336="","",IFERROR(INDEX(Client_List!$B:$B,MATCH(B2336,Client_List!$A:$A,0)),"⚠ NOT FOUND"))</f>
        <v/>
      </c>
      <c r="D2336" s="45" t="n"/>
      <c r="E2336" s="32">
        <f>IF(B2336="","",IFERROR(INDEX(Client_List!$C:$C,MATCH(VALUE(B2336),Client_List!$A:$A,0)),""))</f>
        <v/>
      </c>
      <c r="F2336" s="53">
        <f>IF(B2336="","",IFERROR(INDEX(Client_List!$D:$D,MATCH(VALUE(B2336),Client_List!$A:$A,0)),""))</f>
        <v/>
      </c>
      <c r="G2336" s="53">
        <f>IF(B2336="","",IFERROR(INDEX(Client_List!$K:$K,MATCH(VALUE(B2336),Client_List!$A:$A,0)),""))</f>
        <v/>
      </c>
      <c r="H2336" s="32">
        <f>IF(B2336="","",IFERROR(INDEX(Client_List!$J:$J,MATCH(VALUE(B2336),Client_List!$A:$A,0)),""))</f>
        <v/>
      </c>
      <c r="I2336" s="70">
        <f>IF(B2336="","",IFERROR(A2336-LOOKUP(2,1/($B$4:$B2335=B2336),$A$4:$A2335),""))</f>
        <v/>
      </c>
      <c r="J2336" s="32">
        <f>IF(B2336="","",IFERROR(D2336/I2336,""))</f>
        <v/>
      </c>
      <c r="K2336" s="71">
        <f>IF(B2336="","",IFERROR(AVERAGEIFS($J$4:$J2336,$B$4:$B2336,B2336,$J$4:$J2336,"&gt;"&amp;0),""))</f>
        <v/>
      </c>
      <c r="L2336" s="12" t="n"/>
    </row>
    <row r="2337" ht="14" customHeight="1" s="72">
      <c r="A2337" s="78" t="n"/>
      <c r="B2337" s="79" t="n"/>
      <c r="C2337" s="69">
        <f>IF(B2337="","",IFERROR(INDEX(Client_List!$B:$B,MATCH(B2337,Client_List!$A:$A,0)),"⚠ NOT FOUND"))</f>
        <v/>
      </c>
      <c r="D2337" s="44" t="n"/>
      <c r="E2337" s="32">
        <f>IF(B2337="","",IFERROR(INDEX(Client_List!$C:$C,MATCH(VALUE(B2337),Client_List!$A:$A,0)),""))</f>
        <v/>
      </c>
      <c r="F2337" s="53">
        <f>IF(B2337="","",IFERROR(INDEX(Client_List!$D:$D,MATCH(VALUE(B2337),Client_List!$A:$A,0)),""))</f>
        <v/>
      </c>
      <c r="G2337" s="53">
        <f>IF(B2337="","",IFERROR(INDEX(Client_List!$K:$K,MATCH(VALUE(B2337),Client_List!$A:$A,0)),""))</f>
        <v/>
      </c>
      <c r="H2337" s="32">
        <f>IF(B2337="","",IFERROR(INDEX(Client_List!$J:$J,MATCH(VALUE(B2337),Client_List!$A:$A,0)),""))</f>
        <v/>
      </c>
      <c r="I2337" s="70">
        <f>IF(B2337="","",IFERROR(A2337-LOOKUP(2,1/($B$4:$B2336=B2337),$A$4:$A2336),""))</f>
        <v/>
      </c>
      <c r="J2337" s="32">
        <f>IF(B2337="","",IFERROR(D2337/I2337,""))</f>
        <v/>
      </c>
      <c r="K2337" s="71">
        <f>IF(B2337="","",IFERROR(AVERAGEIFS($J$4:$J2337,$B$4:$B2337,B2337,$J$4:$J2337,"&gt;"&amp;0),""))</f>
        <v/>
      </c>
      <c r="L2337" s="11" t="n"/>
    </row>
    <row r="2338" ht="14" customHeight="1" s="72">
      <c r="A2338" s="80" t="n"/>
      <c r="B2338" s="81" t="n"/>
      <c r="C2338" s="69">
        <f>IF(B2338="","",IFERROR(INDEX(Client_List!$B:$B,MATCH(B2338,Client_List!$A:$A,0)),"⚠ NOT FOUND"))</f>
        <v/>
      </c>
      <c r="D2338" s="45" t="n"/>
      <c r="E2338" s="32">
        <f>IF(B2338="","",IFERROR(INDEX(Client_List!$C:$C,MATCH(VALUE(B2338),Client_List!$A:$A,0)),""))</f>
        <v/>
      </c>
      <c r="F2338" s="53">
        <f>IF(B2338="","",IFERROR(INDEX(Client_List!$D:$D,MATCH(VALUE(B2338),Client_List!$A:$A,0)),""))</f>
        <v/>
      </c>
      <c r="G2338" s="53">
        <f>IF(B2338="","",IFERROR(INDEX(Client_List!$K:$K,MATCH(VALUE(B2338),Client_List!$A:$A,0)),""))</f>
        <v/>
      </c>
      <c r="H2338" s="32">
        <f>IF(B2338="","",IFERROR(INDEX(Client_List!$J:$J,MATCH(VALUE(B2338),Client_List!$A:$A,0)),""))</f>
        <v/>
      </c>
      <c r="I2338" s="70">
        <f>IF(B2338="","",IFERROR(A2338-LOOKUP(2,1/($B$4:$B2337=B2338),$A$4:$A2337),""))</f>
        <v/>
      </c>
      <c r="J2338" s="32">
        <f>IF(B2338="","",IFERROR(D2338/I2338,""))</f>
        <v/>
      </c>
      <c r="K2338" s="71">
        <f>IF(B2338="","",IFERROR(AVERAGEIFS($J$4:$J2338,$B$4:$B2338,B2338,$J$4:$J2338,"&gt;"&amp;0),""))</f>
        <v/>
      </c>
      <c r="L2338" s="12" t="n"/>
    </row>
    <row r="2339" ht="14" customHeight="1" s="72">
      <c r="A2339" s="78" t="n"/>
      <c r="B2339" s="79" t="n"/>
      <c r="C2339" s="69">
        <f>IF(B2339="","",IFERROR(INDEX(Client_List!$B:$B,MATCH(B2339,Client_List!$A:$A,0)),"⚠ NOT FOUND"))</f>
        <v/>
      </c>
      <c r="D2339" s="44" t="n"/>
      <c r="E2339" s="32">
        <f>IF(B2339="","",IFERROR(INDEX(Client_List!$C:$C,MATCH(VALUE(B2339),Client_List!$A:$A,0)),""))</f>
        <v/>
      </c>
      <c r="F2339" s="53">
        <f>IF(B2339="","",IFERROR(INDEX(Client_List!$D:$D,MATCH(VALUE(B2339),Client_List!$A:$A,0)),""))</f>
        <v/>
      </c>
      <c r="G2339" s="53">
        <f>IF(B2339="","",IFERROR(INDEX(Client_List!$K:$K,MATCH(VALUE(B2339),Client_List!$A:$A,0)),""))</f>
        <v/>
      </c>
      <c r="H2339" s="32">
        <f>IF(B2339="","",IFERROR(INDEX(Client_List!$J:$J,MATCH(VALUE(B2339),Client_List!$A:$A,0)),""))</f>
        <v/>
      </c>
      <c r="I2339" s="70">
        <f>IF(B2339="","",IFERROR(A2339-LOOKUP(2,1/($B$4:$B2338=B2339),$A$4:$A2338),""))</f>
        <v/>
      </c>
      <c r="J2339" s="32">
        <f>IF(B2339="","",IFERROR(D2339/I2339,""))</f>
        <v/>
      </c>
      <c r="K2339" s="71">
        <f>IF(B2339="","",IFERROR(AVERAGEIFS($J$4:$J2339,$B$4:$B2339,B2339,$J$4:$J2339,"&gt;"&amp;0),""))</f>
        <v/>
      </c>
      <c r="L2339" s="11" t="n"/>
    </row>
    <row r="2340" ht="14" customHeight="1" s="72">
      <c r="A2340" s="80" t="n"/>
      <c r="B2340" s="81" t="n"/>
      <c r="C2340" s="69">
        <f>IF(B2340="","",IFERROR(INDEX(Client_List!$B:$B,MATCH(B2340,Client_List!$A:$A,0)),"⚠ NOT FOUND"))</f>
        <v/>
      </c>
      <c r="D2340" s="45" t="n"/>
      <c r="E2340" s="32">
        <f>IF(B2340="","",IFERROR(INDEX(Client_List!$C:$C,MATCH(VALUE(B2340),Client_List!$A:$A,0)),""))</f>
        <v/>
      </c>
      <c r="F2340" s="53">
        <f>IF(B2340="","",IFERROR(INDEX(Client_List!$D:$D,MATCH(VALUE(B2340),Client_List!$A:$A,0)),""))</f>
        <v/>
      </c>
      <c r="G2340" s="53">
        <f>IF(B2340="","",IFERROR(INDEX(Client_List!$K:$K,MATCH(VALUE(B2340),Client_List!$A:$A,0)),""))</f>
        <v/>
      </c>
      <c r="H2340" s="32">
        <f>IF(B2340="","",IFERROR(INDEX(Client_List!$J:$J,MATCH(VALUE(B2340),Client_List!$A:$A,0)),""))</f>
        <v/>
      </c>
      <c r="I2340" s="70">
        <f>IF(B2340="","",IFERROR(A2340-LOOKUP(2,1/($B$4:$B2339=B2340),$A$4:$A2339),""))</f>
        <v/>
      </c>
      <c r="J2340" s="32">
        <f>IF(B2340="","",IFERROR(D2340/I2340,""))</f>
        <v/>
      </c>
      <c r="K2340" s="71">
        <f>IF(B2340="","",IFERROR(AVERAGEIFS($J$4:$J2340,$B$4:$B2340,B2340,$J$4:$J2340,"&gt;"&amp;0),""))</f>
        <v/>
      </c>
      <c r="L2340" s="12" t="n"/>
    </row>
    <row r="2341" ht="14" customHeight="1" s="72">
      <c r="A2341" s="78" t="n"/>
      <c r="B2341" s="79" t="n"/>
      <c r="C2341" s="69">
        <f>IF(B2341="","",IFERROR(INDEX(Client_List!$B:$B,MATCH(B2341,Client_List!$A:$A,0)),"⚠ NOT FOUND"))</f>
        <v/>
      </c>
      <c r="D2341" s="44" t="n"/>
      <c r="E2341" s="32">
        <f>IF(B2341="","",IFERROR(INDEX(Client_List!$C:$C,MATCH(VALUE(B2341),Client_List!$A:$A,0)),""))</f>
        <v/>
      </c>
      <c r="F2341" s="53">
        <f>IF(B2341="","",IFERROR(INDEX(Client_List!$D:$D,MATCH(VALUE(B2341),Client_List!$A:$A,0)),""))</f>
        <v/>
      </c>
      <c r="G2341" s="53">
        <f>IF(B2341="","",IFERROR(INDEX(Client_List!$K:$K,MATCH(VALUE(B2341),Client_List!$A:$A,0)),""))</f>
        <v/>
      </c>
      <c r="H2341" s="32">
        <f>IF(B2341="","",IFERROR(INDEX(Client_List!$J:$J,MATCH(VALUE(B2341),Client_List!$A:$A,0)),""))</f>
        <v/>
      </c>
      <c r="I2341" s="70">
        <f>IF(B2341="","",IFERROR(A2341-LOOKUP(2,1/($B$4:$B2340=B2341),$A$4:$A2340),""))</f>
        <v/>
      </c>
      <c r="J2341" s="32">
        <f>IF(B2341="","",IFERROR(D2341/I2341,""))</f>
        <v/>
      </c>
      <c r="K2341" s="71">
        <f>IF(B2341="","",IFERROR(AVERAGEIFS($J$4:$J2341,$B$4:$B2341,B2341,$J$4:$J2341,"&gt;"&amp;0),""))</f>
        <v/>
      </c>
      <c r="L2341" s="11" t="n"/>
    </row>
    <row r="2342" ht="14" customHeight="1" s="72">
      <c r="A2342" s="80" t="n"/>
      <c r="B2342" s="81" t="n"/>
      <c r="C2342" s="69">
        <f>IF(B2342="","",IFERROR(INDEX(Client_List!$B:$B,MATCH(B2342,Client_List!$A:$A,0)),"⚠ NOT FOUND"))</f>
        <v/>
      </c>
      <c r="D2342" s="45" t="n"/>
      <c r="E2342" s="32">
        <f>IF(B2342="","",IFERROR(INDEX(Client_List!$C:$C,MATCH(VALUE(B2342),Client_List!$A:$A,0)),""))</f>
        <v/>
      </c>
      <c r="F2342" s="53">
        <f>IF(B2342="","",IFERROR(INDEX(Client_List!$D:$D,MATCH(VALUE(B2342),Client_List!$A:$A,0)),""))</f>
        <v/>
      </c>
      <c r="G2342" s="53">
        <f>IF(B2342="","",IFERROR(INDEX(Client_List!$K:$K,MATCH(VALUE(B2342),Client_List!$A:$A,0)),""))</f>
        <v/>
      </c>
      <c r="H2342" s="32">
        <f>IF(B2342="","",IFERROR(INDEX(Client_List!$J:$J,MATCH(VALUE(B2342),Client_List!$A:$A,0)),""))</f>
        <v/>
      </c>
      <c r="I2342" s="70">
        <f>IF(B2342="","",IFERROR(A2342-LOOKUP(2,1/($B$4:$B2341=B2342),$A$4:$A2341),""))</f>
        <v/>
      </c>
      <c r="J2342" s="32">
        <f>IF(B2342="","",IFERROR(D2342/I2342,""))</f>
        <v/>
      </c>
      <c r="K2342" s="71">
        <f>IF(B2342="","",IFERROR(AVERAGEIFS($J$4:$J2342,$B$4:$B2342,B2342,$J$4:$J2342,"&gt;"&amp;0),""))</f>
        <v/>
      </c>
      <c r="L2342" s="12" t="n"/>
    </row>
    <row r="2343" ht="14" customHeight="1" s="72">
      <c r="A2343" s="78" t="n"/>
      <c r="B2343" s="79" t="n"/>
      <c r="C2343" s="69">
        <f>IF(B2343="","",IFERROR(INDEX(Client_List!$B:$B,MATCH(B2343,Client_List!$A:$A,0)),"⚠ NOT FOUND"))</f>
        <v/>
      </c>
      <c r="D2343" s="44" t="n"/>
      <c r="E2343" s="32">
        <f>IF(B2343="","",IFERROR(INDEX(Client_List!$C:$C,MATCH(VALUE(B2343),Client_List!$A:$A,0)),""))</f>
        <v/>
      </c>
      <c r="F2343" s="53">
        <f>IF(B2343="","",IFERROR(INDEX(Client_List!$D:$D,MATCH(VALUE(B2343),Client_List!$A:$A,0)),""))</f>
        <v/>
      </c>
      <c r="G2343" s="53">
        <f>IF(B2343="","",IFERROR(INDEX(Client_List!$K:$K,MATCH(VALUE(B2343),Client_List!$A:$A,0)),""))</f>
        <v/>
      </c>
      <c r="H2343" s="32">
        <f>IF(B2343="","",IFERROR(INDEX(Client_List!$J:$J,MATCH(VALUE(B2343),Client_List!$A:$A,0)),""))</f>
        <v/>
      </c>
      <c r="I2343" s="70">
        <f>IF(B2343="","",IFERROR(A2343-LOOKUP(2,1/($B$4:$B2342=B2343),$A$4:$A2342),""))</f>
        <v/>
      </c>
      <c r="J2343" s="32">
        <f>IF(B2343="","",IFERROR(D2343/I2343,""))</f>
        <v/>
      </c>
      <c r="K2343" s="71">
        <f>IF(B2343="","",IFERROR(AVERAGEIFS($J$4:$J2343,$B$4:$B2343,B2343,$J$4:$J2343,"&gt;"&amp;0),""))</f>
        <v/>
      </c>
      <c r="L2343" s="11" t="n"/>
    </row>
    <row r="2344" ht="14" customHeight="1" s="72">
      <c r="A2344" s="80" t="n"/>
      <c r="B2344" s="81" t="n"/>
      <c r="C2344" s="69">
        <f>IF(B2344="","",IFERROR(INDEX(Client_List!$B:$B,MATCH(B2344,Client_List!$A:$A,0)),"⚠ NOT FOUND"))</f>
        <v/>
      </c>
      <c r="D2344" s="45" t="n"/>
      <c r="E2344" s="32">
        <f>IF(B2344="","",IFERROR(INDEX(Client_List!$C:$C,MATCH(VALUE(B2344),Client_List!$A:$A,0)),""))</f>
        <v/>
      </c>
      <c r="F2344" s="53">
        <f>IF(B2344="","",IFERROR(INDEX(Client_List!$D:$D,MATCH(VALUE(B2344),Client_List!$A:$A,0)),""))</f>
        <v/>
      </c>
      <c r="G2344" s="53">
        <f>IF(B2344="","",IFERROR(INDEX(Client_List!$K:$K,MATCH(VALUE(B2344),Client_List!$A:$A,0)),""))</f>
        <v/>
      </c>
      <c r="H2344" s="32">
        <f>IF(B2344="","",IFERROR(INDEX(Client_List!$J:$J,MATCH(VALUE(B2344),Client_List!$A:$A,0)),""))</f>
        <v/>
      </c>
      <c r="I2344" s="70">
        <f>IF(B2344="","",IFERROR(A2344-LOOKUP(2,1/($B$4:$B2343=B2344),$A$4:$A2343),""))</f>
        <v/>
      </c>
      <c r="J2344" s="32">
        <f>IF(B2344="","",IFERROR(D2344/I2344,""))</f>
        <v/>
      </c>
      <c r="K2344" s="71">
        <f>IF(B2344="","",IFERROR(AVERAGEIFS($J$4:$J2344,$B$4:$B2344,B2344,$J$4:$J2344,"&gt;"&amp;0),""))</f>
        <v/>
      </c>
      <c r="L2344" s="12" t="n"/>
    </row>
    <row r="2345" ht="14" customHeight="1" s="72">
      <c r="A2345" s="78" t="n"/>
      <c r="B2345" s="79" t="n"/>
      <c r="C2345" s="69">
        <f>IF(B2345="","",IFERROR(INDEX(Client_List!$B:$B,MATCH(B2345,Client_List!$A:$A,0)),"⚠ NOT FOUND"))</f>
        <v/>
      </c>
      <c r="D2345" s="44" t="n"/>
      <c r="E2345" s="32">
        <f>IF(B2345="","",IFERROR(INDEX(Client_List!$C:$C,MATCH(VALUE(B2345),Client_List!$A:$A,0)),""))</f>
        <v/>
      </c>
      <c r="F2345" s="53">
        <f>IF(B2345="","",IFERROR(INDEX(Client_List!$D:$D,MATCH(VALUE(B2345),Client_List!$A:$A,0)),""))</f>
        <v/>
      </c>
      <c r="G2345" s="53">
        <f>IF(B2345="","",IFERROR(INDEX(Client_List!$K:$K,MATCH(VALUE(B2345),Client_List!$A:$A,0)),""))</f>
        <v/>
      </c>
      <c r="H2345" s="32">
        <f>IF(B2345="","",IFERROR(INDEX(Client_List!$J:$J,MATCH(VALUE(B2345),Client_List!$A:$A,0)),""))</f>
        <v/>
      </c>
      <c r="I2345" s="70">
        <f>IF(B2345="","",IFERROR(A2345-LOOKUP(2,1/($B$4:$B2344=B2345),$A$4:$A2344),""))</f>
        <v/>
      </c>
      <c r="J2345" s="32">
        <f>IF(B2345="","",IFERROR(D2345/I2345,""))</f>
        <v/>
      </c>
      <c r="K2345" s="71">
        <f>IF(B2345="","",IFERROR(AVERAGEIFS($J$4:$J2345,$B$4:$B2345,B2345,$J$4:$J2345,"&gt;"&amp;0),""))</f>
        <v/>
      </c>
      <c r="L2345" s="11" t="n"/>
    </row>
    <row r="2346" ht="14" customHeight="1" s="72">
      <c r="A2346" s="80" t="n"/>
      <c r="B2346" s="81" t="n"/>
      <c r="C2346" s="69">
        <f>IF(B2346="","",IFERROR(INDEX(Client_List!$B:$B,MATCH(B2346,Client_List!$A:$A,0)),"⚠ NOT FOUND"))</f>
        <v/>
      </c>
      <c r="D2346" s="45" t="n"/>
      <c r="E2346" s="32">
        <f>IF(B2346="","",IFERROR(INDEX(Client_List!$C:$C,MATCH(VALUE(B2346),Client_List!$A:$A,0)),""))</f>
        <v/>
      </c>
      <c r="F2346" s="53">
        <f>IF(B2346="","",IFERROR(INDEX(Client_List!$D:$D,MATCH(VALUE(B2346),Client_List!$A:$A,0)),""))</f>
        <v/>
      </c>
      <c r="G2346" s="53">
        <f>IF(B2346="","",IFERROR(INDEX(Client_List!$K:$K,MATCH(VALUE(B2346),Client_List!$A:$A,0)),""))</f>
        <v/>
      </c>
      <c r="H2346" s="32">
        <f>IF(B2346="","",IFERROR(INDEX(Client_List!$J:$J,MATCH(VALUE(B2346),Client_List!$A:$A,0)),""))</f>
        <v/>
      </c>
      <c r="I2346" s="70">
        <f>IF(B2346="","",IFERROR(A2346-LOOKUP(2,1/($B$4:$B2345=B2346),$A$4:$A2345),""))</f>
        <v/>
      </c>
      <c r="J2346" s="32">
        <f>IF(B2346="","",IFERROR(D2346/I2346,""))</f>
        <v/>
      </c>
      <c r="K2346" s="71">
        <f>IF(B2346="","",IFERROR(AVERAGEIFS($J$4:$J2346,$B$4:$B2346,B2346,$J$4:$J2346,"&gt;"&amp;0),""))</f>
        <v/>
      </c>
      <c r="L2346" s="12" t="n"/>
    </row>
    <row r="2347" ht="14" customHeight="1" s="72">
      <c r="A2347" s="78" t="n"/>
      <c r="B2347" s="79" t="n"/>
      <c r="C2347" s="69">
        <f>IF(B2347="","",IFERROR(INDEX(Client_List!$B:$B,MATCH(B2347,Client_List!$A:$A,0)),"⚠ NOT FOUND"))</f>
        <v/>
      </c>
      <c r="D2347" s="44" t="n"/>
      <c r="E2347" s="32">
        <f>IF(B2347="","",IFERROR(INDEX(Client_List!$C:$C,MATCH(VALUE(B2347),Client_List!$A:$A,0)),""))</f>
        <v/>
      </c>
      <c r="F2347" s="53">
        <f>IF(B2347="","",IFERROR(INDEX(Client_List!$D:$D,MATCH(VALUE(B2347),Client_List!$A:$A,0)),""))</f>
        <v/>
      </c>
      <c r="G2347" s="53">
        <f>IF(B2347="","",IFERROR(INDEX(Client_List!$K:$K,MATCH(VALUE(B2347),Client_List!$A:$A,0)),""))</f>
        <v/>
      </c>
      <c r="H2347" s="32">
        <f>IF(B2347="","",IFERROR(INDEX(Client_List!$J:$J,MATCH(VALUE(B2347),Client_List!$A:$A,0)),""))</f>
        <v/>
      </c>
      <c r="I2347" s="70">
        <f>IF(B2347="","",IFERROR(A2347-LOOKUP(2,1/($B$4:$B2346=B2347),$A$4:$A2346),""))</f>
        <v/>
      </c>
      <c r="J2347" s="32">
        <f>IF(B2347="","",IFERROR(D2347/I2347,""))</f>
        <v/>
      </c>
      <c r="K2347" s="71">
        <f>IF(B2347="","",IFERROR(AVERAGEIFS($J$4:$J2347,$B$4:$B2347,B2347,$J$4:$J2347,"&gt;"&amp;0),""))</f>
        <v/>
      </c>
      <c r="L2347" s="11" t="n"/>
    </row>
    <row r="2348" ht="14" customHeight="1" s="72">
      <c r="A2348" s="80" t="n"/>
      <c r="B2348" s="81" t="n"/>
      <c r="C2348" s="69">
        <f>IF(B2348="","",IFERROR(INDEX(Client_List!$B:$B,MATCH(B2348,Client_List!$A:$A,0)),"⚠ NOT FOUND"))</f>
        <v/>
      </c>
      <c r="D2348" s="45" t="n"/>
      <c r="E2348" s="32">
        <f>IF(B2348="","",IFERROR(INDEX(Client_List!$C:$C,MATCH(VALUE(B2348),Client_List!$A:$A,0)),""))</f>
        <v/>
      </c>
      <c r="F2348" s="53">
        <f>IF(B2348="","",IFERROR(INDEX(Client_List!$D:$D,MATCH(VALUE(B2348),Client_List!$A:$A,0)),""))</f>
        <v/>
      </c>
      <c r="G2348" s="53">
        <f>IF(B2348="","",IFERROR(INDEX(Client_List!$K:$K,MATCH(VALUE(B2348),Client_List!$A:$A,0)),""))</f>
        <v/>
      </c>
      <c r="H2348" s="32">
        <f>IF(B2348="","",IFERROR(INDEX(Client_List!$J:$J,MATCH(VALUE(B2348),Client_List!$A:$A,0)),""))</f>
        <v/>
      </c>
      <c r="I2348" s="70">
        <f>IF(B2348="","",IFERROR(A2348-LOOKUP(2,1/($B$4:$B2347=B2348),$A$4:$A2347),""))</f>
        <v/>
      </c>
      <c r="J2348" s="32">
        <f>IF(B2348="","",IFERROR(D2348/I2348,""))</f>
        <v/>
      </c>
      <c r="K2348" s="71">
        <f>IF(B2348="","",IFERROR(AVERAGEIFS($J$4:$J2348,$B$4:$B2348,B2348,$J$4:$J2348,"&gt;"&amp;0),""))</f>
        <v/>
      </c>
      <c r="L2348" s="12" t="n"/>
    </row>
    <row r="2349" ht="14" customHeight="1" s="72">
      <c r="A2349" s="78" t="n"/>
      <c r="B2349" s="79" t="n"/>
      <c r="C2349" s="69">
        <f>IF(B2349="","",IFERROR(INDEX(Client_List!$B:$B,MATCH(B2349,Client_List!$A:$A,0)),"⚠ NOT FOUND"))</f>
        <v/>
      </c>
      <c r="D2349" s="44" t="n"/>
      <c r="E2349" s="32">
        <f>IF(B2349="","",IFERROR(INDEX(Client_List!$C:$C,MATCH(VALUE(B2349),Client_List!$A:$A,0)),""))</f>
        <v/>
      </c>
      <c r="F2349" s="53">
        <f>IF(B2349="","",IFERROR(INDEX(Client_List!$D:$D,MATCH(VALUE(B2349),Client_List!$A:$A,0)),""))</f>
        <v/>
      </c>
      <c r="G2349" s="53">
        <f>IF(B2349="","",IFERROR(INDEX(Client_List!$K:$K,MATCH(VALUE(B2349),Client_List!$A:$A,0)),""))</f>
        <v/>
      </c>
      <c r="H2349" s="32">
        <f>IF(B2349="","",IFERROR(INDEX(Client_List!$J:$J,MATCH(VALUE(B2349),Client_List!$A:$A,0)),""))</f>
        <v/>
      </c>
      <c r="I2349" s="70">
        <f>IF(B2349="","",IFERROR(A2349-LOOKUP(2,1/($B$4:$B2348=B2349),$A$4:$A2348),""))</f>
        <v/>
      </c>
      <c r="J2349" s="32">
        <f>IF(B2349="","",IFERROR(D2349/I2349,""))</f>
        <v/>
      </c>
      <c r="K2349" s="71">
        <f>IF(B2349="","",IFERROR(AVERAGEIFS($J$4:$J2349,$B$4:$B2349,B2349,$J$4:$J2349,"&gt;"&amp;0),""))</f>
        <v/>
      </c>
      <c r="L2349" s="11" t="n"/>
    </row>
    <row r="2350" ht="14" customHeight="1" s="72">
      <c r="A2350" s="80" t="n"/>
      <c r="B2350" s="81" t="n"/>
      <c r="C2350" s="69">
        <f>IF(B2350="","",IFERROR(INDEX(Client_List!$B:$B,MATCH(B2350,Client_List!$A:$A,0)),"⚠ NOT FOUND"))</f>
        <v/>
      </c>
      <c r="D2350" s="45" t="n"/>
      <c r="E2350" s="32">
        <f>IF(B2350="","",IFERROR(INDEX(Client_List!$C:$C,MATCH(VALUE(B2350),Client_List!$A:$A,0)),""))</f>
        <v/>
      </c>
      <c r="F2350" s="53">
        <f>IF(B2350="","",IFERROR(INDEX(Client_List!$D:$D,MATCH(VALUE(B2350),Client_List!$A:$A,0)),""))</f>
        <v/>
      </c>
      <c r="G2350" s="53">
        <f>IF(B2350="","",IFERROR(INDEX(Client_List!$K:$K,MATCH(VALUE(B2350),Client_List!$A:$A,0)),""))</f>
        <v/>
      </c>
      <c r="H2350" s="32">
        <f>IF(B2350="","",IFERROR(INDEX(Client_List!$J:$J,MATCH(VALUE(B2350),Client_List!$A:$A,0)),""))</f>
        <v/>
      </c>
      <c r="I2350" s="70">
        <f>IF(B2350="","",IFERROR(A2350-LOOKUP(2,1/($B$4:$B2349=B2350),$A$4:$A2349),""))</f>
        <v/>
      </c>
      <c r="J2350" s="32">
        <f>IF(B2350="","",IFERROR(D2350/I2350,""))</f>
        <v/>
      </c>
      <c r="K2350" s="71">
        <f>IF(B2350="","",IFERROR(AVERAGEIFS($J$4:$J2350,$B$4:$B2350,B2350,$J$4:$J2350,"&gt;"&amp;0),""))</f>
        <v/>
      </c>
      <c r="L2350" s="12" t="n"/>
    </row>
    <row r="2351" ht="14" customHeight="1" s="72">
      <c r="A2351" s="78" t="n"/>
      <c r="B2351" s="79" t="n"/>
      <c r="C2351" s="69">
        <f>IF(B2351="","",IFERROR(INDEX(Client_List!$B:$B,MATCH(B2351,Client_List!$A:$A,0)),"⚠ NOT FOUND"))</f>
        <v/>
      </c>
      <c r="D2351" s="44" t="n"/>
      <c r="E2351" s="32">
        <f>IF(B2351="","",IFERROR(INDEX(Client_List!$C:$C,MATCH(VALUE(B2351),Client_List!$A:$A,0)),""))</f>
        <v/>
      </c>
      <c r="F2351" s="53">
        <f>IF(B2351="","",IFERROR(INDEX(Client_List!$D:$D,MATCH(VALUE(B2351),Client_List!$A:$A,0)),""))</f>
        <v/>
      </c>
      <c r="G2351" s="53">
        <f>IF(B2351="","",IFERROR(INDEX(Client_List!$K:$K,MATCH(VALUE(B2351),Client_List!$A:$A,0)),""))</f>
        <v/>
      </c>
      <c r="H2351" s="32">
        <f>IF(B2351="","",IFERROR(INDEX(Client_List!$J:$J,MATCH(VALUE(B2351),Client_List!$A:$A,0)),""))</f>
        <v/>
      </c>
      <c r="I2351" s="70">
        <f>IF(B2351="","",IFERROR(A2351-LOOKUP(2,1/($B$4:$B2350=B2351),$A$4:$A2350),""))</f>
        <v/>
      </c>
      <c r="J2351" s="32">
        <f>IF(B2351="","",IFERROR(D2351/I2351,""))</f>
        <v/>
      </c>
      <c r="K2351" s="71">
        <f>IF(B2351="","",IFERROR(AVERAGEIFS($J$4:$J2351,$B$4:$B2351,B2351,$J$4:$J2351,"&gt;"&amp;0),""))</f>
        <v/>
      </c>
      <c r="L2351" s="11" t="n"/>
    </row>
    <row r="2352" ht="14" customHeight="1" s="72">
      <c r="A2352" s="80" t="n"/>
      <c r="B2352" s="81" t="n"/>
      <c r="C2352" s="69">
        <f>IF(B2352="","",IFERROR(INDEX(Client_List!$B:$B,MATCH(B2352,Client_List!$A:$A,0)),"⚠ NOT FOUND"))</f>
        <v/>
      </c>
      <c r="D2352" s="45" t="n"/>
      <c r="E2352" s="32">
        <f>IF(B2352="","",IFERROR(INDEX(Client_List!$C:$C,MATCH(VALUE(B2352),Client_List!$A:$A,0)),""))</f>
        <v/>
      </c>
      <c r="F2352" s="53">
        <f>IF(B2352="","",IFERROR(INDEX(Client_List!$D:$D,MATCH(VALUE(B2352),Client_List!$A:$A,0)),""))</f>
        <v/>
      </c>
      <c r="G2352" s="53">
        <f>IF(B2352="","",IFERROR(INDEX(Client_List!$K:$K,MATCH(VALUE(B2352),Client_List!$A:$A,0)),""))</f>
        <v/>
      </c>
      <c r="H2352" s="32">
        <f>IF(B2352="","",IFERROR(INDEX(Client_List!$J:$J,MATCH(VALUE(B2352),Client_List!$A:$A,0)),""))</f>
        <v/>
      </c>
      <c r="I2352" s="70">
        <f>IF(B2352="","",IFERROR(A2352-LOOKUP(2,1/($B$4:$B2351=B2352),$A$4:$A2351),""))</f>
        <v/>
      </c>
      <c r="J2352" s="32">
        <f>IF(B2352="","",IFERROR(D2352/I2352,""))</f>
        <v/>
      </c>
      <c r="K2352" s="71">
        <f>IF(B2352="","",IFERROR(AVERAGEIFS($J$4:$J2352,$B$4:$B2352,B2352,$J$4:$J2352,"&gt;"&amp;0),""))</f>
        <v/>
      </c>
      <c r="L2352" s="12" t="n"/>
    </row>
    <row r="2353" ht="14" customHeight="1" s="72">
      <c r="A2353" s="78" t="n"/>
      <c r="B2353" s="79" t="n"/>
      <c r="C2353" s="69">
        <f>IF(B2353="","",IFERROR(INDEX(Client_List!$B:$B,MATCH(B2353,Client_List!$A:$A,0)),"⚠ NOT FOUND"))</f>
        <v/>
      </c>
      <c r="D2353" s="44" t="n"/>
      <c r="E2353" s="32">
        <f>IF(B2353="","",IFERROR(INDEX(Client_List!$C:$C,MATCH(VALUE(B2353),Client_List!$A:$A,0)),""))</f>
        <v/>
      </c>
      <c r="F2353" s="53">
        <f>IF(B2353="","",IFERROR(INDEX(Client_List!$D:$D,MATCH(VALUE(B2353),Client_List!$A:$A,0)),""))</f>
        <v/>
      </c>
      <c r="G2353" s="53">
        <f>IF(B2353="","",IFERROR(INDEX(Client_List!$K:$K,MATCH(VALUE(B2353),Client_List!$A:$A,0)),""))</f>
        <v/>
      </c>
      <c r="H2353" s="32">
        <f>IF(B2353="","",IFERROR(INDEX(Client_List!$J:$J,MATCH(VALUE(B2353),Client_List!$A:$A,0)),""))</f>
        <v/>
      </c>
      <c r="I2353" s="70">
        <f>IF(B2353="","",IFERROR(A2353-LOOKUP(2,1/($B$4:$B2352=B2353),$A$4:$A2352),""))</f>
        <v/>
      </c>
      <c r="J2353" s="32">
        <f>IF(B2353="","",IFERROR(D2353/I2353,""))</f>
        <v/>
      </c>
      <c r="K2353" s="71">
        <f>IF(B2353="","",IFERROR(AVERAGEIFS($J$4:$J2353,$B$4:$B2353,B2353,$J$4:$J2353,"&gt;"&amp;0),""))</f>
        <v/>
      </c>
      <c r="L2353" s="11" t="n"/>
    </row>
    <row r="2354" ht="14" customHeight="1" s="72">
      <c r="A2354" s="80" t="n"/>
      <c r="B2354" s="81" t="n"/>
      <c r="C2354" s="69">
        <f>IF(B2354="","",IFERROR(INDEX(Client_List!$B:$B,MATCH(B2354,Client_List!$A:$A,0)),"⚠ NOT FOUND"))</f>
        <v/>
      </c>
      <c r="D2354" s="45" t="n"/>
      <c r="E2354" s="32">
        <f>IF(B2354="","",IFERROR(INDEX(Client_List!$C:$C,MATCH(VALUE(B2354),Client_List!$A:$A,0)),""))</f>
        <v/>
      </c>
      <c r="F2354" s="53">
        <f>IF(B2354="","",IFERROR(INDEX(Client_List!$D:$D,MATCH(VALUE(B2354),Client_List!$A:$A,0)),""))</f>
        <v/>
      </c>
      <c r="G2354" s="53">
        <f>IF(B2354="","",IFERROR(INDEX(Client_List!$K:$K,MATCH(VALUE(B2354),Client_List!$A:$A,0)),""))</f>
        <v/>
      </c>
      <c r="H2354" s="32">
        <f>IF(B2354="","",IFERROR(INDEX(Client_List!$J:$J,MATCH(VALUE(B2354),Client_List!$A:$A,0)),""))</f>
        <v/>
      </c>
      <c r="I2354" s="70">
        <f>IF(B2354="","",IFERROR(A2354-LOOKUP(2,1/($B$4:$B2353=B2354),$A$4:$A2353),""))</f>
        <v/>
      </c>
      <c r="J2354" s="32">
        <f>IF(B2354="","",IFERROR(D2354/I2354,""))</f>
        <v/>
      </c>
      <c r="K2354" s="71">
        <f>IF(B2354="","",IFERROR(AVERAGEIFS($J$4:$J2354,$B$4:$B2354,B2354,$J$4:$J2354,"&gt;"&amp;0),""))</f>
        <v/>
      </c>
      <c r="L2354" s="12" t="n"/>
    </row>
    <row r="2355" ht="14" customHeight="1" s="72">
      <c r="A2355" s="78" t="n"/>
      <c r="B2355" s="79" t="n"/>
      <c r="C2355" s="69">
        <f>IF(B2355="","",IFERROR(INDEX(Client_List!$B:$B,MATCH(B2355,Client_List!$A:$A,0)),"⚠ NOT FOUND"))</f>
        <v/>
      </c>
      <c r="D2355" s="44" t="n"/>
      <c r="E2355" s="32">
        <f>IF(B2355="","",IFERROR(INDEX(Client_List!$C:$C,MATCH(VALUE(B2355),Client_List!$A:$A,0)),""))</f>
        <v/>
      </c>
      <c r="F2355" s="53">
        <f>IF(B2355="","",IFERROR(INDEX(Client_List!$D:$D,MATCH(VALUE(B2355),Client_List!$A:$A,0)),""))</f>
        <v/>
      </c>
      <c r="G2355" s="53">
        <f>IF(B2355="","",IFERROR(INDEX(Client_List!$K:$K,MATCH(VALUE(B2355),Client_List!$A:$A,0)),""))</f>
        <v/>
      </c>
      <c r="H2355" s="32">
        <f>IF(B2355="","",IFERROR(INDEX(Client_List!$J:$J,MATCH(VALUE(B2355),Client_List!$A:$A,0)),""))</f>
        <v/>
      </c>
      <c r="I2355" s="70">
        <f>IF(B2355="","",IFERROR(A2355-LOOKUP(2,1/($B$4:$B2354=B2355),$A$4:$A2354),""))</f>
        <v/>
      </c>
      <c r="J2355" s="32">
        <f>IF(B2355="","",IFERROR(D2355/I2355,""))</f>
        <v/>
      </c>
      <c r="K2355" s="71">
        <f>IF(B2355="","",IFERROR(AVERAGEIFS($J$4:$J2355,$B$4:$B2355,B2355,$J$4:$J2355,"&gt;"&amp;0),""))</f>
        <v/>
      </c>
      <c r="L2355" s="11" t="n"/>
    </row>
    <row r="2356" ht="14" customHeight="1" s="72">
      <c r="A2356" s="80" t="n"/>
      <c r="B2356" s="81" t="n"/>
      <c r="C2356" s="69">
        <f>IF(B2356="","",IFERROR(INDEX(Client_List!$B:$B,MATCH(B2356,Client_List!$A:$A,0)),"⚠ NOT FOUND"))</f>
        <v/>
      </c>
      <c r="D2356" s="45" t="n"/>
      <c r="E2356" s="32">
        <f>IF(B2356="","",IFERROR(INDEX(Client_List!$C:$C,MATCH(VALUE(B2356),Client_List!$A:$A,0)),""))</f>
        <v/>
      </c>
      <c r="F2356" s="53">
        <f>IF(B2356="","",IFERROR(INDEX(Client_List!$D:$D,MATCH(VALUE(B2356),Client_List!$A:$A,0)),""))</f>
        <v/>
      </c>
      <c r="G2356" s="53">
        <f>IF(B2356="","",IFERROR(INDEX(Client_List!$K:$K,MATCH(VALUE(B2356),Client_List!$A:$A,0)),""))</f>
        <v/>
      </c>
      <c r="H2356" s="32">
        <f>IF(B2356="","",IFERROR(INDEX(Client_List!$J:$J,MATCH(VALUE(B2356),Client_List!$A:$A,0)),""))</f>
        <v/>
      </c>
      <c r="I2356" s="70">
        <f>IF(B2356="","",IFERROR(A2356-LOOKUP(2,1/($B$4:$B2355=B2356),$A$4:$A2355),""))</f>
        <v/>
      </c>
      <c r="J2356" s="32">
        <f>IF(B2356="","",IFERROR(D2356/I2356,""))</f>
        <v/>
      </c>
      <c r="K2356" s="71">
        <f>IF(B2356="","",IFERROR(AVERAGEIFS($J$4:$J2356,$B$4:$B2356,B2356,$J$4:$J2356,"&gt;"&amp;0),""))</f>
        <v/>
      </c>
      <c r="L2356" s="12" t="n"/>
    </row>
    <row r="2357" ht="14" customHeight="1" s="72">
      <c r="A2357" s="78" t="n"/>
      <c r="B2357" s="79" t="n"/>
      <c r="C2357" s="69">
        <f>IF(B2357="","",IFERROR(INDEX(Client_List!$B:$B,MATCH(B2357,Client_List!$A:$A,0)),"⚠ NOT FOUND"))</f>
        <v/>
      </c>
      <c r="D2357" s="44" t="n"/>
      <c r="E2357" s="32">
        <f>IF(B2357="","",IFERROR(INDEX(Client_List!$C:$C,MATCH(VALUE(B2357),Client_List!$A:$A,0)),""))</f>
        <v/>
      </c>
      <c r="F2357" s="53">
        <f>IF(B2357="","",IFERROR(INDEX(Client_List!$D:$D,MATCH(VALUE(B2357),Client_List!$A:$A,0)),""))</f>
        <v/>
      </c>
      <c r="G2357" s="53">
        <f>IF(B2357="","",IFERROR(INDEX(Client_List!$K:$K,MATCH(VALUE(B2357),Client_List!$A:$A,0)),""))</f>
        <v/>
      </c>
      <c r="H2357" s="32">
        <f>IF(B2357="","",IFERROR(INDEX(Client_List!$J:$J,MATCH(VALUE(B2357),Client_List!$A:$A,0)),""))</f>
        <v/>
      </c>
      <c r="I2357" s="70">
        <f>IF(B2357="","",IFERROR(A2357-LOOKUP(2,1/($B$4:$B2356=B2357),$A$4:$A2356),""))</f>
        <v/>
      </c>
      <c r="J2357" s="32">
        <f>IF(B2357="","",IFERROR(D2357/I2357,""))</f>
        <v/>
      </c>
      <c r="K2357" s="71">
        <f>IF(B2357="","",IFERROR(AVERAGEIFS($J$4:$J2357,$B$4:$B2357,B2357,$J$4:$J2357,"&gt;"&amp;0),""))</f>
        <v/>
      </c>
      <c r="L2357" s="11" t="n"/>
    </row>
    <row r="2358" ht="14" customHeight="1" s="72">
      <c r="A2358" s="80" t="n"/>
      <c r="B2358" s="81" t="n"/>
      <c r="C2358" s="69">
        <f>IF(B2358="","",IFERROR(INDEX(Client_List!$B:$B,MATCH(B2358,Client_List!$A:$A,0)),"⚠ NOT FOUND"))</f>
        <v/>
      </c>
      <c r="D2358" s="45" t="n"/>
      <c r="E2358" s="32">
        <f>IF(B2358="","",IFERROR(INDEX(Client_List!$C:$C,MATCH(VALUE(B2358),Client_List!$A:$A,0)),""))</f>
        <v/>
      </c>
      <c r="F2358" s="53">
        <f>IF(B2358="","",IFERROR(INDEX(Client_List!$D:$D,MATCH(VALUE(B2358),Client_List!$A:$A,0)),""))</f>
        <v/>
      </c>
      <c r="G2358" s="53">
        <f>IF(B2358="","",IFERROR(INDEX(Client_List!$K:$K,MATCH(VALUE(B2358),Client_List!$A:$A,0)),""))</f>
        <v/>
      </c>
      <c r="H2358" s="32">
        <f>IF(B2358="","",IFERROR(INDEX(Client_List!$J:$J,MATCH(VALUE(B2358),Client_List!$A:$A,0)),""))</f>
        <v/>
      </c>
      <c r="I2358" s="70">
        <f>IF(B2358="","",IFERROR(A2358-LOOKUP(2,1/($B$4:$B2357=B2358),$A$4:$A2357),""))</f>
        <v/>
      </c>
      <c r="J2358" s="32">
        <f>IF(B2358="","",IFERROR(D2358/I2358,""))</f>
        <v/>
      </c>
      <c r="K2358" s="71">
        <f>IF(B2358="","",IFERROR(AVERAGEIFS($J$4:$J2358,$B$4:$B2358,B2358,$J$4:$J2358,"&gt;"&amp;0),""))</f>
        <v/>
      </c>
      <c r="L2358" s="12" t="n"/>
    </row>
    <row r="2359" ht="14" customHeight="1" s="72">
      <c r="A2359" s="78" t="n"/>
      <c r="B2359" s="79" t="n"/>
      <c r="C2359" s="69">
        <f>IF(B2359="","",IFERROR(INDEX(Client_List!$B:$B,MATCH(B2359,Client_List!$A:$A,0)),"⚠ NOT FOUND"))</f>
        <v/>
      </c>
      <c r="D2359" s="44" t="n"/>
      <c r="E2359" s="32">
        <f>IF(B2359="","",IFERROR(INDEX(Client_List!$C:$C,MATCH(VALUE(B2359),Client_List!$A:$A,0)),""))</f>
        <v/>
      </c>
      <c r="F2359" s="53">
        <f>IF(B2359="","",IFERROR(INDEX(Client_List!$D:$D,MATCH(VALUE(B2359),Client_List!$A:$A,0)),""))</f>
        <v/>
      </c>
      <c r="G2359" s="53">
        <f>IF(B2359="","",IFERROR(INDEX(Client_List!$K:$K,MATCH(VALUE(B2359),Client_List!$A:$A,0)),""))</f>
        <v/>
      </c>
      <c r="H2359" s="32">
        <f>IF(B2359="","",IFERROR(INDEX(Client_List!$J:$J,MATCH(VALUE(B2359),Client_List!$A:$A,0)),""))</f>
        <v/>
      </c>
      <c r="I2359" s="70">
        <f>IF(B2359="","",IFERROR(A2359-LOOKUP(2,1/($B$4:$B2358=B2359),$A$4:$A2358),""))</f>
        <v/>
      </c>
      <c r="J2359" s="32">
        <f>IF(B2359="","",IFERROR(D2359/I2359,""))</f>
        <v/>
      </c>
      <c r="K2359" s="71">
        <f>IF(B2359="","",IFERROR(AVERAGEIFS($J$4:$J2359,$B$4:$B2359,B2359,$J$4:$J2359,"&gt;"&amp;0),""))</f>
        <v/>
      </c>
      <c r="L2359" s="11" t="n"/>
    </row>
    <row r="2360" ht="14" customHeight="1" s="72">
      <c r="A2360" s="80" t="n"/>
      <c r="B2360" s="81" t="n"/>
      <c r="C2360" s="69">
        <f>IF(B2360="","",IFERROR(INDEX(Client_List!$B:$B,MATCH(B2360,Client_List!$A:$A,0)),"⚠ NOT FOUND"))</f>
        <v/>
      </c>
      <c r="D2360" s="45" t="n"/>
      <c r="E2360" s="32">
        <f>IF(B2360="","",IFERROR(INDEX(Client_List!$C:$C,MATCH(VALUE(B2360),Client_List!$A:$A,0)),""))</f>
        <v/>
      </c>
      <c r="F2360" s="53">
        <f>IF(B2360="","",IFERROR(INDEX(Client_List!$D:$D,MATCH(VALUE(B2360),Client_List!$A:$A,0)),""))</f>
        <v/>
      </c>
      <c r="G2360" s="53">
        <f>IF(B2360="","",IFERROR(INDEX(Client_List!$K:$K,MATCH(VALUE(B2360),Client_List!$A:$A,0)),""))</f>
        <v/>
      </c>
      <c r="H2360" s="32">
        <f>IF(B2360="","",IFERROR(INDEX(Client_List!$J:$J,MATCH(VALUE(B2360),Client_List!$A:$A,0)),""))</f>
        <v/>
      </c>
      <c r="I2360" s="70">
        <f>IF(B2360="","",IFERROR(A2360-LOOKUP(2,1/($B$4:$B2359=B2360),$A$4:$A2359),""))</f>
        <v/>
      </c>
      <c r="J2360" s="32">
        <f>IF(B2360="","",IFERROR(D2360/I2360,""))</f>
        <v/>
      </c>
      <c r="K2360" s="71">
        <f>IF(B2360="","",IFERROR(AVERAGEIFS($J$4:$J2360,$B$4:$B2360,B2360,$J$4:$J2360,"&gt;"&amp;0),""))</f>
        <v/>
      </c>
      <c r="L2360" s="12" t="n"/>
    </row>
    <row r="2361" ht="14" customHeight="1" s="72">
      <c r="A2361" s="78" t="n"/>
      <c r="B2361" s="79" t="n"/>
      <c r="C2361" s="69">
        <f>IF(B2361="","",IFERROR(INDEX(Client_List!$B:$B,MATCH(B2361,Client_List!$A:$A,0)),"⚠ NOT FOUND"))</f>
        <v/>
      </c>
      <c r="D2361" s="44" t="n"/>
      <c r="E2361" s="32">
        <f>IF(B2361="","",IFERROR(INDEX(Client_List!$C:$C,MATCH(VALUE(B2361),Client_List!$A:$A,0)),""))</f>
        <v/>
      </c>
      <c r="F2361" s="53">
        <f>IF(B2361="","",IFERROR(INDEX(Client_List!$D:$D,MATCH(VALUE(B2361),Client_List!$A:$A,0)),""))</f>
        <v/>
      </c>
      <c r="G2361" s="53">
        <f>IF(B2361="","",IFERROR(INDEX(Client_List!$K:$K,MATCH(VALUE(B2361),Client_List!$A:$A,0)),""))</f>
        <v/>
      </c>
      <c r="H2361" s="32">
        <f>IF(B2361="","",IFERROR(INDEX(Client_List!$J:$J,MATCH(VALUE(B2361),Client_List!$A:$A,0)),""))</f>
        <v/>
      </c>
      <c r="I2361" s="70">
        <f>IF(B2361="","",IFERROR(A2361-LOOKUP(2,1/($B$4:$B2360=B2361),$A$4:$A2360),""))</f>
        <v/>
      </c>
      <c r="J2361" s="32">
        <f>IF(B2361="","",IFERROR(D2361/I2361,""))</f>
        <v/>
      </c>
      <c r="K2361" s="71">
        <f>IF(B2361="","",IFERROR(AVERAGEIFS($J$4:$J2361,$B$4:$B2361,B2361,$J$4:$J2361,"&gt;"&amp;0),""))</f>
        <v/>
      </c>
      <c r="L2361" s="11" t="n"/>
    </row>
    <row r="2362" ht="14" customHeight="1" s="72">
      <c r="A2362" s="80" t="n"/>
      <c r="B2362" s="81" t="n"/>
      <c r="C2362" s="69">
        <f>IF(B2362="","",IFERROR(INDEX(Client_List!$B:$B,MATCH(B2362,Client_List!$A:$A,0)),"⚠ NOT FOUND"))</f>
        <v/>
      </c>
      <c r="D2362" s="45" t="n"/>
      <c r="E2362" s="32">
        <f>IF(B2362="","",IFERROR(INDEX(Client_List!$C:$C,MATCH(VALUE(B2362),Client_List!$A:$A,0)),""))</f>
        <v/>
      </c>
      <c r="F2362" s="53">
        <f>IF(B2362="","",IFERROR(INDEX(Client_List!$D:$D,MATCH(VALUE(B2362),Client_List!$A:$A,0)),""))</f>
        <v/>
      </c>
      <c r="G2362" s="53">
        <f>IF(B2362="","",IFERROR(INDEX(Client_List!$K:$K,MATCH(VALUE(B2362),Client_List!$A:$A,0)),""))</f>
        <v/>
      </c>
      <c r="H2362" s="32">
        <f>IF(B2362="","",IFERROR(INDEX(Client_List!$J:$J,MATCH(VALUE(B2362),Client_List!$A:$A,0)),""))</f>
        <v/>
      </c>
      <c r="I2362" s="70">
        <f>IF(B2362="","",IFERROR(A2362-LOOKUP(2,1/($B$4:$B2361=B2362),$A$4:$A2361),""))</f>
        <v/>
      </c>
      <c r="J2362" s="32">
        <f>IF(B2362="","",IFERROR(D2362/I2362,""))</f>
        <v/>
      </c>
      <c r="K2362" s="71">
        <f>IF(B2362="","",IFERROR(AVERAGEIFS($J$4:$J2362,$B$4:$B2362,B2362,$J$4:$J2362,"&gt;"&amp;0),""))</f>
        <v/>
      </c>
      <c r="L2362" s="12" t="n"/>
    </row>
    <row r="2363" ht="14" customHeight="1" s="72">
      <c r="A2363" s="78" t="n"/>
      <c r="B2363" s="79" t="n"/>
      <c r="C2363" s="69">
        <f>IF(B2363="","",IFERROR(INDEX(Client_List!$B:$B,MATCH(B2363,Client_List!$A:$A,0)),"⚠ NOT FOUND"))</f>
        <v/>
      </c>
      <c r="D2363" s="44" t="n"/>
      <c r="E2363" s="32">
        <f>IF(B2363="","",IFERROR(INDEX(Client_List!$C:$C,MATCH(VALUE(B2363),Client_List!$A:$A,0)),""))</f>
        <v/>
      </c>
      <c r="F2363" s="53">
        <f>IF(B2363="","",IFERROR(INDEX(Client_List!$D:$D,MATCH(VALUE(B2363),Client_List!$A:$A,0)),""))</f>
        <v/>
      </c>
      <c r="G2363" s="53">
        <f>IF(B2363="","",IFERROR(INDEX(Client_List!$K:$K,MATCH(VALUE(B2363),Client_List!$A:$A,0)),""))</f>
        <v/>
      </c>
      <c r="H2363" s="32">
        <f>IF(B2363="","",IFERROR(INDEX(Client_List!$J:$J,MATCH(VALUE(B2363),Client_List!$A:$A,0)),""))</f>
        <v/>
      </c>
      <c r="I2363" s="70">
        <f>IF(B2363="","",IFERROR(A2363-LOOKUP(2,1/($B$4:$B2362=B2363),$A$4:$A2362),""))</f>
        <v/>
      </c>
      <c r="J2363" s="32">
        <f>IF(B2363="","",IFERROR(D2363/I2363,""))</f>
        <v/>
      </c>
      <c r="K2363" s="71">
        <f>IF(B2363="","",IFERROR(AVERAGEIFS($J$4:$J2363,$B$4:$B2363,B2363,$J$4:$J2363,"&gt;"&amp;0),""))</f>
        <v/>
      </c>
      <c r="L2363" s="11" t="n"/>
    </row>
    <row r="2364" ht="14" customHeight="1" s="72">
      <c r="A2364" s="80" t="n"/>
      <c r="B2364" s="81" t="n"/>
      <c r="C2364" s="69">
        <f>IF(B2364="","",IFERROR(INDEX(Client_List!$B:$B,MATCH(B2364,Client_List!$A:$A,0)),"⚠ NOT FOUND"))</f>
        <v/>
      </c>
      <c r="D2364" s="45" t="n"/>
      <c r="E2364" s="32">
        <f>IF(B2364="","",IFERROR(INDEX(Client_List!$C:$C,MATCH(VALUE(B2364),Client_List!$A:$A,0)),""))</f>
        <v/>
      </c>
      <c r="F2364" s="53">
        <f>IF(B2364="","",IFERROR(INDEX(Client_List!$D:$D,MATCH(VALUE(B2364),Client_List!$A:$A,0)),""))</f>
        <v/>
      </c>
      <c r="G2364" s="53">
        <f>IF(B2364="","",IFERROR(INDEX(Client_List!$K:$K,MATCH(VALUE(B2364),Client_List!$A:$A,0)),""))</f>
        <v/>
      </c>
      <c r="H2364" s="32">
        <f>IF(B2364="","",IFERROR(INDEX(Client_List!$J:$J,MATCH(VALUE(B2364),Client_List!$A:$A,0)),""))</f>
        <v/>
      </c>
      <c r="I2364" s="70">
        <f>IF(B2364="","",IFERROR(A2364-LOOKUP(2,1/($B$4:$B2363=B2364),$A$4:$A2363),""))</f>
        <v/>
      </c>
      <c r="J2364" s="32">
        <f>IF(B2364="","",IFERROR(D2364/I2364,""))</f>
        <v/>
      </c>
      <c r="K2364" s="71">
        <f>IF(B2364="","",IFERROR(AVERAGEIFS($J$4:$J2364,$B$4:$B2364,B2364,$J$4:$J2364,"&gt;"&amp;0),""))</f>
        <v/>
      </c>
      <c r="L2364" s="12" t="n"/>
    </row>
    <row r="2365" ht="14" customHeight="1" s="72">
      <c r="A2365" s="78" t="n"/>
      <c r="B2365" s="79" t="n"/>
      <c r="C2365" s="69">
        <f>IF(B2365="","",IFERROR(INDEX(Client_List!$B:$B,MATCH(B2365,Client_List!$A:$A,0)),"⚠ NOT FOUND"))</f>
        <v/>
      </c>
      <c r="D2365" s="44" t="n"/>
      <c r="E2365" s="32">
        <f>IF(B2365="","",IFERROR(INDEX(Client_List!$C:$C,MATCH(VALUE(B2365),Client_List!$A:$A,0)),""))</f>
        <v/>
      </c>
      <c r="F2365" s="53">
        <f>IF(B2365="","",IFERROR(INDEX(Client_List!$D:$D,MATCH(VALUE(B2365),Client_List!$A:$A,0)),""))</f>
        <v/>
      </c>
      <c r="G2365" s="53">
        <f>IF(B2365="","",IFERROR(INDEX(Client_List!$K:$K,MATCH(VALUE(B2365),Client_List!$A:$A,0)),""))</f>
        <v/>
      </c>
      <c r="H2365" s="32">
        <f>IF(B2365="","",IFERROR(INDEX(Client_List!$J:$J,MATCH(VALUE(B2365),Client_List!$A:$A,0)),""))</f>
        <v/>
      </c>
      <c r="I2365" s="70">
        <f>IF(B2365="","",IFERROR(A2365-LOOKUP(2,1/($B$4:$B2364=B2365),$A$4:$A2364),""))</f>
        <v/>
      </c>
      <c r="J2365" s="32">
        <f>IF(B2365="","",IFERROR(D2365/I2365,""))</f>
        <v/>
      </c>
      <c r="K2365" s="71">
        <f>IF(B2365="","",IFERROR(AVERAGEIFS($J$4:$J2365,$B$4:$B2365,B2365,$J$4:$J2365,"&gt;"&amp;0),""))</f>
        <v/>
      </c>
      <c r="L2365" s="11" t="n"/>
    </row>
    <row r="2366" ht="14" customHeight="1" s="72">
      <c r="A2366" s="80" t="n"/>
      <c r="B2366" s="81" t="n"/>
      <c r="C2366" s="69">
        <f>IF(B2366="","",IFERROR(INDEX(Client_List!$B:$B,MATCH(B2366,Client_List!$A:$A,0)),"⚠ NOT FOUND"))</f>
        <v/>
      </c>
      <c r="D2366" s="45" t="n"/>
      <c r="E2366" s="32">
        <f>IF(B2366="","",IFERROR(INDEX(Client_List!$C:$C,MATCH(VALUE(B2366),Client_List!$A:$A,0)),""))</f>
        <v/>
      </c>
      <c r="F2366" s="53">
        <f>IF(B2366="","",IFERROR(INDEX(Client_List!$D:$D,MATCH(VALUE(B2366),Client_List!$A:$A,0)),""))</f>
        <v/>
      </c>
      <c r="G2366" s="53">
        <f>IF(B2366="","",IFERROR(INDEX(Client_List!$K:$K,MATCH(VALUE(B2366),Client_List!$A:$A,0)),""))</f>
        <v/>
      </c>
      <c r="H2366" s="32">
        <f>IF(B2366="","",IFERROR(INDEX(Client_List!$J:$J,MATCH(VALUE(B2366),Client_List!$A:$A,0)),""))</f>
        <v/>
      </c>
      <c r="I2366" s="70">
        <f>IF(B2366="","",IFERROR(A2366-LOOKUP(2,1/($B$4:$B2365=B2366),$A$4:$A2365),""))</f>
        <v/>
      </c>
      <c r="J2366" s="32">
        <f>IF(B2366="","",IFERROR(D2366/I2366,""))</f>
        <v/>
      </c>
      <c r="K2366" s="71">
        <f>IF(B2366="","",IFERROR(AVERAGEIFS($J$4:$J2366,$B$4:$B2366,B2366,$J$4:$J2366,"&gt;"&amp;0),""))</f>
        <v/>
      </c>
      <c r="L2366" s="12" t="n"/>
    </row>
    <row r="2367" ht="14" customHeight="1" s="72">
      <c r="A2367" s="78" t="n"/>
      <c r="B2367" s="79" t="n"/>
      <c r="C2367" s="69">
        <f>IF(B2367="","",IFERROR(INDEX(Client_List!$B:$B,MATCH(B2367,Client_List!$A:$A,0)),"⚠ NOT FOUND"))</f>
        <v/>
      </c>
      <c r="D2367" s="44" t="n"/>
      <c r="E2367" s="32">
        <f>IF(B2367="","",IFERROR(INDEX(Client_List!$C:$C,MATCH(VALUE(B2367),Client_List!$A:$A,0)),""))</f>
        <v/>
      </c>
      <c r="F2367" s="53">
        <f>IF(B2367="","",IFERROR(INDEX(Client_List!$D:$D,MATCH(VALUE(B2367),Client_List!$A:$A,0)),""))</f>
        <v/>
      </c>
      <c r="G2367" s="53">
        <f>IF(B2367="","",IFERROR(INDEX(Client_List!$K:$K,MATCH(VALUE(B2367),Client_List!$A:$A,0)),""))</f>
        <v/>
      </c>
      <c r="H2367" s="32">
        <f>IF(B2367="","",IFERROR(INDEX(Client_List!$J:$J,MATCH(VALUE(B2367),Client_List!$A:$A,0)),""))</f>
        <v/>
      </c>
      <c r="I2367" s="70">
        <f>IF(B2367="","",IFERROR(A2367-LOOKUP(2,1/($B$4:$B2366=B2367),$A$4:$A2366),""))</f>
        <v/>
      </c>
      <c r="J2367" s="32">
        <f>IF(B2367="","",IFERROR(D2367/I2367,""))</f>
        <v/>
      </c>
      <c r="K2367" s="71">
        <f>IF(B2367="","",IFERROR(AVERAGEIFS($J$4:$J2367,$B$4:$B2367,B2367,$J$4:$J2367,"&gt;"&amp;0),""))</f>
        <v/>
      </c>
      <c r="L2367" s="11" t="n"/>
    </row>
    <row r="2368" ht="14" customHeight="1" s="72">
      <c r="A2368" s="80" t="n"/>
      <c r="B2368" s="81" t="n"/>
      <c r="C2368" s="69">
        <f>IF(B2368="","",IFERROR(INDEX(Client_List!$B:$B,MATCH(B2368,Client_List!$A:$A,0)),"⚠ NOT FOUND"))</f>
        <v/>
      </c>
      <c r="D2368" s="45" t="n"/>
      <c r="E2368" s="32">
        <f>IF(B2368="","",IFERROR(INDEX(Client_List!$C:$C,MATCH(VALUE(B2368),Client_List!$A:$A,0)),""))</f>
        <v/>
      </c>
      <c r="F2368" s="53">
        <f>IF(B2368="","",IFERROR(INDEX(Client_List!$D:$D,MATCH(VALUE(B2368),Client_List!$A:$A,0)),""))</f>
        <v/>
      </c>
      <c r="G2368" s="53">
        <f>IF(B2368="","",IFERROR(INDEX(Client_List!$K:$K,MATCH(VALUE(B2368),Client_List!$A:$A,0)),""))</f>
        <v/>
      </c>
      <c r="H2368" s="32">
        <f>IF(B2368="","",IFERROR(INDEX(Client_List!$J:$J,MATCH(VALUE(B2368),Client_List!$A:$A,0)),""))</f>
        <v/>
      </c>
      <c r="I2368" s="70">
        <f>IF(B2368="","",IFERROR(A2368-LOOKUP(2,1/($B$4:$B2367=B2368),$A$4:$A2367),""))</f>
        <v/>
      </c>
      <c r="J2368" s="32">
        <f>IF(B2368="","",IFERROR(D2368/I2368,""))</f>
        <v/>
      </c>
      <c r="K2368" s="71">
        <f>IF(B2368="","",IFERROR(AVERAGEIFS($J$4:$J2368,$B$4:$B2368,B2368,$J$4:$J2368,"&gt;"&amp;0),""))</f>
        <v/>
      </c>
      <c r="L2368" s="12" t="n"/>
    </row>
    <row r="2369" ht="14" customHeight="1" s="72">
      <c r="A2369" s="78" t="n"/>
      <c r="B2369" s="79" t="n"/>
      <c r="C2369" s="69">
        <f>IF(B2369="","",IFERROR(INDEX(Client_List!$B:$B,MATCH(B2369,Client_List!$A:$A,0)),"⚠ NOT FOUND"))</f>
        <v/>
      </c>
      <c r="D2369" s="44" t="n"/>
      <c r="E2369" s="32">
        <f>IF(B2369="","",IFERROR(INDEX(Client_List!$C:$C,MATCH(VALUE(B2369),Client_List!$A:$A,0)),""))</f>
        <v/>
      </c>
      <c r="F2369" s="53">
        <f>IF(B2369="","",IFERROR(INDEX(Client_List!$D:$D,MATCH(VALUE(B2369),Client_List!$A:$A,0)),""))</f>
        <v/>
      </c>
      <c r="G2369" s="53">
        <f>IF(B2369="","",IFERROR(INDEX(Client_List!$K:$K,MATCH(VALUE(B2369),Client_List!$A:$A,0)),""))</f>
        <v/>
      </c>
      <c r="H2369" s="32">
        <f>IF(B2369="","",IFERROR(INDEX(Client_List!$J:$J,MATCH(VALUE(B2369),Client_List!$A:$A,0)),""))</f>
        <v/>
      </c>
      <c r="I2369" s="70">
        <f>IF(B2369="","",IFERROR(A2369-LOOKUP(2,1/($B$4:$B2368=B2369),$A$4:$A2368),""))</f>
        <v/>
      </c>
      <c r="J2369" s="32">
        <f>IF(B2369="","",IFERROR(D2369/I2369,""))</f>
        <v/>
      </c>
      <c r="K2369" s="71">
        <f>IF(B2369="","",IFERROR(AVERAGEIFS($J$4:$J2369,$B$4:$B2369,B2369,$J$4:$J2369,"&gt;"&amp;0),""))</f>
        <v/>
      </c>
      <c r="L2369" s="11" t="n"/>
    </row>
    <row r="2370" ht="14" customHeight="1" s="72">
      <c r="A2370" s="80" t="n"/>
      <c r="B2370" s="81" t="n"/>
      <c r="C2370" s="69">
        <f>IF(B2370="","",IFERROR(INDEX(Client_List!$B:$B,MATCH(B2370,Client_List!$A:$A,0)),"⚠ NOT FOUND"))</f>
        <v/>
      </c>
      <c r="D2370" s="45" t="n"/>
      <c r="E2370" s="32">
        <f>IF(B2370="","",IFERROR(INDEX(Client_List!$C:$C,MATCH(VALUE(B2370),Client_List!$A:$A,0)),""))</f>
        <v/>
      </c>
      <c r="F2370" s="53">
        <f>IF(B2370="","",IFERROR(INDEX(Client_List!$D:$D,MATCH(VALUE(B2370),Client_List!$A:$A,0)),""))</f>
        <v/>
      </c>
      <c r="G2370" s="53">
        <f>IF(B2370="","",IFERROR(INDEX(Client_List!$K:$K,MATCH(VALUE(B2370),Client_List!$A:$A,0)),""))</f>
        <v/>
      </c>
      <c r="H2370" s="32">
        <f>IF(B2370="","",IFERROR(INDEX(Client_List!$J:$J,MATCH(VALUE(B2370),Client_List!$A:$A,0)),""))</f>
        <v/>
      </c>
      <c r="I2370" s="70">
        <f>IF(B2370="","",IFERROR(A2370-LOOKUP(2,1/($B$4:$B2369=B2370),$A$4:$A2369),""))</f>
        <v/>
      </c>
      <c r="J2370" s="32">
        <f>IF(B2370="","",IFERROR(D2370/I2370,""))</f>
        <v/>
      </c>
      <c r="K2370" s="71">
        <f>IF(B2370="","",IFERROR(AVERAGEIFS($J$4:$J2370,$B$4:$B2370,B2370,$J$4:$J2370,"&gt;"&amp;0),""))</f>
        <v/>
      </c>
      <c r="L2370" s="12" t="n"/>
    </row>
    <row r="2371" ht="14" customHeight="1" s="72">
      <c r="A2371" s="78" t="n"/>
      <c r="B2371" s="79" t="n"/>
      <c r="C2371" s="69">
        <f>IF(B2371="","",IFERROR(INDEX(Client_List!$B:$B,MATCH(B2371,Client_List!$A:$A,0)),"⚠ NOT FOUND"))</f>
        <v/>
      </c>
      <c r="D2371" s="44" t="n"/>
      <c r="E2371" s="32">
        <f>IF(B2371="","",IFERROR(INDEX(Client_List!$C:$C,MATCH(VALUE(B2371),Client_List!$A:$A,0)),""))</f>
        <v/>
      </c>
      <c r="F2371" s="53">
        <f>IF(B2371="","",IFERROR(INDEX(Client_List!$D:$D,MATCH(VALUE(B2371),Client_List!$A:$A,0)),""))</f>
        <v/>
      </c>
      <c r="G2371" s="53">
        <f>IF(B2371="","",IFERROR(INDEX(Client_List!$K:$K,MATCH(VALUE(B2371),Client_List!$A:$A,0)),""))</f>
        <v/>
      </c>
      <c r="H2371" s="32">
        <f>IF(B2371="","",IFERROR(INDEX(Client_List!$J:$J,MATCH(VALUE(B2371),Client_List!$A:$A,0)),""))</f>
        <v/>
      </c>
      <c r="I2371" s="70">
        <f>IF(B2371="","",IFERROR(A2371-LOOKUP(2,1/($B$4:$B2370=B2371),$A$4:$A2370),""))</f>
        <v/>
      </c>
      <c r="J2371" s="32">
        <f>IF(B2371="","",IFERROR(D2371/I2371,""))</f>
        <v/>
      </c>
      <c r="K2371" s="71">
        <f>IF(B2371="","",IFERROR(AVERAGEIFS($J$4:$J2371,$B$4:$B2371,B2371,$J$4:$J2371,"&gt;"&amp;0),""))</f>
        <v/>
      </c>
      <c r="L2371" s="11" t="n"/>
    </row>
    <row r="2372" ht="14" customHeight="1" s="72">
      <c r="A2372" s="80" t="n"/>
      <c r="B2372" s="81" t="n"/>
      <c r="C2372" s="69">
        <f>IF(B2372="","",IFERROR(INDEX(Client_List!$B:$B,MATCH(B2372,Client_List!$A:$A,0)),"⚠ NOT FOUND"))</f>
        <v/>
      </c>
      <c r="D2372" s="45" t="n"/>
      <c r="E2372" s="32">
        <f>IF(B2372="","",IFERROR(INDEX(Client_List!$C:$C,MATCH(VALUE(B2372),Client_List!$A:$A,0)),""))</f>
        <v/>
      </c>
      <c r="F2372" s="53">
        <f>IF(B2372="","",IFERROR(INDEX(Client_List!$D:$D,MATCH(VALUE(B2372),Client_List!$A:$A,0)),""))</f>
        <v/>
      </c>
      <c r="G2372" s="53">
        <f>IF(B2372="","",IFERROR(INDEX(Client_List!$K:$K,MATCH(VALUE(B2372),Client_List!$A:$A,0)),""))</f>
        <v/>
      </c>
      <c r="H2372" s="32">
        <f>IF(B2372="","",IFERROR(INDEX(Client_List!$J:$J,MATCH(VALUE(B2372),Client_List!$A:$A,0)),""))</f>
        <v/>
      </c>
      <c r="I2372" s="70">
        <f>IF(B2372="","",IFERROR(A2372-LOOKUP(2,1/($B$4:$B2371=B2372),$A$4:$A2371),""))</f>
        <v/>
      </c>
      <c r="J2372" s="32">
        <f>IF(B2372="","",IFERROR(D2372/I2372,""))</f>
        <v/>
      </c>
      <c r="K2372" s="71">
        <f>IF(B2372="","",IFERROR(AVERAGEIFS($J$4:$J2372,$B$4:$B2372,B2372,$J$4:$J2372,"&gt;"&amp;0),""))</f>
        <v/>
      </c>
      <c r="L2372" s="12" t="n"/>
    </row>
    <row r="2373" ht="14" customHeight="1" s="72">
      <c r="A2373" s="78" t="n"/>
      <c r="B2373" s="79" t="n"/>
      <c r="C2373" s="69">
        <f>IF(B2373="","",IFERROR(INDEX(Client_List!$B:$B,MATCH(B2373,Client_List!$A:$A,0)),"⚠ NOT FOUND"))</f>
        <v/>
      </c>
      <c r="D2373" s="44" t="n"/>
      <c r="E2373" s="32">
        <f>IF(B2373="","",IFERROR(INDEX(Client_List!$C:$C,MATCH(VALUE(B2373),Client_List!$A:$A,0)),""))</f>
        <v/>
      </c>
      <c r="F2373" s="53">
        <f>IF(B2373="","",IFERROR(INDEX(Client_List!$D:$D,MATCH(VALUE(B2373),Client_List!$A:$A,0)),""))</f>
        <v/>
      </c>
      <c r="G2373" s="53">
        <f>IF(B2373="","",IFERROR(INDEX(Client_List!$K:$K,MATCH(VALUE(B2373),Client_List!$A:$A,0)),""))</f>
        <v/>
      </c>
      <c r="H2373" s="32">
        <f>IF(B2373="","",IFERROR(INDEX(Client_List!$J:$J,MATCH(VALUE(B2373),Client_List!$A:$A,0)),""))</f>
        <v/>
      </c>
      <c r="I2373" s="70">
        <f>IF(B2373="","",IFERROR(A2373-LOOKUP(2,1/($B$4:$B2372=B2373),$A$4:$A2372),""))</f>
        <v/>
      </c>
      <c r="J2373" s="32">
        <f>IF(B2373="","",IFERROR(D2373/I2373,""))</f>
        <v/>
      </c>
      <c r="K2373" s="71">
        <f>IF(B2373="","",IFERROR(AVERAGEIFS($J$4:$J2373,$B$4:$B2373,B2373,$J$4:$J2373,"&gt;"&amp;0),""))</f>
        <v/>
      </c>
      <c r="L2373" s="11" t="n"/>
    </row>
    <row r="2374" ht="14" customHeight="1" s="72">
      <c r="A2374" s="80" t="n"/>
      <c r="B2374" s="81" t="n"/>
      <c r="C2374" s="69">
        <f>IF(B2374="","",IFERROR(INDEX(Client_List!$B:$B,MATCH(B2374,Client_List!$A:$A,0)),"⚠ NOT FOUND"))</f>
        <v/>
      </c>
      <c r="D2374" s="45" t="n"/>
      <c r="E2374" s="32">
        <f>IF(B2374="","",IFERROR(INDEX(Client_List!$C:$C,MATCH(VALUE(B2374),Client_List!$A:$A,0)),""))</f>
        <v/>
      </c>
      <c r="F2374" s="53">
        <f>IF(B2374="","",IFERROR(INDEX(Client_List!$D:$D,MATCH(VALUE(B2374),Client_List!$A:$A,0)),""))</f>
        <v/>
      </c>
      <c r="G2374" s="53">
        <f>IF(B2374="","",IFERROR(INDEX(Client_List!$K:$K,MATCH(VALUE(B2374),Client_List!$A:$A,0)),""))</f>
        <v/>
      </c>
      <c r="H2374" s="32">
        <f>IF(B2374="","",IFERROR(INDEX(Client_List!$J:$J,MATCH(VALUE(B2374),Client_List!$A:$A,0)),""))</f>
        <v/>
      </c>
      <c r="I2374" s="70">
        <f>IF(B2374="","",IFERROR(A2374-LOOKUP(2,1/($B$4:$B2373=B2374),$A$4:$A2373),""))</f>
        <v/>
      </c>
      <c r="J2374" s="32">
        <f>IF(B2374="","",IFERROR(D2374/I2374,""))</f>
        <v/>
      </c>
      <c r="K2374" s="71">
        <f>IF(B2374="","",IFERROR(AVERAGEIFS($J$4:$J2374,$B$4:$B2374,B2374,$J$4:$J2374,"&gt;"&amp;0),""))</f>
        <v/>
      </c>
      <c r="L2374" s="12" t="n"/>
    </row>
    <row r="2375" ht="14" customHeight="1" s="72">
      <c r="A2375" s="78" t="n"/>
      <c r="B2375" s="79" t="n"/>
      <c r="C2375" s="69">
        <f>IF(B2375="","",IFERROR(INDEX(Client_List!$B:$B,MATCH(B2375,Client_List!$A:$A,0)),"⚠ NOT FOUND"))</f>
        <v/>
      </c>
      <c r="D2375" s="44" t="n"/>
      <c r="E2375" s="32">
        <f>IF(B2375="","",IFERROR(INDEX(Client_List!$C:$C,MATCH(VALUE(B2375),Client_List!$A:$A,0)),""))</f>
        <v/>
      </c>
      <c r="F2375" s="53">
        <f>IF(B2375="","",IFERROR(INDEX(Client_List!$D:$D,MATCH(VALUE(B2375),Client_List!$A:$A,0)),""))</f>
        <v/>
      </c>
      <c r="G2375" s="53">
        <f>IF(B2375="","",IFERROR(INDEX(Client_List!$K:$K,MATCH(VALUE(B2375),Client_List!$A:$A,0)),""))</f>
        <v/>
      </c>
      <c r="H2375" s="32">
        <f>IF(B2375="","",IFERROR(INDEX(Client_List!$J:$J,MATCH(VALUE(B2375),Client_List!$A:$A,0)),""))</f>
        <v/>
      </c>
      <c r="I2375" s="70">
        <f>IF(B2375="","",IFERROR(A2375-LOOKUP(2,1/($B$4:$B2374=B2375),$A$4:$A2374),""))</f>
        <v/>
      </c>
      <c r="J2375" s="32">
        <f>IF(B2375="","",IFERROR(D2375/I2375,""))</f>
        <v/>
      </c>
      <c r="K2375" s="71">
        <f>IF(B2375="","",IFERROR(AVERAGEIFS($J$4:$J2375,$B$4:$B2375,B2375,$J$4:$J2375,"&gt;"&amp;0),""))</f>
        <v/>
      </c>
      <c r="L2375" s="11" t="n"/>
    </row>
    <row r="2376" ht="14" customHeight="1" s="72">
      <c r="A2376" s="80" t="n"/>
      <c r="B2376" s="81" t="n"/>
      <c r="C2376" s="69">
        <f>IF(B2376="","",IFERROR(INDEX(Client_List!$B:$B,MATCH(B2376,Client_List!$A:$A,0)),"⚠ NOT FOUND"))</f>
        <v/>
      </c>
      <c r="D2376" s="45" t="n"/>
      <c r="E2376" s="32">
        <f>IF(B2376="","",IFERROR(INDEX(Client_List!$C:$C,MATCH(VALUE(B2376),Client_List!$A:$A,0)),""))</f>
        <v/>
      </c>
      <c r="F2376" s="53">
        <f>IF(B2376="","",IFERROR(INDEX(Client_List!$D:$D,MATCH(VALUE(B2376),Client_List!$A:$A,0)),""))</f>
        <v/>
      </c>
      <c r="G2376" s="53">
        <f>IF(B2376="","",IFERROR(INDEX(Client_List!$K:$K,MATCH(VALUE(B2376),Client_List!$A:$A,0)),""))</f>
        <v/>
      </c>
      <c r="H2376" s="32">
        <f>IF(B2376="","",IFERROR(INDEX(Client_List!$J:$J,MATCH(VALUE(B2376),Client_List!$A:$A,0)),""))</f>
        <v/>
      </c>
      <c r="I2376" s="70">
        <f>IF(B2376="","",IFERROR(A2376-LOOKUP(2,1/($B$4:$B2375=B2376),$A$4:$A2375),""))</f>
        <v/>
      </c>
      <c r="J2376" s="32">
        <f>IF(B2376="","",IFERROR(D2376/I2376,""))</f>
        <v/>
      </c>
      <c r="K2376" s="71">
        <f>IF(B2376="","",IFERROR(AVERAGEIFS($J$4:$J2376,$B$4:$B2376,B2376,$J$4:$J2376,"&gt;"&amp;0),""))</f>
        <v/>
      </c>
      <c r="L2376" s="12" t="n"/>
    </row>
    <row r="2377" ht="14" customHeight="1" s="72">
      <c r="A2377" s="78" t="n"/>
      <c r="B2377" s="79" t="n"/>
      <c r="C2377" s="69">
        <f>IF(B2377="","",IFERROR(INDEX(Client_List!$B:$B,MATCH(B2377,Client_List!$A:$A,0)),"⚠ NOT FOUND"))</f>
        <v/>
      </c>
      <c r="D2377" s="44" t="n"/>
      <c r="E2377" s="32">
        <f>IF(B2377="","",IFERROR(INDEX(Client_List!$C:$C,MATCH(VALUE(B2377),Client_List!$A:$A,0)),""))</f>
        <v/>
      </c>
      <c r="F2377" s="53">
        <f>IF(B2377="","",IFERROR(INDEX(Client_List!$D:$D,MATCH(VALUE(B2377),Client_List!$A:$A,0)),""))</f>
        <v/>
      </c>
      <c r="G2377" s="53">
        <f>IF(B2377="","",IFERROR(INDEX(Client_List!$K:$K,MATCH(VALUE(B2377),Client_List!$A:$A,0)),""))</f>
        <v/>
      </c>
      <c r="H2377" s="32">
        <f>IF(B2377="","",IFERROR(INDEX(Client_List!$J:$J,MATCH(VALUE(B2377),Client_List!$A:$A,0)),""))</f>
        <v/>
      </c>
      <c r="I2377" s="70">
        <f>IF(B2377="","",IFERROR(A2377-LOOKUP(2,1/($B$4:$B2376=B2377),$A$4:$A2376),""))</f>
        <v/>
      </c>
      <c r="J2377" s="32">
        <f>IF(B2377="","",IFERROR(D2377/I2377,""))</f>
        <v/>
      </c>
      <c r="K2377" s="71">
        <f>IF(B2377="","",IFERROR(AVERAGEIFS($J$4:$J2377,$B$4:$B2377,B2377,$J$4:$J2377,"&gt;"&amp;0),""))</f>
        <v/>
      </c>
      <c r="L2377" s="11" t="n"/>
    </row>
    <row r="2378" ht="14" customHeight="1" s="72">
      <c r="A2378" s="80" t="n"/>
      <c r="B2378" s="81" t="n"/>
      <c r="C2378" s="69">
        <f>IF(B2378="","",IFERROR(INDEX(Client_List!$B:$B,MATCH(B2378,Client_List!$A:$A,0)),"⚠ NOT FOUND"))</f>
        <v/>
      </c>
      <c r="D2378" s="45" t="n"/>
      <c r="E2378" s="32">
        <f>IF(B2378="","",IFERROR(INDEX(Client_List!$C:$C,MATCH(VALUE(B2378),Client_List!$A:$A,0)),""))</f>
        <v/>
      </c>
      <c r="F2378" s="53">
        <f>IF(B2378="","",IFERROR(INDEX(Client_List!$D:$D,MATCH(VALUE(B2378),Client_List!$A:$A,0)),""))</f>
        <v/>
      </c>
      <c r="G2378" s="53">
        <f>IF(B2378="","",IFERROR(INDEX(Client_List!$K:$K,MATCH(VALUE(B2378),Client_List!$A:$A,0)),""))</f>
        <v/>
      </c>
      <c r="H2378" s="32">
        <f>IF(B2378="","",IFERROR(INDEX(Client_List!$J:$J,MATCH(VALUE(B2378),Client_List!$A:$A,0)),""))</f>
        <v/>
      </c>
      <c r="I2378" s="70">
        <f>IF(B2378="","",IFERROR(A2378-LOOKUP(2,1/($B$4:$B2377=B2378),$A$4:$A2377),""))</f>
        <v/>
      </c>
      <c r="J2378" s="32">
        <f>IF(B2378="","",IFERROR(D2378/I2378,""))</f>
        <v/>
      </c>
      <c r="K2378" s="71">
        <f>IF(B2378="","",IFERROR(AVERAGEIFS($J$4:$J2378,$B$4:$B2378,B2378,$J$4:$J2378,"&gt;"&amp;0),""))</f>
        <v/>
      </c>
      <c r="L2378" s="12" t="n"/>
    </row>
    <row r="2379" ht="14" customHeight="1" s="72">
      <c r="A2379" s="78" t="n"/>
      <c r="B2379" s="79" t="n"/>
      <c r="C2379" s="69">
        <f>IF(B2379="","",IFERROR(INDEX(Client_List!$B:$B,MATCH(B2379,Client_List!$A:$A,0)),"⚠ NOT FOUND"))</f>
        <v/>
      </c>
      <c r="D2379" s="44" t="n"/>
      <c r="E2379" s="32">
        <f>IF(B2379="","",IFERROR(INDEX(Client_List!$C:$C,MATCH(VALUE(B2379),Client_List!$A:$A,0)),""))</f>
        <v/>
      </c>
      <c r="F2379" s="53">
        <f>IF(B2379="","",IFERROR(INDEX(Client_List!$D:$D,MATCH(VALUE(B2379),Client_List!$A:$A,0)),""))</f>
        <v/>
      </c>
      <c r="G2379" s="53">
        <f>IF(B2379="","",IFERROR(INDEX(Client_List!$K:$K,MATCH(VALUE(B2379),Client_List!$A:$A,0)),""))</f>
        <v/>
      </c>
      <c r="H2379" s="32">
        <f>IF(B2379="","",IFERROR(INDEX(Client_List!$J:$J,MATCH(VALUE(B2379),Client_List!$A:$A,0)),""))</f>
        <v/>
      </c>
      <c r="I2379" s="70">
        <f>IF(B2379="","",IFERROR(A2379-LOOKUP(2,1/($B$4:$B2378=B2379),$A$4:$A2378),""))</f>
        <v/>
      </c>
      <c r="J2379" s="32">
        <f>IF(B2379="","",IFERROR(D2379/I2379,""))</f>
        <v/>
      </c>
      <c r="K2379" s="71">
        <f>IF(B2379="","",IFERROR(AVERAGEIFS($J$4:$J2379,$B$4:$B2379,B2379,$J$4:$J2379,"&gt;"&amp;0),""))</f>
        <v/>
      </c>
      <c r="L2379" s="11" t="n"/>
    </row>
    <row r="2380" ht="14" customHeight="1" s="72">
      <c r="A2380" s="80" t="n"/>
      <c r="B2380" s="81" t="n"/>
      <c r="C2380" s="69">
        <f>IF(B2380="","",IFERROR(INDEX(Client_List!$B:$B,MATCH(B2380,Client_List!$A:$A,0)),"⚠ NOT FOUND"))</f>
        <v/>
      </c>
      <c r="D2380" s="45" t="n"/>
      <c r="E2380" s="32">
        <f>IF(B2380="","",IFERROR(INDEX(Client_List!$C:$C,MATCH(VALUE(B2380),Client_List!$A:$A,0)),""))</f>
        <v/>
      </c>
      <c r="F2380" s="53">
        <f>IF(B2380="","",IFERROR(INDEX(Client_List!$D:$D,MATCH(VALUE(B2380),Client_List!$A:$A,0)),""))</f>
        <v/>
      </c>
      <c r="G2380" s="53">
        <f>IF(B2380="","",IFERROR(INDEX(Client_List!$K:$K,MATCH(VALUE(B2380),Client_List!$A:$A,0)),""))</f>
        <v/>
      </c>
      <c r="H2380" s="32">
        <f>IF(B2380="","",IFERROR(INDEX(Client_List!$J:$J,MATCH(VALUE(B2380),Client_List!$A:$A,0)),""))</f>
        <v/>
      </c>
      <c r="I2380" s="70">
        <f>IF(B2380="","",IFERROR(A2380-LOOKUP(2,1/($B$4:$B2379=B2380),$A$4:$A2379),""))</f>
        <v/>
      </c>
      <c r="J2380" s="32">
        <f>IF(B2380="","",IFERROR(D2380/I2380,""))</f>
        <v/>
      </c>
      <c r="K2380" s="71">
        <f>IF(B2380="","",IFERROR(AVERAGEIFS($J$4:$J2380,$B$4:$B2380,B2380,$J$4:$J2380,"&gt;"&amp;0),""))</f>
        <v/>
      </c>
      <c r="L2380" s="12" t="n"/>
    </row>
    <row r="2381" ht="14" customHeight="1" s="72">
      <c r="A2381" s="78" t="n"/>
      <c r="B2381" s="79" t="n"/>
      <c r="C2381" s="69">
        <f>IF(B2381="","",IFERROR(INDEX(Client_List!$B:$B,MATCH(B2381,Client_List!$A:$A,0)),"⚠ NOT FOUND"))</f>
        <v/>
      </c>
      <c r="D2381" s="44" t="n"/>
      <c r="E2381" s="32">
        <f>IF(B2381="","",IFERROR(INDEX(Client_List!$C:$C,MATCH(VALUE(B2381),Client_List!$A:$A,0)),""))</f>
        <v/>
      </c>
      <c r="F2381" s="53">
        <f>IF(B2381="","",IFERROR(INDEX(Client_List!$D:$D,MATCH(VALUE(B2381),Client_List!$A:$A,0)),""))</f>
        <v/>
      </c>
      <c r="G2381" s="53">
        <f>IF(B2381="","",IFERROR(INDEX(Client_List!$K:$K,MATCH(VALUE(B2381),Client_List!$A:$A,0)),""))</f>
        <v/>
      </c>
      <c r="H2381" s="32">
        <f>IF(B2381="","",IFERROR(INDEX(Client_List!$J:$J,MATCH(VALUE(B2381),Client_List!$A:$A,0)),""))</f>
        <v/>
      </c>
      <c r="I2381" s="70">
        <f>IF(B2381="","",IFERROR(A2381-LOOKUP(2,1/($B$4:$B2380=B2381),$A$4:$A2380),""))</f>
        <v/>
      </c>
      <c r="J2381" s="32">
        <f>IF(B2381="","",IFERROR(D2381/I2381,""))</f>
        <v/>
      </c>
      <c r="K2381" s="71">
        <f>IF(B2381="","",IFERROR(AVERAGEIFS($J$4:$J2381,$B$4:$B2381,B2381,$J$4:$J2381,"&gt;"&amp;0),""))</f>
        <v/>
      </c>
      <c r="L2381" s="11" t="n"/>
    </row>
    <row r="2382" ht="14" customHeight="1" s="72">
      <c r="A2382" s="80" t="n"/>
      <c r="B2382" s="81" t="n"/>
      <c r="C2382" s="69">
        <f>IF(B2382="","",IFERROR(INDEX(Client_List!$B:$B,MATCH(B2382,Client_List!$A:$A,0)),"⚠ NOT FOUND"))</f>
        <v/>
      </c>
      <c r="D2382" s="45" t="n"/>
      <c r="E2382" s="32">
        <f>IF(B2382="","",IFERROR(INDEX(Client_List!$C:$C,MATCH(VALUE(B2382),Client_List!$A:$A,0)),""))</f>
        <v/>
      </c>
      <c r="F2382" s="53">
        <f>IF(B2382="","",IFERROR(INDEX(Client_List!$D:$D,MATCH(VALUE(B2382),Client_List!$A:$A,0)),""))</f>
        <v/>
      </c>
      <c r="G2382" s="53">
        <f>IF(B2382="","",IFERROR(INDEX(Client_List!$K:$K,MATCH(VALUE(B2382),Client_List!$A:$A,0)),""))</f>
        <v/>
      </c>
      <c r="H2382" s="32">
        <f>IF(B2382="","",IFERROR(INDEX(Client_List!$J:$J,MATCH(VALUE(B2382),Client_List!$A:$A,0)),""))</f>
        <v/>
      </c>
      <c r="I2382" s="70">
        <f>IF(B2382="","",IFERROR(A2382-LOOKUP(2,1/($B$4:$B2381=B2382),$A$4:$A2381),""))</f>
        <v/>
      </c>
      <c r="J2382" s="32">
        <f>IF(B2382="","",IFERROR(D2382/I2382,""))</f>
        <v/>
      </c>
      <c r="K2382" s="71">
        <f>IF(B2382="","",IFERROR(AVERAGEIFS($J$4:$J2382,$B$4:$B2382,B2382,$J$4:$J2382,"&gt;"&amp;0),""))</f>
        <v/>
      </c>
      <c r="L2382" s="12" t="n"/>
    </row>
    <row r="2383" ht="14" customHeight="1" s="72">
      <c r="A2383" s="78" t="n"/>
      <c r="B2383" s="79" t="n"/>
      <c r="C2383" s="69">
        <f>IF(B2383="","",IFERROR(INDEX(Client_List!$B:$B,MATCH(B2383,Client_List!$A:$A,0)),"⚠ NOT FOUND"))</f>
        <v/>
      </c>
      <c r="D2383" s="44" t="n"/>
      <c r="E2383" s="32">
        <f>IF(B2383="","",IFERROR(INDEX(Client_List!$C:$C,MATCH(VALUE(B2383),Client_List!$A:$A,0)),""))</f>
        <v/>
      </c>
      <c r="F2383" s="53">
        <f>IF(B2383="","",IFERROR(INDEX(Client_List!$D:$D,MATCH(VALUE(B2383),Client_List!$A:$A,0)),""))</f>
        <v/>
      </c>
      <c r="G2383" s="53">
        <f>IF(B2383="","",IFERROR(INDEX(Client_List!$K:$K,MATCH(VALUE(B2383),Client_List!$A:$A,0)),""))</f>
        <v/>
      </c>
      <c r="H2383" s="32">
        <f>IF(B2383="","",IFERROR(INDEX(Client_List!$J:$J,MATCH(VALUE(B2383),Client_List!$A:$A,0)),""))</f>
        <v/>
      </c>
      <c r="I2383" s="70">
        <f>IF(B2383="","",IFERROR(A2383-LOOKUP(2,1/($B$4:$B2382=B2383),$A$4:$A2382),""))</f>
        <v/>
      </c>
      <c r="J2383" s="32">
        <f>IF(B2383="","",IFERROR(D2383/I2383,""))</f>
        <v/>
      </c>
      <c r="K2383" s="71">
        <f>IF(B2383="","",IFERROR(AVERAGEIFS($J$4:$J2383,$B$4:$B2383,B2383,$J$4:$J2383,"&gt;"&amp;0),""))</f>
        <v/>
      </c>
      <c r="L2383" s="11" t="n"/>
    </row>
    <row r="2384" ht="14" customHeight="1" s="72">
      <c r="A2384" s="80" t="n"/>
      <c r="B2384" s="81" t="n"/>
      <c r="C2384" s="69">
        <f>IF(B2384="","",IFERROR(INDEX(Client_List!$B:$B,MATCH(B2384,Client_List!$A:$A,0)),"⚠ NOT FOUND"))</f>
        <v/>
      </c>
      <c r="D2384" s="45" t="n"/>
      <c r="E2384" s="32">
        <f>IF(B2384="","",IFERROR(INDEX(Client_List!$C:$C,MATCH(VALUE(B2384),Client_List!$A:$A,0)),""))</f>
        <v/>
      </c>
      <c r="F2384" s="53">
        <f>IF(B2384="","",IFERROR(INDEX(Client_List!$D:$D,MATCH(VALUE(B2384),Client_List!$A:$A,0)),""))</f>
        <v/>
      </c>
      <c r="G2384" s="53">
        <f>IF(B2384="","",IFERROR(INDEX(Client_List!$K:$K,MATCH(VALUE(B2384),Client_List!$A:$A,0)),""))</f>
        <v/>
      </c>
      <c r="H2384" s="32">
        <f>IF(B2384="","",IFERROR(INDEX(Client_List!$J:$J,MATCH(VALUE(B2384),Client_List!$A:$A,0)),""))</f>
        <v/>
      </c>
      <c r="I2384" s="70">
        <f>IF(B2384="","",IFERROR(A2384-LOOKUP(2,1/($B$4:$B2383=B2384),$A$4:$A2383),""))</f>
        <v/>
      </c>
      <c r="J2384" s="32">
        <f>IF(B2384="","",IFERROR(D2384/I2384,""))</f>
        <v/>
      </c>
      <c r="K2384" s="71">
        <f>IF(B2384="","",IFERROR(AVERAGEIFS($J$4:$J2384,$B$4:$B2384,B2384,$J$4:$J2384,"&gt;"&amp;0),""))</f>
        <v/>
      </c>
      <c r="L2384" s="12" t="n"/>
    </row>
    <row r="2385" ht="14" customHeight="1" s="72">
      <c r="A2385" s="78" t="n"/>
      <c r="B2385" s="79" t="n"/>
      <c r="C2385" s="69">
        <f>IF(B2385="","",IFERROR(INDEX(Client_List!$B:$B,MATCH(B2385,Client_List!$A:$A,0)),"⚠ NOT FOUND"))</f>
        <v/>
      </c>
      <c r="D2385" s="44" t="n"/>
      <c r="E2385" s="32">
        <f>IF(B2385="","",IFERROR(INDEX(Client_List!$C:$C,MATCH(VALUE(B2385),Client_List!$A:$A,0)),""))</f>
        <v/>
      </c>
      <c r="F2385" s="53">
        <f>IF(B2385="","",IFERROR(INDEX(Client_List!$D:$D,MATCH(VALUE(B2385),Client_List!$A:$A,0)),""))</f>
        <v/>
      </c>
      <c r="G2385" s="53">
        <f>IF(B2385="","",IFERROR(INDEX(Client_List!$K:$K,MATCH(VALUE(B2385),Client_List!$A:$A,0)),""))</f>
        <v/>
      </c>
      <c r="H2385" s="32">
        <f>IF(B2385="","",IFERROR(INDEX(Client_List!$J:$J,MATCH(VALUE(B2385),Client_List!$A:$A,0)),""))</f>
        <v/>
      </c>
      <c r="I2385" s="70">
        <f>IF(B2385="","",IFERROR(A2385-LOOKUP(2,1/($B$4:$B2384=B2385),$A$4:$A2384),""))</f>
        <v/>
      </c>
      <c r="J2385" s="32">
        <f>IF(B2385="","",IFERROR(D2385/I2385,""))</f>
        <v/>
      </c>
      <c r="K2385" s="71">
        <f>IF(B2385="","",IFERROR(AVERAGEIFS($J$4:$J2385,$B$4:$B2385,B2385,$J$4:$J2385,"&gt;"&amp;0),""))</f>
        <v/>
      </c>
      <c r="L2385" s="11" t="n"/>
    </row>
    <row r="2386" ht="14" customHeight="1" s="72">
      <c r="A2386" s="80" t="n"/>
      <c r="B2386" s="81" t="n"/>
      <c r="C2386" s="69">
        <f>IF(B2386="","",IFERROR(INDEX(Client_List!$B:$B,MATCH(B2386,Client_List!$A:$A,0)),"⚠ NOT FOUND"))</f>
        <v/>
      </c>
      <c r="D2386" s="45" t="n"/>
      <c r="E2386" s="32">
        <f>IF(B2386="","",IFERROR(INDEX(Client_List!$C:$C,MATCH(VALUE(B2386),Client_List!$A:$A,0)),""))</f>
        <v/>
      </c>
      <c r="F2386" s="53">
        <f>IF(B2386="","",IFERROR(INDEX(Client_List!$D:$D,MATCH(VALUE(B2386),Client_List!$A:$A,0)),""))</f>
        <v/>
      </c>
      <c r="G2386" s="53">
        <f>IF(B2386="","",IFERROR(INDEX(Client_List!$K:$K,MATCH(VALUE(B2386),Client_List!$A:$A,0)),""))</f>
        <v/>
      </c>
      <c r="H2386" s="32">
        <f>IF(B2386="","",IFERROR(INDEX(Client_List!$J:$J,MATCH(VALUE(B2386),Client_List!$A:$A,0)),""))</f>
        <v/>
      </c>
      <c r="I2386" s="70">
        <f>IF(B2386="","",IFERROR(A2386-LOOKUP(2,1/($B$4:$B2385=B2386),$A$4:$A2385),""))</f>
        <v/>
      </c>
      <c r="J2386" s="32">
        <f>IF(B2386="","",IFERROR(D2386/I2386,""))</f>
        <v/>
      </c>
      <c r="K2386" s="71">
        <f>IF(B2386="","",IFERROR(AVERAGEIFS($J$4:$J2386,$B$4:$B2386,B2386,$J$4:$J2386,"&gt;"&amp;0),""))</f>
        <v/>
      </c>
      <c r="L2386" s="12" t="n"/>
    </row>
    <row r="2387" ht="14" customHeight="1" s="72">
      <c r="A2387" s="78" t="n"/>
      <c r="B2387" s="79" t="n"/>
      <c r="C2387" s="69">
        <f>IF(B2387="","",IFERROR(INDEX(Client_List!$B:$B,MATCH(B2387,Client_List!$A:$A,0)),"⚠ NOT FOUND"))</f>
        <v/>
      </c>
      <c r="D2387" s="44" t="n"/>
      <c r="E2387" s="32">
        <f>IF(B2387="","",IFERROR(INDEX(Client_List!$C:$C,MATCH(VALUE(B2387),Client_List!$A:$A,0)),""))</f>
        <v/>
      </c>
      <c r="F2387" s="53">
        <f>IF(B2387="","",IFERROR(INDEX(Client_List!$D:$D,MATCH(VALUE(B2387),Client_List!$A:$A,0)),""))</f>
        <v/>
      </c>
      <c r="G2387" s="53">
        <f>IF(B2387="","",IFERROR(INDEX(Client_List!$K:$K,MATCH(VALUE(B2387),Client_List!$A:$A,0)),""))</f>
        <v/>
      </c>
      <c r="H2387" s="32">
        <f>IF(B2387="","",IFERROR(INDEX(Client_List!$J:$J,MATCH(VALUE(B2387),Client_List!$A:$A,0)),""))</f>
        <v/>
      </c>
      <c r="I2387" s="70">
        <f>IF(B2387="","",IFERROR(A2387-LOOKUP(2,1/($B$4:$B2386=B2387),$A$4:$A2386),""))</f>
        <v/>
      </c>
      <c r="J2387" s="32">
        <f>IF(B2387="","",IFERROR(D2387/I2387,""))</f>
        <v/>
      </c>
      <c r="K2387" s="71">
        <f>IF(B2387="","",IFERROR(AVERAGEIFS($J$4:$J2387,$B$4:$B2387,B2387,$J$4:$J2387,"&gt;"&amp;0),""))</f>
        <v/>
      </c>
      <c r="L2387" s="11" t="n"/>
    </row>
    <row r="2388" ht="14" customHeight="1" s="72">
      <c r="A2388" s="80" t="n"/>
      <c r="B2388" s="81" t="n"/>
      <c r="C2388" s="69">
        <f>IF(B2388="","",IFERROR(INDEX(Client_List!$B:$B,MATCH(B2388,Client_List!$A:$A,0)),"⚠ NOT FOUND"))</f>
        <v/>
      </c>
      <c r="D2388" s="45" t="n"/>
      <c r="E2388" s="32">
        <f>IF(B2388="","",IFERROR(INDEX(Client_List!$C:$C,MATCH(VALUE(B2388),Client_List!$A:$A,0)),""))</f>
        <v/>
      </c>
      <c r="F2388" s="53">
        <f>IF(B2388="","",IFERROR(INDEX(Client_List!$D:$D,MATCH(VALUE(B2388),Client_List!$A:$A,0)),""))</f>
        <v/>
      </c>
      <c r="G2388" s="53">
        <f>IF(B2388="","",IFERROR(INDEX(Client_List!$K:$K,MATCH(VALUE(B2388),Client_List!$A:$A,0)),""))</f>
        <v/>
      </c>
      <c r="H2388" s="32">
        <f>IF(B2388="","",IFERROR(INDEX(Client_List!$J:$J,MATCH(VALUE(B2388),Client_List!$A:$A,0)),""))</f>
        <v/>
      </c>
      <c r="I2388" s="70">
        <f>IF(B2388="","",IFERROR(A2388-LOOKUP(2,1/($B$4:$B2387=B2388),$A$4:$A2387),""))</f>
        <v/>
      </c>
      <c r="J2388" s="32">
        <f>IF(B2388="","",IFERROR(D2388/I2388,""))</f>
        <v/>
      </c>
      <c r="K2388" s="71">
        <f>IF(B2388="","",IFERROR(AVERAGEIFS($J$4:$J2388,$B$4:$B2388,B2388,$J$4:$J2388,"&gt;"&amp;0),""))</f>
        <v/>
      </c>
      <c r="L2388" s="12" t="n"/>
    </row>
    <row r="2389" ht="14" customHeight="1" s="72">
      <c r="A2389" s="78" t="n"/>
      <c r="B2389" s="79" t="n"/>
      <c r="C2389" s="69">
        <f>IF(B2389="","",IFERROR(INDEX(Client_List!$B:$B,MATCH(B2389,Client_List!$A:$A,0)),"⚠ NOT FOUND"))</f>
        <v/>
      </c>
      <c r="D2389" s="44" t="n"/>
      <c r="E2389" s="32">
        <f>IF(B2389="","",IFERROR(INDEX(Client_List!$C:$C,MATCH(VALUE(B2389),Client_List!$A:$A,0)),""))</f>
        <v/>
      </c>
      <c r="F2389" s="53">
        <f>IF(B2389="","",IFERROR(INDEX(Client_List!$D:$D,MATCH(VALUE(B2389),Client_List!$A:$A,0)),""))</f>
        <v/>
      </c>
      <c r="G2389" s="53">
        <f>IF(B2389="","",IFERROR(INDEX(Client_List!$K:$K,MATCH(VALUE(B2389),Client_List!$A:$A,0)),""))</f>
        <v/>
      </c>
      <c r="H2389" s="32">
        <f>IF(B2389="","",IFERROR(INDEX(Client_List!$J:$J,MATCH(VALUE(B2389),Client_List!$A:$A,0)),""))</f>
        <v/>
      </c>
      <c r="I2389" s="70">
        <f>IF(B2389="","",IFERROR(A2389-LOOKUP(2,1/($B$4:$B2388=B2389),$A$4:$A2388),""))</f>
        <v/>
      </c>
      <c r="J2389" s="32">
        <f>IF(B2389="","",IFERROR(D2389/I2389,""))</f>
        <v/>
      </c>
      <c r="K2389" s="71">
        <f>IF(B2389="","",IFERROR(AVERAGEIFS($J$4:$J2389,$B$4:$B2389,B2389,$J$4:$J2389,"&gt;"&amp;0),""))</f>
        <v/>
      </c>
      <c r="L2389" s="11" t="n"/>
    </row>
    <row r="2390" ht="14" customHeight="1" s="72">
      <c r="A2390" s="80" t="n"/>
      <c r="B2390" s="81" t="n"/>
      <c r="C2390" s="69">
        <f>IF(B2390="","",IFERROR(INDEX(Client_List!$B:$B,MATCH(B2390,Client_List!$A:$A,0)),"⚠ NOT FOUND"))</f>
        <v/>
      </c>
      <c r="D2390" s="45" t="n"/>
      <c r="E2390" s="32">
        <f>IF(B2390="","",IFERROR(INDEX(Client_List!$C:$C,MATCH(VALUE(B2390),Client_List!$A:$A,0)),""))</f>
        <v/>
      </c>
      <c r="F2390" s="53">
        <f>IF(B2390="","",IFERROR(INDEX(Client_List!$D:$D,MATCH(VALUE(B2390),Client_List!$A:$A,0)),""))</f>
        <v/>
      </c>
      <c r="G2390" s="53">
        <f>IF(B2390="","",IFERROR(INDEX(Client_List!$K:$K,MATCH(VALUE(B2390),Client_List!$A:$A,0)),""))</f>
        <v/>
      </c>
      <c r="H2390" s="32">
        <f>IF(B2390="","",IFERROR(INDEX(Client_List!$J:$J,MATCH(VALUE(B2390),Client_List!$A:$A,0)),""))</f>
        <v/>
      </c>
      <c r="I2390" s="70">
        <f>IF(B2390="","",IFERROR(A2390-LOOKUP(2,1/($B$4:$B2389=B2390),$A$4:$A2389),""))</f>
        <v/>
      </c>
      <c r="J2390" s="32">
        <f>IF(B2390="","",IFERROR(D2390/I2390,""))</f>
        <v/>
      </c>
      <c r="K2390" s="71">
        <f>IF(B2390="","",IFERROR(AVERAGEIFS($J$4:$J2390,$B$4:$B2390,B2390,$J$4:$J2390,"&gt;"&amp;0),""))</f>
        <v/>
      </c>
      <c r="L2390" s="12" t="n"/>
    </row>
    <row r="2391" ht="14" customHeight="1" s="72">
      <c r="A2391" s="78" t="n"/>
      <c r="B2391" s="79" t="n"/>
      <c r="C2391" s="69">
        <f>IF(B2391="","",IFERROR(INDEX(Client_List!$B:$B,MATCH(B2391,Client_List!$A:$A,0)),"⚠ NOT FOUND"))</f>
        <v/>
      </c>
      <c r="D2391" s="44" t="n"/>
      <c r="E2391" s="32">
        <f>IF(B2391="","",IFERROR(INDEX(Client_List!$C:$C,MATCH(VALUE(B2391),Client_List!$A:$A,0)),""))</f>
        <v/>
      </c>
      <c r="F2391" s="53">
        <f>IF(B2391="","",IFERROR(INDEX(Client_List!$D:$D,MATCH(VALUE(B2391),Client_List!$A:$A,0)),""))</f>
        <v/>
      </c>
      <c r="G2391" s="53">
        <f>IF(B2391="","",IFERROR(INDEX(Client_List!$K:$K,MATCH(VALUE(B2391),Client_List!$A:$A,0)),""))</f>
        <v/>
      </c>
      <c r="H2391" s="32">
        <f>IF(B2391="","",IFERROR(INDEX(Client_List!$J:$J,MATCH(VALUE(B2391),Client_List!$A:$A,0)),""))</f>
        <v/>
      </c>
      <c r="I2391" s="70">
        <f>IF(B2391="","",IFERROR(A2391-LOOKUP(2,1/($B$4:$B2390=B2391),$A$4:$A2390),""))</f>
        <v/>
      </c>
      <c r="J2391" s="32">
        <f>IF(B2391="","",IFERROR(D2391/I2391,""))</f>
        <v/>
      </c>
      <c r="K2391" s="71">
        <f>IF(B2391="","",IFERROR(AVERAGEIFS($J$4:$J2391,$B$4:$B2391,B2391,$J$4:$J2391,"&gt;"&amp;0),""))</f>
        <v/>
      </c>
      <c r="L2391" s="11" t="n"/>
    </row>
    <row r="2392" ht="14" customHeight="1" s="72">
      <c r="A2392" s="80" t="n"/>
      <c r="B2392" s="81" t="n"/>
      <c r="C2392" s="69">
        <f>IF(B2392="","",IFERROR(INDEX(Client_List!$B:$B,MATCH(B2392,Client_List!$A:$A,0)),"⚠ NOT FOUND"))</f>
        <v/>
      </c>
      <c r="D2392" s="45" t="n"/>
      <c r="E2392" s="32">
        <f>IF(B2392="","",IFERROR(INDEX(Client_List!$C:$C,MATCH(VALUE(B2392),Client_List!$A:$A,0)),""))</f>
        <v/>
      </c>
      <c r="F2392" s="53">
        <f>IF(B2392="","",IFERROR(INDEX(Client_List!$D:$D,MATCH(VALUE(B2392),Client_List!$A:$A,0)),""))</f>
        <v/>
      </c>
      <c r="G2392" s="53">
        <f>IF(B2392="","",IFERROR(INDEX(Client_List!$K:$K,MATCH(VALUE(B2392),Client_List!$A:$A,0)),""))</f>
        <v/>
      </c>
      <c r="H2392" s="32">
        <f>IF(B2392="","",IFERROR(INDEX(Client_List!$J:$J,MATCH(VALUE(B2392),Client_List!$A:$A,0)),""))</f>
        <v/>
      </c>
      <c r="I2392" s="70">
        <f>IF(B2392="","",IFERROR(A2392-LOOKUP(2,1/($B$4:$B2391=B2392),$A$4:$A2391),""))</f>
        <v/>
      </c>
      <c r="J2392" s="32">
        <f>IF(B2392="","",IFERROR(D2392/I2392,""))</f>
        <v/>
      </c>
      <c r="K2392" s="71">
        <f>IF(B2392="","",IFERROR(AVERAGEIFS($J$4:$J2392,$B$4:$B2392,B2392,$J$4:$J2392,"&gt;"&amp;0),""))</f>
        <v/>
      </c>
      <c r="L2392" s="12" t="n"/>
    </row>
    <row r="2393" ht="14" customHeight="1" s="72">
      <c r="A2393" s="78" t="n"/>
      <c r="B2393" s="79" t="n"/>
      <c r="C2393" s="69">
        <f>IF(B2393="","",IFERROR(INDEX(Client_List!$B:$B,MATCH(B2393,Client_List!$A:$A,0)),"⚠ NOT FOUND"))</f>
        <v/>
      </c>
      <c r="D2393" s="44" t="n"/>
      <c r="E2393" s="32">
        <f>IF(B2393="","",IFERROR(INDEX(Client_List!$C:$C,MATCH(VALUE(B2393),Client_List!$A:$A,0)),""))</f>
        <v/>
      </c>
      <c r="F2393" s="53">
        <f>IF(B2393="","",IFERROR(INDEX(Client_List!$D:$D,MATCH(VALUE(B2393),Client_List!$A:$A,0)),""))</f>
        <v/>
      </c>
      <c r="G2393" s="53">
        <f>IF(B2393="","",IFERROR(INDEX(Client_List!$K:$K,MATCH(VALUE(B2393),Client_List!$A:$A,0)),""))</f>
        <v/>
      </c>
      <c r="H2393" s="32">
        <f>IF(B2393="","",IFERROR(INDEX(Client_List!$J:$J,MATCH(VALUE(B2393),Client_List!$A:$A,0)),""))</f>
        <v/>
      </c>
      <c r="I2393" s="70">
        <f>IF(B2393="","",IFERROR(A2393-LOOKUP(2,1/($B$4:$B2392=B2393),$A$4:$A2392),""))</f>
        <v/>
      </c>
      <c r="J2393" s="32">
        <f>IF(B2393="","",IFERROR(D2393/I2393,""))</f>
        <v/>
      </c>
      <c r="K2393" s="71">
        <f>IF(B2393="","",IFERROR(AVERAGEIFS($J$4:$J2393,$B$4:$B2393,B2393,$J$4:$J2393,"&gt;"&amp;0),""))</f>
        <v/>
      </c>
      <c r="L2393" s="11" t="n"/>
    </row>
    <row r="2394" ht="14" customHeight="1" s="72">
      <c r="A2394" s="80" t="n"/>
      <c r="B2394" s="81" t="n"/>
      <c r="C2394" s="69">
        <f>IF(B2394="","",IFERROR(INDEX(Client_List!$B:$B,MATCH(B2394,Client_List!$A:$A,0)),"⚠ NOT FOUND"))</f>
        <v/>
      </c>
      <c r="D2394" s="45" t="n"/>
      <c r="E2394" s="32">
        <f>IF(B2394="","",IFERROR(INDEX(Client_List!$C:$C,MATCH(VALUE(B2394),Client_List!$A:$A,0)),""))</f>
        <v/>
      </c>
      <c r="F2394" s="53">
        <f>IF(B2394="","",IFERROR(INDEX(Client_List!$D:$D,MATCH(VALUE(B2394),Client_List!$A:$A,0)),""))</f>
        <v/>
      </c>
      <c r="G2394" s="53">
        <f>IF(B2394="","",IFERROR(INDEX(Client_List!$K:$K,MATCH(VALUE(B2394),Client_List!$A:$A,0)),""))</f>
        <v/>
      </c>
      <c r="H2394" s="32">
        <f>IF(B2394="","",IFERROR(INDEX(Client_List!$J:$J,MATCH(VALUE(B2394),Client_List!$A:$A,0)),""))</f>
        <v/>
      </c>
      <c r="I2394" s="70">
        <f>IF(B2394="","",IFERROR(A2394-LOOKUP(2,1/($B$4:$B2393=B2394),$A$4:$A2393),""))</f>
        <v/>
      </c>
      <c r="J2394" s="32">
        <f>IF(B2394="","",IFERROR(D2394/I2394,""))</f>
        <v/>
      </c>
      <c r="K2394" s="71">
        <f>IF(B2394="","",IFERROR(AVERAGEIFS($J$4:$J2394,$B$4:$B2394,B2394,$J$4:$J2394,"&gt;"&amp;0),""))</f>
        <v/>
      </c>
      <c r="L2394" s="12" t="n"/>
    </row>
    <row r="2395" ht="14" customHeight="1" s="72">
      <c r="A2395" s="78" t="n"/>
      <c r="B2395" s="79" t="n"/>
      <c r="C2395" s="69">
        <f>IF(B2395="","",IFERROR(INDEX(Client_List!$B:$B,MATCH(B2395,Client_List!$A:$A,0)),"⚠ NOT FOUND"))</f>
        <v/>
      </c>
      <c r="D2395" s="44" t="n"/>
      <c r="E2395" s="32">
        <f>IF(B2395="","",IFERROR(INDEX(Client_List!$C:$C,MATCH(VALUE(B2395),Client_List!$A:$A,0)),""))</f>
        <v/>
      </c>
      <c r="F2395" s="53">
        <f>IF(B2395="","",IFERROR(INDEX(Client_List!$D:$D,MATCH(VALUE(B2395),Client_List!$A:$A,0)),""))</f>
        <v/>
      </c>
      <c r="G2395" s="53">
        <f>IF(B2395="","",IFERROR(INDEX(Client_List!$K:$K,MATCH(VALUE(B2395),Client_List!$A:$A,0)),""))</f>
        <v/>
      </c>
      <c r="H2395" s="32">
        <f>IF(B2395="","",IFERROR(INDEX(Client_List!$J:$J,MATCH(VALUE(B2395),Client_List!$A:$A,0)),""))</f>
        <v/>
      </c>
      <c r="I2395" s="70">
        <f>IF(B2395="","",IFERROR(A2395-LOOKUP(2,1/($B$4:$B2394=B2395),$A$4:$A2394),""))</f>
        <v/>
      </c>
      <c r="J2395" s="32">
        <f>IF(B2395="","",IFERROR(D2395/I2395,""))</f>
        <v/>
      </c>
      <c r="K2395" s="71">
        <f>IF(B2395="","",IFERROR(AVERAGEIFS($J$4:$J2395,$B$4:$B2395,B2395,$J$4:$J2395,"&gt;"&amp;0),""))</f>
        <v/>
      </c>
      <c r="L2395" s="11" t="n"/>
    </row>
    <row r="2396" ht="14" customHeight="1" s="72">
      <c r="A2396" s="80" t="n"/>
      <c r="B2396" s="81" t="n"/>
      <c r="C2396" s="69">
        <f>IF(B2396="","",IFERROR(INDEX(Client_List!$B:$B,MATCH(B2396,Client_List!$A:$A,0)),"⚠ NOT FOUND"))</f>
        <v/>
      </c>
      <c r="D2396" s="45" t="n"/>
      <c r="E2396" s="32">
        <f>IF(B2396="","",IFERROR(INDEX(Client_List!$C:$C,MATCH(VALUE(B2396),Client_List!$A:$A,0)),""))</f>
        <v/>
      </c>
      <c r="F2396" s="53">
        <f>IF(B2396="","",IFERROR(INDEX(Client_List!$D:$D,MATCH(VALUE(B2396),Client_List!$A:$A,0)),""))</f>
        <v/>
      </c>
      <c r="G2396" s="53">
        <f>IF(B2396="","",IFERROR(INDEX(Client_List!$K:$K,MATCH(VALUE(B2396),Client_List!$A:$A,0)),""))</f>
        <v/>
      </c>
      <c r="H2396" s="32">
        <f>IF(B2396="","",IFERROR(INDEX(Client_List!$J:$J,MATCH(VALUE(B2396),Client_List!$A:$A,0)),""))</f>
        <v/>
      </c>
      <c r="I2396" s="70">
        <f>IF(B2396="","",IFERROR(A2396-LOOKUP(2,1/($B$4:$B2395=B2396),$A$4:$A2395),""))</f>
        <v/>
      </c>
      <c r="J2396" s="32">
        <f>IF(B2396="","",IFERROR(D2396/I2396,""))</f>
        <v/>
      </c>
      <c r="K2396" s="71">
        <f>IF(B2396="","",IFERROR(AVERAGEIFS($J$4:$J2396,$B$4:$B2396,B2396,$J$4:$J2396,"&gt;"&amp;0),""))</f>
        <v/>
      </c>
      <c r="L2396" s="12" t="n"/>
    </row>
    <row r="2397" ht="14" customHeight="1" s="72">
      <c r="A2397" s="78" t="n"/>
      <c r="B2397" s="79" t="n"/>
      <c r="C2397" s="69">
        <f>IF(B2397="","",IFERROR(INDEX(Client_List!$B:$B,MATCH(B2397,Client_List!$A:$A,0)),"⚠ NOT FOUND"))</f>
        <v/>
      </c>
      <c r="D2397" s="44" t="n"/>
      <c r="E2397" s="32">
        <f>IF(B2397="","",IFERROR(INDEX(Client_List!$C:$C,MATCH(VALUE(B2397),Client_List!$A:$A,0)),""))</f>
        <v/>
      </c>
      <c r="F2397" s="53">
        <f>IF(B2397="","",IFERROR(INDEX(Client_List!$D:$D,MATCH(VALUE(B2397),Client_List!$A:$A,0)),""))</f>
        <v/>
      </c>
      <c r="G2397" s="53">
        <f>IF(B2397="","",IFERROR(INDEX(Client_List!$K:$K,MATCH(VALUE(B2397),Client_List!$A:$A,0)),""))</f>
        <v/>
      </c>
      <c r="H2397" s="32">
        <f>IF(B2397="","",IFERROR(INDEX(Client_List!$J:$J,MATCH(VALUE(B2397),Client_List!$A:$A,0)),""))</f>
        <v/>
      </c>
      <c r="I2397" s="70">
        <f>IF(B2397="","",IFERROR(A2397-LOOKUP(2,1/($B$4:$B2396=B2397),$A$4:$A2396),""))</f>
        <v/>
      </c>
      <c r="J2397" s="32">
        <f>IF(B2397="","",IFERROR(D2397/I2397,""))</f>
        <v/>
      </c>
      <c r="K2397" s="71">
        <f>IF(B2397="","",IFERROR(AVERAGEIFS($J$4:$J2397,$B$4:$B2397,B2397,$J$4:$J2397,"&gt;"&amp;0),""))</f>
        <v/>
      </c>
      <c r="L2397" s="11" t="n"/>
    </row>
    <row r="2398" ht="14" customHeight="1" s="72">
      <c r="A2398" s="80" t="n"/>
      <c r="B2398" s="81" t="n"/>
      <c r="C2398" s="69">
        <f>IF(B2398="","",IFERROR(INDEX(Client_List!$B:$B,MATCH(B2398,Client_List!$A:$A,0)),"⚠ NOT FOUND"))</f>
        <v/>
      </c>
      <c r="D2398" s="45" t="n"/>
      <c r="E2398" s="32">
        <f>IF(B2398="","",IFERROR(INDEX(Client_List!$C:$C,MATCH(VALUE(B2398),Client_List!$A:$A,0)),""))</f>
        <v/>
      </c>
      <c r="F2398" s="53">
        <f>IF(B2398="","",IFERROR(INDEX(Client_List!$D:$D,MATCH(VALUE(B2398),Client_List!$A:$A,0)),""))</f>
        <v/>
      </c>
      <c r="G2398" s="53">
        <f>IF(B2398="","",IFERROR(INDEX(Client_List!$K:$K,MATCH(VALUE(B2398),Client_List!$A:$A,0)),""))</f>
        <v/>
      </c>
      <c r="H2398" s="32">
        <f>IF(B2398="","",IFERROR(INDEX(Client_List!$J:$J,MATCH(VALUE(B2398),Client_List!$A:$A,0)),""))</f>
        <v/>
      </c>
      <c r="I2398" s="70">
        <f>IF(B2398="","",IFERROR(A2398-LOOKUP(2,1/($B$4:$B2397=B2398),$A$4:$A2397),""))</f>
        <v/>
      </c>
      <c r="J2398" s="32">
        <f>IF(B2398="","",IFERROR(D2398/I2398,""))</f>
        <v/>
      </c>
      <c r="K2398" s="71">
        <f>IF(B2398="","",IFERROR(AVERAGEIFS($J$4:$J2398,$B$4:$B2398,B2398,$J$4:$J2398,"&gt;"&amp;0),""))</f>
        <v/>
      </c>
      <c r="L2398" s="12" t="n"/>
    </row>
    <row r="2399" ht="14" customHeight="1" s="72">
      <c r="A2399" s="78" t="n"/>
      <c r="B2399" s="79" t="n"/>
      <c r="C2399" s="69">
        <f>IF(B2399="","",IFERROR(INDEX(Client_List!$B:$B,MATCH(B2399,Client_List!$A:$A,0)),"⚠ NOT FOUND"))</f>
        <v/>
      </c>
      <c r="D2399" s="44" t="n"/>
      <c r="E2399" s="32">
        <f>IF(B2399="","",IFERROR(INDEX(Client_List!$C:$C,MATCH(VALUE(B2399),Client_List!$A:$A,0)),""))</f>
        <v/>
      </c>
      <c r="F2399" s="53">
        <f>IF(B2399="","",IFERROR(INDEX(Client_List!$D:$D,MATCH(VALUE(B2399),Client_List!$A:$A,0)),""))</f>
        <v/>
      </c>
      <c r="G2399" s="53">
        <f>IF(B2399="","",IFERROR(INDEX(Client_List!$K:$K,MATCH(VALUE(B2399),Client_List!$A:$A,0)),""))</f>
        <v/>
      </c>
      <c r="H2399" s="32">
        <f>IF(B2399="","",IFERROR(INDEX(Client_List!$J:$J,MATCH(VALUE(B2399),Client_List!$A:$A,0)),""))</f>
        <v/>
      </c>
      <c r="I2399" s="70">
        <f>IF(B2399="","",IFERROR(A2399-LOOKUP(2,1/($B$4:$B2398=B2399),$A$4:$A2398),""))</f>
        <v/>
      </c>
      <c r="J2399" s="32">
        <f>IF(B2399="","",IFERROR(D2399/I2399,""))</f>
        <v/>
      </c>
      <c r="K2399" s="71">
        <f>IF(B2399="","",IFERROR(AVERAGEIFS($J$4:$J2399,$B$4:$B2399,B2399,$J$4:$J2399,"&gt;"&amp;0),""))</f>
        <v/>
      </c>
      <c r="L2399" s="11" t="n"/>
    </row>
    <row r="2400" ht="14" customHeight="1" s="72">
      <c r="A2400" s="80" t="n"/>
      <c r="B2400" s="81" t="n"/>
      <c r="C2400" s="69">
        <f>IF(B2400="","",IFERROR(INDEX(Client_List!$B:$B,MATCH(B2400,Client_List!$A:$A,0)),"⚠ NOT FOUND"))</f>
        <v/>
      </c>
      <c r="D2400" s="45" t="n"/>
      <c r="E2400" s="32">
        <f>IF(B2400="","",IFERROR(INDEX(Client_List!$C:$C,MATCH(VALUE(B2400),Client_List!$A:$A,0)),""))</f>
        <v/>
      </c>
      <c r="F2400" s="53">
        <f>IF(B2400="","",IFERROR(INDEX(Client_List!$D:$D,MATCH(VALUE(B2400),Client_List!$A:$A,0)),""))</f>
        <v/>
      </c>
      <c r="G2400" s="53">
        <f>IF(B2400="","",IFERROR(INDEX(Client_List!$K:$K,MATCH(VALUE(B2400),Client_List!$A:$A,0)),""))</f>
        <v/>
      </c>
      <c r="H2400" s="32">
        <f>IF(B2400="","",IFERROR(INDEX(Client_List!$J:$J,MATCH(VALUE(B2400),Client_List!$A:$A,0)),""))</f>
        <v/>
      </c>
      <c r="I2400" s="70">
        <f>IF(B2400="","",IFERROR(A2400-LOOKUP(2,1/($B$4:$B2399=B2400),$A$4:$A2399),""))</f>
        <v/>
      </c>
      <c r="J2400" s="32">
        <f>IF(B2400="","",IFERROR(D2400/I2400,""))</f>
        <v/>
      </c>
      <c r="K2400" s="71">
        <f>IF(B2400="","",IFERROR(AVERAGEIFS($J$4:$J2400,$B$4:$B2400,B2400,$J$4:$J2400,"&gt;"&amp;0),""))</f>
        <v/>
      </c>
      <c r="L2400" s="12" t="n"/>
    </row>
    <row r="2401" ht="14" customHeight="1" s="72">
      <c r="A2401" s="78" t="n"/>
      <c r="B2401" s="79" t="n"/>
      <c r="C2401" s="69">
        <f>IF(B2401="","",IFERROR(INDEX(Client_List!$B:$B,MATCH(B2401,Client_List!$A:$A,0)),"⚠ NOT FOUND"))</f>
        <v/>
      </c>
      <c r="D2401" s="44" t="n"/>
      <c r="E2401" s="32">
        <f>IF(B2401="","",IFERROR(INDEX(Client_List!$C:$C,MATCH(VALUE(B2401),Client_List!$A:$A,0)),""))</f>
        <v/>
      </c>
      <c r="F2401" s="53">
        <f>IF(B2401="","",IFERROR(INDEX(Client_List!$D:$D,MATCH(VALUE(B2401),Client_List!$A:$A,0)),""))</f>
        <v/>
      </c>
      <c r="G2401" s="53">
        <f>IF(B2401="","",IFERROR(INDEX(Client_List!$K:$K,MATCH(VALUE(B2401),Client_List!$A:$A,0)),""))</f>
        <v/>
      </c>
      <c r="H2401" s="32">
        <f>IF(B2401="","",IFERROR(INDEX(Client_List!$J:$J,MATCH(VALUE(B2401),Client_List!$A:$A,0)),""))</f>
        <v/>
      </c>
      <c r="I2401" s="70">
        <f>IF(B2401="","",IFERROR(A2401-LOOKUP(2,1/($B$4:$B2400=B2401),$A$4:$A2400),""))</f>
        <v/>
      </c>
      <c r="J2401" s="32">
        <f>IF(B2401="","",IFERROR(D2401/I2401,""))</f>
        <v/>
      </c>
      <c r="K2401" s="71">
        <f>IF(B2401="","",IFERROR(AVERAGEIFS($J$4:$J2401,$B$4:$B2401,B2401,$J$4:$J2401,"&gt;"&amp;0),""))</f>
        <v/>
      </c>
      <c r="L2401" s="11" t="n"/>
    </row>
    <row r="2402" ht="14" customHeight="1" s="72">
      <c r="A2402" s="80" t="n"/>
      <c r="B2402" s="81" t="n"/>
      <c r="C2402" s="69">
        <f>IF(B2402="","",IFERROR(INDEX(Client_List!$B:$B,MATCH(B2402,Client_List!$A:$A,0)),"⚠ NOT FOUND"))</f>
        <v/>
      </c>
      <c r="D2402" s="45" t="n"/>
      <c r="E2402" s="32">
        <f>IF(B2402="","",IFERROR(INDEX(Client_List!$C:$C,MATCH(VALUE(B2402),Client_List!$A:$A,0)),""))</f>
        <v/>
      </c>
      <c r="F2402" s="53">
        <f>IF(B2402="","",IFERROR(INDEX(Client_List!$D:$D,MATCH(VALUE(B2402),Client_List!$A:$A,0)),""))</f>
        <v/>
      </c>
      <c r="G2402" s="53">
        <f>IF(B2402="","",IFERROR(INDEX(Client_List!$K:$K,MATCH(VALUE(B2402),Client_List!$A:$A,0)),""))</f>
        <v/>
      </c>
      <c r="H2402" s="32">
        <f>IF(B2402="","",IFERROR(INDEX(Client_List!$J:$J,MATCH(VALUE(B2402),Client_List!$A:$A,0)),""))</f>
        <v/>
      </c>
      <c r="I2402" s="70">
        <f>IF(B2402="","",IFERROR(A2402-LOOKUP(2,1/($B$4:$B2401=B2402),$A$4:$A2401),""))</f>
        <v/>
      </c>
      <c r="J2402" s="32">
        <f>IF(B2402="","",IFERROR(D2402/I2402,""))</f>
        <v/>
      </c>
      <c r="K2402" s="71">
        <f>IF(B2402="","",IFERROR(AVERAGEIFS($J$4:$J2402,$B$4:$B2402,B2402,$J$4:$J2402,"&gt;"&amp;0),""))</f>
        <v/>
      </c>
      <c r="L2402" s="12" t="n"/>
    </row>
    <row r="2403" ht="14" customHeight="1" s="72">
      <c r="A2403" s="78" t="n"/>
      <c r="B2403" s="79" t="n"/>
      <c r="C2403" s="69">
        <f>IF(B2403="","",IFERROR(INDEX(Client_List!$B:$B,MATCH(B2403,Client_List!$A:$A,0)),"⚠ NOT FOUND"))</f>
        <v/>
      </c>
      <c r="D2403" s="44" t="n"/>
      <c r="E2403" s="32">
        <f>IF(B2403="","",IFERROR(INDEX(Client_List!$C:$C,MATCH(VALUE(B2403),Client_List!$A:$A,0)),""))</f>
        <v/>
      </c>
      <c r="F2403" s="53">
        <f>IF(B2403="","",IFERROR(INDEX(Client_List!$D:$D,MATCH(VALUE(B2403),Client_List!$A:$A,0)),""))</f>
        <v/>
      </c>
      <c r="G2403" s="53">
        <f>IF(B2403="","",IFERROR(INDEX(Client_List!$K:$K,MATCH(VALUE(B2403),Client_List!$A:$A,0)),""))</f>
        <v/>
      </c>
      <c r="H2403" s="32">
        <f>IF(B2403="","",IFERROR(INDEX(Client_List!$J:$J,MATCH(VALUE(B2403),Client_List!$A:$A,0)),""))</f>
        <v/>
      </c>
      <c r="I2403" s="70">
        <f>IF(B2403="","",IFERROR(A2403-LOOKUP(2,1/($B$4:$B2402=B2403),$A$4:$A2402),""))</f>
        <v/>
      </c>
      <c r="J2403" s="32">
        <f>IF(B2403="","",IFERROR(D2403/I2403,""))</f>
        <v/>
      </c>
      <c r="K2403" s="71">
        <f>IF(B2403="","",IFERROR(AVERAGEIFS($J$4:$J2403,$B$4:$B2403,B2403,$J$4:$J2403,"&gt;"&amp;0),""))</f>
        <v/>
      </c>
      <c r="L2403" s="11" t="n"/>
    </row>
    <row r="2404" ht="14" customHeight="1" s="72">
      <c r="A2404" s="80" t="n"/>
      <c r="B2404" s="81" t="n"/>
      <c r="C2404" s="69">
        <f>IF(B2404="","",IFERROR(INDEX(Client_List!$B:$B,MATCH(B2404,Client_List!$A:$A,0)),"⚠ NOT FOUND"))</f>
        <v/>
      </c>
      <c r="D2404" s="45" t="n"/>
      <c r="E2404" s="32">
        <f>IF(B2404="","",IFERROR(INDEX(Client_List!$C:$C,MATCH(VALUE(B2404),Client_List!$A:$A,0)),""))</f>
        <v/>
      </c>
      <c r="F2404" s="53">
        <f>IF(B2404="","",IFERROR(INDEX(Client_List!$D:$D,MATCH(VALUE(B2404),Client_List!$A:$A,0)),""))</f>
        <v/>
      </c>
      <c r="G2404" s="53">
        <f>IF(B2404="","",IFERROR(INDEX(Client_List!$K:$K,MATCH(VALUE(B2404),Client_List!$A:$A,0)),""))</f>
        <v/>
      </c>
      <c r="H2404" s="32">
        <f>IF(B2404="","",IFERROR(INDEX(Client_List!$J:$J,MATCH(VALUE(B2404),Client_List!$A:$A,0)),""))</f>
        <v/>
      </c>
      <c r="I2404" s="70">
        <f>IF(B2404="","",IFERROR(A2404-LOOKUP(2,1/($B$4:$B2403=B2404),$A$4:$A2403),""))</f>
        <v/>
      </c>
      <c r="J2404" s="32">
        <f>IF(B2404="","",IFERROR(D2404/I2404,""))</f>
        <v/>
      </c>
      <c r="K2404" s="71">
        <f>IF(B2404="","",IFERROR(AVERAGEIFS($J$4:$J2404,$B$4:$B2404,B2404,$J$4:$J2404,"&gt;"&amp;0),""))</f>
        <v/>
      </c>
      <c r="L2404" s="12" t="n"/>
    </row>
    <row r="2405" ht="14" customHeight="1" s="72">
      <c r="A2405" s="78" t="n"/>
      <c r="B2405" s="79" t="n"/>
      <c r="C2405" s="69">
        <f>IF(B2405="","",IFERROR(INDEX(Client_List!$B:$B,MATCH(B2405,Client_List!$A:$A,0)),"⚠ NOT FOUND"))</f>
        <v/>
      </c>
      <c r="D2405" s="44" t="n"/>
      <c r="E2405" s="32">
        <f>IF(B2405="","",IFERROR(INDEX(Client_List!$C:$C,MATCH(VALUE(B2405),Client_List!$A:$A,0)),""))</f>
        <v/>
      </c>
      <c r="F2405" s="53">
        <f>IF(B2405="","",IFERROR(INDEX(Client_List!$D:$D,MATCH(VALUE(B2405),Client_List!$A:$A,0)),""))</f>
        <v/>
      </c>
      <c r="G2405" s="53">
        <f>IF(B2405="","",IFERROR(INDEX(Client_List!$K:$K,MATCH(VALUE(B2405),Client_List!$A:$A,0)),""))</f>
        <v/>
      </c>
      <c r="H2405" s="32">
        <f>IF(B2405="","",IFERROR(INDEX(Client_List!$J:$J,MATCH(VALUE(B2405),Client_List!$A:$A,0)),""))</f>
        <v/>
      </c>
      <c r="I2405" s="70">
        <f>IF(B2405="","",IFERROR(A2405-LOOKUP(2,1/($B$4:$B2404=B2405),$A$4:$A2404),""))</f>
        <v/>
      </c>
      <c r="J2405" s="32">
        <f>IF(B2405="","",IFERROR(D2405/I2405,""))</f>
        <v/>
      </c>
      <c r="K2405" s="71">
        <f>IF(B2405="","",IFERROR(AVERAGEIFS($J$4:$J2405,$B$4:$B2405,B2405,$J$4:$J2405,"&gt;"&amp;0),""))</f>
        <v/>
      </c>
      <c r="L2405" s="11" t="n"/>
    </row>
    <row r="2406" ht="14" customHeight="1" s="72">
      <c r="A2406" s="80" t="n"/>
      <c r="B2406" s="81" t="n"/>
      <c r="C2406" s="69">
        <f>IF(B2406="","",IFERROR(INDEX(Client_List!$B:$B,MATCH(B2406,Client_List!$A:$A,0)),"⚠ NOT FOUND"))</f>
        <v/>
      </c>
      <c r="D2406" s="45" t="n"/>
      <c r="E2406" s="32">
        <f>IF(B2406="","",IFERROR(INDEX(Client_List!$C:$C,MATCH(VALUE(B2406),Client_List!$A:$A,0)),""))</f>
        <v/>
      </c>
      <c r="F2406" s="53">
        <f>IF(B2406="","",IFERROR(INDEX(Client_List!$D:$D,MATCH(VALUE(B2406),Client_List!$A:$A,0)),""))</f>
        <v/>
      </c>
      <c r="G2406" s="53">
        <f>IF(B2406="","",IFERROR(INDEX(Client_List!$K:$K,MATCH(VALUE(B2406),Client_List!$A:$A,0)),""))</f>
        <v/>
      </c>
      <c r="H2406" s="32">
        <f>IF(B2406="","",IFERROR(INDEX(Client_List!$J:$J,MATCH(VALUE(B2406),Client_List!$A:$A,0)),""))</f>
        <v/>
      </c>
      <c r="I2406" s="70">
        <f>IF(B2406="","",IFERROR(A2406-LOOKUP(2,1/($B$4:$B2405=B2406),$A$4:$A2405),""))</f>
        <v/>
      </c>
      <c r="J2406" s="32">
        <f>IF(B2406="","",IFERROR(D2406/I2406,""))</f>
        <v/>
      </c>
      <c r="K2406" s="71">
        <f>IF(B2406="","",IFERROR(AVERAGEIFS($J$4:$J2406,$B$4:$B2406,B2406,$J$4:$J2406,"&gt;"&amp;0),""))</f>
        <v/>
      </c>
      <c r="L2406" s="12" t="n"/>
    </row>
    <row r="2407" ht="14" customHeight="1" s="72">
      <c r="A2407" s="78" t="n"/>
      <c r="B2407" s="79" t="n"/>
      <c r="C2407" s="69">
        <f>IF(B2407="","",IFERROR(INDEX(Client_List!$B:$B,MATCH(B2407,Client_List!$A:$A,0)),"⚠ NOT FOUND"))</f>
        <v/>
      </c>
      <c r="D2407" s="44" t="n"/>
      <c r="E2407" s="32">
        <f>IF(B2407="","",IFERROR(INDEX(Client_List!$C:$C,MATCH(VALUE(B2407),Client_List!$A:$A,0)),""))</f>
        <v/>
      </c>
      <c r="F2407" s="53">
        <f>IF(B2407="","",IFERROR(INDEX(Client_List!$D:$D,MATCH(VALUE(B2407),Client_List!$A:$A,0)),""))</f>
        <v/>
      </c>
      <c r="G2407" s="53">
        <f>IF(B2407="","",IFERROR(INDEX(Client_List!$K:$K,MATCH(VALUE(B2407),Client_List!$A:$A,0)),""))</f>
        <v/>
      </c>
      <c r="H2407" s="32">
        <f>IF(B2407="","",IFERROR(INDEX(Client_List!$J:$J,MATCH(VALUE(B2407),Client_List!$A:$A,0)),""))</f>
        <v/>
      </c>
      <c r="I2407" s="70">
        <f>IF(B2407="","",IFERROR(A2407-LOOKUP(2,1/($B$4:$B2406=B2407),$A$4:$A2406),""))</f>
        <v/>
      </c>
      <c r="J2407" s="32">
        <f>IF(B2407="","",IFERROR(D2407/I2407,""))</f>
        <v/>
      </c>
      <c r="K2407" s="71">
        <f>IF(B2407="","",IFERROR(AVERAGEIFS($J$4:$J2407,$B$4:$B2407,B2407,$J$4:$J2407,"&gt;"&amp;0),""))</f>
        <v/>
      </c>
      <c r="L2407" s="11" t="n"/>
    </row>
    <row r="2408" ht="14" customHeight="1" s="72">
      <c r="A2408" s="80" t="n"/>
      <c r="B2408" s="81" t="n"/>
      <c r="C2408" s="69">
        <f>IF(B2408="","",IFERROR(INDEX(Client_List!$B:$B,MATCH(B2408,Client_List!$A:$A,0)),"⚠ NOT FOUND"))</f>
        <v/>
      </c>
      <c r="D2408" s="45" t="n"/>
      <c r="E2408" s="32">
        <f>IF(B2408="","",IFERROR(INDEX(Client_List!$C:$C,MATCH(VALUE(B2408),Client_List!$A:$A,0)),""))</f>
        <v/>
      </c>
      <c r="F2408" s="53">
        <f>IF(B2408="","",IFERROR(INDEX(Client_List!$D:$D,MATCH(VALUE(B2408),Client_List!$A:$A,0)),""))</f>
        <v/>
      </c>
      <c r="G2408" s="53">
        <f>IF(B2408="","",IFERROR(INDEX(Client_List!$K:$K,MATCH(VALUE(B2408),Client_List!$A:$A,0)),""))</f>
        <v/>
      </c>
      <c r="H2408" s="32">
        <f>IF(B2408="","",IFERROR(INDEX(Client_List!$J:$J,MATCH(VALUE(B2408),Client_List!$A:$A,0)),""))</f>
        <v/>
      </c>
      <c r="I2408" s="70">
        <f>IF(B2408="","",IFERROR(A2408-LOOKUP(2,1/($B$4:$B2407=B2408),$A$4:$A2407),""))</f>
        <v/>
      </c>
      <c r="J2408" s="32">
        <f>IF(B2408="","",IFERROR(D2408/I2408,""))</f>
        <v/>
      </c>
      <c r="K2408" s="71">
        <f>IF(B2408="","",IFERROR(AVERAGEIFS($J$4:$J2408,$B$4:$B2408,B2408,$J$4:$J2408,"&gt;"&amp;0),""))</f>
        <v/>
      </c>
      <c r="L2408" s="12" t="n"/>
    </row>
    <row r="2409" ht="14" customHeight="1" s="72">
      <c r="A2409" s="78" t="n"/>
      <c r="B2409" s="79" t="n"/>
      <c r="C2409" s="69">
        <f>IF(B2409="","",IFERROR(INDEX(Client_List!$B:$B,MATCH(B2409,Client_List!$A:$A,0)),"⚠ NOT FOUND"))</f>
        <v/>
      </c>
      <c r="D2409" s="44" t="n"/>
      <c r="E2409" s="32">
        <f>IF(B2409="","",IFERROR(INDEX(Client_List!$C:$C,MATCH(VALUE(B2409),Client_List!$A:$A,0)),""))</f>
        <v/>
      </c>
      <c r="F2409" s="53">
        <f>IF(B2409="","",IFERROR(INDEX(Client_List!$D:$D,MATCH(VALUE(B2409),Client_List!$A:$A,0)),""))</f>
        <v/>
      </c>
      <c r="G2409" s="53">
        <f>IF(B2409="","",IFERROR(INDEX(Client_List!$K:$K,MATCH(VALUE(B2409),Client_List!$A:$A,0)),""))</f>
        <v/>
      </c>
      <c r="H2409" s="32">
        <f>IF(B2409="","",IFERROR(INDEX(Client_List!$J:$J,MATCH(VALUE(B2409),Client_List!$A:$A,0)),""))</f>
        <v/>
      </c>
      <c r="I2409" s="70">
        <f>IF(B2409="","",IFERROR(A2409-LOOKUP(2,1/($B$4:$B2408=B2409),$A$4:$A2408),""))</f>
        <v/>
      </c>
      <c r="J2409" s="32">
        <f>IF(B2409="","",IFERROR(D2409/I2409,""))</f>
        <v/>
      </c>
      <c r="K2409" s="71">
        <f>IF(B2409="","",IFERROR(AVERAGEIFS($J$4:$J2409,$B$4:$B2409,B2409,$J$4:$J2409,"&gt;"&amp;0),""))</f>
        <v/>
      </c>
      <c r="L2409" s="11" t="n"/>
    </row>
    <row r="2410" ht="14" customHeight="1" s="72">
      <c r="A2410" s="80" t="n"/>
      <c r="B2410" s="81" t="n"/>
      <c r="C2410" s="69">
        <f>IF(B2410="","",IFERROR(INDEX(Client_List!$B:$B,MATCH(B2410,Client_List!$A:$A,0)),"⚠ NOT FOUND"))</f>
        <v/>
      </c>
      <c r="D2410" s="45" t="n"/>
      <c r="E2410" s="32">
        <f>IF(B2410="","",IFERROR(INDEX(Client_List!$C:$C,MATCH(VALUE(B2410),Client_List!$A:$A,0)),""))</f>
        <v/>
      </c>
      <c r="F2410" s="53">
        <f>IF(B2410="","",IFERROR(INDEX(Client_List!$D:$D,MATCH(VALUE(B2410),Client_List!$A:$A,0)),""))</f>
        <v/>
      </c>
      <c r="G2410" s="53">
        <f>IF(B2410="","",IFERROR(INDEX(Client_List!$K:$K,MATCH(VALUE(B2410),Client_List!$A:$A,0)),""))</f>
        <v/>
      </c>
      <c r="H2410" s="32">
        <f>IF(B2410="","",IFERROR(INDEX(Client_List!$J:$J,MATCH(VALUE(B2410),Client_List!$A:$A,0)),""))</f>
        <v/>
      </c>
      <c r="I2410" s="70">
        <f>IF(B2410="","",IFERROR(A2410-LOOKUP(2,1/($B$4:$B2409=B2410),$A$4:$A2409),""))</f>
        <v/>
      </c>
      <c r="J2410" s="32">
        <f>IF(B2410="","",IFERROR(D2410/I2410,""))</f>
        <v/>
      </c>
      <c r="K2410" s="71">
        <f>IF(B2410="","",IFERROR(AVERAGEIFS($J$4:$J2410,$B$4:$B2410,B2410,$J$4:$J2410,"&gt;"&amp;0),""))</f>
        <v/>
      </c>
      <c r="L2410" s="12" t="n"/>
    </row>
    <row r="2411" ht="14" customHeight="1" s="72">
      <c r="A2411" s="78" t="n"/>
      <c r="B2411" s="79" t="n"/>
      <c r="C2411" s="69">
        <f>IF(B2411="","",IFERROR(INDEX(Client_List!$B:$B,MATCH(B2411,Client_List!$A:$A,0)),"⚠ NOT FOUND"))</f>
        <v/>
      </c>
      <c r="D2411" s="44" t="n"/>
      <c r="E2411" s="32">
        <f>IF(B2411="","",IFERROR(INDEX(Client_List!$C:$C,MATCH(VALUE(B2411),Client_List!$A:$A,0)),""))</f>
        <v/>
      </c>
      <c r="F2411" s="53">
        <f>IF(B2411="","",IFERROR(INDEX(Client_List!$D:$D,MATCH(VALUE(B2411),Client_List!$A:$A,0)),""))</f>
        <v/>
      </c>
      <c r="G2411" s="53">
        <f>IF(B2411="","",IFERROR(INDEX(Client_List!$K:$K,MATCH(VALUE(B2411),Client_List!$A:$A,0)),""))</f>
        <v/>
      </c>
      <c r="H2411" s="32">
        <f>IF(B2411="","",IFERROR(INDEX(Client_List!$J:$J,MATCH(VALUE(B2411),Client_List!$A:$A,0)),""))</f>
        <v/>
      </c>
      <c r="I2411" s="70">
        <f>IF(B2411="","",IFERROR(A2411-LOOKUP(2,1/($B$4:$B2410=B2411),$A$4:$A2410),""))</f>
        <v/>
      </c>
      <c r="J2411" s="32">
        <f>IF(B2411="","",IFERROR(D2411/I2411,""))</f>
        <v/>
      </c>
      <c r="K2411" s="71">
        <f>IF(B2411="","",IFERROR(AVERAGEIFS($J$4:$J2411,$B$4:$B2411,B2411,$J$4:$J2411,"&gt;"&amp;0),""))</f>
        <v/>
      </c>
      <c r="L2411" s="11" t="n"/>
    </row>
    <row r="2412" ht="14" customHeight="1" s="72">
      <c r="A2412" s="80" t="n"/>
      <c r="B2412" s="81" t="n"/>
      <c r="C2412" s="69">
        <f>IF(B2412="","",IFERROR(INDEX(Client_List!$B:$B,MATCH(B2412,Client_List!$A:$A,0)),"⚠ NOT FOUND"))</f>
        <v/>
      </c>
      <c r="D2412" s="45" t="n"/>
      <c r="E2412" s="32">
        <f>IF(B2412="","",IFERROR(INDEX(Client_List!$C:$C,MATCH(VALUE(B2412),Client_List!$A:$A,0)),""))</f>
        <v/>
      </c>
      <c r="F2412" s="53">
        <f>IF(B2412="","",IFERROR(INDEX(Client_List!$D:$D,MATCH(VALUE(B2412),Client_List!$A:$A,0)),""))</f>
        <v/>
      </c>
      <c r="G2412" s="53">
        <f>IF(B2412="","",IFERROR(INDEX(Client_List!$K:$K,MATCH(VALUE(B2412),Client_List!$A:$A,0)),""))</f>
        <v/>
      </c>
      <c r="H2412" s="32">
        <f>IF(B2412="","",IFERROR(INDEX(Client_List!$J:$J,MATCH(VALUE(B2412),Client_List!$A:$A,0)),""))</f>
        <v/>
      </c>
      <c r="I2412" s="70">
        <f>IF(B2412="","",IFERROR(A2412-LOOKUP(2,1/($B$4:$B2411=B2412),$A$4:$A2411),""))</f>
        <v/>
      </c>
      <c r="J2412" s="32">
        <f>IF(B2412="","",IFERROR(D2412/I2412,""))</f>
        <v/>
      </c>
      <c r="K2412" s="71">
        <f>IF(B2412="","",IFERROR(AVERAGEIFS($J$4:$J2412,$B$4:$B2412,B2412,$J$4:$J2412,"&gt;"&amp;0),""))</f>
        <v/>
      </c>
      <c r="L2412" s="12" t="n"/>
    </row>
    <row r="2413" ht="14" customHeight="1" s="72">
      <c r="A2413" s="78" t="n"/>
      <c r="B2413" s="79" t="n"/>
      <c r="C2413" s="69">
        <f>IF(B2413="","",IFERROR(INDEX(Client_List!$B:$B,MATCH(B2413,Client_List!$A:$A,0)),"⚠ NOT FOUND"))</f>
        <v/>
      </c>
      <c r="D2413" s="44" t="n"/>
      <c r="E2413" s="32">
        <f>IF(B2413="","",IFERROR(INDEX(Client_List!$C:$C,MATCH(VALUE(B2413),Client_List!$A:$A,0)),""))</f>
        <v/>
      </c>
      <c r="F2413" s="53">
        <f>IF(B2413="","",IFERROR(INDEX(Client_List!$D:$D,MATCH(VALUE(B2413),Client_List!$A:$A,0)),""))</f>
        <v/>
      </c>
      <c r="G2413" s="53">
        <f>IF(B2413="","",IFERROR(INDEX(Client_List!$K:$K,MATCH(VALUE(B2413),Client_List!$A:$A,0)),""))</f>
        <v/>
      </c>
      <c r="H2413" s="32">
        <f>IF(B2413="","",IFERROR(INDEX(Client_List!$J:$J,MATCH(VALUE(B2413),Client_List!$A:$A,0)),""))</f>
        <v/>
      </c>
      <c r="I2413" s="70">
        <f>IF(B2413="","",IFERROR(A2413-LOOKUP(2,1/($B$4:$B2412=B2413),$A$4:$A2412),""))</f>
        <v/>
      </c>
      <c r="J2413" s="32">
        <f>IF(B2413="","",IFERROR(D2413/I2413,""))</f>
        <v/>
      </c>
      <c r="K2413" s="71">
        <f>IF(B2413="","",IFERROR(AVERAGEIFS($J$4:$J2413,$B$4:$B2413,B2413,$J$4:$J2413,"&gt;"&amp;0),""))</f>
        <v/>
      </c>
      <c r="L2413" s="11" t="n"/>
    </row>
    <row r="2414" ht="14" customHeight="1" s="72">
      <c r="A2414" s="80" t="n"/>
      <c r="B2414" s="81" t="n"/>
      <c r="C2414" s="69">
        <f>IF(B2414="","",IFERROR(INDEX(Client_List!$B:$B,MATCH(B2414,Client_List!$A:$A,0)),"⚠ NOT FOUND"))</f>
        <v/>
      </c>
      <c r="D2414" s="45" t="n"/>
      <c r="E2414" s="32">
        <f>IF(B2414="","",IFERROR(INDEX(Client_List!$C:$C,MATCH(VALUE(B2414),Client_List!$A:$A,0)),""))</f>
        <v/>
      </c>
      <c r="F2414" s="53">
        <f>IF(B2414="","",IFERROR(INDEX(Client_List!$D:$D,MATCH(VALUE(B2414),Client_List!$A:$A,0)),""))</f>
        <v/>
      </c>
      <c r="G2414" s="53">
        <f>IF(B2414="","",IFERROR(INDEX(Client_List!$K:$K,MATCH(VALUE(B2414),Client_List!$A:$A,0)),""))</f>
        <v/>
      </c>
      <c r="H2414" s="32">
        <f>IF(B2414="","",IFERROR(INDEX(Client_List!$J:$J,MATCH(VALUE(B2414),Client_List!$A:$A,0)),""))</f>
        <v/>
      </c>
      <c r="I2414" s="70">
        <f>IF(B2414="","",IFERROR(A2414-LOOKUP(2,1/($B$4:$B2413=B2414),$A$4:$A2413),""))</f>
        <v/>
      </c>
      <c r="J2414" s="32">
        <f>IF(B2414="","",IFERROR(D2414/I2414,""))</f>
        <v/>
      </c>
      <c r="K2414" s="71">
        <f>IF(B2414="","",IFERROR(AVERAGEIFS($J$4:$J2414,$B$4:$B2414,B2414,$J$4:$J2414,"&gt;"&amp;0),""))</f>
        <v/>
      </c>
      <c r="L2414" s="12" t="n"/>
    </row>
    <row r="2415" ht="14" customHeight="1" s="72">
      <c r="A2415" s="78" t="n"/>
      <c r="B2415" s="79" t="n"/>
      <c r="C2415" s="69">
        <f>IF(B2415="","",IFERROR(INDEX(Client_List!$B:$B,MATCH(B2415,Client_List!$A:$A,0)),"⚠ NOT FOUND"))</f>
        <v/>
      </c>
      <c r="D2415" s="44" t="n"/>
      <c r="E2415" s="32">
        <f>IF(B2415="","",IFERROR(INDEX(Client_List!$C:$C,MATCH(VALUE(B2415),Client_List!$A:$A,0)),""))</f>
        <v/>
      </c>
      <c r="F2415" s="53">
        <f>IF(B2415="","",IFERROR(INDEX(Client_List!$D:$D,MATCH(VALUE(B2415),Client_List!$A:$A,0)),""))</f>
        <v/>
      </c>
      <c r="G2415" s="53">
        <f>IF(B2415="","",IFERROR(INDEX(Client_List!$K:$K,MATCH(VALUE(B2415),Client_List!$A:$A,0)),""))</f>
        <v/>
      </c>
      <c r="H2415" s="32">
        <f>IF(B2415="","",IFERROR(INDEX(Client_List!$J:$J,MATCH(VALUE(B2415),Client_List!$A:$A,0)),""))</f>
        <v/>
      </c>
      <c r="I2415" s="70">
        <f>IF(B2415="","",IFERROR(A2415-LOOKUP(2,1/($B$4:$B2414=B2415),$A$4:$A2414),""))</f>
        <v/>
      </c>
      <c r="J2415" s="32">
        <f>IF(B2415="","",IFERROR(D2415/I2415,""))</f>
        <v/>
      </c>
      <c r="K2415" s="71">
        <f>IF(B2415="","",IFERROR(AVERAGEIFS($J$4:$J2415,$B$4:$B2415,B2415,$J$4:$J2415,"&gt;"&amp;0),""))</f>
        <v/>
      </c>
      <c r="L2415" s="11" t="n"/>
    </row>
    <row r="2416" ht="14" customHeight="1" s="72">
      <c r="A2416" s="80" t="n"/>
      <c r="B2416" s="81" t="n"/>
      <c r="C2416" s="69">
        <f>IF(B2416="","",IFERROR(INDEX(Client_List!$B:$B,MATCH(B2416,Client_List!$A:$A,0)),"⚠ NOT FOUND"))</f>
        <v/>
      </c>
      <c r="D2416" s="45" t="n"/>
      <c r="E2416" s="32">
        <f>IF(B2416="","",IFERROR(INDEX(Client_List!$C:$C,MATCH(VALUE(B2416),Client_List!$A:$A,0)),""))</f>
        <v/>
      </c>
      <c r="F2416" s="53">
        <f>IF(B2416="","",IFERROR(INDEX(Client_List!$D:$D,MATCH(VALUE(B2416),Client_List!$A:$A,0)),""))</f>
        <v/>
      </c>
      <c r="G2416" s="53">
        <f>IF(B2416="","",IFERROR(INDEX(Client_List!$K:$K,MATCH(VALUE(B2416),Client_List!$A:$A,0)),""))</f>
        <v/>
      </c>
      <c r="H2416" s="32">
        <f>IF(B2416="","",IFERROR(INDEX(Client_List!$J:$J,MATCH(VALUE(B2416),Client_List!$A:$A,0)),""))</f>
        <v/>
      </c>
      <c r="I2416" s="70">
        <f>IF(B2416="","",IFERROR(A2416-LOOKUP(2,1/($B$4:$B2415=B2416),$A$4:$A2415),""))</f>
        <v/>
      </c>
      <c r="J2416" s="32">
        <f>IF(B2416="","",IFERROR(D2416/I2416,""))</f>
        <v/>
      </c>
      <c r="K2416" s="71">
        <f>IF(B2416="","",IFERROR(AVERAGEIFS($J$4:$J2416,$B$4:$B2416,B2416,$J$4:$J2416,"&gt;"&amp;0),""))</f>
        <v/>
      </c>
      <c r="L2416" s="12" t="n"/>
    </row>
    <row r="2417" ht="14" customHeight="1" s="72">
      <c r="A2417" s="78" t="n"/>
      <c r="B2417" s="79" t="n"/>
      <c r="C2417" s="69">
        <f>IF(B2417="","",IFERROR(INDEX(Client_List!$B:$B,MATCH(B2417,Client_List!$A:$A,0)),"⚠ NOT FOUND"))</f>
        <v/>
      </c>
      <c r="D2417" s="44" t="n"/>
      <c r="E2417" s="32">
        <f>IF(B2417="","",IFERROR(INDEX(Client_List!$C:$C,MATCH(VALUE(B2417),Client_List!$A:$A,0)),""))</f>
        <v/>
      </c>
      <c r="F2417" s="53">
        <f>IF(B2417="","",IFERROR(INDEX(Client_List!$D:$D,MATCH(VALUE(B2417),Client_List!$A:$A,0)),""))</f>
        <v/>
      </c>
      <c r="G2417" s="53">
        <f>IF(B2417="","",IFERROR(INDEX(Client_List!$K:$K,MATCH(VALUE(B2417),Client_List!$A:$A,0)),""))</f>
        <v/>
      </c>
      <c r="H2417" s="32">
        <f>IF(B2417="","",IFERROR(INDEX(Client_List!$J:$J,MATCH(VALUE(B2417),Client_List!$A:$A,0)),""))</f>
        <v/>
      </c>
      <c r="I2417" s="70">
        <f>IF(B2417="","",IFERROR(A2417-LOOKUP(2,1/($B$4:$B2416=B2417),$A$4:$A2416),""))</f>
        <v/>
      </c>
      <c r="J2417" s="32">
        <f>IF(B2417="","",IFERROR(D2417/I2417,""))</f>
        <v/>
      </c>
      <c r="K2417" s="71">
        <f>IF(B2417="","",IFERROR(AVERAGEIFS($J$4:$J2417,$B$4:$B2417,B2417,$J$4:$J2417,"&gt;"&amp;0),""))</f>
        <v/>
      </c>
      <c r="L2417" s="11" t="n"/>
    </row>
    <row r="2418" ht="14" customHeight="1" s="72">
      <c r="A2418" s="80" t="n"/>
      <c r="B2418" s="81" t="n"/>
      <c r="C2418" s="69">
        <f>IF(B2418="","",IFERROR(INDEX(Client_List!$B:$B,MATCH(B2418,Client_List!$A:$A,0)),"⚠ NOT FOUND"))</f>
        <v/>
      </c>
      <c r="D2418" s="45" t="n"/>
      <c r="E2418" s="32">
        <f>IF(B2418="","",IFERROR(INDEX(Client_List!$C:$C,MATCH(VALUE(B2418),Client_List!$A:$A,0)),""))</f>
        <v/>
      </c>
      <c r="F2418" s="53">
        <f>IF(B2418="","",IFERROR(INDEX(Client_List!$D:$D,MATCH(VALUE(B2418),Client_List!$A:$A,0)),""))</f>
        <v/>
      </c>
      <c r="G2418" s="53">
        <f>IF(B2418="","",IFERROR(INDEX(Client_List!$K:$K,MATCH(VALUE(B2418),Client_List!$A:$A,0)),""))</f>
        <v/>
      </c>
      <c r="H2418" s="32">
        <f>IF(B2418="","",IFERROR(INDEX(Client_List!$J:$J,MATCH(VALUE(B2418),Client_List!$A:$A,0)),""))</f>
        <v/>
      </c>
      <c r="I2418" s="70">
        <f>IF(B2418="","",IFERROR(A2418-LOOKUP(2,1/($B$4:$B2417=B2418),$A$4:$A2417),""))</f>
        <v/>
      </c>
      <c r="J2418" s="32">
        <f>IF(B2418="","",IFERROR(D2418/I2418,""))</f>
        <v/>
      </c>
      <c r="K2418" s="71">
        <f>IF(B2418="","",IFERROR(AVERAGEIFS($J$4:$J2418,$B$4:$B2418,B2418,$J$4:$J2418,"&gt;"&amp;0),""))</f>
        <v/>
      </c>
      <c r="L2418" s="12" t="n"/>
    </row>
    <row r="2419" ht="14" customHeight="1" s="72">
      <c r="A2419" s="78" t="n"/>
      <c r="B2419" s="79" t="n"/>
      <c r="C2419" s="69">
        <f>IF(B2419="","",IFERROR(INDEX(Client_List!$B:$B,MATCH(B2419,Client_List!$A:$A,0)),"⚠ NOT FOUND"))</f>
        <v/>
      </c>
      <c r="D2419" s="44" t="n"/>
      <c r="E2419" s="32">
        <f>IF(B2419="","",IFERROR(INDEX(Client_List!$C:$C,MATCH(VALUE(B2419),Client_List!$A:$A,0)),""))</f>
        <v/>
      </c>
      <c r="F2419" s="53">
        <f>IF(B2419="","",IFERROR(INDEX(Client_List!$D:$D,MATCH(VALUE(B2419),Client_List!$A:$A,0)),""))</f>
        <v/>
      </c>
      <c r="G2419" s="53">
        <f>IF(B2419="","",IFERROR(INDEX(Client_List!$K:$K,MATCH(VALUE(B2419),Client_List!$A:$A,0)),""))</f>
        <v/>
      </c>
      <c r="H2419" s="32">
        <f>IF(B2419="","",IFERROR(INDEX(Client_List!$J:$J,MATCH(VALUE(B2419),Client_List!$A:$A,0)),""))</f>
        <v/>
      </c>
      <c r="I2419" s="70">
        <f>IF(B2419="","",IFERROR(A2419-LOOKUP(2,1/($B$4:$B2418=B2419),$A$4:$A2418),""))</f>
        <v/>
      </c>
      <c r="J2419" s="32">
        <f>IF(B2419="","",IFERROR(D2419/I2419,""))</f>
        <v/>
      </c>
      <c r="K2419" s="71">
        <f>IF(B2419="","",IFERROR(AVERAGEIFS($J$4:$J2419,$B$4:$B2419,B2419,$J$4:$J2419,"&gt;"&amp;0),""))</f>
        <v/>
      </c>
      <c r="L2419" s="11" t="n"/>
    </row>
    <row r="2420" ht="14" customHeight="1" s="72">
      <c r="A2420" s="80" t="n"/>
      <c r="B2420" s="81" t="n"/>
      <c r="C2420" s="69">
        <f>IF(B2420="","",IFERROR(INDEX(Client_List!$B:$B,MATCH(B2420,Client_List!$A:$A,0)),"⚠ NOT FOUND"))</f>
        <v/>
      </c>
      <c r="D2420" s="45" t="n"/>
      <c r="E2420" s="32">
        <f>IF(B2420="","",IFERROR(INDEX(Client_List!$C:$C,MATCH(VALUE(B2420),Client_List!$A:$A,0)),""))</f>
        <v/>
      </c>
      <c r="F2420" s="53">
        <f>IF(B2420="","",IFERROR(INDEX(Client_List!$D:$D,MATCH(VALUE(B2420),Client_List!$A:$A,0)),""))</f>
        <v/>
      </c>
      <c r="G2420" s="53">
        <f>IF(B2420="","",IFERROR(INDEX(Client_List!$K:$K,MATCH(VALUE(B2420),Client_List!$A:$A,0)),""))</f>
        <v/>
      </c>
      <c r="H2420" s="32">
        <f>IF(B2420="","",IFERROR(INDEX(Client_List!$J:$J,MATCH(VALUE(B2420),Client_List!$A:$A,0)),""))</f>
        <v/>
      </c>
      <c r="I2420" s="70">
        <f>IF(B2420="","",IFERROR(A2420-LOOKUP(2,1/($B$4:$B2419=B2420),$A$4:$A2419),""))</f>
        <v/>
      </c>
      <c r="J2420" s="32">
        <f>IF(B2420="","",IFERROR(D2420/I2420,""))</f>
        <v/>
      </c>
      <c r="K2420" s="71">
        <f>IF(B2420="","",IFERROR(AVERAGEIFS($J$4:$J2420,$B$4:$B2420,B2420,$J$4:$J2420,"&gt;"&amp;0),""))</f>
        <v/>
      </c>
      <c r="L2420" s="12" t="n"/>
    </row>
    <row r="2421" ht="14" customHeight="1" s="72">
      <c r="A2421" s="78" t="n"/>
      <c r="B2421" s="79" t="n"/>
      <c r="C2421" s="69">
        <f>IF(B2421="","",IFERROR(INDEX(Client_List!$B:$B,MATCH(B2421,Client_List!$A:$A,0)),"⚠ NOT FOUND"))</f>
        <v/>
      </c>
      <c r="D2421" s="44" t="n"/>
      <c r="E2421" s="32">
        <f>IF(B2421="","",IFERROR(INDEX(Client_List!$C:$C,MATCH(VALUE(B2421),Client_List!$A:$A,0)),""))</f>
        <v/>
      </c>
      <c r="F2421" s="53">
        <f>IF(B2421="","",IFERROR(INDEX(Client_List!$D:$D,MATCH(VALUE(B2421),Client_List!$A:$A,0)),""))</f>
        <v/>
      </c>
      <c r="G2421" s="53">
        <f>IF(B2421="","",IFERROR(INDEX(Client_List!$K:$K,MATCH(VALUE(B2421),Client_List!$A:$A,0)),""))</f>
        <v/>
      </c>
      <c r="H2421" s="32">
        <f>IF(B2421="","",IFERROR(INDEX(Client_List!$J:$J,MATCH(VALUE(B2421),Client_List!$A:$A,0)),""))</f>
        <v/>
      </c>
      <c r="I2421" s="70">
        <f>IF(B2421="","",IFERROR(A2421-LOOKUP(2,1/($B$4:$B2420=B2421),$A$4:$A2420),""))</f>
        <v/>
      </c>
      <c r="J2421" s="32">
        <f>IF(B2421="","",IFERROR(D2421/I2421,""))</f>
        <v/>
      </c>
      <c r="K2421" s="71">
        <f>IF(B2421="","",IFERROR(AVERAGEIFS($J$4:$J2421,$B$4:$B2421,B2421,$J$4:$J2421,"&gt;"&amp;0),""))</f>
        <v/>
      </c>
      <c r="L2421" s="11" t="n"/>
    </row>
    <row r="2422" ht="14" customHeight="1" s="72">
      <c r="A2422" s="80" t="n"/>
      <c r="B2422" s="81" t="n"/>
      <c r="C2422" s="69">
        <f>IF(B2422="","",IFERROR(INDEX(Client_List!$B:$B,MATCH(B2422,Client_List!$A:$A,0)),"⚠ NOT FOUND"))</f>
        <v/>
      </c>
      <c r="D2422" s="45" t="n"/>
      <c r="E2422" s="32">
        <f>IF(B2422="","",IFERROR(INDEX(Client_List!$C:$C,MATCH(VALUE(B2422),Client_List!$A:$A,0)),""))</f>
        <v/>
      </c>
      <c r="F2422" s="53">
        <f>IF(B2422="","",IFERROR(INDEX(Client_List!$D:$D,MATCH(VALUE(B2422),Client_List!$A:$A,0)),""))</f>
        <v/>
      </c>
      <c r="G2422" s="53">
        <f>IF(B2422="","",IFERROR(INDEX(Client_List!$K:$K,MATCH(VALUE(B2422),Client_List!$A:$A,0)),""))</f>
        <v/>
      </c>
      <c r="H2422" s="32">
        <f>IF(B2422="","",IFERROR(INDEX(Client_List!$J:$J,MATCH(VALUE(B2422),Client_List!$A:$A,0)),""))</f>
        <v/>
      </c>
      <c r="I2422" s="70">
        <f>IF(B2422="","",IFERROR(A2422-LOOKUP(2,1/($B$4:$B2421=B2422),$A$4:$A2421),""))</f>
        <v/>
      </c>
      <c r="J2422" s="32">
        <f>IF(B2422="","",IFERROR(D2422/I2422,""))</f>
        <v/>
      </c>
      <c r="K2422" s="71">
        <f>IF(B2422="","",IFERROR(AVERAGEIFS($J$4:$J2422,$B$4:$B2422,B2422,$J$4:$J2422,"&gt;"&amp;0),""))</f>
        <v/>
      </c>
      <c r="L2422" s="12" t="n"/>
    </row>
    <row r="2423" ht="14" customHeight="1" s="72">
      <c r="A2423" s="78" t="n"/>
      <c r="B2423" s="79" t="n"/>
      <c r="C2423" s="69">
        <f>IF(B2423="","",IFERROR(INDEX(Client_List!$B:$B,MATCH(B2423,Client_List!$A:$A,0)),"⚠ NOT FOUND"))</f>
        <v/>
      </c>
      <c r="D2423" s="44" t="n"/>
      <c r="E2423" s="32">
        <f>IF(B2423="","",IFERROR(INDEX(Client_List!$C:$C,MATCH(VALUE(B2423),Client_List!$A:$A,0)),""))</f>
        <v/>
      </c>
      <c r="F2423" s="53">
        <f>IF(B2423="","",IFERROR(INDEX(Client_List!$D:$D,MATCH(VALUE(B2423),Client_List!$A:$A,0)),""))</f>
        <v/>
      </c>
      <c r="G2423" s="53">
        <f>IF(B2423="","",IFERROR(INDEX(Client_List!$K:$K,MATCH(VALUE(B2423),Client_List!$A:$A,0)),""))</f>
        <v/>
      </c>
      <c r="H2423" s="32">
        <f>IF(B2423="","",IFERROR(INDEX(Client_List!$J:$J,MATCH(VALUE(B2423),Client_List!$A:$A,0)),""))</f>
        <v/>
      </c>
      <c r="I2423" s="70">
        <f>IF(B2423="","",IFERROR(A2423-LOOKUP(2,1/($B$4:$B2422=B2423),$A$4:$A2422),""))</f>
        <v/>
      </c>
      <c r="J2423" s="32">
        <f>IF(B2423="","",IFERROR(D2423/I2423,""))</f>
        <v/>
      </c>
      <c r="K2423" s="71">
        <f>IF(B2423="","",IFERROR(AVERAGEIFS($J$4:$J2423,$B$4:$B2423,B2423,$J$4:$J2423,"&gt;"&amp;0),""))</f>
        <v/>
      </c>
      <c r="L2423" s="11" t="n"/>
    </row>
    <row r="2424" ht="14" customHeight="1" s="72">
      <c r="A2424" s="80" t="n"/>
      <c r="B2424" s="81" t="n"/>
      <c r="C2424" s="69">
        <f>IF(B2424="","",IFERROR(INDEX(Client_List!$B:$B,MATCH(B2424,Client_List!$A:$A,0)),"⚠ NOT FOUND"))</f>
        <v/>
      </c>
      <c r="D2424" s="45" t="n"/>
      <c r="E2424" s="32">
        <f>IF(B2424="","",IFERROR(INDEX(Client_List!$C:$C,MATCH(VALUE(B2424),Client_List!$A:$A,0)),""))</f>
        <v/>
      </c>
      <c r="F2424" s="53">
        <f>IF(B2424="","",IFERROR(INDEX(Client_List!$D:$D,MATCH(VALUE(B2424),Client_List!$A:$A,0)),""))</f>
        <v/>
      </c>
      <c r="G2424" s="53">
        <f>IF(B2424="","",IFERROR(INDEX(Client_List!$K:$K,MATCH(VALUE(B2424),Client_List!$A:$A,0)),""))</f>
        <v/>
      </c>
      <c r="H2424" s="32">
        <f>IF(B2424="","",IFERROR(INDEX(Client_List!$J:$J,MATCH(VALUE(B2424),Client_List!$A:$A,0)),""))</f>
        <v/>
      </c>
      <c r="I2424" s="70">
        <f>IF(B2424="","",IFERROR(A2424-LOOKUP(2,1/($B$4:$B2423=B2424),$A$4:$A2423),""))</f>
        <v/>
      </c>
      <c r="J2424" s="32">
        <f>IF(B2424="","",IFERROR(D2424/I2424,""))</f>
        <v/>
      </c>
      <c r="K2424" s="71">
        <f>IF(B2424="","",IFERROR(AVERAGEIFS($J$4:$J2424,$B$4:$B2424,B2424,$J$4:$J2424,"&gt;"&amp;0),""))</f>
        <v/>
      </c>
      <c r="L2424" s="12" t="n"/>
    </row>
    <row r="2425" ht="14" customHeight="1" s="72">
      <c r="A2425" s="78" t="n"/>
      <c r="B2425" s="79" t="n"/>
      <c r="C2425" s="69">
        <f>IF(B2425="","",IFERROR(INDEX(Client_List!$B:$B,MATCH(B2425,Client_List!$A:$A,0)),"⚠ NOT FOUND"))</f>
        <v/>
      </c>
      <c r="D2425" s="44" t="n"/>
      <c r="E2425" s="32">
        <f>IF(B2425="","",IFERROR(INDEX(Client_List!$C:$C,MATCH(VALUE(B2425),Client_List!$A:$A,0)),""))</f>
        <v/>
      </c>
      <c r="F2425" s="53">
        <f>IF(B2425="","",IFERROR(INDEX(Client_List!$D:$D,MATCH(VALUE(B2425),Client_List!$A:$A,0)),""))</f>
        <v/>
      </c>
      <c r="G2425" s="53">
        <f>IF(B2425="","",IFERROR(INDEX(Client_List!$K:$K,MATCH(VALUE(B2425),Client_List!$A:$A,0)),""))</f>
        <v/>
      </c>
      <c r="H2425" s="32">
        <f>IF(B2425="","",IFERROR(INDEX(Client_List!$J:$J,MATCH(VALUE(B2425),Client_List!$A:$A,0)),""))</f>
        <v/>
      </c>
      <c r="I2425" s="70">
        <f>IF(B2425="","",IFERROR(A2425-LOOKUP(2,1/($B$4:$B2424=B2425),$A$4:$A2424),""))</f>
        <v/>
      </c>
      <c r="J2425" s="32">
        <f>IF(B2425="","",IFERROR(D2425/I2425,""))</f>
        <v/>
      </c>
      <c r="K2425" s="71">
        <f>IF(B2425="","",IFERROR(AVERAGEIFS($J$4:$J2425,$B$4:$B2425,B2425,$J$4:$J2425,"&gt;"&amp;0),""))</f>
        <v/>
      </c>
      <c r="L2425" s="11" t="n"/>
    </row>
    <row r="2426" ht="14" customHeight="1" s="72">
      <c r="A2426" s="80" t="n"/>
      <c r="B2426" s="81" t="n"/>
      <c r="C2426" s="69">
        <f>IF(B2426="","",IFERROR(INDEX(Client_List!$B:$B,MATCH(B2426,Client_List!$A:$A,0)),"⚠ NOT FOUND"))</f>
        <v/>
      </c>
      <c r="D2426" s="45" t="n"/>
      <c r="E2426" s="32">
        <f>IF(B2426="","",IFERROR(INDEX(Client_List!$C:$C,MATCH(VALUE(B2426),Client_List!$A:$A,0)),""))</f>
        <v/>
      </c>
      <c r="F2426" s="53">
        <f>IF(B2426="","",IFERROR(INDEX(Client_List!$D:$D,MATCH(VALUE(B2426),Client_List!$A:$A,0)),""))</f>
        <v/>
      </c>
      <c r="G2426" s="53">
        <f>IF(B2426="","",IFERROR(INDEX(Client_List!$K:$K,MATCH(VALUE(B2426),Client_List!$A:$A,0)),""))</f>
        <v/>
      </c>
      <c r="H2426" s="32">
        <f>IF(B2426="","",IFERROR(INDEX(Client_List!$J:$J,MATCH(VALUE(B2426),Client_List!$A:$A,0)),""))</f>
        <v/>
      </c>
      <c r="I2426" s="70">
        <f>IF(B2426="","",IFERROR(A2426-LOOKUP(2,1/($B$4:$B2425=B2426),$A$4:$A2425),""))</f>
        <v/>
      </c>
      <c r="J2426" s="32">
        <f>IF(B2426="","",IFERROR(D2426/I2426,""))</f>
        <v/>
      </c>
      <c r="K2426" s="71">
        <f>IF(B2426="","",IFERROR(AVERAGEIFS($J$4:$J2426,$B$4:$B2426,B2426,$J$4:$J2426,"&gt;"&amp;0),""))</f>
        <v/>
      </c>
      <c r="L2426" s="12" t="n"/>
    </row>
    <row r="2427" ht="14" customHeight="1" s="72">
      <c r="A2427" s="78" t="n"/>
      <c r="B2427" s="79" t="n"/>
      <c r="C2427" s="69">
        <f>IF(B2427="","",IFERROR(INDEX(Client_List!$B:$B,MATCH(B2427,Client_List!$A:$A,0)),"⚠ NOT FOUND"))</f>
        <v/>
      </c>
      <c r="D2427" s="44" t="n"/>
      <c r="E2427" s="32">
        <f>IF(B2427="","",IFERROR(INDEX(Client_List!$C:$C,MATCH(VALUE(B2427),Client_List!$A:$A,0)),""))</f>
        <v/>
      </c>
      <c r="F2427" s="53">
        <f>IF(B2427="","",IFERROR(INDEX(Client_List!$D:$D,MATCH(VALUE(B2427),Client_List!$A:$A,0)),""))</f>
        <v/>
      </c>
      <c r="G2427" s="53">
        <f>IF(B2427="","",IFERROR(INDEX(Client_List!$K:$K,MATCH(VALUE(B2427),Client_List!$A:$A,0)),""))</f>
        <v/>
      </c>
      <c r="H2427" s="32">
        <f>IF(B2427="","",IFERROR(INDEX(Client_List!$J:$J,MATCH(VALUE(B2427),Client_List!$A:$A,0)),""))</f>
        <v/>
      </c>
      <c r="I2427" s="70">
        <f>IF(B2427="","",IFERROR(A2427-LOOKUP(2,1/($B$4:$B2426=B2427),$A$4:$A2426),""))</f>
        <v/>
      </c>
      <c r="J2427" s="32">
        <f>IF(B2427="","",IFERROR(D2427/I2427,""))</f>
        <v/>
      </c>
      <c r="K2427" s="71">
        <f>IF(B2427="","",IFERROR(AVERAGEIFS($J$4:$J2427,$B$4:$B2427,B2427,$J$4:$J2427,"&gt;"&amp;0),""))</f>
        <v/>
      </c>
      <c r="L2427" s="11" t="n"/>
    </row>
    <row r="2428" ht="14" customHeight="1" s="72">
      <c r="A2428" s="80" t="n"/>
      <c r="B2428" s="81" t="n"/>
      <c r="C2428" s="69">
        <f>IF(B2428="","",IFERROR(INDEX(Client_List!$B:$B,MATCH(B2428,Client_List!$A:$A,0)),"⚠ NOT FOUND"))</f>
        <v/>
      </c>
      <c r="D2428" s="45" t="n"/>
      <c r="E2428" s="32">
        <f>IF(B2428="","",IFERROR(INDEX(Client_List!$C:$C,MATCH(VALUE(B2428),Client_List!$A:$A,0)),""))</f>
        <v/>
      </c>
      <c r="F2428" s="53">
        <f>IF(B2428="","",IFERROR(INDEX(Client_List!$D:$D,MATCH(VALUE(B2428),Client_List!$A:$A,0)),""))</f>
        <v/>
      </c>
      <c r="G2428" s="53">
        <f>IF(B2428="","",IFERROR(INDEX(Client_List!$K:$K,MATCH(VALUE(B2428),Client_List!$A:$A,0)),""))</f>
        <v/>
      </c>
      <c r="H2428" s="32">
        <f>IF(B2428="","",IFERROR(INDEX(Client_List!$J:$J,MATCH(VALUE(B2428),Client_List!$A:$A,0)),""))</f>
        <v/>
      </c>
      <c r="I2428" s="70">
        <f>IF(B2428="","",IFERROR(A2428-LOOKUP(2,1/($B$4:$B2427=B2428),$A$4:$A2427),""))</f>
        <v/>
      </c>
      <c r="J2428" s="32">
        <f>IF(B2428="","",IFERROR(D2428/I2428,""))</f>
        <v/>
      </c>
      <c r="K2428" s="71">
        <f>IF(B2428="","",IFERROR(AVERAGEIFS($J$4:$J2428,$B$4:$B2428,B2428,$J$4:$J2428,"&gt;"&amp;0),""))</f>
        <v/>
      </c>
      <c r="L2428" s="12" t="n"/>
    </row>
    <row r="2429" ht="14" customHeight="1" s="72">
      <c r="A2429" s="78" t="n"/>
      <c r="B2429" s="79" t="n"/>
      <c r="C2429" s="69">
        <f>IF(B2429="","",IFERROR(INDEX(Client_List!$B:$B,MATCH(B2429,Client_List!$A:$A,0)),"⚠ NOT FOUND"))</f>
        <v/>
      </c>
      <c r="D2429" s="44" t="n"/>
      <c r="E2429" s="32">
        <f>IF(B2429="","",IFERROR(INDEX(Client_List!$C:$C,MATCH(VALUE(B2429),Client_List!$A:$A,0)),""))</f>
        <v/>
      </c>
      <c r="F2429" s="53">
        <f>IF(B2429="","",IFERROR(INDEX(Client_List!$D:$D,MATCH(VALUE(B2429),Client_List!$A:$A,0)),""))</f>
        <v/>
      </c>
      <c r="G2429" s="53">
        <f>IF(B2429="","",IFERROR(INDEX(Client_List!$K:$K,MATCH(VALUE(B2429),Client_List!$A:$A,0)),""))</f>
        <v/>
      </c>
      <c r="H2429" s="32">
        <f>IF(B2429="","",IFERROR(INDEX(Client_List!$J:$J,MATCH(VALUE(B2429),Client_List!$A:$A,0)),""))</f>
        <v/>
      </c>
      <c r="I2429" s="70">
        <f>IF(B2429="","",IFERROR(A2429-LOOKUP(2,1/($B$4:$B2428=B2429),$A$4:$A2428),""))</f>
        <v/>
      </c>
      <c r="J2429" s="32">
        <f>IF(B2429="","",IFERROR(D2429/I2429,""))</f>
        <v/>
      </c>
      <c r="K2429" s="71">
        <f>IF(B2429="","",IFERROR(AVERAGEIFS($J$4:$J2429,$B$4:$B2429,B2429,$J$4:$J2429,"&gt;"&amp;0),""))</f>
        <v/>
      </c>
      <c r="L2429" s="11" t="n"/>
    </row>
    <row r="2430" ht="14" customHeight="1" s="72">
      <c r="A2430" s="80" t="n"/>
      <c r="B2430" s="81" t="n"/>
      <c r="C2430" s="69">
        <f>IF(B2430="","",IFERROR(INDEX(Client_List!$B:$B,MATCH(B2430,Client_List!$A:$A,0)),"⚠ NOT FOUND"))</f>
        <v/>
      </c>
      <c r="D2430" s="45" t="n"/>
      <c r="E2430" s="32">
        <f>IF(B2430="","",IFERROR(INDEX(Client_List!$C:$C,MATCH(VALUE(B2430),Client_List!$A:$A,0)),""))</f>
        <v/>
      </c>
      <c r="F2430" s="53">
        <f>IF(B2430="","",IFERROR(INDEX(Client_List!$D:$D,MATCH(VALUE(B2430),Client_List!$A:$A,0)),""))</f>
        <v/>
      </c>
      <c r="G2430" s="53">
        <f>IF(B2430="","",IFERROR(INDEX(Client_List!$K:$K,MATCH(VALUE(B2430),Client_List!$A:$A,0)),""))</f>
        <v/>
      </c>
      <c r="H2430" s="32">
        <f>IF(B2430="","",IFERROR(INDEX(Client_List!$J:$J,MATCH(VALUE(B2430),Client_List!$A:$A,0)),""))</f>
        <v/>
      </c>
      <c r="I2430" s="70">
        <f>IF(B2430="","",IFERROR(A2430-LOOKUP(2,1/($B$4:$B2429=B2430),$A$4:$A2429),""))</f>
        <v/>
      </c>
      <c r="J2430" s="32">
        <f>IF(B2430="","",IFERROR(D2430/I2430,""))</f>
        <v/>
      </c>
      <c r="K2430" s="71">
        <f>IF(B2430="","",IFERROR(AVERAGEIFS($J$4:$J2430,$B$4:$B2430,B2430,$J$4:$J2430,"&gt;"&amp;0),""))</f>
        <v/>
      </c>
      <c r="L2430" s="12" t="n"/>
    </row>
    <row r="2431" ht="14" customHeight="1" s="72">
      <c r="A2431" s="78" t="n"/>
      <c r="B2431" s="79" t="n"/>
      <c r="C2431" s="69">
        <f>IF(B2431="","",IFERROR(INDEX(Client_List!$B:$B,MATCH(B2431,Client_List!$A:$A,0)),"⚠ NOT FOUND"))</f>
        <v/>
      </c>
      <c r="D2431" s="44" t="n"/>
      <c r="E2431" s="32">
        <f>IF(B2431="","",IFERROR(INDEX(Client_List!$C:$C,MATCH(VALUE(B2431),Client_List!$A:$A,0)),""))</f>
        <v/>
      </c>
      <c r="F2431" s="53">
        <f>IF(B2431="","",IFERROR(INDEX(Client_List!$D:$D,MATCH(VALUE(B2431),Client_List!$A:$A,0)),""))</f>
        <v/>
      </c>
      <c r="G2431" s="53">
        <f>IF(B2431="","",IFERROR(INDEX(Client_List!$K:$K,MATCH(VALUE(B2431),Client_List!$A:$A,0)),""))</f>
        <v/>
      </c>
      <c r="H2431" s="32">
        <f>IF(B2431="","",IFERROR(INDEX(Client_List!$J:$J,MATCH(VALUE(B2431),Client_List!$A:$A,0)),""))</f>
        <v/>
      </c>
      <c r="I2431" s="70">
        <f>IF(B2431="","",IFERROR(A2431-LOOKUP(2,1/($B$4:$B2430=B2431),$A$4:$A2430),""))</f>
        <v/>
      </c>
      <c r="J2431" s="32">
        <f>IF(B2431="","",IFERROR(D2431/I2431,""))</f>
        <v/>
      </c>
      <c r="K2431" s="71">
        <f>IF(B2431="","",IFERROR(AVERAGEIFS($J$4:$J2431,$B$4:$B2431,B2431,$J$4:$J2431,"&gt;"&amp;0),""))</f>
        <v/>
      </c>
      <c r="L2431" s="11" t="n"/>
    </row>
    <row r="2432" ht="14" customHeight="1" s="72">
      <c r="A2432" s="80" t="n"/>
      <c r="B2432" s="81" t="n"/>
      <c r="C2432" s="69">
        <f>IF(B2432="","",IFERROR(INDEX(Client_List!$B:$B,MATCH(B2432,Client_List!$A:$A,0)),"⚠ NOT FOUND"))</f>
        <v/>
      </c>
      <c r="D2432" s="45" t="n"/>
      <c r="E2432" s="32">
        <f>IF(B2432="","",IFERROR(INDEX(Client_List!$C:$C,MATCH(VALUE(B2432),Client_List!$A:$A,0)),""))</f>
        <v/>
      </c>
      <c r="F2432" s="53">
        <f>IF(B2432="","",IFERROR(INDEX(Client_List!$D:$D,MATCH(VALUE(B2432),Client_List!$A:$A,0)),""))</f>
        <v/>
      </c>
      <c r="G2432" s="53">
        <f>IF(B2432="","",IFERROR(INDEX(Client_List!$K:$K,MATCH(VALUE(B2432),Client_List!$A:$A,0)),""))</f>
        <v/>
      </c>
      <c r="H2432" s="32">
        <f>IF(B2432="","",IFERROR(INDEX(Client_List!$J:$J,MATCH(VALUE(B2432),Client_List!$A:$A,0)),""))</f>
        <v/>
      </c>
      <c r="I2432" s="70">
        <f>IF(B2432="","",IFERROR(A2432-LOOKUP(2,1/($B$4:$B2431=B2432),$A$4:$A2431),""))</f>
        <v/>
      </c>
      <c r="J2432" s="32">
        <f>IF(B2432="","",IFERROR(D2432/I2432,""))</f>
        <v/>
      </c>
      <c r="K2432" s="71">
        <f>IF(B2432="","",IFERROR(AVERAGEIFS($J$4:$J2432,$B$4:$B2432,B2432,$J$4:$J2432,"&gt;"&amp;0),""))</f>
        <v/>
      </c>
      <c r="L2432" s="12" t="n"/>
    </row>
    <row r="2433" ht="14" customHeight="1" s="72">
      <c r="A2433" s="78" t="n"/>
      <c r="B2433" s="79" t="n"/>
      <c r="C2433" s="69">
        <f>IF(B2433="","",IFERROR(INDEX(Client_List!$B:$B,MATCH(B2433,Client_List!$A:$A,0)),"⚠ NOT FOUND"))</f>
        <v/>
      </c>
      <c r="D2433" s="44" t="n"/>
      <c r="E2433" s="32">
        <f>IF(B2433="","",IFERROR(INDEX(Client_List!$C:$C,MATCH(VALUE(B2433),Client_List!$A:$A,0)),""))</f>
        <v/>
      </c>
      <c r="F2433" s="53">
        <f>IF(B2433="","",IFERROR(INDEX(Client_List!$D:$D,MATCH(VALUE(B2433),Client_List!$A:$A,0)),""))</f>
        <v/>
      </c>
      <c r="G2433" s="53">
        <f>IF(B2433="","",IFERROR(INDEX(Client_List!$K:$K,MATCH(VALUE(B2433),Client_List!$A:$A,0)),""))</f>
        <v/>
      </c>
      <c r="H2433" s="32">
        <f>IF(B2433="","",IFERROR(INDEX(Client_List!$J:$J,MATCH(VALUE(B2433),Client_List!$A:$A,0)),""))</f>
        <v/>
      </c>
      <c r="I2433" s="70">
        <f>IF(B2433="","",IFERROR(A2433-LOOKUP(2,1/($B$4:$B2432=B2433),$A$4:$A2432),""))</f>
        <v/>
      </c>
      <c r="J2433" s="32">
        <f>IF(B2433="","",IFERROR(D2433/I2433,""))</f>
        <v/>
      </c>
      <c r="K2433" s="71">
        <f>IF(B2433="","",IFERROR(AVERAGEIFS($J$4:$J2433,$B$4:$B2433,B2433,$J$4:$J2433,"&gt;"&amp;0),""))</f>
        <v/>
      </c>
      <c r="L2433" s="11" t="n"/>
    </row>
    <row r="2434" ht="14" customHeight="1" s="72">
      <c r="A2434" s="80" t="n"/>
      <c r="B2434" s="81" t="n"/>
      <c r="C2434" s="69">
        <f>IF(B2434="","",IFERROR(INDEX(Client_List!$B:$B,MATCH(B2434,Client_List!$A:$A,0)),"⚠ NOT FOUND"))</f>
        <v/>
      </c>
      <c r="D2434" s="45" t="n"/>
      <c r="E2434" s="32">
        <f>IF(B2434="","",IFERROR(INDEX(Client_List!$C:$C,MATCH(VALUE(B2434),Client_List!$A:$A,0)),""))</f>
        <v/>
      </c>
      <c r="F2434" s="53">
        <f>IF(B2434="","",IFERROR(INDEX(Client_List!$D:$D,MATCH(VALUE(B2434),Client_List!$A:$A,0)),""))</f>
        <v/>
      </c>
      <c r="G2434" s="53">
        <f>IF(B2434="","",IFERROR(INDEX(Client_List!$K:$K,MATCH(VALUE(B2434),Client_List!$A:$A,0)),""))</f>
        <v/>
      </c>
      <c r="H2434" s="32">
        <f>IF(B2434="","",IFERROR(INDEX(Client_List!$J:$J,MATCH(VALUE(B2434),Client_List!$A:$A,0)),""))</f>
        <v/>
      </c>
      <c r="I2434" s="70">
        <f>IF(B2434="","",IFERROR(A2434-LOOKUP(2,1/($B$4:$B2433=B2434),$A$4:$A2433),""))</f>
        <v/>
      </c>
      <c r="J2434" s="32">
        <f>IF(B2434="","",IFERROR(D2434/I2434,""))</f>
        <v/>
      </c>
      <c r="K2434" s="71">
        <f>IF(B2434="","",IFERROR(AVERAGEIFS($J$4:$J2434,$B$4:$B2434,B2434,$J$4:$J2434,"&gt;"&amp;0),""))</f>
        <v/>
      </c>
      <c r="L2434" s="12" t="n"/>
    </row>
    <row r="2435" ht="14" customHeight="1" s="72">
      <c r="A2435" s="78" t="n"/>
      <c r="B2435" s="79" t="n"/>
      <c r="C2435" s="69">
        <f>IF(B2435="","",IFERROR(INDEX(Client_List!$B:$B,MATCH(B2435,Client_List!$A:$A,0)),"⚠ NOT FOUND"))</f>
        <v/>
      </c>
      <c r="D2435" s="44" t="n"/>
      <c r="E2435" s="32">
        <f>IF(B2435="","",IFERROR(INDEX(Client_List!$C:$C,MATCH(VALUE(B2435),Client_List!$A:$A,0)),""))</f>
        <v/>
      </c>
      <c r="F2435" s="53">
        <f>IF(B2435="","",IFERROR(INDEX(Client_List!$D:$D,MATCH(VALUE(B2435),Client_List!$A:$A,0)),""))</f>
        <v/>
      </c>
      <c r="G2435" s="53">
        <f>IF(B2435="","",IFERROR(INDEX(Client_List!$K:$K,MATCH(VALUE(B2435),Client_List!$A:$A,0)),""))</f>
        <v/>
      </c>
      <c r="H2435" s="32">
        <f>IF(B2435="","",IFERROR(INDEX(Client_List!$J:$J,MATCH(VALUE(B2435),Client_List!$A:$A,0)),""))</f>
        <v/>
      </c>
      <c r="I2435" s="70">
        <f>IF(B2435="","",IFERROR(A2435-LOOKUP(2,1/($B$4:$B2434=B2435),$A$4:$A2434),""))</f>
        <v/>
      </c>
      <c r="J2435" s="32">
        <f>IF(B2435="","",IFERROR(D2435/I2435,""))</f>
        <v/>
      </c>
      <c r="K2435" s="71">
        <f>IF(B2435="","",IFERROR(AVERAGEIFS($J$4:$J2435,$B$4:$B2435,B2435,$J$4:$J2435,"&gt;"&amp;0),""))</f>
        <v/>
      </c>
      <c r="L2435" s="11" t="n"/>
    </row>
    <row r="2436" ht="14" customHeight="1" s="72">
      <c r="A2436" s="80" t="n"/>
      <c r="B2436" s="81" t="n"/>
      <c r="C2436" s="69">
        <f>IF(B2436="","",IFERROR(INDEX(Client_List!$B:$B,MATCH(B2436,Client_List!$A:$A,0)),"⚠ NOT FOUND"))</f>
        <v/>
      </c>
      <c r="D2436" s="45" t="n"/>
      <c r="E2436" s="32">
        <f>IF(B2436="","",IFERROR(INDEX(Client_List!$C:$C,MATCH(VALUE(B2436),Client_List!$A:$A,0)),""))</f>
        <v/>
      </c>
      <c r="F2436" s="53">
        <f>IF(B2436="","",IFERROR(INDEX(Client_List!$D:$D,MATCH(VALUE(B2436),Client_List!$A:$A,0)),""))</f>
        <v/>
      </c>
      <c r="G2436" s="53">
        <f>IF(B2436="","",IFERROR(INDEX(Client_List!$K:$K,MATCH(VALUE(B2436),Client_List!$A:$A,0)),""))</f>
        <v/>
      </c>
      <c r="H2436" s="32">
        <f>IF(B2436="","",IFERROR(INDEX(Client_List!$J:$J,MATCH(VALUE(B2436),Client_List!$A:$A,0)),""))</f>
        <v/>
      </c>
      <c r="I2436" s="70">
        <f>IF(B2436="","",IFERROR(A2436-LOOKUP(2,1/($B$4:$B2435=B2436),$A$4:$A2435),""))</f>
        <v/>
      </c>
      <c r="J2436" s="32">
        <f>IF(B2436="","",IFERROR(D2436/I2436,""))</f>
        <v/>
      </c>
      <c r="K2436" s="71">
        <f>IF(B2436="","",IFERROR(AVERAGEIFS($J$4:$J2436,$B$4:$B2436,B2436,$J$4:$J2436,"&gt;"&amp;0),""))</f>
        <v/>
      </c>
      <c r="L2436" s="12" t="n"/>
    </row>
    <row r="2437" ht="14" customHeight="1" s="72">
      <c r="A2437" s="78" t="n"/>
      <c r="B2437" s="79" t="n"/>
      <c r="C2437" s="69">
        <f>IF(B2437="","",IFERROR(INDEX(Client_List!$B:$B,MATCH(B2437,Client_List!$A:$A,0)),"⚠ NOT FOUND"))</f>
        <v/>
      </c>
      <c r="D2437" s="44" t="n"/>
      <c r="E2437" s="32">
        <f>IF(B2437="","",IFERROR(INDEX(Client_List!$C:$C,MATCH(VALUE(B2437),Client_List!$A:$A,0)),""))</f>
        <v/>
      </c>
      <c r="F2437" s="53">
        <f>IF(B2437="","",IFERROR(INDEX(Client_List!$D:$D,MATCH(VALUE(B2437),Client_List!$A:$A,0)),""))</f>
        <v/>
      </c>
      <c r="G2437" s="53">
        <f>IF(B2437="","",IFERROR(INDEX(Client_List!$K:$K,MATCH(VALUE(B2437),Client_List!$A:$A,0)),""))</f>
        <v/>
      </c>
      <c r="H2437" s="32">
        <f>IF(B2437="","",IFERROR(INDEX(Client_List!$J:$J,MATCH(VALUE(B2437),Client_List!$A:$A,0)),""))</f>
        <v/>
      </c>
      <c r="I2437" s="70">
        <f>IF(B2437="","",IFERROR(A2437-LOOKUP(2,1/($B$4:$B2436=B2437),$A$4:$A2436),""))</f>
        <v/>
      </c>
      <c r="J2437" s="32">
        <f>IF(B2437="","",IFERROR(D2437/I2437,""))</f>
        <v/>
      </c>
      <c r="K2437" s="71">
        <f>IF(B2437="","",IFERROR(AVERAGEIFS($J$4:$J2437,$B$4:$B2437,B2437,$J$4:$J2437,"&gt;"&amp;0),""))</f>
        <v/>
      </c>
      <c r="L2437" s="11" t="n"/>
    </row>
    <row r="2438" ht="14" customHeight="1" s="72">
      <c r="A2438" s="80" t="n"/>
      <c r="B2438" s="81" t="n"/>
      <c r="C2438" s="69">
        <f>IF(B2438="","",IFERROR(INDEX(Client_List!$B:$B,MATCH(B2438,Client_List!$A:$A,0)),"⚠ NOT FOUND"))</f>
        <v/>
      </c>
      <c r="D2438" s="45" t="n"/>
      <c r="E2438" s="32">
        <f>IF(B2438="","",IFERROR(INDEX(Client_List!$C:$C,MATCH(VALUE(B2438),Client_List!$A:$A,0)),""))</f>
        <v/>
      </c>
      <c r="F2438" s="53">
        <f>IF(B2438="","",IFERROR(INDEX(Client_List!$D:$D,MATCH(VALUE(B2438),Client_List!$A:$A,0)),""))</f>
        <v/>
      </c>
      <c r="G2438" s="53">
        <f>IF(B2438="","",IFERROR(INDEX(Client_List!$K:$K,MATCH(VALUE(B2438),Client_List!$A:$A,0)),""))</f>
        <v/>
      </c>
      <c r="H2438" s="32">
        <f>IF(B2438="","",IFERROR(INDEX(Client_List!$J:$J,MATCH(VALUE(B2438),Client_List!$A:$A,0)),""))</f>
        <v/>
      </c>
      <c r="I2438" s="70">
        <f>IF(B2438="","",IFERROR(A2438-LOOKUP(2,1/($B$4:$B2437=B2438),$A$4:$A2437),""))</f>
        <v/>
      </c>
      <c r="J2438" s="32">
        <f>IF(B2438="","",IFERROR(D2438/I2438,""))</f>
        <v/>
      </c>
      <c r="K2438" s="71">
        <f>IF(B2438="","",IFERROR(AVERAGEIFS($J$4:$J2438,$B$4:$B2438,B2438,$J$4:$J2438,"&gt;"&amp;0),""))</f>
        <v/>
      </c>
      <c r="L2438" s="12" t="n"/>
    </row>
    <row r="2439" ht="14" customHeight="1" s="72">
      <c r="A2439" s="78" t="n"/>
      <c r="B2439" s="79" t="n"/>
      <c r="C2439" s="69">
        <f>IF(B2439="","",IFERROR(INDEX(Client_List!$B:$B,MATCH(B2439,Client_List!$A:$A,0)),"⚠ NOT FOUND"))</f>
        <v/>
      </c>
      <c r="D2439" s="44" t="n"/>
      <c r="E2439" s="32">
        <f>IF(B2439="","",IFERROR(INDEX(Client_List!$C:$C,MATCH(VALUE(B2439),Client_List!$A:$A,0)),""))</f>
        <v/>
      </c>
      <c r="F2439" s="53">
        <f>IF(B2439="","",IFERROR(INDEX(Client_List!$D:$D,MATCH(VALUE(B2439),Client_List!$A:$A,0)),""))</f>
        <v/>
      </c>
      <c r="G2439" s="53">
        <f>IF(B2439="","",IFERROR(INDEX(Client_List!$K:$K,MATCH(VALUE(B2439),Client_List!$A:$A,0)),""))</f>
        <v/>
      </c>
      <c r="H2439" s="32">
        <f>IF(B2439="","",IFERROR(INDEX(Client_List!$J:$J,MATCH(VALUE(B2439),Client_List!$A:$A,0)),""))</f>
        <v/>
      </c>
      <c r="I2439" s="70">
        <f>IF(B2439="","",IFERROR(A2439-LOOKUP(2,1/($B$4:$B2438=B2439),$A$4:$A2438),""))</f>
        <v/>
      </c>
      <c r="J2439" s="32">
        <f>IF(B2439="","",IFERROR(D2439/I2439,""))</f>
        <v/>
      </c>
      <c r="K2439" s="71">
        <f>IF(B2439="","",IFERROR(AVERAGEIFS($J$4:$J2439,$B$4:$B2439,B2439,$J$4:$J2439,"&gt;"&amp;0),""))</f>
        <v/>
      </c>
      <c r="L2439" s="11" t="n"/>
    </row>
    <row r="2440" ht="14" customHeight="1" s="72">
      <c r="A2440" s="80" t="n"/>
      <c r="B2440" s="81" t="n"/>
      <c r="C2440" s="69">
        <f>IF(B2440="","",IFERROR(INDEX(Client_List!$B:$B,MATCH(B2440,Client_List!$A:$A,0)),"⚠ NOT FOUND"))</f>
        <v/>
      </c>
      <c r="D2440" s="45" t="n"/>
      <c r="E2440" s="32">
        <f>IF(B2440="","",IFERROR(INDEX(Client_List!$C:$C,MATCH(VALUE(B2440),Client_List!$A:$A,0)),""))</f>
        <v/>
      </c>
      <c r="F2440" s="53">
        <f>IF(B2440="","",IFERROR(INDEX(Client_List!$D:$D,MATCH(VALUE(B2440),Client_List!$A:$A,0)),""))</f>
        <v/>
      </c>
      <c r="G2440" s="53">
        <f>IF(B2440="","",IFERROR(INDEX(Client_List!$K:$K,MATCH(VALUE(B2440),Client_List!$A:$A,0)),""))</f>
        <v/>
      </c>
      <c r="H2440" s="32">
        <f>IF(B2440="","",IFERROR(INDEX(Client_List!$J:$J,MATCH(VALUE(B2440),Client_List!$A:$A,0)),""))</f>
        <v/>
      </c>
      <c r="I2440" s="70">
        <f>IF(B2440="","",IFERROR(A2440-LOOKUP(2,1/($B$4:$B2439=B2440),$A$4:$A2439),""))</f>
        <v/>
      </c>
      <c r="J2440" s="32">
        <f>IF(B2440="","",IFERROR(D2440/I2440,""))</f>
        <v/>
      </c>
      <c r="K2440" s="71">
        <f>IF(B2440="","",IFERROR(AVERAGEIFS($J$4:$J2440,$B$4:$B2440,B2440,$J$4:$J2440,"&gt;"&amp;0),""))</f>
        <v/>
      </c>
      <c r="L2440" s="12" t="n"/>
    </row>
    <row r="2441" ht="14" customHeight="1" s="72">
      <c r="A2441" s="78" t="n"/>
      <c r="B2441" s="79" t="n"/>
      <c r="C2441" s="69">
        <f>IF(B2441="","",IFERROR(INDEX(Client_List!$B:$B,MATCH(B2441,Client_List!$A:$A,0)),"⚠ NOT FOUND"))</f>
        <v/>
      </c>
      <c r="D2441" s="44" t="n"/>
      <c r="E2441" s="32">
        <f>IF(B2441="","",IFERROR(INDEX(Client_List!$C:$C,MATCH(VALUE(B2441),Client_List!$A:$A,0)),""))</f>
        <v/>
      </c>
      <c r="F2441" s="53">
        <f>IF(B2441="","",IFERROR(INDEX(Client_List!$D:$D,MATCH(VALUE(B2441),Client_List!$A:$A,0)),""))</f>
        <v/>
      </c>
      <c r="G2441" s="53">
        <f>IF(B2441="","",IFERROR(INDEX(Client_List!$K:$K,MATCH(VALUE(B2441),Client_List!$A:$A,0)),""))</f>
        <v/>
      </c>
      <c r="H2441" s="32">
        <f>IF(B2441="","",IFERROR(INDEX(Client_List!$J:$J,MATCH(VALUE(B2441),Client_List!$A:$A,0)),""))</f>
        <v/>
      </c>
      <c r="I2441" s="70">
        <f>IF(B2441="","",IFERROR(A2441-LOOKUP(2,1/($B$4:$B2440=B2441),$A$4:$A2440),""))</f>
        <v/>
      </c>
      <c r="J2441" s="32">
        <f>IF(B2441="","",IFERROR(D2441/I2441,""))</f>
        <v/>
      </c>
      <c r="K2441" s="71">
        <f>IF(B2441="","",IFERROR(AVERAGEIFS($J$4:$J2441,$B$4:$B2441,B2441,$J$4:$J2441,"&gt;"&amp;0),""))</f>
        <v/>
      </c>
      <c r="L2441" s="11" t="n"/>
    </row>
    <row r="2442" ht="14" customHeight="1" s="72">
      <c r="A2442" s="80" t="n"/>
      <c r="B2442" s="81" t="n"/>
      <c r="C2442" s="69">
        <f>IF(B2442="","",IFERROR(INDEX(Client_List!$B:$B,MATCH(B2442,Client_List!$A:$A,0)),"⚠ NOT FOUND"))</f>
        <v/>
      </c>
      <c r="D2442" s="45" t="n"/>
      <c r="E2442" s="32">
        <f>IF(B2442="","",IFERROR(INDEX(Client_List!$C:$C,MATCH(VALUE(B2442),Client_List!$A:$A,0)),""))</f>
        <v/>
      </c>
      <c r="F2442" s="53">
        <f>IF(B2442="","",IFERROR(INDEX(Client_List!$D:$D,MATCH(VALUE(B2442),Client_List!$A:$A,0)),""))</f>
        <v/>
      </c>
      <c r="G2442" s="53">
        <f>IF(B2442="","",IFERROR(INDEX(Client_List!$K:$K,MATCH(VALUE(B2442),Client_List!$A:$A,0)),""))</f>
        <v/>
      </c>
      <c r="H2442" s="32">
        <f>IF(B2442="","",IFERROR(INDEX(Client_List!$J:$J,MATCH(VALUE(B2442),Client_List!$A:$A,0)),""))</f>
        <v/>
      </c>
      <c r="I2442" s="70">
        <f>IF(B2442="","",IFERROR(A2442-LOOKUP(2,1/($B$4:$B2441=B2442),$A$4:$A2441),""))</f>
        <v/>
      </c>
      <c r="J2442" s="32">
        <f>IF(B2442="","",IFERROR(D2442/I2442,""))</f>
        <v/>
      </c>
      <c r="K2442" s="71">
        <f>IF(B2442="","",IFERROR(AVERAGEIFS($J$4:$J2442,$B$4:$B2442,B2442,$J$4:$J2442,"&gt;"&amp;0),""))</f>
        <v/>
      </c>
      <c r="L2442" s="12" t="n"/>
    </row>
    <row r="2443" ht="14" customHeight="1" s="72">
      <c r="A2443" s="78" t="n"/>
      <c r="B2443" s="79" t="n"/>
      <c r="C2443" s="69">
        <f>IF(B2443="","",IFERROR(INDEX(Client_List!$B:$B,MATCH(B2443,Client_List!$A:$A,0)),"⚠ NOT FOUND"))</f>
        <v/>
      </c>
      <c r="D2443" s="44" t="n"/>
      <c r="E2443" s="32">
        <f>IF(B2443="","",IFERROR(INDEX(Client_List!$C:$C,MATCH(VALUE(B2443),Client_List!$A:$A,0)),""))</f>
        <v/>
      </c>
      <c r="F2443" s="53">
        <f>IF(B2443="","",IFERROR(INDEX(Client_List!$D:$D,MATCH(VALUE(B2443),Client_List!$A:$A,0)),""))</f>
        <v/>
      </c>
      <c r="G2443" s="53">
        <f>IF(B2443="","",IFERROR(INDEX(Client_List!$K:$K,MATCH(VALUE(B2443),Client_List!$A:$A,0)),""))</f>
        <v/>
      </c>
      <c r="H2443" s="32">
        <f>IF(B2443="","",IFERROR(INDEX(Client_List!$J:$J,MATCH(VALUE(B2443),Client_List!$A:$A,0)),""))</f>
        <v/>
      </c>
      <c r="I2443" s="70">
        <f>IF(B2443="","",IFERROR(A2443-LOOKUP(2,1/($B$4:$B2442=B2443),$A$4:$A2442),""))</f>
        <v/>
      </c>
      <c r="J2443" s="32">
        <f>IF(B2443="","",IFERROR(D2443/I2443,""))</f>
        <v/>
      </c>
      <c r="K2443" s="71">
        <f>IF(B2443="","",IFERROR(AVERAGEIFS($J$4:$J2443,$B$4:$B2443,B2443,$J$4:$J2443,"&gt;"&amp;0),""))</f>
        <v/>
      </c>
      <c r="L2443" s="11" t="n"/>
    </row>
    <row r="2444" ht="14" customHeight="1" s="72">
      <c r="A2444" s="80" t="n"/>
      <c r="B2444" s="81" t="n"/>
      <c r="C2444" s="69">
        <f>IF(B2444="","",IFERROR(INDEX(Client_List!$B:$B,MATCH(B2444,Client_List!$A:$A,0)),"⚠ NOT FOUND"))</f>
        <v/>
      </c>
      <c r="D2444" s="45" t="n"/>
      <c r="E2444" s="32">
        <f>IF(B2444="","",IFERROR(INDEX(Client_List!$C:$C,MATCH(VALUE(B2444),Client_List!$A:$A,0)),""))</f>
        <v/>
      </c>
      <c r="F2444" s="53">
        <f>IF(B2444="","",IFERROR(INDEX(Client_List!$D:$D,MATCH(VALUE(B2444),Client_List!$A:$A,0)),""))</f>
        <v/>
      </c>
      <c r="G2444" s="53">
        <f>IF(B2444="","",IFERROR(INDEX(Client_List!$K:$K,MATCH(VALUE(B2444),Client_List!$A:$A,0)),""))</f>
        <v/>
      </c>
      <c r="H2444" s="32">
        <f>IF(B2444="","",IFERROR(INDEX(Client_List!$J:$J,MATCH(VALUE(B2444),Client_List!$A:$A,0)),""))</f>
        <v/>
      </c>
      <c r="I2444" s="70">
        <f>IF(B2444="","",IFERROR(A2444-LOOKUP(2,1/($B$4:$B2443=B2444),$A$4:$A2443),""))</f>
        <v/>
      </c>
      <c r="J2444" s="32">
        <f>IF(B2444="","",IFERROR(D2444/I2444,""))</f>
        <v/>
      </c>
      <c r="K2444" s="71">
        <f>IF(B2444="","",IFERROR(AVERAGEIFS($J$4:$J2444,$B$4:$B2444,B2444,$J$4:$J2444,"&gt;"&amp;0),""))</f>
        <v/>
      </c>
      <c r="L2444" s="12" t="n"/>
    </row>
    <row r="2445" ht="14" customHeight="1" s="72">
      <c r="A2445" s="78" t="n"/>
      <c r="B2445" s="79" t="n"/>
      <c r="C2445" s="69">
        <f>IF(B2445="","",IFERROR(INDEX(Client_List!$B:$B,MATCH(B2445,Client_List!$A:$A,0)),"⚠ NOT FOUND"))</f>
        <v/>
      </c>
      <c r="D2445" s="44" t="n"/>
      <c r="E2445" s="32">
        <f>IF(B2445="","",IFERROR(INDEX(Client_List!$C:$C,MATCH(VALUE(B2445),Client_List!$A:$A,0)),""))</f>
        <v/>
      </c>
      <c r="F2445" s="53">
        <f>IF(B2445="","",IFERROR(INDEX(Client_List!$D:$D,MATCH(VALUE(B2445),Client_List!$A:$A,0)),""))</f>
        <v/>
      </c>
      <c r="G2445" s="53">
        <f>IF(B2445="","",IFERROR(INDEX(Client_List!$K:$K,MATCH(VALUE(B2445),Client_List!$A:$A,0)),""))</f>
        <v/>
      </c>
      <c r="H2445" s="32">
        <f>IF(B2445="","",IFERROR(INDEX(Client_List!$J:$J,MATCH(VALUE(B2445),Client_List!$A:$A,0)),""))</f>
        <v/>
      </c>
      <c r="I2445" s="70">
        <f>IF(B2445="","",IFERROR(A2445-LOOKUP(2,1/($B$4:$B2444=B2445),$A$4:$A2444),""))</f>
        <v/>
      </c>
      <c r="J2445" s="32">
        <f>IF(B2445="","",IFERROR(D2445/I2445,""))</f>
        <v/>
      </c>
      <c r="K2445" s="71">
        <f>IF(B2445="","",IFERROR(AVERAGEIFS($J$4:$J2445,$B$4:$B2445,B2445,$J$4:$J2445,"&gt;"&amp;0),""))</f>
        <v/>
      </c>
      <c r="L2445" s="11" t="n"/>
    </row>
    <row r="2446" ht="14" customHeight="1" s="72">
      <c r="A2446" s="80" t="n"/>
      <c r="B2446" s="81" t="n"/>
      <c r="C2446" s="69">
        <f>IF(B2446="","",IFERROR(INDEX(Client_List!$B:$B,MATCH(B2446,Client_List!$A:$A,0)),"⚠ NOT FOUND"))</f>
        <v/>
      </c>
      <c r="D2446" s="45" t="n"/>
      <c r="E2446" s="32">
        <f>IF(B2446="","",IFERROR(INDEX(Client_List!$C:$C,MATCH(VALUE(B2446),Client_List!$A:$A,0)),""))</f>
        <v/>
      </c>
      <c r="F2446" s="53">
        <f>IF(B2446="","",IFERROR(INDEX(Client_List!$D:$D,MATCH(VALUE(B2446),Client_List!$A:$A,0)),""))</f>
        <v/>
      </c>
      <c r="G2446" s="53">
        <f>IF(B2446="","",IFERROR(INDEX(Client_List!$K:$K,MATCH(VALUE(B2446),Client_List!$A:$A,0)),""))</f>
        <v/>
      </c>
      <c r="H2446" s="32">
        <f>IF(B2446="","",IFERROR(INDEX(Client_List!$J:$J,MATCH(VALUE(B2446),Client_List!$A:$A,0)),""))</f>
        <v/>
      </c>
      <c r="I2446" s="70">
        <f>IF(B2446="","",IFERROR(A2446-LOOKUP(2,1/($B$4:$B2445=B2446),$A$4:$A2445),""))</f>
        <v/>
      </c>
      <c r="J2446" s="32">
        <f>IF(B2446="","",IFERROR(D2446/I2446,""))</f>
        <v/>
      </c>
      <c r="K2446" s="71">
        <f>IF(B2446="","",IFERROR(AVERAGEIFS($J$4:$J2446,$B$4:$B2446,B2446,$J$4:$J2446,"&gt;"&amp;0),""))</f>
        <v/>
      </c>
      <c r="L2446" s="12" t="n"/>
    </row>
    <row r="2447" ht="14" customHeight="1" s="72">
      <c r="A2447" s="78" t="n"/>
      <c r="B2447" s="79" t="n"/>
      <c r="C2447" s="69">
        <f>IF(B2447="","",IFERROR(INDEX(Client_List!$B:$B,MATCH(B2447,Client_List!$A:$A,0)),"⚠ NOT FOUND"))</f>
        <v/>
      </c>
      <c r="D2447" s="44" t="n"/>
      <c r="E2447" s="32">
        <f>IF(B2447="","",IFERROR(INDEX(Client_List!$C:$C,MATCH(VALUE(B2447),Client_List!$A:$A,0)),""))</f>
        <v/>
      </c>
      <c r="F2447" s="53">
        <f>IF(B2447="","",IFERROR(INDEX(Client_List!$D:$D,MATCH(VALUE(B2447),Client_List!$A:$A,0)),""))</f>
        <v/>
      </c>
      <c r="G2447" s="53">
        <f>IF(B2447="","",IFERROR(INDEX(Client_List!$K:$K,MATCH(VALUE(B2447),Client_List!$A:$A,0)),""))</f>
        <v/>
      </c>
      <c r="H2447" s="32">
        <f>IF(B2447="","",IFERROR(INDEX(Client_List!$J:$J,MATCH(VALUE(B2447),Client_List!$A:$A,0)),""))</f>
        <v/>
      </c>
      <c r="I2447" s="70">
        <f>IF(B2447="","",IFERROR(A2447-LOOKUP(2,1/($B$4:$B2446=B2447),$A$4:$A2446),""))</f>
        <v/>
      </c>
      <c r="J2447" s="32">
        <f>IF(B2447="","",IFERROR(D2447/I2447,""))</f>
        <v/>
      </c>
      <c r="K2447" s="71">
        <f>IF(B2447="","",IFERROR(AVERAGEIFS($J$4:$J2447,$B$4:$B2447,B2447,$J$4:$J2447,"&gt;"&amp;0),""))</f>
        <v/>
      </c>
      <c r="L2447" s="11" t="n"/>
    </row>
    <row r="2448" ht="14" customHeight="1" s="72">
      <c r="A2448" s="80" t="n"/>
      <c r="B2448" s="81" t="n"/>
      <c r="C2448" s="69">
        <f>IF(B2448="","",IFERROR(INDEX(Client_List!$B:$B,MATCH(B2448,Client_List!$A:$A,0)),"⚠ NOT FOUND"))</f>
        <v/>
      </c>
      <c r="D2448" s="45" t="n"/>
      <c r="E2448" s="32">
        <f>IF(B2448="","",IFERROR(INDEX(Client_List!$C:$C,MATCH(VALUE(B2448),Client_List!$A:$A,0)),""))</f>
        <v/>
      </c>
      <c r="F2448" s="53">
        <f>IF(B2448="","",IFERROR(INDEX(Client_List!$D:$D,MATCH(VALUE(B2448),Client_List!$A:$A,0)),""))</f>
        <v/>
      </c>
      <c r="G2448" s="53">
        <f>IF(B2448="","",IFERROR(INDEX(Client_List!$K:$K,MATCH(VALUE(B2448),Client_List!$A:$A,0)),""))</f>
        <v/>
      </c>
      <c r="H2448" s="32">
        <f>IF(B2448="","",IFERROR(INDEX(Client_List!$J:$J,MATCH(VALUE(B2448),Client_List!$A:$A,0)),""))</f>
        <v/>
      </c>
      <c r="I2448" s="70">
        <f>IF(B2448="","",IFERROR(A2448-LOOKUP(2,1/($B$4:$B2447=B2448),$A$4:$A2447),""))</f>
        <v/>
      </c>
      <c r="J2448" s="32">
        <f>IF(B2448="","",IFERROR(D2448/I2448,""))</f>
        <v/>
      </c>
      <c r="K2448" s="71">
        <f>IF(B2448="","",IFERROR(AVERAGEIFS($J$4:$J2448,$B$4:$B2448,B2448,$J$4:$J2448,"&gt;"&amp;0),""))</f>
        <v/>
      </c>
      <c r="L2448" s="12" t="n"/>
    </row>
    <row r="2449" ht="14" customHeight="1" s="72">
      <c r="A2449" s="78" t="n"/>
      <c r="B2449" s="79" t="n"/>
      <c r="C2449" s="69">
        <f>IF(B2449="","",IFERROR(INDEX(Client_List!$B:$B,MATCH(B2449,Client_List!$A:$A,0)),"⚠ NOT FOUND"))</f>
        <v/>
      </c>
      <c r="D2449" s="44" t="n"/>
      <c r="E2449" s="32">
        <f>IF(B2449="","",IFERROR(INDEX(Client_List!$C:$C,MATCH(VALUE(B2449),Client_List!$A:$A,0)),""))</f>
        <v/>
      </c>
      <c r="F2449" s="53">
        <f>IF(B2449="","",IFERROR(INDEX(Client_List!$D:$D,MATCH(VALUE(B2449),Client_List!$A:$A,0)),""))</f>
        <v/>
      </c>
      <c r="G2449" s="53">
        <f>IF(B2449="","",IFERROR(INDEX(Client_List!$K:$K,MATCH(VALUE(B2449),Client_List!$A:$A,0)),""))</f>
        <v/>
      </c>
      <c r="H2449" s="32">
        <f>IF(B2449="","",IFERROR(INDEX(Client_List!$J:$J,MATCH(VALUE(B2449),Client_List!$A:$A,0)),""))</f>
        <v/>
      </c>
      <c r="I2449" s="70">
        <f>IF(B2449="","",IFERROR(A2449-LOOKUP(2,1/($B$4:$B2448=B2449),$A$4:$A2448),""))</f>
        <v/>
      </c>
      <c r="J2449" s="32">
        <f>IF(B2449="","",IFERROR(D2449/I2449,""))</f>
        <v/>
      </c>
      <c r="K2449" s="71">
        <f>IF(B2449="","",IFERROR(AVERAGEIFS($J$4:$J2449,$B$4:$B2449,B2449,$J$4:$J2449,"&gt;"&amp;0),""))</f>
        <v/>
      </c>
      <c r="L2449" s="11" t="n"/>
    </row>
    <row r="2450" ht="14" customHeight="1" s="72">
      <c r="A2450" s="80" t="n"/>
      <c r="B2450" s="81" t="n"/>
      <c r="C2450" s="69">
        <f>IF(B2450="","",IFERROR(INDEX(Client_List!$B:$B,MATCH(B2450,Client_List!$A:$A,0)),"⚠ NOT FOUND"))</f>
        <v/>
      </c>
      <c r="D2450" s="45" t="n"/>
      <c r="E2450" s="32">
        <f>IF(B2450="","",IFERROR(INDEX(Client_List!$C:$C,MATCH(VALUE(B2450),Client_List!$A:$A,0)),""))</f>
        <v/>
      </c>
      <c r="F2450" s="53">
        <f>IF(B2450="","",IFERROR(INDEX(Client_List!$D:$D,MATCH(VALUE(B2450),Client_List!$A:$A,0)),""))</f>
        <v/>
      </c>
      <c r="G2450" s="53">
        <f>IF(B2450="","",IFERROR(INDEX(Client_List!$K:$K,MATCH(VALUE(B2450),Client_List!$A:$A,0)),""))</f>
        <v/>
      </c>
      <c r="H2450" s="32">
        <f>IF(B2450="","",IFERROR(INDEX(Client_List!$J:$J,MATCH(VALUE(B2450),Client_List!$A:$A,0)),""))</f>
        <v/>
      </c>
      <c r="I2450" s="70">
        <f>IF(B2450="","",IFERROR(A2450-LOOKUP(2,1/($B$4:$B2449=B2450),$A$4:$A2449),""))</f>
        <v/>
      </c>
      <c r="J2450" s="32">
        <f>IF(B2450="","",IFERROR(D2450/I2450,""))</f>
        <v/>
      </c>
      <c r="K2450" s="71">
        <f>IF(B2450="","",IFERROR(AVERAGEIFS($J$4:$J2450,$B$4:$B2450,B2450,$J$4:$J2450,"&gt;"&amp;0),""))</f>
        <v/>
      </c>
      <c r="L2450" s="12" t="n"/>
    </row>
    <row r="2451" ht="14" customHeight="1" s="72">
      <c r="A2451" s="78" t="n"/>
      <c r="B2451" s="79" t="n"/>
      <c r="C2451" s="69">
        <f>IF(B2451="","",IFERROR(INDEX(Client_List!$B:$B,MATCH(B2451,Client_List!$A:$A,0)),"⚠ NOT FOUND"))</f>
        <v/>
      </c>
      <c r="D2451" s="44" t="n"/>
      <c r="E2451" s="32">
        <f>IF(B2451="","",IFERROR(INDEX(Client_List!$C:$C,MATCH(VALUE(B2451),Client_List!$A:$A,0)),""))</f>
        <v/>
      </c>
      <c r="F2451" s="53">
        <f>IF(B2451="","",IFERROR(INDEX(Client_List!$D:$D,MATCH(VALUE(B2451),Client_List!$A:$A,0)),""))</f>
        <v/>
      </c>
      <c r="G2451" s="53">
        <f>IF(B2451="","",IFERROR(INDEX(Client_List!$K:$K,MATCH(VALUE(B2451),Client_List!$A:$A,0)),""))</f>
        <v/>
      </c>
      <c r="H2451" s="32">
        <f>IF(B2451="","",IFERROR(INDEX(Client_List!$J:$J,MATCH(VALUE(B2451),Client_List!$A:$A,0)),""))</f>
        <v/>
      </c>
      <c r="I2451" s="70">
        <f>IF(B2451="","",IFERROR(A2451-LOOKUP(2,1/($B$4:$B2450=B2451),$A$4:$A2450),""))</f>
        <v/>
      </c>
      <c r="J2451" s="32">
        <f>IF(B2451="","",IFERROR(D2451/I2451,""))</f>
        <v/>
      </c>
      <c r="K2451" s="71">
        <f>IF(B2451="","",IFERROR(AVERAGEIFS($J$4:$J2451,$B$4:$B2451,B2451,$J$4:$J2451,"&gt;"&amp;0),""))</f>
        <v/>
      </c>
      <c r="L2451" s="11" t="n"/>
    </row>
    <row r="2452" ht="14" customHeight="1" s="72">
      <c r="A2452" s="80" t="n"/>
      <c r="B2452" s="81" t="n"/>
      <c r="C2452" s="69">
        <f>IF(B2452="","",IFERROR(INDEX(Client_List!$B:$B,MATCH(B2452,Client_List!$A:$A,0)),"⚠ NOT FOUND"))</f>
        <v/>
      </c>
      <c r="D2452" s="45" t="n"/>
      <c r="E2452" s="32">
        <f>IF(B2452="","",IFERROR(INDEX(Client_List!$C:$C,MATCH(VALUE(B2452),Client_List!$A:$A,0)),""))</f>
        <v/>
      </c>
      <c r="F2452" s="53">
        <f>IF(B2452="","",IFERROR(INDEX(Client_List!$D:$D,MATCH(VALUE(B2452),Client_List!$A:$A,0)),""))</f>
        <v/>
      </c>
      <c r="G2452" s="53">
        <f>IF(B2452="","",IFERROR(INDEX(Client_List!$K:$K,MATCH(VALUE(B2452),Client_List!$A:$A,0)),""))</f>
        <v/>
      </c>
      <c r="H2452" s="32">
        <f>IF(B2452="","",IFERROR(INDEX(Client_List!$J:$J,MATCH(VALUE(B2452),Client_List!$A:$A,0)),""))</f>
        <v/>
      </c>
      <c r="I2452" s="70">
        <f>IF(B2452="","",IFERROR(A2452-LOOKUP(2,1/($B$4:$B2451=B2452),$A$4:$A2451),""))</f>
        <v/>
      </c>
      <c r="J2452" s="32">
        <f>IF(B2452="","",IFERROR(D2452/I2452,""))</f>
        <v/>
      </c>
      <c r="K2452" s="71">
        <f>IF(B2452="","",IFERROR(AVERAGEIFS($J$4:$J2452,$B$4:$B2452,B2452,$J$4:$J2452,"&gt;"&amp;0),""))</f>
        <v/>
      </c>
      <c r="L2452" s="12" t="n"/>
    </row>
    <row r="2453" ht="14" customHeight="1" s="72">
      <c r="A2453" s="78" t="n"/>
      <c r="B2453" s="79" t="n"/>
      <c r="C2453" s="69">
        <f>IF(B2453="","",IFERROR(INDEX(Client_List!$B:$B,MATCH(B2453,Client_List!$A:$A,0)),"⚠ NOT FOUND"))</f>
        <v/>
      </c>
      <c r="D2453" s="44" t="n"/>
      <c r="E2453" s="32">
        <f>IF(B2453="","",IFERROR(INDEX(Client_List!$C:$C,MATCH(VALUE(B2453),Client_List!$A:$A,0)),""))</f>
        <v/>
      </c>
      <c r="F2453" s="53">
        <f>IF(B2453="","",IFERROR(INDEX(Client_List!$D:$D,MATCH(VALUE(B2453),Client_List!$A:$A,0)),""))</f>
        <v/>
      </c>
      <c r="G2453" s="53">
        <f>IF(B2453="","",IFERROR(INDEX(Client_List!$K:$K,MATCH(VALUE(B2453),Client_List!$A:$A,0)),""))</f>
        <v/>
      </c>
      <c r="H2453" s="32">
        <f>IF(B2453="","",IFERROR(INDEX(Client_List!$J:$J,MATCH(VALUE(B2453),Client_List!$A:$A,0)),""))</f>
        <v/>
      </c>
      <c r="I2453" s="70">
        <f>IF(B2453="","",IFERROR(A2453-LOOKUP(2,1/($B$4:$B2452=B2453),$A$4:$A2452),""))</f>
        <v/>
      </c>
      <c r="J2453" s="32">
        <f>IF(B2453="","",IFERROR(D2453/I2453,""))</f>
        <v/>
      </c>
      <c r="K2453" s="71">
        <f>IF(B2453="","",IFERROR(AVERAGEIFS($J$4:$J2453,$B$4:$B2453,B2453,$J$4:$J2453,"&gt;"&amp;0),""))</f>
        <v/>
      </c>
      <c r="L2453" s="11" t="n"/>
    </row>
    <row r="2454" ht="14" customHeight="1" s="72">
      <c r="A2454" s="80" t="n"/>
      <c r="B2454" s="81" t="n"/>
      <c r="C2454" s="69">
        <f>IF(B2454="","",IFERROR(INDEX(Client_List!$B:$B,MATCH(B2454,Client_List!$A:$A,0)),"⚠ NOT FOUND"))</f>
        <v/>
      </c>
      <c r="D2454" s="45" t="n"/>
      <c r="E2454" s="32">
        <f>IF(B2454="","",IFERROR(INDEX(Client_List!$C:$C,MATCH(VALUE(B2454),Client_List!$A:$A,0)),""))</f>
        <v/>
      </c>
      <c r="F2454" s="53">
        <f>IF(B2454="","",IFERROR(INDEX(Client_List!$D:$D,MATCH(VALUE(B2454),Client_List!$A:$A,0)),""))</f>
        <v/>
      </c>
      <c r="G2454" s="53">
        <f>IF(B2454="","",IFERROR(INDEX(Client_List!$K:$K,MATCH(VALUE(B2454),Client_List!$A:$A,0)),""))</f>
        <v/>
      </c>
      <c r="H2454" s="32">
        <f>IF(B2454="","",IFERROR(INDEX(Client_List!$J:$J,MATCH(VALUE(B2454),Client_List!$A:$A,0)),""))</f>
        <v/>
      </c>
      <c r="I2454" s="70">
        <f>IF(B2454="","",IFERROR(A2454-LOOKUP(2,1/($B$4:$B2453=B2454),$A$4:$A2453),""))</f>
        <v/>
      </c>
      <c r="J2454" s="32">
        <f>IF(B2454="","",IFERROR(D2454/I2454,""))</f>
        <v/>
      </c>
      <c r="K2454" s="71">
        <f>IF(B2454="","",IFERROR(AVERAGEIFS($J$4:$J2454,$B$4:$B2454,B2454,$J$4:$J2454,"&gt;"&amp;0),""))</f>
        <v/>
      </c>
      <c r="L2454" s="12" t="n"/>
    </row>
    <row r="2455" ht="14" customHeight="1" s="72">
      <c r="A2455" s="78" t="n"/>
      <c r="B2455" s="79" t="n"/>
      <c r="C2455" s="69">
        <f>IF(B2455="","",IFERROR(INDEX(Client_List!$B:$B,MATCH(B2455,Client_List!$A:$A,0)),"⚠ NOT FOUND"))</f>
        <v/>
      </c>
      <c r="D2455" s="44" t="n"/>
      <c r="E2455" s="32">
        <f>IF(B2455="","",IFERROR(INDEX(Client_List!$C:$C,MATCH(VALUE(B2455),Client_List!$A:$A,0)),""))</f>
        <v/>
      </c>
      <c r="F2455" s="53">
        <f>IF(B2455="","",IFERROR(INDEX(Client_List!$D:$D,MATCH(VALUE(B2455),Client_List!$A:$A,0)),""))</f>
        <v/>
      </c>
      <c r="G2455" s="53">
        <f>IF(B2455="","",IFERROR(INDEX(Client_List!$K:$K,MATCH(VALUE(B2455),Client_List!$A:$A,0)),""))</f>
        <v/>
      </c>
      <c r="H2455" s="32">
        <f>IF(B2455="","",IFERROR(INDEX(Client_List!$J:$J,MATCH(VALUE(B2455),Client_List!$A:$A,0)),""))</f>
        <v/>
      </c>
      <c r="I2455" s="70">
        <f>IF(B2455="","",IFERROR(A2455-LOOKUP(2,1/($B$4:$B2454=B2455),$A$4:$A2454),""))</f>
        <v/>
      </c>
      <c r="J2455" s="32">
        <f>IF(B2455="","",IFERROR(D2455/I2455,""))</f>
        <v/>
      </c>
      <c r="K2455" s="71">
        <f>IF(B2455="","",IFERROR(AVERAGEIFS($J$4:$J2455,$B$4:$B2455,B2455,$J$4:$J2455,"&gt;"&amp;0),""))</f>
        <v/>
      </c>
      <c r="L2455" s="11" t="n"/>
    </row>
    <row r="2456" ht="14" customHeight="1" s="72">
      <c r="A2456" s="80" t="n"/>
      <c r="B2456" s="81" t="n"/>
      <c r="C2456" s="69">
        <f>IF(B2456="","",IFERROR(INDEX(Client_List!$B:$B,MATCH(B2456,Client_List!$A:$A,0)),"⚠ NOT FOUND"))</f>
        <v/>
      </c>
      <c r="D2456" s="45" t="n"/>
      <c r="E2456" s="32">
        <f>IF(B2456="","",IFERROR(INDEX(Client_List!$C:$C,MATCH(VALUE(B2456),Client_List!$A:$A,0)),""))</f>
        <v/>
      </c>
      <c r="F2456" s="53">
        <f>IF(B2456="","",IFERROR(INDEX(Client_List!$D:$D,MATCH(VALUE(B2456),Client_List!$A:$A,0)),""))</f>
        <v/>
      </c>
      <c r="G2456" s="53">
        <f>IF(B2456="","",IFERROR(INDEX(Client_List!$K:$K,MATCH(VALUE(B2456),Client_List!$A:$A,0)),""))</f>
        <v/>
      </c>
      <c r="H2456" s="32">
        <f>IF(B2456="","",IFERROR(INDEX(Client_List!$J:$J,MATCH(VALUE(B2456),Client_List!$A:$A,0)),""))</f>
        <v/>
      </c>
      <c r="I2456" s="70">
        <f>IF(B2456="","",IFERROR(A2456-LOOKUP(2,1/($B$4:$B2455=B2456),$A$4:$A2455),""))</f>
        <v/>
      </c>
      <c r="J2456" s="32">
        <f>IF(B2456="","",IFERROR(D2456/I2456,""))</f>
        <v/>
      </c>
      <c r="K2456" s="71">
        <f>IF(B2456="","",IFERROR(AVERAGEIFS($J$4:$J2456,$B$4:$B2456,B2456,$J$4:$J2456,"&gt;"&amp;0),""))</f>
        <v/>
      </c>
      <c r="L2456" s="12" t="n"/>
    </row>
    <row r="2457" ht="14" customHeight="1" s="72">
      <c r="A2457" s="78" t="n"/>
      <c r="B2457" s="79" t="n"/>
      <c r="C2457" s="69">
        <f>IF(B2457="","",IFERROR(INDEX(Client_List!$B:$B,MATCH(B2457,Client_List!$A:$A,0)),"⚠ NOT FOUND"))</f>
        <v/>
      </c>
      <c r="D2457" s="44" t="n"/>
      <c r="E2457" s="32">
        <f>IF(B2457="","",IFERROR(INDEX(Client_List!$C:$C,MATCH(VALUE(B2457),Client_List!$A:$A,0)),""))</f>
        <v/>
      </c>
      <c r="F2457" s="53">
        <f>IF(B2457="","",IFERROR(INDEX(Client_List!$D:$D,MATCH(VALUE(B2457),Client_List!$A:$A,0)),""))</f>
        <v/>
      </c>
      <c r="G2457" s="53">
        <f>IF(B2457="","",IFERROR(INDEX(Client_List!$K:$K,MATCH(VALUE(B2457),Client_List!$A:$A,0)),""))</f>
        <v/>
      </c>
      <c r="H2457" s="32">
        <f>IF(B2457="","",IFERROR(INDEX(Client_List!$J:$J,MATCH(VALUE(B2457),Client_List!$A:$A,0)),""))</f>
        <v/>
      </c>
      <c r="I2457" s="70">
        <f>IF(B2457="","",IFERROR(A2457-LOOKUP(2,1/($B$4:$B2456=B2457),$A$4:$A2456),""))</f>
        <v/>
      </c>
      <c r="J2457" s="32">
        <f>IF(B2457="","",IFERROR(D2457/I2457,""))</f>
        <v/>
      </c>
      <c r="K2457" s="71">
        <f>IF(B2457="","",IFERROR(AVERAGEIFS($J$4:$J2457,$B$4:$B2457,B2457,$J$4:$J2457,"&gt;"&amp;0),""))</f>
        <v/>
      </c>
      <c r="L2457" s="11" t="n"/>
    </row>
    <row r="2458" ht="14" customHeight="1" s="72">
      <c r="A2458" s="80" t="n"/>
      <c r="B2458" s="81" t="n"/>
      <c r="C2458" s="69">
        <f>IF(B2458="","",IFERROR(INDEX(Client_List!$B:$B,MATCH(B2458,Client_List!$A:$A,0)),"⚠ NOT FOUND"))</f>
        <v/>
      </c>
      <c r="D2458" s="45" t="n"/>
      <c r="E2458" s="32">
        <f>IF(B2458="","",IFERROR(INDEX(Client_List!$C:$C,MATCH(VALUE(B2458),Client_List!$A:$A,0)),""))</f>
        <v/>
      </c>
      <c r="F2458" s="53">
        <f>IF(B2458="","",IFERROR(INDEX(Client_List!$D:$D,MATCH(VALUE(B2458),Client_List!$A:$A,0)),""))</f>
        <v/>
      </c>
      <c r="G2458" s="53">
        <f>IF(B2458="","",IFERROR(INDEX(Client_List!$K:$K,MATCH(VALUE(B2458),Client_List!$A:$A,0)),""))</f>
        <v/>
      </c>
      <c r="H2458" s="32">
        <f>IF(B2458="","",IFERROR(INDEX(Client_List!$J:$J,MATCH(VALUE(B2458),Client_List!$A:$A,0)),""))</f>
        <v/>
      </c>
      <c r="I2458" s="70">
        <f>IF(B2458="","",IFERROR(A2458-LOOKUP(2,1/($B$4:$B2457=B2458),$A$4:$A2457),""))</f>
        <v/>
      </c>
      <c r="J2458" s="32">
        <f>IF(B2458="","",IFERROR(D2458/I2458,""))</f>
        <v/>
      </c>
      <c r="K2458" s="71">
        <f>IF(B2458="","",IFERROR(AVERAGEIFS($J$4:$J2458,$B$4:$B2458,B2458,$J$4:$J2458,"&gt;"&amp;0),""))</f>
        <v/>
      </c>
      <c r="L2458" s="12" t="n"/>
    </row>
    <row r="2459" ht="14" customHeight="1" s="72">
      <c r="A2459" s="78" t="n"/>
      <c r="B2459" s="79" t="n"/>
      <c r="C2459" s="69">
        <f>IF(B2459="","",IFERROR(INDEX(Client_List!$B:$B,MATCH(B2459,Client_List!$A:$A,0)),"⚠ NOT FOUND"))</f>
        <v/>
      </c>
      <c r="D2459" s="44" t="n"/>
      <c r="E2459" s="32">
        <f>IF(B2459="","",IFERROR(INDEX(Client_List!$C:$C,MATCH(VALUE(B2459),Client_List!$A:$A,0)),""))</f>
        <v/>
      </c>
      <c r="F2459" s="53">
        <f>IF(B2459="","",IFERROR(INDEX(Client_List!$D:$D,MATCH(VALUE(B2459),Client_List!$A:$A,0)),""))</f>
        <v/>
      </c>
      <c r="G2459" s="53">
        <f>IF(B2459="","",IFERROR(INDEX(Client_List!$K:$K,MATCH(VALUE(B2459),Client_List!$A:$A,0)),""))</f>
        <v/>
      </c>
      <c r="H2459" s="32">
        <f>IF(B2459="","",IFERROR(INDEX(Client_List!$J:$J,MATCH(VALUE(B2459),Client_List!$A:$A,0)),""))</f>
        <v/>
      </c>
      <c r="I2459" s="70">
        <f>IF(B2459="","",IFERROR(A2459-LOOKUP(2,1/($B$4:$B2458=B2459),$A$4:$A2458),""))</f>
        <v/>
      </c>
      <c r="J2459" s="32">
        <f>IF(B2459="","",IFERROR(D2459/I2459,""))</f>
        <v/>
      </c>
      <c r="K2459" s="71">
        <f>IF(B2459="","",IFERROR(AVERAGEIFS($J$4:$J2459,$B$4:$B2459,B2459,$J$4:$J2459,"&gt;"&amp;0),""))</f>
        <v/>
      </c>
      <c r="L2459" s="11" t="n"/>
    </row>
    <row r="2460" ht="14" customHeight="1" s="72">
      <c r="A2460" s="80" t="n"/>
      <c r="B2460" s="81" t="n"/>
      <c r="C2460" s="69">
        <f>IF(B2460="","",IFERROR(INDEX(Client_List!$B:$B,MATCH(B2460,Client_List!$A:$A,0)),"⚠ NOT FOUND"))</f>
        <v/>
      </c>
      <c r="D2460" s="45" t="n"/>
      <c r="E2460" s="32">
        <f>IF(B2460="","",IFERROR(INDEX(Client_List!$C:$C,MATCH(VALUE(B2460),Client_List!$A:$A,0)),""))</f>
        <v/>
      </c>
      <c r="F2460" s="53">
        <f>IF(B2460="","",IFERROR(INDEX(Client_List!$D:$D,MATCH(VALUE(B2460),Client_List!$A:$A,0)),""))</f>
        <v/>
      </c>
      <c r="G2460" s="53">
        <f>IF(B2460="","",IFERROR(INDEX(Client_List!$K:$K,MATCH(VALUE(B2460),Client_List!$A:$A,0)),""))</f>
        <v/>
      </c>
      <c r="H2460" s="32">
        <f>IF(B2460="","",IFERROR(INDEX(Client_List!$J:$J,MATCH(VALUE(B2460),Client_List!$A:$A,0)),""))</f>
        <v/>
      </c>
      <c r="I2460" s="70">
        <f>IF(B2460="","",IFERROR(A2460-LOOKUP(2,1/($B$4:$B2459=B2460),$A$4:$A2459),""))</f>
        <v/>
      </c>
      <c r="J2460" s="32">
        <f>IF(B2460="","",IFERROR(D2460/I2460,""))</f>
        <v/>
      </c>
      <c r="K2460" s="71">
        <f>IF(B2460="","",IFERROR(AVERAGEIFS($J$4:$J2460,$B$4:$B2460,B2460,$J$4:$J2460,"&gt;"&amp;0),""))</f>
        <v/>
      </c>
      <c r="L2460" s="12" t="n"/>
    </row>
    <row r="2461" ht="14" customHeight="1" s="72">
      <c r="A2461" s="78" t="n"/>
      <c r="B2461" s="79" t="n"/>
      <c r="C2461" s="69">
        <f>IF(B2461="","",IFERROR(INDEX(Client_List!$B:$B,MATCH(B2461,Client_List!$A:$A,0)),"⚠ NOT FOUND"))</f>
        <v/>
      </c>
      <c r="D2461" s="44" t="n"/>
      <c r="E2461" s="32">
        <f>IF(B2461="","",IFERROR(INDEX(Client_List!$C:$C,MATCH(VALUE(B2461),Client_List!$A:$A,0)),""))</f>
        <v/>
      </c>
      <c r="F2461" s="53">
        <f>IF(B2461="","",IFERROR(INDEX(Client_List!$D:$D,MATCH(VALUE(B2461),Client_List!$A:$A,0)),""))</f>
        <v/>
      </c>
      <c r="G2461" s="53">
        <f>IF(B2461="","",IFERROR(INDEX(Client_List!$K:$K,MATCH(VALUE(B2461),Client_List!$A:$A,0)),""))</f>
        <v/>
      </c>
      <c r="H2461" s="32">
        <f>IF(B2461="","",IFERROR(INDEX(Client_List!$J:$J,MATCH(VALUE(B2461),Client_List!$A:$A,0)),""))</f>
        <v/>
      </c>
      <c r="I2461" s="70">
        <f>IF(B2461="","",IFERROR(A2461-LOOKUP(2,1/($B$4:$B2460=B2461),$A$4:$A2460),""))</f>
        <v/>
      </c>
      <c r="J2461" s="32">
        <f>IF(B2461="","",IFERROR(D2461/I2461,""))</f>
        <v/>
      </c>
      <c r="K2461" s="71">
        <f>IF(B2461="","",IFERROR(AVERAGEIFS($J$4:$J2461,$B$4:$B2461,B2461,$J$4:$J2461,"&gt;"&amp;0),""))</f>
        <v/>
      </c>
      <c r="L2461" s="11" t="n"/>
    </row>
    <row r="2462" ht="14" customHeight="1" s="72">
      <c r="A2462" s="80" t="n"/>
      <c r="B2462" s="81" t="n"/>
      <c r="C2462" s="69">
        <f>IF(B2462="","",IFERROR(INDEX(Client_List!$B:$B,MATCH(B2462,Client_List!$A:$A,0)),"⚠ NOT FOUND"))</f>
        <v/>
      </c>
      <c r="D2462" s="45" t="n"/>
      <c r="E2462" s="32">
        <f>IF(B2462="","",IFERROR(INDEX(Client_List!$C:$C,MATCH(VALUE(B2462),Client_List!$A:$A,0)),""))</f>
        <v/>
      </c>
      <c r="F2462" s="53">
        <f>IF(B2462="","",IFERROR(INDEX(Client_List!$D:$D,MATCH(VALUE(B2462),Client_List!$A:$A,0)),""))</f>
        <v/>
      </c>
      <c r="G2462" s="53">
        <f>IF(B2462="","",IFERROR(INDEX(Client_List!$K:$K,MATCH(VALUE(B2462),Client_List!$A:$A,0)),""))</f>
        <v/>
      </c>
      <c r="H2462" s="32">
        <f>IF(B2462="","",IFERROR(INDEX(Client_List!$J:$J,MATCH(VALUE(B2462),Client_List!$A:$A,0)),""))</f>
        <v/>
      </c>
      <c r="I2462" s="70">
        <f>IF(B2462="","",IFERROR(A2462-LOOKUP(2,1/($B$4:$B2461=B2462),$A$4:$A2461),""))</f>
        <v/>
      </c>
      <c r="J2462" s="32">
        <f>IF(B2462="","",IFERROR(D2462/I2462,""))</f>
        <v/>
      </c>
      <c r="K2462" s="71">
        <f>IF(B2462="","",IFERROR(AVERAGEIFS($J$4:$J2462,$B$4:$B2462,B2462,$J$4:$J2462,"&gt;"&amp;0),""))</f>
        <v/>
      </c>
      <c r="L2462" s="12" t="n"/>
    </row>
    <row r="2463" ht="14" customHeight="1" s="72">
      <c r="A2463" s="78" t="n"/>
      <c r="B2463" s="79" t="n"/>
      <c r="C2463" s="69">
        <f>IF(B2463="","",IFERROR(INDEX(Client_List!$B:$B,MATCH(B2463,Client_List!$A:$A,0)),"⚠ NOT FOUND"))</f>
        <v/>
      </c>
      <c r="D2463" s="44" t="n"/>
      <c r="E2463" s="32">
        <f>IF(B2463="","",IFERROR(INDEX(Client_List!$C:$C,MATCH(VALUE(B2463),Client_List!$A:$A,0)),""))</f>
        <v/>
      </c>
      <c r="F2463" s="53">
        <f>IF(B2463="","",IFERROR(INDEX(Client_List!$D:$D,MATCH(VALUE(B2463),Client_List!$A:$A,0)),""))</f>
        <v/>
      </c>
      <c r="G2463" s="53">
        <f>IF(B2463="","",IFERROR(INDEX(Client_List!$K:$K,MATCH(VALUE(B2463),Client_List!$A:$A,0)),""))</f>
        <v/>
      </c>
      <c r="H2463" s="32">
        <f>IF(B2463="","",IFERROR(INDEX(Client_List!$J:$J,MATCH(VALUE(B2463),Client_List!$A:$A,0)),""))</f>
        <v/>
      </c>
      <c r="I2463" s="70">
        <f>IF(B2463="","",IFERROR(A2463-LOOKUP(2,1/($B$4:$B2462=B2463),$A$4:$A2462),""))</f>
        <v/>
      </c>
      <c r="J2463" s="32">
        <f>IF(B2463="","",IFERROR(D2463/I2463,""))</f>
        <v/>
      </c>
      <c r="K2463" s="71">
        <f>IF(B2463="","",IFERROR(AVERAGEIFS($J$4:$J2463,$B$4:$B2463,B2463,$J$4:$J2463,"&gt;"&amp;0),""))</f>
        <v/>
      </c>
      <c r="L2463" s="11" t="n"/>
    </row>
    <row r="2464" ht="14" customHeight="1" s="72">
      <c r="A2464" s="80" t="n"/>
      <c r="B2464" s="81" t="n"/>
      <c r="C2464" s="69">
        <f>IF(B2464="","",IFERROR(INDEX(Client_List!$B:$B,MATCH(B2464,Client_List!$A:$A,0)),"⚠ NOT FOUND"))</f>
        <v/>
      </c>
      <c r="D2464" s="45" t="n"/>
      <c r="E2464" s="32">
        <f>IF(B2464="","",IFERROR(INDEX(Client_List!$C:$C,MATCH(VALUE(B2464),Client_List!$A:$A,0)),""))</f>
        <v/>
      </c>
      <c r="F2464" s="53">
        <f>IF(B2464="","",IFERROR(INDEX(Client_List!$D:$D,MATCH(VALUE(B2464),Client_List!$A:$A,0)),""))</f>
        <v/>
      </c>
      <c r="G2464" s="53">
        <f>IF(B2464="","",IFERROR(INDEX(Client_List!$K:$K,MATCH(VALUE(B2464),Client_List!$A:$A,0)),""))</f>
        <v/>
      </c>
      <c r="H2464" s="32">
        <f>IF(B2464="","",IFERROR(INDEX(Client_List!$J:$J,MATCH(VALUE(B2464),Client_List!$A:$A,0)),""))</f>
        <v/>
      </c>
      <c r="I2464" s="70">
        <f>IF(B2464="","",IFERROR(A2464-LOOKUP(2,1/($B$4:$B2463=B2464),$A$4:$A2463),""))</f>
        <v/>
      </c>
      <c r="J2464" s="32">
        <f>IF(B2464="","",IFERROR(D2464/I2464,""))</f>
        <v/>
      </c>
      <c r="K2464" s="71">
        <f>IF(B2464="","",IFERROR(AVERAGEIFS($J$4:$J2464,$B$4:$B2464,B2464,$J$4:$J2464,"&gt;"&amp;0),""))</f>
        <v/>
      </c>
      <c r="L2464" s="12" t="n"/>
    </row>
    <row r="2465" ht="14" customHeight="1" s="72">
      <c r="A2465" s="78" t="n"/>
      <c r="B2465" s="79" t="n"/>
      <c r="C2465" s="69">
        <f>IF(B2465="","",IFERROR(INDEX(Client_List!$B:$B,MATCH(B2465,Client_List!$A:$A,0)),"⚠ NOT FOUND"))</f>
        <v/>
      </c>
      <c r="D2465" s="44" t="n"/>
      <c r="E2465" s="32">
        <f>IF(B2465="","",IFERROR(INDEX(Client_List!$C:$C,MATCH(VALUE(B2465),Client_List!$A:$A,0)),""))</f>
        <v/>
      </c>
      <c r="F2465" s="53">
        <f>IF(B2465="","",IFERROR(INDEX(Client_List!$D:$D,MATCH(VALUE(B2465),Client_List!$A:$A,0)),""))</f>
        <v/>
      </c>
      <c r="G2465" s="53">
        <f>IF(B2465="","",IFERROR(INDEX(Client_List!$K:$K,MATCH(VALUE(B2465),Client_List!$A:$A,0)),""))</f>
        <v/>
      </c>
      <c r="H2465" s="32">
        <f>IF(B2465="","",IFERROR(INDEX(Client_List!$J:$J,MATCH(VALUE(B2465),Client_List!$A:$A,0)),""))</f>
        <v/>
      </c>
      <c r="I2465" s="70">
        <f>IF(B2465="","",IFERROR(A2465-LOOKUP(2,1/($B$4:$B2464=B2465),$A$4:$A2464),""))</f>
        <v/>
      </c>
      <c r="J2465" s="32">
        <f>IF(B2465="","",IFERROR(D2465/I2465,""))</f>
        <v/>
      </c>
      <c r="K2465" s="71">
        <f>IF(B2465="","",IFERROR(AVERAGEIFS($J$4:$J2465,$B$4:$B2465,B2465,$J$4:$J2465,"&gt;"&amp;0),""))</f>
        <v/>
      </c>
      <c r="L2465" s="11" t="n"/>
    </row>
    <row r="2466" ht="14" customHeight="1" s="72">
      <c r="A2466" s="80" t="n"/>
      <c r="B2466" s="81" t="n"/>
      <c r="C2466" s="69">
        <f>IF(B2466="","",IFERROR(INDEX(Client_List!$B:$B,MATCH(B2466,Client_List!$A:$A,0)),"⚠ NOT FOUND"))</f>
        <v/>
      </c>
      <c r="D2466" s="45" t="n"/>
      <c r="E2466" s="32">
        <f>IF(B2466="","",IFERROR(INDEX(Client_List!$C:$C,MATCH(VALUE(B2466),Client_List!$A:$A,0)),""))</f>
        <v/>
      </c>
      <c r="F2466" s="53">
        <f>IF(B2466="","",IFERROR(INDEX(Client_List!$D:$D,MATCH(VALUE(B2466),Client_List!$A:$A,0)),""))</f>
        <v/>
      </c>
      <c r="G2466" s="53">
        <f>IF(B2466="","",IFERROR(INDEX(Client_List!$K:$K,MATCH(VALUE(B2466),Client_List!$A:$A,0)),""))</f>
        <v/>
      </c>
      <c r="H2466" s="32">
        <f>IF(B2466="","",IFERROR(INDEX(Client_List!$J:$J,MATCH(VALUE(B2466),Client_List!$A:$A,0)),""))</f>
        <v/>
      </c>
      <c r="I2466" s="70">
        <f>IF(B2466="","",IFERROR(A2466-LOOKUP(2,1/($B$4:$B2465=B2466),$A$4:$A2465),""))</f>
        <v/>
      </c>
      <c r="J2466" s="32">
        <f>IF(B2466="","",IFERROR(D2466/I2466,""))</f>
        <v/>
      </c>
      <c r="K2466" s="71">
        <f>IF(B2466="","",IFERROR(AVERAGEIFS($J$4:$J2466,$B$4:$B2466,B2466,$J$4:$J2466,"&gt;"&amp;0),""))</f>
        <v/>
      </c>
      <c r="L2466" s="12" t="n"/>
    </row>
    <row r="2467" ht="14" customHeight="1" s="72">
      <c r="A2467" s="78" t="n"/>
      <c r="B2467" s="79" t="n"/>
      <c r="C2467" s="69">
        <f>IF(B2467="","",IFERROR(INDEX(Client_List!$B:$B,MATCH(B2467,Client_List!$A:$A,0)),"⚠ NOT FOUND"))</f>
        <v/>
      </c>
      <c r="D2467" s="44" t="n"/>
      <c r="E2467" s="32">
        <f>IF(B2467="","",IFERROR(INDEX(Client_List!$C:$C,MATCH(VALUE(B2467),Client_List!$A:$A,0)),""))</f>
        <v/>
      </c>
      <c r="F2467" s="53">
        <f>IF(B2467="","",IFERROR(INDEX(Client_List!$D:$D,MATCH(VALUE(B2467),Client_List!$A:$A,0)),""))</f>
        <v/>
      </c>
      <c r="G2467" s="53">
        <f>IF(B2467="","",IFERROR(INDEX(Client_List!$K:$K,MATCH(VALUE(B2467),Client_List!$A:$A,0)),""))</f>
        <v/>
      </c>
      <c r="H2467" s="32">
        <f>IF(B2467="","",IFERROR(INDEX(Client_List!$J:$J,MATCH(VALUE(B2467),Client_List!$A:$A,0)),""))</f>
        <v/>
      </c>
      <c r="I2467" s="70">
        <f>IF(B2467="","",IFERROR(A2467-LOOKUP(2,1/($B$4:$B2466=B2467),$A$4:$A2466),""))</f>
        <v/>
      </c>
      <c r="J2467" s="32">
        <f>IF(B2467="","",IFERROR(D2467/I2467,""))</f>
        <v/>
      </c>
      <c r="K2467" s="71">
        <f>IF(B2467="","",IFERROR(AVERAGEIFS($J$4:$J2467,$B$4:$B2467,B2467,$J$4:$J2467,"&gt;"&amp;0),""))</f>
        <v/>
      </c>
      <c r="L2467" s="11" t="n"/>
    </row>
    <row r="2468" ht="14" customHeight="1" s="72">
      <c r="A2468" s="80" t="n"/>
      <c r="B2468" s="81" t="n"/>
      <c r="C2468" s="69">
        <f>IF(B2468="","",IFERROR(INDEX(Client_List!$B:$B,MATCH(B2468,Client_List!$A:$A,0)),"⚠ NOT FOUND"))</f>
        <v/>
      </c>
      <c r="D2468" s="45" t="n"/>
      <c r="E2468" s="32">
        <f>IF(B2468="","",IFERROR(INDEX(Client_List!$C:$C,MATCH(VALUE(B2468),Client_List!$A:$A,0)),""))</f>
        <v/>
      </c>
      <c r="F2468" s="53">
        <f>IF(B2468="","",IFERROR(INDEX(Client_List!$D:$D,MATCH(VALUE(B2468),Client_List!$A:$A,0)),""))</f>
        <v/>
      </c>
      <c r="G2468" s="53">
        <f>IF(B2468="","",IFERROR(INDEX(Client_List!$K:$K,MATCH(VALUE(B2468),Client_List!$A:$A,0)),""))</f>
        <v/>
      </c>
      <c r="H2468" s="32">
        <f>IF(B2468="","",IFERROR(INDEX(Client_List!$J:$J,MATCH(VALUE(B2468),Client_List!$A:$A,0)),""))</f>
        <v/>
      </c>
      <c r="I2468" s="70">
        <f>IF(B2468="","",IFERROR(A2468-LOOKUP(2,1/($B$4:$B2467=B2468),$A$4:$A2467),""))</f>
        <v/>
      </c>
      <c r="J2468" s="32">
        <f>IF(B2468="","",IFERROR(D2468/I2468,""))</f>
        <v/>
      </c>
      <c r="K2468" s="71">
        <f>IF(B2468="","",IFERROR(AVERAGEIFS($J$4:$J2468,$B$4:$B2468,B2468,$J$4:$J2468,"&gt;"&amp;0),""))</f>
        <v/>
      </c>
      <c r="L2468" s="12" t="n"/>
    </row>
    <row r="2469" ht="14" customHeight="1" s="72">
      <c r="A2469" s="78" t="n"/>
      <c r="B2469" s="79" t="n"/>
      <c r="C2469" s="69">
        <f>IF(B2469="","",IFERROR(INDEX(Client_List!$B:$B,MATCH(B2469,Client_List!$A:$A,0)),"⚠ NOT FOUND"))</f>
        <v/>
      </c>
      <c r="D2469" s="44" t="n"/>
      <c r="E2469" s="32">
        <f>IF(B2469="","",IFERROR(INDEX(Client_List!$C:$C,MATCH(VALUE(B2469),Client_List!$A:$A,0)),""))</f>
        <v/>
      </c>
      <c r="F2469" s="53">
        <f>IF(B2469="","",IFERROR(INDEX(Client_List!$D:$D,MATCH(VALUE(B2469),Client_List!$A:$A,0)),""))</f>
        <v/>
      </c>
      <c r="G2469" s="53">
        <f>IF(B2469="","",IFERROR(INDEX(Client_List!$K:$K,MATCH(VALUE(B2469),Client_List!$A:$A,0)),""))</f>
        <v/>
      </c>
      <c r="H2469" s="32">
        <f>IF(B2469="","",IFERROR(INDEX(Client_List!$J:$J,MATCH(VALUE(B2469),Client_List!$A:$A,0)),""))</f>
        <v/>
      </c>
      <c r="I2469" s="70">
        <f>IF(B2469="","",IFERROR(A2469-LOOKUP(2,1/($B$4:$B2468=B2469),$A$4:$A2468),""))</f>
        <v/>
      </c>
      <c r="J2469" s="32">
        <f>IF(B2469="","",IFERROR(D2469/I2469,""))</f>
        <v/>
      </c>
      <c r="K2469" s="71">
        <f>IF(B2469="","",IFERROR(AVERAGEIFS($J$4:$J2469,$B$4:$B2469,B2469,$J$4:$J2469,"&gt;"&amp;0),""))</f>
        <v/>
      </c>
      <c r="L2469" s="11" t="n"/>
    </row>
    <row r="2470" ht="14" customHeight="1" s="72">
      <c r="A2470" s="80" t="n"/>
      <c r="B2470" s="81" t="n"/>
      <c r="C2470" s="69">
        <f>IF(B2470="","",IFERROR(INDEX(Client_List!$B:$B,MATCH(B2470,Client_List!$A:$A,0)),"⚠ NOT FOUND"))</f>
        <v/>
      </c>
      <c r="D2470" s="45" t="n"/>
      <c r="E2470" s="32">
        <f>IF(B2470="","",IFERROR(INDEX(Client_List!$C:$C,MATCH(VALUE(B2470),Client_List!$A:$A,0)),""))</f>
        <v/>
      </c>
      <c r="F2470" s="53">
        <f>IF(B2470="","",IFERROR(INDEX(Client_List!$D:$D,MATCH(VALUE(B2470),Client_List!$A:$A,0)),""))</f>
        <v/>
      </c>
      <c r="G2470" s="53">
        <f>IF(B2470="","",IFERROR(INDEX(Client_List!$K:$K,MATCH(VALUE(B2470),Client_List!$A:$A,0)),""))</f>
        <v/>
      </c>
      <c r="H2470" s="32">
        <f>IF(B2470="","",IFERROR(INDEX(Client_List!$J:$J,MATCH(VALUE(B2470),Client_List!$A:$A,0)),""))</f>
        <v/>
      </c>
      <c r="I2470" s="70">
        <f>IF(B2470="","",IFERROR(A2470-LOOKUP(2,1/($B$4:$B2469=B2470),$A$4:$A2469),""))</f>
        <v/>
      </c>
      <c r="J2470" s="32">
        <f>IF(B2470="","",IFERROR(D2470/I2470,""))</f>
        <v/>
      </c>
      <c r="K2470" s="71">
        <f>IF(B2470="","",IFERROR(AVERAGEIFS($J$4:$J2470,$B$4:$B2470,B2470,$J$4:$J2470,"&gt;"&amp;0),""))</f>
        <v/>
      </c>
      <c r="L2470" s="12" t="n"/>
    </row>
    <row r="2471" ht="14" customHeight="1" s="72">
      <c r="A2471" s="78" t="n"/>
      <c r="B2471" s="79" t="n"/>
      <c r="C2471" s="69">
        <f>IF(B2471="","",IFERROR(INDEX(Client_List!$B:$B,MATCH(B2471,Client_List!$A:$A,0)),"⚠ NOT FOUND"))</f>
        <v/>
      </c>
      <c r="D2471" s="44" t="n"/>
      <c r="E2471" s="32">
        <f>IF(B2471="","",IFERROR(INDEX(Client_List!$C:$C,MATCH(VALUE(B2471),Client_List!$A:$A,0)),""))</f>
        <v/>
      </c>
      <c r="F2471" s="53">
        <f>IF(B2471="","",IFERROR(INDEX(Client_List!$D:$D,MATCH(VALUE(B2471),Client_List!$A:$A,0)),""))</f>
        <v/>
      </c>
      <c r="G2471" s="53">
        <f>IF(B2471="","",IFERROR(INDEX(Client_List!$K:$K,MATCH(VALUE(B2471),Client_List!$A:$A,0)),""))</f>
        <v/>
      </c>
      <c r="H2471" s="32">
        <f>IF(B2471="","",IFERROR(INDEX(Client_List!$J:$J,MATCH(VALUE(B2471),Client_List!$A:$A,0)),""))</f>
        <v/>
      </c>
      <c r="I2471" s="70">
        <f>IF(B2471="","",IFERROR(A2471-LOOKUP(2,1/($B$4:$B2470=B2471),$A$4:$A2470),""))</f>
        <v/>
      </c>
      <c r="J2471" s="32">
        <f>IF(B2471="","",IFERROR(D2471/I2471,""))</f>
        <v/>
      </c>
      <c r="K2471" s="71">
        <f>IF(B2471="","",IFERROR(AVERAGEIFS($J$4:$J2471,$B$4:$B2471,B2471,$J$4:$J2471,"&gt;"&amp;0),""))</f>
        <v/>
      </c>
      <c r="L2471" s="11" t="n"/>
    </row>
    <row r="2472" ht="14" customHeight="1" s="72">
      <c r="A2472" s="80" t="n"/>
      <c r="B2472" s="81" t="n"/>
      <c r="C2472" s="69">
        <f>IF(B2472="","",IFERROR(INDEX(Client_List!$B:$B,MATCH(B2472,Client_List!$A:$A,0)),"⚠ NOT FOUND"))</f>
        <v/>
      </c>
      <c r="D2472" s="45" t="n"/>
      <c r="E2472" s="32">
        <f>IF(B2472="","",IFERROR(INDEX(Client_List!$C:$C,MATCH(VALUE(B2472),Client_List!$A:$A,0)),""))</f>
        <v/>
      </c>
      <c r="F2472" s="53">
        <f>IF(B2472="","",IFERROR(INDEX(Client_List!$D:$D,MATCH(VALUE(B2472),Client_List!$A:$A,0)),""))</f>
        <v/>
      </c>
      <c r="G2472" s="53">
        <f>IF(B2472="","",IFERROR(INDEX(Client_List!$K:$K,MATCH(VALUE(B2472),Client_List!$A:$A,0)),""))</f>
        <v/>
      </c>
      <c r="H2472" s="32">
        <f>IF(B2472="","",IFERROR(INDEX(Client_List!$J:$J,MATCH(VALUE(B2472),Client_List!$A:$A,0)),""))</f>
        <v/>
      </c>
      <c r="I2472" s="70">
        <f>IF(B2472="","",IFERROR(A2472-LOOKUP(2,1/($B$4:$B2471=B2472),$A$4:$A2471),""))</f>
        <v/>
      </c>
      <c r="J2472" s="32">
        <f>IF(B2472="","",IFERROR(D2472/I2472,""))</f>
        <v/>
      </c>
      <c r="K2472" s="71">
        <f>IF(B2472="","",IFERROR(AVERAGEIFS($J$4:$J2472,$B$4:$B2472,B2472,$J$4:$J2472,"&gt;"&amp;0),""))</f>
        <v/>
      </c>
      <c r="L2472" s="12" t="n"/>
    </row>
    <row r="2473" ht="14" customHeight="1" s="72">
      <c r="A2473" s="78" t="n"/>
      <c r="B2473" s="79" t="n"/>
      <c r="C2473" s="69">
        <f>IF(B2473="","",IFERROR(INDEX(Client_List!$B:$B,MATCH(B2473,Client_List!$A:$A,0)),"⚠ NOT FOUND"))</f>
        <v/>
      </c>
      <c r="D2473" s="44" t="n"/>
      <c r="E2473" s="32">
        <f>IF(B2473="","",IFERROR(INDEX(Client_List!$C:$C,MATCH(VALUE(B2473),Client_List!$A:$A,0)),""))</f>
        <v/>
      </c>
      <c r="F2473" s="53">
        <f>IF(B2473="","",IFERROR(INDEX(Client_List!$D:$D,MATCH(VALUE(B2473),Client_List!$A:$A,0)),""))</f>
        <v/>
      </c>
      <c r="G2473" s="53">
        <f>IF(B2473="","",IFERROR(INDEX(Client_List!$K:$K,MATCH(VALUE(B2473),Client_List!$A:$A,0)),""))</f>
        <v/>
      </c>
      <c r="H2473" s="32">
        <f>IF(B2473="","",IFERROR(INDEX(Client_List!$J:$J,MATCH(VALUE(B2473),Client_List!$A:$A,0)),""))</f>
        <v/>
      </c>
      <c r="I2473" s="70">
        <f>IF(B2473="","",IFERROR(A2473-LOOKUP(2,1/($B$4:$B2472=B2473),$A$4:$A2472),""))</f>
        <v/>
      </c>
      <c r="J2473" s="32">
        <f>IF(B2473="","",IFERROR(D2473/I2473,""))</f>
        <v/>
      </c>
      <c r="K2473" s="71">
        <f>IF(B2473="","",IFERROR(AVERAGEIFS($J$4:$J2473,$B$4:$B2473,B2473,$J$4:$J2473,"&gt;"&amp;0),""))</f>
        <v/>
      </c>
      <c r="L2473" s="11" t="n"/>
    </row>
    <row r="2474" ht="14" customHeight="1" s="72">
      <c r="A2474" s="80" t="n"/>
      <c r="B2474" s="81" t="n"/>
      <c r="C2474" s="69">
        <f>IF(B2474="","",IFERROR(INDEX(Client_List!$B:$B,MATCH(B2474,Client_List!$A:$A,0)),"⚠ NOT FOUND"))</f>
        <v/>
      </c>
      <c r="D2474" s="45" t="n"/>
      <c r="E2474" s="32">
        <f>IF(B2474="","",IFERROR(INDEX(Client_List!$C:$C,MATCH(VALUE(B2474),Client_List!$A:$A,0)),""))</f>
        <v/>
      </c>
      <c r="F2474" s="53">
        <f>IF(B2474="","",IFERROR(INDEX(Client_List!$D:$D,MATCH(VALUE(B2474),Client_List!$A:$A,0)),""))</f>
        <v/>
      </c>
      <c r="G2474" s="53">
        <f>IF(B2474="","",IFERROR(INDEX(Client_List!$K:$K,MATCH(VALUE(B2474),Client_List!$A:$A,0)),""))</f>
        <v/>
      </c>
      <c r="H2474" s="32">
        <f>IF(B2474="","",IFERROR(INDEX(Client_List!$J:$J,MATCH(VALUE(B2474),Client_List!$A:$A,0)),""))</f>
        <v/>
      </c>
      <c r="I2474" s="70">
        <f>IF(B2474="","",IFERROR(A2474-LOOKUP(2,1/($B$4:$B2473=B2474),$A$4:$A2473),""))</f>
        <v/>
      </c>
      <c r="J2474" s="32">
        <f>IF(B2474="","",IFERROR(D2474/I2474,""))</f>
        <v/>
      </c>
      <c r="K2474" s="71">
        <f>IF(B2474="","",IFERROR(AVERAGEIFS($J$4:$J2474,$B$4:$B2474,B2474,$J$4:$J2474,"&gt;"&amp;0),""))</f>
        <v/>
      </c>
      <c r="L2474" s="12" t="n"/>
    </row>
    <row r="2475" ht="14" customHeight="1" s="72">
      <c r="A2475" s="78" t="n"/>
      <c r="B2475" s="79" t="n"/>
      <c r="C2475" s="69">
        <f>IF(B2475="","",IFERROR(INDEX(Client_List!$B:$B,MATCH(B2475,Client_List!$A:$A,0)),"⚠ NOT FOUND"))</f>
        <v/>
      </c>
      <c r="D2475" s="44" t="n"/>
      <c r="E2475" s="32">
        <f>IF(B2475="","",IFERROR(INDEX(Client_List!$C:$C,MATCH(VALUE(B2475),Client_List!$A:$A,0)),""))</f>
        <v/>
      </c>
      <c r="F2475" s="53">
        <f>IF(B2475="","",IFERROR(INDEX(Client_List!$D:$D,MATCH(VALUE(B2475),Client_List!$A:$A,0)),""))</f>
        <v/>
      </c>
      <c r="G2475" s="53">
        <f>IF(B2475="","",IFERROR(INDEX(Client_List!$K:$K,MATCH(VALUE(B2475),Client_List!$A:$A,0)),""))</f>
        <v/>
      </c>
      <c r="H2475" s="32">
        <f>IF(B2475="","",IFERROR(INDEX(Client_List!$J:$J,MATCH(VALUE(B2475),Client_List!$A:$A,0)),""))</f>
        <v/>
      </c>
      <c r="I2475" s="70">
        <f>IF(B2475="","",IFERROR(A2475-LOOKUP(2,1/($B$4:$B2474=B2475),$A$4:$A2474),""))</f>
        <v/>
      </c>
      <c r="J2475" s="32">
        <f>IF(B2475="","",IFERROR(D2475/I2475,""))</f>
        <v/>
      </c>
      <c r="K2475" s="71">
        <f>IF(B2475="","",IFERROR(AVERAGEIFS($J$4:$J2475,$B$4:$B2475,B2475,$J$4:$J2475,"&gt;"&amp;0),""))</f>
        <v/>
      </c>
      <c r="L2475" s="11" t="n"/>
    </row>
    <row r="2476" ht="14" customHeight="1" s="72">
      <c r="A2476" s="80" t="n"/>
      <c r="B2476" s="81" t="n"/>
      <c r="C2476" s="69">
        <f>IF(B2476="","",IFERROR(INDEX(Client_List!$B:$B,MATCH(B2476,Client_List!$A:$A,0)),"⚠ NOT FOUND"))</f>
        <v/>
      </c>
      <c r="D2476" s="45" t="n"/>
      <c r="E2476" s="32">
        <f>IF(B2476="","",IFERROR(INDEX(Client_List!$C:$C,MATCH(VALUE(B2476),Client_List!$A:$A,0)),""))</f>
        <v/>
      </c>
      <c r="F2476" s="53">
        <f>IF(B2476="","",IFERROR(INDEX(Client_List!$D:$D,MATCH(VALUE(B2476),Client_List!$A:$A,0)),""))</f>
        <v/>
      </c>
      <c r="G2476" s="53">
        <f>IF(B2476="","",IFERROR(INDEX(Client_List!$K:$K,MATCH(VALUE(B2476),Client_List!$A:$A,0)),""))</f>
        <v/>
      </c>
      <c r="H2476" s="32">
        <f>IF(B2476="","",IFERROR(INDEX(Client_List!$J:$J,MATCH(VALUE(B2476),Client_List!$A:$A,0)),""))</f>
        <v/>
      </c>
      <c r="I2476" s="70">
        <f>IF(B2476="","",IFERROR(A2476-LOOKUP(2,1/($B$4:$B2475=B2476),$A$4:$A2475),""))</f>
        <v/>
      </c>
      <c r="J2476" s="32">
        <f>IF(B2476="","",IFERROR(D2476/I2476,""))</f>
        <v/>
      </c>
      <c r="K2476" s="71">
        <f>IF(B2476="","",IFERROR(AVERAGEIFS($J$4:$J2476,$B$4:$B2476,B2476,$J$4:$J2476,"&gt;"&amp;0),""))</f>
        <v/>
      </c>
      <c r="L2476" s="12" t="n"/>
    </row>
    <row r="2477" ht="14" customHeight="1" s="72">
      <c r="A2477" s="78" t="n"/>
      <c r="B2477" s="79" t="n"/>
      <c r="C2477" s="69">
        <f>IF(B2477="","",IFERROR(INDEX(Client_List!$B:$B,MATCH(B2477,Client_List!$A:$A,0)),"⚠ NOT FOUND"))</f>
        <v/>
      </c>
      <c r="D2477" s="44" t="n"/>
      <c r="E2477" s="32">
        <f>IF(B2477="","",IFERROR(INDEX(Client_List!$C:$C,MATCH(VALUE(B2477),Client_List!$A:$A,0)),""))</f>
        <v/>
      </c>
      <c r="F2477" s="53">
        <f>IF(B2477="","",IFERROR(INDEX(Client_List!$D:$D,MATCH(VALUE(B2477),Client_List!$A:$A,0)),""))</f>
        <v/>
      </c>
      <c r="G2477" s="53">
        <f>IF(B2477="","",IFERROR(INDEX(Client_List!$K:$K,MATCH(VALUE(B2477),Client_List!$A:$A,0)),""))</f>
        <v/>
      </c>
      <c r="H2477" s="32">
        <f>IF(B2477="","",IFERROR(INDEX(Client_List!$J:$J,MATCH(VALUE(B2477),Client_List!$A:$A,0)),""))</f>
        <v/>
      </c>
      <c r="I2477" s="70">
        <f>IF(B2477="","",IFERROR(A2477-LOOKUP(2,1/($B$4:$B2476=B2477),$A$4:$A2476),""))</f>
        <v/>
      </c>
      <c r="J2477" s="32">
        <f>IF(B2477="","",IFERROR(D2477/I2477,""))</f>
        <v/>
      </c>
      <c r="K2477" s="71">
        <f>IF(B2477="","",IFERROR(AVERAGEIFS($J$4:$J2477,$B$4:$B2477,B2477,$J$4:$J2477,"&gt;"&amp;0),""))</f>
        <v/>
      </c>
      <c r="L2477" s="11" t="n"/>
    </row>
    <row r="2478" ht="14" customHeight="1" s="72">
      <c r="A2478" s="80" t="n"/>
      <c r="B2478" s="81" t="n"/>
      <c r="C2478" s="69">
        <f>IF(B2478="","",IFERROR(INDEX(Client_List!$B:$B,MATCH(B2478,Client_List!$A:$A,0)),"⚠ NOT FOUND"))</f>
        <v/>
      </c>
      <c r="D2478" s="45" t="n"/>
      <c r="E2478" s="32">
        <f>IF(B2478="","",IFERROR(INDEX(Client_List!$C:$C,MATCH(VALUE(B2478),Client_List!$A:$A,0)),""))</f>
        <v/>
      </c>
      <c r="F2478" s="53">
        <f>IF(B2478="","",IFERROR(INDEX(Client_List!$D:$D,MATCH(VALUE(B2478),Client_List!$A:$A,0)),""))</f>
        <v/>
      </c>
      <c r="G2478" s="53">
        <f>IF(B2478="","",IFERROR(INDEX(Client_List!$K:$K,MATCH(VALUE(B2478),Client_List!$A:$A,0)),""))</f>
        <v/>
      </c>
      <c r="H2478" s="32">
        <f>IF(B2478="","",IFERROR(INDEX(Client_List!$J:$J,MATCH(VALUE(B2478),Client_List!$A:$A,0)),""))</f>
        <v/>
      </c>
      <c r="I2478" s="70">
        <f>IF(B2478="","",IFERROR(A2478-LOOKUP(2,1/($B$4:$B2477=B2478),$A$4:$A2477),""))</f>
        <v/>
      </c>
      <c r="J2478" s="32">
        <f>IF(B2478="","",IFERROR(D2478/I2478,""))</f>
        <v/>
      </c>
      <c r="K2478" s="71">
        <f>IF(B2478="","",IFERROR(AVERAGEIFS($J$4:$J2478,$B$4:$B2478,B2478,$J$4:$J2478,"&gt;"&amp;0),""))</f>
        <v/>
      </c>
      <c r="L2478" s="12" t="n"/>
    </row>
    <row r="2479" ht="14" customHeight="1" s="72">
      <c r="A2479" s="78" t="n"/>
      <c r="B2479" s="79" t="n"/>
      <c r="C2479" s="69">
        <f>IF(B2479="","",IFERROR(INDEX(Client_List!$B:$B,MATCH(B2479,Client_List!$A:$A,0)),"⚠ NOT FOUND"))</f>
        <v/>
      </c>
      <c r="D2479" s="44" t="n"/>
      <c r="E2479" s="32">
        <f>IF(B2479="","",IFERROR(INDEX(Client_List!$C:$C,MATCH(VALUE(B2479),Client_List!$A:$A,0)),""))</f>
        <v/>
      </c>
      <c r="F2479" s="53">
        <f>IF(B2479="","",IFERROR(INDEX(Client_List!$D:$D,MATCH(VALUE(B2479),Client_List!$A:$A,0)),""))</f>
        <v/>
      </c>
      <c r="G2479" s="53">
        <f>IF(B2479="","",IFERROR(INDEX(Client_List!$K:$K,MATCH(VALUE(B2479),Client_List!$A:$A,0)),""))</f>
        <v/>
      </c>
      <c r="H2479" s="32">
        <f>IF(B2479="","",IFERROR(INDEX(Client_List!$J:$J,MATCH(VALUE(B2479),Client_List!$A:$A,0)),""))</f>
        <v/>
      </c>
      <c r="I2479" s="70">
        <f>IF(B2479="","",IFERROR(A2479-LOOKUP(2,1/($B$4:$B2478=B2479),$A$4:$A2478),""))</f>
        <v/>
      </c>
      <c r="J2479" s="32">
        <f>IF(B2479="","",IFERROR(D2479/I2479,""))</f>
        <v/>
      </c>
      <c r="K2479" s="71">
        <f>IF(B2479="","",IFERROR(AVERAGEIFS($J$4:$J2479,$B$4:$B2479,B2479,$J$4:$J2479,"&gt;"&amp;0),""))</f>
        <v/>
      </c>
      <c r="L2479" s="11" t="n"/>
    </row>
    <row r="2480" ht="14" customHeight="1" s="72">
      <c r="A2480" s="80" t="n"/>
      <c r="B2480" s="81" t="n"/>
      <c r="C2480" s="69">
        <f>IF(B2480="","",IFERROR(INDEX(Client_List!$B:$B,MATCH(B2480,Client_List!$A:$A,0)),"⚠ NOT FOUND"))</f>
        <v/>
      </c>
      <c r="D2480" s="45" t="n"/>
      <c r="E2480" s="32">
        <f>IF(B2480="","",IFERROR(INDEX(Client_List!$C:$C,MATCH(VALUE(B2480),Client_List!$A:$A,0)),""))</f>
        <v/>
      </c>
      <c r="F2480" s="53">
        <f>IF(B2480="","",IFERROR(INDEX(Client_List!$D:$D,MATCH(VALUE(B2480),Client_List!$A:$A,0)),""))</f>
        <v/>
      </c>
      <c r="G2480" s="53">
        <f>IF(B2480="","",IFERROR(INDEX(Client_List!$K:$K,MATCH(VALUE(B2480),Client_List!$A:$A,0)),""))</f>
        <v/>
      </c>
      <c r="H2480" s="32">
        <f>IF(B2480="","",IFERROR(INDEX(Client_List!$J:$J,MATCH(VALUE(B2480),Client_List!$A:$A,0)),""))</f>
        <v/>
      </c>
      <c r="I2480" s="70">
        <f>IF(B2480="","",IFERROR(A2480-LOOKUP(2,1/($B$4:$B2479=B2480),$A$4:$A2479),""))</f>
        <v/>
      </c>
      <c r="J2480" s="32">
        <f>IF(B2480="","",IFERROR(D2480/I2480,""))</f>
        <v/>
      </c>
      <c r="K2480" s="71">
        <f>IF(B2480="","",IFERROR(AVERAGEIFS($J$4:$J2480,$B$4:$B2480,B2480,$J$4:$J2480,"&gt;"&amp;0),""))</f>
        <v/>
      </c>
      <c r="L2480" s="12" t="n"/>
    </row>
    <row r="2481" ht="14" customHeight="1" s="72">
      <c r="A2481" s="78" t="n"/>
      <c r="B2481" s="79" t="n"/>
      <c r="C2481" s="69">
        <f>IF(B2481="","",IFERROR(INDEX(Client_List!$B:$B,MATCH(B2481,Client_List!$A:$A,0)),"⚠ NOT FOUND"))</f>
        <v/>
      </c>
      <c r="D2481" s="44" t="n"/>
      <c r="E2481" s="32">
        <f>IF(B2481="","",IFERROR(INDEX(Client_List!$C:$C,MATCH(VALUE(B2481),Client_List!$A:$A,0)),""))</f>
        <v/>
      </c>
      <c r="F2481" s="53">
        <f>IF(B2481="","",IFERROR(INDEX(Client_List!$D:$D,MATCH(VALUE(B2481),Client_List!$A:$A,0)),""))</f>
        <v/>
      </c>
      <c r="G2481" s="53">
        <f>IF(B2481="","",IFERROR(INDEX(Client_List!$K:$K,MATCH(VALUE(B2481),Client_List!$A:$A,0)),""))</f>
        <v/>
      </c>
      <c r="H2481" s="32">
        <f>IF(B2481="","",IFERROR(INDEX(Client_List!$J:$J,MATCH(VALUE(B2481),Client_List!$A:$A,0)),""))</f>
        <v/>
      </c>
      <c r="I2481" s="70">
        <f>IF(B2481="","",IFERROR(A2481-LOOKUP(2,1/($B$4:$B2480=B2481),$A$4:$A2480),""))</f>
        <v/>
      </c>
      <c r="J2481" s="32">
        <f>IF(B2481="","",IFERROR(D2481/I2481,""))</f>
        <v/>
      </c>
      <c r="K2481" s="71">
        <f>IF(B2481="","",IFERROR(AVERAGEIFS($J$4:$J2481,$B$4:$B2481,B2481,$J$4:$J2481,"&gt;"&amp;0),""))</f>
        <v/>
      </c>
      <c r="L2481" s="11" t="n"/>
    </row>
    <row r="2482" ht="14" customHeight="1" s="72">
      <c r="A2482" s="80" t="n"/>
      <c r="B2482" s="81" t="n"/>
      <c r="C2482" s="69">
        <f>IF(B2482="","",IFERROR(INDEX(Client_List!$B:$B,MATCH(B2482,Client_List!$A:$A,0)),"⚠ NOT FOUND"))</f>
        <v/>
      </c>
      <c r="D2482" s="45" t="n"/>
      <c r="E2482" s="32">
        <f>IF(B2482="","",IFERROR(INDEX(Client_List!$C:$C,MATCH(VALUE(B2482),Client_List!$A:$A,0)),""))</f>
        <v/>
      </c>
      <c r="F2482" s="53">
        <f>IF(B2482="","",IFERROR(INDEX(Client_List!$D:$D,MATCH(VALUE(B2482),Client_List!$A:$A,0)),""))</f>
        <v/>
      </c>
      <c r="G2482" s="53">
        <f>IF(B2482="","",IFERROR(INDEX(Client_List!$K:$K,MATCH(VALUE(B2482),Client_List!$A:$A,0)),""))</f>
        <v/>
      </c>
      <c r="H2482" s="32">
        <f>IF(B2482="","",IFERROR(INDEX(Client_List!$J:$J,MATCH(VALUE(B2482),Client_List!$A:$A,0)),""))</f>
        <v/>
      </c>
      <c r="I2482" s="70">
        <f>IF(B2482="","",IFERROR(A2482-LOOKUP(2,1/($B$4:$B2481=B2482),$A$4:$A2481),""))</f>
        <v/>
      </c>
      <c r="J2482" s="32">
        <f>IF(B2482="","",IFERROR(D2482/I2482,""))</f>
        <v/>
      </c>
      <c r="K2482" s="71">
        <f>IF(B2482="","",IFERROR(AVERAGEIFS($J$4:$J2482,$B$4:$B2482,B2482,$J$4:$J2482,"&gt;"&amp;0),""))</f>
        <v/>
      </c>
      <c r="L2482" s="12" t="n"/>
    </row>
    <row r="2483" ht="14" customHeight="1" s="72">
      <c r="A2483" s="78" t="n"/>
      <c r="B2483" s="79" t="n"/>
      <c r="C2483" s="69">
        <f>IF(B2483="","",IFERROR(INDEX(Client_List!$B:$B,MATCH(B2483,Client_List!$A:$A,0)),"⚠ NOT FOUND"))</f>
        <v/>
      </c>
      <c r="D2483" s="44" t="n"/>
      <c r="E2483" s="32">
        <f>IF(B2483="","",IFERROR(INDEX(Client_List!$C:$C,MATCH(VALUE(B2483),Client_List!$A:$A,0)),""))</f>
        <v/>
      </c>
      <c r="F2483" s="53">
        <f>IF(B2483="","",IFERROR(INDEX(Client_List!$D:$D,MATCH(VALUE(B2483),Client_List!$A:$A,0)),""))</f>
        <v/>
      </c>
      <c r="G2483" s="53">
        <f>IF(B2483="","",IFERROR(INDEX(Client_List!$K:$K,MATCH(VALUE(B2483),Client_List!$A:$A,0)),""))</f>
        <v/>
      </c>
      <c r="H2483" s="32">
        <f>IF(B2483="","",IFERROR(INDEX(Client_List!$J:$J,MATCH(VALUE(B2483),Client_List!$A:$A,0)),""))</f>
        <v/>
      </c>
      <c r="I2483" s="70">
        <f>IF(B2483="","",IFERROR(A2483-LOOKUP(2,1/($B$4:$B2482=B2483),$A$4:$A2482),""))</f>
        <v/>
      </c>
      <c r="J2483" s="32">
        <f>IF(B2483="","",IFERROR(D2483/I2483,""))</f>
        <v/>
      </c>
      <c r="K2483" s="71">
        <f>IF(B2483="","",IFERROR(AVERAGEIFS($J$4:$J2483,$B$4:$B2483,B2483,$J$4:$J2483,"&gt;"&amp;0),""))</f>
        <v/>
      </c>
      <c r="L2483" s="11" t="n"/>
    </row>
    <row r="2484" ht="14" customHeight="1" s="72">
      <c r="A2484" s="80" t="n"/>
      <c r="B2484" s="81" t="n"/>
      <c r="C2484" s="69">
        <f>IF(B2484="","",IFERROR(INDEX(Client_List!$B:$B,MATCH(B2484,Client_List!$A:$A,0)),"⚠ NOT FOUND"))</f>
        <v/>
      </c>
      <c r="D2484" s="45" t="n"/>
      <c r="E2484" s="32">
        <f>IF(B2484="","",IFERROR(INDEX(Client_List!$C:$C,MATCH(VALUE(B2484),Client_List!$A:$A,0)),""))</f>
        <v/>
      </c>
      <c r="F2484" s="53">
        <f>IF(B2484="","",IFERROR(INDEX(Client_List!$D:$D,MATCH(VALUE(B2484),Client_List!$A:$A,0)),""))</f>
        <v/>
      </c>
      <c r="G2484" s="53">
        <f>IF(B2484="","",IFERROR(INDEX(Client_List!$K:$K,MATCH(VALUE(B2484),Client_List!$A:$A,0)),""))</f>
        <v/>
      </c>
      <c r="H2484" s="32">
        <f>IF(B2484="","",IFERROR(INDEX(Client_List!$J:$J,MATCH(VALUE(B2484),Client_List!$A:$A,0)),""))</f>
        <v/>
      </c>
      <c r="I2484" s="70">
        <f>IF(B2484="","",IFERROR(A2484-LOOKUP(2,1/($B$4:$B2483=B2484),$A$4:$A2483),""))</f>
        <v/>
      </c>
      <c r="J2484" s="32">
        <f>IF(B2484="","",IFERROR(D2484/I2484,""))</f>
        <v/>
      </c>
      <c r="K2484" s="71">
        <f>IF(B2484="","",IFERROR(AVERAGEIFS($J$4:$J2484,$B$4:$B2484,B2484,$J$4:$J2484,"&gt;"&amp;0),""))</f>
        <v/>
      </c>
      <c r="L2484" s="12" t="n"/>
    </row>
    <row r="2485" ht="14" customHeight="1" s="72">
      <c r="A2485" s="78" t="n"/>
      <c r="B2485" s="79" t="n"/>
      <c r="C2485" s="69">
        <f>IF(B2485="","",IFERROR(INDEX(Client_List!$B:$B,MATCH(B2485,Client_List!$A:$A,0)),"⚠ NOT FOUND"))</f>
        <v/>
      </c>
      <c r="D2485" s="44" t="n"/>
      <c r="E2485" s="32">
        <f>IF(B2485="","",IFERROR(INDEX(Client_List!$C:$C,MATCH(VALUE(B2485),Client_List!$A:$A,0)),""))</f>
        <v/>
      </c>
      <c r="F2485" s="53">
        <f>IF(B2485="","",IFERROR(INDEX(Client_List!$D:$D,MATCH(VALUE(B2485),Client_List!$A:$A,0)),""))</f>
        <v/>
      </c>
      <c r="G2485" s="53">
        <f>IF(B2485="","",IFERROR(INDEX(Client_List!$K:$K,MATCH(VALUE(B2485),Client_List!$A:$A,0)),""))</f>
        <v/>
      </c>
      <c r="H2485" s="32">
        <f>IF(B2485="","",IFERROR(INDEX(Client_List!$J:$J,MATCH(VALUE(B2485),Client_List!$A:$A,0)),""))</f>
        <v/>
      </c>
      <c r="I2485" s="70">
        <f>IF(B2485="","",IFERROR(A2485-LOOKUP(2,1/($B$4:$B2484=B2485),$A$4:$A2484),""))</f>
        <v/>
      </c>
      <c r="J2485" s="32">
        <f>IF(B2485="","",IFERROR(D2485/I2485,""))</f>
        <v/>
      </c>
      <c r="K2485" s="71">
        <f>IF(B2485="","",IFERROR(AVERAGEIFS($J$4:$J2485,$B$4:$B2485,B2485,$J$4:$J2485,"&gt;"&amp;0),""))</f>
        <v/>
      </c>
      <c r="L2485" s="11" t="n"/>
    </row>
    <row r="2486" ht="14" customHeight="1" s="72">
      <c r="A2486" s="80" t="n"/>
      <c r="B2486" s="81" t="n"/>
      <c r="C2486" s="69">
        <f>IF(B2486="","",IFERROR(INDEX(Client_List!$B:$B,MATCH(B2486,Client_List!$A:$A,0)),"⚠ NOT FOUND"))</f>
        <v/>
      </c>
      <c r="D2486" s="45" t="n"/>
      <c r="E2486" s="32">
        <f>IF(B2486="","",IFERROR(INDEX(Client_List!$C:$C,MATCH(VALUE(B2486),Client_List!$A:$A,0)),""))</f>
        <v/>
      </c>
      <c r="F2486" s="53">
        <f>IF(B2486="","",IFERROR(INDEX(Client_List!$D:$D,MATCH(VALUE(B2486),Client_List!$A:$A,0)),""))</f>
        <v/>
      </c>
      <c r="G2486" s="53">
        <f>IF(B2486="","",IFERROR(INDEX(Client_List!$K:$K,MATCH(VALUE(B2486),Client_List!$A:$A,0)),""))</f>
        <v/>
      </c>
      <c r="H2486" s="32">
        <f>IF(B2486="","",IFERROR(INDEX(Client_List!$J:$J,MATCH(VALUE(B2486),Client_List!$A:$A,0)),""))</f>
        <v/>
      </c>
      <c r="I2486" s="70">
        <f>IF(B2486="","",IFERROR(A2486-LOOKUP(2,1/($B$4:$B2485=B2486),$A$4:$A2485),""))</f>
        <v/>
      </c>
      <c r="J2486" s="32">
        <f>IF(B2486="","",IFERROR(D2486/I2486,""))</f>
        <v/>
      </c>
      <c r="K2486" s="71">
        <f>IF(B2486="","",IFERROR(AVERAGEIFS($J$4:$J2486,$B$4:$B2486,B2486,$J$4:$J2486,"&gt;"&amp;0),""))</f>
        <v/>
      </c>
      <c r="L2486" s="12" t="n"/>
    </row>
    <row r="2487" ht="14" customHeight="1" s="72">
      <c r="A2487" s="78" t="n"/>
      <c r="B2487" s="79" t="n"/>
      <c r="C2487" s="69">
        <f>IF(B2487="","",IFERROR(INDEX(Client_List!$B:$B,MATCH(B2487,Client_List!$A:$A,0)),"⚠ NOT FOUND"))</f>
        <v/>
      </c>
      <c r="D2487" s="44" t="n"/>
      <c r="E2487" s="32">
        <f>IF(B2487="","",IFERROR(INDEX(Client_List!$C:$C,MATCH(VALUE(B2487),Client_List!$A:$A,0)),""))</f>
        <v/>
      </c>
      <c r="F2487" s="53">
        <f>IF(B2487="","",IFERROR(INDEX(Client_List!$D:$D,MATCH(VALUE(B2487),Client_List!$A:$A,0)),""))</f>
        <v/>
      </c>
      <c r="G2487" s="53">
        <f>IF(B2487="","",IFERROR(INDEX(Client_List!$K:$K,MATCH(VALUE(B2487),Client_List!$A:$A,0)),""))</f>
        <v/>
      </c>
      <c r="H2487" s="32">
        <f>IF(B2487="","",IFERROR(INDEX(Client_List!$J:$J,MATCH(VALUE(B2487),Client_List!$A:$A,0)),""))</f>
        <v/>
      </c>
      <c r="I2487" s="70">
        <f>IF(B2487="","",IFERROR(A2487-LOOKUP(2,1/($B$4:$B2486=B2487),$A$4:$A2486),""))</f>
        <v/>
      </c>
      <c r="J2487" s="32">
        <f>IF(B2487="","",IFERROR(D2487/I2487,""))</f>
        <v/>
      </c>
      <c r="K2487" s="71">
        <f>IF(B2487="","",IFERROR(AVERAGEIFS($J$4:$J2487,$B$4:$B2487,B2487,$J$4:$J2487,"&gt;"&amp;0),""))</f>
        <v/>
      </c>
      <c r="L2487" s="11" t="n"/>
    </row>
    <row r="2488" ht="14" customHeight="1" s="72">
      <c r="A2488" s="80" t="n"/>
      <c r="B2488" s="81" t="n"/>
      <c r="C2488" s="69">
        <f>IF(B2488="","",IFERROR(INDEX(Client_List!$B:$B,MATCH(B2488,Client_List!$A:$A,0)),"⚠ NOT FOUND"))</f>
        <v/>
      </c>
      <c r="D2488" s="45" t="n"/>
      <c r="E2488" s="32">
        <f>IF(B2488="","",IFERROR(INDEX(Client_List!$C:$C,MATCH(VALUE(B2488),Client_List!$A:$A,0)),""))</f>
        <v/>
      </c>
      <c r="F2488" s="53">
        <f>IF(B2488="","",IFERROR(INDEX(Client_List!$D:$D,MATCH(VALUE(B2488),Client_List!$A:$A,0)),""))</f>
        <v/>
      </c>
      <c r="G2488" s="53">
        <f>IF(B2488="","",IFERROR(INDEX(Client_List!$K:$K,MATCH(VALUE(B2488),Client_List!$A:$A,0)),""))</f>
        <v/>
      </c>
      <c r="H2488" s="32">
        <f>IF(B2488="","",IFERROR(INDEX(Client_List!$J:$J,MATCH(VALUE(B2488),Client_List!$A:$A,0)),""))</f>
        <v/>
      </c>
      <c r="I2488" s="70">
        <f>IF(B2488="","",IFERROR(A2488-LOOKUP(2,1/($B$4:$B2487=B2488),$A$4:$A2487),""))</f>
        <v/>
      </c>
      <c r="J2488" s="32">
        <f>IF(B2488="","",IFERROR(D2488/I2488,""))</f>
        <v/>
      </c>
      <c r="K2488" s="71">
        <f>IF(B2488="","",IFERROR(AVERAGEIFS($J$4:$J2488,$B$4:$B2488,B2488,$J$4:$J2488,"&gt;"&amp;0),""))</f>
        <v/>
      </c>
      <c r="L2488" s="12" t="n"/>
    </row>
    <row r="2489" ht="14" customHeight="1" s="72">
      <c r="A2489" s="78" t="n"/>
      <c r="B2489" s="79" t="n"/>
      <c r="C2489" s="69">
        <f>IF(B2489="","",IFERROR(INDEX(Client_List!$B:$B,MATCH(B2489,Client_List!$A:$A,0)),"⚠ NOT FOUND"))</f>
        <v/>
      </c>
      <c r="D2489" s="44" t="n"/>
      <c r="E2489" s="32">
        <f>IF(B2489="","",IFERROR(INDEX(Client_List!$C:$C,MATCH(VALUE(B2489),Client_List!$A:$A,0)),""))</f>
        <v/>
      </c>
      <c r="F2489" s="53">
        <f>IF(B2489="","",IFERROR(INDEX(Client_List!$D:$D,MATCH(VALUE(B2489),Client_List!$A:$A,0)),""))</f>
        <v/>
      </c>
      <c r="G2489" s="53">
        <f>IF(B2489="","",IFERROR(INDEX(Client_List!$K:$K,MATCH(VALUE(B2489),Client_List!$A:$A,0)),""))</f>
        <v/>
      </c>
      <c r="H2489" s="32">
        <f>IF(B2489="","",IFERROR(INDEX(Client_List!$J:$J,MATCH(VALUE(B2489),Client_List!$A:$A,0)),""))</f>
        <v/>
      </c>
      <c r="I2489" s="70">
        <f>IF(B2489="","",IFERROR(A2489-LOOKUP(2,1/($B$4:$B2488=B2489),$A$4:$A2488),""))</f>
        <v/>
      </c>
      <c r="J2489" s="32">
        <f>IF(B2489="","",IFERROR(D2489/I2489,""))</f>
        <v/>
      </c>
      <c r="K2489" s="71">
        <f>IF(B2489="","",IFERROR(AVERAGEIFS($J$4:$J2489,$B$4:$B2489,B2489,$J$4:$J2489,"&gt;"&amp;0),""))</f>
        <v/>
      </c>
      <c r="L2489" s="11" t="n"/>
    </row>
    <row r="2490" ht="14" customHeight="1" s="72">
      <c r="A2490" s="80" t="n"/>
      <c r="B2490" s="81" t="n"/>
      <c r="C2490" s="69">
        <f>IF(B2490="","",IFERROR(INDEX(Client_List!$B:$B,MATCH(B2490,Client_List!$A:$A,0)),"⚠ NOT FOUND"))</f>
        <v/>
      </c>
      <c r="D2490" s="45" t="n"/>
      <c r="E2490" s="32">
        <f>IF(B2490="","",IFERROR(INDEX(Client_List!$C:$C,MATCH(VALUE(B2490),Client_List!$A:$A,0)),""))</f>
        <v/>
      </c>
      <c r="F2490" s="53">
        <f>IF(B2490="","",IFERROR(INDEX(Client_List!$D:$D,MATCH(VALUE(B2490),Client_List!$A:$A,0)),""))</f>
        <v/>
      </c>
      <c r="G2490" s="53">
        <f>IF(B2490="","",IFERROR(INDEX(Client_List!$K:$K,MATCH(VALUE(B2490),Client_List!$A:$A,0)),""))</f>
        <v/>
      </c>
      <c r="H2490" s="32">
        <f>IF(B2490="","",IFERROR(INDEX(Client_List!$J:$J,MATCH(VALUE(B2490),Client_List!$A:$A,0)),""))</f>
        <v/>
      </c>
      <c r="I2490" s="70">
        <f>IF(B2490="","",IFERROR(A2490-LOOKUP(2,1/($B$4:$B2489=B2490),$A$4:$A2489),""))</f>
        <v/>
      </c>
      <c r="J2490" s="32">
        <f>IF(B2490="","",IFERROR(D2490/I2490,""))</f>
        <v/>
      </c>
      <c r="K2490" s="71">
        <f>IF(B2490="","",IFERROR(AVERAGEIFS($J$4:$J2490,$B$4:$B2490,B2490,$J$4:$J2490,"&gt;"&amp;0),""))</f>
        <v/>
      </c>
      <c r="L2490" s="12" t="n"/>
    </row>
    <row r="2491" ht="14" customHeight="1" s="72">
      <c r="A2491" s="78" t="n"/>
      <c r="B2491" s="79" t="n"/>
      <c r="C2491" s="69">
        <f>IF(B2491="","",IFERROR(INDEX(Client_List!$B:$B,MATCH(B2491,Client_List!$A:$A,0)),"⚠ NOT FOUND"))</f>
        <v/>
      </c>
      <c r="D2491" s="44" t="n"/>
      <c r="E2491" s="32">
        <f>IF(B2491="","",IFERROR(INDEX(Client_List!$C:$C,MATCH(VALUE(B2491),Client_List!$A:$A,0)),""))</f>
        <v/>
      </c>
      <c r="F2491" s="53">
        <f>IF(B2491="","",IFERROR(INDEX(Client_List!$D:$D,MATCH(VALUE(B2491),Client_List!$A:$A,0)),""))</f>
        <v/>
      </c>
      <c r="G2491" s="53">
        <f>IF(B2491="","",IFERROR(INDEX(Client_List!$K:$K,MATCH(VALUE(B2491),Client_List!$A:$A,0)),""))</f>
        <v/>
      </c>
      <c r="H2491" s="32">
        <f>IF(B2491="","",IFERROR(INDEX(Client_List!$J:$J,MATCH(VALUE(B2491),Client_List!$A:$A,0)),""))</f>
        <v/>
      </c>
      <c r="I2491" s="70">
        <f>IF(B2491="","",IFERROR(A2491-LOOKUP(2,1/($B$4:$B2490=B2491),$A$4:$A2490),""))</f>
        <v/>
      </c>
      <c r="J2491" s="32">
        <f>IF(B2491="","",IFERROR(D2491/I2491,""))</f>
        <v/>
      </c>
      <c r="K2491" s="71">
        <f>IF(B2491="","",IFERROR(AVERAGEIFS($J$4:$J2491,$B$4:$B2491,B2491,$J$4:$J2491,"&gt;"&amp;0),""))</f>
        <v/>
      </c>
      <c r="L2491" s="11" t="n"/>
    </row>
    <row r="2492" ht="14" customHeight="1" s="72">
      <c r="A2492" s="80" t="n"/>
      <c r="B2492" s="81" t="n"/>
      <c r="C2492" s="69">
        <f>IF(B2492="","",IFERROR(INDEX(Client_List!$B:$B,MATCH(B2492,Client_List!$A:$A,0)),"⚠ NOT FOUND"))</f>
        <v/>
      </c>
      <c r="D2492" s="45" t="n"/>
      <c r="E2492" s="32">
        <f>IF(B2492="","",IFERROR(INDEX(Client_List!$C:$C,MATCH(VALUE(B2492),Client_List!$A:$A,0)),""))</f>
        <v/>
      </c>
      <c r="F2492" s="53">
        <f>IF(B2492="","",IFERROR(INDEX(Client_List!$D:$D,MATCH(VALUE(B2492),Client_List!$A:$A,0)),""))</f>
        <v/>
      </c>
      <c r="G2492" s="53">
        <f>IF(B2492="","",IFERROR(INDEX(Client_List!$K:$K,MATCH(VALUE(B2492),Client_List!$A:$A,0)),""))</f>
        <v/>
      </c>
      <c r="H2492" s="32">
        <f>IF(B2492="","",IFERROR(INDEX(Client_List!$J:$J,MATCH(VALUE(B2492),Client_List!$A:$A,0)),""))</f>
        <v/>
      </c>
      <c r="I2492" s="70">
        <f>IF(B2492="","",IFERROR(A2492-LOOKUP(2,1/($B$4:$B2491=B2492),$A$4:$A2491),""))</f>
        <v/>
      </c>
      <c r="J2492" s="32">
        <f>IF(B2492="","",IFERROR(D2492/I2492,""))</f>
        <v/>
      </c>
      <c r="K2492" s="71">
        <f>IF(B2492="","",IFERROR(AVERAGEIFS($J$4:$J2492,$B$4:$B2492,B2492,$J$4:$J2492,"&gt;"&amp;0),""))</f>
        <v/>
      </c>
      <c r="L2492" s="12" t="n"/>
    </row>
    <row r="2493" ht="14" customHeight="1" s="72">
      <c r="A2493" s="78" t="n"/>
      <c r="B2493" s="79" t="n"/>
      <c r="C2493" s="69">
        <f>IF(B2493="","",IFERROR(INDEX(Client_List!$B:$B,MATCH(B2493,Client_List!$A:$A,0)),"⚠ NOT FOUND"))</f>
        <v/>
      </c>
      <c r="D2493" s="44" t="n"/>
      <c r="E2493" s="32">
        <f>IF(B2493="","",IFERROR(INDEX(Client_List!$C:$C,MATCH(VALUE(B2493),Client_List!$A:$A,0)),""))</f>
        <v/>
      </c>
      <c r="F2493" s="53">
        <f>IF(B2493="","",IFERROR(INDEX(Client_List!$D:$D,MATCH(VALUE(B2493),Client_List!$A:$A,0)),""))</f>
        <v/>
      </c>
      <c r="G2493" s="53">
        <f>IF(B2493="","",IFERROR(INDEX(Client_List!$K:$K,MATCH(VALUE(B2493),Client_List!$A:$A,0)),""))</f>
        <v/>
      </c>
      <c r="H2493" s="32">
        <f>IF(B2493="","",IFERROR(INDEX(Client_List!$J:$J,MATCH(VALUE(B2493),Client_List!$A:$A,0)),""))</f>
        <v/>
      </c>
      <c r="I2493" s="70">
        <f>IF(B2493="","",IFERROR(A2493-LOOKUP(2,1/($B$4:$B2492=B2493),$A$4:$A2492),""))</f>
        <v/>
      </c>
      <c r="J2493" s="32">
        <f>IF(B2493="","",IFERROR(D2493/I2493,""))</f>
        <v/>
      </c>
      <c r="K2493" s="71">
        <f>IF(B2493="","",IFERROR(AVERAGEIFS($J$4:$J2493,$B$4:$B2493,B2493,$J$4:$J2493,"&gt;"&amp;0),""))</f>
        <v/>
      </c>
      <c r="L2493" s="11" t="n"/>
    </row>
    <row r="2494" ht="14" customHeight="1" s="72">
      <c r="A2494" s="80" t="n"/>
      <c r="B2494" s="81" t="n"/>
      <c r="C2494" s="69">
        <f>IF(B2494="","",IFERROR(INDEX(Client_List!$B:$B,MATCH(B2494,Client_List!$A:$A,0)),"⚠ NOT FOUND"))</f>
        <v/>
      </c>
      <c r="D2494" s="45" t="n"/>
      <c r="E2494" s="32">
        <f>IF(B2494="","",IFERROR(INDEX(Client_List!$C:$C,MATCH(VALUE(B2494),Client_List!$A:$A,0)),""))</f>
        <v/>
      </c>
      <c r="F2494" s="53">
        <f>IF(B2494="","",IFERROR(INDEX(Client_List!$D:$D,MATCH(VALUE(B2494),Client_List!$A:$A,0)),""))</f>
        <v/>
      </c>
      <c r="G2494" s="53">
        <f>IF(B2494="","",IFERROR(INDEX(Client_List!$K:$K,MATCH(VALUE(B2494),Client_List!$A:$A,0)),""))</f>
        <v/>
      </c>
      <c r="H2494" s="32">
        <f>IF(B2494="","",IFERROR(INDEX(Client_List!$J:$J,MATCH(VALUE(B2494),Client_List!$A:$A,0)),""))</f>
        <v/>
      </c>
      <c r="I2494" s="70">
        <f>IF(B2494="","",IFERROR(A2494-LOOKUP(2,1/($B$4:$B2493=B2494),$A$4:$A2493),""))</f>
        <v/>
      </c>
      <c r="J2494" s="32">
        <f>IF(B2494="","",IFERROR(D2494/I2494,""))</f>
        <v/>
      </c>
      <c r="K2494" s="71">
        <f>IF(B2494="","",IFERROR(AVERAGEIFS($J$4:$J2494,$B$4:$B2494,B2494,$J$4:$J2494,"&gt;"&amp;0),""))</f>
        <v/>
      </c>
      <c r="L2494" s="12" t="n"/>
    </row>
    <row r="2495" ht="14" customHeight="1" s="72">
      <c r="A2495" s="78" t="n"/>
      <c r="B2495" s="79" t="n"/>
      <c r="C2495" s="69">
        <f>IF(B2495="","",IFERROR(INDEX(Client_List!$B:$B,MATCH(B2495,Client_List!$A:$A,0)),"⚠ NOT FOUND"))</f>
        <v/>
      </c>
      <c r="D2495" s="44" t="n"/>
      <c r="E2495" s="32">
        <f>IF(B2495="","",IFERROR(INDEX(Client_List!$C:$C,MATCH(VALUE(B2495),Client_List!$A:$A,0)),""))</f>
        <v/>
      </c>
      <c r="F2495" s="53">
        <f>IF(B2495="","",IFERROR(INDEX(Client_List!$D:$D,MATCH(VALUE(B2495),Client_List!$A:$A,0)),""))</f>
        <v/>
      </c>
      <c r="G2495" s="53">
        <f>IF(B2495="","",IFERROR(INDEX(Client_List!$K:$K,MATCH(VALUE(B2495),Client_List!$A:$A,0)),""))</f>
        <v/>
      </c>
      <c r="H2495" s="32">
        <f>IF(B2495="","",IFERROR(INDEX(Client_List!$J:$J,MATCH(VALUE(B2495),Client_List!$A:$A,0)),""))</f>
        <v/>
      </c>
      <c r="I2495" s="70">
        <f>IF(B2495="","",IFERROR(A2495-LOOKUP(2,1/($B$4:$B2494=B2495),$A$4:$A2494),""))</f>
        <v/>
      </c>
      <c r="J2495" s="32">
        <f>IF(B2495="","",IFERROR(D2495/I2495,""))</f>
        <v/>
      </c>
      <c r="K2495" s="71">
        <f>IF(B2495="","",IFERROR(AVERAGEIFS($J$4:$J2495,$B$4:$B2495,B2495,$J$4:$J2495,"&gt;"&amp;0),""))</f>
        <v/>
      </c>
      <c r="L2495" s="11" t="n"/>
    </row>
    <row r="2496" ht="14" customHeight="1" s="72">
      <c r="A2496" s="80" t="n"/>
      <c r="B2496" s="81" t="n"/>
      <c r="C2496" s="69">
        <f>IF(B2496="","",IFERROR(INDEX(Client_List!$B:$B,MATCH(B2496,Client_List!$A:$A,0)),"⚠ NOT FOUND"))</f>
        <v/>
      </c>
      <c r="D2496" s="45" t="n"/>
      <c r="E2496" s="32">
        <f>IF(B2496="","",IFERROR(INDEX(Client_List!$C:$C,MATCH(VALUE(B2496),Client_List!$A:$A,0)),""))</f>
        <v/>
      </c>
      <c r="F2496" s="53">
        <f>IF(B2496="","",IFERROR(INDEX(Client_List!$D:$D,MATCH(VALUE(B2496),Client_List!$A:$A,0)),""))</f>
        <v/>
      </c>
      <c r="G2496" s="53">
        <f>IF(B2496="","",IFERROR(INDEX(Client_List!$K:$K,MATCH(VALUE(B2496),Client_List!$A:$A,0)),""))</f>
        <v/>
      </c>
      <c r="H2496" s="32">
        <f>IF(B2496="","",IFERROR(INDEX(Client_List!$J:$J,MATCH(VALUE(B2496),Client_List!$A:$A,0)),""))</f>
        <v/>
      </c>
      <c r="I2496" s="70">
        <f>IF(B2496="","",IFERROR(A2496-LOOKUP(2,1/($B$4:$B2495=B2496),$A$4:$A2495),""))</f>
        <v/>
      </c>
      <c r="J2496" s="32">
        <f>IF(B2496="","",IFERROR(D2496/I2496,""))</f>
        <v/>
      </c>
      <c r="K2496" s="71">
        <f>IF(B2496="","",IFERROR(AVERAGEIFS($J$4:$J2496,$B$4:$B2496,B2496,$J$4:$J2496,"&gt;"&amp;0),""))</f>
        <v/>
      </c>
      <c r="L2496" s="12" t="n"/>
    </row>
    <row r="2497" ht="14" customHeight="1" s="72">
      <c r="A2497" s="78" t="n"/>
      <c r="B2497" s="79" t="n"/>
      <c r="C2497" s="69">
        <f>IF(B2497="","",IFERROR(INDEX(Client_List!$B:$B,MATCH(B2497,Client_List!$A:$A,0)),"⚠ NOT FOUND"))</f>
        <v/>
      </c>
      <c r="D2497" s="44" t="n"/>
      <c r="E2497" s="32">
        <f>IF(B2497="","",IFERROR(INDEX(Client_List!$C:$C,MATCH(VALUE(B2497),Client_List!$A:$A,0)),""))</f>
        <v/>
      </c>
      <c r="F2497" s="53">
        <f>IF(B2497="","",IFERROR(INDEX(Client_List!$D:$D,MATCH(VALUE(B2497),Client_List!$A:$A,0)),""))</f>
        <v/>
      </c>
      <c r="G2497" s="53">
        <f>IF(B2497="","",IFERROR(INDEX(Client_List!$K:$K,MATCH(VALUE(B2497),Client_List!$A:$A,0)),""))</f>
        <v/>
      </c>
      <c r="H2497" s="32">
        <f>IF(B2497="","",IFERROR(INDEX(Client_List!$J:$J,MATCH(VALUE(B2497),Client_List!$A:$A,0)),""))</f>
        <v/>
      </c>
      <c r="I2497" s="70">
        <f>IF(B2497="","",IFERROR(A2497-LOOKUP(2,1/($B$4:$B2496=B2497),$A$4:$A2496),""))</f>
        <v/>
      </c>
      <c r="J2497" s="32">
        <f>IF(B2497="","",IFERROR(D2497/I2497,""))</f>
        <v/>
      </c>
      <c r="K2497" s="71">
        <f>IF(B2497="","",IFERROR(AVERAGEIFS($J$4:$J2497,$B$4:$B2497,B2497,$J$4:$J2497,"&gt;"&amp;0),""))</f>
        <v/>
      </c>
      <c r="L2497" s="11" t="n"/>
    </row>
    <row r="2498" ht="14" customHeight="1" s="72">
      <c r="A2498" s="80" t="n"/>
      <c r="B2498" s="81" t="n"/>
      <c r="C2498" s="69">
        <f>IF(B2498="","",IFERROR(INDEX(Client_List!$B:$B,MATCH(B2498,Client_List!$A:$A,0)),"⚠ NOT FOUND"))</f>
        <v/>
      </c>
      <c r="D2498" s="45" t="n"/>
      <c r="E2498" s="32">
        <f>IF(B2498="","",IFERROR(INDEX(Client_List!$C:$C,MATCH(VALUE(B2498),Client_List!$A:$A,0)),""))</f>
        <v/>
      </c>
      <c r="F2498" s="53">
        <f>IF(B2498="","",IFERROR(INDEX(Client_List!$D:$D,MATCH(VALUE(B2498),Client_List!$A:$A,0)),""))</f>
        <v/>
      </c>
      <c r="G2498" s="53">
        <f>IF(B2498="","",IFERROR(INDEX(Client_List!$K:$K,MATCH(VALUE(B2498),Client_List!$A:$A,0)),""))</f>
        <v/>
      </c>
      <c r="H2498" s="32">
        <f>IF(B2498="","",IFERROR(INDEX(Client_List!$J:$J,MATCH(VALUE(B2498),Client_List!$A:$A,0)),""))</f>
        <v/>
      </c>
      <c r="I2498" s="70">
        <f>IF(B2498="","",IFERROR(A2498-LOOKUP(2,1/($B$4:$B2497=B2498),$A$4:$A2497),""))</f>
        <v/>
      </c>
      <c r="J2498" s="32">
        <f>IF(B2498="","",IFERROR(D2498/I2498,""))</f>
        <v/>
      </c>
      <c r="K2498" s="71">
        <f>IF(B2498="","",IFERROR(AVERAGEIFS($J$4:$J2498,$B$4:$B2498,B2498,$J$4:$J2498,"&gt;"&amp;0),""))</f>
        <v/>
      </c>
      <c r="L2498" s="12" t="n"/>
    </row>
    <row r="2499" ht="14" customHeight="1" s="72">
      <c r="A2499" s="82" t="n"/>
      <c r="B2499" s="79" t="n"/>
      <c r="C2499" s="69">
        <f>IF(B2499="","",IFERROR(INDEX(Client_List!$B:$B,MATCH(B2499,Client_List!$A:$A,0)),"⚠ NOT FOUND"))</f>
        <v/>
      </c>
      <c r="D2499" s="44" t="n"/>
      <c r="E2499" s="32">
        <f>IF(B2499="","",IFERROR(INDEX(Client_List!$C:$C,MATCH(VALUE(B2499),Client_List!$A:$A,0)),""))</f>
        <v/>
      </c>
      <c r="F2499" s="53">
        <f>IF(B2499="","",IFERROR(INDEX(Client_List!$D:$D,MATCH(VALUE(B2499),Client_List!$A:$A,0)),""))</f>
        <v/>
      </c>
      <c r="G2499" s="53">
        <f>IF(B2499="","",IFERROR(INDEX(Client_List!$K:$K,MATCH(VALUE(B2499),Client_List!$A:$A,0)),""))</f>
        <v/>
      </c>
      <c r="H2499" s="32">
        <f>IF(B2499="","",IFERROR(INDEX(Client_List!$J:$J,MATCH(VALUE(B2499),Client_List!$A:$A,0)),""))</f>
        <v/>
      </c>
      <c r="I2499" s="70">
        <f>IF(B2499="","",IFERROR(A2499-LOOKUP(2,1/($B$4:$B2498=B2499),$A$4:$A2498),""))</f>
        <v/>
      </c>
      <c r="J2499" s="32">
        <f>IF(B2499="","",IFERROR(D2499/I2499,""))</f>
        <v/>
      </c>
      <c r="K2499" s="71">
        <f>IF(B2499="","",IFERROR(AVERAGEIFS($J$4:$J2499,$B$4:$B2499,B2499,$J$4:$J2499,"&gt;"&amp;0),""))</f>
        <v/>
      </c>
      <c r="L2499" s="11" t="n"/>
    </row>
    <row r="2500" ht="14" customHeight="1" s="72">
      <c r="A2500" s="83" t="n"/>
      <c r="B2500" s="81" t="n"/>
      <c r="C2500" s="69">
        <f>IF(B2500="","",IFERROR(INDEX(Client_List!$B:$B,MATCH(B2500,Client_List!$A:$A,0)),"⚠ NOT FOUND"))</f>
        <v/>
      </c>
      <c r="D2500" s="45" t="n"/>
      <c r="E2500" s="32">
        <f>IF(B2500="","",IFERROR(INDEX(Client_List!$C:$C,MATCH(VALUE(B2500),Client_List!$A:$A,0)),""))</f>
        <v/>
      </c>
      <c r="F2500" s="53">
        <f>IF(B2500="","",IFERROR(INDEX(Client_List!$D:$D,MATCH(VALUE(B2500),Client_List!$A:$A,0)),""))</f>
        <v/>
      </c>
      <c r="G2500" s="53">
        <f>IF(B2500="","",IFERROR(INDEX(Client_List!$K:$K,MATCH(VALUE(B2500),Client_List!$A:$A,0)),""))</f>
        <v/>
      </c>
      <c r="H2500" s="32">
        <f>IF(B2500="","",IFERROR(INDEX(Client_List!$J:$J,MATCH(VALUE(B2500),Client_List!$A:$A,0)),""))</f>
        <v/>
      </c>
      <c r="I2500" s="70">
        <f>IF(B2500="","",IFERROR(A2500-LOOKUP(2,1/($B$4:$B2499=B2500),$A$4:$A2499),""))</f>
        <v/>
      </c>
      <c r="J2500" s="32">
        <f>IF(B2500="","",IFERROR(D2500/I2500,""))</f>
        <v/>
      </c>
      <c r="K2500" s="71">
        <f>IF(B2500="","",IFERROR(AVERAGEIFS($J$4:$J2500,$B$4:$B2500,B2500,$J$4:$J2500,"&gt;"&amp;0),""))</f>
        <v/>
      </c>
      <c r="L2500" s="12" t="n"/>
    </row>
    <row r="2501" ht="14" customHeight="1" s="72">
      <c r="A2501" s="82" t="n"/>
      <c r="B2501" s="79" t="n"/>
      <c r="C2501" s="69">
        <f>IF(B2501="","",IFERROR(INDEX(Client_List!$B:$B,MATCH(B2501,Client_List!$A:$A,0)),"⚠ NOT FOUND"))</f>
        <v/>
      </c>
      <c r="D2501" s="44" t="n"/>
      <c r="E2501" s="32">
        <f>IF(B2501="","",IFERROR(INDEX(Client_List!$C:$C,MATCH(VALUE(B2501),Client_List!$A:$A,0)),""))</f>
        <v/>
      </c>
      <c r="F2501" s="53">
        <f>IF(B2501="","",IFERROR(INDEX(Client_List!$D:$D,MATCH(VALUE(B2501),Client_List!$A:$A,0)),""))</f>
        <v/>
      </c>
      <c r="G2501" s="53">
        <f>IF(B2501="","",IFERROR(INDEX(Client_List!$K:$K,MATCH(VALUE(B2501),Client_List!$A:$A,0)),""))</f>
        <v/>
      </c>
      <c r="H2501" s="32">
        <f>IF(B2501="","",IFERROR(INDEX(Client_List!$J:$J,MATCH(VALUE(B2501),Client_List!$A:$A,0)),""))</f>
        <v/>
      </c>
      <c r="I2501" s="70">
        <f>IF(B2501="","",IFERROR(A2501-LOOKUP(2,1/($B$4:$B2500=B2501),$A$4:$A2500),""))</f>
        <v/>
      </c>
      <c r="J2501" s="32">
        <f>IF(B2501="","",IFERROR(D2501/I2501,""))</f>
        <v/>
      </c>
      <c r="K2501" s="71">
        <f>IF(B2501="","",IFERROR(AVERAGEIFS($J$4:$J2501,$B$4:$B2501,B2501,$J$4:$J2501,"&gt;"&amp;0),""))</f>
        <v/>
      </c>
      <c r="L2501" s="11" t="n"/>
    </row>
    <row r="2502" ht="14" customHeight="1" s="72">
      <c r="A2502" s="83" t="n"/>
      <c r="B2502" s="81" t="n"/>
      <c r="C2502" s="69">
        <f>IF(B2502="","",IFERROR(INDEX(Client_List!$B:$B,MATCH(B2502,Client_List!$A:$A,0)),"⚠ NOT FOUND"))</f>
        <v/>
      </c>
      <c r="D2502" s="45" t="n"/>
      <c r="E2502" s="32">
        <f>IF(B2502="","",IFERROR(INDEX(Client_List!$C:$C,MATCH(VALUE(B2502),Client_List!$A:$A,0)),""))</f>
        <v/>
      </c>
      <c r="F2502" s="53">
        <f>IF(B2502="","",IFERROR(INDEX(Client_List!$D:$D,MATCH(VALUE(B2502),Client_List!$A:$A,0)),""))</f>
        <v/>
      </c>
      <c r="G2502" s="53">
        <f>IF(B2502="","",IFERROR(INDEX(Client_List!$K:$K,MATCH(VALUE(B2502),Client_List!$A:$A,0)),""))</f>
        <v/>
      </c>
      <c r="H2502" s="32">
        <f>IF(B2502="","",IFERROR(INDEX(Client_List!$J:$J,MATCH(VALUE(B2502),Client_List!$A:$A,0)),""))</f>
        <v/>
      </c>
      <c r="I2502" s="70">
        <f>IF(B2502="","",IFERROR(A2502-LOOKUP(2,1/($B$4:$B2501=B2502),$A$4:$A2501),""))</f>
        <v/>
      </c>
      <c r="J2502" s="32">
        <f>IF(B2502="","",IFERROR(D2502/I2502,""))</f>
        <v/>
      </c>
      <c r="K2502" s="71">
        <f>IF(B2502="","",IFERROR(AVERAGEIFS($J$4:$J2502,$B$4:$B2502,B2502,$J$4:$J2502,"&gt;"&amp;0),""))</f>
        <v/>
      </c>
      <c r="L2502" s="12" t="n"/>
    </row>
    <row r="2503" ht="14" customHeight="1" s="72">
      <c r="A2503" s="82" t="n"/>
      <c r="B2503" s="79" t="n"/>
      <c r="C2503" s="69">
        <f>IF(B2503="","",IFERROR(INDEX(Client_List!$B:$B,MATCH(B2503,Client_List!$A:$A,0)),"⚠ NOT FOUND"))</f>
        <v/>
      </c>
      <c r="D2503" s="44" t="n"/>
      <c r="E2503" s="32">
        <f>IF(B2503="","",IFERROR(INDEX(Client_List!$C:$C,MATCH(VALUE(B2503),Client_List!$A:$A,0)),""))</f>
        <v/>
      </c>
      <c r="F2503" s="53">
        <f>IF(B2503="","",IFERROR(INDEX(Client_List!$D:$D,MATCH(VALUE(B2503),Client_List!$A:$A,0)),""))</f>
        <v/>
      </c>
      <c r="G2503" s="53">
        <f>IF(B2503="","",IFERROR(INDEX(Client_List!$K:$K,MATCH(VALUE(B2503),Client_List!$A:$A,0)),""))</f>
        <v/>
      </c>
      <c r="H2503" s="32">
        <f>IF(B2503="","",IFERROR(INDEX(Client_List!$J:$J,MATCH(VALUE(B2503),Client_List!$A:$A,0)),""))</f>
        <v/>
      </c>
      <c r="I2503" s="70">
        <f>IF(B2503="","",IFERROR(A2503-LOOKUP(2,1/($B$4:$B2502=B2503),$A$4:$A2502),""))</f>
        <v/>
      </c>
      <c r="J2503" s="32">
        <f>IF(B2503="","",IFERROR(D2503/I2503,""))</f>
        <v/>
      </c>
      <c r="K2503" s="71">
        <f>IF(B2503="","",IFERROR(AVERAGEIFS($J$4:$J2503,$B$4:$B2503,B2503,$J$4:$J2503,"&gt;"&amp;0),""))</f>
        <v/>
      </c>
      <c r="L2503" s="11" t="n"/>
    </row>
    <row r="2504" ht="14" customHeight="1" s="72">
      <c r="A2504" s="83" t="n"/>
      <c r="B2504" s="81" t="n"/>
      <c r="C2504" s="69">
        <f>IF(B2504="","",IFERROR(INDEX(Client_List!$B:$B,MATCH(B2504,Client_List!$A:$A,0)),"⚠ NOT FOUND"))</f>
        <v/>
      </c>
      <c r="D2504" s="45" t="n"/>
      <c r="E2504" s="32">
        <f>IF(B2504="","",IFERROR(INDEX(Client_List!$C:$C,MATCH(VALUE(B2504),Client_List!$A:$A,0)),""))</f>
        <v/>
      </c>
      <c r="F2504" s="53">
        <f>IF(B2504="","",IFERROR(INDEX(Client_List!$D:$D,MATCH(VALUE(B2504),Client_List!$A:$A,0)),""))</f>
        <v/>
      </c>
      <c r="G2504" s="53">
        <f>IF(B2504="","",IFERROR(INDEX(Client_List!$K:$K,MATCH(VALUE(B2504),Client_List!$A:$A,0)),""))</f>
        <v/>
      </c>
      <c r="H2504" s="32">
        <f>IF(B2504="","",IFERROR(INDEX(Client_List!$J:$J,MATCH(VALUE(B2504),Client_List!$A:$A,0)),""))</f>
        <v/>
      </c>
      <c r="I2504" s="70">
        <f>IF(B2504="","",IFERROR(A2504-LOOKUP(2,1/($B$4:$B2503=B2504),$A$4:$A2503),""))</f>
        <v/>
      </c>
      <c r="J2504" s="32">
        <f>IF(B2504="","",IFERROR(D2504/I2504,""))</f>
        <v/>
      </c>
      <c r="K2504" s="71">
        <f>IF(B2504="","",IFERROR(AVERAGEIFS($J$4:$J2504,$B$4:$B2504,B2504,$J$4:$J2504,"&gt;"&amp;0),""))</f>
        <v/>
      </c>
      <c r="L2504" s="12" t="n"/>
    </row>
    <row r="2505" ht="14" customHeight="1" s="72">
      <c r="A2505" s="82" t="n"/>
      <c r="B2505" s="79" t="n"/>
      <c r="C2505" s="69">
        <f>IF(B2505="","",IFERROR(INDEX(Client_List!$B:$B,MATCH(B2505,Client_List!$A:$A,0)),"⚠ NOT FOUND"))</f>
        <v/>
      </c>
      <c r="D2505" s="44" t="n"/>
      <c r="E2505" s="32">
        <f>IF(B2505="","",IFERROR(INDEX(Client_List!$C:$C,MATCH(VALUE(B2505),Client_List!$A:$A,0)),""))</f>
        <v/>
      </c>
      <c r="F2505" s="53">
        <f>IF(B2505="","",IFERROR(INDEX(Client_List!$D:$D,MATCH(VALUE(B2505),Client_List!$A:$A,0)),""))</f>
        <v/>
      </c>
      <c r="G2505" s="53">
        <f>IF(B2505="","",IFERROR(INDEX(Client_List!$K:$K,MATCH(VALUE(B2505),Client_List!$A:$A,0)),""))</f>
        <v/>
      </c>
      <c r="H2505" s="32">
        <f>IF(B2505="","",IFERROR(INDEX(Client_List!$J:$J,MATCH(VALUE(B2505),Client_List!$A:$A,0)),""))</f>
        <v/>
      </c>
      <c r="I2505" s="70">
        <f>IF(B2505="","",IFERROR(A2505-LOOKUP(2,1/($B$4:$B2504=B2505),$A$4:$A2504),""))</f>
        <v/>
      </c>
      <c r="J2505" s="32">
        <f>IF(B2505="","",IFERROR(D2505/I2505,""))</f>
        <v/>
      </c>
      <c r="K2505" s="71">
        <f>IF(B2505="","",IFERROR(AVERAGEIFS($J$4:$J2505,$B$4:$B2505,B2505,$J$4:$J2505,"&gt;"&amp;0),""))</f>
        <v/>
      </c>
      <c r="L2505" s="11" t="n"/>
    </row>
    <row r="2506" ht="14" customHeight="1" s="72">
      <c r="A2506" s="83" t="n"/>
      <c r="B2506" s="81" t="n"/>
      <c r="C2506" s="69">
        <f>IF(B2506="","",IFERROR(INDEX(Client_List!$B:$B,MATCH(B2506,Client_List!$A:$A,0)),"⚠ NOT FOUND"))</f>
        <v/>
      </c>
      <c r="D2506" s="45" t="n"/>
      <c r="E2506" s="32">
        <f>IF(B2506="","",IFERROR(INDEX(Client_List!$C:$C,MATCH(VALUE(B2506),Client_List!$A:$A,0)),""))</f>
        <v/>
      </c>
      <c r="F2506" s="53">
        <f>IF(B2506="","",IFERROR(INDEX(Client_List!$D:$D,MATCH(VALUE(B2506),Client_List!$A:$A,0)),""))</f>
        <v/>
      </c>
      <c r="G2506" s="53">
        <f>IF(B2506="","",IFERROR(INDEX(Client_List!$K:$K,MATCH(VALUE(B2506),Client_List!$A:$A,0)),""))</f>
        <v/>
      </c>
      <c r="H2506" s="32">
        <f>IF(B2506="","",IFERROR(INDEX(Client_List!$J:$J,MATCH(VALUE(B2506),Client_List!$A:$A,0)),""))</f>
        <v/>
      </c>
      <c r="I2506" s="70">
        <f>IF(B2506="","",IFERROR(A2506-LOOKUP(2,1/($B$4:$B2505=B2506),$A$4:$A2505),""))</f>
        <v/>
      </c>
      <c r="J2506" s="32">
        <f>IF(B2506="","",IFERROR(D2506/I2506,""))</f>
        <v/>
      </c>
      <c r="K2506" s="71">
        <f>IF(B2506="","",IFERROR(AVERAGEIFS($J$4:$J2506,$B$4:$B2506,B2506,$J$4:$J2506,"&gt;"&amp;0),""))</f>
        <v/>
      </c>
      <c r="L2506" s="12" t="n"/>
    </row>
    <row r="2507" ht="14" customHeight="1" s="72">
      <c r="A2507" s="82" t="n"/>
      <c r="B2507" s="79" t="n"/>
      <c r="C2507" s="69">
        <f>IF(B2507="","",IFERROR(INDEX(Client_List!$B:$B,MATCH(B2507,Client_List!$A:$A,0)),"⚠ NOT FOUND"))</f>
        <v/>
      </c>
      <c r="D2507" s="44" t="n"/>
      <c r="E2507" s="32">
        <f>IF(B2507="","",IFERROR(INDEX(Client_List!$C:$C,MATCH(VALUE(B2507),Client_List!$A:$A,0)),""))</f>
        <v/>
      </c>
      <c r="F2507" s="53">
        <f>IF(B2507="","",IFERROR(INDEX(Client_List!$D:$D,MATCH(VALUE(B2507),Client_List!$A:$A,0)),""))</f>
        <v/>
      </c>
      <c r="G2507" s="53">
        <f>IF(B2507="","",IFERROR(INDEX(Client_List!$K:$K,MATCH(VALUE(B2507),Client_List!$A:$A,0)),""))</f>
        <v/>
      </c>
      <c r="H2507" s="32">
        <f>IF(B2507="","",IFERROR(INDEX(Client_List!$J:$J,MATCH(VALUE(B2507),Client_List!$A:$A,0)),""))</f>
        <v/>
      </c>
      <c r="I2507" s="70">
        <f>IF(B2507="","",IFERROR(A2507-LOOKUP(2,1/($B$4:$B2506=B2507),$A$4:$A2506),""))</f>
        <v/>
      </c>
      <c r="J2507" s="32">
        <f>IF(B2507="","",IFERROR(D2507/I2507,""))</f>
        <v/>
      </c>
      <c r="K2507" s="71">
        <f>IF(B2507="","",IFERROR(AVERAGEIFS($J$4:$J2507,$B$4:$B2507,B2507,$J$4:$J2507,"&gt;"&amp;0),""))</f>
        <v/>
      </c>
      <c r="L2507" s="11" t="n"/>
    </row>
    <row r="2508" ht="14" customHeight="1" s="72">
      <c r="A2508" s="83" t="n"/>
      <c r="B2508" s="81" t="n"/>
      <c r="C2508" s="69">
        <f>IF(B2508="","",IFERROR(INDEX(Client_List!$B:$B,MATCH(B2508,Client_List!$A:$A,0)),"⚠ NOT FOUND"))</f>
        <v/>
      </c>
      <c r="D2508" s="45" t="n"/>
      <c r="E2508" s="32">
        <f>IF(B2508="","",IFERROR(INDEX(Client_List!$C:$C,MATCH(VALUE(B2508),Client_List!$A:$A,0)),""))</f>
        <v/>
      </c>
      <c r="F2508" s="53">
        <f>IF(B2508="","",IFERROR(INDEX(Client_List!$D:$D,MATCH(VALUE(B2508),Client_List!$A:$A,0)),""))</f>
        <v/>
      </c>
      <c r="G2508" s="53">
        <f>IF(B2508="","",IFERROR(INDEX(Client_List!$K:$K,MATCH(VALUE(B2508),Client_List!$A:$A,0)),""))</f>
        <v/>
      </c>
      <c r="H2508" s="32">
        <f>IF(B2508="","",IFERROR(INDEX(Client_List!$J:$J,MATCH(VALUE(B2508),Client_List!$A:$A,0)),""))</f>
        <v/>
      </c>
      <c r="I2508" s="70">
        <f>IF(B2508="","",IFERROR(A2508-LOOKUP(2,1/($B$4:$B2507=B2508),$A$4:$A2507),""))</f>
        <v/>
      </c>
      <c r="J2508" s="32">
        <f>IF(B2508="","",IFERROR(D2508/I2508,""))</f>
        <v/>
      </c>
      <c r="K2508" s="71">
        <f>IF(B2508="","",IFERROR(AVERAGEIFS($J$4:$J2508,$B$4:$B2508,B2508,$J$4:$J2508,"&gt;"&amp;0),""))</f>
        <v/>
      </c>
      <c r="L2508" s="12" t="n"/>
    </row>
    <row r="2509" ht="14" customHeight="1" s="72">
      <c r="A2509" s="82" t="n"/>
      <c r="B2509" s="79" t="n"/>
      <c r="C2509" s="69">
        <f>IF(B2509="","",IFERROR(INDEX(Client_List!$B:$B,MATCH(B2509,Client_List!$A:$A,0)),"⚠ NOT FOUND"))</f>
        <v/>
      </c>
      <c r="D2509" s="44" t="n"/>
      <c r="E2509" s="32">
        <f>IF(B2509="","",IFERROR(INDEX(Client_List!$C:$C,MATCH(VALUE(B2509),Client_List!$A:$A,0)),""))</f>
        <v/>
      </c>
      <c r="F2509" s="53">
        <f>IF(B2509="","",IFERROR(INDEX(Client_List!$D:$D,MATCH(VALUE(B2509),Client_List!$A:$A,0)),""))</f>
        <v/>
      </c>
      <c r="G2509" s="53">
        <f>IF(B2509="","",IFERROR(INDEX(Client_List!$K:$K,MATCH(VALUE(B2509),Client_List!$A:$A,0)),""))</f>
        <v/>
      </c>
      <c r="H2509" s="32">
        <f>IF(B2509="","",IFERROR(INDEX(Client_List!$J:$J,MATCH(VALUE(B2509),Client_List!$A:$A,0)),""))</f>
        <v/>
      </c>
      <c r="I2509" s="70">
        <f>IF(B2509="","",IFERROR(A2509-LOOKUP(2,1/($B$4:$B2508=B2509),$A$4:$A2508),""))</f>
        <v/>
      </c>
      <c r="J2509" s="32">
        <f>IF(B2509="","",IFERROR(D2509/I2509,""))</f>
        <v/>
      </c>
      <c r="K2509" s="71">
        <f>IF(B2509="","",IFERROR(AVERAGEIFS($J$4:$J2509,$B$4:$B2509,B2509,$J$4:$J2509,"&gt;"&amp;0),""))</f>
        <v/>
      </c>
      <c r="L2509" s="11" t="n"/>
    </row>
    <row r="2510" ht="14" customHeight="1" s="72">
      <c r="A2510" s="83" t="n"/>
      <c r="B2510" s="81" t="n"/>
      <c r="C2510" s="69">
        <f>IF(B2510="","",IFERROR(INDEX(Client_List!$B:$B,MATCH(B2510,Client_List!$A:$A,0)),"⚠ NOT FOUND"))</f>
        <v/>
      </c>
      <c r="D2510" s="45" t="n"/>
      <c r="E2510" s="32">
        <f>IF(B2510="","",IFERROR(INDEX(Client_List!$C:$C,MATCH(VALUE(B2510),Client_List!$A:$A,0)),""))</f>
        <v/>
      </c>
      <c r="F2510" s="53">
        <f>IF(B2510="","",IFERROR(INDEX(Client_List!$D:$D,MATCH(VALUE(B2510),Client_List!$A:$A,0)),""))</f>
        <v/>
      </c>
      <c r="G2510" s="53">
        <f>IF(B2510="","",IFERROR(INDEX(Client_List!$K:$K,MATCH(VALUE(B2510),Client_List!$A:$A,0)),""))</f>
        <v/>
      </c>
      <c r="H2510" s="32">
        <f>IF(B2510="","",IFERROR(INDEX(Client_List!$J:$J,MATCH(VALUE(B2510),Client_List!$A:$A,0)),""))</f>
        <v/>
      </c>
      <c r="I2510" s="70">
        <f>IF(B2510="","",IFERROR(A2510-LOOKUP(2,1/($B$4:$B2509=B2510),$A$4:$A2509),""))</f>
        <v/>
      </c>
      <c r="J2510" s="32">
        <f>IF(B2510="","",IFERROR(D2510/I2510,""))</f>
        <v/>
      </c>
      <c r="K2510" s="71">
        <f>IF(B2510="","",IFERROR(AVERAGEIFS($J$4:$J2510,$B$4:$B2510,B2510,$J$4:$J2510,"&gt;"&amp;0),""))</f>
        <v/>
      </c>
      <c r="L2510" s="12" t="n"/>
    </row>
    <row r="2511" ht="14" customHeight="1" s="72">
      <c r="A2511" s="82" t="n"/>
      <c r="B2511" s="79" t="n"/>
      <c r="C2511" s="69">
        <f>IF(B2511="","",IFERROR(INDEX(Client_List!$B:$B,MATCH(B2511,Client_List!$A:$A,0)),"⚠ NOT FOUND"))</f>
        <v/>
      </c>
      <c r="D2511" s="44" t="n"/>
      <c r="E2511" s="32">
        <f>IF(B2511="","",IFERROR(INDEX(Client_List!$C:$C,MATCH(VALUE(B2511),Client_List!$A:$A,0)),""))</f>
        <v/>
      </c>
      <c r="F2511" s="53">
        <f>IF(B2511="","",IFERROR(INDEX(Client_List!$D:$D,MATCH(VALUE(B2511),Client_List!$A:$A,0)),""))</f>
        <v/>
      </c>
      <c r="G2511" s="53">
        <f>IF(B2511="","",IFERROR(INDEX(Client_List!$K:$K,MATCH(VALUE(B2511),Client_List!$A:$A,0)),""))</f>
        <v/>
      </c>
      <c r="H2511" s="32">
        <f>IF(B2511="","",IFERROR(INDEX(Client_List!$J:$J,MATCH(VALUE(B2511),Client_List!$A:$A,0)),""))</f>
        <v/>
      </c>
      <c r="I2511" s="70">
        <f>IF(B2511="","",IFERROR(A2511-LOOKUP(2,1/($B$4:$B2510=B2511),$A$4:$A2510),""))</f>
        <v/>
      </c>
      <c r="J2511" s="32">
        <f>IF(B2511="","",IFERROR(D2511/I2511,""))</f>
        <v/>
      </c>
      <c r="K2511" s="71">
        <f>IF(B2511="","",IFERROR(AVERAGEIFS($J$4:$J2511,$B$4:$B2511,B2511,$J$4:$J2511,"&gt;"&amp;0),""))</f>
        <v/>
      </c>
      <c r="L2511" s="11" t="n"/>
    </row>
    <row r="2512" ht="14" customHeight="1" s="72">
      <c r="A2512" s="83" t="n"/>
      <c r="B2512" s="81" t="n"/>
      <c r="C2512" s="69">
        <f>IF(B2512="","",IFERROR(INDEX(Client_List!$B:$B,MATCH(B2512,Client_List!$A:$A,0)),"⚠ NOT FOUND"))</f>
        <v/>
      </c>
      <c r="D2512" s="45" t="n"/>
      <c r="E2512" s="32">
        <f>IF(B2512="","",IFERROR(INDEX(Client_List!$C:$C,MATCH(VALUE(B2512),Client_List!$A:$A,0)),""))</f>
        <v/>
      </c>
      <c r="F2512" s="53">
        <f>IF(B2512="","",IFERROR(INDEX(Client_List!$D:$D,MATCH(VALUE(B2512),Client_List!$A:$A,0)),""))</f>
        <v/>
      </c>
      <c r="G2512" s="53">
        <f>IF(B2512="","",IFERROR(INDEX(Client_List!$K:$K,MATCH(VALUE(B2512),Client_List!$A:$A,0)),""))</f>
        <v/>
      </c>
      <c r="H2512" s="32">
        <f>IF(B2512="","",IFERROR(INDEX(Client_List!$J:$J,MATCH(VALUE(B2512),Client_List!$A:$A,0)),""))</f>
        <v/>
      </c>
      <c r="I2512" s="70">
        <f>IF(B2512="","",IFERROR(A2512-LOOKUP(2,1/($B$4:$B2511=B2512),$A$4:$A2511),""))</f>
        <v/>
      </c>
      <c r="J2512" s="32">
        <f>IF(B2512="","",IFERROR(D2512/I2512,""))</f>
        <v/>
      </c>
      <c r="K2512" s="71">
        <f>IF(B2512="","",IFERROR(AVERAGEIFS($J$4:$J2512,$B$4:$B2512,B2512,$J$4:$J2512,"&gt;"&amp;0),""))</f>
        <v/>
      </c>
      <c r="L2512" s="12" t="n"/>
    </row>
    <row r="2513" ht="14" customHeight="1" s="72">
      <c r="A2513" s="82" t="n"/>
      <c r="B2513" s="79" t="n"/>
      <c r="C2513" s="69">
        <f>IF(B2513="","",IFERROR(INDEX(Client_List!$B:$B,MATCH(B2513,Client_List!$A:$A,0)),"⚠ NOT FOUND"))</f>
        <v/>
      </c>
      <c r="D2513" s="44" t="n"/>
      <c r="E2513" s="32">
        <f>IF(B2513="","",IFERROR(INDEX(Client_List!$C:$C,MATCH(VALUE(B2513),Client_List!$A:$A,0)),""))</f>
        <v/>
      </c>
      <c r="F2513" s="53">
        <f>IF(B2513="","",IFERROR(INDEX(Client_List!$D:$D,MATCH(VALUE(B2513),Client_List!$A:$A,0)),""))</f>
        <v/>
      </c>
      <c r="G2513" s="53">
        <f>IF(B2513="","",IFERROR(INDEX(Client_List!$K:$K,MATCH(VALUE(B2513),Client_List!$A:$A,0)),""))</f>
        <v/>
      </c>
      <c r="H2513" s="32">
        <f>IF(B2513="","",IFERROR(INDEX(Client_List!$J:$J,MATCH(VALUE(B2513),Client_List!$A:$A,0)),""))</f>
        <v/>
      </c>
      <c r="I2513" s="70">
        <f>IF(B2513="","",IFERROR(A2513-LOOKUP(2,1/($B$4:$B2512=B2513),$A$4:$A2512),""))</f>
        <v/>
      </c>
      <c r="J2513" s="32">
        <f>IF(B2513="","",IFERROR(D2513/I2513,""))</f>
        <v/>
      </c>
      <c r="K2513" s="71">
        <f>IF(B2513="","",IFERROR(AVERAGEIFS($J$4:$J2513,$B$4:$B2513,B2513,$J$4:$J2513,"&gt;"&amp;0),""))</f>
        <v/>
      </c>
      <c r="L2513" s="11" t="n"/>
    </row>
    <row r="2514" ht="14" customHeight="1" s="72">
      <c r="A2514" s="83" t="n"/>
      <c r="B2514" s="81" t="n"/>
      <c r="C2514" s="69">
        <f>IF(B2514="","",IFERROR(INDEX(Client_List!$B:$B,MATCH(B2514,Client_List!$A:$A,0)),"⚠ NOT FOUND"))</f>
        <v/>
      </c>
      <c r="D2514" s="45" t="n"/>
      <c r="E2514" s="32">
        <f>IF(B2514="","",IFERROR(INDEX(Client_List!$C:$C,MATCH(VALUE(B2514),Client_List!$A:$A,0)),""))</f>
        <v/>
      </c>
      <c r="F2514" s="53">
        <f>IF(B2514="","",IFERROR(INDEX(Client_List!$D:$D,MATCH(VALUE(B2514),Client_List!$A:$A,0)),""))</f>
        <v/>
      </c>
      <c r="G2514" s="53">
        <f>IF(B2514="","",IFERROR(INDEX(Client_List!$K:$K,MATCH(VALUE(B2514),Client_List!$A:$A,0)),""))</f>
        <v/>
      </c>
      <c r="H2514" s="32">
        <f>IF(B2514="","",IFERROR(INDEX(Client_List!$J:$J,MATCH(VALUE(B2514),Client_List!$A:$A,0)),""))</f>
        <v/>
      </c>
      <c r="I2514" s="70">
        <f>IF(B2514="","",IFERROR(A2514-LOOKUP(2,1/($B$4:$B2513=B2514),$A$4:$A2513),""))</f>
        <v/>
      </c>
      <c r="J2514" s="32">
        <f>IF(B2514="","",IFERROR(D2514/I2514,""))</f>
        <v/>
      </c>
      <c r="K2514" s="71">
        <f>IF(B2514="","",IFERROR(AVERAGEIFS($J$4:$J2514,$B$4:$B2514,B2514,$J$4:$J2514,"&gt;"&amp;0),""))</f>
        <v/>
      </c>
      <c r="L2514" s="12" t="n"/>
    </row>
    <row r="2515" ht="14" customHeight="1" s="72">
      <c r="A2515" s="82" t="n"/>
      <c r="B2515" s="79" t="n"/>
      <c r="C2515" s="69">
        <f>IF(B2515="","",IFERROR(INDEX(Client_List!$B:$B,MATCH(B2515,Client_List!$A:$A,0)),"⚠ NOT FOUND"))</f>
        <v/>
      </c>
      <c r="D2515" s="44" t="n"/>
      <c r="E2515" s="32">
        <f>IF(B2515="","",IFERROR(INDEX(Client_List!$C:$C,MATCH(VALUE(B2515),Client_List!$A:$A,0)),""))</f>
        <v/>
      </c>
      <c r="F2515" s="53">
        <f>IF(B2515="","",IFERROR(INDEX(Client_List!$D:$D,MATCH(VALUE(B2515),Client_List!$A:$A,0)),""))</f>
        <v/>
      </c>
      <c r="G2515" s="53">
        <f>IF(B2515="","",IFERROR(INDEX(Client_List!$K:$K,MATCH(VALUE(B2515),Client_List!$A:$A,0)),""))</f>
        <v/>
      </c>
      <c r="H2515" s="32">
        <f>IF(B2515="","",IFERROR(INDEX(Client_List!$J:$J,MATCH(VALUE(B2515),Client_List!$A:$A,0)),""))</f>
        <v/>
      </c>
      <c r="I2515" s="70">
        <f>IF(B2515="","",IFERROR(A2515-LOOKUP(2,1/($B$4:$B2514=B2515),$A$4:$A2514),""))</f>
        <v/>
      </c>
      <c r="J2515" s="32">
        <f>IF(B2515="","",IFERROR(D2515/I2515,""))</f>
        <v/>
      </c>
      <c r="K2515" s="71">
        <f>IF(B2515="","",IFERROR(AVERAGEIFS($J$4:$J2515,$B$4:$B2515,B2515,$J$4:$J2515,"&gt;"&amp;0),""))</f>
        <v/>
      </c>
      <c r="L2515" s="11" t="n"/>
    </row>
    <row r="2516" ht="14" customHeight="1" s="72">
      <c r="A2516" s="83" t="n"/>
      <c r="B2516" s="81" t="n"/>
      <c r="C2516" s="69">
        <f>IF(B2516="","",IFERROR(INDEX(Client_List!$B:$B,MATCH(B2516,Client_List!$A:$A,0)),"⚠ NOT FOUND"))</f>
        <v/>
      </c>
      <c r="D2516" s="45" t="n"/>
      <c r="E2516" s="32">
        <f>IF(B2516="","",IFERROR(INDEX(Client_List!$C:$C,MATCH(VALUE(B2516),Client_List!$A:$A,0)),""))</f>
        <v/>
      </c>
      <c r="F2516" s="53">
        <f>IF(B2516="","",IFERROR(INDEX(Client_List!$D:$D,MATCH(VALUE(B2516),Client_List!$A:$A,0)),""))</f>
        <v/>
      </c>
      <c r="G2516" s="53">
        <f>IF(B2516="","",IFERROR(INDEX(Client_List!$K:$K,MATCH(VALUE(B2516),Client_List!$A:$A,0)),""))</f>
        <v/>
      </c>
      <c r="H2516" s="32">
        <f>IF(B2516="","",IFERROR(INDEX(Client_List!$J:$J,MATCH(VALUE(B2516),Client_List!$A:$A,0)),""))</f>
        <v/>
      </c>
      <c r="I2516" s="70">
        <f>IF(B2516="","",IFERROR(A2516-LOOKUP(2,1/($B$4:$B2515=B2516),$A$4:$A2515),""))</f>
        <v/>
      </c>
      <c r="J2516" s="32">
        <f>IF(B2516="","",IFERROR(D2516/I2516,""))</f>
        <v/>
      </c>
      <c r="K2516" s="71">
        <f>IF(B2516="","",IFERROR(AVERAGEIFS($J$4:$J2516,$B$4:$B2516,B2516,$J$4:$J2516,"&gt;"&amp;0),""))</f>
        <v/>
      </c>
      <c r="L2516" s="12" t="n"/>
    </row>
    <row r="2517" ht="14" customHeight="1" s="72">
      <c r="A2517" s="82" t="n"/>
      <c r="B2517" s="79" t="n"/>
      <c r="C2517" s="69">
        <f>IF(B2517="","",IFERROR(INDEX(Client_List!$B:$B,MATCH(B2517,Client_List!$A:$A,0)),"⚠ NOT FOUND"))</f>
        <v/>
      </c>
      <c r="D2517" s="44" t="n"/>
      <c r="E2517" s="32">
        <f>IF(B2517="","",IFERROR(INDEX(Client_List!$C:$C,MATCH(VALUE(B2517),Client_List!$A:$A,0)),""))</f>
        <v/>
      </c>
      <c r="F2517" s="53">
        <f>IF(B2517="","",IFERROR(INDEX(Client_List!$D:$D,MATCH(VALUE(B2517),Client_List!$A:$A,0)),""))</f>
        <v/>
      </c>
      <c r="G2517" s="53">
        <f>IF(B2517="","",IFERROR(INDEX(Client_List!$K:$K,MATCH(VALUE(B2517),Client_List!$A:$A,0)),""))</f>
        <v/>
      </c>
      <c r="H2517" s="32">
        <f>IF(B2517="","",IFERROR(INDEX(Client_List!$J:$J,MATCH(VALUE(B2517),Client_List!$A:$A,0)),""))</f>
        <v/>
      </c>
      <c r="I2517" s="70">
        <f>IF(B2517="","",IFERROR(A2517-LOOKUP(2,1/($B$4:$B2516=B2517),$A$4:$A2516),""))</f>
        <v/>
      </c>
      <c r="J2517" s="32">
        <f>IF(B2517="","",IFERROR(D2517/I2517,""))</f>
        <v/>
      </c>
      <c r="K2517" s="71">
        <f>IF(B2517="","",IFERROR(AVERAGEIFS($J$4:$J2517,$B$4:$B2517,B2517,$J$4:$J2517,"&gt;"&amp;0),""))</f>
        <v/>
      </c>
      <c r="L2517" s="11" t="n"/>
    </row>
    <row r="2518" ht="14" customHeight="1" s="72">
      <c r="A2518" s="83" t="n"/>
      <c r="B2518" s="81" t="n"/>
      <c r="C2518" s="69">
        <f>IF(B2518="","",IFERROR(INDEX(Client_List!$B:$B,MATCH(B2518,Client_List!$A:$A,0)),"⚠ NOT FOUND"))</f>
        <v/>
      </c>
      <c r="D2518" s="45" t="n"/>
      <c r="E2518" s="32">
        <f>IF(B2518="","",IFERROR(INDEX(Client_List!$C:$C,MATCH(VALUE(B2518),Client_List!$A:$A,0)),""))</f>
        <v/>
      </c>
      <c r="F2518" s="53">
        <f>IF(B2518="","",IFERROR(INDEX(Client_List!$D:$D,MATCH(VALUE(B2518),Client_List!$A:$A,0)),""))</f>
        <v/>
      </c>
      <c r="G2518" s="53">
        <f>IF(B2518="","",IFERROR(INDEX(Client_List!$K:$K,MATCH(VALUE(B2518),Client_List!$A:$A,0)),""))</f>
        <v/>
      </c>
      <c r="H2518" s="32">
        <f>IF(B2518="","",IFERROR(INDEX(Client_List!$J:$J,MATCH(VALUE(B2518),Client_List!$A:$A,0)),""))</f>
        <v/>
      </c>
      <c r="I2518" s="70">
        <f>IF(B2518="","",IFERROR(A2518-LOOKUP(2,1/($B$4:$B2517=B2518),$A$4:$A2517),""))</f>
        <v/>
      </c>
      <c r="J2518" s="32">
        <f>IF(B2518="","",IFERROR(D2518/I2518,""))</f>
        <v/>
      </c>
      <c r="K2518" s="71">
        <f>IF(B2518="","",IFERROR(AVERAGEIFS($J$4:$J2518,$B$4:$B2518,B2518,$J$4:$J2518,"&gt;"&amp;0),""))</f>
        <v/>
      </c>
      <c r="L2518" s="12" t="n"/>
    </row>
    <row r="2519" ht="14" customHeight="1" s="72">
      <c r="A2519" s="82" t="n"/>
      <c r="B2519" s="79" t="n"/>
      <c r="C2519" s="69">
        <f>IF(B2519="","",IFERROR(INDEX(Client_List!$B:$B,MATCH(B2519,Client_List!$A:$A,0)),"⚠ NOT FOUND"))</f>
        <v/>
      </c>
      <c r="D2519" s="44" t="n"/>
      <c r="E2519" s="32">
        <f>IF(B2519="","",IFERROR(INDEX(Client_List!$C:$C,MATCH(VALUE(B2519),Client_List!$A:$A,0)),""))</f>
        <v/>
      </c>
      <c r="F2519" s="53">
        <f>IF(B2519="","",IFERROR(INDEX(Client_List!$D:$D,MATCH(VALUE(B2519),Client_List!$A:$A,0)),""))</f>
        <v/>
      </c>
      <c r="G2519" s="53">
        <f>IF(B2519="","",IFERROR(INDEX(Client_List!$K:$K,MATCH(VALUE(B2519),Client_List!$A:$A,0)),""))</f>
        <v/>
      </c>
      <c r="H2519" s="32">
        <f>IF(B2519="","",IFERROR(INDEX(Client_List!$J:$J,MATCH(VALUE(B2519),Client_List!$A:$A,0)),""))</f>
        <v/>
      </c>
      <c r="I2519" s="70">
        <f>IF(B2519="","",IFERROR(A2519-LOOKUP(2,1/($B$4:$B2518=B2519),$A$4:$A2518),""))</f>
        <v/>
      </c>
      <c r="J2519" s="32">
        <f>IF(B2519="","",IFERROR(D2519/I2519,""))</f>
        <v/>
      </c>
      <c r="K2519" s="71">
        <f>IF(B2519="","",IFERROR(AVERAGEIFS($J$4:$J2519,$B$4:$B2519,B2519,$J$4:$J2519,"&gt;"&amp;0),""))</f>
        <v/>
      </c>
      <c r="L2519" s="11" t="n"/>
    </row>
    <row r="2520" ht="14" customHeight="1" s="72">
      <c r="A2520" s="83" t="n"/>
      <c r="B2520" s="81" t="n"/>
      <c r="C2520" s="69">
        <f>IF(B2520="","",IFERROR(INDEX(Client_List!$B:$B,MATCH(B2520,Client_List!$A:$A,0)),"⚠ NOT FOUND"))</f>
        <v/>
      </c>
      <c r="D2520" s="45" t="n"/>
      <c r="E2520" s="32">
        <f>IF(B2520="","",IFERROR(INDEX(Client_List!$C:$C,MATCH(VALUE(B2520),Client_List!$A:$A,0)),""))</f>
        <v/>
      </c>
      <c r="F2520" s="53">
        <f>IF(B2520="","",IFERROR(INDEX(Client_List!$D:$D,MATCH(VALUE(B2520),Client_List!$A:$A,0)),""))</f>
        <v/>
      </c>
      <c r="G2520" s="53">
        <f>IF(B2520="","",IFERROR(INDEX(Client_List!$K:$K,MATCH(VALUE(B2520),Client_List!$A:$A,0)),""))</f>
        <v/>
      </c>
      <c r="H2520" s="32">
        <f>IF(B2520="","",IFERROR(INDEX(Client_List!$J:$J,MATCH(VALUE(B2520),Client_List!$A:$A,0)),""))</f>
        <v/>
      </c>
      <c r="I2520" s="70">
        <f>IF(B2520="","",IFERROR(A2520-LOOKUP(2,1/($B$4:$B2519=B2520),$A$4:$A2519),""))</f>
        <v/>
      </c>
      <c r="J2520" s="32">
        <f>IF(B2520="","",IFERROR(D2520/I2520,""))</f>
        <v/>
      </c>
      <c r="K2520" s="71">
        <f>IF(B2520="","",IFERROR(AVERAGEIFS($J$4:$J2520,$B$4:$B2520,B2520,$J$4:$J2520,"&gt;"&amp;0),""))</f>
        <v/>
      </c>
      <c r="L2520" s="12" t="n"/>
    </row>
    <row r="2521" ht="14" customHeight="1" s="72">
      <c r="A2521" s="82" t="n"/>
      <c r="B2521" s="79" t="n"/>
      <c r="C2521" s="69">
        <f>IF(B2521="","",IFERROR(INDEX(Client_List!$B:$B,MATCH(B2521,Client_List!$A:$A,0)),"⚠ NOT FOUND"))</f>
        <v/>
      </c>
      <c r="D2521" s="44" t="n"/>
      <c r="E2521" s="32">
        <f>IF(B2521="","",IFERROR(INDEX(Client_List!$C:$C,MATCH(VALUE(B2521),Client_List!$A:$A,0)),""))</f>
        <v/>
      </c>
      <c r="F2521" s="53">
        <f>IF(B2521="","",IFERROR(INDEX(Client_List!$D:$D,MATCH(VALUE(B2521),Client_List!$A:$A,0)),""))</f>
        <v/>
      </c>
      <c r="G2521" s="53">
        <f>IF(B2521="","",IFERROR(INDEX(Client_List!$K:$K,MATCH(VALUE(B2521),Client_List!$A:$A,0)),""))</f>
        <v/>
      </c>
      <c r="H2521" s="32">
        <f>IF(B2521="","",IFERROR(INDEX(Client_List!$J:$J,MATCH(VALUE(B2521),Client_List!$A:$A,0)),""))</f>
        <v/>
      </c>
      <c r="I2521" s="70">
        <f>IF(B2521="","",IFERROR(A2521-LOOKUP(2,1/($B$4:$B2520=B2521),$A$4:$A2520),""))</f>
        <v/>
      </c>
      <c r="J2521" s="32">
        <f>IF(B2521="","",IFERROR(D2521/I2521,""))</f>
        <v/>
      </c>
      <c r="K2521" s="71">
        <f>IF(B2521="","",IFERROR(AVERAGEIFS($J$4:$J2521,$B$4:$B2521,B2521,$J$4:$J2521,"&gt;"&amp;0),""))</f>
        <v/>
      </c>
      <c r="L2521" s="11" t="n"/>
    </row>
    <row r="2522" ht="14" customHeight="1" s="72">
      <c r="A2522" s="83" t="n"/>
      <c r="B2522" s="81" t="n"/>
      <c r="C2522" s="69">
        <f>IF(B2522="","",IFERROR(INDEX(Client_List!$B:$B,MATCH(B2522,Client_List!$A:$A,0)),"⚠ NOT FOUND"))</f>
        <v/>
      </c>
      <c r="D2522" s="45" t="n"/>
      <c r="E2522" s="32">
        <f>IF(B2522="","",IFERROR(INDEX(Client_List!$C:$C,MATCH(VALUE(B2522),Client_List!$A:$A,0)),""))</f>
        <v/>
      </c>
      <c r="F2522" s="53">
        <f>IF(B2522="","",IFERROR(INDEX(Client_List!$D:$D,MATCH(VALUE(B2522),Client_List!$A:$A,0)),""))</f>
        <v/>
      </c>
      <c r="G2522" s="53">
        <f>IF(B2522="","",IFERROR(INDEX(Client_List!$K:$K,MATCH(VALUE(B2522),Client_List!$A:$A,0)),""))</f>
        <v/>
      </c>
      <c r="H2522" s="32">
        <f>IF(B2522="","",IFERROR(INDEX(Client_List!$J:$J,MATCH(VALUE(B2522),Client_List!$A:$A,0)),""))</f>
        <v/>
      </c>
      <c r="I2522" s="70">
        <f>IF(B2522="","",IFERROR(A2522-LOOKUP(2,1/($B$4:$B2521=B2522),$A$4:$A2521),""))</f>
        <v/>
      </c>
      <c r="J2522" s="32">
        <f>IF(B2522="","",IFERROR(D2522/I2522,""))</f>
        <v/>
      </c>
      <c r="K2522" s="71">
        <f>IF(B2522="","",IFERROR(AVERAGEIFS($J$4:$J2522,$B$4:$B2522,B2522,$J$4:$J2522,"&gt;"&amp;0),""))</f>
        <v/>
      </c>
      <c r="L2522" s="12" t="n"/>
    </row>
    <row r="2523" ht="14" customHeight="1" s="72">
      <c r="A2523" s="82" t="n"/>
      <c r="B2523" s="79" t="n"/>
      <c r="C2523" s="69">
        <f>IF(B2523="","",IFERROR(INDEX(Client_List!$B:$B,MATCH(B2523,Client_List!$A:$A,0)),"⚠ NOT FOUND"))</f>
        <v/>
      </c>
      <c r="D2523" s="44" t="n"/>
      <c r="E2523" s="32">
        <f>IF(B2523="","",IFERROR(INDEX(Client_List!$C:$C,MATCH(VALUE(B2523),Client_List!$A:$A,0)),""))</f>
        <v/>
      </c>
      <c r="F2523" s="53">
        <f>IF(B2523="","",IFERROR(INDEX(Client_List!$D:$D,MATCH(VALUE(B2523),Client_List!$A:$A,0)),""))</f>
        <v/>
      </c>
      <c r="G2523" s="53">
        <f>IF(B2523="","",IFERROR(INDEX(Client_List!$K:$K,MATCH(VALUE(B2523),Client_List!$A:$A,0)),""))</f>
        <v/>
      </c>
      <c r="H2523" s="32">
        <f>IF(B2523="","",IFERROR(INDEX(Client_List!$J:$J,MATCH(VALUE(B2523),Client_List!$A:$A,0)),""))</f>
        <v/>
      </c>
      <c r="I2523" s="70">
        <f>IF(B2523="","",IFERROR(A2523-LOOKUP(2,1/($B$4:$B2522=B2523),$A$4:$A2522),""))</f>
        <v/>
      </c>
      <c r="J2523" s="32">
        <f>IF(B2523="","",IFERROR(D2523/I2523,""))</f>
        <v/>
      </c>
      <c r="K2523" s="71">
        <f>IF(B2523="","",IFERROR(AVERAGEIFS($J$4:$J2523,$B$4:$B2523,B2523,$J$4:$J2523,"&gt;"&amp;0),""))</f>
        <v/>
      </c>
      <c r="L2523" s="11" t="n"/>
    </row>
    <row r="2524" ht="14" customHeight="1" s="72">
      <c r="A2524" s="83" t="n"/>
      <c r="B2524" s="81" t="n"/>
      <c r="C2524" s="69">
        <f>IF(B2524="","",IFERROR(INDEX(Client_List!$B:$B,MATCH(B2524,Client_List!$A:$A,0)),"⚠ NOT FOUND"))</f>
        <v/>
      </c>
      <c r="D2524" s="45" t="n"/>
      <c r="E2524" s="32">
        <f>IF(B2524="","",IFERROR(INDEX(Client_List!$C:$C,MATCH(VALUE(B2524),Client_List!$A:$A,0)),""))</f>
        <v/>
      </c>
      <c r="F2524" s="53">
        <f>IF(B2524="","",IFERROR(INDEX(Client_List!$D:$D,MATCH(VALUE(B2524),Client_List!$A:$A,0)),""))</f>
        <v/>
      </c>
      <c r="G2524" s="53">
        <f>IF(B2524="","",IFERROR(INDEX(Client_List!$K:$K,MATCH(VALUE(B2524),Client_List!$A:$A,0)),""))</f>
        <v/>
      </c>
      <c r="H2524" s="32">
        <f>IF(B2524="","",IFERROR(INDEX(Client_List!$J:$J,MATCH(VALUE(B2524),Client_List!$A:$A,0)),""))</f>
        <v/>
      </c>
      <c r="I2524" s="70">
        <f>IF(B2524="","",IFERROR(A2524-LOOKUP(2,1/($B$4:$B2523=B2524),$A$4:$A2523),""))</f>
        <v/>
      </c>
      <c r="J2524" s="32">
        <f>IF(B2524="","",IFERROR(D2524/I2524,""))</f>
        <v/>
      </c>
      <c r="K2524" s="71">
        <f>IF(B2524="","",IFERROR(AVERAGEIFS($J$4:$J2524,$B$4:$B2524,B2524,$J$4:$J2524,"&gt;"&amp;0),""))</f>
        <v/>
      </c>
      <c r="L2524" s="12" t="n"/>
    </row>
    <row r="2525" ht="14" customHeight="1" s="72">
      <c r="A2525" s="82" t="n"/>
      <c r="B2525" s="79" t="n"/>
      <c r="C2525" s="69">
        <f>IF(B2525="","",IFERROR(INDEX(Client_List!$B:$B,MATCH(B2525,Client_List!$A:$A,0)),"⚠ NOT FOUND"))</f>
        <v/>
      </c>
      <c r="D2525" s="44" t="n"/>
      <c r="E2525" s="32">
        <f>IF(B2525="","",IFERROR(INDEX(Client_List!$C:$C,MATCH(VALUE(B2525),Client_List!$A:$A,0)),""))</f>
        <v/>
      </c>
      <c r="F2525" s="53">
        <f>IF(B2525="","",IFERROR(INDEX(Client_List!$D:$D,MATCH(VALUE(B2525),Client_List!$A:$A,0)),""))</f>
        <v/>
      </c>
      <c r="G2525" s="53">
        <f>IF(B2525="","",IFERROR(INDEX(Client_List!$K:$K,MATCH(VALUE(B2525),Client_List!$A:$A,0)),""))</f>
        <v/>
      </c>
      <c r="H2525" s="32">
        <f>IF(B2525="","",IFERROR(INDEX(Client_List!$J:$J,MATCH(VALUE(B2525),Client_List!$A:$A,0)),""))</f>
        <v/>
      </c>
      <c r="I2525" s="70">
        <f>IF(B2525="","",IFERROR(A2525-LOOKUP(2,1/($B$4:$B2524=B2525),$A$4:$A2524),""))</f>
        <v/>
      </c>
      <c r="J2525" s="32">
        <f>IF(B2525="","",IFERROR(D2525/I2525,""))</f>
        <v/>
      </c>
      <c r="K2525" s="71">
        <f>IF(B2525="","",IFERROR(AVERAGEIFS($J$4:$J2525,$B$4:$B2525,B2525,$J$4:$J2525,"&gt;"&amp;0),""))</f>
        <v/>
      </c>
      <c r="L2525" s="11" t="n"/>
    </row>
    <row r="2526" ht="14" customHeight="1" s="72">
      <c r="A2526" s="83" t="n"/>
      <c r="B2526" s="81" t="n"/>
      <c r="C2526" s="69">
        <f>IF(B2526="","",IFERROR(INDEX(Client_List!$B:$B,MATCH(B2526,Client_List!$A:$A,0)),"⚠ NOT FOUND"))</f>
        <v/>
      </c>
      <c r="D2526" s="45" t="n"/>
      <c r="E2526" s="32">
        <f>IF(B2526="","",IFERROR(INDEX(Client_List!$C:$C,MATCH(VALUE(B2526),Client_List!$A:$A,0)),""))</f>
        <v/>
      </c>
      <c r="F2526" s="53">
        <f>IF(B2526="","",IFERROR(INDEX(Client_List!$D:$D,MATCH(VALUE(B2526),Client_List!$A:$A,0)),""))</f>
        <v/>
      </c>
      <c r="G2526" s="53">
        <f>IF(B2526="","",IFERROR(INDEX(Client_List!$K:$K,MATCH(VALUE(B2526),Client_List!$A:$A,0)),""))</f>
        <v/>
      </c>
      <c r="H2526" s="32">
        <f>IF(B2526="","",IFERROR(INDEX(Client_List!$J:$J,MATCH(VALUE(B2526),Client_List!$A:$A,0)),""))</f>
        <v/>
      </c>
      <c r="I2526" s="70">
        <f>IF(B2526="","",IFERROR(A2526-LOOKUP(2,1/($B$4:$B2525=B2526),$A$4:$A2525),""))</f>
        <v/>
      </c>
      <c r="J2526" s="32">
        <f>IF(B2526="","",IFERROR(D2526/I2526,""))</f>
        <v/>
      </c>
      <c r="K2526" s="71">
        <f>IF(B2526="","",IFERROR(AVERAGEIFS($J$4:$J2526,$B$4:$B2526,B2526,$J$4:$J2526,"&gt;"&amp;0),""))</f>
        <v/>
      </c>
      <c r="L2526" s="12" t="n"/>
    </row>
    <row r="2527" ht="14" customHeight="1" s="72">
      <c r="A2527" s="82" t="n"/>
      <c r="B2527" s="79" t="n"/>
      <c r="C2527" s="69">
        <f>IF(B2527="","",IFERROR(INDEX(Client_List!$B:$B,MATCH(B2527,Client_List!$A:$A,0)),"⚠ NOT FOUND"))</f>
        <v/>
      </c>
      <c r="D2527" s="44" t="n"/>
      <c r="E2527" s="32">
        <f>IF(B2527="","",IFERROR(INDEX(Client_List!$C:$C,MATCH(VALUE(B2527),Client_List!$A:$A,0)),""))</f>
        <v/>
      </c>
      <c r="F2527" s="53">
        <f>IF(B2527="","",IFERROR(INDEX(Client_List!$D:$D,MATCH(VALUE(B2527),Client_List!$A:$A,0)),""))</f>
        <v/>
      </c>
      <c r="G2527" s="53">
        <f>IF(B2527="","",IFERROR(INDEX(Client_List!$K:$K,MATCH(VALUE(B2527),Client_List!$A:$A,0)),""))</f>
        <v/>
      </c>
      <c r="H2527" s="32">
        <f>IF(B2527="","",IFERROR(INDEX(Client_List!$J:$J,MATCH(VALUE(B2527),Client_List!$A:$A,0)),""))</f>
        <v/>
      </c>
      <c r="I2527" s="70">
        <f>IF(B2527="","",IFERROR(A2527-LOOKUP(2,1/($B$4:$B2526=B2527),$A$4:$A2526),""))</f>
        <v/>
      </c>
      <c r="J2527" s="32">
        <f>IF(B2527="","",IFERROR(D2527/I2527,""))</f>
        <v/>
      </c>
      <c r="K2527" s="71">
        <f>IF(B2527="","",IFERROR(AVERAGEIFS($J$4:$J2527,$B$4:$B2527,B2527,$J$4:$J2527,"&gt;"&amp;0),""))</f>
        <v/>
      </c>
      <c r="L2527" s="11" t="n"/>
    </row>
    <row r="2528" ht="14" customHeight="1" s="72">
      <c r="A2528" s="83" t="n"/>
      <c r="B2528" s="81" t="n"/>
      <c r="C2528" s="69">
        <f>IF(B2528="","",IFERROR(INDEX(Client_List!$B:$B,MATCH(B2528,Client_List!$A:$A,0)),"⚠ NOT FOUND"))</f>
        <v/>
      </c>
      <c r="D2528" s="45" t="n"/>
      <c r="E2528" s="32">
        <f>IF(B2528="","",IFERROR(INDEX(Client_List!$C:$C,MATCH(VALUE(B2528),Client_List!$A:$A,0)),""))</f>
        <v/>
      </c>
      <c r="F2528" s="53">
        <f>IF(B2528="","",IFERROR(INDEX(Client_List!$D:$D,MATCH(VALUE(B2528),Client_List!$A:$A,0)),""))</f>
        <v/>
      </c>
      <c r="G2528" s="53">
        <f>IF(B2528="","",IFERROR(INDEX(Client_List!$K:$K,MATCH(VALUE(B2528),Client_List!$A:$A,0)),""))</f>
        <v/>
      </c>
      <c r="H2528" s="32">
        <f>IF(B2528="","",IFERROR(INDEX(Client_List!$J:$J,MATCH(VALUE(B2528),Client_List!$A:$A,0)),""))</f>
        <v/>
      </c>
      <c r="I2528" s="70">
        <f>IF(B2528="","",IFERROR(A2528-LOOKUP(2,1/($B$4:$B2527=B2528),$A$4:$A2527),""))</f>
        <v/>
      </c>
      <c r="J2528" s="32">
        <f>IF(B2528="","",IFERROR(D2528/I2528,""))</f>
        <v/>
      </c>
      <c r="K2528" s="71">
        <f>IF(B2528="","",IFERROR(AVERAGEIFS($J$4:$J2528,$B$4:$B2528,B2528,$J$4:$J2528,"&gt;"&amp;0),""))</f>
        <v/>
      </c>
      <c r="L2528" s="12" t="n"/>
    </row>
    <row r="2529" ht="14" customHeight="1" s="72">
      <c r="A2529" s="82" t="n"/>
      <c r="B2529" s="79" t="n"/>
      <c r="C2529" s="69">
        <f>IF(B2529="","",IFERROR(INDEX(Client_List!$B:$B,MATCH(B2529,Client_List!$A:$A,0)),"⚠ NOT FOUND"))</f>
        <v/>
      </c>
      <c r="D2529" s="44" t="n"/>
      <c r="E2529" s="32">
        <f>IF(B2529="","",IFERROR(INDEX(Client_List!$C:$C,MATCH(VALUE(B2529),Client_List!$A:$A,0)),""))</f>
        <v/>
      </c>
      <c r="F2529" s="53">
        <f>IF(B2529="","",IFERROR(INDEX(Client_List!$D:$D,MATCH(VALUE(B2529),Client_List!$A:$A,0)),""))</f>
        <v/>
      </c>
      <c r="G2529" s="53">
        <f>IF(B2529="","",IFERROR(INDEX(Client_List!$K:$K,MATCH(VALUE(B2529),Client_List!$A:$A,0)),""))</f>
        <v/>
      </c>
      <c r="H2529" s="32">
        <f>IF(B2529="","",IFERROR(INDEX(Client_List!$J:$J,MATCH(VALUE(B2529),Client_List!$A:$A,0)),""))</f>
        <v/>
      </c>
      <c r="I2529" s="70">
        <f>IF(B2529="","",IFERROR(A2529-LOOKUP(2,1/($B$4:$B2528=B2529),$A$4:$A2528),""))</f>
        <v/>
      </c>
      <c r="J2529" s="32">
        <f>IF(B2529="","",IFERROR(D2529/I2529,""))</f>
        <v/>
      </c>
      <c r="K2529" s="71">
        <f>IF(B2529="","",IFERROR(AVERAGEIFS($J$4:$J2529,$B$4:$B2529,B2529,$J$4:$J2529,"&gt;"&amp;0),""))</f>
        <v/>
      </c>
      <c r="L2529" s="11" t="n"/>
    </row>
    <row r="2530" ht="14" customHeight="1" s="72">
      <c r="A2530" s="83" t="n"/>
      <c r="B2530" s="81" t="n"/>
      <c r="C2530" s="69">
        <f>IF(B2530="","",IFERROR(INDEX(Client_List!$B:$B,MATCH(B2530,Client_List!$A:$A,0)),"⚠ NOT FOUND"))</f>
        <v/>
      </c>
      <c r="D2530" s="45" t="n"/>
      <c r="E2530" s="32">
        <f>IF(B2530="","",IFERROR(INDEX(Client_List!$C:$C,MATCH(VALUE(B2530),Client_List!$A:$A,0)),""))</f>
        <v/>
      </c>
      <c r="F2530" s="53">
        <f>IF(B2530="","",IFERROR(INDEX(Client_List!$D:$D,MATCH(VALUE(B2530),Client_List!$A:$A,0)),""))</f>
        <v/>
      </c>
      <c r="G2530" s="53">
        <f>IF(B2530="","",IFERROR(INDEX(Client_List!$K:$K,MATCH(VALUE(B2530),Client_List!$A:$A,0)),""))</f>
        <v/>
      </c>
      <c r="H2530" s="32">
        <f>IF(B2530="","",IFERROR(INDEX(Client_List!$J:$J,MATCH(VALUE(B2530),Client_List!$A:$A,0)),""))</f>
        <v/>
      </c>
      <c r="I2530" s="70">
        <f>IF(B2530="","",IFERROR(A2530-LOOKUP(2,1/($B$4:$B2529=B2530),$A$4:$A2529),""))</f>
        <v/>
      </c>
      <c r="J2530" s="32">
        <f>IF(B2530="","",IFERROR(D2530/I2530,""))</f>
        <v/>
      </c>
      <c r="K2530" s="71">
        <f>IF(B2530="","",IFERROR(AVERAGEIFS($J$4:$J2530,$B$4:$B2530,B2530,$J$4:$J2530,"&gt;"&amp;0),""))</f>
        <v/>
      </c>
      <c r="L2530" s="12" t="n"/>
    </row>
    <row r="2531" ht="14" customHeight="1" s="72">
      <c r="A2531" s="82" t="n"/>
      <c r="B2531" s="79" t="n"/>
      <c r="C2531" s="69">
        <f>IF(B2531="","",IFERROR(INDEX(Client_List!$B:$B,MATCH(B2531,Client_List!$A:$A,0)),"⚠ NOT FOUND"))</f>
        <v/>
      </c>
      <c r="D2531" s="44" t="n"/>
      <c r="E2531" s="32">
        <f>IF(B2531="","",IFERROR(INDEX(Client_List!$C:$C,MATCH(VALUE(B2531),Client_List!$A:$A,0)),""))</f>
        <v/>
      </c>
      <c r="F2531" s="53">
        <f>IF(B2531="","",IFERROR(INDEX(Client_List!$D:$D,MATCH(VALUE(B2531),Client_List!$A:$A,0)),""))</f>
        <v/>
      </c>
      <c r="G2531" s="53">
        <f>IF(B2531="","",IFERROR(INDEX(Client_List!$K:$K,MATCH(VALUE(B2531),Client_List!$A:$A,0)),""))</f>
        <v/>
      </c>
      <c r="H2531" s="32">
        <f>IF(B2531="","",IFERROR(INDEX(Client_List!$J:$J,MATCH(VALUE(B2531),Client_List!$A:$A,0)),""))</f>
        <v/>
      </c>
      <c r="I2531" s="70">
        <f>IF(B2531="","",IFERROR(A2531-LOOKUP(2,1/($B$4:$B2530=B2531),$A$4:$A2530),""))</f>
        <v/>
      </c>
      <c r="J2531" s="32">
        <f>IF(B2531="","",IFERROR(D2531/I2531,""))</f>
        <v/>
      </c>
      <c r="K2531" s="71">
        <f>IF(B2531="","",IFERROR(AVERAGEIFS($J$4:$J2531,$B$4:$B2531,B2531,$J$4:$J2531,"&gt;"&amp;0),""))</f>
        <v/>
      </c>
      <c r="L2531" s="11" t="n"/>
    </row>
    <row r="2532" ht="14" customHeight="1" s="72">
      <c r="A2532" s="83" t="n"/>
      <c r="B2532" s="81" t="n"/>
      <c r="C2532" s="69">
        <f>IF(B2532="","",IFERROR(INDEX(Client_List!$B:$B,MATCH(B2532,Client_List!$A:$A,0)),"⚠ NOT FOUND"))</f>
        <v/>
      </c>
      <c r="D2532" s="45" t="n"/>
      <c r="E2532" s="32">
        <f>IF(B2532="","",IFERROR(INDEX(Client_List!$C:$C,MATCH(VALUE(B2532),Client_List!$A:$A,0)),""))</f>
        <v/>
      </c>
      <c r="F2532" s="53">
        <f>IF(B2532="","",IFERROR(INDEX(Client_List!$D:$D,MATCH(VALUE(B2532),Client_List!$A:$A,0)),""))</f>
        <v/>
      </c>
      <c r="G2532" s="53">
        <f>IF(B2532="","",IFERROR(INDEX(Client_List!$K:$K,MATCH(VALUE(B2532),Client_List!$A:$A,0)),""))</f>
        <v/>
      </c>
      <c r="H2532" s="32">
        <f>IF(B2532="","",IFERROR(INDEX(Client_List!$J:$J,MATCH(VALUE(B2532),Client_List!$A:$A,0)),""))</f>
        <v/>
      </c>
      <c r="I2532" s="70">
        <f>IF(B2532="","",IFERROR(A2532-LOOKUP(2,1/($B$4:$B2531=B2532),$A$4:$A2531),""))</f>
        <v/>
      </c>
      <c r="J2532" s="32">
        <f>IF(B2532="","",IFERROR(D2532/I2532,""))</f>
        <v/>
      </c>
      <c r="K2532" s="71">
        <f>IF(B2532="","",IFERROR(AVERAGEIFS($J$4:$J2532,$B$4:$B2532,B2532,$J$4:$J2532,"&gt;"&amp;0),""))</f>
        <v/>
      </c>
      <c r="L2532" s="12" t="n"/>
    </row>
    <row r="2533" ht="14" customHeight="1" s="72">
      <c r="A2533" s="82" t="n"/>
      <c r="B2533" s="79" t="n"/>
      <c r="C2533" s="69">
        <f>IF(B2533="","",IFERROR(INDEX(Client_List!$B:$B,MATCH(B2533,Client_List!$A:$A,0)),"⚠ NOT FOUND"))</f>
        <v/>
      </c>
      <c r="D2533" s="44" t="n"/>
      <c r="E2533" s="32">
        <f>IF(B2533="","",IFERROR(INDEX(Client_List!$C:$C,MATCH(VALUE(B2533),Client_List!$A:$A,0)),""))</f>
        <v/>
      </c>
      <c r="F2533" s="53">
        <f>IF(B2533="","",IFERROR(INDEX(Client_List!$D:$D,MATCH(VALUE(B2533),Client_List!$A:$A,0)),""))</f>
        <v/>
      </c>
      <c r="G2533" s="53">
        <f>IF(B2533="","",IFERROR(INDEX(Client_List!$K:$K,MATCH(VALUE(B2533),Client_List!$A:$A,0)),""))</f>
        <v/>
      </c>
      <c r="H2533" s="32">
        <f>IF(B2533="","",IFERROR(INDEX(Client_List!$J:$J,MATCH(VALUE(B2533),Client_List!$A:$A,0)),""))</f>
        <v/>
      </c>
      <c r="I2533" s="70">
        <f>IF(B2533="","",IFERROR(A2533-LOOKUP(2,1/($B$4:$B2532=B2533),$A$4:$A2532),""))</f>
        <v/>
      </c>
      <c r="J2533" s="32">
        <f>IF(B2533="","",IFERROR(D2533/I2533,""))</f>
        <v/>
      </c>
      <c r="K2533" s="71">
        <f>IF(B2533="","",IFERROR(AVERAGEIFS($J$4:$J2533,$B$4:$B2533,B2533,$J$4:$J2533,"&gt;"&amp;0),""))</f>
        <v/>
      </c>
      <c r="L2533" s="11" t="n"/>
    </row>
    <row r="2534" ht="14" customHeight="1" s="72">
      <c r="A2534" s="83" t="n"/>
      <c r="B2534" s="81" t="n"/>
      <c r="C2534" s="69">
        <f>IF(B2534="","",IFERROR(INDEX(Client_List!$B:$B,MATCH(B2534,Client_List!$A:$A,0)),"⚠ NOT FOUND"))</f>
        <v/>
      </c>
      <c r="D2534" s="45" t="n"/>
      <c r="E2534" s="32">
        <f>IF(B2534="","",IFERROR(INDEX(Client_List!$C:$C,MATCH(VALUE(B2534),Client_List!$A:$A,0)),""))</f>
        <v/>
      </c>
      <c r="F2534" s="53">
        <f>IF(B2534="","",IFERROR(INDEX(Client_List!$D:$D,MATCH(VALUE(B2534),Client_List!$A:$A,0)),""))</f>
        <v/>
      </c>
      <c r="G2534" s="53">
        <f>IF(B2534="","",IFERROR(INDEX(Client_List!$K:$K,MATCH(VALUE(B2534),Client_List!$A:$A,0)),""))</f>
        <v/>
      </c>
      <c r="H2534" s="32">
        <f>IF(B2534="","",IFERROR(INDEX(Client_List!$J:$J,MATCH(VALUE(B2534),Client_List!$A:$A,0)),""))</f>
        <v/>
      </c>
      <c r="I2534" s="70">
        <f>IF(B2534="","",IFERROR(A2534-LOOKUP(2,1/($B$4:$B2533=B2534),$A$4:$A2533),""))</f>
        <v/>
      </c>
      <c r="J2534" s="32">
        <f>IF(B2534="","",IFERROR(D2534/I2534,""))</f>
        <v/>
      </c>
      <c r="K2534" s="71">
        <f>IF(B2534="","",IFERROR(AVERAGEIFS($J$4:$J2534,$B$4:$B2534,B2534,$J$4:$J2534,"&gt;"&amp;0),""))</f>
        <v/>
      </c>
      <c r="L2534" s="12" t="n"/>
    </row>
    <row r="2535" ht="14" customHeight="1" s="72">
      <c r="A2535" s="82" t="n"/>
      <c r="B2535" s="79" t="n"/>
      <c r="C2535" s="69">
        <f>IF(B2535="","",IFERROR(INDEX(Client_List!$B:$B,MATCH(B2535,Client_List!$A:$A,0)),"⚠ NOT FOUND"))</f>
        <v/>
      </c>
      <c r="D2535" s="44" t="n"/>
      <c r="E2535" s="32">
        <f>IF(B2535="","",IFERROR(INDEX(Client_List!$C:$C,MATCH(VALUE(B2535),Client_List!$A:$A,0)),""))</f>
        <v/>
      </c>
      <c r="F2535" s="53">
        <f>IF(B2535="","",IFERROR(INDEX(Client_List!$D:$D,MATCH(VALUE(B2535),Client_List!$A:$A,0)),""))</f>
        <v/>
      </c>
      <c r="G2535" s="53">
        <f>IF(B2535="","",IFERROR(INDEX(Client_List!$K:$K,MATCH(VALUE(B2535),Client_List!$A:$A,0)),""))</f>
        <v/>
      </c>
      <c r="H2535" s="32">
        <f>IF(B2535="","",IFERROR(INDEX(Client_List!$J:$J,MATCH(VALUE(B2535),Client_List!$A:$A,0)),""))</f>
        <v/>
      </c>
      <c r="I2535" s="70">
        <f>IF(B2535="","",IFERROR(A2535-LOOKUP(2,1/($B$4:$B2534=B2535),$A$4:$A2534),""))</f>
        <v/>
      </c>
      <c r="J2535" s="32">
        <f>IF(B2535="","",IFERROR(D2535/I2535,""))</f>
        <v/>
      </c>
      <c r="K2535" s="71">
        <f>IF(B2535="","",IFERROR(AVERAGEIFS($J$4:$J2535,$B$4:$B2535,B2535,$J$4:$J2535,"&gt;"&amp;0),""))</f>
        <v/>
      </c>
      <c r="L2535" s="11" t="n"/>
    </row>
    <row r="2536" ht="14" customHeight="1" s="72">
      <c r="A2536" s="83" t="n"/>
      <c r="B2536" s="81" t="n"/>
      <c r="C2536" s="69">
        <f>IF(B2536="","",IFERROR(INDEX(Client_List!$B:$B,MATCH(B2536,Client_List!$A:$A,0)),"⚠ NOT FOUND"))</f>
        <v/>
      </c>
      <c r="D2536" s="45" t="n"/>
      <c r="E2536" s="32">
        <f>IF(B2536="","",IFERROR(INDEX(Client_List!$C:$C,MATCH(VALUE(B2536),Client_List!$A:$A,0)),""))</f>
        <v/>
      </c>
      <c r="F2536" s="53">
        <f>IF(B2536="","",IFERROR(INDEX(Client_List!$D:$D,MATCH(VALUE(B2536),Client_List!$A:$A,0)),""))</f>
        <v/>
      </c>
      <c r="G2536" s="53">
        <f>IF(B2536="","",IFERROR(INDEX(Client_List!$K:$K,MATCH(VALUE(B2536),Client_List!$A:$A,0)),""))</f>
        <v/>
      </c>
      <c r="H2536" s="32">
        <f>IF(B2536="","",IFERROR(INDEX(Client_List!$J:$J,MATCH(VALUE(B2536),Client_List!$A:$A,0)),""))</f>
        <v/>
      </c>
      <c r="I2536" s="70">
        <f>IF(B2536="","",IFERROR(A2536-LOOKUP(2,1/($B$4:$B2535=B2536),$A$4:$A2535),""))</f>
        <v/>
      </c>
      <c r="J2536" s="32">
        <f>IF(B2536="","",IFERROR(D2536/I2536,""))</f>
        <v/>
      </c>
      <c r="K2536" s="71">
        <f>IF(B2536="","",IFERROR(AVERAGEIFS($J$4:$J2536,$B$4:$B2536,B2536,$J$4:$J2536,"&gt;"&amp;0),""))</f>
        <v/>
      </c>
      <c r="L2536" s="12" t="n"/>
    </row>
    <row r="2537" ht="14" customHeight="1" s="72">
      <c r="A2537" s="82" t="n"/>
      <c r="B2537" s="79" t="n"/>
      <c r="C2537" s="69">
        <f>IF(B2537="","",IFERROR(INDEX(Client_List!$B:$B,MATCH(B2537,Client_List!$A:$A,0)),"⚠ NOT FOUND"))</f>
        <v/>
      </c>
      <c r="D2537" s="44" t="n"/>
      <c r="E2537" s="32">
        <f>IF(B2537="","",IFERROR(INDEX(Client_List!$C:$C,MATCH(VALUE(B2537),Client_List!$A:$A,0)),""))</f>
        <v/>
      </c>
      <c r="F2537" s="53">
        <f>IF(B2537="","",IFERROR(INDEX(Client_List!$D:$D,MATCH(VALUE(B2537),Client_List!$A:$A,0)),""))</f>
        <v/>
      </c>
      <c r="G2537" s="53">
        <f>IF(B2537="","",IFERROR(INDEX(Client_List!$K:$K,MATCH(VALUE(B2537),Client_List!$A:$A,0)),""))</f>
        <v/>
      </c>
      <c r="H2537" s="32">
        <f>IF(B2537="","",IFERROR(INDEX(Client_List!$J:$J,MATCH(VALUE(B2537),Client_List!$A:$A,0)),""))</f>
        <v/>
      </c>
      <c r="I2537" s="70">
        <f>IF(B2537="","",IFERROR(A2537-LOOKUP(2,1/($B$4:$B2536=B2537),$A$4:$A2536),""))</f>
        <v/>
      </c>
      <c r="J2537" s="32">
        <f>IF(B2537="","",IFERROR(D2537/I2537,""))</f>
        <v/>
      </c>
      <c r="K2537" s="71">
        <f>IF(B2537="","",IFERROR(AVERAGEIFS($J$4:$J2537,$B$4:$B2537,B2537,$J$4:$J2537,"&gt;"&amp;0),""))</f>
        <v/>
      </c>
      <c r="L2537" s="11" t="n"/>
    </row>
    <row r="2538" ht="14" customHeight="1" s="72">
      <c r="A2538" s="83" t="n"/>
      <c r="B2538" s="81" t="n"/>
      <c r="C2538" s="69">
        <f>IF(B2538="","",IFERROR(INDEX(Client_List!$B:$B,MATCH(B2538,Client_List!$A:$A,0)),"⚠ NOT FOUND"))</f>
        <v/>
      </c>
      <c r="D2538" s="45" t="n"/>
      <c r="E2538" s="32">
        <f>IF(B2538="","",IFERROR(INDEX(Client_List!$C:$C,MATCH(VALUE(B2538),Client_List!$A:$A,0)),""))</f>
        <v/>
      </c>
      <c r="F2538" s="53">
        <f>IF(B2538="","",IFERROR(INDEX(Client_List!$D:$D,MATCH(VALUE(B2538),Client_List!$A:$A,0)),""))</f>
        <v/>
      </c>
      <c r="G2538" s="53">
        <f>IF(B2538="","",IFERROR(INDEX(Client_List!$K:$K,MATCH(VALUE(B2538),Client_List!$A:$A,0)),""))</f>
        <v/>
      </c>
      <c r="H2538" s="32">
        <f>IF(B2538="","",IFERROR(INDEX(Client_List!$J:$J,MATCH(VALUE(B2538),Client_List!$A:$A,0)),""))</f>
        <v/>
      </c>
      <c r="I2538" s="70">
        <f>IF(B2538="","",IFERROR(A2538-LOOKUP(2,1/($B$4:$B2537=B2538),$A$4:$A2537),""))</f>
        <v/>
      </c>
      <c r="J2538" s="32">
        <f>IF(B2538="","",IFERROR(D2538/I2538,""))</f>
        <v/>
      </c>
      <c r="K2538" s="71">
        <f>IF(B2538="","",IFERROR(AVERAGEIFS($J$4:$J2538,$B$4:$B2538,B2538,$J$4:$J2538,"&gt;"&amp;0),""))</f>
        <v/>
      </c>
      <c r="L2538" s="12" t="n"/>
    </row>
    <row r="2539" ht="14" customHeight="1" s="72">
      <c r="A2539" s="82" t="n"/>
      <c r="B2539" s="79" t="n"/>
      <c r="C2539" s="69">
        <f>IF(B2539="","",IFERROR(INDEX(Client_List!$B:$B,MATCH(B2539,Client_List!$A:$A,0)),"⚠ NOT FOUND"))</f>
        <v/>
      </c>
      <c r="D2539" s="44" t="n"/>
      <c r="E2539" s="32">
        <f>IF(B2539="","",IFERROR(INDEX(Client_List!$C:$C,MATCH(VALUE(B2539),Client_List!$A:$A,0)),""))</f>
        <v/>
      </c>
      <c r="F2539" s="53">
        <f>IF(B2539="","",IFERROR(INDEX(Client_List!$D:$D,MATCH(VALUE(B2539),Client_List!$A:$A,0)),""))</f>
        <v/>
      </c>
      <c r="G2539" s="53">
        <f>IF(B2539="","",IFERROR(INDEX(Client_List!$K:$K,MATCH(VALUE(B2539),Client_List!$A:$A,0)),""))</f>
        <v/>
      </c>
      <c r="H2539" s="32">
        <f>IF(B2539="","",IFERROR(INDEX(Client_List!$J:$J,MATCH(VALUE(B2539),Client_List!$A:$A,0)),""))</f>
        <v/>
      </c>
      <c r="I2539" s="70">
        <f>IF(B2539="","",IFERROR(A2539-LOOKUP(2,1/($B$4:$B2538=B2539),$A$4:$A2538),""))</f>
        <v/>
      </c>
      <c r="J2539" s="32">
        <f>IF(B2539="","",IFERROR(D2539/I2539,""))</f>
        <v/>
      </c>
      <c r="K2539" s="71">
        <f>IF(B2539="","",IFERROR(AVERAGEIFS($J$4:$J2539,$B$4:$B2539,B2539,$J$4:$J2539,"&gt;"&amp;0),""))</f>
        <v/>
      </c>
      <c r="L2539" s="11" t="n"/>
    </row>
    <row r="2540" ht="14" customHeight="1" s="72">
      <c r="A2540" s="83" t="n"/>
      <c r="B2540" s="81" t="n"/>
      <c r="C2540" s="69">
        <f>IF(B2540="","",IFERROR(INDEX(Client_List!$B:$B,MATCH(B2540,Client_List!$A:$A,0)),"⚠ NOT FOUND"))</f>
        <v/>
      </c>
      <c r="D2540" s="45" t="n"/>
      <c r="E2540" s="32">
        <f>IF(B2540="","",IFERROR(INDEX(Client_List!$C:$C,MATCH(VALUE(B2540),Client_List!$A:$A,0)),""))</f>
        <v/>
      </c>
      <c r="F2540" s="53">
        <f>IF(B2540="","",IFERROR(INDEX(Client_List!$D:$D,MATCH(VALUE(B2540),Client_List!$A:$A,0)),""))</f>
        <v/>
      </c>
      <c r="G2540" s="53">
        <f>IF(B2540="","",IFERROR(INDEX(Client_List!$K:$K,MATCH(VALUE(B2540),Client_List!$A:$A,0)),""))</f>
        <v/>
      </c>
      <c r="H2540" s="32">
        <f>IF(B2540="","",IFERROR(INDEX(Client_List!$J:$J,MATCH(VALUE(B2540),Client_List!$A:$A,0)),""))</f>
        <v/>
      </c>
      <c r="I2540" s="70">
        <f>IF(B2540="","",IFERROR(A2540-LOOKUP(2,1/($B$4:$B2539=B2540),$A$4:$A2539),""))</f>
        <v/>
      </c>
      <c r="J2540" s="32">
        <f>IF(B2540="","",IFERROR(D2540/I2540,""))</f>
        <v/>
      </c>
      <c r="K2540" s="71">
        <f>IF(B2540="","",IFERROR(AVERAGEIFS($J$4:$J2540,$B$4:$B2540,B2540,$J$4:$J2540,"&gt;"&amp;0),""))</f>
        <v/>
      </c>
      <c r="L2540" s="12" t="n"/>
    </row>
    <row r="2541" ht="14" customHeight="1" s="72">
      <c r="A2541" s="82" t="n"/>
      <c r="B2541" s="79" t="n"/>
      <c r="C2541" s="69">
        <f>IF(B2541="","",IFERROR(INDEX(Client_List!$B:$B,MATCH(B2541,Client_List!$A:$A,0)),"⚠ NOT FOUND"))</f>
        <v/>
      </c>
      <c r="D2541" s="44" t="n"/>
      <c r="E2541" s="32">
        <f>IF(B2541="","",IFERROR(INDEX(Client_List!$C:$C,MATCH(VALUE(B2541),Client_List!$A:$A,0)),""))</f>
        <v/>
      </c>
      <c r="F2541" s="53">
        <f>IF(B2541="","",IFERROR(INDEX(Client_List!$D:$D,MATCH(VALUE(B2541),Client_List!$A:$A,0)),""))</f>
        <v/>
      </c>
      <c r="G2541" s="53">
        <f>IF(B2541="","",IFERROR(INDEX(Client_List!$K:$K,MATCH(VALUE(B2541),Client_List!$A:$A,0)),""))</f>
        <v/>
      </c>
      <c r="H2541" s="32">
        <f>IF(B2541="","",IFERROR(INDEX(Client_List!$J:$J,MATCH(VALUE(B2541),Client_List!$A:$A,0)),""))</f>
        <v/>
      </c>
      <c r="I2541" s="70">
        <f>IF(B2541="","",IFERROR(A2541-LOOKUP(2,1/($B$4:$B2540=B2541),$A$4:$A2540),""))</f>
        <v/>
      </c>
      <c r="J2541" s="32">
        <f>IF(B2541="","",IFERROR(D2541/I2541,""))</f>
        <v/>
      </c>
      <c r="K2541" s="71">
        <f>IF(B2541="","",IFERROR(AVERAGEIFS($J$4:$J2541,$B$4:$B2541,B2541,$J$4:$J2541,"&gt;"&amp;0),""))</f>
        <v/>
      </c>
      <c r="L2541" s="11" t="n"/>
    </row>
    <row r="2542" ht="14" customHeight="1" s="72">
      <c r="A2542" s="83" t="n"/>
      <c r="B2542" s="81" t="n"/>
      <c r="C2542" s="69">
        <f>IF(B2542="","",IFERROR(INDEX(Client_List!$B:$B,MATCH(B2542,Client_List!$A:$A,0)),"⚠ NOT FOUND"))</f>
        <v/>
      </c>
      <c r="D2542" s="45" t="n"/>
      <c r="E2542" s="32">
        <f>IF(B2542="","",IFERROR(INDEX(Client_List!$C:$C,MATCH(VALUE(B2542),Client_List!$A:$A,0)),""))</f>
        <v/>
      </c>
      <c r="F2542" s="53">
        <f>IF(B2542="","",IFERROR(INDEX(Client_List!$D:$D,MATCH(VALUE(B2542),Client_List!$A:$A,0)),""))</f>
        <v/>
      </c>
      <c r="G2542" s="53">
        <f>IF(B2542="","",IFERROR(INDEX(Client_List!$K:$K,MATCH(VALUE(B2542),Client_List!$A:$A,0)),""))</f>
        <v/>
      </c>
      <c r="H2542" s="32">
        <f>IF(B2542="","",IFERROR(INDEX(Client_List!$J:$J,MATCH(VALUE(B2542),Client_List!$A:$A,0)),""))</f>
        <v/>
      </c>
      <c r="I2542" s="70">
        <f>IF(B2542="","",IFERROR(A2542-LOOKUP(2,1/($B$4:$B2541=B2542),$A$4:$A2541),""))</f>
        <v/>
      </c>
      <c r="J2542" s="32">
        <f>IF(B2542="","",IFERROR(D2542/I2542,""))</f>
        <v/>
      </c>
      <c r="K2542" s="71">
        <f>IF(B2542="","",IFERROR(AVERAGEIFS($J$4:$J2542,$B$4:$B2542,B2542,$J$4:$J2542,"&gt;"&amp;0),""))</f>
        <v/>
      </c>
      <c r="L2542" s="12" t="n"/>
    </row>
    <row r="2543" ht="14" customHeight="1" s="72">
      <c r="A2543" s="82" t="n"/>
      <c r="B2543" s="79" t="n"/>
      <c r="C2543" s="69">
        <f>IF(B2543="","",IFERROR(INDEX(Client_List!$B:$B,MATCH(B2543,Client_List!$A:$A,0)),"⚠ NOT FOUND"))</f>
        <v/>
      </c>
      <c r="D2543" s="44" t="n"/>
      <c r="E2543" s="32">
        <f>IF(B2543="","",IFERROR(INDEX(Client_List!$C:$C,MATCH(VALUE(B2543),Client_List!$A:$A,0)),""))</f>
        <v/>
      </c>
      <c r="F2543" s="53">
        <f>IF(B2543="","",IFERROR(INDEX(Client_List!$D:$D,MATCH(VALUE(B2543),Client_List!$A:$A,0)),""))</f>
        <v/>
      </c>
      <c r="G2543" s="53">
        <f>IF(B2543="","",IFERROR(INDEX(Client_List!$K:$K,MATCH(VALUE(B2543),Client_List!$A:$A,0)),""))</f>
        <v/>
      </c>
      <c r="H2543" s="32">
        <f>IF(B2543="","",IFERROR(INDEX(Client_List!$J:$J,MATCH(VALUE(B2543),Client_List!$A:$A,0)),""))</f>
        <v/>
      </c>
      <c r="I2543" s="70">
        <f>IF(B2543="","",IFERROR(A2543-LOOKUP(2,1/($B$4:$B2542=B2543),$A$4:$A2542),""))</f>
        <v/>
      </c>
      <c r="J2543" s="32">
        <f>IF(B2543="","",IFERROR(D2543/I2543,""))</f>
        <v/>
      </c>
      <c r="K2543" s="71">
        <f>IF(B2543="","",IFERROR(AVERAGEIFS($J$4:$J2543,$B$4:$B2543,B2543,$J$4:$J2543,"&gt;"&amp;0),""))</f>
        <v/>
      </c>
      <c r="L2543" s="11" t="n"/>
    </row>
    <row r="2544" ht="14" customHeight="1" s="72">
      <c r="A2544" s="83" t="n"/>
      <c r="B2544" s="81" t="n"/>
      <c r="C2544" s="69">
        <f>IF(B2544="","",IFERROR(INDEX(Client_List!$B:$B,MATCH(B2544,Client_List!$A:$A,0)),"⚠ NOT FOUND"))</f>
        <v/>
      </c>
      <c r="D2544" s="45" t="n"/>
      <c r="E2544" s="32">
        <f>IF(B2544="","",IFERROR(INDEX(Client_List!$C:$C,MATCH(VALUE(B2544),Client_List!$A:$A,0)),""))</f>
        <v/>
      </c>
      <c r="F2544" s="53">
        <f>IF(B2544="","",IFERROR(INDEX(Client_List!$D:$D,MATCH(VALUE(B2544),Client_List!$A:$A,0)),""))</f>
        <v/>
      </c>
      <c r="G2544" s="53">
        <f>IF(B2544="","",IFERROR(INDEX(Client_List!$K:$K,MATCH(VALUE(B2544),Client_List!$A:$A,0)),""))</f>
        <v/>
      </c>
      <c r="H2544" s="32">
        <f>IF(B2544="","",IFERROR(INDEX(Client_List!$J:$J,MATCH(VALUE(B2544),Client_List!$A:$A,0)),""))</f>
        <v/>
      </c>
      <c r="I2544" s="70">
        <f>IF(B2544="","",IFERROR(A2544-LOOKUP(2,1/($B$4:$B2543=B2544),$A$4:$A2543),""))</f>
        <v/>
      </c>
      <c r="J2544" s="32">
        <f>IF(B2544="","",IFERROR(D2544/I2544,""))</f>
        <v/>
      </c>
      <c r="K2544" s="71">
        <f>IF(B2544="","",IFERROR(AVERAGEIFS($J$4:$J2544,$B$4:$B2544,B2544,$J$4:$J2544,"&gt;"&amp;0),""))</f>
        <v/>
      </c>
      <c r="L2544" s="12" t="n"/>
    </row>
    <row r="2545" ht="14" customHeight="1" s="72">
      <c r="A2545" s="82" t="n"/>
      <c r="B2545" s="79" t="n"/>
      <c r="C2545" s="69">
        <f>IF(B2545="","",IFERROR(INDEX(Client_List!$B:$B,MATCH(B2545,Client_List!$A:$A,0)),"⚠ NOT FOUND"))</f>
        <v/>
      </c>
      <c r="D2545" s="44" t="n"/>
      <c r="E2545" s="32">
        <f>IF(B2545="","",IFERROR(INDEX(Client_List!$C:$C,MATCH(VALUE(B2545),Client_List!$A:$A,0)),""))</f>
        <v/>
      </c>
      <c r="F2545" s="53">
        <f>IF(B2545="","",IFERROR(INDEX(Client_List!$D:$D,MATCH(VALUE(B2545),Client_List!$A:$A,0)),""))</f>
        <v/>
      </c>
      <c r="G2545" s="53">
        <f>IF(B2545="","",IFERROR(INDEX(Client_List!$K:$K,MATCH(VALUE(B2545),Client_List!$A:$A,0)),""))</f>
        <v/>
      </c>
      <c r="H2545" s="32">
        <f>IF(B2545="","",IFERROR(INDEX(Client_List!$J:$J,MATCH(VALUE(B2545),Client_List!$A:$A,0)),""))</f>
        <v/>
      </c>
      <c r="I2545" s="70">
        <f>IF(B2545="","",IFERROR(A2545-LOOKUP(2,1/($B$4:$B2544=B2545),$A$4:$A2544),""))</f>
        <v/>
      </c>
      <c r="J2545" s="32">
        <f>IF(B2545="","",IFERROR(D2545/I2545,""))</f>
        <v/>
      </c>
      <c r="K2545" s="71">
        <f>IF(B2545="","",IFERROR(AVERAGEIFS($J$4:$J2545,$B$4:$B2545,B2545,$J$4:$J2545,"&gt;"&amp;0),""))</f>
        <v/>
      </c>
      <c r="L2545" s="11" t="n"/>
    </row>
    <row r="2546" ht="14" customHeight="1" s="72">
      <c r="A2546" s="83" t="n"/>
      <c r="B2546" s="81" t="n"/>
      <c r="C2546" s="69">
        <f>IF(B2546="","",IFERROR(INDEX(Client_List!$B:$B,MATCH(B2546,Client_List!$A:$A,0)),"⚠ NOT FOUND"))</f>
        <v/>
      </c>
      <c r="D2546" s="45" t="n"/>
      <c r="E2546" s="32">
        <f>IF(B2546="","",IFERROR(INDEX(Client_List!$C:$C,MATCH(VALUE(B2546),Client_List!$A:$A,0)),""))</f>
        <v/>
      </c>
      <c r="F2546" s="53">
        <f>IF(B2546="","",IFERROR(INDEX(Client_List!$D:$D,MATCH(VALUE(B2546),Client_List!$A:$A,0)),""))</f>
        <v/>
      </c>
      <c r="G2546" s="53">
        <f>IF(B2546="","",IFERROR(INDEX(Client_List!$K:$K,MATCH(VALUE(B2546),Client_List!$A:$A,0)),""))</f>
        <v/>
      </c>
      <c r="H2546" s="32">
        <f>IF(B2546="","",IFERROR(INDEX(Client_List!$J:$J,MATCH(VALUE(B2546),Client_List!$A:$A,0)),""))</f>
        <v/>
      </c>
      <c r="I2546" s="70">
        <f>IF(B2546="","",IFERROR(A2546-LOOKUP(2,1/($B$4:$B2545=B2546),$A$4:$A2545),""))</f>
        <v/>
      </c>
      <c r="J2546" s="32">
        <f>IF(B2546="","",IFERROR(D2546/I2546,""))</f>
        <v/>
      </c>
      <c r="K2546" s="71">
        <f>IF(B2546="","",IFERROR(AVERAGEIFS($J$4:$J2546,$B$4:$B2546,B2546,$J$4:$J2546,"&gt;"&amp;0),""))</f>
        <v/>
      </c>
      <c r="L2546" s="12" t="n"/>
    </row>
    <row r="2547" ht="14" customHeight="1" s="72">
      <c r="A2547" s="82" t="n"/>
      <c r="B2547" s="79" t="n"/>
      <c r="C2547" s="69">
        <f>IF(B2547="","",IFERROR(INDEX(Client_List!$B:$B,MATCH(B2547,Client_List!$A:$A,0)),"⚠ NOT FOUND"))</f>
        <v/>
      </c>
      <c r="D2547" s="44" t="n"/>
      <c r="E2547" s="32">
        <f>IF(B2547="","",IFERROR(INDEX(Client_List!$C:$C,MATCH(VALUE(B2547),Client_List!$A:$A,0)),""))</f>
        <v/>
      </c>
      <c r="F2547" s="53">
        <f>IF(B2547="","",IFERROR(INDEX(Client_List!$D:$D,MATCH(VALUE(B2547),Client_List!$A:$A,0)),""))</f>
        <v/>
      </c>
      <c r="G2547" s="53">
        <f>IF(B2547="","",IFERROR(INDEX(Client_List!$K:$K,MATCH(VALUE(B2547),Client_List!$A:$A,0)),""))</f>
        <v/>
      </c>
      <c r="H2547" s="32">
        <f>IF(B2547="","",IFERROR(INDEX(Client_List!$J:$J,MATCH(VALUE(B2547),Client_List!$A:$A,0)),""))</f>
        <v/>
      </c>
      <c r="I2547" s="70">
        <f>IF(B2547="","",IFERROR(A2547-LOOKUP(2,1/($B$4:$B2546=B2547),$A$4:$A2546),""))</f>
        <v/>
      </c>
      <c r="J2547" s="32">
        <f>IF(B2547="","",IFERROR(D2547/I2547,""))</f>
        <v/>
      </c>
      <c r="K2547" s="71">
        <f>IF(B2547="","",IFERROR(AVERAGEIFS($J$4:$J2547,$B$4:$B2547,B2547,$J$4:$J2547,"&gt;"&amp;0),""))</f>
        <v/>
      </c>
      <c r="L2547" s="11" t="n"/>
    </row>
    <row r="2548" ht="14" customHeight="1" s="72">
      <c r="A2548" s="83" t="n"/>
      <c r="B2548" s="81" t="n"/>
      <c r="C2548" s="69">
        <f>IF(B2548="","",IFERROR(INDEX(Client_List!$B:$B,MATCH(B2548,Client_List!$A:$A,0)),"⚠ NOT FOUND"))</f>
        <v/>
      </c>
      <c r="D2548" s="45" t="n"/>
      <c r="E2548" s="32">
        <f>IF(B2548="","",IFERROR(INDEX(Client_List!$C:$C,MATCH(VALUE(B2548),Client_List!$A:$A,0)),""))</f>
        <v/>
      </c>
      <c r="F2548" s="53">
        <f>IF(B2548="","",IFERROR(INDEX(Client_List!$D:$D,MATCH(VALUE(B2548),Client_List!$A:$A,0)),""))</f>
        <v/>
      </c>
      <c r="G2548" s="53">
        <f>IF(B2548="","",IFERROR(INDEX(Client_List!$K:$K,MATCH(VALUE(B2548),Client_List!$A:$A,0)),""))</f>
        <v/>
      </c>
      <c r="H2548" s="32">
        <f>IF(B2548="","",IFERROR(INDEX(Client_List!$J:$J,MATCH(VALUE(B2548),Client_List!$A:$A,0)),""))</f>
        <v/>
      </c>
      <c r="I2548" s="70">
        <f>IF(B2548="","",IFERROR(A2548-LOOKUP(2,1/($B$4:$B2547=B2548),$A$4:$A2547),""))</f>
        <v/>
      </c>
      <c r="J2548" s="32">
        <f>IF(B2548="","",IFERROR(D2548/I2548,""))</f>
        <v/>
      </c>
      <c r="K2548" s="71">
        <f>IF(B2548="","",IFERROR(AVERAGEIFS($J$4:$J2548,$B$4:$B2548,B2548,$J$4:$J2548,"&gt;"&amp;0),""))</f>
        <v/>
      </c>
      <c r="L2548" s="12" t="n"/>
    </row>
    <row r="2549" ht="14" customHeight="1" s="72">
      <c r="A2549" s="82" t="n"/>
      <c r="B2549" s="79" t="n"/>
      <c r="C2549" s="69">
        <f>IF(B2549="","",IFERROR(INDEX(Client_List!$B:$B,MATCH(B2549,Client_List!$A:$A,0)),"⚠ NOT FOUND"))</f>
        <v/>
      </c>
      <c r="D2549" s="44" t="n"/>
      <c r="E2549" s="32">
        <f>IF(B2549="","",IFERROR(INDEX(Client_List!$C:$C,MATCH(VALUE(B2549),Client_List!$A:$A,0)),""))</f>
        <v/>
      </c>
      <c r="F2549" s="53">
        <f>IF(B2549="","",IFERROR(INDEX(Client_List!$D:$D,MATCH(VALUE(B2549),Client_List!$A:$A,0)),""))</f>
        <v/>
      </c>
      <c r="G2549" s="53">
        <f>IF(B2549="","",IFERROR(INDEX(Client_List!$K:$K,MATCH(VALUE(B2549),Client_List!$A:$A,0)),""))</f>
        <v/>
      </c>
      <c r="H2549" s="32">
        <f>IF(B2549="","",IFERROR(INDEX(Client_List!$J:$J,MATCH(VALUE(B2549),Client_List!$A:$A,0)),""))</f>
        <v/>
      </c>
      <c r="I2549" s="70">
        <f>IF(B2549="","",IFERROR(A2549-LOOKUP(2,1/($B$4:$B2548=B2549),$A$4:$A2548),""))</f>
        <v/>
      </c>
      <c r="J2549" s="32">
        <f>IF(B2549="","",IFERROR(D2549/I2549,""))</f>
        <v/>
      </c>
      <c r="K2549" s="71">
        <f>IF(B2549="","",IFERROR(AVERAGEIFS($J$4:$J2549,$B$4:$B2549,B2549,$J$4:$J2549,"&gt;"&amp;0),""))</f>
        <v/>
      </c>
      <c r="L2549" s="11" t="n"/>
    </row>
    <row r="2550" ht="14" customHeight="1" s="72">
      <c r="A2550" s="83" t="n"/>
      <c r="B2550" s="81" t="n"/>
      <c r="C2550" s="69">
        <f>IF(B2550="","",IFERROR(INDEX(Client_List!$B:$B,MATCH(B2550,Client_List!$A:$A,0)),"⚠ NOT FOUND"))</f>
        <v/>
      </c>
      <c r="D2550" s="45" t="n"/>
      <c r="E2550" s="32">
        <f>IF(B2550="","",IFERROR(INDEX(Client_List!$C:$C,MATCH(VALUE(B2550),Client_List!$A:$A,0)),""))</f>
        <v/>
      </c>
      <c r="F2550" s="53">
        <f>IF(B2550="","",IFERROR(INDEX(Client_List!$D:$D,MATCH(VALUE(B2550),Client_List!$A:$A,0)),""))</f>
        <v/>
      </c>
      <c r="G2550" s="53">
        <f>IF(B2550="","",IFERROR(INDEX(Client_List!$K:$K,MATCH(VALUE(B2550),Client_List!$A:$A,0)),""))</f>
        <v/>
      </c>
      <c r="H2550" s="32">
        <f>IF(B2550="","",IFERROR(INDEX(Client_List!$J:$J,MATCH(VALUE(B2550),Client_List!$A:$A,0)),""))</f>
        <v/>
      </c>
      <c r="I2550" s="70">
        <f>IF(B2550="","",IFERROR(A2550-LOOKUP(2,1/($B$4:$B2549=B2550),$A$4:$A2549),""))</f>
        <v/>
      </c>
      <c r="J2550" s="32">
        <f>IF(B2550="","",IFERROR(D2550/I2550,""))</f>
        <v/>
      </c>
      <c r="K2550" s="71">
        <f>IF(B2550="","",IFERROR(AVERAGEIFS($J$4:$J2550,$B$4:$B2550,B2550,$J$4:$J2550,"&gt;"&amp;0),""))</f>
        <v/>
      </c>
      <c r="L2550" s="12" t="n"/>
    </row>
    <row r="2551" ht="14" customHeight="1" s="72">
      <c r="A2551" s="82" t="n"/>
      <c r="B2551" s="79" t="n"/>
      <c r="C2551" s="69">
        <f>IF(B2551="","",IFERROR(INDEX(Client_List!$B:$B,MATCH(B2551,Client_List!$A:$A,0)),"⚠ NOT FOUND"))</f>
        <v/>
      </c>
      <c r="D2551" s="44" t="n"/>
      <c r="E2551" s="32">
        <f>IF(B2551="","",IFERROR(INDEX(Client_List!$C:$C,MATCH(VALUE(B2551),Client_List!$A:$A,0)),""))</f>
        <v/>
      </c>
      <c r="F2551" s="53">
        <f>IF(B2551="","",IFERROR(INDEX(Client_List!$D:$D,MATCH(VALUE(B2551),Client_List!$A:$A,0)),""))</f>
        <v/>
      </c>
      <c r="G2551" s="53">
        <f>IF(B2551="","",IFERROR(INDEX(Client_List!$K:$K,MATCH(VALUE(B2551),Client_List!$A:$A,0)),""))</f>
        <v/>
      </c>
      <c r="H2551" s="32">
        <f>IF(B2551="","",IFERROR(INDEX(Client_List!$J:$J,MATCH(VALUE(B2551),Client_List!$A:$A,0)),""))</f>
        <v/>
      </c>
      <c r="I2551" s="70">
        <f>IF(B2551="","",IFERROR(A2551-LOOKUP(2,1/($B$4:$B2550=B2551),$A$4:$A2550),""))</f>
        <v/>
      </c>
      <c r="J2551" s="32">
        <f>IF(B2551="","",IFERROR(D2551/I2551,""))</f>
        <v/>
      </c>
      <c r="K2551" s="71">
        <f>IF(B2551="","",IFERROR(AVERAGEIFS($J$4:$J2551,$B$4:$B2551,B2551,$J$4:$J2551,"&gt;"&amp;0),""))</f>
        <v/>
      </c>
      <c r="L2551" s="11" t="n"/>
    </row>
    <row r="2552" ht="14" customHeight="1" s="72">
      <c r="A2552" s="83" t="n"/>
      <c r="B2552" s="81" t="n"/>
      <c r="C2552" s="69">
        <f>IF(B2552="","",IFERROR(INDEX(Client_List!$B:$B,MATCH(B2552,Client_List!$A:$A,0)),"⚠ NOT FOUND"))</f>
        <v/>
      </c>
      <c r="D2552" s="45" t="n"/>
      <c r="E2552" s="32">
        <f>IF(B2552="","",IFERROR(INDEX(Client_List!$C:$C,MATCH(VALUE(B2552),Client_List!$A:$A,0)),""))</f>
        <v/>
      </c>
      <c r="F2552" s="53">
        <f>IF(B2552="","",IFERROR(INDEX(Client_List!$D:$D,MATCH(VALUE(B2552),Client_List!$A:$A,0)),""))</f>
        <v/>
      </c>
      <c r="G2552" s="53">
        <f>IF(B2552="","",IFERROR(INDEX(Client_List!$K:$K,MATCH(VALUE(B2552),Client_List!$A:$A,0)),""))</f>
        <v/>
      </c>
      <c r="H2552" s="32">
        <f>IF(B2552="","",IFERROR(INDEX(Client_List!$J:$J,MATCH(VALUE(B2552),Client_List!$A:$A,0)),""))</f>
        <v/>
      </c>
      <c r="I2552" s="70">
        <f>IF(B2552="","",IFERROR(A2552-LOOKUP(2,1/($B$4:$B2551=B2552),$A$4:$A2551),""))</f>
        <v/>
      </c>
      <c r="J2552" s="32">
        <f>IF(B2552="","",IFERROR(D2552/I2552,""))</f>
        <v/>
      </c>
      <c r="K2552" s="71">
        <f>IF(B2552="","",IFERROR(AVERAGEIFS($J$4:$J2552,$B$4:$B2552,B2552,$J$4:$J2552,"&gt;"&amp;0),""))</f>
        <v/>
      </c>
      <c r="L2552" s="12" t="n"/>
    </row>
    <row r="2553" ht="14" customHeight="1" s="72">
      <c r="A2553" s="82" t="n"/>
      <c r="B2553" s="79" t="n"/>
      <c r="C2553" s="69">
        <f>IF(B2553="","",IFERROR(INDEX(Client_List!$B:$B,MATCH(B2553,Client_List!$A:$A,0)),"⚠ NOT FOUND"))</f>
        <v/>
      </c>
      <c r="D2553" s="44" t="n"/>
      <c r="E2553" s="32">
        <f>IF(B2553="","",IFERROR(INDEX(Client_List!$C:$C,MATCH(VALUE(B2553),Client_List!$A:$A,0)),""))</f>
        <v/>
      </c>
      <c r="F2553" s="53">
        <f>IF(B2553="","",IFERROR(INDEX(Client_List!$D:$D,MATCH(VALUE(B2553),Client_List!$A:$A,0)),""))</f>
        <v/>
      </c>
      <c r="G2553" s="53">
        <f>IF(B2553="","",IFERROR(INDEX(Client_List!$K:$K,MATCH(VALUE(B2553),Client_List!$A:$A,0)),""))</f>
        <v/>
      </c>
      <c r="H2553" s="32">
        <f>IF(B2553="","",IFERROR(INDEX(Client_List!$J:$J,MATCH(VALUE(B2553),Client_List!$A:$A,0)),""))</f>
        <v/>
      </c>
      <c r="I2553" s="70">
        <f>IF(B2553="","",IFERROR(A2553-LOOKUP(2,1/($B$4:$B2552=B2553),$A$4:$A2552),""))</f>
        <v/>
      </c>
      <c r="J2553" s="32">
        <f>IF(B2553="","",IFERROR(D2553/I2553,""))</f>
        <v/>
      </c>
      <c r="K2553" s="71">
        <f>IF(B2553="","",IFERROR(AVERAGEIFS($J$4:$J2553,$B$4:$B2553,B2553,$J$4:$J2553,"&gt;"&amp;0),""))</f>
        <v/>
      </c>
      <c r="L2553" s="11" t="n"/>
    </row>
    <row r="2554" ht="14" customHeight="1" s="72">
      <c r="A2554" s="83" t="n"/>
      <c r="B2554" s="81" t="n"/>
      <c r="C2554" s="69">
        <f>IF(B2554="","",IFERROR(INDEX(Client_List!$B:$B,MATCH(B2554,Client_List!$A:$A,0)),"⚠ NOT FOUND"))</f>
        <v/>
      </c>
      <c r="D2554" s="45" t="n"/>
      <c r="E2554" s="32">
        <f>IF(B2554="","",IFERROR(INDEX(Client_List!$C:$C,MATCH(VALUE(B2554),Client_List!$A:$A,0)),""))</f>
        <v/>
      </c>
      <c r="F2554" s="53">
        <f>IF(B2554="","",IFERROR(INDEX(Client_List!$D:$D,MATCH(VALUE(B2554),Client_List!$A:$A,0)),""))</f>
        <v/>
      </c>
      <c r="G2554" s="53">
        <f>IF(B2554="","",IFERROR(INDEX(Client_List!$K:$K,MATCH(VALUE(B2554),Client_List!$A:$A,0)),""))</f>
        <v/>
      </c>
      <c r="H2554" s="32">
        <f>IF(B2554="","",IFERROR(INDEX(Client_List!$J:$J,MATCH(VALUE(B2554),Client_List!$A:$A,0)),""))</f>
        <v/>
      </c>
      <c r="I2554" s="70">
        <f>IF(B2554="","",IFERROR(A2554-LOOKUP(2,1/($B$4:$B2553=B2554),$A$4:$A2553),""))</f>
        <v/>
      </c>
      <c r="J2554" s="32">
        <f>IF(B2554="","",IFERROR(D2554/I2554,""))</f>
        <v/>
      </c>
      <c r="K2554" s="71">
        <f>IF(B2554="","",IFERROR(AVERAGEIFS($J$4:$J2554,$B$4:$B2554,B2554,$J$4:$J2554,"&gt;"&amp;0),""))</f>
        <v/>
      </c>
      <c r="L2554" s="12" t="n"/>
    </row>
    <row r="2555" ht="14" customHeight="1" s="72">
      <c r="A2555" s="82" t="n"/>
      <c r="B2555" s="79" t="n"/>
      <c r="C2555" s="69">
        <f>IF(B2555="","",IFERROR(INDEX(Client_List!$B:$B,MATCH(B2555,Client_List!$A:$A,0)),"⚠ NOT FOUND"))</f>
        <v/>
      </c>
      <c r="D2555" s="44" t="n"/>
      <c r="E2555" s="32">
        <f>IF(B2555="","",IFERROR(INDEX(Client_List!$C:$C,MATCH(VALUE(B2555),Client_List!$A:$A,0)),""))</f>
        <v/>
      </c>
      <c r="F2555" s="53">
        <f>IF(B2555="","",IFERROR(INDEX(Client_List!$D:$D,MATCH(VALUE(B2555),Client_List!$A:$A,0)),""))</f>
        <v/>
      </c>
      <c r="G2555" s="53">
        <f>IF(B2555="","",IFERROR(INDEX(Client_List!$K:$K,MATCH(VALUE(B2555),Client_List!$A:$A,0)),""))</f>
        <v/>
      </c>
      <c r="H2555" s="32">
        <f>IF(B2555="","",IFERROR(INDEX(Client_List!$J:$J,MATCH(VALUE(B2555),Client_List!$A:$A,0)),""))</f>
        <v/>
      </c>
      <c r="I2555" s="70">
        <f>IF(B2555="","",IFERROR(A2555-LOOKUP(2,1/($B$4:$B2554=B2555),$A$4:$A2554),""))</f>
        <v/>
      </c>
      <c r="J2555" s="32">
        <f>IF(B2555="","",IFERROR(D2555/I2555,""))</f>
        <v/>
      </c>
      <c r="K2555" s="71">
        <f>IF(B2555="","",IFERROR(AVERAGEIFS($J$4:$J2555,$B$4:$B2555,B2555,$J$4:$J2555,"&gt;"&amp;0),""))</f>
        <v/>
      </c>
      <c r="L2555" s="11" t="n"/>
    </row>
    <row r="2556" ht="14" customHeight="1" s="72">
      <c r="A2556" s="83" t="n"/>
      <c r="B2556" s="81" t="n"/>
      <c r="C2556" s="69">
        <f>IF(B2556="","",IFERROR(INDEX(Client_List!$B:$B,MATCH(B2556,Client_List!$A:$A,0)),"⚠ NOT FOUND"))</f>
        <v/>
      </c>
      <c r="D2556" s="45" t="n"/>
      <c r="E2556" s="32">
        <f>IF(B2556="","",IFERROR(INDEX(Client_List!$C:$C,MATCH(VALUE(B2556),Client_List!$A:$A,0)),""))</f>
        <v/>
      </c>
      <c r="F2556" s="53">
        <f>IF(B2556="","",IFERROR(INDEX(Client_List!$D:$D,MATCH(VALUE(B2556),Client_List!$A:$A,0)),""))</f>
        <v/>
      </c>
      <c r="G2556" s="53">
        <f>IF(B2556="","",IFERROR(INDEX(Client_List!$K:$K,MATCH(VALUE(B2556),Client_List!$A:$A,0)),""))</f>
        <v/>
      </c>
      <c r="H2556" s="32">
        <f>IF(B2556="","",IFERROR(INDEX(Client_List!$J:$J,MATCH(VALUE(B2556),Client_List!$A:$A,0)),""))</f>
        <v/>
      </c>
      <c r="I2556" s="70">
        <f>IF(B2556="","",IFERROR(A2556-LOOKUP(2,1/($B$4:$B2555=B2556),$A$4:$A2555),""))</f>
        <v/>
      </c>
      <c r="J2556" s="32">
        <f>IF(B2556="","",IFERROR(D2556/I2556,""))</f>
        <v/>
      </c>
      <c r="K2556" s="71">
        <f>IF(B2556="","",IFERROR(AVERAGEIFS($J$4:$J2556,$B$4:$B2556,B2556,$J$4:$J2556,"&gt;"&amp;0),""))</f>
        <v/>
      </c>
      <c r="L2556" s="12" t="n"/>
    </row>
    <row r="2557" ht="14" customHeight="1" s="72">
      <c r="A2557" s="82" t="n"/>
      <c r="B2557" s="79" t="n"/>
      <c r="C2557" s="69">
        <f>IF(B2557="","",IFERROR(INDEX(Client_List!$B:$B,MATCH(B2557,Client_List!$A:$A,0)),"⚠ NOT FOUND"))</f>
        <v/>
      </c>
      <c r="D2557" s="44" t="n"/>
      <c r="E2557" s="32">
        <f>IF(B2557="","",IFERROR(INDEX(Client_List!$C:$C,MATCH(VALUE(B2557),Client_List!$A:$A,0)),""))</f>
        <v/>
      </c>
      <c r="F2557" s="53">
        <f>IF(B2557="","",IFERROR(INDEX(Client_List!$D:$D,MATCH(VALUE(B2557),Client_List!$A:$A,0)),""))</f>
        <v/>
      </c>
      <c r="G2557" s="53">
        <f>IF(B2557="","",IFERROR(INDEX(Client_List!$K:$K,MATCH(VALUE(B2557),Client_List!$A:$A,0)),""))</f>
        <v/>
      </c>
      <c r="H2557" s="32">
        <f>IF(B2557="","",IFERROR(INDEX(Client_List!$J:$J,MATCH(VALUE(B2557),Client_List!$A:$A,0)),""))</f>
        <v/>
      </c>
      <c r="I2557" s="70">
        <f>IF(B2557="","",IFERROR(A2557-LOOKUP(2,1/($B$4:$B2556=B2557),$A$4:$A2556),""))</f>
        <v/>
      </c>
      <c r="J2557" s="32">
        <f>IF(B2557="","",IFERROR(D2557/I2557,""))</f>
        <v/>
      </c>
      <c r="K2557" s="71">
        <f>IF(B2557="","",IFERROR(AVERAGEIFS($J$4:$J2557,$B$4:$B2557,B2557,$J$4:$J2557,"&gt;"&amp;0),""))</f>
        <v/>
      </c>
      <c r="L2557" s="11" t="n"/>
    </row>
    <row r="2558" ht="14" customHeight="1" s="72">
      <c r="A2558" s="83" t="n"/>
      <c r="B2558" s="81" t="n"/>
      <c r="C2558" s="69">
        <f>IF(B2558="","",IFERROR(INDEX(Client_List!$B:$B,MATCH(B2558,Client_List!$A:$A,0)),"⚠ NOT FOUND"))</f>
        <v/>
      </c>
      <c r="D2558" s="45" t="n"/>
      <c r="E2558" s="32">
        <f>IF(B2558="","",IFERROR(INDEX(Client_List!$C:$C,MATCH(VALUE(B2558),Client_List!$A:$A,0)),""))</f>
        <v/>
      </c>
      <c r="F2558" s="53">
        <f>IF(B2558="","",IFERROR(INDEX(Client_List!$D:$D,MATCH(VALUE(B2558),Client_List!$A:$A,0)),""))</f>
        <v/>
      </c>
      <c r="G2558" s="53">
        <f>IF(B2558="","",IFERROR(INDEX(Client_List!$K:$K,MATCH(VALUE(B2558),Client_List!$A:$A,0)),""))</f>
        <v/>
      </c>
      <c r="H2558" s="32">
        <f>IF(B2558="","",IFERROR(INDEX(Client_List!$J:$J,MATCH(VALUE(B2558),Client_List!$A:$A,0)),""))</f>
        <v/>
      </c>
      <c r="I2558" s="70">
        <f>IF(B2558="","",IFERROR(A2558-LOOKUP(2,1/($B$4:$B2557=B2558),$A$4:$A2557),""))</f>
        <v/>
      </c>
      <c r="J2558" s="32">
        <f>IF(B2558="","",IFERROR(D2558/I2558,""))</f>
        <v/>
      </c>
      <c r="K2558" s="71">
        <f>IF(B2558="","",IFERROR(AVERAGEIFS($J$4:$J2558,$B$4:$B2558,B2558,$J$4:$J2558,"&gt;"&amp;0),""))</f>
        <v/>
      </c>
      <c r="L2558" s="12" t="n"/>
    </row>
    <row r="2559" ht="14" customHeight="1" s="72">
      <c r="A2559" s="82" t="n"/>
      <c r="B2559" s="79" t="n"/>
      <c r="C2559" s="69">
        <f>IF(B2559="","",IFERROR(INDEX(Client_List!$B:$B,MATCH(B2559,Client_List!$A:$A,0)),"⚠ NOT FOUND"))</f>
        <v/>
      </c>
      <c r="D2559" s="44" t="n"/>
      <c r="E2559" s="32">
        <f>IF(B2559="","",IFERROR(INDEX(Client_List!$C:$C,MATCH(VALUE(B2559),Client_List!$A:$A,0)),""))</f>
        <v/>
      </c>
      <c r="F2559" s="53">
        <f>IF(B2559="","",IFERROR(INDEX(Client_List!$D:$D,MATCH(VALUE(B2559),Client_List!$A:$A,0)),""))</f>
        <v/>
      </c>
      <c r="G2559" s="53">
        <f>IF(B2559="","",IFERROR(INDEX(Client_List!$K:$K,MATCH(VALUE(B2559),Client_List!$A:$A,0)),""))</f>
        <v/>
      </c>
      <c r="H2559" s="32">
        <f>IF(B2559="","",IFERROR(INDEX(Client_List!$J:$J,MATCH(VALUE(B2559),Client_List!$A:$A,0)),""))</f>
        <v/>
      </c>
      <c r="I2559" s="70">
        <f>IF(B2559="","",IFERROR(A2559-LOOKUP(2,1/($B$4:$B2558=B2559),$A$4:$A2558),""))</f>
        <v/>
      </c>
      <c r="J2559" s="32">
        <f>IF(B2559="","",IFERROR(D2559/I2559,""))</f>
        <v/>
      </c>
      <c r="K2559" s="71">
        <f>IF(B2559="","",IFERROR(AVERAGEIFS($J$4:$J2559,$B$4:$B2559,B2559,$J$4:$J2559,"&gt;"&amp;0),""))</f>
        <v/>
      </c>
      <c r="L2559" s="11" t="n"/>
    </row>
    <row r="2560" ht="14" customHeight="1" s="72">
      <c r="A2560" s="83" t="n"/>
      <c r="B2560" s="81" t="n"/>
      <c r="C2560" s="69">
        <f>IF(B2560="","",IFERROR(INDEX(Client_List!$B:$B,MATCH(B2560,Client_List!$A:$A,0)),"⚠ NOT FOUND"))</f>
        <v/>
      </c>
      <c r="D2560" s="45" t="n"/>
      <c r="E2560" s="32">
        <f>IF(B2560="","",IFERROR(INDEX(Client_List!$C:$C,MATCH(VALUE(B2560),Client_List!$A:$A,0)),""))</f>
        <v/>
      </c>
      <c r="F2560" s="53">
        <f>IF(B2560="","",IFERROR(INDEX(Client_List!$D:$D,MATCH(VALUE(B2560),Client_List!$A:$A,0)),""))</f>
        <v/>
      </c>
      <c r="G2560" s="53">
        <f>IF(B2560="","",IFERROR(INDEX(Client_List!$K:$K,MATCH(VALUE(B2560),Client_List!$A:$A,0)),""))</f>
        <v/>
      </c>
      <c r="H2560" s="32">
        <f>IF(B2560="","",IFERROR(INDEX(Client_List!$J:$J,MATCH(VALUE(B2560),Client_List!$A:$A,0)),""))</f>
        <v/>
      </c>
      <c r="I2560" s="70">
        <f>IF(B2560="","",IFERROR(A2560-LOOKUP(2,1/($B$4:$B2559=B2560),$A$4:$A2559),""))</f>
        <v/>
      </c>
      <c r="J2560" s="32">
        <f>IF(B2560="","",IFERROR(D2560/I2560,""))</f>
        <v/>
      </c>
      <c r="K2560" s="71">
        <f>IF(B2560="","",IFERROR(AVERAGEIFS($J$4:$J2560,$B$4:$B2560,B2560,$J$4:$J2560,"&gt;"&amp;0),""))</f>
        <v/>
      </c>
      <c r="L2560" s="12" t="n"/>
    </row>
    <row r="2561" ht="14" customHeight="1" s="72">
      <c r="A2561" s="82" t="n"/>
      <c r="B2561" s="79" t="n"/>
      <c r="C2561" s="69">
        <f>IF(B2561="","",IFERROR(INDEX(Client_List!$B:$B,MATCH(B2561,Client_List!$A:$A,0)),"⚠ NOT FOUND"))</f>
        <v/>
      </c>
      <c r="D2561" s="44" t="n"/>
      <c r="E2561" s="32">
        <f>IF(B2561="","",IFERROR(INDEX(Client_List!$C:$C,MATCH(VALUE(B2561),Client_List!$A:$A,0)),""))</f>
        <v/>
      </c>
      <c r="F2561" s="53">
        <f>IF(B2561="","",IFERROR(INDEX(Client_List!$D:$D,MATCH(VALUE(B2561),Client_List!$A:$A,0)),""))</f>
        <v/>
      </c>
      <c r="G2561" s="53">
        <f>IF(B2561="","",IFERROR(INDEX(Client_List!$K:$K,MATCH(VALUE(B2561),Client_List!$A:$A,0)),""))</f>
        <v/>
      </c>
      <c r="H2561" s="32">
        <f>IF(B2561="","",IFERROR(INDEX(Client_List!$J:$J,MATCH(VALUE(B2561),Client_List!$A:$A,0)),""))</f>
        <v/>
      </c>
      <c r="I2561" s="70">
        <f>IF(B2561="","",IFERROR(A2561-LOOKUP(2,1/($B$4:$B2560=B2561),$A$4:$A2560),""))</f>
        <v/>
      </c>
      <c r="J2561" s="32">
        <f>IF(B2561="","",IFERROR(D2561/I2561,""))</f>
        <v/>
      </c>
      <c r="K2561" s="71">
        <f>IF(B2561="","",IFERROR(AVERAGEIFS($J$4:$J2561,$B$4:$B2561,B2561,$J$4:$J2561,"&gt;"&amp;0),""))</f>
        <v/>
      </c>
      <c r="L2561" s="11" t="n"/>
    </row>
    <row r="2562" ht="14" customHeight="1" s="72">
      <c r="A2562" s="83" t="n"/>
      <c r="B2562" s="81" t="n"/>
      <c r="C2562" s="69">
        <f>IF(B2562="","",IFERROR(INDEX(Client_List!$B:$B,MATCH(B2562,Client_List!$A:$A,0)),"⚠ NOT FOUND"))</f>
        <v/>
      </c>
      <c r="D2562" s="45" t="n"/>
      <c r="E2562" s="32">
        <f>IF(B2562="","",IFERROR(INDEX(Client_List!$C:$C,MATCH(VALUE(B2562),Client_List!$A:$A,0)),""))</f>
        <v/>
      </c>
      <c r="F2562" s="53">
        <f>IF(B2562="","",IFERROR(INDEX(Client_List!$D:$D,MATCH(VALUE(B2562),Client_List!$A:$A,0)),""))</f>
        <v/>
      </c>
      <c r="G2562" s="53">
        <f>IF(B2562="","",IFERROR(INDEX(Client_List!$K:$K,MATCH(VALUE(B2562),Client_List!$A:$A,0)),""))</f>
        <v/>
      </c>
      <c r="H2562" s="32">
        <f>IF(B2562="","",IFERROR(INDEX(Client_List!$J:$J,MATCH(VALUE(B2562),Client_List!$A:$A,0)),""))</f>
        <v/>
      </c>
      <c r="I2562" s="70">
        <f>IF(B2562="","",IFERROR(A2562-LOOKUP(2,1/($B$4:$B2561=B2562),$A$4:$A2561),""))</f>
        <v/>
      </c>
      <c r="J2562" s="32">
        <f>IF(B2562="","",IFERROR(D2562/I2562,""))</f>
        <v/>
      </c>
      <c r="K2562" s="71">
        <f>IF(B2562="","",IFERROR(AVERAGEIFS($J$4:$J2562,$B$4:$B2562,B2562,$J$4:$J2562,"&gt;"&amp;0),""))</f>
        <v/>
      </c>
      <c r="L2562" s="12" t="n"/>
    </row>
    <row r="2563" ht="14" customHeight="1" s="72">
      <c r="A2563" s="82" t="n"/>
      <c r="B2563" s="79" t="n"/>
      <c r="C2563" s="69">
        <f>IF(B2563="","",IFERROR(INDEX(Client_List!$B:$B,MATCH(B2563,Client_List!$A:$A,0)),"⚠ NOT FOUND"))</f>
        <v/>
      </c>
      <c r="D2563" s="44" t="n"/>
      <c r="E2563" s="32">
        <f>IF(B2563="","",IFERROR(INDEX(Client_List!$C:$C,MATCH(VALUE(B2563),Client_List!$A:$A,0)),""))</f>
        <v/>
      </c>
      <c r="F2563" s="53">
        <f>IF(B2563="","",IFERROR(INDEX(Client_List!$D:$D,MATCH(VALUE(B2563),Client_List!$A:$A,0)),""))</f>
        <v/>
      </c>
      <c r="G2563" s="53">
        <f>IF(B2563="","",IFERROR(INDEX(Client_List!$K:$K,MATCH(VALUE(B2563),Client_List!$A:$A,0)),""))</f>
        <v/>
      </c>
      <c r="H2563" s="32">
        <f>IF(B2563="","",IFERROR(INDEX(Client_List!$J:$J,MATCH(VALUE(B2563),Client_List!$A:$A,0)),""))</f>
        <v/>
      </c>
      <c r="I2563" s="70">
        <f>IF(B2563="","",IFERROR(A2563-LOOKUP(2,1/($B$4:$B2562=B2563),$A$4:$A2562),""))</f>
        <v/>
      </c>
      <c r="J2563" s="32">
        <f>IF(B2563="","",IFERROR(D2563/I2563,""))</f>
        <v/>
      </c>
      <c r="K2563" s="71">
        <f>IF(B2563="","",IFERROR(AVERAGEIFS($J$4:$J2563,$B$4:$B2563,B2563,$J$4:$J2563,"&gt;"&amp;0),""))</f>
        <v/>
      </c>
      <c r="L2563" s="11" t="n"/>
    </row>
    <row r="2564" ht="14" customHeight="1" s="72">
      <c r="A2564" s="83" t="n"/>
      <c r="B2564" s="81" t="n"/>
      <c r="C2564" s="69">
        <f>IF(B2564="","",IFERROR(INDEX(Client_List!$B:$B,MATCH(B2564,Client_List!$A:$A,0)),"⚠ NOT FOUND"))</f>
        <v/>
      </c>
      <c r="D2564" s="45" t="n"/>
      <c r="E2564" s="32">
        <f>IF(B2564="","",IFERROR(INDEX(Client_List!$C:$C,MATCH(VALUE(B2564),Client_List!$A:$A,0)),""))</f>
        <v/>
      </c>
      <c r="F2564" s="53">
        <f>IF(B2564="","",IFERROR(INDEX(Client_List!$D:$D,MATCH(VALUE(B2564),Client_List!$A:$A,0)),""))</f>
        <v/>
      </c>
      <c r="G2564" s="53">
        <f>IF(B2564="","",IFERROR(INDEX(Client_List!$K:$K,MATCH(VALUE(B2564),Client_List!$A:$A,0)),""))</f>
        <v/>
      </c>
      <c r="H2564" s="32">
        <f>IF(B2564="","",IFERROR(INDEX(Client_List!$J:$J,MATCH(VALUE(B2564),Client_List!$A:$A,0)),""))</f>
        <v/>
      </c>
      <c r="I2564" s="70">
        <f>IF(B2564="","",IFERROR(A2564-LOOKUP(2,1/($B$4:$B2563=B2564),$A$4:$A2563),""))</f>
        <v/>
      </c>
      <c r="J2564" s="32">
        <f>IF(B2564="","",IFERROR(D2564/I2564,""))</f>
        <v/>
      </c>
      <c r="K2564" s="71">
        <f>IF(B2564="","",IFERROR(AVERAGEIFS($J$4:$J2564,$B$4:$B2564,B2564,$J$4:$J2564,"&gt;"&amp;0),""))</f>
        <v/>
      </c>
      <c r="L2564" s="12" t="n"/>
    </row>
    <row r="2565" ht="14" customHeight="1" s="72">
      <c r="A2565" s="82" t="n"/>
      <c r="B2565" s="79" t="n"/>
      <c r="C2565" s="69">
        <f>IF(B2565="","",IFERROR(INDEX(Client_List!$B:$B,MATCH(B2565,Client_List!$A:$A,0)),"⚠ NOT FOUND"))</f>
        <v/>
      </c>
      <c r="D2565" s="44" t="n"/>
      <c r="E2565" s="32">
        <f>IF(B2565="","",IFERROR(INDEX(Client_List!$C:$C,MATCH(VALUE(B2565),Client_List!$A:$A,0)),""))</f>
        <v/>
      </c>
      <c r="F2565" s="53">
        <f>IF(B2565="","",IFERROR(INDEX(Client_List!$D:$D,MATCH(VALUE(B2565),Client_List!$A:$A,0)),""))</f>
        <v/>
      </c>
      <c r="G2565" s="53">
        <f>IF(B2565="","",IFERROR(INDEX(Client_List!$K:$K,MATCH(VALUE(B2565),Client_List!$A:$A,0)),""))</f>
        <v/>
      </c>
      <c r="H2565" s="32">
        <f>IF(B2565="","",IFERROR(INDEX(Client_List!$J:$J,MATCH(VALUE(B2565),Client_List!$A:$A,0)),""))</f>
        <v/>
      </c>
      <c r="I2565" s="70">
        <f>IF(B2565="","",IFERROR(A2565-LOOKUP(2,1/($B$4:$B2564=B2565),$A$4:$A2564),""))</f>
        <v/>
      </c>
      <c r="J2565" s="32">
        <f>IF(B2565="","",IFERROR(D2565/I2565,""))</f>
        <v/>
      </c>
      <c r="K2565" s="71">
        <f>IF(B2565="","",IFERROR(AVERAGEIFS($J$4:$J2565,$B$4:$B2565,B2565,$J$4:$J2565,"&gt;"&amp;0),""))</f>
        <v/>
      </c>
      <c r="L2565" s="11" t="n"/>
    </row>
    <row r="2566" ht="14" customHeight="1" s="72">
      <c r="A2566" s="83" t="n"/>
      <c r="B2566" s="81" t="n"/>
      <c r="C2566" s="69">
        <f>IF(B2566="","",IFERROR(INDEX(Client_List!$B:$B,MATCH(B2566,Client_List!$A:$A,0)),"⚠ NOT FOUND"))</f>
        <v/>
      </c>
      <c r="D2566" s="45" t="n"/>
      <c r="E2566" s="32">
        <f>IF(B2566="","",IFERROR(INDEX(Client_List!$C:$C,MATCH(VALUE(B2566),Client_List!$A:$A,0)),""))</f>
        <v/>
      </c>
      <c r="F2566" s="53">
        <f>IF(B2566="","",IFERROR(INDEX(Client_List!$D:$D,MATCH(VALUE(B2566),Client_List!$A:$A,0)),""))</f>
        <v/>
      </c>
      <c r="G2566" s="53">
        <f>IF(B2566="","",IFERROR(INDEX(Client_List!$K:$K,MATCH(VALUE(B2566),Client_List!$A:$A,0)),""))</f>
        <v/>
      </c>
      <c r="H2566" s="32">
        <f>IF(B2566="","",IFERROR(INDEX(Client_List!$J:$J,MATCH(VALUE(B2566),Client_List!$A:$A,0)),""))</f>
        <v/>
      </c>
      <c r="I2566" s="70">
        <f>IF(B2566="","",IFERROR(A2566-LOOKUP(2,1/($B$4:$B2565=B2566),$A$4:$A2565),""))</f>
        <v/>
      </c>
      <c r="J2566" s="32">
        <f>IF(B2566="","",IFERROR(D2566/I2566,""))</f>
        <v/>
      </c>
      <c r="K2566" s="71">
        <f>IF(B2566="","",IFERROR(AVERAGEIFS($J$4:$J2566,$B$4:$B2566,B2566,$J$4:$J2566,"&gt;"&amp;0),""))</f>
        <v/>
      </c>
      <c r="L2566" s="12" t="n"/>
    </row>
    <row r="2567" ht="14" customHeight="1" s="72">
      <c r="A2567" s="82" t="n"/>
      <c r="B2567" s="79" t="n"/>
      <c r="C2567" s="69">
        <f>IF(B2567="","",IFERROR(INDEX(Client_List!$B:$B,MATCH(B2567,Client_List!$A:$A,0)),"⚠ NOT FOUND"))</f>
        <v/>
      </c>
      <c r="D2567" s="44" t="n"/>
      <c r="E2567" s="32">
        <f>IF(B2567="","",IFERROR(INDEX(Client_List!$C:$C,MATCH(VALUE(B2567),Client_List!$A:$A,0)),""))</f>
        <v/>
      </c>
      <c r="F2567" s="53">
        <f>IF(B2567="","",IFERROR(INDEX(Client_List!$D:$D,MATCH(VALUE(B2567),Client_List!$A:$A,0)),""))</f>
        <v/>
      </c>
      <c r="G2567" s="53">
        <f>IF(B2567="","",IFERROR(INDEX(Client_List!$K:$K,MATCH(VALUE(B2567),Client_List!$A:$A,0)),""))</f>
        <v/>
      </c>
      <c r="H2567" s="32">
        <f>IF(B2567="","",IFERROR(INDEX(Client_List!$J:$J,MATCH(VALUE(B2567),Client_List!$A:$A,0)),""))</f>
        <v/>
      </c>
      <c r="I2567" s="70">
        <f>IF(B2567="","",IFERROR(A2567-LOOKUP(2,1/($B$4:$B2566=B2567),$A$4:$A2566),""))</f>
        <v/>
      </c>
      <c r="J2567" s="32">
        <f>IF(B2567="","",IFERROR(D2567/I2567,""))</f>
        <v/>
      </c>
      <c r="K2567" s="71">
        <f>IF(B2567="","",IFERROR(AVERAGEIFS($J$4:$J2567,$B$4:$B2567,B2567,$J$4:$J2567,"&gt;"&amp;0),""))</f>
        <v/>
      </c>
      <c r="L2567" s="11" t="n"/>
    </row>
    <row r="2568" ht="14" customHeight="1" s="72">
      <c r="A2568" s="83" t="n"/>
      <c r="B2568" s="81" t="n"/>
      <c r="C2568" s="69">
        <f>IF(B2568="","",IFERROR(INDEX(Client_List!$B:$B,MATCH(B2568,Client_List!$A:$A,0)),"⚠ NOT FOUND"))</f>
        <v/>
      </c>
      <c r="D2568" s="45" t="n"/>
      <c r="E2568" s="32">
        <f>IF(B2568="","",IFERROR(INDEX(Client_List!$C:$C,MATCH(VALUE(B2568),Client_List!$A:$A,0)),""))</f>
        <v/>
      </c>
      <c r="F2568" s="53">
        <f>IF(B2568="","",IFERROR(INDEX(Client_List!$D:$D,MATCH(VALUE(B2568),Client_List!$A:$A,0)),""))</f>
        <v/>
      </c>
      <c r="G2568" s="53">
        <f>IF(B2568="","",IFERROR(INDEX(Client_List!$K:$K,MATCH(VALUE(B2568),Client_List!$A:$A,0)),""))</f>
        <v/>
      </c>
      <c r="H2568" s="32">
        <f>IF(B2568="","",IFERROR(INDEX(Client_List!$J:$J,MATCH(VALUE(B2568),Client_List!$A:$A,0)),""))</f>
        <v/>
      </c>
      <c r="I2568" s="70">
        <f>IF(B2568="","",IFERROR(A2568-LOOKUP(2,1/($B$4:$B2567=B2568),$A$4:$A2567),""))</f>
        <v/>
      </c>
      <c r="J2568" s="32">
        <f>IF(B2568="","",IFERROR(D2568/I2568,""))</f>
        <v/>
      </c>
      <c r="K2568" s="71">
        <f>IF(B2568="","",IFERROR(AVERAGEIFS($J$4:$J2568,$B$4:$B2568,B2568,$J$4:$J2568,"&gt;"&amp;0),""))</f>
        <v/>
      </c>
      <c r="L2568" s="12" t="n"/>
    </row>
    <row r="2569" ht="14" customHeight="1" s="72">
      <c r="A2569" s="82" t="n"/>
      <c r="B2569" s="79" t="n"/>
      <c r="C2569" s="69">
        <f>IF(B2569="","",IFERROR(INDEX(Client_List!$B:$B,MATCH(B2569,Client_List!$A:$A,0)),"⚠ NOT FOUND"))</f>
        <v/>
      </c>
      <c r="D2569" s="44" t="n"/>
      <c r="E2569" s="32">
        <f>IF(B2569="","",IFERROR(INDEX(Client_List!$C:$C,MATCH(VALUE(B2569),Client_List!$A:$A,0)),""))</f>
        <v/>
      </c>
      <c r="F2569" s="53">
        <f>IF(B2569="","",IFERROR(INDEX(Client_List!$D:$D,MATCH(VALUE(B2569),Client_List!$A:$A,0)),""))</f>
        <v/>
      </c>
      <c r="G2569" s="53">
        <f>IF(B2569="","",IFERROR(INDEX(Client_List!$K:$K,MATCH(VALUE(B2569),Client_List!$A:$A,0)),""))</f>
        <v/>
      </c>
      <c r="H2569" s="32">
        <f>IF(B2569="","",IFERROR(INDEX(Client_List!$J:$J,MATCH(VALUE(B2569),Client_List!$A:$A,0)),""))</f>
        <v/>
      </c>
      <c r="I2569" s="70">
        <f>IF(B2569="","",IFERROR(A2569-LOOKUP(2,1/($B$4:$B2568=B2569),$A$4:$A2568),""))</f>
        <v/>
      </c>
      <c r="J2569" s="32">
        <f>IF(B2569="","",IFERROR(D2569/I2569,""))</f>
        <v/>
      </c>
      <c r="K2569" s="71">
        <f>IF(B2569="","",IFERROR(AVERAGEIFS($J$4:$J2569,$B$4:$B2569,B2569,$J$4:$J2569,"&gt;"&amp;0),""))</f>
        <v/>
      </c>
      <c r="L2569" s="11" t="n"/>
    </row>
    <row r="2570" ht="14" customHeight="1" s="72">
      <c r="A2570" s="83" t="n"/>
      <c r="B2570" s="81" t="n"/>
      <c r="C2570" s="69">
        <f>IF(B2570="","",IFERROR(INDEX(Client_List!$B:$B,MATCH(B2570,Client_List!$A:$A,0)),"⚠ NOT FOUND"))</f>
        <v/>
      </c>
      <c r="D2570" s="45" t="n"/>
      <c r="E2570" s="32">
        <f>IF(B2570="","",IFERROR(INDEX(Client_List!$C:$C,MATCH(VALUE(B2570),Client_List!$A:$A,0)),""))</f>
        <v/>
      </c>
      <c r="F2570" s="53">
        <f>IF(B2570="","",IFERROR(INDEX(Client_List!$D:$D,MATCH(VALUE(B2570),Client_List!$A:$A,0)),""))</f>
        <v/>
      </c>
      <c r="G2570" s="53">
        <f>IF(B2570="","",IFERROR(INDEX(Client_List!$K:$K,MATCH(VALUE(B2570),Client_List!$A:$A,0)),""))</f>
        <v/>
      </c>
      <c r="H2570" s="32">
        <f>IF(B2570="","",IFERROR(INDEX(Client_List!$J:$J,MATCH(VALUE(B2570),Client_List!$A:$A,0)),""))</f>
        <v/>
      </c>
      <c r="I2570" s="70">
        <f>IF(B2570="","",IFERROR(A2570-LOOKUP(2,1/($B$4:$B2569=B2570),$A$4:$A2569),""))</f>
        <v/>
      </c>
      <c r="J2570" s="32">
        <f>IF(B2570="","",IFERROR(D2570/I2570,""))</f>
        <v/>
      </c>
      <c r="K2570" s="71">
        <f>IF(B2570="","",IFERROR(AVERAGEIFS($J$4:$J2570,$B$4:$B2570,B2570,$J$4:$J2570,"&gt;"&amp;0),""))</f>
        <v/>
      </c>
      <c r="L2570" s="12" t="n"/>
    </row>
    <row r="2571" ht="14" customHeight="1" s="72">
      <c r="A2571" s="82" t="n"/>
      <c r="B2571" s="79" t="n"/>
      <c r="C2571" s="69">
        <f>IF(B2571="","",IFERROR(INDEX(Client_List!$B:$B,MATCH(B2571,Client_List!$A:$A,0)),"⚠ NOT FOUND"))</f>
        <v/>
      </c>
      <c r="D2571" s="44" t="n"/>
      <c r="E2571" s="32">
        <f>IF(B2571="","",IFERROR(INDEX(Client_List!$C:$C,MATCH(VALUE(B2571),Client_List!$A:$A,0)),""))</f>
        <v/>
      </c>
      <c r="F2571" s="53">
        <f>IF(B2571="","",IFERROR(INDEX(Client_List!$D:$D,MATCH(VALUE(B2571),Client_List!$A:$A,0)),""))</f>
        <v/>
      </c>
      <c r="G2571" s="53">
        <f>IF(B2571="","",IFERROR(INDEX(Client_List!$K:$K,MATCH(VALUE(B2571),Client_List!$A:$A,0)),""))</f>
        <v/>
      </c>
      <c r="H2571" s="32">
        <f>IF(B2571="","",IFERROR(INDEX(Client_List!$J:$J,MATCH(VALUE(B2571),Client_List!$A:$A,0)),""))</f>
        <v/>
      </c>
      <c r="I2571" s="70">
        <f>IF(B2571="","",IFERROR(A2571-LOOKUP(2,1/($B$4:$B2570=B2571),$A$4:$A2570),""))</f>
        <v/>
      </c>
      <c r="J2571" s="32">
        <f>IF(B2571="","",IFERROR(D2571/I2571,""))</f>
        <v/>
      </c>
      <c r="K2571" s="71">
        <f>IF(B2571="","",IFERROR(AVERAGEIFS($J$4:$J2571,$B$4:$B2571,B2571,$J$4:$J2571,"&gt;"&amp;0),""))</f>
        <v/>
      </c>
      <c r="L2571" s="11" t="n"/>
    </row>
    <row r="2572" ht="14" customHeight="1" s="72">
      <c r="A2572" s="83" t="n"/>
      <c r="B2572" s="81" t="n"/>
      <c r="C2572" s="69">
        <f>IF(B2572="","",IFERROR(INDEX(Client_List!$B:$B,MATCH(B2572,Client_List!$A:$A,0)),"⚠ NOT FOUND"))</f>
        <v/>
      </c>
      <c r="D2572" s="45" t="n"/>
      <c r="E2572" s="32">
        <f>IF(B2572="","",IFERROR(INDEX(Client_List!$C:$C,MATCH(VALUE(B2572),Client_List!$A:$A,0)),""))</f>
        <v/>
      </c>
      <c r="F2572" s="53">
        <f>IF(B2572="","",IFERROR(INDEX(Client_List!$D:$D,MATCH(VALUE(B2572),Client_List!$A:$A,0)),""))</f>
        <v/>
      </c>
      <c r="G2572" s="53">
        <f>IF(B2572="","",IFERROR(INDEX(Client_List!$K:$K,MATCH(VALUE(B2572),Client_List!$A:$A,0)),""))</f>
        <v/>
      </c>
      <c r="H2572" s="32">
        <f>IF(B2572="","",IFERROR(INDEX(Client_List!$J:$J,MATCH(VALUE(B2572),Client_List!$A:$A,0)),""))</f>
        <v/>
      </c>
      <c r="I2572" s="70">
        <f>IF(B2572="","",IFERROR(A2572-LOOKUP(2,1/($B$4:$B2571=B2572),$A$4:$A2571),""))</f>
        <v/>
      </c>
      <c r="J2572" s="32">
        <f>IF(B2572="","",IFERROR(D2572/I2572,""))</f>
        <v/>
      </c>
      <c r="K2572" s="71">
        <f>IF(B2572="","",IFERROR(AVERAGEIFS($J$4:$J2572,$B$4:$B2572,B2572,$J$4:$J2572,"&gt;"&amp;0),""))</f>
        <v/>
      </c>
      <c r="L2572" s="12" t="n"/>
    </row>
    <row r="2573" ht="14" customHeight="1" s="72">
      <c r="A2573" s="82" t="n"/>
      <c r="B2573" s="79" t="n"/>
      <c r="C2573" s="69">
        <f>IF(B2573="","",IFERROR(INDEX(Client_List!$B:$B,MATCH(B2573,Client_List!$A:$A,0)),"⚠ NOT FOUND"))</f>
        <v/>
      </c>
      <c r="D2573" s="44" t="n"/>
      <c r="E2573" s="32">
        <f>IF(B2573="","",IFERROR(INDEX(Client_List!$C:$C,MATCH(VALUE(B2573),Client_List!$A:$A,0)),""))</f>
        <v/>
      </c>
      <c r="F2573" s="53">
        <f>IF(B2573="","",IFERROR(INDEX(Client_List!$D:$D,MATCH(VALUE(B2573),Client_List!$A:$A,0)),""))</f>
        <v/>
      </c>
      <c r="G2573" s="53">
        <f>IF(B2573="","",IFERROR(INDEX(Client_List!$K:$K,MATCH(VALUE(B2573),Client_List!$A:$A,0)),""))</f>
        <v/>
      </c>
      <c r="H2573" s="32">
        <f>IF(B2573="","",IFERROR(INDEX(Client_List!$J:$J,MATCH(VALUE(B2573),Client_List!$A:$A,0)),""))</f>
        <v/>
      </c>
      <c r="I2573" s="70">
        <f>IF(B2573="","",IFERROR(A2573-LOOKUP(2,1/($B$4:$B2572=B2573),$A$4:$A2572),""))</f>
        <v/>
      </c>
      <c r="J2573" s="32">
        <f>IF(B2573="","",IFERROR(D2573/I2573,""))</f>
        <v/>
      </c>
      <c r="K2573" s="71">
        <f>IF(B2573="","",IFERROR(AVERAGEIFS($J$4:$J2573,$B$4:$B2573,B2573,$J$4:$J2573,"&gt;"&amp;0),""))</f>
        <v/>
      </c>
      <c r="L2573" s="11" t="n"/>
    </row>
    <row r="2574" ht="14" customHeight="1" s="72">
      <c r="A2574" s="83" t="n"/>
      <c r="B2574" s="81" t="n"/>
      <c r="C2574" s="69">
        <f>IF(B2574="","",IFERROR(INDEX(Client_List!$B:$B,MATCH(B2574,Client_List!$A:$A,0)),"⚠ NOT FOUND"))</f>
        <v/>
      </c>
      <c r="D2574" s="45" t="n"/>
      <c r="E2574" s="32">
        <f>IF(B2574="","",IFERROR(INDEX(Client_List!$C:$C,MATCH(VALUE(B2574),Client_List!$A:$A,0)),""))</f>
        <v/>
      </c>
      <c r="F2574" s="53">
        <f>IF(B2574="","",IFERROR(INDEX(Client_List!$D:$D,MATCH(VALUE(B2574),Client_List!$A:$A,0)),""))</f>
        <v/>
      </c>
      <c r="G2574" s="53">
        <f>IF(B2574="","",IFERROR(INDEX(Client_List!$K:$K,MATCH(VALUE(B2574),Client_List!$A:$A,0)),""))</f>
        <v/>
      </c>
      <c r="H2574" s="32">
        <f>IF(B2574="","",IFERROR(INDEX(Client_List!$J:$J,MATCH(VALUE(B2574),Client_List!$A:$A,0)),""))</f>
        <v/>
      </c>
      <c r="I2574" s="70">
        <f>IF(B2574="","",IFERROR(A2574-LOOKUP(2,1/($B$4:$B2573=B2574),$A$4:$A2573),""))</f>
        <v/>
      </c>
      <c r="J2574" s="32">
        <f>IF(B2574="","",IFERROR(D2574/I2574,""))</f>
        <v/>
      </c>
      <c r="K2574" s="71">
        <f>IF(B2574="","",IFERROR(AVERAGEIFS($J$4:$J2574,$B$4:$B2574,B2574,$J$4:$J2574,"&gt;"&amp;0),""))</f>
        <v/>
      </c>
      <c r="L2574" s="12" t="n"/>
    </row>
    <row r="2575" ht="14" customHeight="1" s="72">
      <c r="A2575" s="82" t="n"/>
      <c r="B2575" s="79" t="n"/>
      <c r="C2575" s="69">
        <f>IF(B2575="","",IFERROR(INDEX(Client_List!$B:$B,MATCH(B2575,Client_List!$A:$A,0)),"⚠ NOT FOUND"))</f>
        <v/>
      </c>
      <c r="D2575" s="44" t="n"/>
      <c r="E2575" s="32">
        <f>IF(B2575="","",IFERROR(INDEX(Client_List!$C:$C,MATCH(VALUE(B2575),Client_List!$A:$A,0)),""))</f>
        <v/>
      </c>
      <c r="F2575" s="53">
        <f>IF(B2575="","",IFERROR(INDEX(Client_List!$D:$D,MATCH(VALUE(B2575),Client_List!$A:$A,0)),""))</f>
        <v/>
      </c>
      <c r="G2575" s="53">
        <f>IF(B2575="","",IFERROR(INDEX(Client_List!$K:$K,MATCH(VALUE(B2575),Client_List!$A:$A,0)),""))</f>
        <v/>
      </c>
      <c r="H2575" s="32">
        <f>IF(B2575="","",IFERROR(INDEX(Client_List!$J:$J,MATCH(VALUE(B2575),Client_List!$A:$A,0)),""))</f>
        <v/>
      </c>
      <c r="I2575" s="70">
        <f>IF(B2575="","",IFERROR(A2575-LOOKUP(2,1/($B$4:$B2574=B2575),$A$4:$A2574),""))</f>
        <v/>
      </c>
      <c r="J2575" s="32">
        <f>IF(B2575="","",IFERROR(D2575/I2575,""))</f>
        <v/>
      </c>
      <c r="K2575" s="71">
        <f>IF(B2575="","",IFERROR(AVERAGEIFS($J$4:$J2575,$B$4:$B2575,B2575,$J$4:$J2575,"&gt;"&amp;0),""))</f>
        <v/>
      </c>
      <c r="L2575" s="11" t="n"/>
    </row>
    <row r="2576" ht="14" customHeight="1" s="72">
      <c r="A2576" s="83" t="n"/>
      <c r="B2576" s="81" t="n"/>
      <c r="C2576" s="69">
        <f>IF(B2576="","",IFERROR(INDEX(Client_List!$B:$B,MATCH(B2576,Client_List!$A:$A,0)),"⚠ NOT FOUND"))</f>
        <v/>
      </c>
      <c r="D2576" s="45" t="n"/>
      <c r="E2576" s="32">
        <f>IF(B2576="","",IFERROR(INDEX(Client_List!$C:$C,MATCH(VALUE(B2576),Client_List!$A:$A,0)),""))</f>
        <v/>
      </c>
      <c r="F2576" s="53">
        <f>IF(B2576="","",IFERROR(INDEX(Client_List!$D:$D,MATCH(VALUE(B2576),Client_List!$A:$A,0)),""))</f>
        <v/>
      </c>
      <c r="G2576" s="53">
        <f>IF(B2576="","",IFERROR(INDEX(Client_List!$K:$K,MATCH(VALUE(B2576),Client_List!$A:$A,0)),""))</f>
        <v/>
      </c>
      <c r="H2576" s="32">
        <f>IF(B2576="","",IFERROR(INDEX(Client_List!$J:$J,MATCH(VALUE(B2576),Client_List!$A:$A,0)),""))</f>
        <v/>
      </c>
      <c r="I2576" s="70">
        <f>IF(B2576="","",IFERROR(A2576-LOOKUP(2,1/($B$4:$B2575=B2576),$A$4:$A2575),""))</f>
        <v/>
      </c>
      <c r="J2576" s="32">
        <f>IF(B2576="","",IFERROR(D2576/I2576,""))</f>
        <v/>
      </c>
      <c r="K2576" s="71">
        <f>IF(B2576="","",IFERROR(AVERAGEIFS($J$4:$J2576,$B$4:$B2576,B2576,$J$4:$J2576,"&gt;"&amp;0),""))</f>
        <v/>
      </c>
      <c r="L2576" s="12" t="n"/>
    </row>
    <row r="2577" ht="14" customHeight="1" s="72">
      <c r="A2577" s="82" t="n"/>
      <c r="B2577" s="79" t="n"/>
      <c r="C2577" s="69">
        <f>IF(B2577="","",IFERROR(INDEX(Client_List!$B:$B,MATCH(B2577,Client_List!$A:$A,0)),"⚠ NOT FOUND"))</f>
        <v/>
      </c>
      <c r="D2577" s="44" t="n"/>
      <c r="E2577" s="32">
        <f>IF(B2577="","",IFERROR(INDEX(Client_List!$C:$C,MATCH(VALUE(B2577),Client_List!$A:$A,0)),""))</f>
        <v/>
      </c>
      <c r="F2577" s="53">
        <f>IF(B2577="","",IFERROR(INDEX(Client_List!$D:$D,MATCH(VALUE(B2577),Client_List!$A:$A,0)),""))</f>
        <v/>
      </c>
      <c r="G2577" s="53">
        <f>IF(B2577="","",IFERROR(INDEX(Client_List!$K:$K,MATCH(VALUE(B2577),Client_List!$A:$A,0)),""))</f>
        <v/>
      </c>
      <c r="H2577" s="32">
        <f>IF(B2577="","",IFERROR(INDEX(Client_List!$J:$J,MATCH(VALUE(B2577),Client_List!$A:$A,0)),""))</f>
        <v/>
      </c>
      <c r="I2577" s="70">
        <f>IF(B2577="","",IFERROR(A2577-LOOKUP(2,1/($B$4:$B2576=B2577),$A$4:$A2576),""))</f>
        <v/>
      </c>
      <c r="J2577" s="32">
        <f>IF(B2577="","",IFERROR(D2577/I2577,""))</f>
        <v/>
      </c>
      <c r="K2577" s="71">
        <f>IF(B2577="","",IFERROR(AVERAGEIFS($J$4:$J2577,$B$4:$B2577,B2577,$J$4:$J2577,"&gt;"&amp;0),""))</f>
        <v/>
      </c>
      <c r="L2577" s="11" t="n"/>
    </row>
    <row r="2578" ht="14" customHeight="1" s="72">
      <c r="A2578" s="83" t="n"/>
      <c r="B2578" s="81" t="n"/>
      <c r="C2578" s="69">
        <f>IF(B2578="","",IFERROR(INDEX(Client_List!$B:$B,MATCH(B2578,Client_List!$A:$A,0)),"⚠ NOT FOUND"))</f>
        <v/>
      </c>
      <c r="D2578" s="45" t="n"/>
      <c r="E2578" s="32">
        <f>IF(B2578="","",IFERROR(INDEX(Client_List!$C:$C,MATCH(VALUE(B2578),Client_List!$A:$A,0)),""))</f>
        <v/>
      </c>
      <c r="F2578" s="53">
        <f>IF(B2578="","",IFERROR(INDEX(Client_List!$D:$D,MATCH(VALUE(B2578),Client_List!$A:$A,0)),""))</f>
        <v/>
      </c>
      <c r="G2578" s="53">
        <f>IF(B2578="","",IFERROR(INDEX(Client_List!$K:$K,MATCH(VALUE(B2578),Client_List!$A:$A,0)),""))</f>
        <v/>
      </c>
      <c r="H2578" s="32">
        <f>IF(B2578="","",IFERROR(INDEX(Client_List!$J:$J,MATCH(VALUE(B2578),Client_List!$A:$A,0)),""))</f>
        <v/>
      </c>
      <c r="I2578" s="70">
        <f>IF(B2578="","",IFERROR(A2578-LOOKUP(2,1/($B$4:$B2577=B2578),$A$4:$A2577),""))</f>
        <v/>
      </c>
      <c r="J2578" s="32">
        <f>IF(B2578="","",IFERROR(D2578/I2578,""))</f>
        <v/>
      </c>
      <c r="K2578" s="71">
        <f>IF(B2578="","",IFERROR(AVERAGEIFS($J$4:$J2578,$B$4:$B2578,B2578,$J$4:$J2578,"&gt;"&amp;0),""))</f>
        <v/>
      </c>
      <c r="L2578" s="12" t="n"/>
    </row>
    <row r="2579" ht="14" customHeight="1" s="72">
      <c r="A2579" s="82" t="n"/>
      <c r="B2579" s="79" t="n"/>
      <c r="C2579" s="69">
        <f>IF(B2579="","",IFERROR(INDEX(Client_List!$B:$B,MATCH(B2579,Client_List!$A:$A,0)),"⚠ NOT FOUND"))</f>
        <v/>
      </c>
      <c r="D2579" s="44" t="n"/>
      <c r="E2579" s="32">
        <f>IF(B2579="","",IFERROR(INDEX(Client_List!$C:$C,MATCH(VALUE(B2579),Client_List!$A:$A,0)),""))</f>
        <v/>
      </c>
      <c r="F2579" s="53">
        <f>IF(B2579="","",IFERROR(INDEX(Client_List!$D:$D,MATCH(VALUE(B2579),Client_List!$A:$A,0)),""))</f>
        <v/>
      </c>
      <c r="G2579" s="53">
        <f>IF(B2579="","",IFERROR(INDEX(Client_List!$K:$K,MATCH(VALUE(B2579),Client_List!$A:$A,0)),""))</f>
        <v/>
      </c>
      <c r="H2579" s="32">
        <f>IF(B2579="","",IFERROR(INDEX(Client_List!$J:$J,MATCH(VALUE(B2579),Client_List!$A:$A,0)),""))</f>
        <v/>
      </c>
      <c r="I2579" s="70">
        <f>IF(B2579="","",IFERROR(A2579-LOOKUP(2,1/($B$4:$B2578=B2579),$A$4:$A2578),""))</f>
        <v/>
      </c>
      <c r="J2579" s="32">
        <f>IF(B2579="","",IFERROR(D2579/I2579,""))</f>
        <v/>
      </c>
      <c r="K2579" s="71">
        <f>IF(B2579="","",IFERROR(AVERAGEIFS($J$4:$J2579,$B$4:$B2579,B2579,$J$4:$J2579,"&gt;"&amp;0),""))</f>
        <v/>
      </c>
      <c r="L2579" s="11" t="n"/>
    </row>
    <row r="2580" ht="14" customHeight="1" s="72">
      <c r="A2580" s="83" t="n"/>
      <c r="B2580" s="81" t="n"/>
      <c r="C2580" s="69">
        <f>IF(B2580="","",IFERROR(INDEX(Client_List!$B:$B,MATCH(B2580,Client_List!$A:$A,0)),"⚠ NOT FOUND"))</f>
        <v/>
      </c>
      <c r="D2580" s="45" t="n"/>
      <c r="E2580" s="32">
        <f>IF(B2580="","",IFERROR(INDEX(Client_List!$C:$C,MATCH(VALUE(B2580),Client_List!$A:$A,0)),""))</f>
        <v/>
      </c>
      <c r="F2580" s="53">
        <f>IF(B2580="","",IFERROR(INDEX(Client_List!$D:$D,MATCH(VALUE(B2580),Client_List!$A:$A,0)),""))</f>
        <v/>
      </c>
      <c r="G2580" s="53">
        <f>IF(B2580="","",IFERROR(INDEX(Client_List!$K:$K,MATCH(VALUE(B2580),Client_List!$A:$A,0)),""))</f>
        <v/>
      </c>
      <c r="H2580" s="32">
        <f>IF(B2580="","",IFERROR(INDEX(Client_List!$J:$J,MATCH(VALUE(B2580),Client_List!$A:$A,0)),""))</f>
        <v/>
      </c>
      <c r="I2580" s="70">
        <f>IF(B2580="","",IFERROR(A2580-LOOKUP(2,1/($B$4:$B2579=B2580),$A$4:$A2579),""))</f>
        <v/>
      </c>
      <c r="J2580" s="32">
        <f>IF(B2580="","",IFERROR(D2580/I2580,""))</f>
        <v/>
      </c>
      <c r="K2580" s="71">
        <f>IF(B2580="","",IFERROR(AVERAGEIFS($J$4:$J2580,$B$4:$B2580,B2580,$J$4:$J2580,"&gt;"&amp;0),""))</f>
        <v/>
      </c>
      <c r="L2580" s="12" t="n"/>
    </row>
    <row r="2581" ht="14" customHeight="1" s="72">
      <c r="A2581" s="82" t="n"/>
      <c r="B2581" s="79" t="n"/>
      <c r="C2581" s="69">
        <f>IF(B2581="","",IFERROR(INDEX(Client_List!$B:$B,MATCH(B2581,Client_List!$A:$A,0)),"⚠ NOT FOUND"))</f>
        <v/>
      </c>
      <c r="D2581" s="44" t="n"/>
      <c r="E2581" s="32">
        <f>IF(B2581="","",IFERROR(INDEX(Client_List!$C:$C,MATCH(VALUE(B2581),Client_List!$A:$A,0)),""))</f>
        <v/>
      </c>
      <c r="F2581" s="53">
        <f>IF(B2581="","",IFERROR(INDEX(Client_List!$D:$D,MATCH(VALUE(B2581),Client_List!$A:$A,0)),""))</f>
        <v/>
      </c>
      <c r="G2581" s="53">
        <f>IF(B2581="","",IFERROR(INDEX(Client_List!$K:$K,MATCH(VALUE(B2581),Client_List!$A:$A,0)),""))</f>
        <v/>
      </c>
      <c r="H2581" s="32">
        <f>IF(B2581="","",IFERROR(INDEX(Client_List!$J:$J,MATCH(VALUE(B2581),Client_List!$A:$A,0)),""))</f>
        <v/>
      </c>
      <c r="I2581" s="70">
        <f>IF(B2581="","",IFERROR(A2581-LOOKUP(2,1/($B$4:$B2580=B2581),$A$4:$A2580),""))</f>
        <v/>
      </c>
      <c r="J2581" s="32">
        <f>IF(B2581="","",IFERROR(D2581/I2581,""))</f>
        <v/>
      </c>
      <c r="K2581" s="71">
        <f>IF(B2581="","",IFERROR(AVERAGEIFS($J$4:$J2581,$B$4:$B2581,B2581,$J$4:$J2581,"&gt;"&amp;0),""))</f>
        <v/>
      </c>
      <c r="L2581" s="11" t="n"/>
    </row>
    <row r="2582" ht="14" customHeight="1" s="72">
      <c r="A2582" s="83" t="n"/>
      <c r="B2582" s="81" t="n"/>
      <c r="C2582" s="69">
        <f>IF(B2582="","",IFERROR(INDEX(Client_List!$B:$B,MATCH(B2582,Client_List!$A:$A,0)),"⚠ NOT FOUND"))</f>
        <v/>
      </c>
      <c r="D2582" s="45" t="n"/>
      <c r="E2582" s="32">
        <f>IF(B2582="","",IFERROR(INDEX(Client_List!$C:$C,MATCH(VALUE(B2582),Client_List!$A:$A,0)),""))</f>
        <v/>
      </c>
      <c r="F2582" s="53">
        <f>IF(B2582="","",IFERROR(INDEX(Client_List!$D:$D,MATCH(VALUE(B2582),Client_List!$A:$A,0)),""))</f>
        <v/>
      </c>
      <c r="G2582" s="53">
        <f>IF(B2582="","",IFERROR(INDEX(Client_List!$K:$K,MATCH(VALUE(B2582),Client_List!$A:$A,0)),""))</f>
        <v/>
      </c>
      <c r="H2582" s="32">
        <f>IF(B2582="","",IFERROR(INDEX(Client_List!$J:$J,MATCH(VALUE(B2582),Client_List!$A:$A,0)),""))</f>
        <v/>
      </c>
      <c r="I2582" s="70">
        <f>IF(B2582="","",IFERROR(A2582-LOOKUP(2,1/($B$4:$B2581=B2582),$A$4:$A2581),""))</f>
        <v/>
      </c>
      <c r="J2582" s="32">
        <f>IF(B2582="","",IFERROR(D2582/I2582,""))</f>
        <v/>
      </c>
      <c r="K2582" s="71">
        <f>IF(B2582="","",IFERROR(AVERAGEIFS($J$4:$J2582,$B$4:$B2582,B2582,$J$4:$J2582,"&gt;"&amp;0),""))</f>
        <v/>
      </c>
      <c r="L2582" s="12" t="n"/>
    </row>
    <row r="2583" ht="14" customHeight="1" s="72">
      <c r="A2583" s="82" t="n"/>
      <c r="B2583" s="79" t="n"/>
      <c r="C2583" s="69">
        <f>IF(B2583="","",IFERROR(INDEX(Client_List!$B:$B,MATCH(B2583,Client_List!$A:$A,0)),"⚠ NOT FOUND"))</f>
        <v/>
      </c>
      <c r="D2583" s="44" t="n"/>
      <c r="E2583" s="32">
        <f>IF(B2583="","",IFERROR(INDEX(Client_List!$C:$C,MATCH(VALUE(B2583),Client_List!$A:$A,0)),""))</f>
        <v/>
      </c>
      <c r="F2583" s="53">
        <f>IF(B2583="","",IFERROR(INDEX(Client_List!$D:$D,MATCH(VALUE(B2583),Client_List!$A:$A,0)),""))</f>
        <v/>
      </c>
      <c r="G2583" s="53">
        <f>IF(B2583="","",IFERROR(INDEX(Client_List!$K:$K,MATCH(VALUE(B2583),Client_List!$A:$A,0)),""))</f>
        <v/>
      </c>
      <c r="H2583" s="32">
        <f>IF(B2583="","",IFERROR(INDEX(Client_List!$J:$J,MATCH(VALUE(B2583),Client_List!$A:$A,0)),""))</f>
        <v/>
      </c>
      <c r="I2583" s="70">
        <f>IF(B2583="","",IFERROR(A2583-LOOKUP(2,1/($B$4:$B2582=B2583),$A$4:$A2582),""))</f>
        <v/>
      </c>
      <c r="J2583" s="32">
        <f>IF(B2583="","",IFERROR(D2583/I2583,""))</f>
        <v/>
      </c>
      <c r="K2583" s="71">
        <f>IF(B2583="","",IFERROR(AVERAGEIFS($J$4:$J2583,$B$4:$B2583,B2583,$J$4:$J2583,"&gt;"&amp;0),""))</f>
        <v/>
      </c>
      <c r="L2583" s="11" t="n"/>
    </row>
    <row r="2584" ht="14" customHeight="1" s="72">
      <c r="A2584" s="83" t="n"/>
      <c r="B2584" s="81" t="n"/>
      <c r="C2584" s="69">
        <f>IF(B2584="","",IFERROR(INDEX(Client_List!$B:$B,MATCH(B2584,Client_List!$A:$A,0)),"⚠ NOT FOUND"))</f>
        <v/>
      </c>
      <c r="D2584" s="45" t="n"/>
      <c r="E2584" s="32">
        <f>IF(B2584="","",IFERROR(INDEX(Client_List!$C:$C,MATCH(VALUE(B2584),Client_List!$A:$A,0)),""))</f>
        <v/>
      </c>
      <c r="F2584" s="53">
        <f>IF(B2584="","",IFERROR(INDEX(Client_List!$D:$D,MATCH(VALUE(B2584),Client_List!$A:$A,0)),""))</f>
        <v/>
      </c>
      <c r="G2584" s="53">
        <f>IF(B2584="","",IFERROR(INDEX(Client_List!$K:$K,MATCH(VALUE(B2584),Client_List!$A:$A,0)),""))</f>
        <v/>
      </c>
      <c r="H2584" s="32">
        <f>IF(B2584="","",IFERROR(INDEX(Client_List!$J:$J,MATCH(VALUE(B2584),Client_List!$A:$A,0)),""))</f>
        <v/>
      </c>
      <c r="I2584" s="70">
        <f>IF(B2584="","",IFERROR(A2584-LOOKUP(2,1/($B$4:$B2583=B2584),$A$4:$A2583),""))</f>
        <v/>
      </c>
      <c r="J2584" s="32">
        <f>IF(B2584="","",IFERROR(D2584/I2584,""))</f>
        <v/>
      </c>
      <c r="K2584" s="71">
        <f>IF(B2584="","",IFERROR(AVERAGEIFS($J$4:$J2584,$B$4:$B2584,B2584,$J$4:$J2584,"&gt;"&amp;0),""))</f>
        <v/>
      </c>
      <c r="L2584" s="12" t="n"/>
    </row>
    <row r="2585" ht="14" customHeight="1" s="72">
      <c r="A2585" s="82" t="n"/>
      <c r="B2585" s="79" t="n"/>
      <c r="C2585" s="69">
        <f>IF(B2585="","",IFERROR(INDEX(Client_List!$B:$B,MATCH(B2585,Client_List!$A:$A,0)),"⚠ NOT FOUND"))</f>
        <v/>
      </c>
      <c r="D2585" s="44" t="n"/>
      <c r="E2585" s="32">
        <f>IF(B2585="","",IFERROR(INDEX(Client_List!$C:$C,MATCH(VALUE(B2585),Client_List!$A:$A,0)),""))</f>
        <v/>
      </c>
      <c r="F2585" s="53">
        <f>IF(B2585="","",IFERROR(INDEX(Client_List!$D:$D,MATCH(VALUE(B2585),Client_List!$A:$A,0)),""))</f>
        <v/>
      </c>
      <c r="G2585" s="53">
        <f>IF(B2585="","",IFERROR(INDEX(Client_List!$K:$K,MATCH(VALUE(B2585),Client_List!$A:$A,0)),""))</f>
        <v/>
      </c>
      <c r="H2585" s="32">
        <f>IF(B2585="","",IFERROR(INDEX(Client_List!$J:$J,MATCH(VALUE(B2585),Client_List!$A:$A,0)),""))</f>
        <v/>
      </c>
      <c r="I2585" s="70">
        <f>IF(B2585="","",IFERROR(A2585-LOOKUP(2,1/($B$4:$B2584=B2585),$A$4:$A2584),""))</f>
        <v/>
      </c>
      <c r="J2585" s="32">
        <f>IF(B2585="","",IFERROR(D2585/I2585,""))</f>
        <v/>
      </c>
      <c r="K2585" s="71">
        <f>IF(B2585="","",IFERROR(AVERAGEIFS($J$4:$J2585,$B$4:$B2585,B2585,$J$4:$J2585,"&gt;"&amp;0),""))</f>
        <v/>
      </c>
      <c r="L2585" s="11" t="n"/>
    </row>
    <row r="2586" ht="14" customHeight="1" s="72">
      <c r="A2586" s="83" t="n"/>
      <c r="B2586" s="81" t="n"/>
      <c r="C2586" s="69">
        <f>IF(B2586="","",IFERROR(INDEX(Client_List!$B:$B,MATCH(B2586,Client_List!$A:$A,0)),"⚠ NOT FOUND"))</f>
        <v/>
      </c>
      <c r="D2586" s="45" t="n"/>
      <c r="E2586" s="32">
        <f>IF(B2586="","",IFERROR(INDEX(Client_List!$C:$C,MATCH(VALUE(B2586),Client_List!$A:$A,0)),""))</f>
        <v/>
      </c>
      <c r="F2586" s="53">
        <f>IF(B2586="","",IFERROR(INDEX(Client_List!$D:$D,MATCH(VALUE(B2586),Client_List!$A:$A,0)),""))</f>
        <v/>
      </c>
      <c r="G2586" s="53">
        <f>IF(B2586="","",IFERROR(INDEX(Client_List!$K:$K,MATCH(VALUE(B2586),Client_List!$A:$A,0)),""))</f>
        <v/>
      </c>
      <c r="H2586" s="32">
        <f>IF(B2586="","",IFERROR(INDEX(Client_List!$J:$J,MATCH(VALUE(B2586),Client_List!$A:$A,0)),""))</f>
        <v/>
      </c>
      <c r="I2586" s="70">
        <f>IF(B2586="","",IFERROR(A2586-LOOKUP(2,1/($B$4:$B2585=B2586),$A$4:$A2585),""))</f>
        <v/>
      </c>
      <c r="J2586" s="32">
        <f>IF(B2586="","",IFERROR(D2586/I2586,""))</f>
        <v/>
      </c>
      <c r="K2586" s="71">
        <f>IF(B2586="","",IFERROR(AVERAGEIFS($J$4:$J2586,$B$4:$B2586,B2586,$J$4:$J2586,"&gt;"&amp;0),""))</f>
        <v/>
      </c>
      <c r="L2586" s="12" t="n"/>
    </row>
    <row r="2587" ht="14" customHeight="1" s="72">
      <c r="A2587" s="82" t="n"/>
      <c r="B2587" s="79" t="n"/>
      <c r="C2587" s="69">
        <f>IF(B2587="","",IFERROR(INDEX(Client_List!$B:$B,MATCH(B2587,Client_List!$A:$A,0)),"⚠ NOT FOUND"))</f>
        <v/>
      </c>
      <c r="D2587" s="44" t="n"/>
      <c r="E2587" s="32">
        <f>IF(B2587="","",IFERROR(INDEX(Client_List!$C:$C,MATCH(VALUE(B2587),Client_List!$A:$A,0)),""))</f>
        <v/>
      </c>
      <c r="F2587" s="53">
        <f>IF(B2587="","",IFERROR(INDEX(Client_List!$D:$D,MATCH(VALUE(B2587),Client_List!$A:$A,0)),""))</f>
        <v/>
      </c>
      <c r="G2587" s="53">
        <f>IF(B2587="","",IFERROR(INDEX(Client_List!$K:$K,MATCH(VALUE(B2587),Client_List!$A:$A,0)),""))</f>
        <v/>
      </c>
      <c r="H2587" s="32">
        <f>IF(B2587="","",IFERROR(INDEX(Client_List!$J:$J,MATCH(VALUE(B2587),Client_List!$A:$A,0)),""))</f>
        <v/>
      </c>
      <c r="I2587" s="70">
        <f>IF(B2587="","",IFERROR(A2587-LOOKUP(2,1/($B$4:$B2586=B2587),$A$4:$A2586),""))</f>
        <v/>
      </c>
      <c r="J2587" s="32">
        <f>IF(B2587="","",IFERROR(D2587/I2587,""))</f>
        <v/>
      </c>
      <c r="K2587" s="71">
        <f>IF(B2587="","",IFERROR(AVERAGEIFS($J$4:$J2587,$B$4:$B2587,B2587,$J$4:$J2587,"&gt;"&amp;0),""))</f>
        <v/>
      </c>
      <c r="L2587" s="11" t="n"/>
    </row>
    <row r="2588" ht="14" customHeight="1" s="72">
      <c r="A2588" s="83" t="n"/>
      <c r="B2588" s="81" t="n"/>
      <c r="C2588" s="69">
        <f>IF(B2588="","",IFERROR(INDEX(Client_List!$B:$B,MATCH(B2588,Client_List!$A:$A,0)),"⚠ NOT FOUND"))</f>
        <v/>
      </c>
      <c r="D2588" s="45" t="n"/>
      <c r="E2588" s="32">
        <f>IF(B2588="","",IFERROR(INDEX(Client_List!$C:$C,MATCH(VALUE(B2588),Client_List!$A:$A,0)),""))</f>
        <v/>
      </c>
      <c r="F2588" s="53">
        <f>IF(B2588="","",IFERROR(INDEX(Client_List!$D:$D,MATCH(VALUE(B2588),Client_List!$A:$A,0)),""))</f>
        <v/>
      </c>
      <c r="G2588" s="53">
        <f>IF(B2588="","",IFERROR(INDEX(Client_List!$K:$K,MATCH(VALUE(B2588),Client_List!$A:$A,0)),""))</f>
        <v/>
      </c>
      <c r="H2588" s="32">
        <f>IF(B2588="","",IFERROR(INDEX(Client_List!$J:$J,MATCH(VALUE(B2588),Client_List!$A:$A,0)),""))</f>
        <v/>
      </c>
      <c r="I2588" s="70">
        <f>IF(B2588="","",IFERROR(A2588-LOOKUP(2,1/($B$4:$B2587=B2588),$A$4:$A2587),""))</f>
        <v/>
      </c>
      <c r="J2588" s="32">
        <f>IF(B2588="","",IFERROR(D2588/I2588,""))</f>
        <v/>
      </c>
      <c r="K2588" s="71">
        <f>IF(B2588="","",IFERROR(AVERAGEIFS($J$4:$J2588,$B$4:$B2588,B2588,$J$4:$J2588,"&gt;"&amp;0),""))</f>
        <v/>
      </c>
      <c r="L2588" s="12" t="n"/>
    </row>
    <row r="2589" ht="14" customHeight="1" s="72">
      <c r="A2589" s="82" t="n"/>
      <c r="B2589" s="79" t="n"/>
      <c r="C2589" s="69">
        <f>IF(B2589="","",IFERROR(INDEX(Client_List!$B:$B,MATCH(B2589,Client_List!$A:$A,0)),"⚠ NOT FOUND"))</f>
        <v/>
      </c>
      <c r="D2589" s="44" t="n"/>
      <c r="E2589" s="32">
        <f>IF(B2589="","",IFERROR(INDEX(Client_List!$C:$C,MATCH(VALUE(B2589),Client_List!$A:$A,0)),""))</f>
        <v/>
      </c>
      <c r="F2589" s="53">
        <f>IF(B2589="","",IFERROR(INDEX(Client_List!$D:$D,MATCH(VALUE(B2589),Client_List!$A:$A,0)),""))</f>
        <v/>
      </c>
      <c r="G2589" s="53">
        <f>IF(B2589="","",IFERROR(INDEX(Client_List!$K:$K,MATCH(VALUE(B2589),Client_List!$A:$A,0)),""))</f>
        <v/>
      </c>
      <c r="H2589" s="32">
        <f>IF(B2589="","",IFERROR(INDEX(Client_List!$J:$J,MATCH(VALUE(B2589),Client_List!$A:$A,0)),""))</f>
        <v/>
      </c>
      <c r="I2589" s="70">
        <f>IF(B2589="","",IFERROR(A2589-LOOKUP(2,1/($B$4:$B2588=B2589),$A$4:$A2588),""))</f>
        <v/>
      </c>
      <c r="J2589" s="32">
        <f>IF(B2589="","",IFERROR(D2589/I2589,""))</f>
        <v/>
      </c>
      <c r="K2589" s="71">
        <f>IF(B2589="","",IFERROR(AVERAGEIFS($J$4:$J2589,$B$4:$B2589,B2589,$J$4:$J2589,"&gt;"&amp;0),""))</f>
        <v/>
      </c>
      <c r="L2589" s="11" t="n"/>
    </row>
    <row r="2590" ht="14" customHeight="1" s="72">
      <c r="A2590" s="83" t="n"/>
      <c r="B2590" s="81" t="n"/>
      <c r="C2590" s="69">
        <f>IF(B2590="","",IFERROR(INDEX(Client_List!$B:$B,MATCH(B2590,Client_List!$A:$A,0)),"⚠ NOT FOUND"))</f>
        <v/>
      </c>
      <c r="D2590" s="45" t="n"/>
      <c r="E2590" s="32">
        <f>IF(B2590="","",IFERROR(INDEX(Client_List!$C:$C,MATCH(VALUE(B2590),Client_List!$A:$A,0)),""))</f>
        <v/>
      </c>
      <c r="F2590" s="53">
        <f>IF(B2590="","",IFERROR(INDEX(Client_List!$D:$D,MATCH(VALUE(B2590),Client_List!$A:$A,0)),""))</f>
        <v/>
      </c>
      <c r="G2590" s="53">
        <f>IF(B2590="","",IFERROR(INDEX(Client_List!$K:$K,MATCH(VALUE(B2590),Client_List!$A:$A,0)),""))</f>
        <v/>
      </c>
      <c r="H2590" s="32">
        <f>IF(B2590="","",IFERROR(INDEX(Client_List!$J:$J,MATCH(VALUE(B2590),Client_List!$A:$A,0)),""))</f>
        <v/>
      </c>
      <c r="I2590" s="70">
        <f>IF(B2590="","",IFERROR(A2590-LOOKUP(2,1/($B$4:$B2589=B2590),$A$4:$A2589),""))</f>
        <v/>
      </c>
      <c r="J2590" s="32">
        <f>IF(B2590="","",IFERROR(D2590/I2590,""))</f>
        <v/>
      </c>
      <c r="K2590" s="71">
        <f>IF(B2590="","",IFERROR(AVERAGEIFS($J$4:$J2590,$B$4:$B2590,B2590,$J$4:$J2590,"&gt;"&amp;0),""))</f>
        <v/>
      </c>
      <c r="L2590" s="12" t="n"/>
    </row>
    <row r="2591" ht="14" customHeight="1" s="72">
      <c r="A2591" s="82" t="n"/>
      <c r="B2591" s="79" t="n"/>
      <c r="C2591" s="69">
        <f>IF(B2591="","",IFERROR(INDEX(Client_List!$B:$B,MATCH(B2591,Client_List!$A:$A,0)),"⚠ NOT FOUND"))</f>
        <v/>
      </c>
      <c r="D2591" s="44" t="n"/>
      <c r="E2591" s="32">
        <f>IF(B2591="","",IFERROR(INDEX(Client_List!$C:$C,MATCH(VALUE(B2591),Client_List!$A:$A,0)),""))</f>
        <v/>
      </c>
      <c r="F2591" s="53">
        <f>IF(B2591="","",IFERROR(INDEX(Client_List!$D:$D,MATCH(VALUE(B2591),Client_List!$A:$A,0)),""))</f>
        <v/>
      </c>
      <c r="G2591" s="53">
        <f>IF(B2591="","",IFERROR(INDEX(Client_List!$K:$K,MATCH(VALUE(B2591),Client_List!$A:$A,0)),""))</f>
        <v/>
      </c>
      <c r="H2591" s="32">
        <f>IF(B2591="","",IFERROR(INDEX(Client_List!$J:$J,MATCH(VALUE(B2591),Client_List!$A:$A,0)),""))</f>
        <v/>
      </c>
      <c r="I2591" s="70">
        <f>IF(B2591="","",IFERROR(A2591-LOOKUP(2,1/($B$4:$B2590=B2591),$A$4:$A2590),""))</f>
        <v/>
      </c>
      <c r="J2591" s="32">
        <f>IF(B2591="","",IFERROR(D2591/I2591,""))</f>
        <v/>
      </c>
      <c r="K2591" s="71">
        <f>IF(B2591="","",IFERROR(AVERAGEIFS($J$4:$J2591,$B$4:$B2591,B2591,$J$4:$J2591,"&gt;"&amp;0),""))</f>
        <v/>
      </c>
      <c r="L2591" s="11" t="n"/>
    </row>
    <row r="2592" ht="14" customHeight="1" s="72">
      <c r="A2592" s="83" t="n"/>
      <c r="B2592" s="81" t="n"/>
      <c r="C2592" s="69">
        <f>IF(B2592="","",IFERROR(INDEX(Client_List!$B:$B,MATCH(B2592,Client_List!$A:$A,0)),"⚠ NOT FOUND"))</f>
        <v/>
      </c>
      <c r="D2592" s="45" t="n"/>
      <c r="E2592" s="32">
        <f>IF(B2592="","",IFERROR(INDEX(Client_List!$C:$C,MATCH(VALUE(B2592),Client_List!$A:$A,0)),""))</f>
        <v/>
      </c>
      <c r="F2592" s="53">
        <f>IF(B2592="","",IFERROR(INDEX(Client_List!$D:$D,MATCH(VALUE(B2592),Client_List!$A:$A,0)),""))</f>
        <v/>
      </c>
      <c r="G2592" s="53">
        <f>IF(B2592="","",IFERROR(INDEX(Client_List!$K:$K,MATCH(VALUE(B2592),Client_List!$A:$A,0)),""))</f>
        <v/>
      </c>
      <c r="H2592" s="32">
        <f>IF(B2592="","",IFERROR(INDEX(Client_List!$J:$J,MATCH(VALUE(B2592),Client_List!$A:$A,0)),""))</f>
        <v/>
      </c>
      <c r="I2592" s="70">
        <f>IF(B2592="","",IFERROR(A2592-LOOKUP(2,1/($B$4:$B2591=B2592),$A$4:$A2591),""))</f>
        <v/>
      </c>
      <c r="J2592" s="32">
        <f>IF(B2592="","",IFERROR(D2592/I2592,""))</f>
        <v/>
      </c>
      <c r="K2592" s="71">
        <f>IF(B2592="","",IFERROR(AVERAGEIFS($J$4:$J2592,$B$4:$B2592,B2592,$J$4:$J2592,"&gt;"&amp;0),""))</f>
        <v/>
      </c>
      <c r="L2592" s="12" t="n"/>
    </row>
    <row r="2593" ht="14" customHeight="1" s="72">
      <c r="A2593" s="82" t="n"/>
      <c r="B2593" s="79" t="n"/>
      <c r="C2593" s="69">
        <f>IF(B2593="","",IFERROR(INDEX(Client_List!$B:$B,MATCH(B2593,Client_List!$A:$A,0)),"⚠ NOT FOUND"))</f>
        <v/>
      </c>
      <c r="D2593" s="44" t="n"/>
      <c r="E2593" s="32">
        <f>IF(B2593="","",IFERROR(INDEX(Client_List!$C:$C,MATCH(VALUE(B2593),Client_List!$A:$A,0)),""))</f>
        <v/>
      </c>
      <c r="F2593" s="53">
        <f>IF(B2593="","",IFERROR(INDEX(Client_List!$D:$D,MATCH(VALUE(B2593),Client_List!$A:$A,0)),""))</f>
        <v/>
      </c>
      <c r="G2593" s="53">
        <f>IF(B2593="","",IFERROR(INDEX(Client_List!$K:$K,MATCH(VALUE(B2593),Client_List!$A:$A,0)),""))</f>
        <v/>
      </c>
      <c r="H2593" s="32">
        <f>IF(B2593="","",IFERROR(INDEX(Client_List!$J:$J,MATCH(VALUE(B2593),Client_List!$A:$A,0)),""))</f>
        <v/>
      </c>
      <c r="I2593" s="70">
        <f>IF(B2593="","",IFERROR(A2593-LOOKUP(2,1/($B$4:$B2592=B2593),$A$4:$A2592),""))</f>
        <v/>
      </c>
      <c r="J2593" s="32">
        <f>IF(B2593="","",IFERROR(D2593/I2593,""))</f>
        <v/>
      </c>
      <c r="K2593" s="71">
        <f>IF(B2593="","",IFERROR(AVERAGEIFS($J$4:$J2593,$B$4:$B2593,B2593,$J$4:$J2593,"&gt;"&amp;0),""))</f>
        <v/>
      </c>
      <c r="L2593" s="11" t="n"/>
    </row>
    <row r="2594" ht="14" customHeight="1" s="72">
      <c r="A2594" s="83" t="n"/>
      <c r="B2594" s="81" t="n"/>
      <c r="C2594" s="69">
        <f>IF(B2594="","",IFERROR(INDEX(Client_List!$B:$B,MATCH(B2594,Client_List!$A:$A,0)),"⚠ NOT FOUND"))</f>
        <v/>
      </c>
      <c r="D2594" s="45" t="n"/>
      <c r="E2594" s="32">
        <f>IF(B2594="","",IFERROR(INDEX(Client_List!$C:$C,MATCH(VALUE(B2594),Client_List!$A:$A,0)),""))</f>
        <v/>
      </c>
      <c r="F2594" s="53">
        <f>IF(B2594="","",IFERROR(INDEX(Client_List!$D:$D,MATCH(VALUE(B2594),Client_List!$A:$A,0)),""))</f>
        <v/>
      </c>
      <c r="G2594" s="53">
        <f>IF(B2594="","",IFERROR(INDEX(Client_List!$K:$K,MATCH(VALUE(B2594),Client_List!$A:$A,0)),""))</f>
        <v/>
      </c>
      <c r="H2594" s="32">
        <f>IF(B2594="","",IFERROR(INDEX(Client_List!$J:$J,MATCH(VALUE(B2594),Client_List!$A:$A,0)),""))</f>
        <v/>
      </c>
      <c r="I2594" s="70">
        <f>IF(B2594="","",IFERROR(A2594-LOOKUP(2,1/($B$4:$B2593=B2594),$A$4:$A2593),""))</f>
        <v/>
      </c>
      <c r="J2594" s="32">
        <f>IF(B2594="","",IFERROR(D2594/I2594,""))</f>
        <v/>
      </c>
      <c r="K2594" s="71">
        <f>IF(B2594="","",IFERROR(AVERAGEIFS($J$4:$J2594,$B$4:$B2594,B2594,$J$4:$J2594,"&gt;"&amp;0),""))</f>
        <v/>
      </c>
      <c r="L2594" s="12" t="n"/>
    </row>
    <row r="2595" ht="14" customHeight="1" s="72">
      <c r="A2595" s="82" t="n"/>
      <c r="B2595" s="79" t="n"/>
      <c r="C2595" s="69">
        <f>IF(B2595="","",IFERROR(INDEX(Client_List!$B:$B,MATCH(B2595,Client_List!$A:$A,0)),"⚠ NOT FOUND"))</f>
        <v/>
      </c>
      <c r="D2595" s="44" t="n"/>
      <c r="E2595" s="32">
        <f>IF(B2595="","",IFERROR(INDEX(Client_List!$C:$C,MATCH(VALUE(B2595),Client_List!$A:$A,0)),""))</f>
        <v/>
      </c>
      <c r="F2595" s="53">
        <f>IF(B2595="","",IFERROR(INDEX(Client_List!$D:$D,MATCH(VALUE(B2595),Client_List!$A:$A,0)),""))</f>
        <v/>
      </c>
      <c r="G2595" s="53">
        <f>IF(B2595="","",IFERROR(INDEX(Client_List!$K:$K,MATCH(VALUE(B2595),Client_List!$A:$A,0)),""))</f>
        <v/>
      </c>
      <c r="H2595" s="32">
        <f>IF(B2595="","",IFERROR(INDEX(Client_List!$J:$J,MATCH(VALUE(B2595),Client_List!$A:$A,0)),""))</f>
        <v/>
      </c>
      <c r="I2595" s="70">
        <f>IF(B2595="","",IFERROR(A2595-LOOKUP(2,1/($B$4:$B2594=B2595),$A$4:$A2594),""))</f>
        <v/>
      </c>
      <c r="J2595" s="32">
        <f>IF(B2595="","",IFERROR(D2595/I2595,""))</f>
        <v/>
      </c>
      <c r="K2595" s="71">
        <f>IF(B2595="","",IFERROR(AVERAGEIFS($J$4:$J2595,$B$4:$B2595,B2595,$J$4:$J2595,"&gt;"&amp;0),""))</f>
        <v/>
      </c>
      <c r="L2595" s="11" t="n"/>
    </row>
    <row r="2596" ht="14" customHeight="1" s="72">
      <c r="A2596" s="83" t="n"/>
      <c r="B2596" s="81" t="n"/>
      <c r="C2596" s="69">
        <f>IF(B2596="","",IFERROR(INDEX(Client_List!$B:$B,MATCH(B2596,Client_List!$A:$A,0)),"⚠ NOT FOUND"))</f>
        <v/>
      </c>
      <c r="D2596" s="45" t="n"/>
      <c r="E2596" s="32">
        <f>IF(B2596="","",IFERROR(INDEX(Client_List!$C:$C,MATCH(VALUE(B2596),Client_List!$A:$A,0)),""))</f>
        <v/>
      </c>
      <c r="F2596" s="53">
        <f>IF(B2596="","",IFERROR(INDEX(Client_List!$D:$D,MATCH(VALUE(B2596),Client_List!$A:$A,0)),""))</f>
        <v/>
      </c>
      <c r="G2596" s="53">
        <f>IF(B2596="","",IFERROR(INDEX(Client_List!$K:$K,MATCH(VALUE(B2596),Client_List!$A:$A,0)),""))</f>
        <v/>
      </c>
      <c r="H2596" s="32">
        <f>IF(B2596="","",IFERROR(INDEX(Client_List!$J:$J,MATCH(VALUE(B2596),Client_List!$A:$A,0)),""))</f>
        <v/>
      </c>
      <c r="I2596" s="70">
        <f>IF(B2596="","",IFERROR(A2596-LOOKUP(2,1/($B$4:$B2595=B2596),$A$4:$A2595),""))</f>
        <v/>
      </c>
      <c r="J2596" s="32">
        <f>IF(B2596="","",IFERROR(D2596/I2596,""))</f>
        <v/>
      </c>
      <c r="K2596" s="71">
        <f>IF(B2596="","",IFERROR(AVERAGEIFS($J$4:$J2596,$B$4:$B2596,B2596,$J$4:$J2596,"&gt;"&amp;0),""))</f>
        <v/>
      </c>
      <c r="L2596" s="12" t="n"/>
    </row>
    <row r="2597" ht="14" customHeight="1" s="72">
      <c r="A2597" s="82" t="n"/>
      <c r="B2597" s="79" t="n"/>
      <c r="C2597" s="69">
        <f>IF(B2597="","",IFERROR(INDEX(Client_List!$B:$B,MATCH(B2597,Client_List!$A:$A,0)),"⚠ NOT FOUND"))</f>
        <v/>
      </c>
      <c r="D2597" s="44" t="n"/>
      <c r="E2597" s="32">
        <f>IF(B2597="","",IFERROR(INDEX(Client_List!$C:$C,MATCH(VALUE(B2597),Client_List!$A:$A,0)),""))</f>
        <v/>
      </c>
      <c r="F2597" s="53">
        <f>IF(B2597="","",IFERROR(INDEX(Client_List!$D:$D,MATCH(VALUE(B2597),Client_List!$A:$A,0)),""))</f>
        <v/>
      </c>
      <c r="G2597" s="53">
        <f>IF(B2597="","",IFERROR(INDEX(Client_List!$K:$K,MATCH(VALUE(B2597),Client_List!$A:$A,0)),""))</f>
        <v/>
      </c>
      <c r="H2597" s="32">
        <f>IF(B2597="","",IFERROR(INDEX(Client_List!$J:$J,MATCH(VALUE(B2597),Client_List!$A:$A,0)),""))</f>
        <v/>
      </c>
      <c r="I2597" s="70">
        <f>IF(B2597="","",IFERROR(A2597-LOOKUP(2,1/($B$4:$B2596=B2597),$A$4:$A2596),""))</f>
        <v/>
      </c>
      <c r="J2597" s="32">
        <f>IF(B2597="","",IFERROR(D2597/I2597,""))</f>
        <v/>
      </c>
      <c r="K2597" s="71">
        <f>IF(B2597="","",IFERROR(AVERAGEIFS($J$4:$J2597,$B$4:$B2597,B2597,$J$4:$J2597,"&gt;"&amp;0),""))</f>
        <v/>
      </c>
      <c r="L2597" s="11" t="n"/>
    </row>
    <row r="2598" ht="14" customHeight="1" s="72">
      <c r="A2598" s="83" t="n"/>
      <c r="B2598" s="81" t="n"/>
      <c r="C2598" s="69">
        <f>IF(B2598="","",IFERROR(INDEX(Client_List!$B:$B,MATCH(B2598,Client_List!$A:$A,0)),"⚠ NOT FOUND"))</f>
        <v/>
      </c>
      <c r="D2598" s="45" t="n"/>
      <c r="E2598" s="32">
        <f>IF(B2598="","",IFERROR(INDEX(Client_List!$C:$C,MATCH(VALUE(B2598),Client_List!$A:$A,0)),""))</f>
        <v/>
      </c>
      <c r="F2598" s="53">
        <f>IF(B2598="","",IFERROR(INDEX(Client_List!$D:$D,MATCH(VALUE(B2598),Client_List!$A:$A,0)),""))</f>
        <v/>
      </c>
      <c r="G2598" s="53">
        <f>IF(B2598="","",IFERROR(INDEX(Client_List!$K:$K,MATCH(VALUE(B2598),Client_List!$A:$A,0)),""))</f>
        <v/>
      </c>
      <c r="H2598" s="32">
        <f>IF(B2598="","",IFERROR(INDEX(Client_List!$J:$J,MATCH(VALUE(B2598),Client_List!$A:$A,0)),""))</f>
        <v/>
      </c>
      <c r="I2598" s="70">
        <f>IF(B2598="","",IFERROR(A2598-LOOKUP(2,1/($B$4:$B2597=B2598),$A$4:$A2597),""))</f>
        <v/>
      </c>
      <c r="J2598" s="32">
        <f>IF(B2598="","",IFERROR(D2598/I2598,""))</f>
        <v/>
      </c>
      <c r="K2598" s="71">
        <f>IF(B2598="","",IFERROR(AVERAGEIFS($J$4:$J2598,$B$4:$B2598,B2598,$J$4:$J2598,"&gt;"&amp;0),""))</f>
        <v/>
      </c>
      <c r="L2598" s="12" t="n"/>
    </row>
    <row r="2599" ht="14" customHeight="1" s="72">
      <c r="A2599" s="82" t="n"/>
      <c r="B2599" s="79" t="n"/>
      <c r="C2599" s="69">
        <f>IF(B2599="","",IFERROR(INDEX(Client_List!$B:$B,MATCH(B2599,Client_List!$A:$A,0)),"⚠ NOT FOUND"))</f>
        <v/>
      </c>
      <c r="D2599" s="44" t="n"/>
      <c r="E2599" s="32">
        <f>IF(B2599="","",IFERROR(INDEX(Client_List!$C:$C,MATCH(VALUE(B2599),Client_List!$A:$A,0)),""))</f>
        <v/>
      </c>
      <c r="F2599" s="53">
        <f>IF(B2599="","",IFERROR(INDEX(Client_List!$D:$D,MATCH(VALUE(B2599),Client_List!$A:$A,0)),""))</f>
        <v/>
      </c>
      <c r="G2599" s="53">
        <f>IF(B2599="","",IFERROR(INDEX(Client_List!$K:$K,MATCH(VALUE(B2599),Client_List!$A:$A,0)),""))</f>
        <v/>
      </c>
      <c r="H2599" s="32">
        <f>IF(B2599="","",IFERROR(INDEX(Client_List!$J:$J,MATCH(VALUE(B2599),Client_List!$A:$A,0)),""))</f>
        <v/>
      </c>
      <c r="I2599" s="70">
        <f>IF(B2599="","",IFERROR(A2599-LOOKUP(2,1/($B$4:$B2598=B2599),$A$4:$A2598),""))</f>
        <v/>
      </c>
      <c r="J2599" s="32">
        <f>IF(B2599="","",IFERROR(D2599/I2599,""))</f>
        <v/>
      </c>
      <c r="K2599" s="71">
        <f>IF(B2599="","",IFERROR(AVERAGEIFS($J$4:$J2599,$B$4:$B2599,B2599,$J$4:$J2599,"&gt;"&amp;0),""))</f>
        <v/>
      </c>
      <c r="L2599" s="11" t="n"/>
    </row>
    <row r="2600" ht="14" customHeight="1" s="72">
      <c r="A2600" s="83" t="n"/>
      <c r="B2600" s="81" t="n"/>
      <c r="C2600" s="69">
        <f>IF(B2600="","",IFERROR(INDEX(Client_List!$B:$B,MATCH(B2600,Client_List!$A:$A,0)),"⚠ NOT FOUND"))</f>
        <v/>
      </c>
      <c r="D2600" s="45" t="n"/>
      <c r="E2600" s="32">
        <f>IF(B2600="","",IFERROR(INDEX(Client_List!$C:$C,MATCH(VALUE(B2600),Client_List!$A:$A,0)),""))</f>
        <v/>
      </c>
      <c r="F2600" s="53">
        <f>IF(B2600="","",IFERROR(INDEX(Client_List!$D:$D,MATCH(VALUE(B2600),Client_List!$A:$A,0)),""))</f>
        <v/>
      </c>
      <c r="G2600" s="53">
        <f>IF(B2600="","",IFERROR(INDEX(Client_List!$K:$K,MATCH(VALUE(B2600),Client_List!$A:$A,0)),""))</f>
        <v/>
      </c>
      <c r="H2600" s="32">
        <f>IF(B2600="","",IFERROR(INDEX(Client_List!$J:$J,MATCH(VALUE(B2600),Client_List!$A:$A,0)),""))</f>
        <v/>
      </c>
      <c r="I2600" s="70">
        <f>IF(B2600="","",IFERROR(A2600-LOOKUP(2,1/($B$4:$B2599=B2600),$A$4:$A2599),""))</f>
        <v/>
      </c>
      <c r="J2600" s="32">
        <f>IF(B2600="","",IFERROR(D2600/I2600,""))</f>
        <v/>
      </c>
      <c r="K2600" s="71">
        <f>IF(B2600="","",IFERROR(AVERAGEIFS($J$4:$J2600,$B$4:$B2600,B2600,$J$4:$J2600,"&gt;"&amp;0),""))</f>
        <v/>
      </c>
      <c r="L2600" s="12" t="n"/>
    </row>
    <row r="2601" ht="14" customHeight="1" s="72">
      <c r="A2601" s="82" t="n"/>
      <c r="B2601" s="79" t="n"/>
      <c r="C2601" s="69">
        <f>IF(B2601="","",IFERROR(INDEX(Client_List!$B:$B,MATCH(B2601,Client_List!$A:$A,0)),"⚠ NOT FOUND"))</f>
        <v/>
      </c>
      <c r="D2601" s="44" t="n"/>
      <c r="E2601" s="32">
        <f>IF(B2601="","",IFERROR(INDEX(Client_List!$C:$C,MATCH(VALUE(B2601),Client_List!$A:$A,0)),""))</f>
        <v/>
      </c>
      <c r="F2601" s="53">
        <f>IF(B2601="","",IFERROR(INDEX(Client_List!$D:$D,MATCH(VALUE(B2601),Client_List!$A:$A,0)),""))</f>
        <v/>
      </c>
      <c r="G2601" s="53">
        <f>IF(B2601="","",IFERROR(INDEX(Client_List!$K:$K,MATCH(VALUE(B2601),Client_List!$A:$A,0)),""))</f>
        <v/>
      </c>
      <c r="H2601" s="32">
        <f>IF(B2601="","",IFERROR(INDEX(Client_List!$J:$J,MATCH(VALUE(B2601),Client_List!$A:$A,0)),""))</f>
        <v/>
      </c>
      <c r="I2601" s="70">
        <f>IF(B2601="","",IFERROR(A2601-LOOKUP(2,1/($B$4:$B2600=B2601),$A$4:$A2600),""))</f>
        <v/>
      </c>
      <c r="J2601" s="32">
        <f>IF(B2601="","",IFERROR(D2601/I2601,""))</f>
        <v/>
      </c>
      <c r="K2601" s="71">
        <f>IF(B2601="","",IFERROR(AVERAGEIFS($J$4:$J2601,$B$4:$B2601,B2601,$J$4:$J2601,"&gt;"&amp;0),""))</f>
        <v/>
      </c>
      <c r="L2601" s="11" t="n"/>
    </row>
    <row r="2602" ht="14" customHeight="1" s="72">
      <c r="A2602" s="83" t="n"/>
      <c r="B2602" s="81" t="n"/>
      <c r="C2602" s="69">
        <f>IF(B2602="","",IFERROR(INDEX(Client_List!$B:$B,MATCH(B2602,Client_List!$A:$A,0)),"⚠ NOT FOUND"))</f>
        <v/>
      </c>
      <c r="D2602" s="45" t="n"/>
      <c r="E2602" s="32">
        <f>IF(B2602="","",IFERROR(INDEX(Client_List!$C:$C,MATCH(VALUE(B2602),Client_List!$A:$A,0)),""))</f>
        <v/>
      </c>
      <c r="F2602" s="53">
        <f>IF(B2602="","",IFERROR(INDEX(Client_List!$D:$D,MATCH(VALUE(B2602),Client_List!$A:$A,0)),""))</f>
        <v/>
      </c>
      <c r="G2602" s="53">
        <f>IF(B2602="","",IFERROR(INDEX(Client_List!$K:$K,MATCH(VALUE(B2602),Client_List!$A:$A,0)),""))</f>
        <v/>
      </c>
      <c r="H2602" s="32">
        <f>IF(B2602="","",IFERROR(INDEX(Client_List!$J:$J,MATCH(VALUE(B2602),Client_List!$A:$A,0)),""))</f>
        <v/>
      </c>
      <c r="I2602" s="70">
        <f>IF(B2602="","",IFERROR(A2602-LOOKUP(2,1/($B$4:$B2601=B2602),$A$4:$A2601),""))</f>
        <v/>
      </c>
      <c r="J2602" s="32">
        <f>IF(B2602="","",IFERROR(D2602/I2602,""))</f>
        <v/>
      </c>
      <c r="K2602" s="71">
        <f>IF(B2602="","",IFERROR(AVERAGEIFS($J$4:$J2602,$B$4:$B2602,B2602,$J$4:$J2602,"&gt;"&amp;0),""))</f>
        <v/>
      </c>
      <c r="L2602" s="12" t="n"/>
    </row>
    <row r="2603" ht="14" customHeight="1" s="72">
      <c r="A2603" s="82" t="n"/>
      <c r="B2603" s="79" t="n"/>
      <c r="C2603" s="69">
        <f>IF(B2603="","",IFERROR(INDEX(Client_List!$B:$B,MATCH(B2603,Client_List!$A:$A,0)),"⚠ NOT FOUND"))</f>
        <v/>
      </c>
      <c r="D2603" s="44" t="n"/>
      <c r="E2603" s="32">
        <f>IF(B2603="","",IFERROR(INDEX(Client_List!$C:$C,MATCH(VALUE(B2603),Client_List!$A:$A,0)),""))</f>
        <v/>
      </c>
      <c r="F2603" s="53">
        <f>IF(B2603="","",IFERROR(INDEX(Client_List!$D:$D,MATCH(VALUE(B2603),Client_List!$A:$A,0)),""))</f>
        <v/>
      </c>
      <c r="G2603" s="53">
        <f>IF(B2603="","",IFERROR(INDEX(Client_List!$K:$K,MATCH(VALUE(B2603),Client_List!$A:$A,0)),""))</f>
        <v/>
      </c>
      <c r="H2603" s="32">
        <f>IF(B2603="","",IFERROR(INDEX(Client_List!$J:$J,MATCH(VALUE(B2603),Client_List!$A:$A,0)),""))</f>
        <v/>
      </c>
      <c r="I2603" s="70">
        <f>IF(B2603="","",IFERROR(A2603-LOOKUP(2,1/($B$4:$B2602=B2603),$A$4:$A2602),""))</f>
        <v/>
      </c>
      <c r="J2603" s="32">
        <f>IF(B2603="","",IFERROR(D2603/I2603,""))</f>
        <v/>
      </c>
      <c r="K2603" s="71">
        <f>IF(B2603="","",IFERROR(AVERAGEIFS($J$4:$J2603,$B$4:$B2603,B2603,$J$4:$J2603,"&gt;"&amp;0),""))</f>
        <v/>
      </c>
      <c r="L2603" s="11" t="n"/>
    </row>
    <row r="2604" ht="14" customHeight="1" s="72">
      <c r="A2604" s="83" t="n"/>
      <c r="B2604" s="81" t="n"/>
      <c r="C2604" s="69">
        <f>IF(B2604="","",IFERROR(INDEX(Client_List!$B:$B,MATCH(B2604,Client_List!$A:$A,0)),"⚠ NOT FOUND"))</f>
        <v/>
      </c>
      <c r="D2604" s="45" t="n"/>
      <c r="E2604" s="32">
        <f>IF(B2604="","",IFERROR(INDEX(Client_List!$C:$C,MATCH(VALUE(B2604),Client_List!$A:$A,0)),""))</f>
        <v/>
      </c>
      <c r="F2604" s="53">
        <f>IF(B2604="","",IFERROR(INDEX(Client_List!$D:$D,MATCH(VALUE(B2604),Client_List!$A:$A,0)),""))</f>
        <v/>
      </c>
      <c r="G2604" s="53">
        <f>IF(B2604="","",IFERROR(INDEX(Client_List!$K:$K,MATCH(VALUE(B2604),Client_List!$A:$A,0)),""))</f>
        <v/>
      </c>
      <c r="H2604" s="32">
        <f>IF(B2604="","",IFERROR(INDEX(Client_List!$J:$J,MATCH(VALUE(B2604),Client_List!$A:$A,0)),""))</f>
        <v/>
      </c>
      <c r="I2604" s="70">
        <f>IF(B2604="","",IFERROR(A2604-LOOKUP(2,1/($B$4:$B2603=B2604),$A$4:$A2603),""))</f>
        <v/>
      </c>
      <c r="J2604" s="32">
        <f>IF(B2604="","",IFERROR(D2604/I2604,""))</f>
        <v/>
      </c>
      <c r="K2604" s="71">
        <f>IF(B2604="","",IFERROR(AVERAGEIFS($J$4:$J2604,$B$4:$B2604,B2604,$J$4:$J2604,"&gt;"&amp;0),""))</f>
        <v/>
      </c>
      <c r="L2604" s="12" t="n"/>
    </row>
    <row r="2605" ht="14" customHeight="1" s="72">
      <c r="A2605" s="82" t="n"/>
      <c r="B2605" s="79" t="n"/>
      <c r="C2605" s="69">
        <f>IF(B2605="","",IFERROR(INDEX(Client_List!$B:$B,MATCH(B2605,Client_List!$A:$A,0)),"⚠ NOT FOUND"))</f>
        <v/>
      </c>
      <c r="D2605" s="44" t="n"/>
      <c r="E2605" s="32">
        <f>IF(B2605="","",IFERROR(INDEX(Client_List!$C:$C,MATCH(VALUE(B2605),Client_List!$A:$A,0)),""))</f>
        <v/>
      </c>
      <c r="F2605" s="53">
        <f>IF(B2605="","",IFERROR(INDEX(Client_List!$D:$D,MATCH(VALUE(B2605),Client_List!$A:$A,0)),""))</f>
        <v/>
      </c>
      <c r="G2605" s="53">
        <f>IF(B2605="","",IFERROR(INDEX(Client_List!$K:$K,MATCH(VALUE(B2605),Client_List!$A:$A,0)),""))</f>
        <v/>
      </c>
      <c r="H2605" s="32">
        <f>IF(B2605="","",IFERROR(INDEX(Client_List!$J:$J,MATCH(VALUE(B2605),Client_List!$A:$A,0)),""))</f>
        <v/>
      </c>
      <c r="I2605" s="70">
        <f>IF(B2605="","",IFERROR(A2605-LOOKUP(2,1/($B$4:$B2604=B2605),$A$4:$A2604),""))</f>
        <v/>
      </c>
      <c r="J2605" s="32">
        <f>IF(B2605="","",IFERROR(D2605/I2605,""))</f>
        <v/>
      </c>
      <c r="K2605" s="71">
        <f>IF(B2605="","",IFERROR(AVERAGEIFS($J$4:$J2605,$B$4:$B2605,B2605,$J$4:$J2605,"&gt;"&amp;0),""))</f>
        <v/>
      </c>
      <c r="L2605" s="11" t="n"/>
    </row>
    <row r="2606" ht="14" customHeight="1" s="72">
      <c r="A2606" s="83" t="n"/>
      <c r="B2606" s="81" t="n"/>
      <c r="C2606" s="69">
        <f>IF(B2606="","",IFERROR(INDEX(Client_List!$B:$B,MATCH(B2606,Client_List!$A:$A,0)),"⚠ NOT FOUND"))</f>
        <v/>
      </c>
      <c r="D2606" s="45" t="n"/>
      <c r="E2606" s="32">
        <f>IF(B2606="","",IFERROR(INDEX(Client_List!$C:$C,MATCH(VALUE(B2606),Client_List!$A:$A,0)),""))</f>
        <v/>
      </c>
      <c r="F2606" s="53">
        <f>IF(B2606="","",IFERROR(INDEX(Client_List!$D:$D,MATCH(VALUE(B2606),Client_List!$A:$A,0)),""))</f>
        <v/>
      </c>
      <c r="G2606" s="53">
        <f>IF(B2606="","",IFERROR(INDEX(Client_List!$K:$K,MATCH(VALUE(B2606),Client_List!$A:$A,0)),""))</f>
        <v/>
      </c>
      <c r="H2606" s="32">
        <f>IF(B2606="","",IFERROR(INDEX(Client_List!$J:$J,MATCH(VALUE(B2606),Client_List!$A:$A,0)),""))</f>
        <v/>
      </c>
      <c r="I2606" s="70">
        <f>IF(B2606="","",IFERROR(A2606-LOOKUP(2,1/($B$4:$B2605=B2606),$A$4:$A2605),""))</f>
        <v/>
      </c>
      <c r="J2606" s="32">
        <f>IF(B2606="","",IFERROR(D2606/I2606,""))</f>
        <v/>
      </c>
      <c r="K2606" s="71">
        <f>IF(B2606="","",IFERROR(AVERAGEIFS($J$4:$J2606,$B$4:$B2606,B2606,$J$4:$J2606,"&gt;"&amp;0),""))</f>
        <v/>
      </c>
      <c r="L2606" s="12" t="n"/>
    </row>
    <row r="2607" ht="14" customHeight="1" s="72">
      <c r="A2607" s="82" t="n"/>
      <c r="B2607" s="79" t="n"/>
      <c r="C2607" s="69">
        <f>IF(B2607="","",IFERROR(INDEX(Client_List!$B:$B,MATCH(B2607,Client_List!$A:$A,0)),"⚠ NOT FOUND"))</f>
        <v/>
      </c>
      <c r="D2607" s="44" t="n"/>
      <c r="E2607" s="32">
        <f>IF(B2607="","",IFERROR(INDEX(Client_List!$C:$C,MATCH(VALUE(B2607),Client_List!$A:$A,0)),""))</f>
        <v/>
      </c>
      <c r="F2607" s="53">
        <f>IF(B2607="","",IFERROR(INDEX(Client_List!$D:$D,MATCH(VALUE(B2607),Client_List!$A:$A,0)),""))</f>
        <v/>
      </c>
      <c r="G2607" s="53">
        <f>IF(B2607="","",IFERROR(INDEX(Client_List!$K:$K,MATCH(VALUE(B2607),Client_List!$A:$A,0)),""))</f>
        <v/>
      </c>
      <c r="H2607" s="32">
        <f>IF(B2607="","",IFERROR(INDEX(Client_List!$J:$J,MATCH(VALUE(B2607),Client_List!$A:$A,0)),""))</f>
        <v/>
      </c>
      <c r="I2607" s="70">
        <f>IF(B2607="","",IFERROR(A2607-LOOKUP(2,1/($B$4:$B2606=B2607),$A$4:$A2606),""))</f>
        <v/>
      </c>
      <c r="J2607" s="32">
        <f>IF(B2607="","",IFERROR(D2607/I2607,""))</f>
        <v/>
      </c>
      <c r="K2607" s="71">
        <f>IF(B2607="","",IFERROR(AVERAGEIFS($J$4:$J2607,$B$4:$B2607,B2607,$J$4:$J2607,"&gt;"&amp;0),""))</f>
        <v/>
      </c>
      <c r="L2607" s="11" t="n"/>
    </row>
    <row r="2608" ht="14" customHeight="1" s="72">
      <c r="A2608" s="83" t="n"/>
      <c r="B2608" s="81" t="n"/>
      <c r="C2608" s="69">
        <f>IF(B2608="","",IFERROR(INDEX(Client_List!$B:$B,MATCH(B2608,Client_List!$A:$A,0)),"⚠ NOT FOUND"))</f>
        <v/>
      </c>
      <c r="D2608" s="45" t="n"/>
      <c r="E2608" s="32">
        <f>IF(B2608="","",IFERROR(INDEX(Client_List!$C:$C,MATCH(VALUE(B2608),Client_List!$A:$A,0)),""))</f>
        <v/>
      </c>
      <c r="F2608" s="53">
        <f>IF(B2608="","",IFERROR(INDEX(Client_List!$D:$D,MATCH(VALUE(B2608),Client_List!$A:$A,0)),""))</f>
        <v/>
      </c>
      <c r="G2608" s="53">
        <f>IF(B2608="","",IFERROR(INDEX(Client_List!$K:$K,MATCH(VALUE(B2608),Client_List!$A:$A,0)),""))</f>
        <v/>
      </c>
      <c r="H2608" s="32">
        <f>IF(B2608="","",IFERROR(INDEX(Client_List!$J:$J,MATCH(VALUE(B2608),Client_List!$A:$A,0)),""))</f>
        <v/>
      </c>
      <c r="I2608" s="70">
        <f>IF(B2608="","",IFERROR(A2608-LOOKUP(2,1/($B$4:$B2607=B2608),$A$4:$A2607),""))</f>
        <v/>
      </c>
      <c r="J2608" s="32">
        <f>IF(B2608="","",IFERROR(D2608/I2608,""))</f>
        <v/>
      </c>
      <c r="K2608" s="71">
        <f>IF(B2608="","",IFERROR(AVERAGEIFS($J$4:$J2608,$B$4:$B2608,B2608,$J$4:$J2608,"&gt;"&amp;0),""))</f>
        <v/>
      </c>
      <c r="L2608" s="12" t="n"/>
    </row>
    <row r="2609" ht="14" customHeight="1" s="72">
      <c r="A2609" s="82" t="n"/>
      <c r="B2609" s="79" t="n"/>
      <c r="C2609" s="69">
        <f>IF(B2609="","",IFERROR(INDEX(Client_List!$B:$B,MATCH(B2609,Client_List!$A:$A,0)),"⚠ NOT FOUND"))</f>
        <v/>
      </c>
      <c r="D2609" s="44" t="n"/>
      <c r="E2609" s="32">
        <f>IF(B2609="","",IFERROR(INDEX(Client_List!$C:$C,MATCH(VALUE(B2609),Client_List!$A:$A,0)),""))</f>
        <v/>
      </c>
      <c r="F2609" s="53">
        <f>IF(B2609="","",IFERROR(INDEX(Client_List!$D:$D,MATCH(VALUE(B2609),Client_List!$A:$A,0)),""))</f>
        <v/>
      </c>
      <c r="G2609" s="53">
        <f>IF(B2609="","",IFERROR(INDEX(Client_List!$K:$K,MATCH(VALUE(B2609),Client_List!$A:$A,0)),""))</f>
        <v/>
      </c>
      <c r="H2609" s="32">
        <f>IF(B2609="","",IFERROR(INDEX(Client_List!$J:$J,MATCH(VALUE(B2609),Client_List!$A:$A,0)),""))</f>
        <v/>
      </c>
      <c r="I2609" s="70">
        <f>IF(B2609="","",IFERROR(A2609-LOOKUP(2,1/($B$4:$B2608=B2609),$A$4:$A2608),""))</f>
        <v/>
      </c>
      <c r="J2609" s="32">
        <f>IF(B2609="","",IFERROR(D2609/I2609,""))</f>
        <v/>
      </c>
      <c r="K2609" s="71">
        <f>IF(B2609="","",IFERROR(AVERAGEIFS($J$4:$J2609,$B$4:$B2609,B2609,$J$4:$J2609,"&gt;"&amp;0),""))</f>
        <v/>
      </c>
      <c r="L2609" s="11" t="n"/>
    </row>
    <row r="2610" ht="14" customHeight="1" s="72">
      <c r="A2610" s="83" t="n"/>
      <c r="B2610" s="81" t="n"/>
      <c r="C2610" s="69">
        <f>IF(B2610="","",IFERROR(INDEX(Client_List!$B:$B,MATCH(B2610,Client_List!$A:$A,0)),"⚠ NOT FOUND"))</f>
        <v/>
      </c>
      <c r="D2610" s="45" t="n"/>
      <c r="E2610" s="32">
        <f>IF(B2610="","",IFERROR(INDEX(Client_List!$C:$C,MATCH(VALUE(B2610),Client_List!$A:$A,0)),""))</f>
        <v/>
      </c>
      <c r="F2610" s="53">
        <f>IF(B2610="","",IFERROR(INDEX(Client_List!$D:$D,MATCH(VALUE(B2610),Client_List!$A:$A,0)),""))</f>
        <v/>
      </c>
      <c r="G2610" s="53">
        <f>IF(B2610="","",IFERROR(INDEX(Client_List!$K:$K,MATCH(VALUE(B2610),Client_List!$A:$A,0)),""))</f>
        <v/>
      </c>
      <c r="H2610" s="32">
        <f>IF(B2610="","",IFERROR(INDEX(Client_List!$J:$J,MATCH(VALUE(B2610),Client_List!$A:$A,0)),""))</f>
        <v/>
      </c>
      <c r="I2610" s="70">
        <f>IF(B2610="","",IFERROR(A2610-LOOKUP(2,1/($B$4:$B2609=B2610),$A$4:$A2609),""))</f>
        <v/>
      </c>
      <c r="J2610" s="32">
        <f>IF(B2610="","",IFERROR(D2610/I2610,""))</f>
        <v/>
      </c>
      <c r="K2610" s="71">
        <f>IF(B2610="","",IFERROR(AVERAGEIFS($J$4:$J2610,$B$4:$B2610,B2610,$J$4:$J2610,"&gt;"&amp;0),""))</f>
        <v/>
      </c>
      <c r="L2610" s="12" t="n"/>
    </row>
    <row r="2611" ht="14" customHeight="1" s="72">
      <c r="A2611" s="82" t="n"/>
      <c r="B2611" s="79" t="n"/>
      <c r="C2611" s="69">
        <f>IF(B2611="","",IFERROR(INDEX(Client_List!$B:$B,MATCH(B2611,Client_List!$A:$A,0)),"⚠ NOT FOUND"))</f>
        <v/>
      </c>
      <c r="D2611" s="44" t="n"/>
      <c r="E2611" s="32">
        <f>IF(B2611="","",IFERROR(INDEX(Client_List!$C:$C,MATCH(VALUE(B2611),Client_List!$A:$A,0)),""))</f>
        <v/>
      </c>
      <c r="F2611" s="53">
        <f>IF(B2611="","",IFERROR(INDEX(Client_List!$D:$D,MATCH(VALUE(B2611),Client_List!$A:$A,0)),""))</f>
        <v/>
      </c>
      <c r="G2611" s="53">
        <f>IF(B2611="","",IFERROR(INDEX(Client_List!$K:$K,MATCH(VALUE(B2611),Client_List!$A:$A,0)),""))</f>
        <v/>
      </c>
      <c r="H2611" s="32">
        <f>IF(B2611="","",IFERROR(INDEX(Client_List!$J:$J,MATCH(VALUE(B2611),Client_List!$A:$A,0)),""))</f>
        <v/>
      </c>
      <c r="I2611" s="70">
        <f>IF(B2611="","",IFERROR(A2611-LOOKUP(2,1/($B$4:$B2610=B2611),$A$4:$A2610),""))</f>
        <v/>
      </c>
      <c r="J2611" s="32">
        <f>IF(B2611="","",IFERROR(D2611/I2611,""))</f>
        <v/>
      </c>
      <c r="K2611" s="71">
        <f>IF(B2611="","",IFERROR(AVERAGEIFS($J$4:$J2611,$B$4:$B2611,B2611,$J$4:$J2611,"&gt;"&amp;0),""))</f>
        <v/>
      </c>
      <c r="L2611" s="11" t="n"/>
    </row>
    <row r="2612" ht="14" customHeight="1" s="72">
      <c r="A2612" s="83" t="n"/>
      <c r="B2612" s="81" t="n"/>
      <c r="C2612" s="69">
        <f>IF(B2612="","",IFERROR(INDEX(Client_List!$B:$B,MATCH(B2612,Client_List!$A:$A,0)),"⚠ NOT FOUND"))</f>
        <v/>
      </c>
      <c r="D2612" s="45" t="n"/>
      <c r="E2612" s="32">
        <f>IF(B2612="","",IFERROR(INDEX(Client_List!$C:$C,MATCH(VALUE(B2612),Client_List!$A:$A,0)),""))</f>
        <v/>
      </c>
      <c r="F2612" s="53">
        <f>IF(B2612="","",IFERROR(INDEX(Client_List!$D:$D,MATCH(VALUE(B2612),Client_List!$A:$A,0)),""))</f>
        <v/>
      </c>
      <c r="G2612" s="53">
        <f>IF(B2612="","",IFERROR(INDEX(Client_List!$K:$K,MATCH(VALUE(B2612),Client_List!$A:$A,0)),""))</f>
        <v/>
      </c>
      <c r="H2612" s="32">
        <f>IF(B2612="","",IFERROR(INDEX(Client_List!$J:$J,MATCH(VALUE(B2612),Client_List!$A:$A,0)),""))</f>
        <v/>
      </c>
      <c r="I2612" s="70">
        <f>IF(B2612="","",IFERROR(A2612-LOOKUP(2,1/($B$4:$B2611=B2612),$A$4:$A2611),""))</f>
        <v/>
      </c>
      <c r="J2612" s="32">
        <f>IF(B2612="","",IFERROR(D2612/I2612,""))</f>
        <v/>
      </c>
      <c r="K2612" s="71">
        <f>IF(B2612="","",IFERROR(AVERAGEIFS($J$4:$J2612,$B$4:$B2612,B2612,$J$4:$J2612,"&gt;"&amp;0),""))</f>
        <v/>
      </c>
      <c r="L2612" s="12" t="n"/>
    </row>
    <row r="2613" ht="14" customHeight="1" s="72">
      <c r="A2613" s="82" t="n"/>
      <c r="B2613" s="79" t="n"/>
      <c r="C2613" s="69">
        <f>IF(B2613="","",IFERROR(INDEX(Client_List!$B:$B,MATCH(B2613,Client_List!$A:$A,0)),"⚠ NOT FOUND"))</f>
        <v/>
      </c>
      <c r="D2613" s="44" t="n"/>
      <c r="E2613" s="32">
        <f>IF(B2613="","",IFERROR(INDEX(Client_List!$C:$C,MATCH(VALUE(B2613),Client_List!$A:$A,0)),""))</f>
        <v/>
      </c>
      <c r="F2613" s="53">
        <f>IF(B2613="","",IFERROR(INDEX(Client_List!$D:$D,MATCH(VALUE(B2613),Client_List!$A:$A,0)),""))</f>
        <v/>
      </c>
      <c r="G2613" s="53">
        <f>IF(B2613="","",IFERROR(INDEX(Client_List!$K:$K,MATCH(VALUE(B2613),Client_List!$A:$A,0)),""))</f>
        <v/>
      </c>
      <c r="H2613" s="32">
        <f>IF(B2613="","",IFERROR(INDEX(Client_List!$J:$J,MATCH(VALUE(B2613),Client_List!$A:$A,0)),""))</f>
        <v/>
      </c>
      <c r="I2613" s="70">
        <f>IF(B2613="","",IFERROR(A2613-LOOKUP(2,1/($B$4:$B2612=B2613),$A$4:$A2612),""))</f>
        <v/>
      </c>
      <c r="J2613" s="32">
        <f>IF(B2613="","",IFERROR(D2613/I2613,""))</f>
        <v/>
      </c>
      <c r="K2613" s="71">
        <f>IF(B2613="","",IFERROR(AVERAGEIFS($J$4:$J2613,$B$4:$B2613,B2613,$J$4:$J2613,"&gt;"&amp;0),""))</f>
        <v/>
      </c>
      <c r="L2613" s="11" t="n"/>
    </row>
    <row r="2614" ht="14" customHeight="1" s="72">
      <c r="A2614" s="83" t="n"/>
      <c r="B2614" s="81" t="n"/>
      <c r="C2614" s="69">
        <f>IF(B2614="","",IFERROR(INDEX(Client_List!$B:$B,MATCH(B2614,Client_List!$A:$A,0)),"⚠ NOT FOUND"))</f>
        <v/>
      </c>
      <c r="D2614" s="45" t="n"/>
      <c r="E2614" s="32">
        <f>IF(B2614="","",IFERROR(INDEX(Client_List!$C:$C,MATCH(VALUE(B2614),Client_List!$A:$A,0)),""))</f>
        <v/>
      </c>
      <c r="F2614" s="53">
        <f>IF(B2614="","",IFERROR(INDEX(Client_List!$D:$D,MATCH(VALUE(B2614),Client_List!$A:$A,0)),""))</f>
        <v/>
      </c>
      <c r="G2614" s="53">
        <f>IF(B2614="","",IFERROR(INDEX(Client_List!$K:$K,MATCH(VALUE(B2614),Client_List!$A:$A,0)),""))</f>
        <v/>
      </c>
      <c r="H2614" s="32">
        <f>IF(B2614="","",IFERROR(INDEX(Client_List!$J:$J,MATCH(VALUE(B2614),Client_List!$A:$A,0)),""))</f>
        <v/>
      </c>
      <c r="I2614" s="70">
        <f>IF(B2614="","",IFERROR(A2614-LOOKUP(2,1/($B$4:$B2613=B2614),$A$4:$A2613),""))</f>
        <v/>
      </c>
      <c r="J2614" s="32">
        <f>IF(B2614="","",IFERROR(D2614/I2614,""))</f>
        <v/>
      </c>
      <c r="K2614" s="71">
        <f>IF(B2614="","",IFERROR(AVERAGEIFS($J$4:$J2614,$B$4:$B2614,B2614,$J$4:$J2614,"&gt;"&amp;0),""))</f>
        <v/>
      </c>
      <c r="L2614" s="12" t="n"/>
    </row>
    <row r="2615" ht="14" customHeight="1" s="72">
      <c r="A2615" s="82" t="n"/>
      <c r="B2615" s="79" t="n"/>
      <c r="C2615" s="69">
        <f>IF(B2615="","",IFERROR(INDEX(Client_List!$B:$B,MATCH(B2615,Client_List!$A:$A,0)),"⚠ NOT FOUND"))</f>
        <v/>
      </c>
      <c r="D2615" s="44" t="n"/>
      <c r="E2615" s="32">
        <f>IF(B2615="","",IFERROR(INDEX(Client_List!$C:$C,MATCH(VALUE(B2615),Client_List!$A:$A,0)),""))</f>
        <v/>
      </c>
      <c r="F2615" s="53">
        <f>IF(B2615="","",IFERROR(INDEX(Client_List!$D:$D,MATCH(VALUE(B2615),Client_List!$A:$A,0)),""))</f>
        <v/>
      </c>
      <c r="G2615" s="53">
        <f>IF(B2615="","",IFERROR(INDEX(Client_List!$K:$K,MATCH(VALUE(B2615),Client_List!$A:$A,0)),""))</f>
        <v/>
      </c>
      <c r="H2615" s="32">
        <f>IF(B2615="","",IFERROR(INDEX(Client_List!$J:$J,MATCH(VALUE(B2615),Client_List!$A:$A,0)),""))</f>
        <v/>
      </c>
      <c r="I2615" s="70">
        <f>IF(B2615="","",IFERROR(A2615-LOOKUP(2,1/($B$4:$B2614=B2615),$A$4:$A2614),""))</f>
        <v/>
      </c>
      <c r="J2615" s="32">
        <f>IF(B2615="","",IFERROR(D2615/I2615,""))</f>
        <v/>
      </c>
      <c r="K2615" s="71">
        <f>IF(B2615="","",IFERROR(AVERAGEIFS($J$4:$J2615,$B$4:$B2615,B2615,$J$4:$J2615,"&gt;"&amp;0),""))</f>
        <v/>
      </c>
      <c r="L2615" s="11" t="n"/>
    </row>
    <row r="2616" ht="14" customHeight="1" s="72">
      <c r="A2616" s="83" t="n"/>
      <c r="B2616" s="81" t="n"/>
      <c r="C2616" s="69">
        <f>IF(B2616="","",IFERROR(INDEX(Client_List!$B:$B,MATCH(B2616,Client_List!$A:$A,0)),"⚠ NOT FOUND"))</f>
        <v/>
      </c>
      <c r="D2616" s="45" t="n"/>
      <c r="E2616" s="32">
        <f>IF(B2616="","",IFERROR(INDEX(Client_List!$C:$C,MATCH(VALUE(B2616),Client_List!$A:$A,0)),""))</f>
        <v/>
      </c>
      <c r="F2616" s="53">
        <f>IF(B2616="","",IFERROR(INDEX(Client_List!$D:$D,MATCH(VALUE(B2616),Client_List!$A:$A,0)),""))</f>
        <v/>
      </c>
      <c r="G2616" s="53">
        <f>IF(B2616="","",IFERROR(INDEX(Client_List!$K:$K,MATCH(VALUE(B2616),Client_List!$A:$A,0)),""))</f>
        <v/>
      </c>
      <c r="H2616" s="32">
        <f>IF(B2616="","",IFERROR(INDEX(Client_List!$J:$J,MATCH(VALUE(B2616),Client_List!$A:$A,0)),""))</f>
        <v/>
      </c>
      <c r="I2616" s="70">
        <f>IF(B2616="","",IFERROR(A2616-LOOKUP(2,1/($B$4:$B2615=B2616),$A$4:$A2615),""))</f>
        <v/>
      </c>
      <c r="J2616" s="32">
        <f>IF(B2616="","",IFERROR(D2616/I2616,""))</f>
        <v/>
      </c>
      <c r="K2616" s="71">
        <f>IF(B2616="","",IFERROR(AVERAGEIFS($J$4:$J2616,$B$4:$B2616,B2616,$J$4:$J2616,"&gt;"&amp;0),""))</f>
        <v/>
      </c>
      <c r="L2616" s="12" t="n"/>
    </row>
    <row r="2617" ht="14" customHeight="1" s="72">
      <c r="A2617" s="82" t="n"/>
      <c r="B2617" s="79" t="n"/>
      <c r="C2617" s="69">
        <f>IF(B2617="","",IFERROR(INDEX(Client_List!$B:$B,MATCH(B2617,Client_List!$A:$A,0)),"⚠ NOT FOUND"))</f>
        <v/>
      </c>
      <c r="D2617" s="44" t="n"/>
      <c r="E2617" s="32">
        <f>IF(B2617="","",IFERROR(INDEX(Client_List!$C:$C,MATCH(VALUE(B2617),Client_List!$A:$A,0)),""))</f>
        <v/>
      </c>
      <c r="F2617" s="53">
        <f>IF(B2617="","",IFERROR(INDEX(Client_List!$D:$D,MATCH(VALUE(B2617),Client_List!$A:$A,0)),""))</f>
        <v/>
      </c>
      <c r="G2617" s="53">
        <f>IF(B2617="","",IFERROR(INDEX(Client_List!$K:$K,MATCH(VALUE(B2617),Client_List!$A:$A,0)),""))</f>
        <v/>
      </c>
      <c r="H2617" s="32">
        <f>IF(B2617="","",IFERROR(INDEX(Client_List!$J:$J,MATCH(VALUE(B2617),Client_List!$A:$A,0)),""))</f>
        <v/>
      </c>
      <c r="I2617" s="70">
        <f>IF(B2617="","",IFERROR(A2617-LOOKUP(2,1/($B$4:$B2616=B2617),$A$4:$A2616),""))</f>
        <v/>
      </c>
      <c r="J2617" s="32">
        <f>IF(B2617="","",IFERROR(D2617/I2617,""))</f>
        <v/>
      </c>
      <c r="K2617" s="71">
        <f>IF(B2617="","",IFERROR(AVERAGEIFS($J$4:$J2617,$B$4:$B2617,B2617,$J$4:$J2617,"&gt;"&amp;0),""))</f>
        <v/>
      </c>
      <c r="L2617" s="11" t="n"/>
    </row>
    <row r="2618" ht="14" customHeight="1" s="72">
      <c r="A2618" s="83" t="n"/>
      <c r="B2618" s="81" t="n"/>
      <c r="C2618" s="69">
        <f>IF(B2618="","",IFERROR(INDEX(Client_List!$B:$B,MATCH(B2618,Client_List!$A:$A,0)),"⚠ NOT FOUND"))</f>
        <v/>
      </c>
      <c r="D2618" s="45" t="n"/>
      <c r="E2618" s="32">
        <f>IF(B2618="","",IFERROR(INDEX(Client_List!$C:$C,MATCH(VALUE(B2618),Client_List!$A:$A,0)),""))</f>
        <v/>
      </c>
      <c r="F2618" s="53">
        <f>IF(B2618="","",IFERROR(INDEX(Client_List!$D:$D,MATCH(VALUE(B2618),Client_List!$A:$A,0)),""))</f>
        <v/>
      </c>
      <c r="G2618" s="53">
        <f>IF(B2618="","",IFERROR(INDEX(Client_List!$K:$K,MATCH(VALUE(B2618),Client_List!$A:$A,0)),""))</f>
        <v/>
      </c>
      <c r="H2618" s="32">
        <f>IF(B2618="","",IFERROR(INDEX(Client_List!$J:$J,MATCH(VALUE(B2618),Client_List!$A:$A,0)),""))</f>
        <v/>
      </c>
      <c r="I2618" s="70">
        <f>IF(B2618="","",IFERROR(A2618-LOOKUP(2,1/($B$4:$B2617=B2618),$A$4:$A2617),""))</f>
        <v/>
      </c>
      <c r="J2618" s="32">
        <f>IF(B2618="","",IFERROR(D2618/I2618,""))</f>
        <v/>
      </c>
      <c r="K2618" s="71">
        <f>IF(B2618="","",IFERROR(AVERAGEIFS($J$4:$J2618,$B$4:$B2618,B2618,$J$4:$J2618,"&gt;"&amp;0),""))</f>
        <v/>
      </c>
      <c r="L2618" s="12" t="n"/>
    </row>
    <row r="2619" ht="14" customHeight="1" s="72">
      <c r="A2619" s="82" t="n"/>
      <c r="B2619" s="79" t="n"/>
      <c r="C2619" s="69">
        <f>IF(B2619="","",IFERROR(INDEX(Client_List!$B:$B,MATCH(B2619,Client_List!$A:$A,0)),"⚠ NOT FOUND"))</f>
        <v/>
      </c>
      <c r="D2619" s="44" t="n"/>
      <c r="E2619" s="32">
        <f>IF(B2619="","",IFERROR(INDEX(Client_List!$C:$C,MATCH(VALUE(B2619),Client_List!$A:$A,0)),""))</f>
        <v/>
      </c>
      <c r="F2619" s="53">
        <f>IF(B2619="","",IFERROR(INDEX(Client_List!$D:$D,MATCH(VALUE(B2619),Client_List!$A:$A,0)),""))</f>
        <v/>
      </c>
      <c r="G2619" s="53">
        <f>IF(B2619="","",IFERROR(INDEX(Client_List!$K:$K,MATCH(VALUE(B2619),Client_List!$A:$A,0)),""))</f>
        <v/>
      </c>
      <c r="H2619" s="32">
        <f>IF(B2619="","",IFERROR(INDEX(Client_List!$J:$J,MATCH(VALUE(B2619),Client_List!$A:$A,0)),""))</f>
        <v/>
      </c>
      <c r="I2619" s="70">
        <f>IF(B2619="","",IFERROR(A2619-LOOKUP(2,1/($B$4:$B2618=B2619),$A$4:$A2618),""))</f>
        <v/>
      </c>
      <c r="J2619" s="32">
        <f>IF(B2619="","",IFERROR(D2619/I2619,""))</f>
        <v/>
      </c>
      <c r="K2619" s="71">
        <f>IF(B2619="","",IFERROR(AVERAGEIFS($J$4:$J2619,$B$4:$B2619,B2619,$J$4:$J2619,"&gt;"&amp;0),""))</f>
        <v/>
      </c>
      <c r="L2619" s="11" t="n"/>
    </row>
    <row r="2620" ht="14" customHeight="1" s="72">
      <c r="A2620" s="83" t="n"/>
      <c r="B2620" s="81" t="n"/>
      <c r="C2620" s="69">
        <f>IF(B2620="","",IFERROR(INDEX(Client_List!$B:$B,MATCH(B2620,Client_List!$A:$A,0)),"⚠ NOT FOUND"))</f>
        <v/>
      </c>
      <c r="D2620" s="45" t="n"/>
      <c r="E2620" s="32">
        <f>IF(B2620="","",IFERROR(INDEX(Client_List!$C:$C,MATCH(VALUE(B2620),Client_List!$A:$A,0)),""))</f>
        <v/>
      </c>
      <c r="F2620" s="53">
        <f>IF(B2620="","",IFERROR(INDEX(Client_List!$D:$D,MATCH(VALUE(B2620),Client_List!$A:$A,0)),""))</f>
        <v/>
      </c>
      <c r="G2620" s="53">
        <f>IF(B2620="","",IFERROR(INDEX(Client_List!$K:$K,MATCH(VALUE(B2620),Client_List!$A:$A,0)),""))</f>
        <v/>
      </c>
      <c r="H2620" s="32">
        <f>IF(B2620="","",IFERROR(INDEX(Client_List!$J:$J,MATCH(VALUE(B2620),Client_List!$A:$A,0)),""))</f>
        <v/>
      </c>
      <c r="I2620" s="70">
        <f>IF(B2620="","",IFERROR(A2620-LOOKUP(2,1/($B$4:$B2619=B2620),$A$4:$A2619),""))</f>
        <v/>
      </c>
      <c r="J2620" s="32">
        <f>IF(B2620="","",IFERROR(D2620/I2620,""))</f>
        <v/>
      </c>
      <c r="K2620" s="71">
        <f>IF(B2620="","",IFERROR(AVERAGEIFS($J$4:$J2620,$B$4:$B2620,B2620,$J$4:$J2620,"&gt;"&amp;0),""))</f>
        <v/>
      </c>
      <c r="L2620" s="12" t="n"/>
    </row>
    <row r="2621" ht="14" customHeight="1" s="72">
      <c r="A2621" s="82" t="n"/>
      <c r="B2621" s="79" t="n"/>
      <c r="C2621" s="69">
        <f>IF(B2621="","",IFERROR(INDEX(Client_List!$B:$B,MATCH(B2621,Client_List!$A:$A,0)),"⚠ NOT FOUND"))</f>
        <v/>
      </c>
      <c r="D2621" s="44" t="n"/>
      <c r="E2621" s="32">
        <f>IF(B2621="","",IFERROR(INDEX(Client_List!$C:$C,MATCH(VALUE(B2621),Client_List!$A:$A,0)),""))</f>
        <v/>
      </c>
      <c r="F2621" s="53">
        <f>IF(B2621="","",IFERROR(INDEX(Client_List!$D:$D,MATCH(VALUE(B2621),Client_List!$A:$A,0)),""))</f>
        <v/>
      </c>
      <c r="G2621" s="53">
        <f>IF(B2621="","",IFERROR(INDEX(Client_List!$K:$K,MATCH(VALUE(B2621),Client_List!$A:$A,0)),""))</f>
        <v/>
      </c>
      <c r="H2621" s="32">
        <f>IF(B2621="","",IFERROR(INDEX(Client_List!$J:$J,MATCH(VALUE(B2621),Client_List!$A:$A,0)),""))</f>
        <v/>
      </c>
      <c r="I2621" s="70">
        <f>IF(B2621="","",IFERROR(A2621-LOOKUP(2,1/($B$4:$B2620=B2621),$A$4:$A2620),""))</f>
        <v/>
      </c>
      <c r="J2621" s="32">
        <f>IF(B2621="","",IFERROR(D2621/I2621,""))</f>
        <v/>
      </c>
      <c r="K2621" s="71">
        <f>IF(B2621="","",IFERROR(AVERAGEIFS($J$4:$J2621,$B$4:$B2621,B2621,$J$4:$J2621,"&gt;"&amp;0),""))</f>
        <v/>
      </c>
      <c r="L2621" s="11" t="n"/>
    </row>
    <row r="2622" ht="14" customHeight="1" s="72">
      <c r="A2622" s="83" t="n"/>
      <c r="B2622" s="81" t="n"/>
      <c r="C2622" s="69">
        <f>IF(B2622="","",IFERROR(INDEX(Client_List!$B:$B,MATCH(B2622,Client_List!$A:$A,0)),"⚠ NOT FOUND"))</f>
        <v/>
      </c>
      <c r="D2622" s="45" t="n"/>
      <c r="E2622" s="32">
        <f>IF(B2622="","",IFERROR(INDEX(Client_List!$C:$C,MATCH(VALUE(B2622),Client_List!$A:$A,0)),""))</f>
        <v/>
      </c>
      <c r="F2622" s="53">
        <f>IF(B2622="","",IFERROR(INDEX(Client_List!$D:$D,MATCH(VALUE(B2622),Client_List!$A:$A,0)),""))</f>
        <v/>
      </c>
      <c r="G2622" s="53">
        <f>IF(B2622="","",IFERROR(INDEX(Client_List!$K:$K,MATCH(VALUE(B2622),Client_List!$A:$A,0)),""))</f>
        <v/>
      </c>
      <c r="H2622" s="32">
        <f>IF(B2622="","",IFERROR(INDEX(Client_List!$J:$J,MATCH(VALUE(B2622),Client_List!$A:$A,0)),""))</f>
        <v/>
      </c>
      <c r="I2622" s="70">
        <f>IF(B2622="","",IFERROR(A2622-LOOKUP(2,1/($B$4:$B2621=B2622),$A$4:$A2621),""))</f>
        <v/>
      </c>
      <c r="J2622" s="32">
        <f>IF(B2622="","",IFERROR(D2622/I2622,""))</f>
        <v/>
      </c>
      <c r="K2622" s="71">
        <f>IF(B2622="","",IFERROR(AVERAGEIFS($J$4:$J2622,$B$4:$B2622,B2622,$J$4:$J2622,"&gt;"&amp;0),""))</f>
        <v/>
      </c>
      <c r="L2622" s="12" t="n"/>
    </row>
    <row r="2623" ht="14" customHeight="1" s="72">
      <c r="A2623" s="82" t="n"/>
      <c r="B2623" s="79" t="n"/>
      <c r="C2623" s="69">
        <f>IF(B2623="","",IFERROR(INDEX(Client_List!$B:$B,MATCH(B2623,Client_List!$A:$A,0)),"⚠ NOT FOUND"))</f>
        <v/>
      </c>
      <c r="D2623" s="44" t="n"/>
      <c r="E2623" s="32">
        <f>IF(B2623="","",IFERROR(INDEX(Client_List!$C:$C,MATCH(VALUE(B2623),Client_List!$A:$A,0)),""))</f>
        <v/>
      </c>
      <c r="F2623" s="53">
        <f>IF(B2623="","",IFERROR(INDEX(Client_List!$D:$D,MATCH(VALUE(B2623),Client_List!$A:$A,0)),""))</f>
        <v/>
      </c>
      <c r="G2623" s="53">
        <f>IF(B2623="","",IFERROR(INDEX(Client_List!$K:$K,MATCH(VALUE(B2623),Client_List!$A:$A,0)),""))</f>
        <v/>
      </c>
      <c r="H2623" s="32">
        <f>IF(B2623="","",IFERROR(INDEX(Client_List!$J:$J,MATCH(VALUE(B2623),Client_List!$A:$A,0)),""))</f>
        <v/>
      </c>
      <c r="I2623" s="70">
        <f>IF(B2623="","",IFERROR(A2623-LOOKUP(2,1/($B$4:$B2622=B2623),$A$4:$A2622),""))</f>
        <v/>
      </c>
      <c r="J2623" s="32">
        <f>IF(B2623="","",IFERROR(D2623/I2623,""))</f>
        <v/>
      </c>
      <c r="K2623" s="71">
        <f>IF(B2623="","",IFERROR(AVERAGEIFS($J$4:$J2623,$B$4:$B2623,B2623,$J$4:$J2623,"&gt;"&amp;0),""))</f>
        <v/>
      </c>
      <c r="L2623" s="11" t="n"/>
    </row>
    <row r="2624" ht="14" customHeight="1" s="72">
      <c r="A2624" s="83" t="n"/>
      <c r="B2624" s="81" t="n"/>
      <c r="C2624" s="69">
        <f>IF(B2624="","",IFERROR(INDEX(Client_List!$B:$B,MATCH(B2624,Client_List!$A:$A,0)),"⚠ NOT FOUND"))</f>
        <v/>
      </c>
      <c r="D2624" s="45" t="n"/>
      <c r="E2624" s="32">
        <f>IF(B2624="","",IFERROR(INDEX(Client_List!$C:$C,MATCH(VALUE(B2624),Client_List!$A:$A,0)),""))</f>
        <v/>
      </c>
      <c r="F2624" s="53">
        <f>IF(B2624="","",IFERROR(INDEX(Client_List!$D:$D,MATCH(VALUE(B2624),Client_List!$A:$A,0)),""))</f>
        <v/>
      </c>
      <c r="G2624" s="53">
        <f>IF(B2624="","",IFERROR(INDEX(Client_List!$K:$K,MATCH(VALUE(B2624),Client_List!$A:$A,0)),""))</f>
        <v/>
      </c>
      <c r="H2624" s="32">
        <f>IF(B2624="","",IFERROR(INDEX(Client_List!$J:$J,MATCH(VALUE(B2624),Client_List!$A:$A,0)),""))</f>
        <v/>
      </c>
      <c r="I2624" s="70">
        <f>IF(B2624="","",IFERROR(A2624-LOOKUP(2,1/($B$4:$B2623=B2624),$A$4:$A2623),""))</f>
        <v/>
      </c>
      <c r="J2624" s="32">
        <f>IF(B2624="","",IFERROR(D2624/I2624,""))</f>
        <v/>
      </c>
      <c r="K2624" s="71">
        <f>IF(B2624="","",IFERROR(AVERAGEIFS($J$4:$J2624,$B$4:$B2624,B2624,$J$4:$J2624,"&gt;"&amp;0),""))</f>
        <v/>
      </c>
      <c r="L2624" s="12" t="n"/>
    </row>
    <row r="2625" ht="14" customHeight="1" s="72">
      <c r="A2625" s="82" t="n"/>
      <c r="B2625" s="79" t="n"/>
      <c r="C2625" s="69">
        <f>IF(B2625="","",IFERROR(INDEX(Client_List!$B:$B,MATCH(B2625,Client_List!$A:$A,0)),"⚠ NOT FOUND"))</f>
        <v/>
      </c>
      <c r="D2625" s="44" t="n"/>
      <c r="E2625" s="32">
        <f>IF(B2625="","",IFERROR(INDEX(Client_List!$C:$C,MATCH(VALUE(B2625),Client_List!$A:$A,0)),""))</f>
        <v/>
      </c>
      <c r="F2625" s="53">
        <f>IF(B2625="","",IFERROR(INDEX(Client_List!$D:$D,MATCH(VALUE(B2625),Client_List!$A:$A,0)),""))</f>
        <v/>
      </c>
      <c r="G2625" s="53">
        <f>IF(B2625="","",IFERROR(INDEX(Client_List!$K:$K,MATCH(VALUE(B2625),Client_List!$A:$A,0)),""))</f>
        <v/>
      </c>
      <c r="H2625" s="32">
        <f>IF(B2625="","",IFERROR(INDEX(Client_List!$J:$J,MATCH(VALUE(B2625),Client_List!$A:$A,0)),""))</f>
        <v/>
      </c>
      <c r="I2625" s="70">
        <f>IF(B2625="","",IFERROR(A2625-LOOKUP(2,1/($B$4:$B2624=B2625),$A$4:$A2624),""))</f>
        <v/>
      </c>
      <c r="J2625" s="32">
        <f>IF(B2625="","",IFERROR(D2625/I2625,""))</f>
        <v/>
      </c>
      <c r="K2625" s="71">
        <f>IF(B2625="","",IFERROR(AVERAGEIFS($J$4:$J2625,$B$4:$B2625,B2625,$J$4:$J2625,"&gt;"&amp;0),""))</f>
        <v/>
      </c>
      <c r="L2625" s="11" t="n"/>
    </row>
    <row r="2626" ht="14" customHeight="1" s="72">
      <c r="A2626" s="83" t="n"/>
      <c r="B2626" s="81" t="n"/>
      <c r="C2626" s="69">
        <f>IF(B2626="","",IFERROR(INDEX(Client_List!$B:$B,MATCH(B2626,Client_List!$A:$A,0)),"⚠ NOT FOUND"))</f>
        <v/>
      </c>
      <c r="D2626" s="45" t="n"/>
      <c r="E2626" s="32">
        <f>IF(B2626="","",IFERROR(INDEX(Client_List!$C:$C,MATCH(VALUE(B2626),Client_List!$A:$A,0)),""))</f>
        <v/>
      </c>
      <c r="F2626" s="53">
        <f>IF(B2626="","",IFERROR(INDEX(Client_List!$D:$D,MATCH(VALUE(B2626),Client_List!$A:$A,0)),""))</f>
        <v/>
      </c>
      <c r="G2626" s="53">
        <f>IF(B2626="","",IFERROR(INDEX(Client_List!$K:$K,MATCH(VALUE(B2626),Client_List!$A:$A,0)),""))</f>
        <v/>
      </c>
      <c r="H2626" s="32">
        <f>IF(B2626="","",IFERROR(INDEX(Client_List!$J:$J,MATCH(VALUE(B2626),Client_List!$A:$A,0)),""))</f>
        <v/>
      </c>
      <c r="I2626" s="70">
        <f>IF(B2626="","",IFERROR(A2626-LOOKUP(2,1/($B$4:$B2625=B2626),$A$4:$A2625),""))</f>
        <v/>
      </c>
      <c r="J2626" s="32">
        <f>IF(B2626="","",IFERROR(D2626/I2626,""))</f>
        <v/>
      </c>
      <c r="K2626" s="71">
        <f>IF(B2626="","",IFERROR(AVERAGEIFS($J$4:$J2626,$B$4:$B2626,B2626,$J$4:$J2626,"&gt;"&amp;0),""))</f>
        <v/>
      </c>
      <c r="L2626" s="12" t="n"/>
    </row>
    <row r="2627" ht="14" customHeight="1" s="72">
      <c r="A2627" s="82" t="n"/>
      <c r="B2627" s="79" t="n"/>
      <c r="C2627" s="69">
        <f>IF(B2627="","",IFERROR(INDEX(Client_List!$B:$B,MATCH(B2627,Client_List!$A:$A,0)),"⚠ NOT FOUND"))</f>
        <v/>
      </c>
      <c r="D2627" s="44" t="n"/>
      <c r="E2627" s="32">
        <f>IF(B2627="","",IFERROR(INDEX(Client_List!$C:$C,MATCH(VALUE(B2627),Client_List!$A:$A,0)),""))</f>
        <v/>
      </c>
      <c r="F2627" s="53">
        <f>IF(B2627="","",IFERROR(INDEX(Client_List!$D:$D,MATCH(VALUE(B2627),Client_List!$A:$A,0)),""))</f>
        <v/>
      </c>
      <c r="G2627" s="53">
        <f>IF(B2627="","",IFERROR(INDEX(Client_List!$K:$K,MATCH(VALUE(B2627),Client_List!$A:$A,0)),""))</f>
        <v/>
      </c>
      <c r="H2627" s="32">
        <f>IF(B2627="","",IFERROR(INDEX(Client_List!$J:$J,MATCH(VALUE(B2627),Client_List!$A:$A,0)),""))</f>
        <v/>
      </c>
      <c r="I2627" s="70">
        <f>IF(B2627="","",IFERROR(A2627-LOOKUP(2,1/($B$4:$B2626=B2627),$A$4:$A2626),""))</f>
        <v/>
      </c>
      <c r="J2627" s="32">
        <f>IF(B2627="","",IFERROR(D2627/I2627,""))</f>
        <v/>
      </c>
      <c r="K2627" s="71">
        <f>IF(B2627="","",IFERROR(AVERAGEIFS($J$4:$J2627,$B$4:$B2627,B2627,$J$4:$J2627,"&gt;"&amp;0),""))</f>
        <v/>
      </c>
      <c r="L2627" s="11" t="n"/>
    </row>
    <row r="2628" ht="14" customHeight="1" s="72">
      <c r="A2628" s="83" t="n"/>
      <c r="B2628" s="81" t="n"/>
      <c r="C2628" s="69">
        <f>IF(B2628="","",IFERROR(INDEX(Client_List!$B:$B,MATCH(B2628,Client_List!$A:$A,0)),"⚠ NOT FOUND"))</f>
        <v/>
      </c>
      <c r="D2628" s="45" t="n"/>
      <c r="E2628" s="32">
        <f>IF(B2628="","",IFERROR(INDEX(Client_List!$C:$C,MATCH(VALUE(B2628),Client_List!$A:$A,0)),""))</f>
        <v/>
      </c>
      <c r="F2628" s="53">
        <f>IF(B2628="","",IFERROR(INDEX(Client_List!$D:$D,MATCH(VALUE(B2628),Client_List!$A:$A,0)),""))</f>
        <v/>
      </c>
      <c r="G2628" s="53">
        <f>IF(B2628="","",IFERROR(INDEX(Client_List!$K:$K,MATCH(VALUE(B2628),Client_List!$A:$A,0)),""))</f>
        <v/>
      </c>
      <c r="H2628" s="32">
        <f>IF(B2628="","",IFERROR(INDEX(Client_List!$J:$J,MATCH(VALUE(B2628),Client_List!$A:$A,0)),""))</f>
        <v/>
      </c>
      <c r="I2628" s="70">
        <f>IF(B2628="","",IFERROR(A2628-LOOKUP(2,1/($B$4:$B2627=B2628),$A$4:$A2627),""))</f>
        <v/>
      </c>
      <c r="J2628" s="32">
        <f>IF(B2628="","",IFERROR(D2628/I2628,""))</f>
        <v/>
      </c>
      <c r="K2628" s="71">
        <f>IF(B2628="","",IFERROR(AVERAGEIFS($J$4:$J2628,$B$4:$B2628,B2628,$J$4:$J2628,"&gt;"&amp;0),""))</f>
        <v/>
      </c>
      <c r="L2628" s="12" t="n"/>
    </row>
    <row r="2629" ht="14" customHeight="1" s="72">
      <c r="A2629" s="82" t="n"/>
      <c r="B2629" s="79" t="n"/>
      <c r="C2629" s="69">
        <f>IF(B2629="","",IFERROR(INDEX(Client_List!$B:$B,MATCH(B2629,Client_List!$A:$A,0)),"⚠ NOT FOUND"))</f>
        <v/>
      </c>
      <c r="D2629" s="44" t="n"/>
      <c r="E2629" s="32">
        <f>IF(B2629="","",IFERROR(INDEX(Client_List!$C:$C,MATCH(VALUE(B2629),Client_List!$A:$A,0)),""))</f>
        <v/>
      </c>
      <c r="F2629" s="53">
        <f>IF(B2629="","",IFERROR(INDEX(Client_List!$D:$D,MATCH(VALUE(B2629),Client_List!$A:$A,0)),""))</f>
        <v/>
      </c>
      <c r="G2629" s="53">
        <f>IF(B2629="","",IFERROR(INDEX(Client_List!$K:$K,MATCH(VALUE(B2629),Client_List!$A:$A,0)),""))</f>
        <v/>
      </c>
      <c r="H2629" s="32">
        <f>IF(B2629="","",IFERROR(INDEX(Client_List!$J:$J,MATCH(VALUE(B2629),Client_List!$A:$A,0)),""))</f>
        <v/>
      </c>
      <c r="I2629" s="70">
        <f>IF(B2629="","",IFERROR(A2629-LOOKUP(2,1/($B$4:$B2628=B2629),$A$4:$A2628),""))</f>
        <v/>
      </c>
      <c r="J2629" s="32">
        <f>IF(B2629="","",IFERROR(D2629/I2629,""))</f>
        <v/>
      </c>
      <c r="K2629" s="71">
        <f>IF(B2629="","",IFERROR(AVERAGEIFS($J$4:$J2629,$B$4:$B2629,B2629,$J$4:$J2629,"&gt;"&amp;0),""))</f>
        <v/>
      </c>
      <c r="L2629" s="11" t="n"/>
    </row>
    <row r="2630" ht="14" customHeight="1" s="72">
      <c r="A2630" s="83" t="n"/>
      <c r="B2630" s="81" t="n"/>
      <c r="C2630" s="69">
        <f>IF(B2630="","",IFERROR(INDEX(Client_List!$B:$B,MATCH(B2630,Client_List!$A:$A,0)),"⚠ NOT FOUND"))</f>
        <v/>
      </c>
      <c r="D2630" s="45" t="n"/>
      <c r="E2630" s="32">
        <f>IF(B2630="","",IFERROR(INDEX(Client_List!$C:$C,MATCH(VALUE(B2630),Client_List!$A:$A,0)),""))</f>
        <v/>
      </c>
      <c r="F2630" s="53">
        <f>IF(B2630="","",IFERROR(INDEX(Client_List!$D:$D,MATCH(VALUE(B2630),Client_List!$A:$A,0)),""))</f>
        <v/>
      </c>
      <c r="G2630" s="53">
        <f>IF(B2630="","",IFERROR(INDEX(Client_List!$K:$K,MATCH(VALUE(B2630),Client_List!$A:$A,0)),""))</f>
        <v/>
      </c>
      <c r="H2630" s="32">
        <f>IF(B2630="","",IFERROR(INDEX(Client_List!$J:$J,MATCH(VALUE(B2630),Client_List!$A:$A,0)),""))</f>
        <v/>
      </c>
      <c r="I2630" s="70">
        <f>IF(B2630="","",IFERROR(A2630-LOOKUP(2,1/($B$4:$B2629=B2630),$A$4:$A2629),""))</f>
        <v/>
      </c>
      <c r="J2630" s="32">
        <f>IF(B2630="","",IFERROR(D2630/I2630,""))</f>
        <v/>
      </c>
      <c r="K2630" s="71">
        <f>IF(B2630="","",IFERROR(AVERAGEIFS($J$4:$J2630,$B$4:$B2630,B2630,$J$4:$J2630,"&gt;"&amp;0),""))</f>
        <v/>
      </c>
      <c r="L2630" s="12" t="n"/>
    </row>
    <row r="2631" ht="14" customHeight="1" s="72">
      <c r="A2631" s="82" t="n"/>
      <c r="B2631" s="79" t="n"/>
      <c r="C2631" s="69">
        <f>IF(B2631="","",IFERROR(INDEX(Client_List!$B:$B,MATCH(B2631,Client_List!$A:$A,0)),"⚠ NOT FOUND"))</f>
        <v/>
      </c>
      <c r="D2631" s="44" t="n"/>
      <c r="E2631" s="32">
        <f>IF(B2631="","",IFERROR(INDEX(Client_List!$C:$C,MATCH(VALUE(B2631),Client_List!$A:$A,0)),""))</f>
        <v/>
      </c>
      <c r="F2631" s="53">
        <f>IF(B2631="","",IFERROR(INDEX(Client_List!$D:$D,MATCH(VALUE(B2631),Client_List!$A:$A,0)),""))</f>
        <v/>
      </c>
      <c r="G2631" s="53">
        <f>IF(B2631="","",IFERROR(INDEX(Client_List!$K:$K,MATCH(VALUE(B2631),Client_List!$A:$A,0)),""))</f>
        <v/>
      </c>
      <c r="H2631" s="32">
        <f>IF(B2631="","",IFERROR(INDEX(Client_List!$J:$J,MATCH(VALUE(B2631),Client_List!$A:$A,0)),""))</f>
        <v/>
      </c>
      <c r="I2631" s="70">
        <f>IF(B2631="","",IFERROR(A2631-LOOKUP(2,1/($B$4:$B2630=B2631),$A$4:$A2630),""))</f>
        <v/>
      </c>
      <c r="J2631" s="32">
        <f>IF(B2631="","",IFERROR(D2631/I2631,""))</f>
        <v/>
      </c>
      <c r="K2631" s="71">
        <f>IF(B2631="","",IFERROR(AVERAGEIFS($J$4:$J2631,$B$4:$B2631,B2631,$J$4:$J2631,"&gt;"&amp;0),""))</f>
        <v/>
      </c>
      <c r="L2631" s="11" t="n"/>
    </row>
    <row r="2632" ht="14" customHeight="1" s="72">
      <c r="A2632" s="83" t="n"/>
      <c r="B2632" s="81" t="n"/>
      <c r="C2632" s="69">
        <f>IF(B2632="","",IFERROR(INDEX(Client_List!$B:$B,MATCH(B2632,Client_List!$A:$A,0)),"⚠ NOT FOUND"))</f>
        <v/>
      </c>
      <c r="D2632" s="45" t="n"/>
      <c r="E2632" s="32">
        <f>IF(B2632="","",IFERROR(INDEX(Client_List!$C:$C,MATCH(VALUE(B2632),Client_List!$A:$A,0)),""))</f>
        <v/>
      </c>
      <c r="F2632" s="53">
        <f>IF(B2632="","",IFERROR(INDEX(Client_List!$D:$D,MATCH(VALUE(B2632),Client_List!$A:$A,0)),""))</f>
        <v/>
      </c>
      <c r="G2632" s="53">
        <f>IF(B2632="","",IFERROR(INDEX(Client_List!$K:$K,MATCH(VALUE(B2632),Client_List!$A:$A,0)),""))</f>
        <v/>
      </c>
      <c r="H2632" s="32">
        <f>IF(B2632="","",IFERROR(INDEX(Client_List!$J:$J,MATCH(VALUE(B2632),Client_List!$A:$A,0)),""))</f>
        <v/>
      </c>
      <c r="I2632" s="70">
        <f>IF(B2632="","",IFERROR(A2632-LOOKUP(2,1/($B$4:$B2631=B2632),$A$4:$A2631),""))</f>
        <v/>
      </c>
      <c r="J2632" s="32">
        <f>IF(B2632="","",IFERROR(D2632/I2632,""))</f>
        <v/>
      </c>
      <c r="K2632" s="71">
        <f>IF(B2632="","",IFERROR(AVERAGEIFS($J$4:$J2632,$B$4:$B2632,B2632,$J$4:$J2632,"&gt;"&amp;0),""))</f>
        <v/>
      </c>
      <c r="L2632" s="12" t="n"/>
    </row>
    <row r="2633" ht="14" customHeight="1" s="72">
      <c r="A2633" s="82" t="n"/>
      <c r="B2633" s="79" t="n"/>
      <c r="C2633" s="69">
        <f>IF(B2633="","",IFERROR(INDEX(Client_List!$B:$B,MATCH(B2633,Client_List!$A:$A,0)),"⚠ NOT FOUND"))</f>
        <v/>
      </c>
      <c r="D2633" s="44" t="n"/>
      <c r="E2633" s="32">
        <f>IF(B2633="","",IFERROR(INDEX(Client_List!$C:$C,MATCH(VALUE(B2633),Client_List!$A:$A,0)),""))</f>
        <v/>
      </c>
      <c r="F2633" s="53">
        <f>IF(B2633="","",IFERROR(INDEX(Client_List!$D:$D,MATCH(VALUE(B2633),Client_List!$A:$A,0)),""))</f>
        <v/>
      </c>
      <c r="G2633" s="53">
        <f>IF(B2633="","",IFERROR(INDEX(Client_List!$K:$K,MATCH(VALUE(B2633),Client_List!$A:$A,0)),""))</f>
        <v/>
      </c>
      <c r="H2633" s="32">
        <f>IF(B2633="","",IFERROR(INDEX(Client_List!$J:$J,MATCH(VALUE(B2633),Client_List!$A:$A,0)),""))</f>
        <v/>
      </c>
      <c r="I2633" s="70">
        <f>IF(B2633="","",IFERROR(A2633-LOOKUP(2,1/($B$4:$B2632=B2633),$A$4:$A2632),""))</f>
        <v/>
      </c>
      <c r="J2633" s="32">
        <f>IF(B2633="","",IFERROR(D2633/I2633,""))</f>
        <v/>
      </c>
      <c r="K2633" s="71">
        <f>IF(B2633="","",IFERROR(AVERAGEIFS($J$4:$J2633,$B$4:$B2633,B2633,$J$4:$J2633,"&gt;"&amp;0),""))</f>
        <v/>
      </c>
      <c r="L2633" s="11" t="n"/>
    </row>
    <row r="2634" ht="14" customHeight="1" s="72">
      <c r="A2634" s="83" t="n"/>
      <c r="B2634" s="81" t="n"/>
      <c r="C2634" s="69">
        <f>IF(B2634="","",IFERROR(INDEX(Client_List!$B:$B,MATCH(B2634,Client_List!$A:$A,0)),"⚠ NOT FOUND"))</f>
        <v/>
      </c>
      <c r="D2634" s="45" t="n"/>
      <c r="E2634" s="32">
        <f>IF(B2634="","",IFERROR(INDEX(Client_List!$C:$C,MATCH(VALUE(B2634),Client_List!$A:$A,0)),""))</f>
        <v/>
      </c>
      <c r="F2634" s="53">
        <f>IF(B2634="","",IFERROR(INDEX(Client_List!$D:$D,MATCH(VALUE(B2634),Client_List!$A:$A,0)),""))</f>
        <v/>
      </c>
      <c r="G2634" s="53">
        <f>IF(B2634="","",IFERROR(INDEX(Client_List!$K:$K,MATCH(VALUE(B2634),Client_List!$A:$A,0)),""))</f>
        <v/>
      </c>
      <c r="H2634" s="32">
        <f>IF(B2634="","",IFERROR(INDEX(Client_List!$J:$J,MATCH(VALUE(B2634),Client_List!$A:$A,0)),""))</f>
        <v/>
      </c>
      <c r="I2634" s="70">
        <f>IF(B2634="","",IFERROR(A2634-LOOKUP(2,1/($B$4:$B2633=B2634),$A$4:$A2633),""))</f>
        <v/>
      </c>
      <c r="J2634" s="32">
        <f>IF(B2634="","",IFERROR(D2634/I2634,""))</f>
        <v/>
      </c>
      <c r="K2634" s="71">
        <f>IF(B2634="","",IFERROR(AVERAGEIFS($J$4:$J2634,$B$4:$B2634,B2634,$J$4:$J2634,"&gt;"&amp;0),""))</f>
        <v/>
      </c>
      <c r="L2634" s="12" t="n"/>
    </row>
    <row r="2635" ht="14" customHeight="1" s="72">
      <c r="A2635" s="82" t="n"/>
      <c r="B2635" s="79" t="n"/>
      <c r="C2635" s="69">
        <f>IF(B2635="","",IFERROR(INDEX(Client_List!$B:$B,MATCH(B2635,Client_List!$A:$A,0)),"⚠ NOT FOUND"))</f>
        <v/>
      </c>
      <c r="D2635" s="44" t="n"/>
      <c r="E2635" s="32">
        <f>IF(B2635="","",IFERROR(INDEX(Client_List!$C:$C,MATCH(VALUE(B2635),Client_List!$A:$A,0)),""))</f>
        <v/>
      </c>
      <c r="F2635" s="53">
        <f>IF(B2635="","",IFERROR(INDEX(Client_List!$D:$D,MATCH(VALUE(B2635),Client_List!$A:$A,0)),""))</f>
        <v/>
      </c>
      <c r="G2635" s="53">
        <f>IF(B2635="","",IFERROR(INDEX(Client_List!$K:$K,MATCH(VALUE(B2635),Client_List!$A:$A,0)),""))</f>
        <v/>
      </c>
      <c r="H2635" s="32">
        <f>IF(B2635="","",IFERROR(INDEX(Client_List!$J:$J,MATCH(VALUE(B2635),Client_List!$A:$A,0)),""))</f>
        <v/>
      </c>
      <c r="I2635" s="70">
        <f>IF(B2635="","",IFERROR(A2635-LOOKUP(2,1/($B$4:$B2634=B2635),$A$4:$A2634),""))</f>
        <v/>
      </c>
      <c r="J2635" s="32">
        <f>IF(B2635="","",IFERROR(D2635/I2635,""))</f>
        <v/>
      </c>
      <c r="K2635" s="71">
        <f>IF(B2635="","",IFERROR(AVERAGEIFS($J$4:$J2635,$B$4:$B2635,B2635,$J$4:$J2635,"&gt;"&amp;0),""))</f>
        <v/>
      </c>
      <c r="L2635" s="11" t="n"/>
    </row>
    <row r="2636" ht="14" customHeight="1" s="72">
      <c r="A2636" s="83" t="n"/>
      <c r="B2636" s="81" t="n"/>
      <c r="C2636" s="69">
        <f>IF(B2636="","",IFERROR(INDEX(Client_List!$B:$B,MATCH(B2636,Client_List!$A:$A,0)),"⚠ NOT FOUND"))</f>
        <v/>
      </c>
      <c r="D2636" s="45" t="n"/>
      <c r="E2636" s="32">
        <f>IF(B2636="","",IFERROR(INDEX(Client_List!$C:$C,MATCH(VALUE(B2636),Client_List!$A:$A,0)),""))</f>
        <v/>
      </c>
      <c r="F2636" s="53">
        <f>IF(B2636="","",IFERROR(INDEX(Client_List!$D:$D,MATCH(VALUE(B2636),Client_List!$A:$A,0)),""))</f>
        <v/>
      </c>
      <c r="G2636" s="53">
        <f>IF(B2636="","",IFERROR(INDEX(Client_List!$K:$K,MATCH(VALUE(B2636),Client_List!$A:$A,0)),""))</f>
        <v/>
      </c>
      <c r="H2636" s="32">
        <f>IF(B2636="","",IFERROR(INDEX(Client_List!$J:$J,MATCH(VALUE(B2636),Client_List!$A:$A,0)),""))</f>
        <v/>
      </c>
      <c r="I2636" s="70">
        <f>IF(B2636="","",IFERROR(A2636-LOOKUP(2,1/($B$4:$B2635=B2636),$A$4:$A2635),""))</f>
        <v/>
      </c>
      <c r="J2636" s="32">
        <f>IF(B2636="","",IFERROR(D2636/I2636,""))</f>
        <v/>
      </c>
      <c r="K2636" s="71">
        <f>IF(B2636="","",IFERROR(AVERAGEIFS($J$4:$J2636,$B$4:$B2636,B2636,$J$4:$J2636,"&gt;"&amp;0),""))</f>
        <v/>
      </c>
      <c r="L2636" s="12" t="n"/>
    </row>
    <row r="2637" ht="14" customHeight="1" s="72">
      <c r="A2637" s="82" t="n"/>
      <c r="B2637" s="79" t="n"/>
      <c r="C2637" s="69">
        <f>IF(B2637="","",IFERROR(INDEX(Client_List!$B:$B,MATCH(B2637,Client_List!$A:$A,0)),"⚠ NOT FOUND"))</f>
        <v/>
      </c>
      <c r="D2637" s="44" t="n"/>
      <c r="E2637" s="32">
        <f>IF(B2637="","",IFERROR(INDEX(Client_List!$C:$C,MATCH(VALUE(B2637),Client_List!$A:$A,0)),""))</f>
        <v/>
      </c>
      <c r="F2637" s="53">
        <f>IF(B2637="","",IFERROR(INDEX(Client_List!$D:$D,MATCH(VALUE(B2637),Client_List!$A:$A,0)),""))</f>
        <v/>
      </c>
      <c r="G2637" s="53">
        <f>IF(B2637="","",IFERROR(INDEX(Client_List!$K:$K,MATCH(VALUE(B2637),Client_List!$A:$A,0)),""))</f>
        <v/>
      </c>
      <c r="H2637" s="32">
        <f>IF(B2637="","",IFERROR(INDEX(Client_List!$J:$J,MATCH(VALUE(B2637),Client_List!$A:$A,0)),""))</f>
        <v/>
      </c>
      <c r="I2637" s="70">
        <f>IF(B2637="","",IFERROR(A2637-LOOKUP(2,1/($B$4:$B2636=B2637),$A$4:$A2636),""))</f>
        <v/>
      </c>
      <c r="J2637" s="32">
        <f>IF(B2637="","",IFERROR(D2637/I2637,""))</f>
        <v/>
      </c>
      <c r="K2637" s="71">
        <f>IF(B2637="","",IFERROR(AVERAGEIFS($J$4:$J2637,$B$4:$B2637,B2637,$J$4:$J2637,"&gt;"&amp;0),""))</f>
        <v/>
      </c>
      <c r="L2637" s="11" t="n"/>
    </row>
    <row r="2638" ht="14" customHeight="1" s="72">
      <c r="A2638" s="83" t="n"/>
      <c r="B2638" s="81" t="n"/>
      <c r="C2638" s="69">
        <f>IF(B2638="","",IFERROR(INDEX(Client_List!$B:$B,MATCH(B2638,Client_List!$A:$A,0)),"⚠ NOT FOUND"))</f>
        <v/>
      </c>
      <c r="D2638" s="45" t="n"/>
      <c r="E2638" s="32">
        <f>IF(B2638="","",IFERROR(INDEX(Client_List!$C:$C,MATCH(VALUE(B2638),Client_List!$A:$A,0)),""))</f>
        <v/>
      </c>
      <c r="F2638" s="53">
        <f>IF(B2638="","",IFERROR(INDEX(Client_List!$D:$D,MATCH(VALUE(B2638),Client_List!$A:$A,0)),""))</f>
        <v/>
      </c>
      <c r="G2638" s="53">
        <f>IF(B2638="","",IFERROR(INDEX(Client_List!$K:$K,MATCH(VALUE(B2638),Client_List!$A:$A,0)),""))</f>
        <v/>
      </c>
      <c r="H2638" s="32">
        <f>IF(B2638="","",IFERROR(INDEX(Client_List!$J:$J,MATCH(VALUE(B2638),Client_List!$A:$A,0)),""))</f>
        <v/>
      </c>
      <c r="I2638" s="70">
        <f>IF(B2638="","",IFERROR(A2638-LOOKUP(2,1/($B$4:$B2637=B2638),$A$4:$A2637),""))</f>
        <v/>
      </c>
      <c r="J2638" s="32">
        <f>IF(B2638="","",IFERROR(D2638/I2638,""))</f>
        <v/>
      </c>
      <c r="K2638" s="71">
        <f>IF(B2638="","",IFERROR(AVERAGEIFS($J$4:$J2638,$B$4:$B2638,B2638,$J$4:$J2638,"&gt;"&amp;0),""))</f>
        <v/>
      </c>
      <c r="L2638" s="12" t="n"/>
    </row>
    <row r="2639" ht="14" customHeight="1" s="72">
      <c r="A2639" s="82" t="n"/>
      <c r="B2639" s="79" t="n"/>
      <c r="C2639" s="69">
        <f>IF(B2639="","",IFERROR(INDEX(Client_List!$B:$B,MATCH(B2639,Client_List!$A:$A,0)),"⚠ NOT FOUND"))</f>
        <v/>
      </c>
      <c r="D2639" s="44" t="n"/>
      <c r="E2639" s="32">
        <f>IF(B2639="","",IFERROR(INDEX(Client_List!$C:$C,MATCH(VALUE(B2639),Client_List!$A:$A,0)),""))</f>
        <v/>
      </c>
      <c r="F2639" s="53">
        <f>IF(B2639="","",IFERROR(INDEX(Client_List!$D:$D,MATCH(VALUE(B2639),Client_List!$A:$A,0)),""))</f>
        <v/>
      </c>
      <c r="G2639" s="53">
        <f>IF(B2639="","",IFERROR(INDEX(Client_List!$K:$K,MATCH(VALUE(B2639),Client_List!$A:$A,0)),""))</f>
        <v/>
      </c>
      <c r="H2639" s="32">
        <f>IF(B2639="","",IFERROR(INDEX(Client_List!$J:$J,MATCH(VALUE(B2639),Client_List!$A:$A,0)),""))</f>
        <v/>
      </c>
      <c r="I2639" s="70">
        <f>IF(B2639="","",IFERROR(A2639-LOOKUP(2,1/($B$4:$B2638=B2639),$A$4:$A2638),""))</f>
        <v/>
      </c>
      <c r="J2639" s="32">
        <f>IF(B2639="","",IFERROR(D2639/I2639,""))</f>
        <v/>
      </c>
      <c r="K2639" s="71">
        <f>IF(B2639="","",IFERROR(AVERAGEIFS($J$4:$J2639,$B$4:$B2639,B2639,$J$4:$J2639,"&gt;"&amp;0),""))</f>
        <v/>
      </c>
      <c r="L2639" s="11" t="n"/>
    </row>
    <row r="2640" ht="14" customHeight="1" s="72">
      <c r="A2640" s="83" t="n"/>
      <c r="B2640" s="81" t="n"/>
      <c r="C2640" s="69">
        <f>IF(B2640="","",IFERROR(INDEX(Client_List!$B:$B,MATCH(B2640,Client_List!$A:$A,0)),"⚠ NOT FOUND"))</f>
        <v/>
      </c>
      <c r="D2640" s="45" t="n"/>
      <c r="E2640" s="32">
        <f>IF(B2640="","",IFERROR(INDEX(Client_List!$C:$C,MATCH(VALUE(B2640),Client_List!$A:$A,0)),""))</f>
        <v/>
      </c>
      <c r="F2640" s="53">
        <f>IF(B2640="","",IFERROR(INDEX(Client_List!$D:$D,MATCH(VALUE(B2640),Client_List!$A:$A,0)),""))</f>
        <v/>
      </c>
      <c r="G2640" s="53">
        <f>IF(B2640="","",IFERROR(INDEX(Client_List!$K:$K,MATCH(VALUE(B2640),Client_List!$A:$A,0)),""))</f>
        <v/>
      </c>
      <c r="H2640" s="32">
        <f>IF(B2640="","",IFERROR(INDEX(Client_List!$J:$J,MATCH(VALUE(B2640),Client_List!$A:$A,0)),""))</f>
        <v/>
      </c>
      <c r="I2640" s="70">
        <f>IF(B2640="","",IFERROR(A2640-LOOKUP(2,1/($B$4:$B2639=B2640),$A$4:$A2639),""))</f>
        <v/>
      </c>
      <c r="J2640" s="32">
        <f>IF(B2640="","",IFERROR(D2640/I2640,""))</f>
        <v/>
      </c>
      <c r="K2640" s="71">
        <f>IF(B2640="","",IFERROR(AVERAGEIFS($J$4:$J2640,$B$4:$B2640,B2640,$J$4:$J2640,"&gt;"&amp;0),""))</f>
        <v/>
      </c>
      <c r="L2640" s="12" t="n"/>
    </row>
    <row r="2641" ht="14" customHeight="1" s="72">
      <c r="A2641" s="82" t="n"/>
      <c r="B2641" s="79" t="n"/>
      <c r="C2641" s="69">
        <f>IF(B2641="","",IFERROR(INDEX(Client_List!$B:$B,MATCH(B2641,Client_List!$A:$A,0)),"⚠ NOT FOUND"))</f>
        <v/>
      </c>
      <c r="D2641" s="44" t="n"/>
      <c r="E2641" s="32">
        <f>IF(B2641="","",IFERROR(INDEX(Client_List!$C:$C,MATCH(VALUE(B2641),Client_List!$A:$A,0)),""))</f>
        <v/>
      </c>
      <c r="F2641" s="53">
        <f>IF(B2641="","",IFERROR(INDEX(Client_List!$D:$D,MATCH(VALUE(B2641),Client_List!$A:$A,0)),""))</f>
        <v/>
      </c>
      <c r="G2641" s="53">
        <f>IF(B2641="","",IFERROR(INDEX(Client_List!$K:$K,MATCH(VALUE(B2641),Client_List!$A:$A,0)),""))</f>
        <v/>
      </c>
      <c r="H2641" s="32">
        <f>IF(B2641="","",IFERROR(INDEX(Client_List!$J:$J,MATCH(VALUE(B2641),Client_List!$A:$A,0)),""))</f>
        <v/>
      </c>
      <c r="I2641" s="70">
        <f>IF(B2641="","",IFERROR(A2641-LOOKUP(2,1/($B$4:$B2640=B2641),$A$4:$A2640),""))</f>
        <v/>
      </c>
      <c r="J2641" s="32">
        <f>IF(B2641="","",IFERROR(D2641/I2641,""))</f>
        <v/>
      </c>
      <c r="K2641" s="71">
        <f>IF(B2641="","",IFERROR(AVERAGEIFS($J$4:$J2641,$B$4:$B2641,B2641,$J$4:$J2641,"&gt;"&amp;0),""))</f>
        <v/>
      </c>
      <c r="L2641" s="11" t="n"/>
    </row>
    <row r="2642" ht="14" customHeight="1" s="72">
      <c r="A2642" s="83" t="n"/>
      <c r="B2642" s="81" t="n"/>
      <c r="C2642" s="69">
        <f>IF(B2642="","",IFERROR(INDEX(Client_List!$B:$B,MATCH(B2642,Client_List!$A:$A,0)),"⚠ NOT FOUND"))</f>
        <v/>
      </c>
      <c r="D2642" s="45" t="n"/>
      <c r="E2642" s="32">
        <f>IF(B2642="","",IFERROR(INDEX(Client_List!$C:$C,MATCH(VALUE(B2642),Client_List!$A:$A,0)),""))</f>
        <v/>
      </c>
      <c r="F2642" s="53">
        <f>IF(B2642="","",IFERROR(INDEX(Client_List!$D:$D,MATCH(VALUE(B2642),Client_List!$A:$A,0)),""))</f>
        <v/>
      </c>
      <c r="G2642" s="53">
        <f>IF(B2642="","",IFERROR(INDEX(Client_List!$K:$K,MATCH(VALUE(B2642),Client_List!$A:$A,0)),""))</f>
        <v/>
      </c>
      <c r="H2642" s="32">
        <f>IF(B2642="","",IFERROR(INDEX(Client_List!$J:$J,MATCH(VALUE(B2642),Client_List!$A:$A,0)),""))</f>
        <v/>
      </c>
      <c r="I2642" s="70">
        <f>IF(B2642="","",IFERROR(A2642-LOOKUP(2,1/($B$4:$B2641=B2642),$A$4:$A2641),""))</f>
        <v/>
      </c>
      <c r="J2642" s="32">
        <f>IF(B2642="","",IFERROR(D2642/I2642,""))</f>
        <v/>
      </c>
      <c r="K2642" s="71">
        <f>IF(B2642="","",IFERROR(AVERAGEIFS($J$4:$J2642,$B$4:$B2642,B2642,$J$4:$J2642,"&gt;"&amp;0),""))</f>
        <v/>
      </c>
      <c r="L2642" s="12" t="n"/>
    </row>
    <row r="2643" ht="14" customHeight="1" s="72">
      <c r="A2643" s="82" t="n"/>
      <c r="B2643" s="79" t="n"/>
      <c r="C2643" s="69">
        <f>IF(B2643="","",IFERROR(INDEX(Client_List!$B:$B,MATCH(B2643,Client_List!$A:$A,0)),"⚠ NOT FOUND"))</f>
        <v/>
      </c>
      <c r="D2643" s="44" t="n"/>
      <c r="E2643" s="32">
        <f>IF(B2643="","",IFERROR(INDEX(Client_List!$C:$C,MATCH(VALUE(B2643),Client_List!$A:$A,0)),""))</f>
        <v/>
      </c>
      <c r="F2643" s="53">
        <f>IF(B2643="","",IFERROR(INDEX(Client_List!$D:$D,MATCH(VALUE(B2643),Client_List!$A:$A,0)),""))</f>
        <v/>
      </c>
      <c r="G2643" s="53">
        <f>IF(B2643="","",IFERROR(INDEX(Client_List!$K:$K,MATCH(VALUE(B2643),Client_List!$A:$A,0)),""))</f>
        <v/>
      </c>
      <c r="H2643" s="32">
        <f>IF(B2643="","",IFERROR(INDEX(Client_List!$J:$J,MATCH(VALUE(B2643),Client_List!$A:$A,0)),""))</f>
        <v/>
      </c>
      <c r="I2643" s="70">
        <f>IF(B2643="","",IFERROR(A2643-LOOKUP(2,1/($B$4:$B2642=B2643),$A$4:$A2642),""))</f>
        <v/>
      </c>
      <c r="J2643" s="32">
        <f>IF(B2643="","",IFERROR(D2643/I2643,""))</f>
        <v/>
      </c>
      <c r="K2643" s="71">
        <f>IF(B2643="","",IFERROR(AVERAGEIFS($J$4:$J2643,$B$4:$B2643,B2643,$J$4:$J2643,"&gt;"&amp;0),""))</f>
        <v/>
      </c>
      <c r="L2643" s="11" t="n"/>
    </row>
    <row r="2644" ht="14" customHeight="1" s="72">
      <c r="A2644" s="83" t="n"/>
      <c r="B2644" s="81" t="n"/>
      <c r="C2644" s="69">
        <f>IF(B2644="","",IFERROR(INDEX(Client_List!$B:$B,MATCH(B2644,Client_List!$A:$A,0)),"⚠ NOT FOUND"))</f>
        <v/>
      </c>
      <c r="D2644" s="45" t="n"/>
      <c r="E2644" s="32">
        <f>IF(B2644="","",IFERROR(INDEX(Client_List!$C:$C,MATCH(VALUE(B2644),Client_List!$A:$A,0)),""))</f>
        <v/>
      </c>
      <c r="F2644" s="53">
        <f>IF(B2644="","",IFERROR(INDEX(Client_List!$D:$D,MATCH(VALUE(B2644),Client_List!$A:$A,0)),""))</f>
        <v/>
      </c>
      <c r="G2644" s="53">
        <f>IF(B2644="","",IFERROR(INDEX(Client_List!$K:$K,MATCH(VALUE(B2644),Client_List!$A:$A,0)),""))</f>
        <v/>
      </c>
      <c r="H2644" s="32">
        <f>IF(B2644="","",IFERROR(INDEX(Client_List!$J:$J,MATCH(VALUE(B2644),Client_List!$A:$A,0)),""))</f>
        <v/>
      </c>
      <c r="I2644" s="70">
        <f>IF(B2644="","",IFERROR(A2644-LOOKUP(2,1/($B$4:$B2643=B2644),$A$4:$A2643),""))</f>
        <v/>
      </c>
      <c r="J2644" s="32">
        <f>IF(B2644="","",IFERROR(D2644/I2644,""))</f>
        <v/>
      </c>
      <c r="K2644" s="71">
        <f>IF(B2644="","",IFERROR(AVERAGEIFS($J$4:$J2644,$B$4:$B2644,B2644,$J$4:$J2644,"&gt;"&amp;0),""))</f>
        <v/>
      </c>
      <c r="L2644" s="12" t="n"/>
    </row>
    <row r="2645" ht="14" customHeight="1" s="72">
      <c r="A2645" s="82" t="n"/>
      <c r="B2645" s="79" t="n"/>
      <c r="C2645" s="69">
        <f>IF(B2645="","",IFERROR(INDEX(Client_List!$B:$B,MATCH(B2645,Client_List!$A:$A,0)),"⚠ NOT FOUND"))</f>
        <v/>
      </c>
      <c r="D2645" s="44" t="n"/>
      <c r="E2645" s="32">
        <f>IF(B2645="","",IFERROR(INDEX(Client_List!$C:$C,MATCH(VALUE(B2645),Client_List!$A:$A,0)),""))</f>
        <v/>
      </c>
      <c r="F2645" s="53">
        <f>IF(B2645="","",IFERROR(INDEX(Client_List!$D:$D,MATCH(VALUE(B2645),Client_List!$A:$A,0)),""))</f>
        <v/>
      </c>
      <c r="G2645" s="53">
        <f>IF(B2645="","",IFERROR(INDEX(Client_List!$K:$K,MATCH(VALUE(B2645),Client_List!$A:$A,0)),""))</f>
        <v/>
      </c>
      <c r="H2645" s="32">
        <f>IF(B2645="","",IFERROR(INDEX(Client_List!$J:$J,MATCH(VALUE(B2645),Client_List!$A:$A,0)),""))</f>
        <v/>
      </c>
      <c r="I2645" s="70">
        <f>IF(B2645="","",IFERROR(A2645-LOOKUP(2,1/($B$4:$B2644=B2645),$A$4:$A2644),""))</f>
        <v/>
      </c>
      <c r="J2645" s="32">
        <f>IF(B2645="","",IFERROR(D2645/I2645,""))</f>
        <v/>
      </c>
      <c r="K2645" s="71">
        <f>IF(B2645="","",IFERROR(AVERAGEIFS($J$4:$J2645,$B$4:$B2645,B2645,$J$4:$J2645,"&gt;"&amp;0),""))</f>
        <v/>
      </c>
      <c r="L2645" s="11" t="n"/>
    </row>
    <row r="2646" ht="14" customHeight="1" s="72">
      <c r="A2646" s="83" t="n"/>
      <c r="B2646" s="81" t="n"/>
      <c r="C2646" s="69">
        <f>IF(B2646="","",IFERROR(INDEX(Client_List!$B:$B,MATCH(B2646,Client_List!$A:$A,0)),"⚠ NOT FOUND"))</f>
        <v/>
      </c>
      <c r="D2646" s="45" t="n"/>
      <c r="E2646" s="32">
        <f>IF(B2646="","",IFERROR(INDEX(Client_List!$C:$C,MATCH(VALUE(B2646),Client_List!$A:$A,0)),""))</f>
        <v/>
      </c>
      <c r="F2646" s="53">
        <f>IF(B2646="","",IFERROR(INDEX(Client_List!$D:$D,MATCH(VALUE(B2646),Client_List!$A:$A,0)),""))</f>
        <v/>
      </c>
      <c r="G2646" s="53">
        <f>IF(B2646="","",IFERROR(INDEX(Client_List!$K:$K,MATCH(VALUE(B2646),Client_List!$A:$A,0)),""))</f>
        <v/>
      </c>
      <c r="H2646" s="32">
        <f>IF(B2646="","",IFERROR(INDEX(Client_List!$J:$J,MATCH(VALUE(B2646),Client_List!$A:$A,0)),""))</f>
        <v/>
      </c>
      <c r="I2646" s="70">
        <f>IF(B2646="","",IFERROR(A2646-LOOKUP(2,1/($B$4:$B2645=B2646),$A$4:$A2645),""))</f>
        <v/>
      </c>
      <c r="J2646" s="32">
        <f>IF(B2646="","",IFERROR(D2646/I2646,""))</f>
        <v/>
      </c>
      <c r="K2646" s="71">
        <f>IF(B2646="","",IFERROR(AVERAGEIFS($J$4:$J2646,$B$4:$B2646,B2646,$J$4:$J2646,"&gt;"&amp;0),""))</f>
        <v/>
      </c>
      <c r="L2646" s="12" t="n"/>
    </row>
    <row r="2647" ht="14" customHeight="1" s="72">
      <c r="A2647" s="82" t="n"/>
      <c r="B2647" s="79" t="n"/>
      <c r="C2647" s="69">
        <f>IF(B2647="","",IFERROR(INDEX(Client_List!$B:$B,MATCH(B2647,Client_List!$A:$A,0)),"⚠ NOT FOUND"))</f>
        <v/>
      </c>
      <c r="D2647" s="44" t="n"/>
      <c r="E2647" s="32">
        <f>IF(B2647="","",IFERROR(INDEX(Client_List!$C:$C,MATCH(VALUE(B2647),Client_List!$A:$A,0)),""))</f>
        <v/>
      </c>
      <c r="F2647" s="53">
        <f>IF(B2647="","",IFERROR(INDEX(Client_List!$D:$D,MATCH(VALUE(B2647),Client_List!$A:$A,0)),""))</f>
        <v/>
      </c>
      <c r="G2647" s="53">
        <f>IF(B2647="","",IFERROR(INDEX(Client_List!$K:$K,MATCH(VALUE(B2647),Client_List!$A:$A,0)),""))</f>
        <v/>
      </c>
      <c r="H2647" s="32">
        <f>IF(B2647="","",IFERROR(INDEX(Client_List!$J:$J,MATCH(VALUE(B2647),Client_List!$A:$A,0)),""))</f>
        <v/>
      </c>
      <c r="I2647" s="70">
        <f>IF(B2647="","",IFERROR(A2647-LOOKUP(2,1/($B$4:$B2646=B2647),$A$4:$A2646),""))</f>
        <v/>
      </c>
      <c r="J2647" s="32">
        <f>IF(B2647="","",IFERROR(D2647/I2647,""))</f>
        <v/>
      </c>
      <c r="K2647" s="71">
        <f>IF(B2647="","",IFERROR(AVERAGEIFS($J$4:$J2647,$B$4:$B2647,B2647,$J$4:$J2647,"&gt;"&amp;0),""))</f>
        <v/>
      </c>
      <c r="L2647" s="11" t="n"/>
    </row>
    <row r="2648" ht="14" customHeight="1" s="72">
      <c r="A2648" s="83" t="n"/>
      <c r="B2648" s="81" t="n"/>
      <c r="C2648" s="69">
        <f>IF(B2648="","",IFERROR(INDEX(Client_List!$B:$B,MATCH(B2648,Client_List!$A:$A,0)),"⚠ NOT FOUND"))</f>
        <v/>
      </c>
      <c r="D2648" s="45" t="n"/>
      <c r="E2648" s="32">
        <f>IF(B2648="","",IFERROR(INDEX(Client_List!$C:$C,MATCH(VALUE(B2648),Client_List!$A:$A,0)),""))</f>
        <v/>
      </c>
      <c r="F2648" s="53">
        <f>IF(B2648="","",IFERROR(INDEX(Client_List!$D:$D,MATCH(VALUE(B2648),Client_List!$A:$A,0)),""))</f>
        <v/>
      </c>
      <c r="G2648" s="53">
        <f>IF(B2648="","",IFERROR(INDEX(Client_List!$K:$K,MATCH(VALUE(B2648),Client_List!$A:$A,0)),""))</f>
        <v/>
      </c>
      <c r="H2648" s="32">
        <f>IF(B2648="","",IFERROR(INDEX(Client_List!$J:$J,MATCH(VALUE(B2648),Client_List!$A:$A,0)),""))</f>
        <v/>
      </c>
      <c r="I2648" s="70">
        <f>IF(B2648="","",IFERROR(A2648-LOOKUP(2,1/($B$4:$B2647=B2648),$A$4:$A2647),""))</f>
        <v/>
      </c>
      <c r="J2648" s="32">
        <f>IF(B2648="","",IFERROR(D2648/I2648,""))</f>
        <v/>
      </c>
      <c r="K2648" s="71">
        <f>IF(B2648="","",IFERROR(AVERAGEIFS($J$4:$J2648,$B$4:$B2648,B2648,$J$4:$J2648,"&gt;"&amp;0),""))</f>
        <v/>
      </c>
      <c r="L2648" s="12" t="n"/>
    </row>
    <row r="2649" ht="14" customHeight="1" s="72">
      <c r="A2649" s="82" t="n"/>
      <c r="B2649" s="79" t="n"/>
      <c r="C2649" s="69">
        <f>IF(B2649="","",IFERROR(INDEX(Client_List!$B:$B,MATCH(B2649,Client_List!$A:$A,0)),"⚠ NOT FOUND"))</f>
        <v/>
      </c>
      <c r="D2649" s="44" t="n"/>
      <c r="E2649" s="32">
        <f>IF(B2649="","",IFERROR(INDEX(Client_List!$C:$C,MATCH(VALUE(B2649),Client_List!$A:$A,0)),""))</f>
        <v/>
      </c>
      <c r="F2649" s="53">
        <f>IF(B2649="","",IFERROR(INDEX(Client_List!$D:$D,MATCH(VALUE(B2649),Client_List!$A:$A,0)),""))</f>
        <v/>
      </c>
      <c r="G2649" s="53">
        <f>IF(B2649="","",IFERROR(INDEX(Client_List!$K:$K,MATCH(VALUE(B2649),Client_List!$A:$A,0)),""))</f>
        <v/>
      </c>
      <c r="H2649" s="32">
        <f>IF(B2649="","",IFERROR(INDEX(Client_List!$J:$J,MATCH(VALUE(B2649),Client_List!$A:$A,0)),""))</f>
        <v/>
      </c>
      <c r="I2649" s="70">
        <f>IF(B2649="","",IFERROR(A2649-LOOKUP(2,1/($B$4:$B2648=B2649),$A$4:$A2648),""))</f>
        <v/>
      </c>
      <c r="J2649" s="32">
        <f>IF(B2649="","",IFERROR(D2649/I2649,""))</f>
        <v/>
      </c>
      <c r="K2649" s="71">
        <f>IF(B2649="","",IFERROR(AVERAGEIFS($J$4:$J2649,$B$4:$B2649,B2649,$J$4:$J2649,"&gt;"&amp;0),""))</f>
        <v/>
      </c>
      <c r="L2649" s="11" t="n"/>
    </row>
    <row r="2650" ht="14" customHeight="1" s="72">
      <c r="A2650" s="83" t="n"/>
      <c r="B2650" s="81" t="n"/>
      <c r="C2650" s="69">
        <f>IF(B2650="","",IFERROR(INDEX(Client_List!$B:$B,MATCH(B2650,Client_List!$A:$A,0)),"⚠ NOT FOUND"))</f>
        <v/>
      </c>
      <c r="D2650" s="45" t="n"/>
      <c r="E2650" s="32">
        <f>IF(B2650="","",IFERROR(INDEX(Client_List!$C:$C,MATCH(VALUE(B2650),Client_List!$A:$A,0)),""))</f>
        <v/>
      </c>
      <c r="F2650" s="53">
        <f>IF(B2650="","",IFERROR(INDEX(Client_List!$D:$D,MATCH(VALUE(B2650),Client_List!$A:$A,0)),""))</f>
        <v/>
      </c>
      <c r="G2650" s="53">
        <f>IF(B2650="","",IFERROR(INDEX(Client_List!$K:$K,MATCH(VALUE(B2650),Client_List!$A:$A,0)),""))</f>
        <v/>
      </c>
      <c r="H2650" s="32">
        <f>IF(B2650="","",IFERROR(INDEX(Client_List!$J:$J,MATCH(VALUE(B2650),Client_List!$A:$A,0)),""))</f>
        <v/>
      </c>
      <c r="I2650" s="70">
        <f>IF(B2650="","",IFERROR(A2650-LOOKUP(2,1/($B$4:$B2649=B2650),$A$4:$A2649),""))</f>
        <v/>
      </c>
      <c r="J2650" s="32">
        <f>IF(B2650="","",IFERROR(D2650/I2650,""))</f>
        <v/>
      </c>
      <c r="K2650" s="71">
        <f>IF(B2650="","",IFERROR(AVERAGEIFS($J$4:$J2650,$B$4:$B2650,B2650,$J$4:$J2650,"&gt;"&amp;0),""))</f>
        <v/>
      </c>
      <c r="L2650" s="12" t="n"/>
    </row>
    <row r="2651" ht="14" customHeight="1" s="72">
      <c r="A2651" s="82" t="n"/>
      <c r="B2651" s="79" t="n"/>
      <c r="C2651" s="69">
        <f>IF(B2651="","",IFERROR(INDEX(Client_List!$B:$B,MATCH(B2651,Client_List!$A:$A,0)),"⚠ NOT FOUND"))</f>
        <v/>
      </c>
      <c r="D2651" s="44" t="n"/>
      <c r="E2651" s="32">
        <f>IF(B2651="","",IFERROR(INDEX(Client_List!$C:$C,MATCH(VALUE(B2651),Client_List!$A:$A,0)),""))</f>
        <v/>
      </c>
      <c r="F2651" s="53">
        <f>IF(B2651="","",IFERROR(INDEX(Client_List!$D:$D,MATCH(VALUE(B2651),Client_List!$A:$A,0)),""))</f>
        <v/>
      </c>
      <c r="G2651" s="53">
        <f>IF(B2651="","",IFERROR(INDEX(Client_List!$K:$K,MATCH(VALUE(B2651),Client_List!$A:$A,0)),""))</f>
        <v/>
      </c>
      <c r="H2651" s="32">
        <f>IF(B2651="","",IFERROR(INDEX(Client_List!$J:$J,MATCH(VALUE(B2651),Client_List!$A:$A,0)),""))</f>
        <v/>
      </c>
      <c r="I2651" s="70">
        <f>IF(B2651="","",IFERROR(A2651-LOOKUP(2,1/($B$4:$B2650=B2651),$A$4:$A2650),""))</f>
        <v/>
      </c>
      <c r="J2651" s="32">
        <f>IF(B2651="","",IFERROR(D2651/I2651,""))</f>
        <v/>
      </c>
      <c r="K2651" s="71">
        <f>IF(B2651="","",IFERROR(AVERAGEIFS($J$4:$J2651,$B$4:$B2651,B2651,$J$4:$J2651,"&gt;"&amp;0),""))</f>
        <v/>
      </c>
      <c r="L2651" s="11" t="n"/>
    </row>
    <row r="2652" ht="14" customHeight="1" s="72">
      <c r="A2652" s="83" t="n"/>
      <c r="B2652" s="81" t="n"/>
      <c r="C2652" s="69">
        <f>IF(B2652="","",IFERROR(INDEX(Client_List!$B:$B,MATCH(B2652,Client_List!$A:$A,0)),"⚠ NOT FOUND"))</f>
        <v/>
      </c>
      <c r="D2652" s="45" t="n"/>
      <c r="E2652" s="32">
        <f>IF(B2652="","",IFERROR(INDEX(Client_List!$C:$C,MATCH(VALUE(B2652),Client_List!$A:$A,0)),""))</f>
        <v/>
      </c>
      <c r="F2652" s="53">
        <f>IF(B2652="","",IFERROR(INDEX(Client_List!$D:$D,MATCH(VALUE(B2652),Client_List!$A:$A,0)),""))</f>
        <v/>
      </c>
      <c r="G2652" s="53">
        <f>IF(B2652="","",IFERROR(INDEX(Client_List!$K:$K,MATCH(VALUE(B2652),Client_List!$A:$A,0)),""))</f>
        <v/>
      </c>
      <c r="H2652" s="32">
        <f>IF(B2652="","",IFERROR(INDEX(Client_List!$J:$J,MATCH(VALUE(B2652),Client_List!$A:$A,0)),""))</f>
        <v/>
      </c>
      <c r="I2652" s="70">
        <f>IF(B2652="","",IFERROR(A2652-LOOKUP(2,1/($B$4:$B2651=B2652),$A$4:$A2651),""))</f>
        <v/>
      </c>
      <c r="J2652" s="32">
        <f>IF(B2652="","",IFERROR(D2652/I2652,""))</f>
        <v/>
      </c>
      <c r="K2652" s="71">
        <f>IF(B2652="","",IFERROR(AVERAGEIFS($J$4:$J2652,$B$4:$B2652,B2652,$J$4:$J2652,"&gt;"&amp;0),""))</f>
        <v/>
      </c>
      <c r="L2652" s="12" t="n"/>
    </row>
    <row r="2653" ht="14" customHeight="1" s="72">
      <c r="A2653" s="82" t="n"/>
      <c r="B2653" s="79" t="n"/>
      <c r="C2653" s="69">
        <f>IF(B2653="","",IFERROR(INDEX(Client_List!$B:$B,MATCH(B2653,Client_List!$A:$A,0)),"⚠ NOT FOUND"))</f>
        <v/>
      </c>
      <c r="D2653" s="44" t="n"/>
      <c r="E2653" s="32">
        <f>IF(B2653="","",IFERROR(INDEX(Client_List!$C:$C,MATCH(VALUE(B2653),Client_List!$A:$A,0)),""))</f>
        <v/>
      </c>
      <c r="F2653" s="53">
        <f>IF(B2653="","",IFERROR(INDEX(Client_List!$D:$D,MATCH(VALUE(B2653),Client_List!$A:$A,0)),""))</f>
        <v/>
      </c>
      <c r="G2653" s="53">
        <f>IF(B2653="","",IFERROR(INDEX(Client_List!$K:$K,MATCH(VALUE(B2653),Client_List!$A:$A,0)),""))</f>
        <v/>
      </c>
      <c r="H2653" s="32">
        <f>IF(B2653="","",IFERROR(INDEX(Client_List!$J:$J,MATCH(VALUE(B2653),Client_List!$A:$A,0)),""))</f>
        <v/>
      </c>
      <c r="I2653" s="70">
        <f>IF(B2653="","",IFERROR(A2653-LOOKUP(2,1/($B$4:$B2652=B2653),$A$4:$A2652),""))</f>
        <v/>
      </c>
      <c r="J2653" s="32">
        <f>IF(B2653="","",IFERROR(D2653/I2653,""))</f>
        <v/>
      </c>
      <c r="K2653" s="71">
        <f>IF(B2653="","",IFERROR(AVERAGEIFS($J$4:$J2653,$B$4:$B2653,B2653,$J$4:$J2653,"&gt;"&amp;0),""))</f>
        <v/>
      </c>
      <c r="L2653" s="11" t="n"/>
    </row>
    <row r="2654" ht="14" customHeight="1" s="72">
      <c r="A2654" s="83" t="n"/>
      <c r="B2654" s="81" t="n"/>
      <c r="C2654" s="69">
        <f>IF(B2654="","",IFERROR(INDEX(Client_List!$B:$B,MATCH(B2654,Client_List!$A:$A,0)),"⚠ NOT FOUND"))</f>
        <v/>
      </c>
      <c r="D2654" s="45" t="n"/>
      <c r="E2654" s="32">
        <f>IF(B2654="","",IFERROR(INDEX(Client_List!$C:$C,MATCH(VALUE(B2654),Client_List!$A:$A,0)),""))</f>
        <v/>
      </c>
      <c r="F2654" s="53">
        <f>IF(B2654="","",IFERROR(INDEX(Client_List!$D:$D,MATCH(VALUE(B2654),Client_List!$A:$A,0)),""))</f>
        <v/>
      </c>
      <c r="G2654" s="53">
        <f>IF(B2654="","",IFERROR(INDEX(Client_List!$K:$K,MATCH(VALUE(B2654),Client_List!$A:$A,0)),""))</f>
        <v/>
      </c>
      <c r="H2654" s="32">
        <f>IF(B2654="","",IFERROR(INDEX(Client_List!$J:$J,MATCH(VALUE(B2654),Client_List!$A:$A,0)),""))</f>
        <v/>
      </c>
      <c r="I2654" s="70">
        <f>IF(B2654="","",IFERROR(A2654-LOOKUP(2,1/($B$4:$B2653=B2654),$A$4:$A2653),""))</f>
        <v/>
      </c>
      <c r="J2654" s="32">
        <f>IF(B2654="","",IFERROR(D2654/I2654,""))</f>
        <v/>
      </c>
      <c r="K2654" s="71">
        <f>IF(B2654="","",IFERROR(AVERAGEIFS($J$4:$J2654,$B$4:$B2654,B2654,$J$4:$J2654,"&gt;"&amp;0),""))</f>
        <v/>
      </c>
      <c r="L2654" s="12" t="n"/>
    </row>
    <row r="2655" ht="14" customHeight="1" s="72">
      <c r="A2655" s="82" t="n"/>
      <c r="B2655" s="79" t="n"/>
      <c r="C2655" s="69">
        <f>IF(B2655="","",IFERROR(INDEX(Client_List!$B:$B,MATCH(B2655,Client_List!$A:$A,0)),"⚠ NOT FOUND"))</f>
        <v/>
      </c>
      <c r="D2655" s="44" t="n"/>
      <c r="E2655" s="32">
        <f>IF(B2655="","",IFERROR(INDEX(Client_List!$C:$C,MATCH(VALUE(B2655),Client_List!$A:$A,0)),""))</f>
        <v/>
      </c>
      <c r="F2655" s="53">
        <f>IF(B2655="","",IFERROR(INDEX(Client_List!$D:$D,MATCH(VALUE(B2655),Client_List!$A:$A,0)),""))</f>
        <v/>
      </c>
      <c r="G2655" s="53">
        <f>IF(B2655="","",IFERROR(INDEX(Client_List!$K:$K,MATCH(VALUE(B2655),Client_List!$A:$A,0)),""))</f>
        <v/>
      </c>
      <c r="H2655" s="32">
        <f>IF(B2655="","",IFERROR(INDEX(Client_List!$J:$J,MATCH(VALUE(B2655),Client_List!$A:$A,0)),""))</f>
        <v/>
      </c>
      <c r="I2655" s="70">
        <f>IF(B2655="","",IFERROR(A2655-LOOKUP(2,1/($B$4:$B2654=B2655),$A$4:$A2654),""))</f>
        <v/>
      </c>
      <c r="J2655" s="32">
        <f>IF(B2655="","",IFERROR(D2655/I2655,""))</f>
        <v/>
      </c>
      <c r="K2655" s="71">
        <f>IF(B2655="","",IFERROR(AVERAGEIFS($J$4:$J2655,$B$4:$B2655,B2655,$J$4:$J2655,"&gt;"&amp;0),""))</f>
        <v/>
      </c>
      <c r="L2655" s="11" t="n"/>
    </row>
    <row r="2656" ht="14" customHeight="1" s="72">
      <c r="A2656" s="83" t="n"/>
      <c r="B2656" s="81" t="n"/>
      <c r="C2656" s="69">
        <f>IF(B2656="","",IFERROR(INDEX(Client_List!$B:$B,MATCH(B2656,Client_List!$A:$A,0)),"⚠ NOT FOUND"))</f>
        <v/>
      </c>
      <c r="D2656" s="45" t="n"/>
      <c r="E2656" s="32">
        <f>IF(B2656="","",IFERROR(INDEX(Client_List!$C:$C,MATCH(VALUE(B2656),Client_List!$A:$A,0)),""))</f>
        <v/>
      </c>
      <c r="F2656" s="53">
        <f>IF(B2656="","",IFERROR(INDEX(Client_List!$D:$D,MATCH(VALUE(B2656),Client_List!$A:$A,0)),""))</f>
        <v/>
      </c>
      <c r="G2656" s="53">
        <f>IF(B2656="","",IFERROR(INDEX(Client_List!$K:$K,MATCH(VALUE(B2656),Client_List!$A:$A,0)),""))</f>
        <v/>
      </c>
      <c r="H2656" s="32">
        <f>IF(B2656="","",IFERROR(INDEX(Client_List!$J:$J,MATCH(VALUE(B2656),Client_List!$A:$A,0)),""))</f>
        <v/>
      </c>
      <c r="I2656" s="70">
        <f>IF(B2656="","",IFERROR(A2656-LOOKUP(2,1/($B$4:$B2655=B2656),$A$4:$A2655),""))</f>
        <v/>
      </c>
      <c r="J2656" s="32">
        <f>IF(B2656="","",IFERROR(D2656/I2656,""))</f>
        <v/>
      </c>
      <c r="K2656" s="71">
        <f>IF(B2656="","",IFERROR(AVERAGEIFS($J$4:$J2656,$B$4:$B2656,B2656,$J$4:$J2656,"&gt;"&amp;0),""))</f>
        <v/>
      </c>
      <c r="L2656" s="12" t="n"/>
    </row>
    <row r="2657" ht="14" customHeight="1" s="72">
      <c r="A2657" s="82" t="n"/>
      <c r="B2657" s="79" t="n"/>
      <c r="C2657" s="69">
        <f>IF(B2657="","",IFERROR(INDEX(Client_List!$B:$B,MATCH(B2657,Client_List!$A:$A,0)),"⚠ NOT FOUND"))</f>
        <v/>
      </c>
      <c r="D2657" s="44" t="n"/>
      <c r="E2657" s="32">
        <f>IF(B2657="","",IFERROR(INDEX(Client_List!$C:$C,MATCH(VALUE(B2657),Client_List!$A:$A,0)),""))</f>
        <v/>
      </c>
      <c r="F2657" s="53">
        <f>IF(B2657="","",IFERROR(INDEX(Client_List!$D:$D,MATCH(VALUE(B2657),Client_List!$A:$A,0)),""))</f>
        <v/>
      </c>
      <c r="G2657" s="53">
        <f>IF(B2657="","",IFERROR(INDEX(Client_List!$K:$K,MATCH(VALUE(B2657),Client_List!$A:$A,0)),""))</f>
        <v/>
      </c>
      <c r="H2657" s="32">
        <f>IF(B2657="","",IFERROR(INDEX(Client_List!$J:$J,MATCH(VALUE(B2657),Client_List!$A:$A,0)),""))</f>
        <v/>
      </c>
      <c r="I2657" s="70">
        <f>IF(B2657="","",IFERROR(A2657-LOOKUP(2,1/($B$4:$B2656=B2657),$A$4:$A2656),""))</f>
        <v/>
      </c>
      <c r="J2657" s="32">
        <f>IF(B2657="","",IFERROR(D2657/I2657,""))</f>
        <v/>
      </c>
      <c r="K2657" s="71">
        <f>IF(B2657="","",IFERROR(AVERAGEIFS($J$4:$J2657,$B$4:$B2657,B2657,$J$4:$J2657,"&gt;"&amp;0),""))</f>
        <v/>
      </c>
      <c r="L2657" s="11" t="n"/>
    </row>
    <row r="2658" ht="14" customHeight="1" s="72">
      <c r="A2658" s="83" t="n"/>
      <c r="B2658" s="81" t="n"/>
      <c r="C2658" s="69">
        <f>IF(B2658="","",IFERROR(INDEX(Client_List!$B:$B,MATCH(B2658,Client_List!$A:$A,0)),"⚠ NOT FOUND"))</f>
        <v/>
      </c>
      <c r="D2658" s="45" t="n"/>
      <c r="E2658" s="32">
        <f>IF(B2658="","",IFERROR(INDEX(Client_List!$C:$C,MATCH(VALUE(B2658),Client_List!$A:$A,0)),""))</f>
        <v/>
      </c>
      <c r="F2658" s="53">
        <f>IF(B2658="","",IFERROR(INDEX(Client_List!$D:$D,MATCH(VALUE(B2658),Client_List!$A:$A,0)),""))</f>
        <v/>
      </c>
      <c r="G2658" s="53">
        <f>IF(B2658="","",IFERROR(INDEX(Client_List!$K:$K,MATCH(VALUE(B2658),Client_List!$A:$A,0)),""))</f>
        <v/>
      </c>
      <c r="H2658" s="32">
        <f>IF(B2658="","",IFERROR(INDEX(Client_List!$J:$J,MATCH(VALUE(B2658),Client_List!$A:$A,0)),""))</f>
        <v/>
      </c>
      <c r="I2658" s="70">
        <f>IF(B2658="","",IFERROR(A2658-LOOKUP(2,1/($B$4:$B2657=B2658),$A$4:$A2657),""))</f>
        <v/>
      </c>
      <c r="J2658" s="32">
        <f>IF(B2658="","",IFERROR(D2658/I2658,""))</f>
        <v/>
      </c>
      <c r="K2658" s="71">
        <f>IF(B2658="","",IFERROR(AVERAGEIFS($J$4:$J2658,$B$4:$B2658,B2658,$J$4:$J2658,"&gt;"&amp;0),""))</f>
        <v/>
      </c>
      <c r="L2658" s="12" t="n"/>
    </row>
    <row r="2659" ht="14" customHeight="1" s="72">
      <c r="A2659" s="82" t="n"/>
      <c r="B2659" s="79" t="n"/>
      <c r="C2659" s="69">
        <f>IF(B2659="","",IFERROR(INDEX(Client_List!$B:$B,MATCH(B2659,Client_List!$A:$A,0)),"⚠ NOT FOUND"))</f>
        <v/>
      </c>
      <c r="D2659" s="44" t="n"/>
      <c r="E2659" s="32">
        <f>IF(B2659="","",IFERROR(INDEX(Client_List!$C:$C,MATCH(VALUE(B2659),Client_List!$A:$A,0)),""))</f>
        <v/>
      </c>
      <c r="F2659" s="53">
        <f>IF(B2659="","",IFERROR(INDEX(Client_List!$D:$D,MATCH(VALUE(B2659),Client_List!$A:$A,0)),""))</f>
        <v/>
      </c>
      <c r="G2659" s="53">
        <f>IF(B2659="","",IFERROR(INDEX(Client_List!$K:$K,MATCH(VALUE(B2659),Client_List!$A:$A,0)),""))</f>
        <v/>
      </c>
      <c r="H2659" s="32">
        <f>IF(B2659="","",IFERROR(INDEX(Client_List!$J:$J,MATCH(VALUE(B2659),Client_List!$A:$A,0)),""))</f>
        <v/>
      </c>
      <c r="I2659" s="70">
        <f>IF(B2659="","",IFERROR(A2659-LOOKUP(2,1/($B$4:$B2658=B2659),$A$4:$A2658),""))</f>
        <v/>
      </c>
      <c r="J2659" s="32">
        <f>IF(B2659="","",IFERROR(D2659/I2659,""))</f>
        <v/>
      </c>
      <c r="K2659" s="71">
        <f>IF(B2659="","",IFERROR(AVERAGEIFS($J$4:$J2659,$B$4:$B2659,B2659,$J$4:$J2659,"&gt;"&amp;0),""))</f>
        <v/>
      </c>
      <c r="L2659" s="11" t="n"/>
    </row>
    <row r="2660" ht="14" customHeight="1" s="72">
      <c r="A2660" s="83" t="n"/>
      <c r="B2660" s="81" t="n"/>
      <c r="C2660" s="69">
        <f>IF(B2660="","",IFERROR(INDEX(Client_List!$B:$B,MATCH(B2660,Client_List!$A:$A,0)),"⚠ NOT FOUND"))</f>
        <v/>
      </c>
      <c r="D2660" s="45" t="n"/>
      <c r="E2660" s="32">
        <f>IF(B2660="","",IFERROR(INDEX(Client_List!$C:$C,MATCH(VALUE(B2660),Client_List!$A:$A,0)),""))</f>
        <v/>
      </c>
      <c r="F2660" s="53">
        <f>IF(B2660="","",IFERROR(INDEX(Client_List!$D:$D,MATCH(VALUE(B2660),Client_List!$A:$A,0)),""))</f>
        <v/>
      </c>
      <c r="G2660" s="53">
        <f>IF(B2660="","",IFERROR(INDEX(Client_List!$K:$K,MATCH(VALUE(B2660),Client_List!$A:$A,0)),""))</f>
        <v/>
      </c>
      <c r="H2660" s="32">
        <f>IF(B2660="","",IFERROR(INDEX(Client_List!$J:$J,MATCH(VALUE(B2660),Client_List!$A:$A,0)),""))</f>
        <v/>
      </c>
      <c r="I2660" s="70">
        <f>IF(B2660="","",IFERROR(A2660-LOOKUP(2,1/($B$4:$B2659=B2660),$A$4:$A2659),""))</f>
        <v/>
      </c>
      <c r="J2660" s="32">
        <f>IF(B2660="","",IFERROR(D2660/I2660,""))</f>
        <v/>
      </c>
      <c r="K2660" s="71">
        <f>IF(B2660="","",IFERROR(AVERAGEIFS($J$4:$J2660,$B$4:$B2660,B2660,$J$4:$J2660,"&gt;"&amp;0),""))</f>
        <v/>
      </c>
      <c r="L2660" s="12" t="n"/>
    </row>
    <row r="2661" ht="14" customHeight="1" s="72">
      <c r="A2661" s="82" t="n"/>
      <c r="B2661" s="79" t="n"/>
      <c r="C2661" s="69">
        <f>IF(B2661="","",IFERROR(INDEX(Client_List!$B:$B,MATCH(B2661,Client_List!$A:$A,0)),"⚠ NOT FOUND"))</f>
        <v/>
      </c>
      <c r="D2661" s="44" t="n"/>
      <c r="E2661" s="32">
        <f>IF(B2661="","",IFERROR(INDEX(Client_List!$C:$C,MATCH(VALUE(B2661),Client_List!$A:$A,0)),""))</f>
        <v/>
      </c>
      <c r="F2661" s="53">
        <f>IF(B2661="","",IFERROR(INDEX(Client_List!$D:$D,MATCH(VALUE(B2661),Client_List!$A:$A,0)),""))</f>
        <v/>
      </c>
      <c r="G2661" s="53">
        <f>IF(B2661="","",IFERROR(INDEX(Client_List!$K:$K,MATCH(VALUE(B2661),Client_List!$A:$A,0)),""))</f>
        <v/>
      </c>
      <c r="H2661" s="32">
        <f>IF(B2661="","",IFERROR(INDEX(Client_List!$J:$J,MATCH(VALUE(B2661),Client_List!$A:$A,0)),""))</f>
        <v/>
      </c>
      <c r="I2661" s="70">
        <f>IF(B2661="","",IFERROR(A2661-LOOKUP(2,1/($B$4:$B2660=B2661),$A$4:$A2660),""))</f>
        <v/>
      </c>
      <c r="J2661" s="32">
        <f>IF(B2661="","",IFERROR(D2661/I2661,""))</f>
        <v/>
      </c>
      <c r="K2661" s="71">
        <f>IF(B2661="","",IFERROR(AVERAGEIFS($J$4:$J2661,$B$4:$B2661,B2661,$J$4:$J2661,"&gt;"&amp;0),""))</f>
        <v/>
      </c>
      <c r="L2661" s="11" t="n"/>
    </row>
    <row r="2662" ht="14" customHeight="1" s="72">
      <c r="A2662" s="83" t="n"/>
      <c r="B2662" s="81" t="n"/>
      <c r="C2662" s="69">
        <f>IF(B2662="","",IFERROR(INDEX(Client_List!$B:$B,MATCH(B2662,Client_List!$A:$A,0)),"⚠ NOT FOUND"))</f>
        <v/>
      </c>
      <c r="D2662" s="45" t="n"/>
      <c r="E2662" s="32">
        <f>IF(B2662="","",IFERROR(INDEX(Client_List!$C:$C,MATCH(VALUE(B2662),Client_List!$A:$A,0)),""))</f>
        <v/>
      </c>
      <c r="F2662" s="53">
        <f>IF(B2662="","",IFERROR(INDEX(Client_List!$D:$D,MATCH(VALUE(B2662),Client_List!$A:$A,0)),""))</f>
        <v/>
      </c>
      <c r="G2662" s="53">
        <f>IF(B2662="","",IFERROR(INDEX(Client_List!$K:$K,MATCH(VALUE(B2662),Client_List!$A:$A,0)),""))</f>
        <v/>
      </c>
      <c r="H2662" s="32">
        <f>IF(B2662="","",IFERROR(INDEX(Client_List!$J:$J,MATCH(VALUE(B2662),Client_List!$A:$A,0)),""))</f>
        <v/>
      </c>
      <c r="I2662" s="70">
        <f>IF(B2662="","",IFERROR(A2662-LOOKUP(2,1/($B$4:$B2661=B2662),$A$4:$A2661),""))</f>
        <v/>
      </c>
      <c r="J2662" s="32">
        <f>IF(B2662="","",IFERROR(D2662/I2662,""))</f>
        <v/>
      </c>
      <c r="K2662" s="71">
        <f>IF(B2662="","",IFERROR(AVERAGEIFS($J$4:$J2662,$B$4:$B2662,B2662,$J$4:$J2662,"&gt;"&amp;0),""))</f>
        <v/>
      </c>
      <c r="L2662" s="12" t="n"/>
    </row>
    <row r="2663" ht="14" customHeight="1" s="72">
      <c r="A2663" s="82" t="n"/>
      <c r="B2663" s="79" t="n"/>
      <c r="C2663" s="69">
        <f>IF(B2663="","",IFERROR(INDEX(Client_List!$B:$B,MATCH(B2663,Client_List!$A:$A,0)),"⚠ NOT FOUND"))</f>
        <v/>
      </c>
      <c r="D2663" s="44" t="n"/>
      <c r="E2663" s="32">
        <f>IF(B2663="","",IFERROR(INDEX(Client_List!$C:$C,MATCH(VALUE(B2663),Client_List!$A:$A,0)),""))</f>
        <v/>
      </c>
      <c r="F2663" s="53">
        <f>IF(B2663="","",IFERROR(INDEX(Client_List!$D:$D,MATCH(VALUE(B2663),Client_List!$A:$A,0)),""))</f>
        <v/>
      </c>
      <c r="G2663" s="53">
        <f>IF(B2663="","",IFERROR(INDEX(Client_List!$K:$K,MATCH(VALUE(B2663),Client_List!$A:$A,0)),""))</f>
        <v/>
      </c>
      <c r="H2663" s="32">
        <f>IF(B2663="","",IFERROR(INDEX(Client_List!$J:$J,MATCH(VALUE(B2663),Client_List!$A:$A,0)),""))</f>
        <v/>
      </c>
      <c r="I2663" s="70">
        <f>IF(B2663="","",IFERROR(A2663-LOOKUP(2,1/($B$4:$B2662=B2663),$A$4:$A2662),""))</f>
        <v/>
      </c>
      <c r="J2663" s="32">
        <f>IF(B2663="","",IFERROR(D2663/I2663,""))</f>
        <v/>
      </c>
      <c r="K2663" s="71">
        <f>IF(B2663="","",IFERROR(AVERAGEIFS($J$4:$J2663,$B$4:$B2663,B2663,$J$4:$J2663,"&gt;"&amp;0),""))</f>
        <v/>
      </c>
      <c r="L2663" s="11" t="n"/>
    </row>
    <row r="2664" ht="14" customHeight="1" s="72">
      <c r="A2664" s="83" t="n"/>
      <c r="B2664" s="81" t="n"/>
      <c r="C2664" s="69">
        <f>IF(B2664="","",IFERROR(INDEX(Client_List!$B:$B,MATCH(B2664,Client_List!$A:$A,0)),"⚠ NOT FOUND"))</f>
        <v/>
      </c>
      <c r="D2664" s="45" t="n"/>
      <c r="E2664" s="32">
        <f>IF(B2664="","",IFERROR(INDEX(Client_List!$C:$C,MATCH(VALUE(B2664),Client_List!$A:$A,0)),""))</f>
        <v/>
      </c>
      <c r="F2664" s="53">
        <f>IF(B2664="","",IFERROR(INDEX(Client_List!$D:$D,MATCH(VALUE(B2664),Client_List!$A:$A,0)),""))</f>
        <v/>
      </c>
      <c r="G2664" s="53">
        <f>IF(B2664="","",IFERROR(INDEX(Client_List!$K:$K,MATCH(VALUE(B2664),Client_List!$A:$A,0)),""))</f>
        <v/>
      </c>
      <c r="H2664" s="32">
        <f>IF(B2664="","",IFERROR(INDEX(Client_List!$J:$J,MATCH(VALUE(B2664),Client_List!$A:$A,0)),""))</f>
        <v/>
      </c>
      <c r="I2664" s="70">
        <f>IF(B2664="","",IFERROR(A2664-LOOKUP(2,1/($B$4:$B2663=B2664),$A$4:$A2663),""))</f>
        <v/>
      </c>
      <c r="J2664" s="32">
        <f>IF(B2664="","",IFERROR(D2664/I2664,""))</f>
        <v/>
      </c>
      <c r="K2664" s="71">
        <f>IF(B2664="","",IFERROR(AVERAGEIFS($J$4:$J2664,$B$4:$B2664,B2664,$J$4:$J2664,"&gt;"&amp;0),""))</f>
        <v/>
      </c>
      <c r="L2664" s="12" t="n"/>
    </row>
    <row r="2665" ht="14" customHeight="1" s="72">
      <c r="A2665" s="82" t="n"/>
      <c r="B2665" s="79" t="n"/>
      <c r="C2665" s="69">
        <f>IF(B2665="","",IFERROR(INDEX(Client_List!$B:$B,MATCH(B2665,Client_List!$A:$A,0)),"⚠ NOT FOUND"))</f>
        <v/>
      </c>
      <c r="D2665" s="44" t="n"/>
      <c r="E2665" s="32">
        <f>IF(B2665="","",IFERROR(INDEX(Client_List!$C:$C,MATCH(VALUE(B2665),Client_List!$A:$A,0)),""))</f>
        <v/>
      </c>
      <c r="F2665" s="53">
        <f>IF(B2665="","",IFERROR(INDEX(Client_List!$D:$D,MATCH(VALUE(B2665),Client_List!$A:$A,0)),""))</f>
        <v/>
      </c>
      <c r="G2665" s="53">
        <f>IF(B2665="","",IFERROR(INDEX(Client_List!$K:$K,MATCH(VALUE(B2665),Client_List!$A:$A,0)),""))</f>
        <v/>
      </c>
      <c r="H2665" s="32">
        <f>IF(B2665="","",IFERROR(INDEX(Client_List!$J:$J,MATCH(VALUE(B2665),Client_List!$A:$A,0)),""))</f>
        <v/>
      </c>
      <c r="I2665" s="70">
        <f>IF(B2665="","",IFERROR(A2665-LOOKUP(2,1/($B$4:$B2664=B2665),$A$4:$A2664),""))</f>
        <v/>
      </c>
      <c r="J2665" s="32">
        <f>IF(B2665="","",IFERROR(D2665/I2665,""))</f>
        <v/>
      </c>
      <c r="K2665" s="71">
        <f>IF(B2665="","",IFERROR(AVERAGEIFS($J$4:$J2665,$B$4:$B2665,B2665,$J$4:$J2665,"&gt;"&amp;0),""))</f>
        <v/>
      </c>
      <c r="L2665" s="11" t="n"/>
    </row>
    <row r="2666" ht="14" customHeight="1" s="72">
      <c r="A2666" s="83" t="n"/>
      <c r="B2666" s="81" t="n"/>
      <c r="C2666" s="69">
        <f>IF(B2666="","",IFERROR(INDEX(Client_List!$B:$B,MATCH(B2666,Client_List!$A:$A,0)),"⚠ NOT FOUND"))</f>
        <v/>
      </c>
      <c r="D2666" s="45" t="n"/>
      <c r="E2666" s="32">
        <f>IF(B2666="","",IFERROR(INDEX(Client_List!$C:$C,MATCH(VALUE(B2666),Client_List!$A:$A,0)),""))</f>
        <v/>
      </c>
      <c r="F2666" s="53">
        <f>IF(B2666="","",IFERROR(INDEX(Client_List!$D:$D,MATCH(VALUE(B2666),Client_List!$A:$A,0)),""))</f>
        <v/>
      </c>
      <c r="G2666" s="53">
        <f>IF(B2666="","",IFERROR(INDEX(Client_List!$K:$K,MATCH(VALUE(B2666),Client_List!$A:$A,0)),""))</f>
        <v/>
      </c>
      <c r="H2666" s="32">
        <f>IF(B2666="","",IFERROR(INDEX(Client_List!$J:$J,MATCH(VALUE(B2666),Client_List!$A:$A,0)),""))</f>
        <v/>
      </c>
      <c r="I2666" s="70">
        <f>IF(B2666="","",IFERROR(A2666-LOOKUP(2,1/($B$4:$B2665=B2666),$A$4:$A2665),""))</f>
        <v/>
      </c>
      <c r="J2666" s="32">
        <f>IF(B2666="","",IFERROR(D2666/I2666,""))</f>
        <v/>
      </c>
      <c r="K2666" s="71">
        <f>IF(B2666="","",IFERROR(AVERAGEIFS($J$4:$J2666,$B$4:$B2666,B2666,$J$4:$J2666,"&gt;"&amp;0),""))</f>
        <v/>
      </c>
      <c r="L2666" s="12" t="n"/>
    </row>
    <row r="2667" ht="14" customHeight="1" s="72">
      <c r="A2667" s="82" t="n"/>
      <c r="B2667" s="79" t="n"/>
      <c r="C2667" s="69">
        <f>IF(B2667="","",IFERROR(INDEX(Client_List!$B:$B,MATCH(B2667,Client_List!$A:$A,0)),"⚠ NOT FOUND"))</f>
        <v/>
      </c>
      <c r="D2667" s="44" t="n"/>
      <c r="E2667" s="32">
        <f>IF(B2667="","",IFERROR(INDEX(Client_List!$C:$C,MATCH(VALUE(B2667),Client_List!$A:$A,0)),""))</f>
        <v/>
      </c>
      <c r="F2667" s="53">
        <f>IF(B2667="","",IFERROR(INDEX(Client_List!$D:$D,MATCH(VALUE(B2667),Client_List!$A:$A,0)),""))</f>
        <v/>
      </c>
      <c r="G2667" s="53">
        <f>IF(B2667="","",IFERROR(INDEX(Client_List!$K:$K,MATCH(VALUE(B2667),Client_List!$A:$A,0)),""))</f>
        <v/>
      </c>
      <c r="H2667" s="32">
        <f>IF(B2667="","",IFERROR(INDEX(Client_List!$J:$J,MATCH(VALUE(B2667),Client_List!$A:$A,0)),""))</f>
        <v/>
      </c>
      <c r="I2667" s="70">
        <f>IF(B2667="","",IFERROR(A2667-LOOKUP(2,1/($B$4:$B2666=B2667),$A$4:$A2666),""))</f>
        <v/>
      </c>
      <c r="J2667" s="32">
        <f>IF(B2667="","",IFERROR(D2667/I2667,""))</f>
        <v/>
      </c>
      <c r="K2667" s="71">
        <f>IF(B2667="","",IFERROR(AVERAGEIFS($J$4:$J2667,$B$4:$B2667,B2667,$J$4:$J2667,"&gt;"&amp;0),""))</f>
        <v/>
      </c>
      <c r="L2667" s="11" t="n"/>
    </row>
    <row r="2668" ht="14" customHeight="1" s="72">
      <c r="A2668" s="83" t="n"/>
      <c r="B2668" s="81" t="n"/>
      <c r="C2668" s="69">
        <f>IF(B2668="","",IFERROR(INDEX(Client_List!$B:$B,MATCH(B2668,Client_List!$A:$A,0)),"⚠ NOT FOUND"))</f>
        <v/>
      </c>
      <c r="D2668" s="45" t="n"/>
      <c r="E2668" s="32">
        <f>IF(B2668="","",IFERROR(INDEX(Client_List!$C:$C,MATCH(VALUE(B2668),Client_List!$A:$A,0)),""))</f>
        <v/>
      </c>
      <c r="F2668" s="53">
        <f>IF(B2668="","",IFERROR(INDEX(Client_List!$D:$D,MATCH(VALUE(B2668),Client_List!$A:$A,0)),""))</f>
        <v/>
      </c>
      <c r="G2668" s="53">
        <f>IF(B2668="","",IFERROR(INDEX(Client_List!$K:$K,MATCH(VALUE(B2668),Client_List!$A:$A,0)),""))</f>
        <v/>
      </c>
      <c r="H2668" s="32">
        <f>IF(B2668="","",IFERROR(INDEX(Client_List!$J:$J,MATCH(VALUE(B2668),Client_List!$A:$A,0)),""))</f>
        <v/>
      </c>
      <c r="I2668" s="70">
        <f>IF(B2668="","",IFERROR(A2668-LOOKUP(2,1/($B$4:$B2667=B2668),$A$4:$A2667),""))</f>
        <v/>
      </c>
      <c r="J2668" s="32">
        <f>IF(B2668="","",IFERROR(D2668/I2668,""))</f>
        <v/>
      </c>
      <c r="K2668" s="71">
        <f>IF(B2668="","",IFERROR(AVERAGEIFS($J$4:$J2668,$B$4:$B2668,B2668,$J$4:$J2668,"&gt;"&amp;0),""))</f>
        <v/>
      </c>
      <c r="L2668" s="12" t="n"/>
    </row>
    <row r="2669" ht="14" customHeight="1" s="72">
      <c r="A2669" s="82" t="n"/>
      <c r="B2669" s="79" t="n"/>
      <c r="C2669" s="69">
        <f>IF(B2669="","",IFERROR(INDEX(Client_List!$B:$B,MATCH(B2669,Client_List!$A:$A,0)),"⚠ NOT FOUND"))</f>
        <v/>
      </c>
      <c r="D2669" s="44" t="n"/>
      <c r="E2669" s="32">
        <f>IF(B2669="","",IFERROR(INDEX(Client_List!$C:$C,MATCH(VALUE(B2669),Client_List!$A:$A,0)),""))</f>
        <v/>
      </c>
      <c r="F2669" s="53">
        <f>IF(B2669="","",IFERROR(INDEX(Client_List!$D:$D,MATCH(VALUE(B2669),Client_List!$A:$A,0)),""))</f>
        <v/>
      </c>
      <c r="G2669" s="53">
        <f>IF(B2669="","",IFERROR(INDEX(Client_List!$K:$K,MATCH(VALUE(B2669),Client_List!$A:$A,0)),""))</f>
        <v/>
      </c>
      <c r="H2669" s="32">
        <f>IF(B2669="","",IFERROR(INDEX(Client_List!$J:$J,MATCH(VALUE(B2669),Client_List!$A:$A,0)),""))</f>
        <v/>
      </c>
      <c r="I2669" s="70">
        <f>IF(B2669="","",IFERROR(A2669-LOOKUP(2,1/($B$4:$B2668=B2669),$A$4:$A2668),""))</f>
        <v/>
      </c>
      <c r="J2669" s="32">
        <f>IF(B2669="","",IFERROR(D2669/I2669,""))</f>
        <v/>
      </c>
      <c r="K2669" s="71">
        <f>IF(B2669="","",IFERROR(AVERAGEIFS($J$4:$J2669,$B$4:$B2669,B2669,$J$4:$J2669,"&gt;"&amp;0),""))</f>
        <v/>
      </c>
      <c r="L2669" s="11" t="n"/>
    </row>
    <row r="2670" ht="14" customHeight="1" s="72">
      <c r="A2670" s="83" t="n"/>
      <c r="B2670" s="81" t="n"/>
      <c r="C2670" s="69">
        <f>IF(B2670="","",IFERROR(INDEX(Client_List!$B:$B,MATCH(B2670,Client_List!$A:$A,0)),"⚠ NOT FOUND"))</f>
        <v/>
      </c>
      <c r="D2670" s="45" t="n"/>
      <c r="E2670" s="32">
        <f>IF(B2670="","",IFERROR(INDEX(Client_List!$C:$C,MATCH(VALUE(B2670),Client_List!$A:$A,0)),""))</f>
        <v/>
      </c>
      <c r="F2670" s="53">
        <f>IF(B2670="","",IFERROR(INDEX(Client_List!$D:$D,MATCH(VALUE(B2670),Client_List!$A:$A,0)),""))</f>
        <v/>
      </c>
      <c r="G2670" s="53">
        <f>IF(B2670="","",IFERROR(INDEX(Client_List!$K:$K,MATCH(VALUE(B2670),Client_List!$A:$A,0)),""))</f>
        <v/>
      </c>
      <c r="H2670" s="32">
        <f>IF(B2670="","",IFERROR(INDEX(Client_List!$J:$J,MATCH(VALUE(B2670),Client_List!$A:$A,0)),""))</f>
        <v/>
      </c>
      <c r="I2670" s="70">
        <f>IF(B2670="","",IFERROR(A2670-LOOKUP(2,1/($B$4:$B2669=B2670),$A$4:$A2669),""))</f>
        <v/>
      </c>
      <c r="J2670" s="32">
        <f>IF(B2670="","",IFERROR(D2670/I2670,""))</f>
        <v/>
      </c>
      <c r="K2670" s="71">
        <f>IF(B2670="","",IFERROR(AVERAGEIFS($J$4:$J2670,$B$4:$B2670,B2670,$J$4:$J2670,"&gt;"&amp;0),""))</f>
        <v/>
      </c>
      <c r="L2670" s="12" t="n"/>
    </row>
    <row r="2671" ht="14" customHeight="1" s="72">
      <c r="A2671" s="82" t="n"/>
      <c r="B2671" s="79" t="n"/>
      <c r="C2671" s="69">
        <f>IF(B2671="","",IFERROR(INDEX(Client_List!$B:$B,MATCH(B2671,Client_List!$A:$A,0)),"⚠ NOT FOUND"))</f>
        <v/>
      </c>
      <c r="D2671" s="44" t="n"/>
      <c r="E2671" s="32">
        <f>IF(B2671="","",IFERROR(INDEX(Client_List!$C:$C,MATCH(VALUE(B2671),Client_List!$A:$A,0)),""))</f>
        <v/>
      </c>
      <c r="F2671" s="53">
        <f>IF(B2671="","",IFERROR(INDEX(Client_List!$D:$D,MATCH(VALUE(B2671),Client_List!$A:$A,0)),""))</f>
        <v/>
      </c>
      <c r="G2671" s="53">
        <f>IF(B2671="","",IFERROR(INDEX(Client_List!$K:$K,MATCH(VALUE(B2671),Client_List!$A:$A,0)),""))</f>
        <v/>
      </c>
      <c r="H2671" s="32">
        <f>IF(B2671="","",IFERROR(INDEX(Client_List!$J:$J,MATCH(VALUE(B2671),Client_List!$A:$A,0)),""))</f>
        <v/>
      </c>
      <c r="I2671" s="70">
        <f>IF(B2671="","",IFERROR(A2671-LOOKUP(2,1/($B$4:$B2670=B2671),$A$4:$A2670),""))</f>
        <v/>
      </c>
      <c r="J2671" s="32">
        <f>IF(B2671="","",IFERROR(D2671/I2671,""))</f>
        <v/>
      </c>
      <c r="K2671" s="71">
        <f>IF(B2671="","",IFERROR(AVERAGEIFS($J$4:$J2671,$B$4:$B2671,B2671,$J$4:$J2671,"&gt;"&amp;0),""))</f>
        <v/>
      </c>
      <c r="L2671" s="11" t="n"/>
    </row>
    <row r="2672" ht="14" customHeight="1" s="72">
      <c r="A2672" s="83" t="n"/>
      <c r="B2672" s="81" t="n"/>
      <c r="C2672" s="69">
        <f>IF(B2672="","",IFERROR(INDEX(Client_List!$B:$B,MATCH(B2672,Client_List!$A:$A,0)),"⚠ NOT FOUND"))</f>
        <v/>
      </c>
      <c r="D2672" s="45" t="n"/>
      <c r="E2672" s="32">
        <f>IF(B2672="","",IFERROR(INDEX(Client_List!$C:$C,MATCH(VALUE(B2672),Client_List!$A:$A,0)),""))</f>
        <v/>
      </c>
      <c r="F2672" s="53">
        <f>IF(B2672="","",IFERROR(INDEX(Client_List!$D:$D,MATCH(VALUE(B2672),Client_List!$A:$A,0)),""))</f>
        <v/>
      </c>
      <c r="G2672" s="53">
        <f>IF(B2672="","",IFERROR(INDEX(Client_List!$K:$K,MATCH(VALUE(B2672),Client_List!$A:$A,0)),""))</f>
        <v/>
      </c>
      <c r="H2672" s="32">
        <f>IF(B2672="","",IFERROR(INDEX(Client_List!$J:$J,MATCH(VALUE(B2672),Client_List!$A:$A,0)),""))</f>
        <v/>
      </c>
      <c r="I2672" s="70">
        <f>IF(B2672="","",IFERROR(A2672-LOOKUP(2,1/($B$4:$B2671=B2672),$A$4:$A2671),""))</f>
        <v/>
      </c>
      <c r="J2672" s="32">
        <f>IF(B2672="","",IFERROR(D2672/I2672,""))</f>
        <v/>
      </c>
      <c r="K2672" s="71">
        <f>IF(B2672="","",IFERROR(AVERAGEIFS($J$4:$J2672,$B$4:$B2672,B2672,$J$4:$J2672,"&gt;"&amp;0),""))</f>
        <v/>
      </c>
      <c r="L2672" s="12" t="n"/>
    </row>
    <row r="2673" ht="14" customHeight="1" s="72">
      <c r="A2673" s="82" t="n"/>
      <c r="B2673" s="79" t="n"/>
      <c r="C2673" s="69">
        <f>IF(B2673="","",IFERROR(INDEX(Client_List!$B:$B,MATCH(B2673,Client_List!$A:$A,0)),"⚠ NOT FOUND"))</f>
        <v/>
      </c>
      <c r="D2673" s="44" t="n"/>
      <c r="E2673" s="32">
        <f>IF(B2673="","",IFERROR(INDEX(Client_List!$C:$C,MATCH(VALUE(B2673),Client_List!$A:$A,0)),""))</f>
        <v/>
      </c>
      <c r="F2673" s="53">
        <f>IF(B2673="","",IFERROR(INDEX(Client_List!$D:$D,MATCH(VALUE(B2673),Client_List!$A:$A,0)),""))</f>
        <v/>
      </c>
      <c r="G2673" s="53">
        <f>IF(B2673="","",IFERROR(INDEX(Client_List!$K:$K,MATCH(VALUE(B2673),Client_List!$A:$A,0)),""))</f>
        <v/>
      </c>
      <c r="H2673" s="32">
        <f>IF(B2673="","",IFERROR(INDEX(Client_List!$J:$J,MATCH(VALUE(B2673),Client_List!$A:$A,0)),""))</f>
        <v/>
      </c>
      <c r="I2673" s="70">
        <f>IF(B2673="","",IFERROR(A2673-LOOKUP(2,1/($B$4:$B2672=B2673),$A$4:$A2672),""))</f>
        <v/>
      </c>
      <c r="J2673" s="32">
        <f>IF(B2673="","",IFERROR(D2673/I2673,""))</f>
        <v/>
      </c>
      <c r="K2673" s="71">
        <f>IF(B2673="","",IFERROR(AVERAGEIFS($J$4:$J2673,$B$4:$B2673,B2673,$J$4:$J2673,"&gt;"&amp;0),""))</f>
        <v/>
      </c>
      <c r="L2673" s="11" t="n"/>
    </row>
    <row r="2674" ht="14" customHeight="1" s="72">
      <c r="A2674" s="83" t="n"/>
      <c r="B2674" s="81" t="n"/>
      <c r="C2674" s="69">
        <f>IF(B2674="","",IFERROR(INDEX(Client_List!$B:$B,MATCH(B2674,Client_List!$A:$A,0)),"⚠ NOT FOUND"))</f>
        <v/>
      </c>
      <c r="D2674" s="45" t="n"/>
      <c r="E2674" s="32">
        <f>IF(B2674="","",IFERROR(INDEX(Client_List!$C:$C,MATCH(VALUE(B2674),Client_List!$A:$A,0)),""))</f>
        <v/>
      </c>
      <c r="F2674" s="53">
        <f>IF(B2674="","",IFERROR(INDEX(Client_List!$D:$D,MATCH(VALUE(B2674),Client_List!$A:$A,0)),""))</f>
        <v/>
      </c>
      <c r="G2674" s="53">
        <f>IF(B2674="","",IFERROR(INDEX(Client_List!$K:$K,MATCH(VALUE(B2674),Client_List!$A:$A,0)),""))</f>
        <v/>
      </c>
      <c r="H2674" s="32">
        <f>IF(B2674="","",IFERROR(INDEX(Client_List!$J:$J,MATCH(VALUE(B2674),Client_List!$A:$A,0)),""))</f>
        <v/>
      </c>
      <c r="I2674" s="70">
        <f>IF(B2674="","",IFERROR(A2674-LOOKUP(2,1/($B$4:$B2673=B2674),$A$4:$A2673),""))</f>
        <v/>
      </c>
      <c r="J2674" s="32">
        <f>IF(B2674="","",IFERROR(D2674/I2674,""))</f>
        <v/>
      </c>
      <c r="K2674" s="71">
        <f>IF(B2674="","",IFERROR(AVERAGEIFS($J$4:$J2674,$B$4:$B2674,B2674,$J$4:$J2674,"&gt;"&amp;0),""))</f>
        <v/>
      </c>
      <c r="L2674" s="12" t="n"/>
    </row>
    <row r="2675" ht="14" customHeight="1" s="72">
      <c r="A2675" s="82" t="n"/>
      <c r="B2675" s="79" t="n"/>
      <c r="C2675" s="69">
        <f>IF(B2675="","",IFERROR(INDEX(Client_List!$B:$B,MATCH(B2675,Client_List!$A:$A,0)),"⚠ NOT FOUND"))</f>
        <v/>
      </c>
      <c r="D2675" s="44" t="n"/>
      <c r="E2675" s="32">
        <f>IF(B2675="","",IFERROR(INDEX(Client_List!$C:$C,MATCH(VALUE(B2675),Client_List!$A:$A,0)),""))</f>
        <v/>
      </c>
      <c r="F2675" s="53">
        <f>IF(B2675="","",IFERROR(INDEX(Client_List!$D:$D,MATCH(VALUE(B2675),Client_List!$A:$A,0)),""))</f>
        <v/>
      </c>
      <c r="G2675" s="53">
        <f>IF(B2675="","",IFERROR(INDEX(Client_List!$K:$K,MATCH(VALUE(B2675),Client_List!$A:$A,0)),""))</f>
        <v/>
      </c>
      <c r="H2675" s="32">
        <f>IF(B2675="","",IFERROR(INDEX(Client_List!$J:$J,MATCH(VALUE(B2675),Client_List!$A:$A,0)),""))</f>
        <v/>
      </c>
      <c r="I2675" s="70">
        <f>IF(B2675="","",IFERROR(A2675-LOOKUP(2,1/($B$4:$B2674=B2675),$A$4:$A2674),""))</f>
        <v/>
      </c>
      <c r="J2675" s="32">
        <f>IF(B2675="","",IFERROR(D2675/I2675,""))</f>
        <v/>
      </c>
      <c r="K2675" s="71">
        <f>IF(B2675="","",IFERROR(AVERAGEIFS($J$4:$J2675,$B$4:$B2675,B2675,$J$4:$J2675,"&gt;"&amp;0),""))</f>
        <v/>
      </c>
      <c r="L2675" s="11" t="n"/>
    </row>
    <row r="2676" ht="14" customHeight="1" s="72">
      <c r="A2676" s="83" t="n"/>
      <c r="B2676" s="81" t="n"/>
      <c r="C2676" s="69">
        <f>IF(B2676="","",IFERROR(INDEX(Client_List!$B:$B,MATCH(B2676,Client_List!$A:$A,0)),"⚠ NOT FOUND"))</f>
        <v/>
      </c>
      <c r="D2676" s="45" t="n"/>
      <c r="E2676" s="32">
        <f>IF(B2676="","",IFERROR(INDEX(Client_List!$C:$C,MATCH(VALUE(B2676),Client_List!$A:$A,0)),""))</f>
        <v/>
      </c>
      <c r="F2676" s="53">
        <f>IF(B2676="","",IFERROR(INDEX(Client_List!$D:$D,MATCH(VALUE(B2676),Client_List!$A:$A,0)),""))</f>
        <v/>
      </c>
      <c r="G2676" s="53">
        <f>IF(B2676="","",IFERROR(INDEX(Client_List!$K:$K,MATCH(VALUE(B2676),Client_List!$A:$A,0)),""))</f>
        <v/>
      </c>
      <c r="H2676" s="32">
        <f>IF(B2676="","",IFERROR(INDEX(Client_List!$J:$J,MATCH(VALUE(B2676),Client_List!$A:$A,0)),""))</f>
        <v/>
      </c>
      <c r="I2676" s="70">
        <f>IF(B2676="","",IFERROR(A2676-LOOKUP(2,1/($B$4:$B2675=B2676),$A$4:$A2675),""))</f>
        <v/>
      </c>
      <c r="J2676" s="32">
        <f>IF(B2676="","",IFERROR(D2676/I2676,""))</f>
        <v/>
      </c>
      <c r="K2676" s="71">
        <f>IF(B2676="","",IFERROR(AVERAGEIFS($J$4:$J2676,$B$4:$B2676,B2676,$J$4:$J2676,"&gt;"&amp;0),""))</f>
        <v/>
      </c>
      <c r="L2676" s="12" t="n"/>
    </row>
    <row r="2677" ht="14" customHeight="1" s="72">
      <c r="A2677" s="82" t="n"/>
      <c r="B2677" s="79" t="n"/>
      <c r="C2677" s="69">
        <f>IF(B2677="","",IFERROR(INDEX(Client_List!$B:$B,MATCH(B2677,Client_List!$A:$A,0)),"⚠ NOT FOUND"))</f>
        <v/>
      </c>
      <c r="D2677" s="44" t="n"/>
      <c r="E2677" s="32">
        <f>IF(B2677="","",IFERROR(INDEX(Client_List!$C:$C,MATCH(VALUE(B2677),Client_List!$A:$A,0)),""))</f>
        <v/>
      </c>
      <c r="F2677" s="53">
        <f>IF(B2677="","",IFERROR(INDEX(Client_List!$D:$D,MATCH(VALUE(B2677),Client_List!$A:$A,0)),""))</f>
        <v/>
      </c>
      <c r="G2677" s="53">
        <f>IF(B2677="","",IFERROR(INDEX(Client_List!$K:$K,MATCH(VALUE(B2677),Client_List!$A:$A,0)),""))</f>
        <v/>
      </c>
      <c r="H2677" s="32">
        <f>IF(B2677="","",IFERROR(INDEX(Client_List!$J:$J,MATCH(VALUE(B2677),Client_List!$A:$A,0)),""))</f>
        <v/>
      </c>
      <c r="I2677" s="70">
        <f>IF(B2677="","",IFERROR(A2677-LOOKUP(2,1/($B$4:$B2676=B2677),$A$4:$A2676),""))</f>
        <v/>
      </c>
      <c r="J2677" s="32">
        <f>IF(B2677="","",IFERROR(D2677/I2677,""))</f>
        <v/>
      </c>
      <c r="K2677" s="71">
        <f>IF(B2677="","",IFERROR(AVERAGEIFS($J$4:$J2677,$B$4:$B2677,B2677,$J$4:$J2677,"&gt;"&amp;0),""))</f>
        <v/>
      </c>
      <c r="L2677" s="11" t="n"/>
    </row>
    <row r="2678" ht="14" customHeight="1" s="72">
      <c r="A2678" s="83" t="n"/>
      <c r="B2678" s="81" t="n"/>
      <c r="C2678" s="69">
        <f>IF(B2678="","",IFERROR(INDEX(Client_List!$B:$B,MATCH(B2678,Client_List!$A:$A,0)),"⚠ NOT FOUND"))</f>
        <v/>
      </c>
      <c r="D2678" s="45" t="n"/>
      <c r="E2678" s="32">
        <f>IF(B2678="","",IFERROR(INDEX(Client_List!$C:$C,MATCH(VALUE(B2678),Client_List!$A:$A,0)),""))</f>
        <v/>
      </c>
      <c r="F2678" s="53">
        <f>IF(B2678="","",IFERROR(INDEX(Client_List!$D:$D,MATCH(VALUE(B2678),Client_List!$A:$A,0)),""))</f>
        <v/>
      </c>
      <c r="G2678" s="53">
        <f>IF(B2678="","",IFERROR(INDEX(Client_List!$K:$K,MATCH(VALUE(B2678),Client_List!$A:$A,0)),""))</f>
        <v/>
      </c>
      <c r="H2678" s="32">
        <f>IF(B2678="","",IFERROR(INDEX(Client_List!$J:$J,MATCH(VALUE(B2678),Client_List!$A:$A,0)),""))</f>
        <v/>
      </c>
      <c r="I2678" s="70">
        <f>IF(B2678="","",IFERROR(A2678-LOOKUP(2,1/($B$4:$B2677=B2678),$A$4:$A2677),""))</f>
        <v/>
      </c>
      <c r="J2678" s="32">
        <f>IF(B2678="","",IFERROR(D2678/I2678,""))</f>
        <v/>
      </c>
      <c r="K2678" s="71">
        <f>IF(B2678="","",IFERROR(AVERAGEIFS($J$4:$J2678,$B$4:$B2678,B2678,$J$4:$J2678,"&gt;"&amp;0),""))</f>
        <v/>
      </c>
      <c r="L2678" s="12" t="n"/>
    </row>
    <row r="2679" ht="14" customHeight="1" s="72">
      <c r="A2679" s="82" t="n"/>
      <c r="B2679" s="79" t="n"/>
      <c r="C2679" s="69">
        <f>IF(B2679="","",IFERROR(INDEX(Client_List!$B:$B,MATCH(B2679,Client_List!$A:$A,0)),"⚠ NOT FOUND"))</f>
        <v/>
      </c>
      <c r="D2679" s="44" t="n"/>
      <c r="E2679" s="32">
        <f>IF(B2679="","",IFERROR(INDEX(Client_List!$C:$C,MATCH(VALUE(B2679),Client_List!$A:$A,0)),""))</f>
        <v/>
      </c>
      <c r="F2679" s="53">
        <f>IF(B2679="","",IFERROR(INDEX(Client_List!$D:$D,MATCH(VALUE(B2679),Client_List!$A:$A,0)),""))</f>
        <v/>
      </c>
      <c r="G2679" s="53">
        <f>IF(B2679="","",IFERROR(INDEX(Client_List!$K:$K,MATCH(VALUE(B2679),Client_List!$A:$A,0)),""))</f>
        <v/>
      </c>
      <c r="H2679" s="32">
        <f>IF(B2679="","",IFERROR(INDEX(Client_List!$J:$J,MATCH(VALUE(B2679),Client_List!$A:$A,0)),""))</f>
        <v/>
      </c>
      <c r="I2679" s="70">
        <f>IF(B2679="","",IFERROR(A2679-LOOKUP(2,1/($B$4:$B2678=B2679),$A$4:$A2678),""))</f>
        <v/>
      </c>
      <c r="J2679" s="32">
        <f>IF(B2679="","",IFERROR(D2679/I2679,""))</f>
        <v/>
      </c>
      <c r="K2679" s="71">
        <f>IF(B2679="","",IFERROR(AVERAGEIFS($J$4:$J2679,$B$4:$B2679,B2679,$J$4:$J2679,"&gt;"&amp;0),""))</f>
        <v/>
      </c>
      <c r="L2679" s="11" t="n"/>
    </row>
    <row r="2680" ht="14" customHeight="1" s="72">
      <c r="A2680" s="83" t="n"/>
      <c r="B2680" s="81" t="n"/>
      <c r="C2680" s="69">
        <f>IF(B2680="","",IFERROR(INDEX(Client_List!$B:$B,MATCH(B2680,Client_List!$A:$A,0)),"⚠ NOT FOUND"))</f>
        <v/>
      </c>
      <c r="D2680" s="45" t="n"/>
      <c r="E2680" s="32">
        <f>IF(B2680="","",IFERROR(INDEX(Client_List!$C:$C,MATCH(VALUE(B2680),Client_List!$A:$A,0)),""))</f>
        <v/>
      </c>
      <c r="F2680" s="53">
        <f>IF(B2680="","",IFERROR(INDEX(Client_List!$D:$D,MATCH(VALUE(B2680),Client_List!$A:$A,0)),""))</f>
        <v/>
      </c>
      <c r="G2680" s="53">
        <f>IF(B2680="","",IFERROR(INDEX(Client_List!$K:$K,MATCH(VALUE(B2680),Client_List!$A:$A,0)),""))</f>
        <v/>
      </c>
      <c r="H2680" s="32">
        <f>IF(B2680="","",IFERROR(INDEX(Client_List!$J:$J,MATCH(VALUE(B2680),Client_List!$A:$A,0)),""))</f>
        <v/>
      </c>
      <c r="I2680" s="70">
        <f>IF(B2680="","",IFERROR(A2680-LOOKUP(2,1/($B$4:$B2679=B2680),$A$4:$A2679),""))</f>
        <v/>
      </c>
      <c r="J2680" s="32">
        <f>IF(B2680="","",IFERROR(D2680/I2680,""))</f>
        <v/>
      </c>
      <c r="K2680" s="71">
        <f>IF(B2680="","",IFERROR(AVERAGEIFS($J$4:$J2680,$B$4:$B2680,B2680,$J$4:$J2680,"&gt;"&amp;0),""))</f>
        <v/>
      </c>
      <c r="L2680" s="12" t="n"/>
    </row>
    <row r="2681" ht="14" customHeight="1" s="72">
      <c r="A2681" s="82" t="n"/>
      <c r="B2681" s="79" t="n"/>
      <c r="C2681" s="69">
        <f>IF(B2681="","",IFERROR(INDEX(Client_List!$B:$B,MATCH(B2681,Client_List!$A:$A,0)),"⚠ NOT FOUND"))</f>
        <v/>
      </c>
      <c r="D2681" s="44" t="n"/>
      <c r="E2681" s="32">
        <f>IF(B2681="","",IFERROR(INDEX(Client_List!$C:$C,MATCH(VALUE(B2681),Client_List!$A:$A,0)),""))</f>
        <v/>
      </c>
      <c r="F2681" s="53">
        <f>IF(B2681="","",IFERROR(INDEX(Client_List!$D:$D,MATCH(VALUE(B2681),Client_List!$A:$A,0)),""))</f>
        <v/>
      </c>
      <c r="G2681" s="53">
        <f>IF(B2681="","",IFERROR(INDEX(Client_List!$K:$K,MATCH(VALUE(B2681),Client_List!$A:$A,0)),""))</f>
        <v/>
      </c>
      <c r="H2681" s="32">
        <f>IF(B2681="","",IFERROR(INDEX(Client_List!$J:$J,MATCH(VALUE(B2681),Client_List!$A:$A,0)),""))</f>
        <v/>
      </c>
      <c r="I2681" s="70">
        <f>IF(B2681="","",IFERROR(A2681-LOOKUP(2,1/($B$4:$B2680=B2681),$A$4:$A2680),""))</f>
        <v/>
      </c>
      <c r="J2681" s="32">
        <f>IF(B2681="","",IFERROR(D2681/I2681,""))</f>
        <v/>
      </c>
      <c r="K2681" s="71">
        <f>IF(B2681="","",IFERROR(AVERAGEIFS($J$4:$J2681,$B$4:$B2681,B2681,$J$4:$J2681,"&gt;"&amp;0),""))</f>
        <v/>
      </c>
      <c r="L2681" s="11" t="n"/>
    </row>
    <row r="2682" ht="14" customHeight="1" s="72">
      <c r="A2682" s="83" t="n"/>
      <c r="B2682" s="81" t="n"/>
      <c r="C2682" s="69">
        <f>IF(B2682="","",IFERROR(INDEX(Client_List!$B:$B,MATCH(B2682,Client_List!$A:$A,0)),"⚠ NOT FOUND"))</f>
        <v/>
      </c>
      <c r="D2682" s="45" t="n"/>
      <c r="E2682" s="32">
        <f>IF(B2682="","",IFERROR(INDEX(Client_List!$C:$C,MATCH(VALUE(B2682),Client_List!$A:$A,0)),""))</f>
        <v/>
      </c>
      <c r="F2682" s="53">
        <f>IF(B2682="","",IFERROR(INDEX(Client_List!$D:$D,MATCH(VALUE(B2682),Client_List!$A:$A,0)),""))</f>
        <v/>
      </c>
      <c r="G2682" s="53">
        <f>IF(B2682="","",IFERROR(INDEX(Client_List!$K:$K,MATCH(VALUE(B2682),Client_List!$A:$A,0)),""))</f>
        <v/>
      </c>
      <c r="H2682" s="32">
        <f>IF(B2682="","",IFERROR(INDEX(Client_List!$J:$J,MATCH(VALUE(B2682),Client_List!$A:$A,0)),""))</f>
        <v/>
      </c>
      <c r="I2682" s="70">
        <f>IF(B2682="","",IFERROR(A2682-LOOKUP(2,1/($B$4:$B2681=B2682),$A$4:$A2681),""))</f>
        <v/>
      </c>
      <c r="J2682" s="32">
        <f>IF(B2682="","",IFERROR(D2682/I2682,""))</f>
        <v/>
      </c>
      <c r="K2682" s="71">
        <f>IF(B2682="","",IFERROR(AVERAGEIFS($J$4:$J2682,$B$4:$B2682,B2682,$J$4:$J2682,"&gt;"&amp;0),""))</f>
        <v/>
      </c>
      <c r="L2682" s="12" t="n"/>
    </row>
    <row r="2683" ht="14" customHeight="1" s="72">
      <c r="A2683" s="82" t="n"/>
      <c r="B2683" s="79" t="n"/>
      <c r="C2683" s="69">
        <f>IF(B2683="","",IFERROR(INDEX(Client_List!$B:$B,MATCH(B2683,Client_List!$A:$A,0)),"⚠ NOT FOUND"))</f>
        <v/>
      </c>
      <c r="D2683" s="44" t="n"/>
      <c r="E2683" s="32">
        <f>IF(B2683="","",IFERROR(INDEX(Client_List!$C:$C,MATCH(VALUE(B2683),Client_List!$A:$A,0)),""))</f>
        <v/>
      </c>
      <c r="F2683" s="53">
        <f>IF(B2683="","",IFERROR(INDEX(Client_List!$D:$D,MATCH(VALUE(B2683),Client_List!$A:$A,0)),""))</f>
        <v/>
      </c>
      <c r="G2683" s="53">
        <f>IF(B2683="","",IFERROR(INDEX(Client_List!$K:$K,MATCH(VALUE(B2683),Client_List!$A:$A,0)),""))</f>
        <v/>
      </c>
      <c r="H2683" s="32">
        <f>IF(B2683="","",IFERROR(INDEX(Client_List!$J:$J,MATCH(VALUE(B2683),Client_List!$A:$A,0)),""))</f>
        <v/>
      </c>
      <c r="I2683" s="70">
        <f>IF(B2683="","",IFERROR(A2683-LOOKUP(2,1/($B$4:$B2682=B2683),$A$4:$A2682),""))</f>
        <v/>
      </c>
      <c r="J2683" s="32">
        <f>IF(B2683="","",IFERROR(D2683/I2683,""))</f>
        <v/>
      </c>
      <c r="K2683" s="71">
        <f>IF(B2683="","",IFERROR(AVERAGEIFS($J$4:$J2683,$B$4:$B2683,B2683,$J$4:$J2683,"&gt;"&amp;0),""))</f>
        <v/>
      </c>
      <c r="L2683" s="11" t="n"/>
    </row>
    <row r="2684" ht="14" customHeight="1" s="72">
      <c r="A2684" s="83" t="n"/>
      <c r="B2684" s="81" t="n"/>
      <c r="C2684" s="69">
        <f>IF(B2684="","",IFERROR(INDEX(Client_List!$B:$B,MATCH(B2684,Client_List!$A:$A,0)),"⚠ NOT FOUND"))</f>
        <v/>
      </c>
      <c r="D2684" s="45" t="n"/>
      <c r="E2684" s="32">
        <f>IF(B2684="","",IFERROR(INDEX(Client_List!$C:$C,MATCH(VALUE(B2684),Client_List!$A:$A,0)),""))</f>
        <v/>
      </c>
      <c r="F2684" s="53">
        <f>IF(B2684="","",IFERROR(INDEX(Client_List!$D:$D,MATCH(VALUE(B2684),Client_List!$A:$A,0)),""))</f>
        <v/>
      </c>
      <c r="G2684" s="53">
        <f>IF(B2684="","",IFERROR(INDEX(Client_List!$K:$K,MATCH(VALUE(B2684),Client_List!$A:$A,0)),""))</f>
        <v/>
      </c>
      <c r="H2684" s="32">
        <f>IF(B2684="","",IFERROR(INDEX(Client_List!$J:$J,MATCH(VALUE(B2684),Client_List!$A:$A,0)),""))</f>
        <v/>
      </c>
      <c r="I2684" s="70">
        <f>IF(B2684="","",IFERROR(A2684-LOOKUP(2,1/($B$4:$B2683=B2684),$A$4:$A2683),""))</f>
        <v/>
      </c>
      <c r="J2684" s="32">
        <f>IF(B2684="","",IFERROR(D2684/I2684,""))</f>
        <v/>
      </c>
      <c r="K2684" s="71">
        <f>IF(B2684="","",IFERROR(AVERAGEIFS($J$4:$J2684,$B$4:$B2684,B2684,$J$4:$J2684,"&gt;"&amp;0),""))</f>
        <v/>
      </c>
      <c r="L2684" s="12" t="n"/>
    </row>
    <row r="2685" ht="14" customHeight="1" s="72">
      <c r="A2685" s="82" t="n"/>
      <c r="B2685" s="79" t="n"/>
      <c r="C2685" s="69">
        <f>IF(B2685="","",IFERROR(INDEX(Client_List!$B:$B,MATCH(B2685,Client_List!$A:$A,0)),"⚠ NOT FOUND"))</f>
        <v/>
      </c>
      <c r="D2685" s="44" t="n"/>
      <c r="E2685" s="32">
        <f>IF(B2685="","",IFERROR(INDEX(Client_List!$C:$C,MATCH(VALUE(B2685),Client_List!$A:$A,0)),""))</f>
        <v/>
      </c>
      <c r="F2685" s="53">
        <f>IF(B2685="","",IFERROR(INDEX(Client_List!$D:$D,MATCH(VALUE(B2685),Client_List!$A:$A,0)),""))</f>
        <v/>
      </c>
      <c r="G2685" s="53">
        <f>IF(B2685="","",IFERROR(INDEX(Client_List!$K:$K,MATCH(VALUE(B2685),Client_List!$A:$A,0)),""))</f>
        <v/>
      </c>
      <c r="H2685" s="32">
        <f>IF(B2685="","",IFERROR(INDEX(Client_List!$J:$J,MATCH(VALUE(B2685),Client_List!$A:$A,0)),""))</f>
        <v/>
      </c>
      <c r="I2685" s="70">
        <f>IF(B2685="","",IFERROR(A2685-LOOKUP(2,1/($B$4:$B2684=B2685),$A$4:$A2684),""))</f>
        <v/>
      </c>
      <c r="J2685" s="32">
        <f>IF(B2685="","",IFERROR(D2685/I2685,""))</f>
        <v/>
      </c>
      <c r="K2685" s="71">
        <f>IF(B2685="","",IFERROR(AVERAGEIFS($J$4:$J2685,$B$4:$B2685,B2685,$J$4:$J2685,"&gt;"&amp;0),""))</f>
        <v/>
      </c>
      <c r="L2685" s="11" t="n"/>
    </row>
    <row r="2686" ht="14" customHeight="1" s="72">
      <c r="A2686" s="83" t="n"/>
      <c r="B2686" s="81" t="n"/>
      <c r="C2686" s="69">
        <f>IF(B2686="","",IFERROR(INDEX(Client_List!$B:$B,MATCH(B2686,Client_List!$A:$A,0)),"⚠ NOT FOUND"))</f>
        <v/>
      </c>
      <c r="D2686" s="45" t="n"/>
      <c r="E2686" s="32">
        <f>IF(B2686="","",IFERROR(INDEX(Client_List!$C:$C,MATCH(VALUE(B2686),Client_List!$A:$A,0)),""))</f>
        <v/>
      </c>
      <c r="F2686" s="53">
        <f>IF(B2686="","",IFERROR(INDEX(Client_List!$D:$D,MATCH(VALUE(B2686),Client_List!$A:$A,0)),""))</f>
        <v/>
      </c>
      <c r="G2686" s="53">
        <f>IF(B2686="","",IFERROR(INDEX(Client_List!$K:$K,MATCH(VALUE(B2686),Client_List!$A:$A,0)),""))</f>
        <v/>
      </c>
      <c r="H2686" s="32">
        <f>IF(B2686="","",IFERROR(INDEX(Client_List!$J:$J,MATCH(VALUE(B2686),Client_List!$A:$A,0)),""))</f>
        <v/>
      </c>
      <c r="I2686" s="70">
        <f>IF(B2686="","",IFERROR(A2686-LOOKUP(2,1/($B$4:$B2685=B2686),$A$4:$A2685),""))</f>
        <v/>
      </c>
      <c r="J2686" s="32">
        <f>IF(B2686="","",IFERROR(D2686/I2686,""))</f>
        <v/>
      </c>
      <c r="K2686" s="71">
        <f>IF(B2686="","",IFERROR(AVERAGEIFS($J$4:$J2686,$B$4:$B2686,B2686,$J$4:$J2686,"&gt;"&amp;0),""))</f>
        <v/>
      </c>
      <c r="L2686" s="12" t="n"/>
    </row>
    <row r="2687" ht="14" customHeight="1" s="72">
      <c r="A2687" s="82" t="n"/>
      <c r="B2687" s="79" t="n"/>
      <c r="C2687" s="69">
        <f>IF(B2687="","",IFERROR(INDEX(Client_List!$B:$B,MATCH(B2687,Client_List!$A:$A,0)),"⚠ NOT FOUND"))</f>
        <v/>
      </c>
      <c r="D2687" s="44" t="n"/>
      <c r="E2687" s="32">
        <f>IF(B2687="","",IFERROR(INDEX(Client_List!$C:$C,MATCH(VALUE(B2687),Client_List!$A:$A,0)),""))</f>
        <v/>
      </c>
      <c r="F2687" s="53">
        <f>IF(B2687="","",IFERROR(INDEX(Client_List!$D:$D,MATCH(VALUE(B2687),Client_List!$A:$A,0)),""))</f>
        <v/>
      </c>
      <c r="G2687" s="53">
        <f>IF(B2687="","",IFERROR(INDEX(Client_List!$K:$K,MATCH(VALUE(B2687),Client_List!$A:$A,0)),""))</f>
        <v/>
      </c>
      <c r="H2687" s="32">
        <f>IF(B2687="","",IFERROR(INDEX(Client_List!$J:$J,MATCH(VALUE(B2687),Client_List!$A:$A,0)),""))</f>
        <v/>
      </c>
      <c r="I2687" s="70">
        <f>IF(B2687="","",IFERROR(A2687-LOOKUP(2,1/($B$4:$B2686=B2687),$A$4:$A2686),""))</f>
        <v/>
      </c>
      <c r="J2687" s="32">
        <f>IF(B2687="","",IFERROR(D2687/I2687,""))</f>
        <v/>
      </c>
      <c r="K2687" s="71">
        <f>IF(B2687="","",IFERROR(AVERAGEIFS($J$4:$J2687,$B$4:$B2687,B2687,$J$4:$J2687,"&gt;"&amp;0),""))</f>
        <v/>
      </c>
      <c r="L2687" s="11" t="n"/>
    </row>
    <row r="2688" ht="14" customHeight="1" s="72">
      <c r="A2688" s="83" t="n"/>
      <c r="B2688" s="81" t="n"/>
      <c r="C2688" s="69">
        <f>IF(B2688="","",IFERROR(INDEX(Client_List!$B:$B,MATCH(B2688,Client_List!$A:$A,0)),"⚠ NOT FOUND"))</f>
        <v/>
      </c>
      <c r="D2688" s="45" t="n"/>
      <c r="E2688" s="32">
        <f>IF(B2688="","",IFERROR(INDEX(Client_List!$C:$C,MATCH(VALUE(B2688),Client_List!$A:$A,0)),""))</f>
        <v/>
      </c>
      <c r="F2688" s="53">
        <f>IF(B2688="","",IFERROR(INDEX(Client_List!$D:$D,MATCH(VALUE(B2688),Client_List!$A:$A,0)),""))</f>
        <v/>
      </c>
      <c r="G2688" s="53">
        <f>IF(B2688="","",IFERROR(INDEX(Client_List!$K:$K,MATCH(VALUE(B2688),Client_List!$A:$A,0)),""))</f>
        <v/>
      </c>
      <c r="H2688" s="32">
        <f>IF(B2688="","",IFERROR(INDEX(Client_List!$J:$J,MATCH(VALUE(B2688),Client_List!$A:$A,0)),""))</f>
        <v/>
      </c>
      <c r="I2688" s="70">
        <f>IF(B2688="","",IFERROR(A2688-LOOKUP(2,1/($B$4:$B2687=B2688),$A$4:$A2687),""))</f>
        <v/>
      </c>
      <c r="J2688" s="32">
        <f>IF(B2688="","",IFERROR(D2688/I2688,""))</f>
        <v/>
      </c>
      <c r="K2688" s="71">
        <f>IF(B2688="","",IFERROR(AVERAGEIFS($J$4:$J2688,$B$4:$B2688,B2688,$J$4:$J2688,"&gt;"&amp;0),""))</f>
        <v/>
      </c>
      <c r="L2688" s="12" t="n"/>
    </row>
    <row r="2689" ht="14" customHeight="1" s="72">
      <c r="A2689" s="82" t="n"/>
      <c r="B2689" s="79" t="n"/>
      <c r="C2689" s="69">
        <f>IF(B2689="","",IFERROR(INDEX(Client_List!$B:$B,MATCH(B2689,Client_List!$A:$A,0)),"⚠ NOT FOUND"))</f>
        <v/>
      </c>
      <c r="D2689" s="44" t="n"/>
      <c r="E2689" s="32">
        <f>IF(B2689="","",IFERROR(INDEX(Client_List!$C:$C,MATCH(VALUE(B2689),Client_List!$A:$A,0)),""))</f>
        <v/>
      </c>
      <c r="F2689" s="53">
        <f>IF(B2689="","",IFERROR(INDEX(Client_List!$D:$D,MATCH(VALUE(B2689),Client_List!$A:$A,0)),""))</f>
        <v/>
      </c>
      <c r="G2689" s="53">
        <f>IF(B2689="","",IFERROR(INDEX(Client_List!$K:$K,MATCH(VALUE(B2689),Client_List!$A:$A,0)),""))</f>
        <v/>
      </c>
      <c r="H2689" s="32">
        <f>IF(B2689="","",IFERROR(INDEX(Client_List!$J:$J,MATCH(VALUE(B2689),Client_List!$A:$A,0)),""))</f>
        <v/>
      </c>
      <c r="I2689" s="70">
        <f>IF(B2689="","",IFERROR(A2689-LOOKUP(2,1/($B$4:$B2688=B2689),$A$4:$A2688),""))</f>
        <v/>
      </c>
      <c r="J2689" s="32">
        <f>IF(B2689="","",IFERROR(D2689/I2689,""))</f>
        <v/>
      </c>
      <c r="K2689" s="71">
        <f>IF(B2689="","",IFERROR(AVERAGEIFS($J$4:$J2689,$B$4:$B2689,B2689,$J$4:$J2689,"&gt;"&amp;0),""))</f>
        <v/>
      </c>
      <c r="L2689" s="11" t="n"/>
    </row>
    <row r="2690" ht="14" customHeight="1" s="72">
      <c r="A2690" s="83" t="n"/>
      <c r="B2690" s="81" t="n"/>
      <c r="C2690" s="69">
        <f>IF(B2690="","",IFERROR(INDEX(Client_List!$B:$B,MATCH(B2690,Client_List!$A:$A,0)),"⚠ NOT FOUND"))</f>
        <v/>
      </c>
      <c r="D2690" s="45" t="n"/>
      <c r="E2690" s="32">
        <f>IF(B2690="","",IFERROR(INDEX(Client_List!$C:$C,MATCH(VALUE(B2690),Client_List!$A:$A,0)),""))</f>
        <v/>
      </c>
      <c r="F2690" s="53">
        <f>IF(B2690="","",IFERROR(INDEX(Client_List!$D:$D,MATCH(VALUE(B2690),Client_List!$A:$A,0)),""))</f>
        <v/>
      </c>
      <c r="G2690" s="53">
        <f>IF(B2690="","",IFERROR(INDEX(Client_List!$K:$K,MATCH(VALUE(B2690),Client_List!$A:$A,0)),""))</f>
        <v/>
      </c>
      <c r="H2690" s="32">
        <f>IF(B2690="","",IFERROR(INDEX(Client_List!$J:$J,MATCH(VALUE(B2690),Client_List!$A:$A,0)),""))</f>
        <v/>
      </c>
      <c r="I2690" s="70">
        <f>IF(B2690="","",IFERROR(A2690-LOOKUP(2,1/($B$4:$B2689=B2690),$A$4:$A2689),""))</f>
        <v/>
      </c>
      <c r="J2690" s="32">
        <f>IF(B2690="","",IFERROR(D2690/I2690,""))</f>
        <v/>
      </c>
      <c r="K2690" s="71">
        <f>IF(B2690="","",IFERROR(AVERAGEIFS($J$4:$J2690,$B$4:$B2690,B2690,$J$4:$J2690,"&gt;"&amp;0),""))</f>
        <v/>
      </c>
      <c r="L2690" s="12" t="n"/>
    </row>
    <row r="2691" ht="14" customHeight="1" s="72">
      <c r="A2691" s="82" t="n"/>
      <c r="B2691" s="79" t="n"/>
      <c r="C2691" s="69">
        <f>IF(B2691="","",IFERROR(INDEX(Client_List!$B:$B,MATCH(B2691,Client_List!$A:$A,0)),"⚠ NOT FOUND"))</f>
        <v/>
      </c>
      <c r="D2691" s="44" t="n"/>
      <c r="E2691" s="32">
        <f>IF(B2691="","",IFERROR(INDEX(Client_List!$C:$C,MATCH(VALUE(B2691),Client_List!$A:$A,0)),""))</f>
        <v/>
      </c>
      <c r="F2691" s="53">
        <f>IF(B2691="","",IFERROR(INDEX(Client_List!$D:$D,MATCH(VALUE(B2691),Client_List!$A:$A,0)),""))</f>
        <v/>
      </c>
      <c r="G2691" s="53">
        <f>IF(B2691="","",IFERROR(INDEX(Client_List!$K:$K,MATCH(VALUE(B2691),Client_List!$A:$A,0)),""))</f>
        <v/>
      </c>
      <c r="H2691" s="32">
        <f>IF(B2691="","",IFERROR(INDEX(Client_List!$J:$J,MATCH(VALUE(B2691),Client_List!$A:$A,0)),""))</f>
        <v/>
      </c>
      <c r="I2691" s="70">
        <f>IF(B2691="","",IFERROR(A2691-LOOKUP(2,1/($B$4:$B2690=B2691),$A$4:$A2690),""))</f>
        <v/>
      </c>
      <c r="J2691" s="32">
        <f>IF(B2691="","",IFERROR(D2691/I2691,""))</f>
        <v/>
      </c>
      <c r="K2691" s="71">
        <f>IF(B2691="","",IFERROR(AVERAGEIFS($J$4:$J2691,$B$4:$B2691,B2691,$J$4:$J2691,"&gt;"&amp;0),""))</f>
        <v/>
      </c>
      <c r="L2691" s="11" t="n"/>
    </row>
    <row r="2692" ht="14" customHeight="1" s="72">
      <c r="A2692" s="83" t="n"/>
      <c r="B2692" s="81" t="n"/>
      <c r="C2692" s="69">
        <f>IF(B2692="","",IFERROR(INDEX(Client_List!$B:$B,MATCH(B2692,Client_List!$A:$A,0)),"⚠ NOT FOUND"))</f>
        <v/>
      </c>
      <c r="D2692" s="45" t="n"/>
      <c r="E2692" s="32">
        <f>IF(B2692="","",IFERROR(INDEX(Client_List!$C:$C,MATCH(VALUE(B2692),Client_List!$A:$A,0)),""))</f>
        <v/>
      </c>
      <c r="F2692" s="53">
        <f>IF(B2692="","",IFERROR(INDEX(Client_List!$D:$D,MATCH(VALUE(B2692),Client_List!$A:$A,0)),""))</f>
        <v/>
      </c>
      <c r="G2692" s="53">
        <f>IF(B2692="","",IFERROR(INDEX(Client_List!$K:$K,MATCH(VALUE(B2692),Client_List!$A:$A,0)),""))</f>
        <v/>
      </c>
      <c r="H2692" s="32">
        <f>IF(B2692="","",IFERROR(INDEX(Client_List!$J:$J,MATCH(VALUE(B2692),Client_List!$A:$A,0)),""))</f>
        <v/>
      </c>
      <c r="I2692" s="70">
        <f>IF(B2692="","",IFERROR(A2692-LOOKUP(2,1/($B$4:$B2691=B2692),$A$4:$A2691),""))</f>
        <v/>
      </c>
      <c r="J2692" s="32">
        <f>IF(B2692="","",IFERROR(D2692/I2692,""))</f>
        <v/>
      </c>
      <c r="K2692" s="71">
        <f>IF(B2692="","",IFERROR(AVERAGEIFS($J$4:$J2692,$B$4:$B2692,B2692,$J$4:$J2692,"&gt;"&amp;0),""))</f>
        <v/>
      </c>
      <c r="L2692" s="12" t="n"/>
    </row>
    <row r="2693" ht="14" customHeight="1" s="72">
      <c r="A2693" s="82" t="n"/>
      <c r="B2693" s="79" t="n"/>
      <c r="C2693" s="69">
        <f>IF(B2693="","",IFERROR(INDEX(Client_List!$B:$B,MATCH(B2693,Client_List!$A:$A,0)),"⚠ NOT FOUND"))</f>
        <v/>
      </c>
      <c r="D2693" s="44" t="n"/>
      <c r="E2693" s="32">
        <f>IF(B2693="","",IFERROR(INDEX(Client_List!$C:$C,MATCH(VALUE(B2693),Client_List!$A:$A,0)),""))</f>
        <v/>
      </c>
      <c r="F2693" s="53">
        <f>IF(B2693="","",IFERROR(INDEX(Client_List!$D:$D,MATCH(VALUE(B2693),Client_List!$A:$A,0)),""))</f>
        <v/>
      </c>
      <c r="G2693" s="53">
        <f>IF(B2693="","",IFERROR(INDEX(Client_List!$K:$K,MATCH(VALUE(B2693),Client_List!$A:$A,0)),""))</f>
        <v/>
      </c>
      <c r="H2693" s="32">
        <f>IF(B2693="","",IFERROR(INDEX(Client_List!$J:$J,MATCH(VALUE(B2693),Client_List!$A:$A,0)),""))</f>
        <v/>
      </c>
      <c r="I2693" s="70">
        <f>IF(B2693="","",IFERROR(A2693-LOOKUP(2,1/($B$4:$B2692=B2693),$A$4:$A2692),""))</f>
        <v/>
      </c>
      <c r="J2693" s="32">
        <f>IF(B2693="","",IFERROR(D2693/I2693,""))</f>
        <v/>
      </c>
      <c r="K2693" s="71">
        <f>IF(B2693="","",IFERROR(AVERAGEIFS($J$4:$J2693,$B$4:$B2693,B2693,$J$4:$J2693,"&gt;"&amp;0),""))</f>
        <v/>
      </c>
      <c r="L2693" s="11" t="n"/>
    </row>
    <row r="2694" ht="14" customHeight="1" s="72">
      <c r="A2694" s="83" t="n"/>
      <c r="B2694" s="81" t="n"/>
      <c r="C2694" s="69">
        <f>IF(B2694="","",IFERROR(INDEX(Client_List!$B:$B,MATCH(B2694,Client_List!$A:$A,0)),"⚠ NOT FOUND"))</f>
        <v/>
      </c>
      <c r="D2694" s="45" t="n"/>
      <c r="E2694" s="32">
        <f>IF(B2694="","",IFERROR(INDEX(Client_List!$C:$C,MATCH(VALUE(B2694),Client_List!$A:$A,0)),""))</f>
        <v/>
      </c>
      <c r="F2694" s="53">
        <f>IF(B2694="","",IFERROR(INDEX(Client_List!$D:$D,MATCH(VALUE(B2694),Client_List!$A:$A,0)),""))</f>
        <v/>
      </c>
      <c r="G2694" s="53">
        <f>IF(B2694="","",IFERROR(INDEX(Client_List!$K:$K,MATCH(VALUE(B2694),Client_List!$A:$A,0)),""))</f>
        <v/>
      </c>
      <c r="H2694" s="32">
        <f>IF(B2694="","",IFERROR(INDEX(Client_List!$J:$J,MATCH(VALUE(B2694),Client_List!$A:$A,0)),""))</f>
        <v/>
      </c>
      <c r="I2694" s="70">
        <f>IF(B2694="","",IFERROR(A2694-LOOKUP(2,1/($B$4:$B2693=B2694),$A$4:$A2693),""))</f>
        <v/>
      </c>
      <c r="J2694" s="32">
        <f>IF(B2694="","",IFERROR(D2694/I2694,""))</f>
        <v/>
      </c>
      <c r="K2694" s="71">
        <f>IF(B2694="","",IFERROR(AVERAGEIFS($J$4:$J2694,$B$4:$B2694,B2694,$J$4:$J2694,"&gt;"&amp;0),""))</f>
        <v/>
      </c>
      <c r="L2694" s="12" t="n"/>
    </row>
    <row r="2695" ht="14" customHeight="1" s="72">
      <c r="A2695" s="82" t="n"/>
      <c r="B2695" s="79" t="n"/>
      <c r="C2695" s="69">
        <f>IF(B2695="","",IFERROR(INDEX(Client_List!$B:$B,MATCH(B2695,Client_List!$A:$A,0)),"⚠ NOT FOUND"))</f>
        <v/>
      </c>
      <c r="D2695" s="44" t="n"/>
      <c r="E2695" s="32">
        <f>IF(B2695="","",IFERROR(INDEX(Client_List!$C:$C,MATCH(VALUE(B2695),Client_List!$A:$A,0)),""))</f>
        <v/>
      </c>
      <c r="F2695" s="53">
        <f>IF(B2695="","",IFERROR(INDEX(Client_List!$D:$D,MATCH(VALUE(B2695),Client_List!$A:$A,0)),""))</f>
        <v/>
      </c>
      <c r="G2695" s="53">
        <f>IF(B2695="","",IFERROR(INDEX(Client_List!$K:$K,MATCH(VALUE(B2695),Client_List!$A:$A,0)),""))</f>
        <v/>
      </c>
      <c r="H2695" s="32">
        <f>IF(B2695="","",IFERROR(INDEX(Client_List!$J:$J,MATCH(VALUE(B2695),Client_List!$A:$A,0)),""))</f>
        <v/>
      </c>
      <c r="I2695" s="70">
        <f>IF(B2695="","",IFERROR(A2695-LOOKUP(2,1/($B$4:$B2694=B2695),$A$4:$A2694),""))</f>
        <v/>
      </c>
      <c r="J2695" s="32">
        <f>IF(B2695="","",IFERROR(D2695/I2695,""))</f>
        <v/>
      </c>
      <c r="K2695" s="71">
        <f>IF(B2695="","",IFERROR(AVERAGEIFS($J$4:$J2695,$B$4:$B2695,B2695,$J$4:$J2695,"&gt;"&amp;0),""))</f>
        <v/>
      </c>
      <c r="L2695" s="11" t="n"/>
    </row>
    <row r="2696" ht="14" customHeight="1" s="72">
      <c r="A2696" s="83" t="n"/>
      <c r="B2696" s="81" t="n"/>
      <c r="C2696" s="69">
        <f>IF(B2696="","",IFERROR(INDEX(Client_List!$B:$B,MATCH(B2696,Client_List!$A:$A,0)),"⚠ NOT FOUND"))</f>
        <v/>
      </c>
      <c r="D2696" s="45" t="n"/>
      <c r="E2696" s="32">
        <f>IF(B2696="","",IFERROR(INDEX(Client_List!$C:$C,MATCH(VALUE(B2696),Client_List!$A:$A,0)),""))</f>
        <v/>
      </c>
      <c r="F2696" s="53">
        <f>IF(B2696="","",IFERROR(INDEX(Client_List!$D:$D,MATCH(VALUE(B2696),Client_List!$A:$A,0)),""))</f>
        <v/>
      </c>
      <c r="G2696" s="53">
        <f>IF(B2696="","",IFERROR(INDEX(Client_List!$K:$K,MATCH(VALUE(B2696),Client_List!$A:$A,0)),""))</f>
        <v/>
      </c>
      <c r="H2696" s="32">
        <f>IF(B2696="","",IFERROR(INDEX(Client_List!$J:$J,MATCH(VALUE(B2696),Client_List!$A:$A,0)),""))</f>
        <v/>
      </c>
      <c r="I2696" s="70">
        <f>IF(B2696="","",IFERROR(A2696-LOOKUP(2,1/($B$4:$B2695=B2696),$A$4:$A2695),""))</f>
        <v/>
      </c>
      <c r="J2696" s="32">
        <f>IF(B2696="","",IFERROR(D2696/I2696,""))</f>
        <v/>
      </c>
      <c r="K2696" s="71">
        <f>IF(B2696="","",IFERROR(AVERAGEIFS($J$4:$J2696,$B$4:$B2696,B2696,$J$4:$J2696,"&gt;"&amp;0),""))</f>
        <v/>
      </c>
      <c r="L2696" s="12" t="n"/>
    </row>
    <row r="2697" ht="14" customHeight="1" s="72">
      <c r="A2697" s="82" t="n"/>
      <c r="B2697" s="79" t="n"/>
      <c r="C2697" s="69">
        <f>IF(B2697="","",IFERROR(INDEX(Client_List!$B:$B,MATCH(B2697,Client_List!$A:$A,0)),"⚠ NOT FOUND"))</f>
        <v/>
      </c>
      <c r="D2697" s="44" t="n"/>
      <c r="E2697" s="32">
        <f>IF(B2697="","",IFERROR(INDEX(Client_List!$C:$C,MATCH(VALUE(B2697),Client_List!$A:$A,0)),""))</f>
        <v/>
      </c>
      <c r="F2697" s="53">
        <f>IF(B2697="","",IFERROR(INDEX(Client_List!$D:$D,MATCH(VALUE(B2697),Client_List!$A:$A,0)),""))</f>
        <v/>
      </c>
      <c r="G2697" s="53">
        <f>IF(B2697="","",IFERROR(INDEX(Client_List!$K:$K,MATCH(VALUE(B2697),Client_List!$A:$A,0)),""))</f>
        <v/>
      </c>
      <c r="H2697" s="32">
        <f>IF(B2697="","",IFERROR(INDEX(Client_List!$J:$J,MATCH(VALUE(B2697),Client_List!$A:$A,0)),""))</f>
        <v/>
      </c>
      <c r="I2697" s="70">
        <f>IF(B2697="","",IFERROR(A2697-LOOKUP(2,1/($B$4:$B2696=B2697),$A$4:$A2696),""))</f>
        <v/>
      </c>
      <c r="J2697" s="32">
        <f>IF(B2697="","",IFERROR(D2697/I2697,""))</f>
        <v/>
      </c>
      <c r="K2697" s="71">
        <f>IF(B2697="","",IFERROR(AVERAGEIFS($J$4:$J2697,$B$4:$B2697,B2697,$J$4:$J2697,"&gt;"&amp;0),""))</f>
        <v/>
      </c>
      <c r="L2697" s="11" t="n"/>
    </row>
    <row r="2698" ht="14" customHeight="1" s="72">
      <c r="A2698" s="83" t="n"/>
      <c r="B2698" s="81" t="n"/>
      <c r="C2698" s="69">
        <f>IF(B2698="","",IFERROR(INDEX(Client_List!$B:$B,MATCH(B2698,Client_List!$A:$A,0)),"⚠ NOT FOUND"))</f>
        <v/>
      </c>
      <c r="D2698" s="45" t="n"/>
      <c r="E2698" s="32">
        <f>IF(B2698="","",IFERROR(INDEX(Client_List!$C:$C,MATCH(VALUE(B2698),Client_List!$A:$A,0)),""))</f>
        <v/>
      </c>
      <c r="F2698" s="53">
        <f>IF(B2698="","",IFERROR(INDEX(Client_List!$D:$D,MATCH(VALUE(B2698),Client_List!$A:$A,0)),""))</f>
        <v/>
      </c>
      <c r="G2698" s="53">
        <f>IF(B2698="","",IFERROR(INDEX(Client_List!$K:$K,MATCH(VALUE(B2698),Client_List!$A:$A,0)),""))</f>
        <v/>
      </c>
      <c r="H2698" s="32">
        <f>IF(B2698="","",IFERROR(INDEX(Client_List!$J:$J,MATCH(VALUE(B2698),Client_List!$A:$A,0)),""))</f>
        <v/>
      </c>
      <c r="I2698" s="70">
        <f>IF(B2698="","",IFERROR(A2698-LOOKUP(2,1/($B$4:$B2697=B2698),$A$4:$A2697),""))</f>
        <v/>
      </c>
      <c r="J2698" s="32">
        <f>IF(B2698="","",IFERROR(D2698/I2698,""))</f>
        <v/>
      </c>
      <c r="K2698" s="71">
        <f>IF(B2698="","",IFERROR(AVERAGEIFS($J$4:$J2698,$B$4:$B2698,B2698,$J$4:$J2698,"&gt;"&amp;0),""))</f>
        <v/>
      </c>
      <c r="L2698" s="12" t="n"/>
    </row>
    <row r="2699" ht="14" customHeight="1" s="72">
      <c r="A2699" s="82" t="n"/>
      <c r="B2699" s="79" t="n"/>
      <c r="C2699" s="69">
        <f>IF(B2699="","",IFERROR(INDEX(Client_List!$B:$B,MATCH(B2699,Client_List!$A:$A,0)),"⚠ NOT FOUND"))</f>
        <v/>
      </c>
      <c r="D2699" s="44" t="n"/>
      <c r="E2699" s="32">
        <f>IF(B2699="","",IFERROR(INDEX(Client_List!$C:$C,MATCH(VALUE(B2699),Client_List!$A:$A,0)),""))</f>
        <v/>
      </c>
      <c r="F2699" s="53">
        <f>IF(B2699="","",IFERROR(INDEX(Client_List!$D:$D,MATCH(VALUE(B2699),Client_List!$A:$A,0)),""))</f>
        <v/>
      </c>
      <c r="G2699" s="53">
        <f>IF(B2699="","",IFERROR(INDEX(Client_List!$K:$K,MATCH(VALUE(B2699),Client_List!$A:$A,0)),""))</f>
        <v/>
      </c>
      <c r="H2699" s="32">
        <f>IF(B2699="","",IFERROR(INDEX(Client_List!$J:$J,MATCH(VALUE(B2699),Client_List!$A:$A,0)),""))</f>
        <v/>
      </c>
      <c r="I2699" s="70">
        <f>IF(B2699="","",IFERROR(A2699-LOOKUP(2,1/($B$4:$B2698=B2699),$A$4:$A2698),""))</f>
        <v/>
      </c>
      <c r="J2699" s="32">
        <f>IF(B2699="","",IFERROR(D2699/I2699,""))</f>
        <v/>
      </c>
      <c r="K2699" s="71">
        <f>IF(B2699="","",IFERROR(AVERAGEIFS($J$4:$J2699,$B$4:$B2699,B2699,$J$4:$J2699,"&gt;"&amp;0),""))</f>
        <v/>
      </c>
      <c r="L2699" s="11" t="n"/>
    </row>
    <row r="2700" ht="14" customHeight="1" s="72">
      <c r="A2700" s="83" t="n"/>
      <c r="B2700" s="81" t="n"/>
      <c r="C2700" s="69">
        <f>IF(B2700="","",IFERROR(INDEX(Client_List!$B:$B,MATCH(B2700,Client_List!$A:$A,0)),"⚠ NOT FOUND"))</f>
        <v/>
      </c>
      <c r="D2700" s="45" t="n"/>
      <c r="E2700" s="32">
        <f>IF(B2700="","",IFERROR(INDEX(Client_List!$C:$C,MATCH(VALUE(B2700),Client_List!$A:$A,0)),""))</f>
        <v/>
      </c>
      <c r="F2700" s="53">
        <f>IF(B2700="","",IFERROR(INDEX(Client_List!$D:$D,MATCH(VALUE(B2700),Client_List!$A:$A,0)),""))</f>
        <v/>
      </c>
      <c r="G2700" s="53">
        <f>IF(B2700="","",IFERROR(INDEX(Client_List!$K:$K,MATCH(VALUE(B2700),Client_List!$A:$A,0)),""))</f>
        <v/>
      </c>
      <c r="H2700" s="32">
        <f>IF(B2700="","",IFERROR(INDEX(Client_List!$J:$J,MATCH(VALUE(B2700),Client_List!$A:$A,0)),""))</f>
        <v/>
      </c>
      <c r="I2700" s="70">
        <f>IF(B2700="","",IFERROR(A2700-LOOKUP(2,1/($B$4:$B2699=B2700),$A$4:$A2699),""))</f>
        <v/>
      </c>
      <c r="J2700" s="32">
        <f>IF(B2700="","",IFERROR(D2700/I2700,""))</f>
        <v/>
      </c>
      <c r="K2700" s="71">
        <f>IF(B2700="","",IFERROR(AVERAGEIFS($J$4:$J2700,$B$4:$B2700,B2700,$J$4:$J2700,"&gt;"&amp;0),""))</f>
        <v/>
      </c>
      <c r="L2700" s="12" t="n"/>
    </row>
    <row r="2701" ht="14" customHeight="1" s="72">
      <c r="A2701" s="82" t="n"/>
      <c r="B2701" s="79" t="n"/>
      <c r="C2701" s="69">
        <f>IF(B2701="","",IFERROR(INDEX(Client_List!$B:$B,MATCH(B2701,Client_List!$A:$A,0)),"⚠ NOT FOUND"))</f>
        <v/>
      </c>
      <c r="D2701" s="44" t="n"/>
      <c r="E2701" s="32">
        <f>IF(B2701="","",IFERROR(INDEX(Client_List!$C:$C,MATCH(VALUE(B2701),Client_List!$A:$A,0)),""))</f>
        <v/>
      </c>
      <c r="F2701" s="53">
        <f>IF(B2701="","",IFERROR(INDEX(Client_List!$D:$D,MATCH(VALUE(B2701),Client_List!$A:$A,0)),""))</f>
        <v/>
      </c>
      <c r="G2701" s="53">
        <f>IF(B2701="","",IFERROR(INDEX(Client_List!$K:$K,MATCH(VALUE(B2701),Client_List!$A:$A,0)),""))</f>
        <v/>
      </c>
      <c r="H2701" s="32">
        <f>IF(B2701="","",IFERROR(INDEX(Client_List!$J:$J,MATCH(VALUE(B2701),Client_List!$A:$A,0)),""))</f>
        <v/>
      </c>
      <c r="I2701" s="70">
        <f>IF(B2701="","",IFERROR(A2701-LOOKUP(2,1/($B$4:$B2700=B2701),$A$4:$A2700),""))</f>
        <v/>
      </c>
      <c r="J2701" s="32">
        <f>IF(B2701="","",IFERROR(D2701/I2701,""))</f>
        <v/>
      </c>
      <c r="K2701" s="71">
        <f>IF(B2701="","",IFERROR(AVERAGEIFS($J$4:$J2701,$B$4:$B2701,B2701,$J$4:$J2701,"&gt;"&amp;0),""))</f>
        <v/>
      </c>
      <c r="L2701" s="11" t="n"/>
    </row>
    <row r="2702" ht="14" customHeight="1" s="72">
      <c r="A2702" s="83" t="n"/>
      <c r="B2702" s="81" t="n"/>
      <c r="C2702" s="69">
        <f>IF(B2702="","",IFERROR(INDEX(Client_List!$B:$B,MATCH(B2702,Client_List!$A:$A,0)),"⚠ NOT FOUND"))</f>
        <v/>
      </c>
      <c r="D2702" s="45" t="n"/>
      <c r="E2702" s="32">
        <f>IF(B2702="","",IFERROR(INDEX(Client_List!$C:$C,MATCH(VALUE(B2702),Client_List!$A:$A,0)),""))</f>
        <v/>
      </c>
      <c r="F2702" s="53">
        <f>IF(B2702="","",IFERROR(INDEX(Client_List!$D:$D,MATCH(VALUE(B2702),Client_List!$A:$A,0)),""))</f>
        <v/>
      </c>
      <c r="G2702" s="53">
        <f>IF(B2702="","",IFERROR(INDEX(Client_List!$K:$K,MATCH(VALUE(B2702),Client_List!$A:$A,0)),""))</f>
        <v/>
      </c>
      <c r="H2702" s="32">
        <f>IF(B2702="","",IFERROR(INDEX(Client_List!$J:$J,MATCH(VALUE(B2702),Client_List!$A:$A,0)),""))</f>
        <v/>
      </c>
      <c r="I2702" s="70">
        <f>IF(B2702="","",IFERROR(A2702-LOOKUP(2,1/($B$4:$B2701=B2702),$A$4:$A2701),""))</f>
        <v/>
      </c>
      <c r="J2702" s="32">
        <f>IF(B2702="","",IFERROR(D2702/I2702,""))</f>
        <v/>
      </c>
      <c r="K2702" s="71">
        <f>IF(B2702="","",IFERROR(AVERAGEIFS($J$4:$J2702,$B$4:$B2702,B2702,$J$4:$J2702,"&gt;"&amp;0),""))</f>
        <v/>
      </c>
      <c r="L2702" s="12" t="n"/>
    </row>
    <row r="2703" ht="14" customHeight="1" s="72">
      <c r="A2703" s="82" t="n"/>
      <c r="B2703" s="79" t="n"/>
      <c r="C2703" s="69">
        <f>IF(B2703="","",IFERROR(INDEX(Client_List!$B:$B,MATCH(B2703,Client_List!$A:$A,0)),"⚠ NOT FOUND"))</f>
        <v/>
      </c>
      <c r="D2703" s="44" t="n"/>
      <c r="E2703" s="32">
        <f>IF(B2703="","",IFERROR(INDEX(Client_List!$C:$C,MATCH(VALUE(B2703),Client_List!$A:$A,0)),""))</f>
        <v/>
      </c>
      <c r="F2703" s="53">
        <f>IF(B2703="","",IFERROR(INDEX(Client_List!$D:$D,MATCH(VALUE(B2703),Client_List!$A:$A,0)),""))</f>
        <v/>
      </c>
      <c r="G2703" s="53">
        <f>IF(B2703="","",IFERROR(INDEX(Client_List!$K:$K,MATCH(VALUE(B2703),Client_List!$A:$A,0)),""))</f>
        <v/>
      </c>
      <c r="H2703" s="32">
        <f>IF(B2703="","",IFERROR(INDEX(Client_List!$J:$J,MATCH(VALUE(B2703),Client_List!$A:$A,0)),""))</f>
        <v/>
      </c>
      <c r="I2703" s="70">
        <f>IF(B2703="","",IFERROR(A2703-LOOKUP(2,1/($B$4:$B2702=B2703),$A$4:$A2702),""))</f>
        <v/>
      </c>
      <c r="J2703" s="32">
        <f>IF(B2703="","",IFERROR(D2703/I2703,""))</f>
        <v/>
      </c>
      <c r="K2703" s="71">
        <f>IF(B2703="","",IFERROR(AVERAGEIFS($J$4:$J2703,$B$4:$B2703,B2703,$J$4:$J2703,"&gt;"&amp;0),""))</f>
        <v/>
      </c>
      <c r="L2703" s="11" t="n"/>
    </row>
    <row r="2704" ht="14" customHeight="1" s="72">
      <c r="A2704" s="83" t="n"/>
      <c r="B2704" s="81" t="n"/>
      <c r="C2704" s="69">
        <f>IF(B2704="","",IFERROR(INDEX(Client_List!$B:$B,MATCH(B2704,Client_List!$A:$A,0)),"⚠ NOT FOUND"))</f>
        <v/>
      </c>
      <c r="D2704" s="45" t="n"/>
      <c r="E2704" s="32">
        <f>IF(B2704="","",IFERROR(INDEX(Client_List!$C:$C,MATCH(VALUE(B2704),Client_List!$A:$A,0)),""))</f>
        <v/>
      </c>
      <c r="F2704" s="53">
        <f>IF(B2704="","",IFERROR(INDEX(Client_List!$D:$D,MATCH(VALUE(B2704),Client_List!$A:$A,0)),""))</f>
        <v/>
      </c>
      <c r="G2704" s="53">
        <f>IF(B2704="","",IFERROR(INDEX(Client_List!$K:$K,MATCH(VALUE(B2704),Client_List!$A:$A,0)),""))</f>
        <v/>
      </c>
      <c r="H2704" s="32">
        <f>IF(B2704="","",IFERROR(INDEX(Client_List!$J:$J,MATCH(VALUE(B2704),Client_List!$A:$A,0)),""))</f>
        <v/>
      </c>
      <c r="I2704" s="70">
        <f>IF(B2704="","",IFERROR(A2704-LOOKUP(2,1/($B$4:$B2703=B2704),$A$4:$A2703),""))</f>
        <v/>
      </c>
      <c r="J2704" s="32">
        <f>IF(B2704="","",IFERROR(D2704/I2704,""))</f>
        <v/>
      </c>
      <c r="K2704" s="71">
        <f>IF(B2704="","",IFERROR(AVERAGEIFS($J$4:$J2704,$B$4:$B2704,B2704,$J$4:$J2704,"&gt;"&amp;0),""))</f>
        <v/>
      </c>
      <c r="L2704" s="12" t="n"/>
    </row>
    <row r="2705" ht="14" customHeight="1" s="72">
      <c r="A2705" s="82" t="n"/>
      <c r="B2705" s="79" t="n"/>
      <c r="C2705" s="69">
        <f>IF(B2705="","",IFERROR(INDEX(Client_List!$B:$B,MATCH(B2705,Client_List!$A:$A,0)),"⚠ NOT FOUND"))</f>
        <v/>
      </c>
      <c r="D2705" s="44" t="n"/>
      <c r="E2705" s="32">
        <f>IF(B2705="","",IFERROR(INDEX(Client_List!$C:$C,MATCH(VALUE(B2705),Client_List!$A:$A,0)),""))</f>
        <v/>
      </c>
      <c r="F2705" s="53">
        <f>IF(B2705="","",IFERROR(INDEX(Client_List!$D:$D,MATCH(VALUE(B2705),Client_List!$A:$A,0)),""))</f>
        <v/>
      </c>
      <c r="G2705" s="53">
        <f>IF(B2705="","",IFERROR(INDEX(Client_List!$K:$K,MATCH(VALUE(B2705),Client_List!$A:$A,0)),""))</f>
        <v/>
      </c>
      <c r="H2705" s="32">
        <f>IF(B2705="","",IFERROR(INDEX(Client_List!$J:$J,MATCH(VALUE(B2705),Client_List!$A:$A,0)),""))</f>
        <v/>
      </c>
      <c r="I2705" s="70">
        <f>IF(B2705="","",IFERROR(A2705-LOOKUP(2,1/($B$4:$B2704=B2705),$A$4:$A2704),""))</f>
        <v/>
      </c>
      <c r="J2705" s="32">
        <f>IF(B2705="","",IFERROR(D2705/I2705,""))</f>
        <v/>
      </c>
      <c r="K2705" s="71">
        <f>IF(B2705="","",IFERROR(AVERAGEIFS($J$4:$J2705,$B$4:$B2705,B2705,$J$4:$J2705,"&gt;"&amp;0),""))</f>
        <v/>
      </c>
      <c r="L2705" s="11" t="n"/>
    </row>
    <row r="2706" ht="14" customHeight="1" s="72">
      <c r="A2706" s="83" t="n"/>
      <c r="B2706" s="81" t="n"/>
      <c r="C2706" s="69">
        <f>IF(B2706="","",IFERROR(INDEX(Client_List!$B:$B,MATCH(B2706,Client_List!$A:$A,0)),"⚠ NOT FOUND"))</f>
        <v/>
      </c>
      <c r="D2706" s="45" t="n"/>
      <c r="E2706" s="32">
        <f>IF(B2706="","",IFERROR(INDEX(Client_List!$C:$C,MATCH(VALUE(B2706),Client_List!$A:$A,0)),""))</f>
        <v/>
      </c>
      <c r="F2706" s="53">
        <f>IF(B2706="","",IFERROR(INDEX(Client_List!$D:$D,MATCH(VALUE(B2706),Client_List!$A:$A,0)),""))</f>
        <v/>
      </c>
      <c r="G2706" s="53">
        <f>IF(B2706="","",IFERROR(INDEX(Client_List!$K:$K,MATCH(VALUE(B2706),Client_List!$A:$A,0)),""))</f>
        <v/>
      </c>
      <c r="H2706" s="32">
        <f>IF(B2706="","",IFERROR(INDEX(Client_List!$J:$J,MATCH(VALUE(B2706),Client_List!$A:$A,0)),""))</f>
        <v/>
      </c>
      <c r="I2706" s="70">
        <f>IF(B2706="","",IFERROR(A2706-LOOKUP(2,1/($B$4:$B2705=B2706),$A$4:$A2705),""))</f>
        <v/>
      </c>
      <c r="J2706" s="32">
        <f>IF(B2706="","",IFERROR(D2706/I2706,""))</f>
        <v/>
      </c>
      <c r="K2706" s="71">
        <f>IF(B2706="","",IFERROR(AVERAGEIFS($J$4:$J2706,$B$4:$B2706,B2706,$J$4:$J2706,"&gt;"&amp;0),""))</f>
        <v/>
      </c>
      <c r="L2706" s="12" t="n"/>
    </row>
    <row r="2707" ht="14" customHeight="1" s="72">
      <c r="A2707" s="82" t="n"/>
      <c r="B2707" s="79" t="n"/>
      <c r="C2707" s="69">
        <f>IF(B2707="","",IFERROR(INDEX(Client_List!$B:$B,MATCH(B2707,Client_List!$A:$A,0)),"⚠ NOT FOUND"))</f>
        <v/>
      </c>
      <c r="D2707" s="44" t="n"/>
      <c r="E2707" s="32">
        <f>IF(B2707="","",IFERROR(INDEX(Client_List!$C:$C,MATCH(VALUE(B2707),Client_List!$A:$A,0)),""))</f>
        <v/>
      </c>
      <c r="F2707" s="53">
        <f>IF(B2707="","",IFERROR(INDEX(Client_List!$D:$D,MATCH(VALUE(B2707),Client_List!$A:$A,0)),""))</f>
        <v/>
      </c>
      <c r="G2707" s="53">
        <f>IF(B2707="","",IFERROR(INDEX(Client_List!$K:$K,MATCH(VALUE(B2707),Client_List!$A:$A,0)),""))</f>
        <v/>
      </c>
      <c r="H2707" s="32">
        <f>IF(B2707="","",IFERROR(INDEX(Client_List!$J:$J,MATCH(VALUE(B2707),Client_List!$A:$A,0)),""))</f>
        <v/>
      </c>
      <c r="I2707" s="70">
        <f>IF(B2707="","",IFERROR(A2707-LOOKUP(2,1/($B$4:$B2706=B2707),$A$4:$A2706),""))</f>
        <v/>
      </c>
      <c r="J2707" s="32">
        <f>IF(B2707="","",IFERROR(D2707/I2707,""))</f>
        <v/>
      </c>
      <c r="K2707" s="71">
        <f>IF(B2707="","",IFERROR(AVERAGEIFS($J$4:$J2707,$B$4:$B2707,B2707,$J$4:$J2707,"&gt;"&amp;0),""))</f>
        <v/>
      </c>
      <c r="L2707" s="11" t="n"/>
    </row>
    <row r="2708" ht="14" customHeight="1" s="72">
      <c r="A2708" s="83" t="n"/>
      <c r="B2708" s="81" t="n"/>
      <c r="C2708" s="69">
        <f>IF(B2708="","",IFERROR(INDEX(Client_List!$B:$B,MATCH(B2708,Client_List!$A:$A,0)),"⚠ NOT FOUND"))</f>
        <v/>
      </c>
      <c r="D2708" s="45" t="n"/>
      <c r="E2708" s="32">
        <f>IF(B2708="","",IFERROR(INDEX(Client_List!$C:$C,MATCH(VALUE(B2708),Client_List!$A:$A,0)),""))</f>
        <v/>
      </c>
      <c r="F2708" s="53">
        <f>IF(B2708="","",IFERROR(INDEX(Client_List!$D:$D,MATCH(VALUE(B2708),Client_List!$A:$A,0)),""))</f>
        <v/>
      </c>
      <c r="G2708" s="53">
        <f>IF(B2708="","",IFERROR(INDEX(Client_List!$K:$K,MATCH(VALUE(B2708),Client_List!$A:$A,0)),""))</f>
        <v/>
      </c>
      <c r="H2708" s="32">
        <f>IF(B2708="","",IFERROR(INDEX(Client_List!$J:$J,MATCH(VALUE(B2708),Client_List!$A:$A,0)),""))</f>
        <v/>
      </c>
      <c r="I2708" s="70">
        <f>IF(B2708="","",IFERROR(A2708-LOOKUP(2,1/($B$4:$B2707=B2708),$A$4:$A2707),""))</f>
        <v/>
      </c>
      <c r="J2708" s="32">
        <f>IF(B2708="","",IFERROR(D2708/I2708,""))</f>
        <v/>
      </c>
      <c r="K2708" s="71">
        <f>IF(B2708="","",IFERROR(AVERAGEIFS($J$4:$J2708,$B$4:$B2708,B2708,$J$4:$J2708,"&gt;"&amp;0),""))</f>
        <v/>
      </c>
      <c r="L2708" s="12" t="n"/>
    </row>
    <row r="2709" ht="14" customHeight="1" s="72">
      <c r="A2709" s="82" t="n"/>
      <c r="B2709" s="79" t="n"/>
      <c r="C2709" s="69">
        <f>IF(B2709="","",IFERROR(INDEX(Client_List!$B:$B,MATCH(B2709,Client_List!$A:$A,0)),"⚠ NOT FOUND"))</f>
        <v/>
      </c>
      <c r="D2709" s="44" t="n"/>
      <c r="E2709" s="32">
        <f>IF(B2709="","",IFERROR(INDEX(Client_List!$C:$C,MATCH(VALUE(B2709),Client_List!$A:$A,0)),""))</f>
        <v/>
      </c>
      <c r="F2709" s="53">
        <f>IF(B2709="","",IFERROR(INDEX(Client_List!$D:$D,MATCH(VALUE(B2709),Client_List!$A:$A,0)),""))</f>
        <v/>
      </c>
      <c r="G2709" s="53">
        <f>IF(B2709="","",IFERROR(INDEX(Client_List!$K:$K,MATCH(VALUE(B2709),Client_List!$A:$A,0)),""))</f>
        <v/>
      </c>
      <c r="H2709" s="32">
        <f>IF(B2709="","",IFERROR(INDEX(Client_List!$J:$J,MATCH(VALUE(B2709),Client_List!$A:$A,0)),""))</f>
        <v/>
      </c>
      <c r="I2709" s="70">
        <f>IF(B2709="","",IFERROR(A2709-LOOKUP(2,1/($B$4:$B2708=B2709),$A$4:$A2708),""))</f>
        <v/>
      </c>
      <c r="J2709" s="32">
        <f>IF(B2709="","",IFERROR(D2709/I2709,""))</f>
        <v/>
      </c>
      <c r="K2709" s="71">
        <f>IF(B2709="","",IFERROR(AVERAGEIFS($J$4:$J2709,$B$4:$B2709,B2709,$J$4:$J2709,"&gt;"&amp;0),""))</f>
        <v/>
      </c>
      <c r="L2709" s="11" t="n"/>
    </row>
    <row r="2710" ht="14" customHeight="1" s="72">
      <c r="A2710" s="83" t="n"/>
      <c r="B2710" s="81" t="n"/>
      <c r="C2710" s="69">
        <f>IF(B2710="","",IFERROR(INDEX(Client_List!$B:$B,MATCH(B2710,Client_List!$A:$A,0)),"⚠ NOT FOUND"))</f>
        <v/>
      </c>
      <c r="D2710" s="45" t="n"/>
      <c r="E2710" s="32">
        <f>IF(B2710="","",IFERROR(INDEX(Client_List!$C:$C,MATCH(VALUE(B2710),Client_List!$A:$A,0)),""))</f>
        <v/>
      </c>
      <c r="F2710" s="53">
        <f>IF(B2710="","",IFERROR(INDEX(Client_List!$D:$D,MATCH(VALUE(B2710),Client_List!$A:$A,0)),""))</f>
        <v/>
      </c>
      <c r="G2710" s="53">
        <f>IF(B2710="","",IFERROR(INDEX(Client_List!$K:$K,MATCH(VALUE(B2710),Client_List!$A:$A,0)),""))</f>
        <v/>
      </c>
      <c r="H2710" s="32">
        <f>IF(B2710="","",IFERROR(INDEX(Client_List!$J:$J,MATCH(VALUE(B2710),Client_List!$A:$A,0)),""))</f>
        <v/>
      </c>
      <c r="I2710" s="70">
        <f>IF(B2710="","",IFERROR(A2710-LOOKUP(2,1/($B$4:$B2709=B2710),$A$4:$A2709),""))</f>
        <v/>
      </c>
      <c r="J2710" s="32">
        <f>IF(B2710="","",IFERROR(D2710/I2710,""))</f>
        <v/>
      </c>
      <c r="K2710" s="71">
        <f>IF(B2710="","",IFERROR(AVERAGEIFS($J$4:$J2710,$B$4:$B2710,B2710,$J$4:$J2710,"&gt;"&amp;0),""))</f>
        <v/>
      </c>
      <c r="L2710" s="12" t="n"/>
    </row>
    <row r="2711" ht="14" customHeight="1" s="72">
      <c r="A2711" s="82" t="n"/>
      <c r="B2711" s="79" t="n"/>
      <c r="C2711" s="69">
        <f>IF(B2711="","",IFERROR(INDEX(Client_List!$B:$B,MATCH(B2711,Client_List!$A:$A,0)),"⚠ NOT FOUND"))</f>
        <v/>
      </c>
      <c r="D2711" s="44" t="n"/>
      <c r="E2711" s="32">
        <f>IF(B2711="","",IFERROR(INDEX(Client_List!$C:$C,MATCH(VALUE(B2711),Client_List!$A:$A,0)),""))</f>
        <v/>
      </c>
      <c r="F2711" s="53">
        <f>IF(B2711="","",IFERROR(INDEX(Client_List!$D:$D,MATCH(VALUE(B2711),Client_List!$A:$A,0)),""))</f>
        <v/>
      </c>
      <c r="G2711" s="53">
        <f>IF(B2711="","",IFERROR(INDEX(Client_List!$K:$K,MATCH(VALUE(B2711),Client_List!$A:$A,0)),""))</f>
        <v/>
      </c>
      <c r="H2711" s="32">
        <f>IF(B2711="","",IFERROR(INDEX(Client_List!$J:$J,MATCH(VALUE(B2711),Client_List!$A:$A,0)),""))</f>
        <v/>
      </c>
      <c r="I2711" s="70">
        <f>IF(B2711="","",IFERROR(A2711-LOOKUP(2,1/($B$4:$B2710=B2711),$A$4:$A2710),""))</f>
        <v/>
      </c>
      <c r="J2711" s="32">
        <f>IF(B2711="","",IFERROR(D2711/I2711,""))</f>
        <v/>
      </c>
      <c r="K2711" s="71">
        <f>IF(B2711="","",IFERROR(AVERAGEIFS($J$4:$J2711,$B$4:$B2711,B2711,$J$4:$J2711,"&gt;"&amp;0),""))</f>
        <v/>
      </c>
      <c r="L2711" s="11" t="n"/>
    </row>
    <row r="2712" ht="14" customHeight="1" s="72">
      <c r="A2712" s="83" t="n"/>
      <c r="B2712" s="81" t="n"/>
      <c r="C2712" s="69">
        <f>IF(B2712="","",IFERROR(INDEX(Client_List!$B:$B,MATCH(B2712,Client_List!$A:$A,0)),"⚠ NOT FOUND"))</f>
        <v/>
      </c>
      <c r="D2712" s="45" t="n"/>
      <c r="E2712" s="32">
        <f>IF(B2712="","",IFERROR(INDEX(Client_List!$C:$C,MATCH(VALUE(B2712),Client_List!$A:$A,0)),""))</f>
        <v/>
      </c>
      <c r="F2712" s="53">
        <f>IF(B2712="","",IFERROR(INDEX(Client_List!$D:$D,MATCH(VALUE(B2712),Client_List!$A:$A,0)),""))</f>
        <v/>
      </c>
      <c r="G2712" s="53">
        <f>IF(B2712="","",IFERROR(INDEX(Client_List!$K:$K,MATCH(VALUE(B2712),Client_List!$A:$A,0)),""))</f>
        <v/>
      </c>
      <c r="H2712" s="32">
        <f>IF(B2712="","",IFERROR(INDEX(Client_List!$J:$J,MATCH(VALUE(B2712),Client_List!$A:$A,0)),""))</f>
        <v/>
      </c>
      <c r="I2712" s="70">
        <f>IF(B2712="","",IFERROR(A2712-LOOKUP(2,1/($B$4:$B2711=B2712),$A$4:$A2711),""))</f>
        <v/>
      </c>
      <c r="J2712" s="32">
        <f>IF(B2712="","",IFERROR(D2712/I2712,""))</f>
        <v/>
      </c>
      <c r="K2712" s="71">
        <f>IF(B2712="","",IFERROR(AVERAGEIFS($J$4:$J2712,$B$4:$B2712,B2712,$J$4:$J2712,"&gt;"&amp;0),""))</f>
        <v/>
      </c>
      <c r="L2712" s="12" t="n"/>
    </row>
    <row r="2713" ht="14" customHeight="1" s="72">
      <c r="A2713" s="82" t="n"/>
      <c r="B2713" s="79" t="n"/>
      <c r="C2713" s="69">
        <f>IF(B2713="","",IFERROR(INDEX(Client_List!$B:$B,MATCH(B2713,Client_List!$A:$A,0)),"⚠ NOT FOUND"))</f>
        <v/>
      </c>
      <c r="D2713" s="44" t="n"/>
      <c r="E2713" s="32">
        <f>IF(B2713="","",IFERROR(INDEX(Client_List!$C:$C,MATCH(VALUE(B2713),Client_List!$A:$A,0)),""))</f>
        <v/>
      </c>
      <c r="F2713" s="53">
        <f>IF(B2713="","",IFERROR(INDEX(Client_List!$D:$D,MATCH(VALUE(B2713),Client_List!$A:$A,0)),""))</f>
        <v/>
      </c>
      <c r="G2713" s="53">
        <f>IF(B2713="","",IFERROR(INDEX(Client_List!$K:$K,MATCH(VALUE(B2713),Client_List!$A:$A,0)),""))</f>
        <v/>
      </c>
      <c r="H2713" s="32">
        <f>IF(B2713="","",IFERROR(INDEX(Client_List!$J:$J,MATCH(VALUE(B2713),Client_List!$A:$A,0)),""))</f>
        <v/>
      </c>
      <c r="I2713" s="70">
        <f>IF(B2713="","",IFERROR(A2713-LOOKUP(2,1/($B$4:$B2712=B2713),$A$4:$A2712),""))</f>
        <v/>
      </c>
      <c r="J2713" s="32">
        <f>IF(B2713="","",IFERROR(D2713/I2713,""))</f>
        <v/>
      </c>
      <c r="K2713" s="71">
        <f>IF(B2713="","",IFERROR(AVERAGEIFS($J$4:$J2713,$B$4:$B2713,B2713,$J$4:$J2713,"&gt;"&amp;0),""))</f>
        <v/>
      </c>
      <c r="L2713" s="11" t="n"/>
    </row>
    <row r="2714" ht="14" customHeight="1" s="72">
      <c r="A2714" s="83" t="n"/>
      <c r="B2714" s="81" t="n"/>
      <c r="C2714" s="69">
        <f>IF(B2714="","",IFERROR(INDEX(Client_List!$B:$B,MATCH(B2714,Client_List!$A:$A,0)),"⚠ NOT FOUND"))</f>
        <v/>
      </c>
      <c r="D2714" s="45" t="n"/>
      <c r="E2714" s="32">
        <f>IF(B2714="","",IFERROR(INDEX(Client_List!$C:$C,MATCH(VALUE(B2714),Client_List!$A:$A,0)),""))</f>
        <v/>
      </c>
      <c r="F2714" s="53">
        <f>IF(B2714="","",IFERROR(INDEX(Client_List!$D:$D,MATCH(VALUE(B2714),Client_List!$A:$A,0)),""))</f>
        <v/>
      </c>
      <c r="G2714" s="53">
        <f>IF(B2714="","",IFERROR(INDEX(Client_List!$K:$K,MATCH(VALUE(B2714),Client_List!$A:$A,0)),""))</f>
        <v/>
      </c>
      <c r="H2714" s="32">
        <f>IF(B2714="","",IFERROR(INDEX(Client_List!$J:$J,MATCH(VALUE(B2714),Client_List!$A:$A,0)),""))</f>
        <v/>
      </c>
      <c r="I2714" s="70">
        <f>IF(B2714="","",IFERROR(A2714-LOOKUP(2,1/($B$4:$B2713=B2714),$A$4:$A2713),""))</f>
        <v/>
      </c>
      <c r="J2714" s="32">
        <f>IF(B2714="","",IFERROR(D2714/I2714,""))</f>
        <v/>
      </c>
      <c r="K2714" s="71">
        <f>IF(B2714="","",IFERROR(AVERAGEIFS($J$4:$J2714,$B$4:$B2714,B2714,$J$4:$J2714,"&gt;"&amp;0),""))</f>
        <v/>
      </c>
      <c r="L2714" s="12" t="n"/>
    </row>
    <row r="2715" ht="14" customHeight="1" s="72">
      <c r="A2715" s="82" t="n"/>
      <c r="B2715" s="79" t="n"/>
      <c r="C2715" s="69">
        <f>IF(B2715="","",IFERROR(INDEX(Client_List!$B:$B,MATCH(B2715,Client_List!$A:$A,0)),"⚠ NOT FOUND"))</f>
        <v/>
      </c>
      <c r="D2715" s="44" t="n"/>
      <c r="E2715" s="32">
        <f>IF(B2715="","",IFERROR(INDEX(Client_List!$C:$C,MATCH(VALUE(B2715),Client_List!$A:$A,0)),""))</f>
        <v/>
      </c>
      <c r="F2715" s="53">
        <f>IF(B2715="","",IFERROR(INDEX(Client_List!$D:$D,MATCH(VALUE(B2715),Client_List!$A:$A,0)),""))</f>
        <v/>
      </c>
      <c r="G2715" s="53">
        <f>IF(B2715="","",IFERROR(INDEX(Client_List!$K:$K,MATCH(VALUE(B2715),Client_List!$A:$A,0)),""))</f>
        <v/>
      </c>
      <c r="H2715" s="32">
        <f>IF(B2715="","",IFERROR(INDEX(Client_List!$J:$J,MATCH(VALUE(B2715),Client_List!$A:$A,0)),""))</f>
        <v/>
      </c>
      <c r="I2715" s="70">
        <f>IF(B2715="","",IFERROR(A2715-LOOKUP(2,1/($B$4:$B2714=B2715),$A$4:$A2714),""))</f>
        <v/>
      </c>
      <c r="J2715" s="32">
        <f>IF(B2715="","",IFERROR(D2715/I2715,""))</f>
        <v/>
      </c>
      <c r="K2715" s="71">
        <f>IF(B2715="","",IFERROR(AVERAGEIFS($J$4:$J2715,$B$4:$B2715,B2715,$J$4:$J2715,"&gt;"&amp;0),""))</f>
        <v/>
      </c>
      <c r="L2715" s="11" t="n"/>
    </row>
    <row r="2716" ht="14" customHeight="1" s="72">
      <c r="A2716" s="83" t="n"/>
      <c r="B2716" s="81" t="n"/>
      <c r="C2716" s="69">
        <f>IF(B2716="","",IFERROR(INDEX(Client_List!$B:$B,MATCH(B2716,Client_List!$A:$A,0)),"⚠ NOT FOUND"))</f>
        <v/>
      </c>
      <c r="D2716" s="45" t="n"/>
      <c r="E2716" s="32">
        <f>IF(B2716="","",IFERROR(INDEX(Client_List!$C:$C,MATCH(VALUE(B2716),Client_List!$A:$A,0)),""))</f>
        <v/>
      </c>
      <c r="F2716" s="53">
        <f>IF(B2716="","",IFERROR(INDEX(Client_List!$D:$D,MATCH(VALUE(B2716),Client_List!$A:$A,0)),""))</f>
        <v/>
      </c>
      <c r="G2716" s="53">
        <f>IF(B2716="","",IFERROR(INDEX(Client_List!$K:$K,MATCH(VALUE(B2716),Client_List!$A:$A,0)),""))</f>
        <v/>
      </c>
      <c r="H2716" s="32">
        <f>IF(B2716="","",IFERROR(INDEX(Client_List!$J:$J,MATCH(VALUE(B2716),Client_List!$A:$A,0)),""))</f>
        <v/>
      </c>
      <c r="I2716" s="70">
        <f>IF(B2716="","",IFERROR(A2716-LOOKUP(2,1/($B$4:$B2715=B2716),$A$4:$A2715),""))</f>
        <v/>
      </c>
      <c r="J2716" s="32">
        <f>IF(B2716="","",IFERROR(D2716/I2716,""))</f>
        <v/>
      </c>
      <c r="K2716" s="71">
        <f>IF(B2716="","",IFERROR(AVERAGEIFS($J$4:$J2716,$B$4:$B2716,B2716,$J$4:$J2716,"&gt;"&amp;0),""))</f>
        <v/>
      </c>
      <c r="L2716" s="12" t="n"/>
    </row>
    <row r="2717" ht="14" customHeight="1" s="72">
      <c r="A2717" s="82" t="n"/>
      <c r="B2717" s="79" t="n"/>
      <c r="C2717" s="69">
        <f>IF(B2717="","",IFERROR(INDEX(Client_List!$B:$B,MATCH(B2717,Client_List!$A:$A,0)),"⚠ NOT FOUND"))</f>
        <v/>
      </c>
      <c r="D2717" s="44" t="n"/>
      <c r="E2717" s="32">
        <f>IF(B2717="","",IFERROR(INDEX(Client_List!$C:$C,MATCH(VALUE(B2717),Client_List!$A:$A,0)),""))</f>
        <v/>
      </c>
      <c r="F2717" s="53">
        <f>IF(B2717="","",IFERROR(INDEX(Client_List!$D:$D,MATCH(VALUE(B2717),Client_List!$A:$A,0)),""))</f>
        <v/>
      </c>
      <c r="G2717" s="53">
        <f>IF(B2717="","",IFERROR(INDEX(Client_List!$K:$K,MATCH(VALUE(B2717),Client_List!$A:$A,0)),""))</f>
        <v/>
      </c>
      <c r="H2717" s="32">
        <f>IF(B2717="","",IFERROR(INDEX(Client_List!$J:$J,MATCH(VALUE(B2717),Client_List!$A:$A,0)),""))</f>
        <v/>
      </c>
      <c r="I2717" s="70">
        <f>IF(B2717="","",IFERROR(A2717-LOOKUP(2,1/($B$4:$B2716=B2717),$A$4:$A2716),""))</f>
        <v/>
      </c>
      <c r="J2717" s="32">
        <f>IF(B2717="","",IFERROR(D2717/I2717,""))</f>
        <v/>
      </c>
      <c r="K2717" s="71">
        <f>IF(B2717="","",IFERROR(AVERAGEIFS($J$4:$J2717,$B$4:$B2717,B2717,$J$4:$J2717,"&gt;"&amp;0),""))</f>
        <v/>
      </c>
      <c r="L2717" s="11" t="n"/>
    </row>
    <row r="2718" ht="14" customHeight="1" s="72">
      <c r="A2718" s="83" t="n"/>
      <c r="B2718" s="81" t="n"/>
      <c r="C2718" s="69">
        <f>IF(B2718="","",IFERROR(INDEX(Client_List!$B:$B,MATCH(B2718,Client_List!$A:$A,0)),"⚠ NOT FOUND"))</f>
        <v/>
      </c>
      <c r="D2718" s="45" t="n"/>
      <c r="E2718" s="32">
        <f>IF(B2718="","",IFERROR(INDEX(Client_List!$C:$C,MATCH(VALUE(B2718),Client_List!$A:$A,0)),""))</f>
        <v/>
      </c>
      <c r="F2718" s="53">
        <f>IF(B2718="","",IFERROR(INDEX(Client_List!$D:$D,MATCH(VALUE(B2718),Client_List!$A:$A,0)),""))</f>
        <v/>
      </c>
      <c r="G2718" s="53">
        <f>IF(B2718="","",IFERROR(INDEX(Client_List!$K:$K,MATCH(VALUE(B2718),Client_List!$A:$A,0)),""))</f>
        <v/>
      </c>
      <c r="H2718" s="32">
        <f>IF(B2718="","",IFERROR(INDEX(Client_List!$J:$J,MATCH(VALUE(B2718),Client_List!$A:$A,0)),""))</f>
        <v/>
      </c>
      <c r="I2718" s="70">
        <f>IF(B2718="","",IFERROR(A2718-LOOKUP(2,1/($B$4:$B2717=B2718),$A$4:$A2717),""))</f>
        <v/>
      </c>
      <c r="J2718" s="32">
        <f>IF(B2718="","",IFERROR(D2718/I2718,""))</f>
        <v/>
      </c>
      <c r="K2718" s="71">
        <f>IF(B2718="","",IFERROR(AVERAGEIFS($J$4:$J2718,$B$4:$B2718,B2718,$J$4:$J2718,"&gt;"&amp;0),""))</f>
        <v/>
      </c>
      <c r="L2718" s="12" t="n"/>
    </row>
    <row r="2719" ht="14" customHeight="1" s="72">
      <c r="A2719" s="82" t="n"/>
      <c r="B2719" s="79" t="n"/>
      <c r="C2719" s="69">
        <f>IF(B2719="","",IFERROR(INDEX(Client_List!$B:$B,MATCH(B2719,Client_List!$A:$A,0)),"⚠ NOT FOUND"))</f>
        <v/>
      </c>
      <c r="D2719" s="44" t="n"/>
      <c r="E2719" s="32">
        <f>IF(B2719="","",IFERROR(INDEX(Client_List!$C:$C,MATCH(VALUE(B2719),Client_List!$A:$A,0)),""))</f>
        <v/>
      </c>
      <c r="F2719" s="53">
        <f>IF(B2719="","",IFERROR(INDEX(Client_List!$D:$D,MATCH(VALUE(B2719),Client_List!$A:$A,0)),""))</f>
        <v/>
      </c>
      <c r="G2719" s="53">
        <f>IF(B2719="","",IFERROR(INDEX(Client_List!$K:$K,MATCH(VALUE(B2719),Client_List!$A:$A,0)),""))</f>
        <v/>
      </c>
      <c r="H2719" s="32">
        <f>IF(B2719="","",IFERROR(INDEX(Client_List!$J:$J,MATCH(VALUE(B2719),Client_List!$A:$A,0)),""))</f>
        <v/>
      </c>
      <c r="I2719" s="70">
        <f>IF(B2719="","",IFERROR(A2719-LOOKUP(2,1/($B$4:$B2718=B2719),$A$4:$A2718),""))</f>
        <v/>
      </c>
      <c r="J2719" s="32">
        <f>IF(B2719="","",IFERROR(D2719/I2719,""))</f>
        <v/>
      </c>
      <c r="K2719" s="71">
        <f>IF(B2719="","",IFERROR(AVERAGEIFS($J$4:$J2719,$B$4:$B2719,B2719,$J$4:$J2719,"&gt;"&amp;0),""))</f>
        <v/>
      </c>
      <c r="L2719" s="11" t="n"/>
    </row>
    <row r="2720" ht="14" customHeight="1" s="72">
      <c r="A2720" s="83" t="n"/>
      <c r="B2720" s="81" t="n"/>
      <c r="C2720" s="69">
        <f>IF(B2720="","",IFERROR(INDEX(Client_List!$B:$B,MATCH(B2720,Client_List!$A:$A,0)),"⚠ NOT FOUND"))</f>
        <v/>
      </c>
      <c r="D2720" s="45" t="n"/>
      <c r="E2720" s="32">
        <f>IF(B2720="","",IFERROR(INDEX(Client_List!$C:$C,MATCH(VALUE(B2720),Client_List!$A:$A,0)),""))</f>
        <v/>
      </c>
      <c r="F2720" s="53">
        <f>IF(B2720="","",IFERROR(INDEX(Client_List!$D:$D,MATCH(VALUE(B2720),Client_List!$A:$A,0)),""))</f>
        <v/>
      </c>
      <c r="G2720" s="53">
        <f>IF(B2720="","",IFERROR(INDEX(Client_List!$K:$K,MATCH(VALUE(B2720),Client_List!$A:$A,0)),""))</f>
        <v/>
      </c>
      <c r="H2720" s="32">
        <f>IF(B2720="","",IFERROR(INDEX(Client_List!$J:$J,MATCH(VALUE(B2720),Client_List!$A:$A,0)),""))</f>
        <v/>
      </c>
      <c r="I2720" s="70">
        <f>IF(B2720="","",IFERROR(A2720-LOOKUP(2,1/($B$4:$B2719=B2720),$A$4:$A2719),""))</f>
        <v/>
      </c>
      <c r="J2720" s="32">
        <f>IF(B2720="","",IFERROR(D2720/I2720,""))</f>
        <v/>
      </c>
      <c r="K2720" s="71">
        <f>IF(B2720="","",IFERROR(AVERAGEIFS($J$4:$J2720,$B$4:$B2720,B2720,$J$4:$J2720,"&gt;"&amp;0),""))</f>
        <v/>
      </c>
      <c r="L2720" s="12" t="n"/>
    </row>
    <row r="2721" ht="14" customHeight="1" s="72">
      <c r="A2721" s="82" t="n"/>
      <c r="B2721" s="79" t="n"/>
      <c r="C2721" s="69">
        <f>IF(B2721="","",IFERROR(INDEX(Client_List!$B:$B,MATCH(B2721,Client_List!$A:$A,0)),"⚠ NOT FOUND"))</f>
        <v/>
      </c>
      <c r="D2721" s="44" t="n"/>
      <c r="E2721" s="32">
        <f>IF(B2721="","",IFERROR(INDEX(Client_List!$C:$C,MATCH(VALUE(B2721),Client_List!$A:$A,0)),""))</f>
        <v/>
      </c>
      <c r="F2721" s="53">
        <f>IF(B2721="","",IFERROR(INDEX(Client_List!$D:$D,MATCH(VALUE(B2721),Client_List!$A:$A,0)),""))</f>
        <v/>
      </c>
      <c r="G2721" s="53">
        <f>IF(B2721="","",IFERROR(INDEX(Client_List!$K:$K,MATCH(VALUE(B2721),Client_List!$A:$A,0)),""))</f>
        <v/>
      </c>
      <c r="H2721" s="32">
        <f>IF(B2721="","",IFERROR(INDEX(Client_List!$J:$J,MATCH(VALUE(B2721),Client_List!$A:$A,0)),""))</f>
        <v/>
      </c>
      <c r="I2721" s="70">
        <f>IF(B2721="","",IFERROR(A2721-LOOKUP(2,1/($B$4:$B2720=B2721),$A$4:$A2720),""))</f>
        <v/>
      </c>
      <c r="J2721" s="32">
        <f>IF(B2721="","",IFERROR(D2721/I2721,""))</f>
        <v/>
      </c>
      <c r="K2721" s="71">
        <f>IF(B2721="","",IFERROR(AVERAGEIFS($J$4:$J2721,$B$4:$B2721,B2721,$J$4:$J2721,"&gt;"&amp;0),""))</f>
        <v/>
      </c>
      <c r="L2721" s="11" t="n"/>
    </row>
    <row r="2722" ht="14" customHeight="1" s="72">
      <c r="A2722" s="83" t="n"/>
      <c r="B2722" s="81" t="n"/>
      <c r="C2722" s="69">
        <f>IF(B2722="","",IFERROR(INDEX(Client_List!$B:$B,MATCH(B2722,Client_List!$A:$A,0)),"⚠ NOT FOUND"))</f>
        <v/>
      </c>
      <c r="D2722" s="45" t="n"/>
      <c r="E2722" s="32">
        <f>IF(B2722="","",IFERROR(INDEX(Client_List!$C:$C,MATCH(VALUE(B2722),Client_List!$A:$A,0)),""))</f>
        <v/>
      </c>
      <c r="F2722" s="53">
        <f>IF(B2722="","",IFERROR(INDEX(Client_List!$D:$D,MATCH(VALUE(B2722),Client_List!$A:$A,0)),""))</f>
        <v/>
      </c>
      <c r="G2722" s="53">
        <f>IF(B2722="","",IFERROR(INDEX(Client_List!$K:$K,MATCH(VALUE(B2722),Client_List!$A:$A,0)),""))</f>
        <v/>
      </c>
      <c r="H2722" s="32">
        <f>IF(B2722="","",IFERROR(INDEX(Client_List!$J:$J,MATCH(VALUE(B2722),Client_List!$A:$A,0)),""))</f>
        <v/>
      </c>
      <c r="I2722" s="70">
        <f>IF(B2722="","",IFERROR(A2722-LOOKUP(2,1/($B$4:$B2721=B2722),$A$4:$A2721),""))</f>
        <v/>
      </c>
      <c r="J2722" s="32">
        <f>IF(B2722="","",IFERROR(D2722/I2722,""))</f>
        <v/>
      </c>
      <c r="K2722" s="71">
        <f>IF(B2722="","",IFERROR(AVERAGEIFS($J$4:$J2722,$B$4:$B2722,B2722,$J$4:$J2722,"&gt;"&amp;0),""))</f>
        <v/>
      </c>
      <c r="L2722" s="12" t="n"/>
    </row>
    <row r="2723" ht="14" customHeight="1" s="72">
      <c r="A2723" s="82" t="n"/>
      <c r="B2723" s="79" t="n"/>
      <c r="C2723" s="69">
        <f>IF(B2723="","",IFERROR(INDEX(Client_List!$B:$B,MATCH(B2723,Client_List!$A:$A,0)),"⚠ NOT FOUND"))</f>
        <v/>
      </c>
      <c r="D2723" s="44" t="n"/>
      <c r="E2723" s="32">
        <f>IF(B2723="","",IFERROR(INDEX(Client_List!$C:$C,MATCH(VALUE(B2723),Client_List!$A:$A,0)),""))</f>
        <v/>
      </c>
      <c r="F2723" s="53">
        <f>IF(B2723="","",IFERROR(INDEX(Client_List!$D:$D,MATCH(VALUE(B2723),Client_List!$A:$A,0)),""))</f>
        <v/>
      </c>
      <c r="G2723" s="53">
        <f>IF(B2723="","",IFERROR(INDEX(Client_List!$K:$K,MATCH(VALUE(B2723),Client_List!$A:$A,0)),""))</f>
        <v/>
      </c>
      <c r="H2723" s="32">
        <f>IF(B2723="","",IFERROR(INDEX(Client_List!$J:$J,MATCH(VALUE(B2723),Client_List!$A:$A,0)),""))</f>
        <v/>
      </c>
      <c r="I2723" s="70">
        <f>IF(B2723="","",IFERROR(A2723-LOOKUP(2,1/($B$4:$B2722=B2723),$A$4:$A2722),""))</f>
        <v/>
      </c>
      <c r="J2723" s="32">
        <f>IF(B2723="","",IFERROR(D2723/I2723,""))</f>
        <v/>
      </c>
      <c r="K2723" s="71">
        <f>IF(B2723="","",IFERROR(AVERAGEIFS($J$4:$J2723,$B$4:$B2723,B2723,$J$4:$J2723,"&gt;"&amp;0),""))</f>
        <v/>
      </c>
      <c r="L2723" s="11" t="n"/>
    </row>
    <row r="2724" ht="14" customHeight="1" s="72">
      <c r="A2724" s="83" t="n"/>
      <c r="B2724" s="81" t="n"/>
      <c r="C2724" s="69">
        <f>IF(B2724="","",IFERROR(INDEX(Client_List!$B:$B,MATCH(B2724,Client_List!$A:$A,0)),"⚠ NOT FOUND"))</f>
        <v/>
      </c>
      <c r="D2724" s="45" t="n"/>
      <c r="E2724" s="32">
        <f>IF(B2724="","",IFERROR(INDEX(Client_List!$C:$C,MATCH(VALUE(B2724),Client_List!$A:$A,0)),""))</f>
        <v/>
      </c>
      <c r="F2724" s="53">
        <f>IF(B2724="","",IFERROR(INDEX(Client_List!$D:$D,MATCH(VALUE(B2724),Client_List!$A:$A,0)),""))</f>
        <v/>
      </c>
      <c r="G2724" s="53">
        <f>IF(B2724="","",IFERROR(INDEX(Client_List!$K:$K,MATCH(VALUE(B2724),Client_List!$A:$A,0)),""))</f>
        <v/>
      </c>
      <c r="H2724" s="32">
        <f>IF(B2724="","",IFERROR(INDEX(Client_List!$J:$J,MATCH(VALUE(B2724),Client_List!$A:$A,0)),""))</f>
        <v/>
      </c>
      <c r="I2724" s="70">
        <f>IF(B2724="","",IFERROR(A2724-LOOKUP(2,1/($B$4:$B2723=B2724),$A$4:$A2723),""))</f>
        <v/>
      </c>
      <c r="J2724" s="32">
        <f>IF(B2724="","",IFERROR(D2724/I2724,""))</f>
        <v/>
      </c>
      <c r="K2724" s="71">
        <f>IF(B2724="","",IFERROR(AVERAGEIFS($J$4:$J2724,$B$4:$B2724,B2724,$J$4:$J2724,"&gt;"&amp;0),""))</f>
        <v/>
      </c>
      <c r="L2724" s="12" t="n"/>
    </row>
    <row r="2725" ht="14" customHeight="1" s="72">
      <c r="A2725" s="82" t="n"/>
      <c r="B2725" s="79" t="n"/>
      <c r="C2725" s="69">
        <f>IF(B2725="","",IFERROR(INDEX(Client_List!$B:$B,MATCH(B2725,Client_List!$A:$A,0)),"⚠ NOT FOUND"))</f>
        <v/>
      </c>
      <c r="D2725" s="44" t="n"/>
      <c r="E2725" s="32">
        <f>IF(B2725="","",IFERROR(INDEX(Client_List!$C:$C,MATCH(VALUE(B2725),Client_List!$A:$A,0)),""))</f>
        <v/>
      </c>
      <c r="F2725" s="53">
        <f>IF(B2725="","",IFERROR(INDEX(Client_List!$D:$D,MATCH(VALUE(B2725),Client_List!$A:$A,0)),""))</f>
        <v/>
      </c>
      <c r="G2725" s="53">
        <f>IF(B2725="","",IFERROR(INDEX(Client_List!$K:$K,MATCH(VALUE(B2725),Client_List!$A:$A,0)),""))</f>
        <v/>
      </c>
      <c r="H2725" s="32">
        <f>IF(B2725="","",IFERROR(INDEX(Client_List!$J:$J,MATCH(VALUE(B2725),Client_List!$A:$A,0)),""))</f>
        <v/>
      </c>
      <c r="I2725" s="70">
        <f>IF(B2725="","",IFERROR(A2725-LOOKUP(2,1/($B$4:$B2724=B2725),$A$4:$A2724),""))</f>
        <v/>
      </c>
      <c r="J2725" s="32">
        <f>IF(B2725="","",IFERROR(D2725/I2725,""))</f>
        <v/>
      </c>
      <c r="K2725" s="71">
        <f>IF(B2725="","",IFERROR(AVERAGEIFS($J$4:$J2725,$B$4:$B2725,B2725,$J$4:$J2725,"&gt;"&amp;0),""))</f>
        <v/>
      </c>
      <c r="L2725" s="11" t="n"/>
    </row>
    <row r="2726" ht="14" customHeight="1" s="72">
      <c r="A2726" s="83" t="n"/>
      <c r="B2726" s="81" t="n"/>
      <c r="C2726" s="69">
        <f>IF(B2726="","",IFERROR(INDEX(Client_List!$B:$B,MATCH(B2726,Client_List!$A:$A,0)),"⚠ NOT FOUND"))</f>
        <v/>
      </c>
      <c r="D2726" s="45" t="n"/>
      <c r="E2726" s="32">
        <f>IF(B2726="","",IFERROR(INDEX(Client_List!$C:$C,MATCH(VALUE(B2726),Client_List!$A:$A,0)),""))</f>
        <v/>
      </c>
      <c r="F2726" s="53">
        <f>IF(B2726="","",IFERROR(INDEX(Client_List!$D:$D,MATCH(VALUE(B2726),Client_List!$A:$A,0)),""))</f>
        <v/>
      </c>
      <c r="G2726" s="53">
        <f>IF(B2726="","",IFERROR(INDEX(Client_List!$K:$K,MATCH(VALUE(B2726),Client_List!$A:$A,0)),""))</f>
        <v/>
      </c>
      <c r="H2726" s="32">
        <f>IF(B2726="","",IFERROR(INDEX(Client_List!$J:$J,MATCH(VALUE(B2726),Client_List!$A:$A,0)),""))</f>
        <v/>
      </c>
      <c r="I2726" s="70">
        <f>IF(B2726="","",IFERROR(A2726-LOOKUP(2,1/($B$4:$B2725=B2726),$A$4:$A2725),""))</f>
        <v/>
      </c>
      <c r="J2726" s="32">
        <f>IF(B2726="","",IFERROR(D2726/I2726,""))</f>
        <v/>
      </c>
      <c r="K2726" s="71">
        <f>IF(B2726="","",IFERROR(AVERAGEIFS($J$4:$J2726,$B$4:$B2726,B2726,$J$4:$J2726,"&gt;"&amp;0),""))</f>
        <v/>
      </c>
      <c r="L2726" s="12" t="n"/>
    </row>
    <row r="2727" ht="14" customHeight="1" s="72">
      <c r="A2727" s="82" t="n"/>
      <c r="B2727" s="79" t="n"/>
      <c r="C2727" s="69">
        <f>IF(B2727="","",IFERROR(INDEX(Client_List!$B:$B,MATCH(B2727,Client_List!$A:$A,0)),"⚠ NOT FOUND"))</f>
        <v/>
      </c>
      <c r="D2727" s="44" t="n"/>
      <c r="E2727" s="32">
        <f>IF(B2727="","",IFERROR(INDEX(Client_List!$C:$C,MATCH(VALUE(B2727),Client_List!$A:$A,0)),""))</f>
        <v/>
      </c>
      <c r="F2727" s="53">
        <f>IF(B2727="","",IFERROR(INDEX(Client_List!$D:$D,MATCH(VALUE(B2727),Client_List!$A:$A,0)),""))</f>
        <v/>
      </c>
      <c r="G2727" s="53">
        <f>IF(B2727="","",IFERROR(INDEX(Client_List!$K:$K,MATCH(VALUE(B2727),Client_List!$A:$A,0)),""))</f>
        <v/>
      </c>
      <c r="H2727" s="32">
        <f>IF(B2727="","",IFERROR(INDEX(Client_List!$J:$J,MATCH(VALUE(B2727),Client_List!$A:$A,0)),""))</f>
        <v/>
      </c>
      <c r="I2727" s="70">
        <f>IF(B2727="","",IFERROR(A2727-LOOKUP(2,1/($B$4:$B2726=B2727),$A$4:$A2726),""))</f>
        <v/>
      </c>
      <c r="J2727" s="32">
        <f>IF(B2727="","",IFERROR(D2727/I2727,""))</f>
        <v/>
      </c>
      <c r="K2727" s="71">
        <f>IF(B2727="","",IFERROR(AVERAGEIFS($J$4:$J2727,$B$4:$B2727,B2727,$J$4:$J2727,"&gt;"&amp;0),""))</f>
        <v/>
      </c>
      <c r="L2727" s="11" t="n"/>
    </row>
    <row r="2728" ht="14" customHeight="1" s="72">
      <c r="A2728" s="83" t="n"/>
      <c r="B2728" s="81" t="n"/>
      <c r="C2728" s="69">
        <f>IF(B2728="","",IFERROR(INDEX(Client_List!$B:$B,MATCH(B2728,Client_List!$A:$A,0)),"⚠ NOT FOUND"))</f>
        <v/>
      </c>
      <c r="D2728" s="45" t="n"/>
      <c r="E2728" s="32">
        <f>IF(B2728="","",IFERROR(INDEX(Client_List!$C:$C,MATCH(VALUE(B2728),Client_List!$A:$A,0)),""))</f>
        <v/>
      </c>
      <c r="F2728" s="53">
        <f>IF(B2728="","",IFERROR(INDEX(Client_List!$D:$D,MATCH(VALUE(B2728),Client_List!$A:$A,0)),""))</f>
        <v/>
      </c>
      <c r="G2728" s="53">
        <f>IF(B2728="","",IFERROR(INDEX(Client_List!$K:$K,MATCH(VALUE(B2728),Client_List!$A:$A,0)),""))</f>
        <v/>
      </c>
      <c r="H2728" s="32">
        <f>IF(B2728="","",IFERROR(INDEX(Client_List!$J:$J,MATCH(VALUE(B2728),Client_List!$A:$A,0)),""))</f>
        <v/>
      </c>
      <c r="I2728" s="70">
        <f>IF(B2728="","",IFERROR(A2728-LOOKUP(2,1/($B$4:$B2727=B2728),$A$4:$A2727),""))</f>
        <v/>
      </c>
      <c r="J2728" s="32">
        <f>IF(B2728="","",IFERROR(D2728/I2728,""))</f>
        <v/>
      </c>
      <c r="K2728" s="71">
        <f>IF(B2728="","",IFERROR(AVERAGEIFS($J$4:$J2728,$B$4:$B2728,B2728,$J$4:$J2728,"&gt;"&amp;0),""))</f>
        <v/>
      </c>
      <c r="L2728" s="12" t="n"/>
    </row>
    <row r="2729" ht="14" customHeight="1" s="72">
      <c r="A2729" s="82" t="n"/>
      <c r="B2729" s="79" t="n"/>
      <c r="C2729" s="69">
        <f>IF(B2729="","",IFERROR(INDEX(Client_List!$B:$B,MATCH(B2729,Client_List!$A:$A,0)),"⚠ NOT FOUND"))</f>
        <v/>
      </c>
      <c r="D2729" s="44" t="n"/>
      <c r="E2729" s="32">
        <f>IF(B2729="","",IFERROR(INDEX(Client_List!$C:$C,MATCH(VALUE(B2729),Client_List!$A:$A,0)),""))</f>
        <v/>
      </c>
      <c r="F2729" s="53">
        <f>IF(B2729="","",IFERROR(INDEX(Client_List!$D:$D,MATCH(VALUE(B2729),Client_List!$A:$A,0)),""))</f>
        <v/>
      </c>
      <c r="G2729" s="53">
        <f>IF(B2729="","",IFERROR(INDEX(Client_List!$K:$K,MATCH(VALUE(B2729),Client_List!$A:$A,0)),""))</f>
        <v/>
      </c>
      <c r="H2729" s="32">
        <f>IF(B2729="","",IFERROR(INDEX(Client_List!$J:$J,MATCH(VALUE(B2729),Client_List!$A:$A,0)),""))</f>
        <v/>
      </c>
      <c r="I2729" s="70">
        <f>IF(B2729="","",IFERROR(A2729-LOOKUP(2,1/($B$4:$B2728=B2729),$A$4:$A2728),""))</f>
        <v/>
      </c>
      <c r="J2729" s="32">
        <f>IF(B2729="","",IFERROR(D2729/I2729,""))</f>
        <v/>
      </c>
      <c r="K2729" s="71">
        <f>IF(B2729="","",IFERROR(AVERAGEIFS($J$4:$J2729,$B$4:$B2729,B2729,$J$4:$J2729,"&gt;"&amp;0),""))</f>
        <v/>
      </c>
      <c r="L2729" s="11" t="n"/>
    </row>
    <row r="2730" ht="14" customHeight="1" s="72">
      <c r="A2730" s="83" t="n"/>
      <c r="B2730" s="81" t="n"/>
      <c r="C2730" s="69">
        <f>IF(B2730="","",IFERROR(INDEX(Client_List!$B:$B,MATCH(B2730,Client_List!$A:$A,0)),"⚠ NOT FOUND"))</f>
        <v/>
      </c>
      <c r="D2730" s="45" t="n"/>
      <c r="E2730" s="32">
        <f>IF(B2730="","",IFERROR(INDEX(Client_List!$C:$C,MATCH(VALUE(B2730),Client_List!$A:$A,0)),""))</f>
        <v/>
      </c>
      <c r="F2730" s="53">
        <f>IF(B2730="","",IFERROR(INDEX(Client_List!$D:$D,MATCH(VALUE(B2730),Client_List!$A:$A,0)),""))</f>
        <v/>
      </c>
      <c r="G2730" s="53">
        <f>IF(B2730="","",IFERROR(INDEX(Client_List!$K:$K,MATCH(VALUE(B2730),Client_List!$A:$A,0)),""))</f>
        <v/>
      </c>
      <c r="H2730" s="32">
        <f>IF(B2730="","",IFERROR(INDEX(Client_List!$J:$J,MATCH(VALUE(B2730),Client_List!$A:$A,0)),""))</f>
        <v/>
      </c>
      <c r="I2730" s="70">
        <f>IF(B2730="","",IFERROR(A2730-LOOKUP(2,1/($B$4:$B2729=B2730),$A$4:$A2729),""))</f>
        <v/>
      </c>
      <c r="J2730" s="32">
        <f>IF(B2730="","",IFERROR(D2730/I2730,""))</f>
        <v/>
      </c>
      <c r="K2730" s="71">
        <f>IF(B2730="","",IFERROR(AVERAGEIFS($J$4:$J2730,$B$4:$B2730,B2730,$J$4:$J2730,"&gt;"&amp;0),""))</f>
        <v/>
      </c>
      <c r="L2730" s="12" t="n"/>
    </row>
    <row r="2731" ht="14" customHeight="1" s="72">
      <c r="A2731" s="82" t="n"/>
      <c r="B2731" s="79" t="n"/>
      <c r="C2731" s="69">
        <f>IF(B2731="","",IFERROR(INDEX(Client_List!$B:$B,MATCH(B2731,Client_List!$A:$A,0)),"⚠ NOT FOUND"))</f>
        <v/>
      </c>
      <c r="D2731" s="44" t="n"/>
      <c r="E2731" s="32">
        <f>IF(B2731="","",IFERROR(INDEX(Client_List!$C:$C,MATCH(VALUE(B2731),Client_List!$A:$A,0)),""))</f>
        <v/>
      </c>
      <c r="F2731" s="53">
        <f>IF(B2731="","",IFERROR(INDEX(Client_List!$D:$D,MATCH(VALUE(B2731),Client_List!$A:$A,0)),""))</f>
        <v/>
      </c>
      <c r="G2731" s="53">
        <f>IF(B2731="","",IFERROR(INDEX(Client_List!$K:$K,MATCH(VALUE(B2731),Client_List!$A:$A,0)),""))</f>
        <v/>
      </c>
      <c r="H2731" s="32">
        <f>IF(B2731="","",IFERROR(INDEX(Client_List!$J:$J,MATCH(VALUE(B2731),Client_List!$A:$A,0)),""))</f>
        <v/>
      </c>
      <c r="I2731" s="70">
        <f>IF(B2731="","",IFERROR(A2731-LOOKUP(2,1/($B$4:$B2730=B2731),$A$4:$A2730),""))</f>
        <v/>
      </c>
      <c r="J2731" s="32">
        <f>IF(B2731="","",IFERROR(D2731/I2731,""))</f>
        <v/>
      </c>
      <c r="K2731" s="71">
        <f>IF(B2731="","",IFERROR(AVERAGEIFS($J$4:$J2731,$B$4:$B2731,B2731,$J$4:$J2731,"&gt;"&amp;0),""))</f>
        <v/>
      </c>
      <c r="L2731" s="11" t="n"/>
    </row>
    <row r="2732" ht="14" customHeight="1" s="72">
      <c r="A2732" s="83" t="n"/>
      <c r="B2732" s="81" t="n"/>
      <c r="C2732" s="69">
        <f>IF(B2732="","",IFERROR(INDEX(Client_List!$B:$B,MATCH(B2732,Client_List!$A:$A,0)),"⚠ NOT FOUND"))</f>
        <v/>
      </c>
      <c r="D2732" s="45" t="n"/>
      <c r="E2732" s="32">
        <f>IF(B2732="","",IFERROR(INDEX(Client_List!$C:$C,MATCH(VALUE(B2732),Client_List!$A:$A,0)),""))</f>
        <v/>
      </c>
      <c r="F2732" s="53">
        <f>IF(B2732="","",IFERROR(INDEX(Client_List!$D:$D,MATCH(VALUE(B2732),Client_List!$A:$A,0)),""))</f>
        <v/>
      </c>
      <c r="G2732" s="53">
        <f>IF(B2732="","",IFERROR(INDEX(Client_List!$K:$K,MATCH(VALUE(B2732),Client_List!$A:$A,0)),""))</f>
        <v/>
      </c>
      <c r="H2732" s="32">
        <f>IF(B2732="","",IFERROR(INDEX(Client_List!$J:$J,MATCH(VALUE(B2732),Client_List!$A:$A,0)),""))</f>
        <v/>
      </c>
      <c r="I2732" s="70">
        <f>IF(B2732="","",IFERROR(A2732-LOOKUP(2,1/($B$4:$B2731=B2732),$A$4:$A2731),""))</f>
        <v/>
      </c>
      <c r="J2732" s="32">
        <f>IF(B2732="","",IFERROR(D2732/I2732,""))</f>
        <v/>
      </c>
      <c r="K2732" s="71">
        <f>IF(B2732="","",IFERROR(AVERAGEIFS($J$4:$J2732,$B$4:$B2732,B2732,$J$4:$J2732,"&gt;"&amp;0),""))</f>
        <v/>
      </c>
      <c r="L2732" s="12" t="n"/>
    </row>
    <row r="2733" ht="14" customHeight="1" s="72">
      <c r="A2733" s="82" t="n"/>
      <c r="B2733" s="79" t="n"/>
      <c r="C2733" s="69">
        <f>IF(B2733="","",IFERROR(INDEX(Client_List!$B:$B,MATCH(B2733,Client_List!$A:$A,0)),"⚠ NOT FOUND"))</f>
        <v/>
      </c>
      <c r="D2733" s="44" t="n"/>
      <c r="E2733" s="32">
        <f>IF(B2733="","",IFERROR(INDEX(Client_List!$C:$C,MATCH(VALUE(B2733),Client_List!$A:$A,0)),""))</f>
        <v/>
      </c>
      <c r="F2733" s="53">
        <f>IF(B2733="","",IFERROR(INDEX(Client_List!$D:$D,MATCH(VALUE(B2733),Client_List!$A:$A,0)),""))</f>
        <v/>
      </c>
      <c r="G2733" s="53">
        <f>IF(B2733="","",IFERROR(INDEX(Client_List!$K:$K,MATCH(VALUE(B2733),Client_List!$A:$A,0)),""))</f>
        <v/>
      </c>
      <c r="H2733" s="32">
        <f>IF(B2733="","",IFERROR(INDEX(Client_List!$J:$J,MATCH(VALUE(B2733),Client_List!$A:$A,0)),""))</f>
        <v/>
      </c>
      <c r="I2733" s="70">
        <f>IF(B2733="","",IFERROR(A2733-LOOKUP(2,1/($B$4:$B2732=B2733),$A$4:$A2732),""))</f>
        <v/>
      </c>
      <c r="J2733" s="32">
        <f>IF(B2733="","",IFERROR(D2733/I2733,""))</f>
        <v/>
      </c>
      <c r="K2733" s="71">
        <f>IF(B2733="","",IFERROR(AVERAGEIFS($J$4:$J2733,$B$4:$B2733,B2733,$J$4:$J2733,"&gt;"&amp;0),""))</f>
        <v/>
      </c>
      <c r="L2733" s="11" t="n"/>
    </row>
    <row r="2734" ht="14" customHeight="1" s="72">
      <c r="A2734" s="83" t="n"/>
      <c r="B2734" s="81" t="n"/>
      <c r="C2734" s="69">
        <f>IF(B2734="","",IFERROR(INDEX(Client_List!$B:$B,MATCH(B2734,Client_List!$A:$A,0)),"⚠ NOT FOUND"))</f>
        <v/>
      </c>
      <c r="D2734" s="45" t="n"/>
      <c r="E2734" s="32">
        <f>IF(B2734="","",IFERROR(INDEX(Client_List!$C:$C,MATCH(VALUE(B2734),Client_List!$A:$A,0)),""))</f>
        <v/>
      </c>
      <c r="F2734" s="53">
        <f>IF(B2734="","",IFERROR(INDEX(Client_List!$D:$D,MATCH(VALUE(B2734),Client_List!$A:$A,0)),""))</f>
        <v/>
      </c>
      <c r="G2734" s="53">
        <f>IF(B2734="","",IFERROR(INDEX(Client_List!$K:$K,MATCH(VALUE(B2734),Client_List!$A:$A,0)),""))</f>
        <v/>
      </c>
      <c r="H2734" s="32">
        <f>IF(B2734="","",IFERROR(INDEX(Client_List!$J:$J,MATCH(VALUE(B2734),Client_List!$A:$A,0)),""))</f>
        <v/>
      </c>
      <c r="I2734" s="70">
        <f>IF(B2734="","",IFERROR(A2734-LOOKUP(2,1/($B$4:$B2733=B2734),$A$4:$A2733),""))</f>
        <v/>
      </c>
      <c r="J2734" s="32">
        <f>IF(B2734="","",IFERROR(D2734/I2734,""))</f>
        <v/>
      </c>
      <c r="K2734" s="71">
        <f>IF(B2734="","",IFERROR(AVERAGEIFS($J$4:$J2734,$B$4:$B2734,B2734,$J$4:$J2734,"&gt;"&amp;0),""))</f>
        <v/>
      </c>
      <c r="L2734" s="12" t="n"/>
    </row>
    <row r="2735" ht="14" customHeight="1" s="72">
      <c r="A2735" s="82" t="n"/>
      <c r="B2735" s="79" t="n"/>
      <c r="C2735" s="69">
        <f>IF(B2735="","",IFERROR(INDEX(Client_List!$B:$B,MATCH(B2735,Client_List!$A:$A,0)),"⚠ NOT FOUND"))</f>
        <v/>
      </c>
      <c r="D2735" s="44" t="n"/>
      <c r="E2735" s="32">
        <f>IF(B2735="","",IFERROR(INDEX(Client_List!$C:$C,MATCH(VALUE(B2735),Client_List!$A:$A,0)),""))</f>
        <v/>
      </c>
      <c r="F2735" s="53">
        <f>IF(B2735="","",IFERROR(INDEX(Client_List!$D:$D,MATCH(VALUE(B2735),Client_List!$A:$A,0)),""))</f>
        <v/>
      </c>
      <c r="G2735" s="53">
        <f>IF(B2735="","",IFERROR(INDEX(Client_List!$K:$K,MATCH(VALUE(B2735),Client_List!$A:$A,0)),""))</f>
        <v/>
      </c>
      <c r="H2735" s="32">
        <f>IF(B2735="","",IFERROR(INDEX(Client_List!$J:$J,MATCH(VALUE(B2735),Client_List!$A:$A,0)),""))</f>
        <v/>
      </c>
      <c r="I2735" s="70">
        <f>IF(B2735="","",IFERROR(A2735-LOOKUP(2,1/($B$4:$B2734=B2735),$A$4:$A2734),""))</f>
        <v/>
      </c>
      <c r="J2735" s="32">
        <f>IF(B2735="","",IFERROR(D2735/I2735,""))</f>
        <v/>
      </c>
      <c r="K2735" s="71">
        <f>IF(B2735="","",IFERROR(AVERAGEIFS($J$4:$J2735,$B$4:$B2735,B2735,$J$4:$J2735,"&gt;"&amp;0),""))</f>
        <v/>
      </c>
      <c r="L2735" s="11" t="n"/>
    </row>
    <row r="2736" ht="14" customHeight="1" s="72">
      <c r="A2736" s="83" t="n"/>
      <c r="B2736" s="81" t="n"/>
      <c r="C2736" s="69">
        <f>IF(B2736="","",IFERROR(INDEX(Client_List!$B:$B,MATCH(B2736,Client_List!$A:$A,0)),"⚠ NOT FOUND"))</f>
        <v/>
      </c>
      <c r="D2736" s="45" t="n"/>
      <c r="E2736" s="32">
        <f>IF(B2736="","",IFERROR(INDEX(Client_List!$C:$C,MATCH(VALUE(B2736),Client_List!$A:$A,0)),""))</f>
        <v/>
      </c>
      <c r="F2736" s="53">
        <f>IF(B2736="","",IFERROR(INDEX(Client_List!$D:$D,MATCH(VALUE(B2736),Client_List!$A:$A,0)),""))</f>
        <v/>
      </c>
      <c r="G2736" s="53">
        <f>IF(B2736="","",IFERROR(INDEX(Client_List!$K:$K,MATCH(VALUE(B2736),Client_List!$A:$A,0)),""))</f>
        <v/>
      </c>
      <c r="H2736" s="32">
        <f>IF(B2736="","",IFERROR(INDEX(Client_List!$J:$J,MATCH(VALUE(B2736),Client_List!$A:$A,0)),""))</f>
        <v/>
      </c>
      <c r="I2736" s="70">
        <f>IF(B2736="","",IFERROR(A2736-LOOKUP(2,1/($B$4:$B2735=B2736),$A$4:$A2735),""))</f>
        <v/>
      </c>
      <c r="J2736" s="32">
        <f>IF(B2736="","",IFERROR(D2736/I2736,""))</f>
        <v/>
      </c>
      <c r="K2736" s="71">
        <f>IF(B2736="","",IFERROR(AVERAGEIFS($J$4:$J2736,$B$4:$B2736,B2736,$J$4:$J2736,"&gt;"&amp;0),""))</f>
        <v/>
      </c>
      <c r="L2736" s="12" t="n"/>
    </row>
    <row r="2737" ht="14" customHeight="1" s="72">
      <c r="A2737" s="82" t="n"/>
      <c r="B2737" s="79" t="n"/>
      <c r="C2737" s="69">
        <f>IF(B2737="","",IFERROR(INDEX(Client_List!$B:$B,MATCH(B2737,Client_List!$A:$A,0)),"⚠ NOT FOUND"))</f>
        <v/>
      </c>
      <c r="D2737" s="44" t="n"/>
      <c r="E2737" s="32">
        <f>IF(B2737="","",IFERROR(INDEX(Client_List!$C:$C,MATCH(VALUE(B2737),Client_List!$A:$A,0)),""))</f>
        <v/>
      </c>
      <c r="F2737" s="53">
        <f>IF(B2737="","",IFERROR(INDEX(Client_List!$D:$D,MATCH(VALUE(B2737),Client_List!$A:$A,0)),""))</f>
        <v/>
      </c>
      <c r="G2737" s="53">
        <f>IF(B2737="","",IFERROR(INDEX(Client_List!$K:$K,MATCH(VALUE(B2737),Client_List!$A:$A,0)),""))</f>
        <v/>
      </c>
      <c r="H2737" s="32">
        <f>IF(B2737="","",IFERROR(INDEX(Client_List!$J:$J,MATCH(VALUE(B2737),Client_List!$A:$A,0)),""))</f>
        <v/>
      </c>
      <c r="I2737" s="70">
        <f>IF(B2737="","",IFERROR(A2737-LOOKUP(2,1/($B$4:$B2736=B2737),$A$4:$A2736),""))</f>
        <v/>
      </c>
      <c r="J2737" s="32">
        <f>IF(B2737="","",IFERROR(D2737/I2737,""))</f>
        <v/>
      </c>
      <c r="K2737" s="71">
        <f>IF(B2737="","",IFERROR(AVERAGEIFS($J$4:$J2737,$B$4:$B2737,B2737,$J$4:$J2737,"&gt;"&amp;0),""))</f>
        <v/>
      </c>
      <c r="L2737" s="11" t="n"/>
    </row>
    <row r="2738" ht="14" customHeight="1" s="72">
      <c r="A2738" s="83" t="n"/>
      <c r="B2738" s="81" t="n"/>
      <c r="C2738" s="69">
        <f>IF(B2738="","",IFERROR(INDEX(Client_List!$B:$B,MATCH(B2738,Client_List!$A:$A,0)),"⚠ NOT FOUND"))</f>
        <v/>
      </c>
      <c r="D2738" s="45" t="n"/>
      <c r="E2738" s="32">
        <f>IF(B2738="","",IFERROR(INDEX(Client_List!$C:$C,MATCH(VALUE(B2738),Client_List!$A:$A,0)),""))</f>
        <v/>
      </c>
      <c r="F2738" s="53">
        <f>IF(B2738="","",IFERROR(INDEX(Client_List!$D:$D,MATCH(VALUE(B2738),Client_List!$A:$A,0)),""))</f>
        <v/>
      </c>
      <c r="G2738" s="53">
        <f>IF(B2738="","",IFERROR(INDEX(Client_List!$K:$K,MATCH(VALUE(B2738),Client_List!$A:$A,0)),""))</f>
        <v/>
      </c>
      <c r="H2738" s="32">
        <f>IF(B2738="","",IFERROR(INDEX(Client_List!$J:$J,MATCH(VALUE(B2738),Client_List!$A:$A,0)),""))</f>
        <v/>
      </c>
      <c r="I2738" s="70">
        <f>IF(B2738="","",IFERROR(A2738-LOOKUP(2,1/($B$4:$B2737=B2738),$A$4:$A2737),""))</f>
        <v/>
      </c>
      <c r="J2738" s="32">
        <f>IF(B2738="","",IFERROR(D2738/I2738,""))</f>
        <v/>
      </c>
      <c r="K2738" s="71">
        <f>IF(B2738="","",IFERROR(AVERAGEIFS($J$4:$J2738,$B$4:$B2738,B2738,$J$4:$J2738,"&gt;"&amp;0),""))</f>
        <v/>
      </c>
      <c r="L2738" s="12" t="n"/>
    </row>
    <row r="2739" ht="14" customHeight="1" s="72">
      <c r="A2739" s="82" t="n"/>
      <c r="B2739" s="79" t="n"/>
      <c r="C2739" s="69">
        <f>IF(B2739="","",IFERROR(INDEX(Client_List!$B:$B,MATCH(B2739,Client_List!$A:$A,0)),"⚠ NOT FOUND"))</f>
        <v/>
      </c>
      <c r="D2739" s="44" t="n"/>
      <c r="E2739" s="32">
        <f>IF(B2739="","",IFERROR(INDEX(Client_List!$C:$C,MATCH(VALUE(B2739),Client_List!$A:$A,0)),""))</f>
        <v/>
      </c>
      <c r="F2739" s="53">
        <f>IF(B2739="","",IFERROR(INDEX(Client_List!$D:$D,MATCH(VALUE(B2739),Client_List!$A:$A,0)),""))</f>
        <v/>
      </c>
      <c r="G2739" s="53">
        <f>IF(B2739="","",IFERROR(INDEX(Client_List!$K:$K,MATCH(VALUE(B2739),Client_List!$A:$A,0)),""))</f>
        <v/>
      </c>
      <c r="H2739" s="32">
        <f>IF(B2739="","",IFERROR(INDEX(Client_List!$J:$J,MATCH(VALUE(B2739),Client_List!$A:$A,0)),""))</f>
        <v/>
      </c>
      <c r="I2739" s="70">
        <f>IF(B2739="","",IFERROR(A2739-LOOKUP(2,1/($B$4:$B2738=B2739),$A$4:$A2738),""))</f>
        <v/>
      </c>
      <c r="J2739" s="32">
        <f>IF(B2739="","",IFERROR(D2739/I2739,""))</f>
        <v/>
      </c>
      <c r="K2739" s="71">
        <f>IF(B2739="","",IFERROR(AVERAGEIFS($J$4:$J2739,$B$4:$B2739,B2739,$J$4:$J2739,"&gt;"&amp;0),""))</f>
        <v/>
      </c>
      <c r="L2739" s="11" t="n"/>
    </row>
    <row r="2740" ht="14" customHeight="1" s="72">
      <c r="A2740" s="83" t="n"/>
      <c r="B2740" s="81" t="n"/>
      <c r="C2740" s="69">
        <f>IF(B2740="","",IFERROR(INDEX(Client_List!$B:$B,MATCH(B2740,Client_List!$A:$A,0)),"⚠ NOT FOUND"))</f>
        <v/>
      </c>
      <c r="D2740" s="45" t="n"/>
      <c r="E2740" s="32">
        <f>IF(B2740="","",IFERROR(INDEX(Client_List!$C:$C,MATCH(VALUE(B2740),Client_List!$A:$A,0)),""))</f>
        <v/>
      </c>
      <c r="F2740" s="53">
        <f>IF(B2740="","",IFERROR(INDEX(Client_List!$D:$D,MATCH(VALUE(B2740),Client_List!$A:$A,0)),""))</f>
        <v/>
      </c>
      <c r="G2740" s="53">
        <f>IF(B2740="","",IFERROR(INDEX(Client_List!$K:$K,MATCH(VALUE(B2740),Client_List!$A:$A,0)),""))</f>
        <v/>
      </c>
      <c r="H2740" s="32">
        <f>IF(B2740="","",IFERROR(INDEX(Client_List!$J:$J,MATCH(VALUE(B2740),Client_List!$A:$A,0)),""))</f>
        <v/>
      </c>
      <c r="I2740" s="70">
        <f>IF(B2740="","",IFERROR(A2740-LOOKUP(2,1/($B$4:$B2739=B2740),$A$4:$A2739),""))</f>
        <v/>
      </c>
      <c r="J2740" s="32">
        <f>IF(B2740="","",IFERROR(D2740/I2740,""))</f>
        <v/>
      </c>
      <c r="K2740" s="71">
        <f>IF(B2740="","",IFERROR(AVERAGEIFS($J$4:$J2740,$B$4:$B2740,B2740,$J$4:$J2740,"&gt;"&amp;0),""))</f>
        <v/>
      </c>
      <c r="L2740" s="12" t="n"/>
    </row>
    <row r="2741" ht="14" customHeight="1" s="72">
      <c r="A2741" s="82" t="n"/>
      <c r="B2741" s="79" t="n"/>
      <c r="C2741" s="69">
        <f>IF(B2741="","",IFERROR(INDEX(Client_List!$B:$B,MATCH(B2741,Client_List!$A:$A,0)),"⚠ NOT FOUND"))</f>
        <v/>
      </c>
      <c r="D2741" s="44" t="n"/>
      <c r="E2741" s="32">
        <f>IF(B2741="","",IFERROR(INDEX(Client_List!$C:$C,MATCH(VALUE(B2741),Client_List!$A:$A,0)),""))</f>
        <v/>
      </c>
      <c r="F2741" s="53">
        <f>IF(B2741="","",IFERROR(INDEX(Client_List!$D:$D,MATCH(VALUE(B2741),Client_List!$A:$A,0)),""))</f>
        <v/>
      </c>
      <c r="G2741" s="53">
        <f>IF(B2741="","",IFERROR(INDEX(Client_List!$K:$K,MATCH(VALUE(B2741),Client_List!$A:$A,0)),""))</f>
        <v/>
      </c>
      <c r="H2741" s="32">
        <f>IF(B2741="","",IFERROR(INDEX(Client_List!$J:$J,MATCH(VALUE(B2741),Client_List!$A:$A,0)),""))</f>
        <v/>
      </c>
      <c r="I2741" s="70">
        <f>IF(B2741="","",IFERROR(A2741-LOOKUP(2,1/($B$4:$B2740=B2741),$A$4:$A2740),""))</f>
        <v/>
      </c>
      <c r="J2741" s="32">
        <f>IF(B2741="","",IFERROR(D2741/I2741,""))</f>
        <v/>
      </c>
      <c r="K2741" s="71">
        <f>IF(B2741="","",IFERROR(AVERAGEIFS($J$4:$J2741,$B$4:$B2741,B2741,$J$4:$J2741,"&gt;"&amp;0),""))</f>
        <v/>
      </c>
      <c r="L2741" s="11" t="n"/>
    </row>
    <row r="2742" ht="14" customHeight="1" s="72">
      <c r="A2742" s="83" t="n"/>
      <c r="B2742" s="81" t="n"/>
      <c r="C2742" s="69">
        <f>IF(B2742="","",IFERROR(INDEX(Client_List!$B:$B,MATCH(B2742,Client_List!$A:$A,0)),"⚠ NOT FOUND"))</f>
        <v/>
      </c>
      <c r="D2742" s="45" t="n"/>
      <c r="E2742" s="32">
        <f>IF(B2742="","",IFERROR(INDEX(Client_List!$C:$C,MATCH(VALUE(B2742),Client_List!$A:$A,0)),""))</f>
        <v/>
      </c>
      <c r="F2742" s="53">
        <f>IF(B2742="","",IFERROR(INDEX(Client_List!$D:$D,MATCH(VALUE(B2742),Client_List!$A:$A,0)),""))</f>
        <v/>
      </c>
      <c r="G2742" s="53">
        <f>IF(B2742="","",IFERROR(INDEX(Client_List!$K:$K,MATCH(VALUE(B2742),Client_List!$A:$A,0)),""))</f>
        <v/>
      </c>
      <c r="H2742" s="32">
        <f>IF(B2742="","",IFERROR(INDEX(Client_List!$J:$J,MATCH(VALUE(B2742),Client_List!$A:$A,0)),""))</f>
        <v/>
      </c>
      <c r="I2742" s="70">
        <f>IF(B2742="","",IFERROR(A2742-LOOKUP(2,1/($B$4:$B2741=B2742),$A$4:$A2741),""))</f>
        <v/>
      </c>
      <c r="J2742" s="32">
        <f>IF(B2742="","",IFERROR(D2742/I2742,""))</f>
        <v/>
      </c>
      <c r="K2742" s="71">
        <f>IF(B2742="","",IFERROR(AVERAGEIFS($J$4:$J2742,$B$4:$B2742,B2742,$J$4:$J2742,"&gt;"&amp;0),""))</f>
        <v/>
      </c>
      <c r="L2742" s="12" t="n"/>
    </row>
    <row r="2743" ht="14" customHeight="1" s="72">
      <c r="A2743" s="82" t="n"/>
      <c r="B2743" s="79" t="n"/>
      <c r="C2743" s="69">
        <f>IF(B2743="","",IFERROR(INDEX(Client_List!$B:$B,MATCH(B2743,Client_List!$A:$A,0)),"⚠ NOT FOUND"))</f>
        <v/>
      </c>
      <c r="D2743" s="44" t="n"/>
      <c r="E2743" s="32">
        <f>IF(B2743="","",IFERROR(INDEX(Client_List!$C:$C,MATCH(VALUE(B2743),Client_List!$A:$A,0)),""))</f>
        <v/>
      </c>
      <c r="F2743" s="53">
        <f>IF(B2743="","",IFERROR(INDEX(Client_List!$D:$D,MATCH(VALUE(B2743),Client_List!$A:$A,0)),""))</f>
        <v/>
      </c>
      <c r="G2743" s="53">
        <f>IF(B2743="","",IFERROR(INDEX(Client_List!$K:$K,MATCH(VALUE(B2743),Client_List!$A:$A,0)),""))</f>
        <v/>
      </c>
      <c r="H2743" s="32">
        <f>IF(B2743="","",IFERROR(INDEX(Client_List!$J:$J,MATCH(VALUE(B2743),Client_List!$A:$A,0)),""))</f>
        <v/>
      </c>
      <c r="I2743" s="70">
        <f>IF(B2743="","",IFERROR(A2743-LOOKUP(2,1/($B$4:$B2742=B2743),$A$4:$A2742),""))</f>
        <v/>
      </c>
      <c r="J2743" s="32">
        <f>IF(B2743="","",IFERROR(D2743/I2743,""))</f>
        <v/>
      </c>
      <c r="K2743" s="71">
        <f>IF(B2743="","",IFERROR(AVERAGEIFS($J$4:$J2743,$B$4:$B2743,B2743,$J$4:$J2743,"&gt;"&amp;0),""))</f>
        <v/>
      </c>
      <c r="L2743" s="11" t="n"/>
    </row>
    <row r="2744" ht="14" customHeight="1" s="72">
      <c r="A2744" s="83" t="n"/>
      <c r="B2744" s="81" t="n"/>
      <c r="C2744" s="69">
        <f>IF(B2744="","",IFERROR(INDEX(Client_List!$B:$B,MATCH(B2744,Client_List!$A:$A,0)),"⚠ NOT FOUND"))</f>
        <v/>
      </c>
      <c r="D2744" s="45" t="n"/>
      <c r="E2744" s="32">
        <f>IF(B2744="","",IFERROR(INDEX(Client_List!$C:$C,MATCH(VALUE(B2744),Client_List!$A:$A,0)),""))</f>
        <v/>
      </c>
      <c r="F2744" s="53">
        <f>IF(B2744="","",IFERROR(INDEX(Client_List!$D:$D,MATCH(VALUE(B2744),Client_List!$A:$A,0)),""))</f>
        <v/>
      </c>
      <c r="G2744" s="53">
        <f>IF(B2744="","",IFERROR(INDEX(Client_List!$K:$K,MATCH(VALUE(B2744),Client_List!$A:$A,0)),""))</f>
        <v/>
      </c>
      <c r="H2744" s="32">
        <f>IF(B2744="","",IFERROR(INDEX(Client_List!$J:$J,MATCH(VALUE(B2744),Client_List!$A:$A,0)),""))</f>
        <v/>
      </c>
      <c r="I2744" s="70">
        <f>IF(B2744="","",IFERROR(A2744-LOOKUP(2,1/($B$4:$B2743=B2744),$A$4:$A2743),""))</f>
        <v/>
      </c>
      <c r="J2744" s="32">
        <f>IF(B2744="","",IFERROR(D2744/I2744,""))</f>
        <v/>
      </c>
      <c r="K2744" s="71">
        <f>IF(B2744="","",IFERROR(AVERAGEIFS($J$4:$J2744,$B$4:$B2744,B2744,$J$4:$J2744,"&gt;"&amp;0),""))</f>
        <v/>
      </c>
      <c r="L2744" s="12" t="n"/>
    </row>
    <row r="2745" ht="14" customHeight="1" s="72">
      <c r="A2745" s="82" t="n"/>
      <c r="B2745" s="79" t="n"/>
      <c r="C2745" s="69">
        <f>IF(B2745="","",IFERROR(INDEX(Client_List!$B:$B,MATCH(B2745,Client_List!$A:$A,0)),"⚠ NOT FOUND"))</f>
        <v/>
      </c>
      <c r="D2745" s="44" t="n"/>
      <c r="E2745" s="32">
        <f>IF(B2745="","",IFERROR(INDEX(Client_List!$C:$C,MATCH(VALUE(B2745),Client_List!$A:$A,0)),""))</f>
        <v/>
      </c>
      <c r="F2745" s="53">
        <f>IF(B2745="","",IFERROR(INDEX(Client_List!$D:$D,MATCH(VALUE(B2745),Client_List!$A:$A,0)),""))</f>
        <v/>
      </c>
      <c r="G2745" s="53">
        <f>IF(B2745="","",IFERROR(INDEX(Client_List!$K:$K,MATCH(VALUE(B2745),Client_List!$A:$A,0)),""))</f>
        <v/>
      </c>
      <c r="H2745" s="32">
        <f>IF(B2745="","",IFERROR(INDEX(Client_List!$J:$J,MATCH(VALUE(B2745),Client_List!$A:$A,0)),""))</f>
        <v/>
      </c>
      <c r="I2745" s="70">
        <f>IF(B2745="","",IFERROR(A2745-LOOKUP(2,1/($B$4:$B2744=B2745),$A$4:$A2744),""))</f>
        <v/>
      </c>
      <c r="J2745" s="32">
        <f>IF(B2745="","",IFERROR(D2745/I2745,""))</f>
        <v/>
      </c>
      <c r="K2745" s="71">
        <f>IF(B2745="","",IFERROR(AVERAGEIFS($J$4:$J2745,$B$4:$B2745,B2745,$J$4:$J2745,"&gt;"&amp;0),""))</f>
        <v/>
      </c>
      <c r="L2745" s="11" t="n"/>
    </row>
    <row r="2746" ht="14" customHeight="1" s="72">
      <c r="A2746" s="83" t="n"/>
      <c r="B2746" s="81" t="n"/>
      <c r="C2746" s="69">
        <f>IF(B2746="","",IFERROR(INDEX(Client_List!$B:$B,MATCH(B2746,Client_List!$A:$A,0)),"⚠ NOT FOUND"))</f>
        <v/>
      </c>
      <c r="D2746" s="45" t="n"/>
      <c r="E2746" s="32">
        <f>IF(B2746="","",IFERROR(INDEX(Client_List!$C:$C,MATCH(VALUE(B2746),Client_List!$A:$A,0)),""))</f>
        <v/>
      </c>
      <c r="F2746" s="53">
        <f>IF(B2746="","",IFERROR(INDEX(Client_List!$D:$D,MATCH(VALUE(B2746),Client_List!$A:$A,0)),""))</f>
        <v/>
      </c>
      <c r="G2746" s="53">
        <f>IF(B2746="","",IFERROR(INDEX(Client_List!$K:$K,MATCH(VALUE(B2746),Client_List!$A:$A,0)),""))</f>
        <v/>
      </c>
      <c r="H2746" s="32">
        <f>IF(B2746="","",IFERROR(INDEX(Client_List!$J:$J,MATCH(VALUE(B2746),Client_List!$A:$A,0)),""))</f>
        <v/>
      </c>
      <c r="I2746" s="70">
        <f>IF(B2746="","",IFERROR(A2746-LOOKUP(2,1/($B$4:$B2745=B2746),$A$4:$A2745),""))</f>
        <v/>
      </c>
      <c r="J2746" s="32">
        <f>IF(B2746="","",IFERROR(D2746/I2746,""))</f>
        <v/>
      </c>
      <c r="K2746" s="71">
        <f>IF(B2746="","",IFERROR(AVERAGEIFS($J$4:$J2746,$B$4:$B2746,B2746,$J$4:$J2746,"&gt;"&amp;0),""))</f>
        <v/>
      </c>
      <c r="L2746" s="12" t="n"/>
    </row>
    <row r="2747" ht="14" customHeight="1" s="72">
      <c r="A2747" s="82" t="n"/>
      <c r="B2747" s="79" t="n"/>
      <c r="C2747" s="69">
        <f>IF(B2747="","",IFERROR(INDEX(Client_List!$B:$B,MATCH(B2747,Client_List!$A:$A,0)),"⚠ NOT FOUND"))</f>
        <v/>
      </c>
      <c r="D2747" s="44" t="n"/>
      <c r="E2747" s="32">
        <f>IF(B2747="","",IFERROR(INDEX(Client_List!$C:$C,MATCH(VALUE(B2747),Client_List!$A:$A,0)),""))</f>
        <v/>
      </c>
      <c r="F2747" s="53">
        <f>IF(B2747="","",IFERROR(INDEX(Client_List!$D:$D,MATCH(VALUE(B2747),Client_List!$A:$A,0)),""))</f>
        <v/>
      </c>
      <c r="G2747" s="53">
        <f>IF(B2747="","",IFERROR(INDEX(Client_List!$K:$K,MATCH(VALUE(B2747),Client_List!$A:$A,0)),""))</f>
        <v/>
      </c>
      <c r="H2747" s="32">
        <f>IF(B2747="","",IFERROR(INDEX(Client_List!$J:$J,MATCH(VALUE(B2747),Client_List!$A:$A,0)),""))</f>
        <v/>
      </c>
      <c r="I2747" s="70">
        <f>IF(B2747="","",IFERROR(A2747-LOOKUP(2,1/($B$4:$B2746=B2747),$A$4:$A2746),""))</f>
        <v/>
      </c>
      <c r="J2747" s="32">
        <f>IF(B2747="","",IFERROR(D2747/I2747,""))</f>
        <v/>
      </c>
      <c r="K2747" s="71">
        <f>IF(B2747="","",IFERROR(AVERAGEIFS($J$4:$J2747,$B$4:$B2747,B2747,$J$4:$J2747,"&gt;"&amp;0),""))</f>
        <v/>
      </c>
      <c r="L2747" s="11" t="n"/>
    </row>
    <row r="2748" ht="14" customHeight="1" s="72">
      <c r="A2748" s="83" t="n"/>
      <c r="B2748" s="81" t="n"/>
      <c r="C2748" s="69">
        <f>IF(B2748="","",IFERROR(INDEX(Client_List!$B:$B,MATCH(B2748,Client_List!$A:$A,0)),"⚠ NOT FOUND"))</f>
        <v/>
      </c>
      <c r="D2748" s="45" t="n"/>
      <c r="E2748" s="32">
        <f>IF(B2748="","",IFERROR(INDEX(Client_List!$C:$C,MATCH(VALUE(B2748),Client_List!$A:$A,0)),""))</f>
        <v/>
      </c>
      <c r="F2748" s="53">
        <f>IF(B2748="","",IFERROR(INDEX(Client_List!$D:$D,MATCH(VALUE(B2748),Client_List!$A:$A,0)),""))</f>
        <v/>
      </c>
      <c r="G2748" s="53">
        <f>IF(B2748="","",IFERROR(INDEX(Client_List!$K:$K,MATCH(VALUE(B2748),Client_List!$A:$A,0)),""))</f>
        <v/>
      </c>
      <c r="H2748" s="32">
        <f>IF(B2748="","",IFERROR(INDEX(Client_List!$J:$J,MATCH(VALUE(B2748),Client_List!$A:$A,0)),""))</f>
        <v/>
      </c>
      <c r="I2748" s="70">
        <f>IF(B2748="","",IFERROR(A2748-LOOKUP(2,1/($B$4:$B2747=B2748),$A$4:$A2747),""))</f>
        <v/>
      </c>
      <c r="J2748" s="32">
        <f>IF(B2748="","",IFERROR(D2748/I2748,""))</f>
        <v/>
      </c>
      <c r="K2748" s="71">
        <f>IF(B2748="","",IFERROR(AVERAGEIFS($J$4:$J2748,$B$4:$B2748,B2748,$J$4:$J2748,"&gt;"&amp;0),""))</f>
        <v/>
      </c>
      <c r="L2748" s="12" t="n"/>
    </row>
    <row r="2749" ht="14" customHeight="1" s="72">
      <c r="A2749" s="82" t="n"/>
      <c r="B2749" s="79" t="n"/>
      <c r="C2749" s="69">
        <f>IF(B2749="","",IFERROR(INDEX(Client_List!$B:$B,MATCH(B2749,Client_List!$A:$A,0)),"⚠ NOT FOUND"))</f>
        <v/>
      </c>
      <c r="D2749" s="44" t="n"/>
      <c r="E2749" s="32">
        <f>IF(B2749="","",IFERROR(INDEX(Client_List!$C:$C,MATCH(VALUE(B2749),Client_List!$A:$A,0)),""))</f>
        <v/>
      </c>
      <c r="F2749" s="53">
        <f>IF(B2749="","",IFERROR(INDEX(Client_List!$D:$D,MATCH(VALUE(B2749),Client_List!$A:$A,0)),""))</f>
        <v/>
      </c>
      <c r="G2749" s="53">
        <f>IF(B2749="","",IFERROR(INDEX(Client_List!$K:$K,MATCH(VALUE(B2749),Client_List!$A:$A,0)),""))</f>
        <v/>
      </c>
      <c r="H2749" s="32">
        <f>IF(B2749="","",IFERROR(INDEX(Client_List!$J:$J,MATCH(VALUE(B2749),Client_List!$A:$A,0)),""))</f>
        <v/>
      </c>
      <c r="I2749" s="70">
        <f>IF(B2749="","",IFERROR(A2749-LOOKUP(2,1/($B$4:$B2748=B2749),$A$4:$A2748),""))</f>
        <v/>
      </c>
      <c r="J2749" s="32">
        <f>IF(B2749="","",IFERROR(D2749/I2749,""))</f>
        <v/>
      </c>
      <c r="K2749" s="71">
        <f>IF(B2749="","",IFERROR(AVERAGEIFS($J$4:$J2749,$B$4:$B2749,B2749,$J$4:$J2749,"&gt;"&amp;0),""))</f>
        <v/>
      </c>
      <c r="L2749" s="11" t="n"/>
    </row>
    <row r="2750" ht="14" customHeight="1" s="72">
      <c r="A2750" s="83" t="n"/>
      <c r="B2750" s="81" t="n"/>
      <c r="C2750" s="69">
        <f>IF(B2750="","",IFERROR(INDEX(Client_List!$B:$B,MATCH(B2750,Client_List!$A:$A,0)),"⚠ NOT FOUND"))</f>
        <v/>
      </c>
      <c r="D2750" s="45" t="n"/>
      <c r="E2750" s="32">
        <f>IF(B2750="","",IFERROR(INDEX(Client_List!$C:$C,MATCH(VALUE(B2750),Client_List!$A:$A,0)),""))</f>
        <v/>
      </c>
      <c r="F2750" s="53">
        <f>IF(B2750="","",IFERROR(INDEX(Client_List!$D:$D,MATCH(VALUE(B2750),Client_List!$A:$A,0)),""))</f>
        <v/>
      </c>
      <c r="G2750" s="53">
        <f>IF(B2750="","",IFERROR(INDEX(Client_List!$K:$K,MATCH(VALUE(B2750),Client_List!$A:$A,0)),""))</f>
        <v/>
      </c>
      <c r="H2750" s="32">
        <f>IF(B2750="","",IFERROR(INDEX(Client_List!$J:$J,MATCH(VALUE(B2750),Client_List!$A:$A,0)),""))</f>
        <v/>
      </c>
      <c r="I2750" s="70">
        <f>IF(B2750="","",IFERROR(A2750-LOOKUP(2,1/($B$4:$B2749=B2750),$A$4:$A2749),""))</f>
        <v/>
      </c>
      <c r="J2750" s="32">
        <f>IF(B2750="","",IFERROR(D2750/I2750,""))</f>
        <v/>
      </c>
      <c r="K2750" s="71">
        <f>IF(B2750="","",IFERROR(AVERAGEIFS($J$4:$J2750,$B$4:$B2750,B2750,$J$4:$J2750,"&gt;"&amp;0),""))</f>
        <v/>
      </c>
      <c r="L2750" s="12" t="n"/>
    </row>
    <row r="2751" ht="14" customHeight="1" s="72">
      <c r="A2751" s="82" t="n"/>
      <c r="B2751" s="79" t="n"/>
      <c r="C2751" s="69">
        <f>IF(B2751="","",IFERROR(INDEX(Client_List!$B:$B,MATCH(B2751,Client_List!$A:$A,0)),"⚠ NOT FOUND"))</f>
        <v/>
      </c>
      <c r="D2751" s="44" t="n"/>
      <c r="E2751" s="32">
        <f>IF(B2751="","",IFERROR(INDEX(Client_List!$C:$C,MATCH(VALUE(B2751),Client_List!$A:$A,0)),""))</f>
        <v/>
      </c>
      <c r="F2751" s="53">
        <f>IF(B2751="","",IFERROR(INDEX(Client_List!$D:$D,MATCH(VALUE(B2751),Client_List!$A:$A,0)),""))</f>
        <v/>
      </c>
      <c r="G2751" s="53">
        <f>IF(B2751="","",IFERROR(INDEX(Client_List!$K:$K,MATCH(VALUE(B2751),Client_List!$A:$A,0)),""))</f>
        <v/>
      </c>
      <c r="H2751" s="32">
        <f>IF(B2751="","",IFERROR(INDEX(Client_List!$J:$J,MATCH(VALUE(B2751),Client_List!$A:$A,0)),""))</f>
        <v/>
      </c>
      <c r="I2751" s="70">
        <f>IF(B2751="","",IFERROR(A2751-LOOKUP(2,1/($B$4:$B2750=B2751),$A$4:$A2750),""))</f>
        <v/>
      </c>
      <c r="J2751" s="32">
        <f>IF(B2751="","",IFERROR(D2751/I2751,""))</f>
        <v/>
      </c>
      <c r="K2751" s="71">
        <f>IF(B2751="","",IFERROR(AVERAGEIFS($J$4:$J2751,$B$4:$B2751,B2751,$J$4:$J2751,"&gt;"&amp;0),""))</f>
        <v/>
      </c>
      <c r="L2751" s="11" t="n"/>
    </row>
    <row r="2752" ht="14" customHeight="1" s="72">
      <c r="A2752" s="83" t="n"/>
      <c r="B2752" s="81" t="n"/>
      <c r="C2752" s="69">
        <f>IF(B2752="","",IFERROR(INDEX(Client_List!$B:$B,MATCH(B2752,Client_List!$A:$A,0)),"⚠ NOT FOUND"))</f>
        <v/>
      </c>
      <c r="D2752" s="45" t="n"/>
      <c r="E2752" s="32">
        <f>IF(B2752="","",IFERROR(INDEX(Client_List!$C:$C,MATCH(VALUE(B2752),Client_List!$A:$A,0)),""))</f>
        <v/>
      </c>
      <c r="F2752" s="53">
        <f>IF(B2752="","",IFERROR(INDEX(Client_List!$D:$D,MATCH(VALUE(B2752),Client_List!$A:$A,0)),""))</f>
        <v/>
      </c>
      <c r="G2752" s="53">
        <f>IF(B2752="","",IFERROR(INDEX(Client_List!$K:$K,MATCH(VALUE(B2752),Client_List!$A:$A,0)),""))</f>
        <v/>
      </c>
      <c r="H2752" s="32">
        <f>IF(B2752="","",IFERROR(INDEX(Client_List!$J:$J,MATCH(VALUE(B2752),Client_List!$A:$A,0)),""))</f>
        <v/>
      </c>
      <c r="I2752" s="70">
        <f>IF(B2752="","",IFERROR(A2752-LOOKUP(2,1/($B$4:$B2751=B2752),$A$4:$A2751),""))</f>
        <v/>
      </c>
      <c r="J2752" s="32">
        <f>IF(B2752="","",IFERROR(D2752/I2752,""))</f>
        <v/>
      </c>
      <c r="K2752" s="71">
        <f>IF(B2752="","",IFERROR(AVERAGEIFS($J$4:$J2752,$B$4:$B2752,B2752,$J$4:$J2752,"&gt;"&amp;0),""))</f>
        <v/>
      </c>
      <c r="L2752" s="12" t="n"/>
    </row>
    <row r="2753" ht="14" customHeight="1" s="72">
      <c r="A2753" s="82" t="n"/>
      <c r="B2753" s="79" t="n"/>
      <c r="C2753" s="69">
        <f>IF(B2753="","",IFERROR(INDEX(Client_List!$B:$B,MATCH(B2753,Client_List!$A:$A,0)),"⚠ NOT FOUND"))</f>
        <v/>
      </c>
      <c r="D2753" s="44" t="n"/>
      <c r="E2753" s="32">
        <f>IF(B2753="","",IFERROR(INDEX(Client_List!$C:$C,MATCH(VALUE(B2753),Client_List!$A:$A,0)),""))</f>
        <v/>
      </c>
      <c r="F2753" s="53">
        <f>IF(B2753="","",IFERROR(INDEX(Client_List!$D:$D,MATCH(VALUE(B2753),Client_List!$A:$A,0)),""))</f>
        <v/>
      </c>
      <c r="G2753" s="53">
        <f>IF(B2753="","",IFERROR(INDEX(Client_List!$K:$K,MATCH(VALUE(B2753),Client_List!$A:$A,0)),""))</f>
        <v/>
      </c>
      <c r="H2753" s="32">
        <f>IF(B2753="","",IFERROR(INDEX(Client_List!$J:$J,MATCH(VALUE(B2753),Client_List!$A:$A,0)),""))</f>
        <v/>
      </c>
      <c r="I2753" s="70">
        <f>IF(B2753="","",IFERROR(A2753-LOOKUP(2,1/($B$4:$B2752=B2753),$A$4:$A2752),""))</f>
        <v/>
      </c>
      <c r="J2753" s="32">
        <f>IF(B2753="","",IFERROR(D2753/I2753,""))</f>
        <v/>
      </c>
      <c r="K2753" s="71">
        <f>IF(B2753="","",IFERROR(AVERAGEIFS($J$4:$J2753,$B$4:$B2753,B2753,$J$4:$J2753,"&gt;"&amp;0),""))</f>
        <v/>
      </c>
      <c r="L2753" s="11" t="n"/>
    </row>
    <row r="2754" ht="14" customHeight="1" s="72">
      <c r="A2754" s="83" t="n"/>
      <c r="B2754" s="81" t="n"/>
      <c r="C2754" s="69">
        <f>IF(B2754="","",IFERROR(INDEX(Client_List!$B:$B,MATCH(B2754,Client_List!$A:$A,0)),"⚠ NOT FOUND"))</f>
        <v/>
      </c>
      <c r="D2754" s="45" t="n"/>
      <c r="E2754" s="32">
        <f>IF(B2754="","",IFERROR(INDEX(Client_List!$C:$C,MATCH(VALUE(B2754),Client_List!$A:$A,0)),""))</f>
        <v/>
      </c>
      <c r="F2754" s="53">
        <f>IF(B2754="","",IFERROR(INDEX(Client_List!$D:$D,MATCH(VALUE(B2754),Client_List!$A:$A,0)),""))</f>
        <v/>
      </c>
      <c r="G2754" s="53">
        <f>IF(B2754="","",IFERROR(INDEX(Client_List!$K:$K,MATCH(VALUE(B2754),Client_List!$A:$A,0)),""))</f>
        <v/>
      </c>
      <c r="H2754" s="32">
        <f>IF(B2754="","",IFERROR(INDEX(Client_List!$J:$J,MATCH(VALUE(B2754),Client_List!$A:$A,0)),""))</f>
        <v/>
      </c>
      <c r="I2754" s="70">
        <f>IF(B2754="","",IFERROR(A2754-LOOKUP(2,1/($B$4:$B2753=B2754),$A$4:$A2753),""))</f>
        <v/>
      </c>
      <c r="J2754" s="32">
        <f>IF(B2754="","",IFERROR(D2754/I2754,""))</f>
        <v/>
      </c>
      <c r="K2754" s="71">
        <f>IF(B2754="","",IFERROR(AVERAGEIFS($J$4:$J2754,$B$4:$B2754,B2754,$J$4:$J2754,"&gt;"&amp;0),""))</f>
        <v/>
      </c>
      <c r="L2754" s="12" t="n"/>
    </row>
    <row r="2755" ht="14" customHeight="1" s="72">
      <c r="A2755" s="82" t="n"/>
      <c r="B2755" s="79" t="n"/>
      <c r="C2755" s="69">
        <f>IF(B2755="","",IFERROR(INDEX(Client_List!$B:$B,MATCH(B2755,Client_List!$A:$A,0)),"⚠ NOT FOUND"))</f>
        <v/>
      </c>
      <c r="D2755" s="44" t="n"/>
      <c r="E2755" s="32">
        <f>IF(B2755="","",IFERROR(INDEX(Client_List!$C:$C,MATCH(VALUE(B2755),Client_List!$A:$A,0)),""))</f>
        <v/>
      </c>
      <c r="F2755" s="53">
        <f>IF(B2755="","",IFERROR(INDEX(Client_List!$D:$D,MATCH(VALUE(B2755),Client_List!$A:$A,0)),""))</f>
        <v/>
      </c>
      <c r="G2755" s="53">
        <f>IF(B2755="","",IFERROR(INDEX(Client_List!$K:$K,MATCH(VALUE(B2755),Client_List!$A:$A,0)),""))</f>
        <v/>
      </c>
      <c r="H2755" s="32">
        <f>IF(B2755="","",IFERROR(INDEX(Client_List!$J:$J,MATCH(VALUE(B2755),Client_List!$A:$A,0)),""))</f>
        <v/>
      </c>
      <c r="I2755" s="70">
        <f>IF(B2755="","",IFERROR(A2755-LOOKUP(2,1/($B$4:$B2754=B2755),$A$4:$A2754),""))</f>
        <v/>
      </c>
      <c r="J2755" s="32">
        <f>IF(B2755="","",IFERROR(D2755/I2755,""))</f>
        <v/>
      </c>
      <c r="K2755" s="71">
        <f>IF(B2755="","",IFERROR(AVERAGEIFS($J$4:$J2755,$B$4:$B2755,B2755,$J$4:$J2755,"&gt;"&amp;0),""))</f>
        <v/>
      </c>
      <c r="L2755" s="11" t="n"/>
    </row>
    <row r="2756" ht="14" customHeight="1" s="72">
      <c r="A2756" s="83" t="n"/>
      <c r="B2756" s="81" t="n"/>
      <c r="C2756" s="69">
        <f>IF(B2756="","",IFERROR(INDEX(Client_List!$B:$B,MATCH(B2756,Client_List!$A:$A,0)),"⚠ NOT FOUND"))</f>
        <v/>
      </c>
      <c r="D2756" s="45" t="n"/>
      <c r="E2756" s="32">
        <f>IF(B2756="","",IFERROR(INDEX(Client_List!$C:$C,MATCH(VALUE(B2756),Client_List!$A:$A,0)),""))</f>
        <v/>
      </c>
      <c r="F2756" s="53">
        <f>IF(B2756="","",IFERROR(INDEX(Client_List!$D:$D,MATCH(VALUE(B2756),Client_List!$A:$A,0)),""))</f>
        <v/>
      </c>
      <c r="G2756" s="53">
        <f>IF(B2756="","",IFERROR(INDEX(Client_List!$K:$K,MATCH(VALUE(B2756),Client_List!$A:$A,0)),""))</f>
        <v/>
      </c>
      <c r="H2756" s="32">
        <f>IF(B2756="","",IFERROR(INDEX(Client_List!$J:$J,MATCH(VALUE(B2756),Client_List!$A:$A,0)),""))</f>
        <v/>
      </c>
      <c r="I2756" s="70">
        <f>IF(B2756="","",IFERROR(A2756-LOOKUP(2,1/($B$4:$B2755=B2756),$A$4:$A2755),""))</f>
        <v/>
      </c>
      <c r="J2756" s="32">
        <f>IF(B2756="","",IFERROR(D2756/I2756,""))</f>
        <v/>
      </c>
      <c r="K2756" s="71">
        <f>IF(B2756="","",IFERROR(AVERAGEIFS($J$4:$J2756,$B$4:$B2756,B2756,$J$4:$J2756,"&gt;"&amp;0),""))</f>
        <v/>
      </c>
      <c r="L2756" s="12" t="n"/>
    </row>
    <row r="2757" ht="14" customHeight="1" s="72">
      <c r="A2757" s="82" t="n"/>
      <c r="B2757" s="79" t="n"/>
      <c r="C2757" s="69">
        <f>IF(B2757="","",IFERROR(INDEX(Client_List!$B:$B,MATCH(B2757,Client_List!$A:$A,0)),"⚠ NOT FOUND"))</f>
        <v/>
      </c>
      <c r="D2757" s="44" t="n"/>
      <c r="E2757" s="32">
        <f>IF(B2757="","",IFERROR(INDEX(Client_List!$C:$C,MATCH(VALUE(B2757),Client_List!$A:$A,0)),""))</f>
        <v/>
      </c>
      <c r="F2757" s="53">
        <f>IF(B2757="","",IFERROR(INDEX(Client_List!$D:$D,MATCH(VALUE(B2757),Client_List!$A:$A,0)),""))</f>
        <v/>
      </c>
      <c r="G2757" s="53">
        <f>IF(B2757="","",IFERROR(INDEX(Client_List!$K:$K,MATCH(VALUE(B2757),Client_List!$A:$A,0)),""))</f>
        <v/>
      </c>
      <c r="H2757" s="32">
        <f>IF(B2757="","",IFERROR(INDEX(Client_List!$J:$J,MATCH(VALUE(B2757),Client_List!$A:$A,0)),""))</f>
        <v/>
      </c>
      <c r="I2757" s="70">
        <f>IF(B2757="","",IFERROR(A2757-LOOKUP(2,1/($B$4:$B2756=B2757),$A$4:$A2756),""))</f>
        <v/>
      </c>
      <c r="J2757" s="32">
        <f>IF(B2757="","",IFERROR(D2757/I2757,""))</f>
        <v/>
      </c>
      <c r="K2757" s="71">
        <f>IF(B2757="","",IFERROR(AVERAGEIFS($J$4:$J2757,$B$4:$B2757,B2757,$J$4:$J2757,"&gt;"&amp;0),""))</f>
        <v/>
      </c>
      <c r="L2757" s="11" t="n"/>
    </row>
    <row r="2758" ht="14" customHeight="1" s="72">
      <c r="A2758" s="83" t="n"/>
      <c r="B2758" s="81" t="n"/>
      <c r="C2758" s="69">
        <f>IF(B2758="","",IFERROR(INDEX(Client_List!$B:$B,MATCH(B2758,Client_List!$A:$A,0)),"⚠ NOT FOUND"))</f>
        <v/>
      </c>
      <c r="D2758" s="45" t="n"/>
      <c r="E2758" s="32">
        <f>IF(B2758="","",IFERROR(INDEX(Client_List!$C:$C,MATCH(VALUE(B2758),Client_List!$A:$A,0)),""))</f>
        <v/>
      </c>
      <c r="F2758" s="53">
        <f>IF(B2758="","",IFERROR(INDEX(Client_List!$D:$D,MATCH(VALUE(B2758),Client_List!$A:$A,0)),""))</f>
        <v/>
      </c>
      <c r="G2758" s="53">
        <f>IF(B2758="","",IFERROR(INDEX(Client_List!$K:$K,MATCH(VALUE(B2758),Client_List!$A:$A,0)),""))</f>
        <v/>
      </c>
      <c r="H2758" s="32">
        <f>IF(B2758="","",IFERROR(INDEX(Client_List!$J:$J,MATCH(VALUE(B2758),Client_List!$A:$A,0)),""))</f>
        <v/>
      </c>
      <c r="I2758" s="70">
        <f>IF(B2758="","",IFERROR(A2758-LOOKUP(2,1/($B$4:$B2757=B2758),$A$4:$A2757),""))</f>
        <v/>
      </c>
      <c r="J2758" s="32">
        <f>IF(B2758="","",IFERROR(D2758/I2758,""))</f>
        <v/>
      </c>
      <c r="K2758" s="71">
        <f>IF(B2758="","",IFERROR(AVERAGEIFS($J$4:$J2758,$B$4:$B2758,B2758,$J$4:$J2758,"&gt;"&amp;0),""))</f>
        <v/>
      </c>
      <c r="L2758" s="12" t="n"/>
    </row>
    <row r="2759" ht="14" customHeight="1" s="72">
      <c r="A2759" s="82" t="n"/>
      <c r="B2759" s="79" t="n"/>
      <c r="C2759" s="69">
        <f>IF(B2759="","",IFERROR(INDEX(Client_List!$B:$B,MATCH(B2759,Client_List!$A:$A,0)),"⚠ NOT FOUND"))</f>
        <v/>
      </c>
      <c r="D2759" s="44" t="n"/>
      <c r="E2759" s="32">
        <f>IF(B2759="","",IFERROR(INDEX(Client_List!$C:$C,MATCH(VALUE(B2759),Client_List!$A:$A,0)),""))</f>
        <v/>
      </c>
      <c r="F2759" s="53">
        <f>IF(B2759="","",IFERROR(INDEX(Client_List!$D:$D,MATCH(VALUE(B2759),Client_List!$A:$A,0)),""))</f>
        <v/>
      </c>
      <c r="G2759" s="53">
        <f>IF(B2759="","",IFERROR(INDEX(Client_List!$K:$K,MATCH(VALUE(B2759),Client_List!$A:$A,0)),""))</f>
        <v/>
      </c>
      <c r="H2759" s="32">
        <f>IF(B2759="","",IFERROR(INDEX(Client_List!$J:$J,MATCH(VALUE(B2759),Client_List!$A:$A,0)),""))</f>
        <v/>
      </c>
      <c r="I2759" s="70">
        <f>IF(B2759="","",IFERROR(A2759-LOOKUP(2,1/($B$4:$B2758=B2759),$A$4:$A2758),""))</f>
        <v/>
      </c>
      <c r="J2759" s="32">
        <f>IF(B2759="","",IFERROR(D2759/I2759,""))</f>
        <v/>
      </c>
      <c r="K2759" s="71">
        <f>IF(B2759="","",IFERROR(AVERAGEIFS($J$4:$J2759,$B$4:$B2759,B2759,$J$4:$J2759,"&gt;"&amp;0),""))</f>
        <v/>
      </c>
      <c r="L2759" s="11" t="n"/>
    </row>
    <row r="2760" ht="14" customHeight="1" s="72">
      <c r="A2760" s="83" t="n"/>
      <c r="B2760" s="81" t="n"/>
      <c r="C2760" s="69">
        <f>IF(B2760="","",IFERROR(INDEX(Client_List!$B:$B,MATCH(B2760,Client_List!$A:$A,0)),"⚠ NOT FOUND"))</f>
        <v/>
      </c>
      <c r="D2760" s="45" t="n"/>
      <c r="E2760" s="32">
        <f>IF(B2760="","",IFERROR(INDEX(Client_List!$C:$C,MATCH(VALUE(B2760),Client_List!$A:$A,0)),""))</f>
        <v/>
      </c>
      <c r="F2760" s="53">
        <f>IF(B2760="","",IFERROR(INDEX(Client_List!$D:$D,MATCH(VALUE(B2760),Client_List!$A:$A,0)),""))</f>
        <v/>
      </c>
      <c r="G2760" s="53">
        <f>IF(B2760="","",IFERROR(INDEX(Client_List!$K:$K,MATCH(VALUE(B2760),Client_List!$A:$A,0)),""))</f>
        <v/>
      </c>
      <c r="H2760" s="32">
        <f>IF(B2760="","",IFERROR(INDEX(Client_List!$J:$J,MATCH(VALUE(B2760),Client_List!$A:$A,0)),""))</f>
        <v/>
      </c>
      <c r="I2760" s="70">
        <f>IF(B2760="","",IFERROR(A2760-LOOKUP(2,1/($B$4:$B2759=B2760),$A$4:$A2759),""))</f>
        <v/>
      </c>
      <c r="J2760" s="32">
        <f>IF(B2760="","",IFERROR(D2760/I2760,""))</f>
        <v/>
      </c>
      <c r="K2760" s="71">
        <f>IF(B2760="","",IFERROR(AVERAGEIFS($J$4:$J2760,$B$4:$B2760,B2760,$J$4:$J2760,"&gt;"&amp;0),""))</f>
        <v/>
      </c>
      <c r="L2760" s="12" t="n"/>
    </row>
    <row r="2761" ht="14" customHeight="1" s="72">
      <c r="A2761" s="82" t="n"/>
      <c r="B2761" s="79" t="n"/>
      <c r="C2761" s="69">
        <f>IF(B2761="","",IFERROR(INDEX(Client_List!$B:$B,MATCH(B2761,Client_List!$A:$A,0)),"⚠ NOT FOUND"))</f>
        <v/>
      </c>
      <c r="D2761" s="44" t="n"/>
      <c r="E2761" s="32">
        <f>IF(B2761="","",IFERROR(INDEX(Client_List!$C:$C,MATCH(VALUE(B2761),Client_List!$A:$A,0)),""))</f>
        <v/>
      </c>
      <c r="F2761" s="53">
        <f>IF(B2761="","",IFERROR(INDEX(Client_List!$D:$D,MATCH(VALUE(B2761),Client_List!$A:$A,0)),""))</f>
        <v/>
      </c>
      <c r="G2761" s="53">
        <f>IF(B2761="","",IFERROR(INDEX(Client_List!$K:$K,MATCH(VALUE(B2761),Client_List!$A:$A,0)),""))</f>
        <v/>
      </c>
      <c r="H2761" s="32">
        <f>IF(B2761="","",IFERROR(INDEX(Client_List!$J:$J,MATCH(VALUE(B2761),Client_List!$A:$A,0)),""))</f>
        <v/>
      </c>
      <c r="I2761" s="70">
        <f>IF(B2761="","",IFERROR(A2761-LOOKUP(2,1/($B$4:$B2760=B2761),$A$4:$A2760),""))</f>
        <v/>
      </c>
      <c r="J2761" s="32">
        <f>IF(B2761="","",IFERROR(D2761/I2761,""))</f>
        <v/>
      </c>
      <c r="K2761" s="71">
        <f>IF(B2761="","",IFERROR(AVERAGEIFS($J$4:$J2761,$B$4:$B2761,B2761,$J$4:$J2761,"&gt;"&amp;0),""))</f>
        <v/>
      </c>
      <c r="L2761" s="11" t="n"/>
    </row>
    <row r="2762" ht="14" customHeight="1" s="72">
      <c r="A2762" s="83" t="n"/>
      <c r="B2762" s="81" t="n"/>
      <c r="C2762" s="69">
        <f>IF(B2762="","",IFERROR(INDEX(Client_List!$B:$B,MATCH(B2762,Client_List!$A:$A,0)),"⚠ NOT FOUND"))</f>
        <v/>
      </c>
      <c r="D2762" s="45" t="n"/>
      <c r="E2762" s="32">
        <f>IF(B2762="","",IFERROR(INDEX(Client_List!$C:$C,MATCH(VALUE(B2762),Client_List!$A:$A,0)),""))</f>
        <v/>
      </c>
      <c r="F2762" s="53">
        <f>IF(B2762="","",IFERROR(INDEX(Client_List!$D:$D,MATCH(VALUE(B2762),Client_List!$A:$A,0)),""))</f>
        <v/>
      </c>
      <c r="G2762" s="53">
        <f>IF(B2762="","",IFERROR(INDEX(Client_List!$K:$K,MATCH(VALUE(B2762),Client_List!$A:$A,0)),""))</f>
        <v/>
      </c>
      <c r="H2762" s="32">
        <f>IF(B2762="","",IFERROR(INDEX(Client_List!$J:$J,MATCH(VALUE(B2762),Client_List!$A:$A,0)),""))</f>
        <v/>
      </c>
      <c r="I2762" s="70">
        <f>IF(B2762="","",IFERROR(A2762-LOOKUP(2,1/($B$4:$B2761=B2762),$A$4:$A2761),""))</f>
        <v/>
      </c>
      <c r="J2762" s="32">
        <f>IF(B2762="","",IFERROR(D2762/I2762,""))</f>
        <v/>
      </c>
      <c r="K2762" s="71">
        <f>IF(B2762="","",IFERROR(AVERAGEIFS($J$4:$J2762,$B$4:$B2762,B2762,$J$4:$J2762,"&gt;"&amp;0),""))</f>
        <v/>
      </c>
      <c r="L2762" s="12" t="n"/>
    </row>
    <row r="2763" ht="14" customHeight="1" s="72">
      <c r="A2763" s="82" t="n"/>
      <c r="B2763" s="79" t="n"/>
      <c r="C2763" s="69">
        <f>IF(B2763="","",IFERROR(INDEX(Client_List!$B:$B,MATCH(B2763,Client_List!$A:$A,0)),"⚠ NOT FOUND"))</f>
        <v/>
      </c>
      <c r="D2763" s="44" t="n"/>
      <c r="E2763" s="32">
        <f>IF(B2763="","",IFERROR(INDEX(Client_List!$C:$C,MATCH(VALUE(B2763),Client_List!$A:$A,0)),""))</f>
        <v/>
      </c>
      <c r="F2763" s="53">
        <f>IF(B2763="","",IFERROR(INDEX(Client_List!$D:$D,MATCH(VALUE(B2763),Client_List!$A:$A,0)),""))</f>
        <v/>
      </c>
      <c r="G2763" s="53">
        <f>IF(B2763="","",IFERROR(INDEX(Client_List!$K:$K,MATCH(VALUE(B2763),Client_List!$A:$A,0)),""))</f>
        <v/>
      </c>
      <c r="H2763" s="32">
        <f>IF(B2763="","",IFERROR(INDEX(Client_List!$J:$J,MATCH(VALUE(B2763),Client_List!$A:$A,0)),""))</f>
        <v/>
      </c>
      <c r="I2763" s="70">
        <f>IF(B2763="","",IFERROR(A2763-LOOKUP(2,1/($B$4:$B2762=B2763),$A$4:$A2762),""))</f>
        <v/>
      </c>
      <c r="J2763" s="32">
        <f>IF(B2763="","",IFERROR(D2763/I2763,""))</f>
        <v/>
      </c>
      <c r="K2763" s="71">
        <f>IF(B2763="","",IFERROR(AVERAGEIFS($J$4:$J2763,$B$4:$B2763,B2763,$J$4:$J2763,"&gt;"&amp;0),""))</f>
        <v/>
      </c>
      <c r="L2763" s="11" t="n"/>
    </row>
    <row r="2764" ht="14" customHeight="1" s="72">
      <c r="A2764" s="83" t="n"/>
      <c r="B2764" s="81" t="n"/>
      <c r="C2764" s="69">
        <f>IF(B2764="","",IFERROR(INDEX(Client_List!$B:$B,MATCH(B2764,Client_List!$A:$A,0)),"⚠ NOT FOUND"))</f>
        <v/>
      </c>
      <c r="D2764" s="45" t="n"/>
      <c r="E2764" s="32">
        <f>IF(B2764="","",IFERROR(INDEX(Client_List!$C:$C,MATCH(VALUE(B2764),Client_List!$A:$A,0)),""))</f>
        <v/>
      </c>
      <c r="F2764" s="53">
        <f>IF(B2764="","",IFERROR(INDEX(Client_List!$D:$D,MATCH(VALUE(B2764),Client_List!$A:$A,0)),""))</f>
        <v/>
      </c>
      <c r="G2764" s="53">
        <f>IF(B2764="","",IFERROR(INDEX(Client_List!$K:$K,MATCH(VALUE(B2764),Client_List!$A:$A,0)),""))</f>
        <v/>
      </c>
      <c r="H2764" s="32">
        <f>IF(B2764="","",IFERROR(INDEX(Client_List!$J:$J,MATCH(VALUE(B2764),Client_List!$A:$A,0)),""))</f>
        <v/>
      </c>
      <c r="I2764" s="70">
        <f>IF(B2764="","",IFERROR(A2764-LOOKUP(2,1/($B$4:$B2763=B2764),$A$4:$A2763),""))</f>
        <v/>
      </c>
      <c r="J2764" s="32">
        <f>IF(B2764="","",IFERROR(D2764/I2764,""))</f>
        <v/>
      </c>
      <c r="K2764" s="71">
        <f>IF(B2764="","",IFERROR(AVERAGEIFS($J$4:$J2764,$B$4:$B2764,B2764,$J$4:$J2764,"&gt;"&amp;0),""))</f>
        <v/>
      </c>
      <c r="L2764" s="12" t="n"/>
    </row>
    <row r="2765" ht="14" customHeight="1" s="72">
      <c r="A2765" s="82" t="n"/>
      <c r="B2765" s="79" t="n"/>
      <c r="C2765" s="69">
        <f>IF(B2765="","",IFERROR(INDEX(Client_List!$B:$B,MATCH(B2765,Client_List!$A:$A,0)),"⚠ NOT FOUND"))</f>
        <v/>
      </c>
      <c r="D2765" s="44" t="n"/>
      <c r="E2765" s="32">
        <f>IF(B2765="","",IFERROR(INDEX(Client_List!$C:$C,MATCH(VALUE(B2765),Client_List!$A:$A,0)),""))</f>
        <v/>
      </c>
      <c r="F2765" s="53">
        <f>IF(B2765="","",IFERROR(INDEX(Client_List!$D:$D,MATCH(VALUE(B2765),Client_List!$A:$A,0)),""))</f>
        <v/>
      </c>
      <c r="G2765" s="53">
        <f>IF(B2765="","",IFERROR(INDEX(Client_List!$K:$K,MATCH(VALUE(B2765),Client_List!$A:$A,0)),""))</f>
        <v/>
      </c>
      <c r="H2765" s="32">
        <f>IF(B2765="","",IFERROR(INDEX(Client_List!$J:$J,MATCH(VALUE(B2765),Client_List!$A:$A,0)),""))</f>
        <v/>
      </c>
      <c r="I2765" s="70">
        <f>IF(B2765="","",IFERROR(A2765-LOOKUP(2,1/($B$4:$B2764=B2765),$A$4:$A2764),""))</f>
        <v/>
      </c>
      <c r="J2765" s="32">
        <f>IF(B2765="","",IFERROR(D2765/I2765,""))</f>
        <v/>
      </c>
      <c r="K2765" s="71">
        <f>IF(B2765="","",IFERROR(AVERAGEIFS($J$4:$J2765,$B$4:$B2765,B2765,$J$4:$J2765,"&gt;"&amp;0),""))</f>
        <v/>
      </c>
      <c r="L2765" s="11" t="n"/>
    </row>
    <row r="2766" ht="14" customHeight="1" s="72">
      <c r="A2766" s="83" t="n"/>
      <c r="B2766" s="81" t="n"/>
      <c r="C2766" s="69">
        <f>IF(B2766="","",IFERROR(INDEX(Client_List!$B:$B,MATCH(B2766,Client_List!$A:$A,0)),"⚠ NOT FOUND"))</f>
        <v/>
      </c>
      <c r="D2766" s="45" t="n"/>
      <c r="E2766" s="32">
        <f>IF(B2766="","",IFERROR(INDEX(Client_List!$C:$C,MATCH(VALUE(B2766),Client_List!$A:$A,0)),""))</f>
        <v/>
      </c>
      <c r="F2766" s="53">
        <f>IF(B2766="","",IFERROR(INDEX(Client_List!$D:$D,MATCH(VALUE(B2766),Client_List!$A:$A,0)),""))</f>
        <v/>
      </c>
      <c r="G2766" s="53">
        <f>IF(B2766="","",IFERROR(INDEX(Client_List!$K:$K,MATCH(VALUE(B2766),Client_List!$A:$A,0)),""))</f>
        <v/>
      </c>
      <c r="H2766" s="32">
        <f>IF(B2766="","",IFERROR(INDEX(Client_List!$J:$J,MATCH(VALUE(B2766),Client_List!$A:$A,0)),""))</f>
        <v/>
      </c>
      <c r="I2766" s="70">
        <f>IF(B2766="","",IFERROR(A2766-LOOKUP(2,1/($B$4:$B2765=B2766),$A$4:$A2765),""))</f>
        <v/>
      </c>
      <c r="J2766" s="32">
        <f>IF(B2766="","",IFERROR(D2766/I2766,""))</f>
        <v/>
      </c>
      <c r="K2766" s="71">
        <f>IF(B2766="","",IFERROR(AVERAGEIFS($J$4:$J2766,$B$4:$B2766,B2766,$J$4:$J2766,"&gt;"&amp;0),""))</f>
        <v/>
      </c>
      <c r="L2766" s="12" t="n"/>
    </row>
    <row r="2767" ht="14" customHeight="1" s="72">
      <c r="A2767" s="82" t="n"/>
      <c r="B2767" s="79" t="n"/>
      <c r="C2767" s="69">
        <f>IF(B2767="","",IFERROR(INDEX(Client_List!$B:$B,MATCH(B2767,Client_List!$A:$A,0)),"⚠ NOT FOUND"))</f>
        <v/>
      </c>
      <c r="D2767" s="44" t="n"/>
      <c r="E2767" s="32">
        <f>IF(B2767="","",IFERROR(INDEX(Client_List!$C:$C,MATCH(VALUE(B2767),Client_List!$A:$A,0)),""))</f>
        <v/>
      </c>
      <c r="F2767" s="53">
        <f>IF(B2767="","",IFERROR(INDEX(Client_List!$D:$D,MATCH(VALUE(B2767),Client_List!$A:$A,0)),""))</f>
        <v/>
      </c>
      <c r="G2767" s="53">
        <f>IF(B2767="","",IFERROR(INDEX(Client_List!$K:$K,MATCH(VALUE(B2767),Client_List!$A:$A,0)),""))</f>
        <v/>
      </c>
      <c r="H2767" s="32">
        <f>IF(B2767="","",IFERROR(INDEX(Client_List!$J:$J,MATCH(VALUE(B2767),Client_List!$A:$A,0)),""))</f>
        <v/>
      </c>
      <c r="I2767" s="70">
        <f>IF(B2767="","",IFERROR(A2767-LOOKUP(2,1/($B$4:$B2766=B2767),$A$4:$A2766),""))</f>
        <v/>
      </c>
      <c r="J2767" s="32">
        <f>IF(B2767="","",IFERROR(D2767/I2767,""))</f>
        <v/>
      </c>
      <c r="K2767" s="71">
        <f>IF(B2767="","",IFERROR(AVERAGEIFS($J$4:$J2767,$B$4:$B2767,B2767,$J$4:$J2767,"&gt;"&amp;0),""))</f>
        <v/>
      </c>
      <c r="L2767" s="11" t="n"/>
    </row>
    <row r="2768" ht="14" customHeight="1" s="72">
      <c r="A2768" s="83" t="n"/>
      <c r="B2768" s="81" t="n"/>
      <c r="C2768" s="69">
        <f>IF(B2768="","",IFERROR(INDEX(Client_List!$B:$B,MATCH(B2768,Client_List!$A:$A,0)),"⚠ NOT FOUND"))</f>
        <v/>
      </c>
      <c r="D2768" s="45" t="n"/>
      <c r="E2768" s="32">
        <f>IF(B2768="","",IFERROR(INDEX(Client_List!$C:$C,MATCH(VALUE(B2768),Client_List!$A:$A,0)),""))</f>
        <v/>
      </c>
      <c r="F2768" s="53">
        <f>IF(B2768="","",IFERROR(INDEX(Client_List!$D:$D,MATCH(VALUE(B2768),Client_List!$A:$A,0)),""))</f>
        <v/>
      </c>
      <c r="G2768" s="53">
        <f>IF(B2768="","",IFERROR(INDEX(Client_List!$K:$K,MATCH(VALUE(B2768),Client_List!$A:$A,0)),""))</f>
        <v/>
      </c>
      <c r="H2768" s="32">
        <f>IF(B2768="","",IFERROR(INDEX(Client_List!$J:$J,MATCH(VALUE(B2768),Client_List!$A:$A,0)),""))</f>
        <v/>
      </c>
      <c r="I2768" s="70">
        <f>IF(B2768="","",IFERROR(A2768-LOOKUP(2,1/($B$4:$B2767=B2768),$A$4:$A2767),""))</f>
        <v/>
      </c>
      <c r="J2768" s="32">
        <f>IF(B2768="","",IFERROR(D2768/I2768,""))</f>
        <v/>
      </c>
      <c r="K2768" s="71">
        <f>IF(B2768="","",IFERROR(AVERAGEIFS($J$4:$J2768,$B$4:$B2768,B2768,$J$4:$J2768,"&gt;"&amp;0),""))</f>
        <v/>
      </c>
      <c r="L2768" s="12" t="n"/>
    </row>
    <row r="2769" ht="14" customHeight="1" s="72">
      <c r="A2769" s="82" t="n"/>
      <c r="B2769" s="79" t="n"/>
      <c r="C2769" s="69">
        <f>IF(B2769="","",IFERROR(INDEX(Client_List!$B:$B,MATCH(B2769,Client_List!$A:$A,0)),"⚠ NOT FOUND"))</f>
        <v/>
      </c>
      <c r="D2769" s="44" t="n"/>
      <c r="E2769" s="32">
        <f>IF(B2769="","",IFERROR(INDEX(Client_List!$C:$C,MATCH(VALUE(B2769),Client_List!$A:$A,0)),""))</f>
        <v/>
      </c>
      <c r="F2769" s="53">
        <f>IF(B2769="","",IFERROR(INDEX(Client_List!$D:$D,MATCH(VALUE(B2769),Client_List!$A:$A,0)),""))</f>
        <v/>
      </c>
      <c r="G2769" s="53">
        <f>IF(B2769="","",IFERROR(INDEX(Client_List!$K:$K,MATCH(VALUE(B2769),Client_List!$A:$A,0)),""))</f>
        <v/>
      </c>
      <c r="H2769" s="32">
        <f>IF(B2769="","",IFERROR(INDEX(Client_List!$J:$J,MATCH(VALUE(B2769),Client_List!$A:$A,0)),""))</f>
        <v/>
      </c>
      <c r="I2769" s="70">
        <f>IF(B2769="","",IFERROR(A2769-LOOKUP(2,1/($B$4:$B2768=B2769),$A$4:$A2768),""))</f>
        <v/>
      </c>
      <c r="J2769" s="32">
        <f>IF(B2769="","",IFERROR(D2769/I2769,""))</f>
        <v/>
      </c>
      <c r="K2769" s="71">
        <f>IF(B2769="","",IFERROR(AVERAGEIFS($J$4:$J2769,$B$4:$B2769,B2769,$J$4:$J2769,"&gt;"&amp;0),""))</f>
        <v/>
      </c>
      <c r="L2769" s="11" t="n"/>
    </row>
    <row r="2770" ht="14" customHeight="1" s="72">
      <c r="A2770" s="83" t="n"/>
      <c r="B2770" s="81" t="n"/>
      <c r="C2770" s="69">
        <f>IF(B2770="","",IFERROR(INDEX(Client_List!$B:$B,MATCH(B2770,Client_List!$A:$A,0)),"⚠ NOT FOUND"))</f>
        <v/>
      </c>
      <c r="D2770" s="45" t="n"/>
      <c r="E2770" s="32">
        <f>IF(B2770="","",IFERROR(INDEX(Client_List!$C:$C,MATCH(VALUE(B2770),Client_List!$A:$A,0)),""))</f>
        <v/>
      </c>
      <c r="F2770" s="53">
        <f>IF(B2770="","",IFERROR(INDEX(Client_List!$D:$D,MATCH(VALUE(B2770),Client_List!$A:$A,0)),""))</f>
        <v/>
      </c>
      <c r="G2770" s="53">
        <f>IF(B2770="","",IFERROR(INDEX(Client_List!$K:$K,MATCH(VALUE(B2770),Client_List!$A:$A,0)),""))</f>
        <v/>
      </c>
      <c r="H2770" s="32">
        <f>IF(B2770="","",IFERROR(INDEX(Client_List!$J:$J,MATCH(VALUE(B2770),Client_List!$A:$A,0)),""))</f>
        <v/>
      </c>
      <c r="I2770" s="70">
        <f>IF(B2770="","",IFERROR(A2770-LOOKUP(2,1/($B$4:$B2769=B2770),$A$4:$A2769),""))</f>
        <v/>
      </c>
      <c r="J2770" s="32">
        <f>IF(B2770="","",IFERROR(D2770/I2770,""))</f>
        <v/>
      </c>
      <c r="K2770" s="71">
        <f>IF(B2770="","",IFERROR(AVERAGEIFS($J$4:$J2770,$B$4:$B2770,B2770,$J$4:$J2770,"&gt;"&amp;0),""))</f>
        <v/>
      </c>
      <c r="L2770" s="12" t="n"/>
    </row>
    <row r="2771" ht="14" customHeight="1" s="72">
      <c r="A2771" s="82" t="n"/>
      <c r="B2771" s="79" t="n"/>
      <c r="C2771" s="69">
        <f>IF(B2771="","",IFERROR(INDEX(Client_List!$B:$B,MATCH(B2771,Client_List!$A:$A,0)),"⚠ NOT FOUND"))</f>
        <v/>
      </c>
      <c r="D2771" s="44" t="n"/>
      <c r="E2771" s="32">
        <f>IF(B2771="","",IFERROR(INDEX(Client_List!$C:$C,MATCH(VALUE(B2771),Client_List!$A:$A,0)),""))</f>
        <v/>
      </c>
      <c r="F2771" s="53">
        <f>IF(B2771="","",IFERROR(INDEX(Client_List!$D:$D,MATCH(VALUE(B2771),Client_List!$A:$A,0)),""))</f>
        <v/>
      </c>
      <c r="G2771" s="53">
        <f>IF(B2771="","",IFERROR(INDEX(Client_List!$K:$K,MATCH(VALUE(B2771),Client_List!$A:$A,0)),""))</f>
        <v/>
      </c>
      <c r="H2771" s="32">
        <f>IF(B2771="","",IFERROR(INDEX(Client_List!$J:$J,MATCH(VALUE(B2771),Client_List!$A:$A,0)),""))</f>
        <v/>
      </c>
      <c r="I2771" s="70">
        <f>IF(B2771="","",IFERROR(A2771-LOOKUP(2,1/($B$4:$B2770=B2771),$A$4:$A2770),""))</f>
        <v/>
      </c>
      <c r="J2771" s="32">
        <f>IF(B2771="","",IFERROR(D2771/I2771,""))</f>
        <v/>
      </c>
      <c r="K2771" s="71">
        <f>IF(B2771="","",IFERROR(AVERAGEIFS($J$4:$J2771,$B$4:$B2771,B2771,$J$4:$J2771,"&gt;"&amp;0),""))</f>
        <v/>
      </c>
      <c r="L2771" s="11" t="n"/>
    </row>
    <row r="2772" ht="14" customHeight="1" s="72">
      <c r="A2772" s="83" t="n"/>
      <c r="B2772" s="81" t="n"/>
      <c r="C2772" s="69">
        <f>IF(B2772="","",IFERROR(INDEX(Client_List!$B:$B,MATCH(B2772,Client_List!$A:$A,0)),"⚠ NOT FOUND"))</f>
        <v/>
      </c>
      <c r="D2772" s="45" t="n"/>
      <c r="E2772" s="32">
        <f>IF(B2772="","",IFERROR(INDEX(Client_List!$C:$C,MATCH(VALUE(B2772),Client_List!$A:$A,0)),""))</f>
        <v/>
      </c>
      <c r="F2772" s="53">
        <f>IF(B2772="","",IFERROR(INDEX(Client_List!$D:$D,MATCH(VALUE(B2772),Client_List!$A:$A,0)),""))</f>
        <v/>
      </c>
      <c r="G2772" s="53">
        <f>IF(B2772="","",IFERROR(INDEX(Client_List!$K:$K,MATCH(VALUE(B2772),Client_List!$A:$A,0)),""))</f>
        <v/>
      </c>
      <c r="H2772" s="32">
        <f>IF(B2772="","",IFERROR(INDEX(Client_List!$J:$J,MATCH(VALUE(B2772),Client_List!$A:$A,0)),""))</f>
        <v/>
      </c>
      <c r="I2772" s="70">
        <f>IF(B2772="","",IFERROR(A2772-LOOKUP(2,1/($B$4:$B2771=B2772),$A$4:$A2771),""))</f>
        <v/>
      </c>
      <c r="J2772" s="32">
        <f>IF(B2772="","",IFERROR(D2772/I2772,""))</f>
        <v/>
      </c>
      <c r="K2772" s="71">
        <f>IF(B2772="","",IFERROR(AVERAGEIFS($J$4:$J2772,$B$4:$B2772,B2772,$J$4:$J2772,"&gt;"&amp;0),""))</f>
        <v/>
      </c>
      <c r="L2772" s="12" t="n"/>
    </row>
    <row r="2773" ht="14" customHeight="1" s="72">
      <c r="A2773" s="82" t="n"/>
      <c r="B2773" s="79" t="n"/>
      <c r="C2773" s="69">
        <f>IF(B2773="","",IFERROR(INDEX(Client_List!$B:$B,MATCH(B2773,Client_List!$A:$A,0)),"⚠ NOT FOUND"))</f>
        <v/>
      </c>
      <c r="D2773" s="44" t="n"/>
      <c r="E2773" s="32">
        <f>IF(B2773="","",IFERROR(INDEX(Client_List!$C:$C,MATCH(VALUE(B2773),Client_List!$A:$A,0)),""))</f>
        <v/>
      </c>
      <c r="F2773" s="53">
        <f>IF(B2773="","",IFERROR(INDEX(Client_List!$D:$D,MATCH(VALUE(B2773),Client_List!$A:$A,0)),""))</f>
        <v/>
      </c>
      <c r="G2773" s="53">
        <f>IF(B2773="","",IFERROR(INDEX(Client_List!$K:$K,MATCH(VALUE(B2773),Client_List!$A:$A,0)),""))</f>
        <v/>
      </c>
      <c r="H2773" s="32">
        <f>IF(B2773="","",IFERROR(INDEX(Client_List!$J:$J,MATCH(VALUE(B2773),Client_List!$A:$A,0)),""))</f>
        <v/>
      </c>
      <c r="I2773" s="70">
        <f>IF(B2773="","",IFERROR(A2773-LOOKUP(2,1/($B$4:$B2772=B2773),$A$4:$A2772),""))</f>
        <v/>
      </c>
      <c r="J2773" s="32">
        <f>IF(B2773="","",IFERROR(D2773/I2773,""))</f>
        <v/>
      </c>
      <c r="K2773" s="71">
        <f>IF(B2773="","",IFERROR(AVERAGEIFS($J$4:$J2773,$B$4:$B2773,B2773,$J$4:$J2773,"&gt;"&amp;0),""))</f>
        <v/>
      </c>
      <c r="L2773" s="11" t="n"/>
    </row>
    <row r="2774" ht="14" customHeight="1" s="72">
      <c r="A2774" s="83" t="n"/>
      <c r="B2774" s="81" t="n"/>
      <c r="C2774" s="69">
        <f>IF(B2774="","",IFERROR(INDEX(Client_List!$B:$B,MATCH(B2774,Client_List!$A:$A,0)),"⚠ NOT FOUND"))</f>
        <v/>
      </c>
      <c r="D2774" s="45" t="n"/>
      <c r="E2774" s="32">
        <f>IF(B2774="","",IFERROR(INDEX(Client_List!$C:$C,MATCH(VALUE(B2774),Client_List!$A:$A,0)),""))</f>
        <v/>
      </c>
      <c r="F2774" s="53">
        <f>IF(B2774="","",IFERROR(INDEX(Client_List!$D:$D,MATCH(VALUE(B2774),Client_List!$A:$A,0)),""))</f>
        <v/>
      </c>
      <c r="G2774" s="53">
        <f>IF(B2774="","",IFERROR(INDEX(Client_List!$K:$K,MATCH(VALUE(B2774),Client_List!$A:$A,0)),""))</f>
        <v/>
      </c>
      <c r="H2774" s="32">
        <f>IF(B2774="","",IFERROR(INDEX(Client_List!$J:$J,MATCH(VALUE(B2774),Client_List!$A:$A,0)),""))</f>
        <v/>
      </c>
      <c r="I2774" s="70">
        <f>IF(B2774="","",IFERROR(A2774-LOOKUP(2,1/($B$4:$B2773=B2774),$A$4:$A2773),""))</f>
        <v/>
      </c>
      <c r="J2774" s="32">
        <f>IF(B2774="","",IFERROR(D2774/I2774,""))</f>
        <v/>
      </c>
      <c r="K2774" s="71">
        <f>IF(B2774="","",IFERROR(AVERAGEIFS($J$4:$J2774,$B$4:$B2774,B2774,$J$4:$J2774,"&gt;"&amp;0),""))</f>
        <v/>
      </c>
      <c r="L2774" s="12" t="n"/>
    </row>
    <row r="2775" ht="14" customHeight="1" s="72">
      <c r="A2775" s="82" t="n"/>
      <c r="B2775" s="79" t="n"/>
      <c r="C2775" s="69">
        <f>IF(B2775="","",IFERROR(INDEX(Client_List!$B:$B,MATCH(B2775,Client_List!$A:$A,0)),"⚠ NOT FOUND"))</f>
        <v/>
      </c>
      <c r="D2775" s="44" t="n"/>
      <c r="E2775" s="32">
        <f>IF(B2775="","",IFERROR(INDEX(Client_List!$C:$C,MATCH(VALUE(B2775),Client_List!$A:$A,0)),""))</f>
        <v/>
      </c>
      <c r="F2775" s="53">
        <f>IF(B2775="","",IFERROR(INDEX(Client_List!$D:$D,MATCH(VALUE(B2775),Client_List!$A:$A,0)),""))</f>
        <v/>
      </c>
      <c r="G2775" s="53">
        <f>IF(B2775="","",IFERROR(INDEX(Client_List!$K:$K,MATCH(VALUE(B2775),Client_List!$A:$A,0)),""))</f>
        <v/>
      </c>
      <c r="H2775" s="32">
        <f>IF(B2775="","",IFERROR(INDEX(Client_List!$J:$J,MATCH(VALUE(B2775),Client_List!$A:$A,0)),""))</f>
        <v/>
      </c>
      <c r="I2775" s="70">
        <f>IF(B2775="","",IFERROR(A2775-LOOKUP(2,1/($B$4:$B2774=B2775),$A$4:$A2774),""))</f>
        <v/>
      </c>
      <c r="J2775" s="32">
        <f>IF(B2775="","",IFERROR(D2775/I2775,""))</f>
        <v/>
      </c>
      <c r="K2775" s="71">
        <f>IF(B2775="","",IFERROR(AVERAGEIFS($J$4:$J2775,$B$4:$B2775,B2775,$J$4:$J2775,"&gt;"&amp;0),""))</f>
        <v/>
      </c>
      <c r="L2775" s="11" t="n"/>
    </row>
    <row r="2776" ht="14" customHeight="1" s="72">
      <c r="A2776" s="83" t="n"/>
      <c r="B2776" s="81" t="n"/>
      <c r="C2776" s="69">
        <f>IF(B2776="","",IFERROR(INDEX(Client_List!$B:$B,MATCH(B2776,Client_List!$A:$A,0)),"⚠ NOT FOUND"))</f>
        <v/>
      </c>
      <c r="D2776" s="45" t="n"/>
      <c r="E2776" s="32">
        <f>IF(B2776="","",IFERROR(INDEX(Client_List!$C:$C,MATCH(VALUE(B2776),Client_List!$A:$A,0)),""))</f>
        <v/>
      </c>
      <c r="F2776" s="53">
        <f>IF(B2776="","",IFERROR(INDEX(Client_List!$D:$D,MATCH(VALUE(B2776),Client_List!$A:$A,0)),""))</f>
        <v/>
      </c>
      <c r="G2776" s="53">
        <f>IF(B2776="","",IFERROR(INDEX(Client_List!$K:$K,MATCH(VALUE(B2776),Client_List!$A:$A,0)),""))</f>
        <v/>
      </c>
      <c r="H2776" s="32">
        <f>IF(B2776="","",IFERROR(INDEX(Client_List!$J:$J,MATCH(VALUE(B2776),Client_List!$A:$A,0)),""))</f>
        <v/>
      </c>
      <c r="I2776" s="70">
        <f>IF(B2776="","",IFERROR(A2776-LOOKUP(2,1/($B$4:$B2775=B2776),$A$4:$A2775),""))</f>
        <v/>
      </c>
      <c r="J2776" s="32">
        <f>IF(B2776="","",IFERROR(D2776/I2776,""))</f>
        <v/>
      </c>
      <c r="K2776" s="71">
        <f>IF(B2776="","",IFERROR(AVERAGEIFS($J$4:$J2776,$B$4:$B2776,B2776,$J$4:$J2776,"&gt;"&amp;0),""))</f>
        <v/>
      </c>
      <c r="L2776" s="12" t="n"/>
    </row>
    <row r="2777" ht="14" customHeight="1" s="72">
      <c r="A2777" s="82" t="n"/>
      <c r="B2777" s="79" t="n"/>
      <c r="C2777" s="69">
        <f>IF(B2777="","",IFERROR(INDEX(Client_List!$B:$B,MATCH(B2777,Client_List!$A:$A,0)),"⚠ NOT FOUND"))</f>
        <v/>
      </c>
      <c r="D2777" s="44" t="n"/>
      <c r="E2777" s="32">
        <f>IF(B2777="","",IFERROR(INDEX(Client_List!$C:$C,MATCH(VALUE(B2777),Client_List!$A:$A,0)),""))</f>
        <v/>
      </c>
      <c r="F2777" s="53">
        <f>IF(B2777="","",IFERROR(INDEX(Client_List!$D:$D,MATCH(VALUE(B2777),Client_List!$A:$A,0)),""))</f>
        <v/>
      </c>
      <c r="G2777" s="53">
        <f>IF(B2777="","",IFERROR(INDEX(Client_List!$K:$K,MATCH(VALUE(B2777),Client_List!$A:$A,0)),""))</f>
        <v/>
      </c>
      <c r="H2777" s="32">
        <f>IF(B2777="","",IFERROR(INDEX(Client_List!$J:$J,MATCH(VALUE(B2777),Client_List!$A:$A,0)),""))</f>
        <v/>
      </c>
      <c r="I2777" s="70">
        <f>IF(B2777="","",IFERROR(A2777-LOOKUP(2,1/($B$4:$B2776=B2777),$A$4:$A2776),""))</f>
        <v/>
      </c>
      <c r="J2777" s="32">
        <f>IF(B2777="","",IFERROR(D2777/I2777,""))</f>
        <v/>
      </c>
      <c r="K2777" s="71">
        <f>IF(B2777="","",IFERROR(AVERAGEIFS($J$4:$J2777,$B$4:$B2777,B2777,$J$4:$J2777,"&gt;"&amp;0),""))</f>
        <v/>
      </c>
      <c r="L2777" s="11" t="n"/>
    </row>
    <row r="2778" ht="14" customHeight="1" s="72">
      <c r="A2778" s="83" t="n"/>
      <c r="B2778" s="81" t="n"/>
      <c r="C2778" s="69">
        <f>IF(B2778="","",IFERROR(INDEX(Client_List!$B:$B,MATCH(B2778,Client_List!$A:$A,0)),"⚠ NOT FOUND"))</f>
        <v/>
      </c>
      <c r="D2778" s="45" t="n"/>
      <c r="E2778" s="32">
        <f>IF(B2778="","",IFERROR(INDEX(Client_List!$C:$C,MATCH(VALUE(B2778),Client_List!$A:$A,0)),""))</f>
        <v/>
      </c>
      <c r="F2778" s="53">
        <f>IF(B2778="","",IFERROR(INDEX(Client_List!$D:$D,MATCH(VALUE(B2778),Client_List!$A:$A,0)),""))</f>
        <v/>
      </c>
      <c r="G2778" s="53">
        <f>IF(B2778="","",IFERROR(INDEX(Client_List!$K:$K,MATCH(VALUE(B2778),Client_List!$A:$A,0)),""))</f>
        <v/>
      </c>
      <c r="H2778" s="32">
        <f>IF(B2778="","",IFERROR(INDEX(Client_List!$J:$J,MATCH(VALUE(B2778),Client_List!$A:$A,0)),""))</f>
        <v/>
      </c>
      <c r="I2778" s="70">
        <f>IF(B2778="","",IFERROR(A2778-LOOKUP(2,1/($B$4:$B2777=B2778),$A$4:$A2777),""))</f>
        <v/>
      </c>
      <c r="J2778" s="32">
        <f>IF(B2778="","",IFERROR(D2778/I2778,""))</f>
        <v/>
      </c>
      <c r="K2778" s="71">
        <f>IF(B2778="","",IFERROR(AVERAGEIFS($J$4:$J2778,$B$4:$B2778,B2778,$J$4:$J2778,"&gt;"&amp;0),""))</f>
        <v/>
      </c>
      <c r="L2778" s="12" t="n"/>
    </row>
    <row r="2779" ht="14" customHeight="1" s="72">
      <c r="A2779" s="82" t="n"/>
      <c r="B2779" s="79" t="n"/>
      <c r="C2779" s="69">
        <f>IF(B2779="","",IFERROR(INDEX(Client_List!$B:$B,MATCH(B2779,Client_List!$A:$A,0)),"⚠ NOT FOUND"))</f>
        <v/>
      </c>
      <c r="D2779" s="44" t="n"/>
      <c r="E2779" s="32">
        <f>IF(B2779="","",IFERROR(INDEX(Client_List!$C:$C,MATCH(VALUE(B2779),Client_List!$A:$A,0)),""))</f>
        <v/>
      </c>
      <c r="F2779" s="53">
        <f>IF(B2779="","",IFERROR(INDEX(Client_List!$D:$D,MATCH(VALUE(B2779),Client_List!$A:$A,0)),""))</f>
        <v/>
      </c>
      <c r="G2779" s="53">
        <f>IF(B2779="","",IFERROR(INDEX(Client_List!$K:$K,MATCH(VALUE(B2779),Client_List!$A:$A,0)),""))</f>
        <v/>
      </c>
      <c r="H2779" s="32">
        <f>IF(B2779="","",IFERROR(INDEX(Client_List!$J:$J,MATCH(VALUE(B2779),Client_List!$A:$A,0)),""))</f>
        <v/>
      </c>
      <c r="I2779" s="70">
        <f>IF(B2779="","",IFERROR(A2779-LOOKUP(2,1/($B$4:$B2778=B2779),$A$4:$A2778),""))</f>
        <v/>
      </c>
      <c r="J2779" s="32">
        <f>IF(B2779="","",IFERROR(D2779/I2779,""))</f>
        <v/>
      </c>
      <c r="K2779" s="71">
        <f>IF(B2779="","",IFERROR(AVERAGEIFS($J$4:$J2779,$B$4:$B2779,B2779,$J$4:$J2779,"&gt;"&amp;0),""))</f>
        <v/>
      </c>
      <c r="L2779" s="11" t="n"/>
    </row>
    <row r="2780" ht="14" customHeight="1" s="72">
      <c r="A2780" s="83" t="n"/>
      <c r="B2780" s="81" t="n"/>
      <c r="C2780" s="69">
        <f>IF(B2780="","",IFERROR(INDEX(Client_List!$B:$B,MATCH(B2780,Client_List!$A:$A,0)),"⚠ NOT FOUND"))</f>
        <v/>
      </c>
      <c r="D2780" s="45" t="n"/>
      <c r="E2780" s="32">
        <f>IF(B2780="","",IFERROR(INDEX(Client_List!$C:$C,MATCH(VALUE(B2780),Client_List!$A:$A,0)),""))</f>
        <v/>
      </c>
      <c r="F2780" s="53">
        <f>IF(B2780="","",IFERROR(INDEX(Client_List!$D:$D,MATCH(VALUE(B2780),Client_List!$A:$A,0)),""))</f>
        <v/>
      </c>
      <c r="G2780" s="53">
        <f>IF(B2780="","",IFERROR(INDEX(Client_List!$K:$K,MATCH(VALUE(B2780),Client_List!$A:$A,0)),""))</f>
        <v/>
      </c>
      <c r="H2780" s="32">
        <f>IF(B2780="","",IFERROR(INDEX(Client_List!$J:$J,MATCH(VALUE(B2780),Client_List!$A:$A,0)),""))</f>
        <v/>
      </c>
      <c r="I2780" s="70">
        <f>IF(B2780="","",IFERROR(A2780-LOOKUP(2,1/($B$4:$B2779=B2780),$A$4:$A2779),""))</f>
        <v/>
      </c>
      <c r="J2780" s="32">
        <f>IF(B2780="","",IFERROR(D2780/I2780,""))</f>
        <v/>
      </c>
      <c r="K2780" s="71">
        <f>IF(B2780="","",IFERROR(AVERAGEIFS($J$4:$J2780,$B$4:$B2780,B2780,$J$4:$J2780,"&gt;"&amp;0),""))</f>
        <v/>
      </c>
      <c r="L2780" s="12" t="n"/>
    </row>
    <row r="2781" ht="14" customHeight="1" s="72">
      <c r="A2781" s="82" t="n"/>
      <c r="B2781" s="79" t="n"/>
      <c r="C2781" s="69">
        <f>IF(B2781="","",IFERROR(INDEX(Client_List!$B:$B,MATCH(B2781,Client_List!$A:$A,0)),"⚠ NOT FOUND"))</f>
        <v/>
      </c>
      <c r="D2781" s="44" t="n"/>
      <c r="E2781" s="32">
        <f>IF(B2781="","",IFERROR(INDEX(Client_List!$C:$C,MATCH(VALUE(B2781),Client_List!$A:$A,0)),""))</f>
        <v/>
      </c>
      <c r="F2781" s="53">
        <f>IF(B2781="","",IFERROR(INDEX(Client_List!$D:$D,MATCH(VALUE(B2781),Client_List!$A:$A,0)),""))</f>
        <v/>
      </c>
      <c r="G2781" s="53">
        <f>IF(B2781="","",IFERROR(INDEX(Client_List!$K:$K,MATCH(VALUE(B2781),Client_List!$A:$A,0)),""))</f>
        <v/>
      </c>
      <c r="H2781" s="32">
        <f>IF(B2781="","",IFERROR(INDEX(Client_List!$J:$J,MATCH(VALUE(B2781),Client_List!$A:$A,0)),""))</f>
        <v/>
      </c>
      <c r="I2781" s="70">
        <f>IF(B2781="","",IFERROR(A2781-LOOKUP(2,1/($B$4:$B2780=B2781),$A$4:$A2780),""))</f>
        <v/>
      </c>
      <c r="J2781" s="32">
        <f>IF(B2781="","",IFERROR(D2781/I2781,""))</f>
        <v/>
      </c>
      <c r="K2781" s="71">
        <f>IF(B2781="","",IFERROR(AVERAGEIFS($J$4:$J2781,$B$4:$B2781,B2781,$J$4:$J2781,"&gt;"&amp;0),""))</f>
        <v/>
      </c>
      <c r="L2781" s="11" t="n"/>
    </row>
    <row r="2782" ht="14" customHeight="1" s="72">
      <c r="A2782" s="83" t="n"/>
      <c r="B2782" s="81" t="n"/>
      <c r="C2782" s="69">
        <f>IF(B2782="","",IFERROR(INDEX(Client_List!$B:$B,MATCH(B2782,Client_List!$A:$A,0)),"⚠ NOT FOUND"))</f>
        <v/>
      </c>
      <c r="D2782" s="45" t="n"/>
      <c r="E2782" s="32">
        <f>IF(B2782="","",IFERROR(INDEX(Client_List!$C:$C,MATCH(VALUE(B2782),Client_List!$A:$A,0)),""))</f>
        <v/>
      </c>
      <c r="F2782" s="53">
        <f>IF(B2782="","",IFERROR(INDEX(Client_List!$D:$D,MATCH(VALUE(B2782),Client_List!$A:$A,0)),""))</f>
        <v/>
      </c>
      <c r="G2782" s="53">
        <f>IF(B2782="","",IFERROR(INDEX(Client_List!$K:$K,MATCH(VALUE(B2782),Client_List!$A:$A,0)),""))</f>
        <v/>
      </c>
      <c r="H2782" s="32">
        <f>IF(B2782="","",IFERROR(INDEX(Client_List!$J:$J,MATCH(VALUE(B2782),Client_List!$A:$A,0)),""))</f>
        <v/>
      </c>
      <c r="I2782" s="70">
        <f>IF(B2782="","",IFERROR(A2782-LOOKUP(2,1/($B$4:$B2781=B2782),$A$4:$A2781),""))</f>
        <v/>
      </c>
      <c r="J2782" s="32">
        <f>IF(B2782="","",IFERROR(D2782/I2782,""))</f>
        <v/>
      </c>
      <c r="K2782" s="71">
        <f>IF(B2782="","",IFERROR(AVERAGEIFS($J$4:$J2782,$B$4:$B2782,B2782,$J$4:$J2782,"&gt;"&amp;0),""))</f>
        <v/>
      </c>
      <c r="L2782" s="12" t="n"/>
    </row>
    <row r="2783" ht="14" customHeight="1" s="72">
      <c r="A2783" s="82" t="n"/>
      <c r="B2783" s="79" t="n"/>
      <c r="C2783" s="69">
        <f>IF(B2783="","",IFERROR(INDEX(Client_List!$B:$B,MATCH(B2783,Client_List!$A:$A,0)),"⚠ NOT FOUND"))</f>
        <v/>
      </c>
      <c r="D2783" s="44" t="n"/>
      <c r="E2783" s="32">
        <f>IF(B2783="","",IFERROR(INDEX(Client_List!$C:$C,MATCH(VALUE(B2783),Client_List!$A:$A,0)),""))</f>
        <v/>
      </c>
      <c r="F2783" s="53">
        <f>IF(B2783="","",IFERROR(INDEX(Client_List!$D:$D,MATCH(VALUE(B2783),Client_List!$A:$A,0)),""))</f>
        <v/>
      </c>
      <c r="G2783" s="53">
        <f>IF(B2783="","",IFERROR(INDEX(Client_List!$K:$K,MATCH(VALUE(B2783),Client_List!$A:$A,0)),""))</f>
        <v/>
      </c>
      <c r="H2783" s="32">
        <f>IF(B2783="","",IFERROR(INDEX(Client_List!$J:$J,MATCH(VALUE(B2783),Client_List!$A:$A,0)),""))</f>
        <v/>
      </c>
      <c r="I2783" s="70">
        <f>IF(B2783="","",IFERROR(A2783-LOOKUP(2,1/($B$4:$B2782=B2783),$A$4:$A2782),""))</f>
        <v/>
      </c>
      <c r="J2783" s="32">
        <f>IF(B2783="","",IFERROR(D2783/I2783,""))</f>
        <v/>
      </c>
      <c r="K2783" s="71">
        <f>IF(B2783="","",IFERROR(AVERAGEIFS($J$4:$J2783,$B$4:$B2783,B2783,$J$4:$J2783,"&gt;"&amp;0),""))</f>
        <v/>
      </c>
      <c r="L2783" s="11" t="n"/>
    </row>
    <row r="2784" ht="14" customHeight="1" s="72">
      <c r="A2784" s="83" t="n"/>
      <c r="B2784" s="81" t="n"/>
      <c r="C2784" s="69">
        <f>IF(B2784="","",IFERROR(INDEX(Client_List!$B:$B,MATCH(B2784,Client_List!$A:$A,0)),"⚠ NOT FOUND"))</f>
        <v/>
      </c>
      <c r="D2784" s="45" t="n"/>
      <c r="E2784" s="32">
        <f>IF(B2784="","",IFERROR(INDEX(Client_List!$C:$C,MATCH(VALUE(B2784),Client_List!$A:$A,0)),""))</f>
        <v/>
      </c>
      <c r="F2784" s="53">
        <f>IF(B2784="","",IFERROR(INDEX(Client_List!$D:$D,MATCH(VALUE(B2784),Client_List!$A:$A,0)),""))</f>
        <v/>
      </c>
      <c r="G2784" s="53">
        <f>IF(B2784="","",IFERROR(INDEX(Client_List!$K:$K,MATCH(VALUE(B2784),Client_List!$A:$A,0)),""))</f>
        <v/>
      </c>
      <c r="H2784" s="32">
        <f>IF(B2784="","",IFERROR(INDEX(Client_List!$J:$J,MATCH(VALUE(B2784),Client_List!$A:$A,0)),""))</f>
        <v/>
      </c>
      <c r="I2784" s="70">
        <f>IF(B2784="","",IFERROR(A2784-LOOKUP(2,1/($B$4:$B2783=B2784),$A$4:$A2783),""))</f>
        <v/>
      </c>
      <c r="J2784" s="32">
        <f>IF(B2784="","",IFERROR(D2784/I2784,""))</f>
        <v/>
      </c>
      <c r="K2784" s="71">
        <f>IF(B2784="","",IFERROR(AVERAGEIFS($J$4:$J2784,$B$4:$B2784,B2784,$J$4:$J2784,"&gt;"&amp;0),""))</f>
        <v/>
      </c>
      <c r="L2784" s="12" t="n"/>
    </row>
    <row r="2785" ht="14" customHeight="1" s="72">
      <c r="A2785" s="82" t="n"/>
      <c r="B2785" s="79" t="n"/>
      <c r="C2785" s="69">
        <f>IF(B2785="","",IFERROR(INDEX(Client_List!$B:$B,MATCH(B2785,Client_List!$A:$A,0)),"⚠ NOT FOUND"))</f>
        <v/>
      </c>
      <c r="D2785" s="44" t="n"/>
      <c r="E2785" s="32">
        <f>IF(B2785="","",IFERROR(INDEX(Client_List!$C:$C,MATCH(VALUE(B2785),Client_List!$A:$A,0)),""))</f>
        <v/>
      </c>
      <c r="F2785" s="53">
        <f>IF(B2785="","",IFERROR(INDEX(Client_List!$D:$D,MATCH(VALUE(B2785),Client_List!$A:$A,0)),""))</f>
        <v/>
      </c>
      <c r="G2785" s="53">
        <f>IF(B2785="","",IFERROR(INDEX(Client_List!$K:$K,MATCH(VALUE(B2785),Client_List!$A:$A,0)),""))</f>
        <v/>
      </c>
      <c r="H2785" s="32">
        <f>IF(B2785="","",IFERROR(INDEX(Client_List!$J:$J,MATCH(VALUE(B2785),Client_List!$A:$A,0)),""))</f>
        <v/>
      </c>
      <c r="I2785" s="70">
        <f>IF(B2785="","",IFERROR(A2785-LOOKUP(2,1/($B$4:$B2784=B2785),$A$4:$A2784),""))</f>
        <v/>
      </c>
      <c r="J2785" s="32">
        <f>IF(B2785="","",IFERROR(D2785/I2785,""))</f>
        <v/>
      </c>
      <c r="K2785" s="71">
        <f>IF(B2785="","",IFERROR(AVERAGEIFS($J$4:$J2785,$B$4:$B2785,B2785,$J$4:$J2785,"&gt;"&amp;0),""))</f>
        <v/>
      </c>
      <c r="L2785" s="11" t="n"/>
    </row>
    <row r="2786" ht="14" customHeight="1" s="72">
      <c r="A2786" s="83" t="n"/>
      <c r="B2786" s="81" t="n"/>
      <c r="C2786" s="69">
        <f>IF(B2786="","",IFERROR(INDEX(Client_List!$B:$B,MATCH(B2786,Client_List!$A:$A,0)),"⚠ NOT FOUND"))</f>
        <v/>
      </c>
      <c r="D2786" s="45" t="n"/>
      <c r="E2786" s="32">
        <f>IF(B2786="","",IFERROR(INDEX(Client_List!$C:$C,MATCH(VALUE(B2786),Client_List!$A:$A,0)),""))</f>
        <v/>
      </c>
      <c r="F2786" s="53">
        <f>IF(B2786="","",IFERROR(INDEX(Client_List!$D:$D,MATCH(VALUE(B2786),Client_List!$A:$A,0)),""))</f>
        <v/>
      </c>
      <c r="G2786" s="53">
        <f>IF(B2786="","",IFERROR(INDEX(Client_List!$K:$K,MATCH(VALUE(B2786),Client_List!$A:$A,0)),""))</f>
        <v/>
      </c>
      <c r="H2786" s="32">
        <f>IF(B2786="","",IFERROR(INDEX(Client_List!$J:$J,MATCH(VALUE(B2786),Client_List!$A:$A,0)),""))</f>
        <v/>
      </c>
      <c r="I2786" s="70">
        <f>IF(B2786="","",IFERROR(A2786-LOOKUP(2,1/($B$4:$B2785=B2786),$A$4:$A2785),""))</f>
        <v/>
      </c>
      <c r="J2786" s="32">
        <f>IF(B2786="","",IFERROR(D2786/I2786,""))</f>
        <v/>
      </c>
      <c r="K2786" s="71">
        <f>IF(B2786="","",IFERROR(AVERAGEIFS($J$4:$J2786,$B$4:$B2786,B2786,$J$4:$J2786,"&gt;"&amp;0),""))</f>
        <v/>
      </c>
      <c r="L2786" s="12" t="n"/>
    </row>
    <row r="2787" ht="14" customHeight="1" s="72">
      <c r="A2787" s="82" t="n"/>
      <c r="B2787" s="79" t="n"/>
      <c r="C2787" s="69">
        <f>IF(B2787="","",IFERROR(INDEX(Client_List!$B:$B,MATCH(B2787,Client_List!$A:$A,0)),"⚠ NOT FOUND"))</f>
        <v/>
      </c>
      <c r="D2787" s="44" t="n"/>
      <c r="E2787" s="32">
        <f>IF(B2787="","",IFERROR(INDEX(Client_List!$C:$C,MATCH(VALUE(B2787),Client_List!$A:$A,0)),""))</f>
        <v/>
      </c>
      <c r="F2787" s="53">
        <f>IF(B2787="","",IFERROR(INDEX(Client_List!$D:$D,MATCH(VALUE(B2787),Client_List!$A:$A,0)),""))</f>
        <v/>
      </c>
      <c r="G2787" s="53">
        <f>IF(B2787="","",IFERROR(INDEX(Client_List!$K:$K,MATCH(VALUE(B2787),Client_List!$A:$A,0)),""))</f>
        <v/>
      </c>
      <c r="H2787" s="32">
        <f>IF(B2787="","",IFERROR(INDEX(Client_List!$J:$J,MATCH(VALUE(B2787),Client_List!$A:$A,0)),""))</f>
        <v/>
      </c>
      <c r="I2787" s="70">
        <f>IF(B2787="","",IFERROR(A2787-LOOKUP(2,1/($B$4:$B2786=B2787),$A$4:$A2786),""))</f>
        <v/>
      </c>
      <c r="J2787" s="32">
        <f>IF(B2787="","",IFERROR(D2787/I2787,""))</f>
        <v/>
      </c>
      <c r="K2787" s="71">
        <f>IF(B2787="","",IFERROR(AVERAGEIFS($J$4:$J2787,$B$4:$B2787,B2787,$J$4:$J2787,"&gt;"&amp;0),""))</f>
        <v/>
      </c>
      <c r="L2787" s="11" t="n"/>
    </row>
    <row r="2788" ht="14" customHeight="1" s="72">
      <c r="A2788" s="83" t="n"/>
      <c r="B2788" s="81" t="n"/>
      <c r="C2788" s="69">
        <f>IF(B2788="","",IFERROR(INDEX(Client_List!$B:$B,MATCH(B2788,Client_List!$A:$A,0)),"⚠ NOT FOUND"))</f>
        <v/>
      </c>
      <c r="D2788" s="45" t="n"/>
      <c r="E2788" s="32">
        <f>IF(B2788="","",IFERROR(INDEX(Client_List!$C:$C,MATCH(VALUE(B2788),Client_List!$A:$A,0)),""))</f>
        <v/>
      </c>
      <c r="F2788" s="53">
        <f>IF(B2788="","",IFERROR(INDEX(Client_List!$D:$D,MATCH(VALUE(B2788),Client_List!$A:$A,0)),""))</f>
        <v/>
      </c>
      <c r="G2788" s="53">
        <f>IF(B2788="","",IFERROR(INDEX(Client_List!$K:$K,MATCH(VALUE(B2788),Client_List!$A:$A,0)),""))</f>
        <v/>
      </c>
      <c r="H2788" s="32">
        <f>IF(B2788="","",IFERROR(INDEX(Client_List!$J:$J,MATCH(VALUE(B2788),Client_List!$A:$A,0)),""))</f>
        <v/>
      </c>
      <c r="I2788" s="70">
        <f>IF(B2788="","",IFERROR(A2788-LOOKUP(2,1/($B$4:$B2787=B2788),$A$4:$A2787),""))</f>
        <v/>
      </c>
      <c r="J2788" s="32">
        <f>IF(B2788="","",IFERROR(D2788/I2788,""))</f>
        <v/>
      </c>
      <c r="K2788" s="71">
        <f>IF(B2788="","",IFERROR(AVERAGEIFS($J$4:$J2788,$B$4:$B2788,B2788,$J$4:$J2788,"&gt;"&amp;0),""))</f>
        <v/>
      </c>
      <c r="L2788" s="12" t="n"/>
    </row>
    <row r="2789" ht="14" customHeight="1" s="72">
      <c r="A2789" s="82" t="n"/>
      <c r="B2789" s="79" t="n"/>
      <c r="C2789" s="69">
        <f>IF(B2789="","",IFERROR(INDEX(Client_List!$B:$B,MATCH(B2789,Client_List!$A:$A,0)),"⚠ NOT FOUND"))</f>
        <v/>
      </c>
      <c r="D2789" s="44" t="n"/>
      <c r="E2789" s="32">
        <f>IF(B2789="","",IFERROR(INDEX(Client_List!$C:$C,MATCH(VALUE(B2789),Client_List!$A:$A,0)),""))</f>
        <v/>
      </c>
      <c r="F2789" s="53">
        <f>IF(B2789="","",IFERROR(INDEX(Client_List!$D:$D,MATCH(VALUE(B2789),Client_List!$A:$A,0)),""))</f>
        <v/>
      </c>
      <c r="G2789" s="53">
        <f>IF(B2789="","",IFERROR(INDEX(Client_List!$K:$K,MATCH(VALUE(B2789),Client_List!$A:$A,0)),""))</f>
        <v/>
      </c>
      <c r="H2789" s="32">
        <f>IF(B2789="","",IFERROR(INDEX(Client_List!$J:$J,MATCH(VALUE(B2789),Client_List!$A:$A,0)),""))</f>
        <v/>
      </c>
      <c r="I2789" s="70">
        <f>IF(B2789="","",IFERROR(A2789-LOOKUP(2,1/($B$4:$B2788=B2789),$A$4:$A2788),""))</f>
        <v/>
      </c>
      <c r="J2789" s="32">
        <f>IF(B2789="","",IFERROR(D2789/I2789,""))</f>
        <v/>
      </c>
      <c r="K2789" s="71">
        <f>IF(B2789="","",IFERROR(AVERAGEIFS($J$4:$J2789,$B$4:$B2789,B2789,$J$4:$J2789,"&gt;"&amp;0),""))</f>
        <v/>
      </c>
      <c r="L2789" s="11" t="n"/>
    </row>
    <row r="2790" ht="14" customHeight="1" s="72">
      <c r="A2790" s="83" t="n"/>
      <c r="B2790" s="81" t="n"/>
      <c r="C2790" s="69">
        <f>IF(B2790="","",IFERROR(INDEX(Client_List!$B:$B,MATCH(B2790,Client_List!$A:$A,0)),"⚠ NOT FOUND"))</f>
        <v/>
      </c>
      <c r="D2790" s="45" t="n"/>
      <c r="E2790" s="32">
        <f>IF(B2790="","",IFERROR(INDEX(Client_List!$C:$C,MATCH(VALUE(B2790),Client_List!$A:$A,0)),""))</f>
        <v/>
      </c>
      <c r="F2790" s="53">
        <f>IF(B2790="","",IFERROR(INDEX(Client_List!$D:$D,MATCH(VALUE(B2790),Client_List!$A:$A,0)),""))</f>
        <v/>
      </c>
      <c r="G2790" s="53">
        <f>IF(B2790="","",IFERROR(INDEX(Client_List!$K:$K,MATCH(VALUE(B2790),Client_List!$A:$A,0)),""))</f>
        <v/>
      </c>
      <c r="H2790" s="32">
        <f>IF(B2790="","",IFERROR(INDEX(Client_List!$J:$J,MATCH(VALUE(B2790),Client_List!$A:$A,0)),""))</f>
        <v/>
      </c>
      <c r="I2790" s="70">
        <f>IF(B2790="","",IFERROR(A2790-LOOKUP(2,1/($B$4:$B2789=B2790),$A$4:$A2789),""))</f>
        <v/>
      </c>
      <c r="J2790" s="32">
        <f>IF(B2790="","",IFERROR(D2790/I2790,""))</f>
        <v/>
      </c>
      <c r="K2790" s="71">
        <f>IF(B2790="","",IFERROR(AVERAGEIFS($J$4:$J2790,$B$4:$B2790,B2790,$J$4:$J2790,"&gt;"&amp;0),""))</f>
        <v/>
      </c>
      <c r="L2790" s="12" t="n"/>
    </row>
    <row r="2791" ht="14" customHeight="1" s="72">
      <c r="A2791" s="82" t="n"/>
      <c r="B2791" s="79" t="n"/>
      <c r="C2791" s="69">
        <f>IF(B2791="","",IFERROR(INDEX(Client_List!$B:$B,MATCH(B2791,Client_List!$A:$A,0)),"⚠ NOT FOUND"))</f>
        <v/>
      </c>
      <c r="D2791" s="44" t="n"/>
      <c r="E2791" s="32">
        <f>IF(B2791="","",IFERROR(INDEX(Client_List!$C:$C,MATCH(VALUE(B2791),Client_List!$A:$A,0)),""))</f>
        <v/>
      </c>
      <c r="F2791" s="53">
        <f>IF(B2791="","",IFERROR(INDEX(Client_List!$D:$D,MATCH(VALUE(B2791),Client_List!$A:$A,0)),""))</f>
        <v/>
      </c>
      <c r="G2791" s="53">
        <f>IF(B2791="","",IFERROR(INDEX(Client_List!$K:$K,MATCH(VALUE(B2791),Client_List!$A:$A,0)),""))</f>
        <v/>
      </c>
      <c r="H2791" s="32">
        <f>IF(B2791="","",IFERROR(INDEX(Client_List!$J:$J,MATCH(VALUE(B2791),Client_List!$A:$A,0)),""))</f>
        <v/>
      </c>
      <c r="I2791" s="70">
        <f>IF(B2791="","",IFERROR(A2791-LOOKUP(2,1/($B$4:$B2790=B2791),$A$4:$A2790),""))</f>
        <v/>
      </c>
      <c r="J2791" s="32">
        <f>IF(B2791="","",IFERROR(D2791/I2791,""))</f>
        <v/>
      </c>
      <c r="K2791" s="71">
        <f>IF(B2791="","",IFERROR(AVERAGEIFS($J$4:$J2791,$B$4:$B2791,B2791,$J$4:$J2791,"&gt;"&amp;0),""))</f>
        <v/>
      </c>
      <c r="L2791" s="11" t="n"/>
    </row>
    <row r="2792" ht="14" customHeight="1" s="72">
      <c r="A2792" s="83" t="n"/>
      <c r="B2792" s="81" t="n"/>
      <c r="C2792" s="69">
        <f>IF(B2792="","",IFERROR(INDEX(Client_List!$B:$B,MATCH(B2792,Client_List!$A:$A,0)),"⚠ NOT FOUND"))</f>
        <v/>
      </c>
      <c r="D2792" s="45" t="n"/>
      <c r="E2792" s="32">
        <f>IF(B2792="","",IFERROR(INDEX(Client_List!$C:$C,MATCH(VALUE(B2792),Client_List!$A:$A,0)),""))</f>
        <v/>
      </c>
      <c r="F2792" s="53">
        <f>IF(B2792="","",IFERROR(INDEX(Client_List!$D:$D,MATCH(VALUE(B2792),Client_List!$A:$A,0)),""))</f>
        <v/>
      </c>
      <c r="G2792" s="53">
        <f>IF(B2792="","",IFERROR(INDEX(Client_List!$K:$K,MATCH(VALUE(B2792),Client_List!$A:$A,0)),""))</f>
        <v/>
      </c>
      <c r="H2792" s="32">
        <f>IF(B2792="","",IFERROR(INDEX(Client_List!$J:$J,MATCH(VALUE(B2792),Client_List!$A:$A,0)),""))</f>
        <v/>
      </c>
      <c r="I2792" s="70">
        <f>IF(B2792="","",IFERROR(A2792-LOOKUP(2,1/($B$4:$B2791=B2792),$A$4:$A2791),""))</f>
        <v/>
      </c>
      <c r="J2792" s="32">
        <f>IF(B2792="","",IFERROR(D2792/I2792,""))</f>
        <v/>
      </c>
      <c r="K2792" s="71">
        <f>IF(B2792="","",IFERROR(AVERAGEIFS($J$4:$J2792,$B$4:$B2792,B2792,$J$4:$J2792,"&gt;"&amp;0),""))</f>
        <v/>
      </c>
      <c r="L2792" s="12" t="n"/>
    </row>
    <row r="2793" ht="14" customHeight="1" s="72">
      <c r="A2793" s="82" t="n"/>
      <c r="B2793" s="79" t="n"/>
      <c r="C2793" s="69">
        <f>IF(B2793="","",IFERROR(INDEX(Client_List!$B:$B,MATCH(B2793,Client_List!$A:$A,0)),"⚠ NOT FOUND"))</f>
        <v/>
      </c>
      <c r="D2793" s="44" t="n"/>
      <c r="E2793" s="32">
        <f>IF(B2793="","",IFERROR(INDEX(Client_List!$C:$C,MATCH(VALUE(B2793),Client_List!$A:$A,0)),""))</f>
        <v/>
      </c>
      <c r="F2793" s="53">
        <f>IF(B2793="","",IFERROR(INDEX(Client_List!$D:$D,MATCH(VALUE(B2793),Client_List!$A:$A,0)),""))</f>
        <v/>
      </c>
      <c r="G2793" s="53">
        <f>IF(B2793="","",IFERROR(INDEX(Client_List!$K:$K,MATCH(VALUE(B2793),Client_List!$A:$A,0)),""))</f>
        <v/>
      </c>
      <c r="H2793" s="32">
        <f>IF(B2793="","",IFERROR(INDEX(Client_List!$J:$J,MATCH(VALUE(B2793),Client_List!$A:$A,0)),""))</f>
        <v/>
      </c>
      <c r="I2793" s="70">
        <f>IF(B2793="","",IFERROR(A2793-LOOKUP(2,1/($B$4:$B2792=B2793),$A$4:$A2792),""))</f>
        <v/>
      </c>
      <c r="J2793" s="32">
        <f>IF(B2793="","",IFERROR(D2793/I2793,""))</f>
        <v/>
      </c>
      <c r="K2793" s="71">
        <f>IF(B2793="","",IFERROR(AVERAGEIFS($J$4:$J2793,$B$4:$B2793,B2793,$J$4:$J2793,"&gt;"&amp;0),""))</f>
        <v/>
      </c>
      <c r="L2793" s="11" t="n"/>
    </row>
    <row r="2794" ht="14" customHeight="1" s="72">
      <c r="A2794" s="83" t="n"/>
      <c r="B2794" s="81" t="n"/>
      <c r="C2794" s="69">
        <f>IF(B2794="","",IFERROR(INDEX(Client_List!$B:$B,MATCH(B2794,Client_List!$A:$A,0)),"⚠ NOT FOUND"))</f>
        <v/>
      </c>
      <c r="D2794" s="45" t="n"/>
      <c r="E2794" s="32">
        <f>IF(B2794="","",IFERROR(INDEX(Client_List!$C:$C,MATCH(VALUE(B2794),Client_List!$A:$A,0)),""))</f>
        <v/>
      </c>
      <c r="F2794" s="53">
        <f>IF(B2794="","",IFERROR(INDEX(Client_List!$D:$D,MATCH(VALUE(B2794),Client_List!$A:$A,0)),""))</f>
        <v/>
      </c>
      <c r="G2794" s="53">
        <f>IF(B2794="","",IFERROR(INDEX(Client_List!$K:$K,MATCH(VALUE(B2794),Client_List!$A:$A,0)),""))</f>
        <v/>
      </c>
      <c r="H2794" s="32">
        <f>IF(B2794="","",IFERROR(INDEX(Client_List!$J:$J,MATCH(VALUE(B2794),Client_List!$A:$A,0)),""))</f>
        <v/>
      </c>
      <c r="I2794" s="70">
        <f>IF(B2794="","",IFERROR(A2794-LOOKUP(2,1/($B$4:$B2793=B2794),$A$4:$A2793),""))</f>
        <v/>
      </c>
      <c r="J2794" s="32">
        <f>IF(B2794="","",IFERROR(D2794/I2794,""))</f>
        <v/>
      </c>
      <c r="K2794" s="71">
        <f>IF(B2794="","",IFERROR(AVERAGEIFS($J$4:$J2794,$B$4:$B2794,B2794,$J$4:$J2794,"&gt;"&amp;0),""))</f>
        <v/>
      </c>
      <c r="L2794" s="12" t="n"/>
    </row>
    <row r="2795" ht="14" customHeight="1" s="72">
      <c r="A2795" s="82" t="n"/>
      <c r="B2795" s="79" t="n"/>
      <c r="C2795" s="69">
        <f>IF(B2795="","",IFERROR(INDEX(Client_List!$B:$B,MATCH(B2795,Client_List!$A:$A,0)),"⚠ NOT FOUND"))</f>
        <v/>
      </c>
      <c r="D2795" s="44" t="n"/>
      <c r="E2795" s="32">
        <f>IF(B2795="","",IFERROR(INDEX(Client_List!$C:$C,MATCH(VALUE(B2795),Client_List!$A:$A,0)),""))</f>
        <v/>
      </c>
      <c r="F2795" s="53">
        <f>IF(B2795="","",IFERROR(INDEX(Client_List!$D:$D,MATCH(VALUE(B2795),Client_List!$A:$A,0)),""))</f>
        <v/>
      </c>
      <c r="G2795" s="53">
        <f>IF(B2795="","",IFERROR(INDEX(Client_List!$K:$K,MATCH(VALUE(B2795),Client_List!$A:$A,0)),""))</f>
        <v/>
      </c>
      <c r="H2795" s="32">
        <f>IF(B2795="","",IFERROR(INDEX(Client_List!$J:$J,MATCH(VALUE(B2795),Client_List!$A:$A,0)),""))</f>
        <v/>
      </c>
      <c r="I2795" s="70">
        <f>IF(B2795="","",IFERROR(A2795-LOOKUP(2,1/($B$4:$B2794=B2795),$A$4:$A2794),""))</f>
        <v/>
      </c>
      <c r="J2795" s="32">
        <f>IF(B2795="","",IFERROR(D2795/I2795,""))</f>
        <v/>
      </c>
      <c r="K2795" s="71">
        <f>IF(B2795="","",IFERROR(AVERAGEIFS($J$4:$J2795,$B$4:$B2795,B2795,$J$4:$J2795,"&gt;"&amp;0),""))</f>
        <v/>
      </c>
      <c r="L2795" s="11" t="n"/>
    </row>
    <row r="2796" ht="14" customHeight="1" s="72">
      <c r="A2796" s="83" t="n"/>
      <c r="B2796" s="81" t="n"/>
      <c r="C2796" s="69">
        <f>IF(B2796="","",IFERROR(INDEX(Client_List!$B:$B,MATCH(B2796,Client_List!$A:$A,0)),"⚠ NOT FOUND"))</f>
        <v/>
      </c>
      <c r="D2796" s="45" t="n"/>
      <c r="E2796" s="32">
        <f>IF(B2796="","",IFERROR(INDEX(Client_List!$C:$C,MATCH(VALUE(B2796),Client_List!$A:$A,0)),""))</f>
        <v/>
      </c>
      <c r="F2796" s="53">
        <f>IF(B2796="","",IFERROR(INDEX(Client_List!$D:$D,MATCH(VALUE(B2796),Client_List!$A:$A,0)),""))</f>
        <v/>
      </c>
      <c r="G2796" s="53">
        <f>IF(B2796="","",IFERROR(INDEX(Client_List!$K:$K,MATCH(VALUE(B2796),Client_List!$A:$A,0)),""))</f>
        <v/>
      </c>
      <c r="H2796" s="32">
        <f>IF(B2796="","",IFERROR(INDEX(Client_List!$J:$J,MATCH(VALUE(B2796),Client_List!$A:$A,0)),""))</f>
        <v/>
      </c>
      <c r="I2796" s="70">
        <f>IF(B2796="","",IFERROR(A2796-LOOKUP(2,1/($B$4:$B2795=B2796),$A$4:$A2795),""))</f>
        <v/>
      </c>
      <c r="J2796" s="32">
        <f>IF(B2796="","",IFERROR(D2796/I2796,""))</f>
        <v/>
      </c>
      <c r="K2796" s="71">
        <f>IF(B2796="","",IFERROR(AVERAGEIFS($J$4:$J2796,$B$4:$B2796,B2796,$J$4:$J2796,"&gt;"&amp;0),""))</f>
        <v/>
      </c>
      <c r="L2796" s="12" t="n"/>
    </row>
    <row r="2797" ht="14" customHeight="1" s="72">
      <c r="A2797" s="82" t="n"/>
      <c r="B2797" s="79" t="n"/>
      <c r="C2797" s="69">
        <f>IF(B2797="","",IFERROR(INDEX(Client_List!$B:$B,MATCH(B2797,Client_List!$A:$A,0)),"⚠ NOT FOUND"))</f>
        <v/>
      </c>
      <c r="D2797" s="44" t="n"/>
      <c r="E2797" s="32">
        <f>IF(B2797="","",IFERROR(INDEX(Client_List!$C:$C,MATCH(VALUE(B2797),Client_List!$A:$A,0)),""))</f>
        <v/>
      </c>
      <c r="F2797" s="53">
        <f>IF(B2797="","",IFERROR(INDEX(Client_List!$D:$D,MATCH(VALUE(B2797),Client_List!$A:$A,0)),""))</f>
        <v/>
      </c>
      <c r="G2797" s="53">
        <f>IF(B2797="","",IFERROR(INDEX(Client_List!$K:$K,MATCH(VALUE(B2797),Client_List!$A:$A,0)),""))</f>
        <v/>
      </c>
      <c r="H2797" s="32">
        <f>IF(B2797="","",IFERROR(INDEX(Client_List!$J:$J,MATCH(VALUE(B2797),Client_List!$A:$A,0)),""))</f>
        <v/>
      </c>
      <c r="I2797" s="70">
        <f>IF(B2797="","",IFERROR(A2797-LOOKUP(2,1/($B$4:$B2796=B2797),$A$4:$A2796),""))</f>
        <v/>
      </c>
      <c r="J2797" s="32">
        <f>IF(B2797="","",IFERROR(D2797/I2797,""))</f>
        <v/>
      </c>
      <c r="K2797" s="71">
        <f>IF(B2797="","",IFERROR(AVERAGEIFS($J$4:$J2797,$B$4:$B2797,B2797,$J$4:$J2797,"&gt;"&amp;0),""))</f>
        <v/>
      </c>
      <c r="L2797" s="11" t="n"/>
    </row>
    <row r="2798" ht="14" customHeight="1" s="72">
      <c r="A2798" s="83" t="n"/>
      <c r="B2798" s="81" t="n"/>
      <c r="C2798" s="69">
        <f>IF(B2798="","",IFERROR(INDEX(Client_List!$B:$B,MATCH(B2798,Client_List!$A:$A,0)),"⚠ NOT FOUND"))</f>
        <v/>
      </c>
      <c r="D2798" s="45" t="n"/>
      <c r="E2798" s="32">
        <f>IF(B2798="","",IFERROR(INDEX(Client_List!$C:$C,MATCH(VALUE(B2798),Client_List!$A:$A,0)),""))</f>
        <v/>
      </c>
      <c r="F2798" s="53">
        <f>IF(B2798="","",IFERROR(INDEX(Client_List!$D:$D,MATCH(VALUE(B2798),Client_List!$A:$A,0)),""))</f>
        <v/>
      </c>
      <c r="G2798" s="53">
        <f>IF(B2798="","",IFERROR(INDEX(Client_List!$K:$K,MATCH(VALUE(B2798),Client_List!$A:$A,0)),""))</f>
        <v/>
      </c>
      <c r="H2798" s="32">
        <f>IF(B2798="","",IFERROR(INDEX(Client_List!$J:$J,MATCH(VALUE(B2798),Client_List!$A:$A,0)),""))</f>
        <v/>
      </c>
      <c r="I2798" s="70">
        <f>IF(B2798="","",IFERROR(A2798-LOOKUP(2,1/($B$4:$B2797=B2798),$A$4:$A2797),""))</f>
        <v/>
      </c>
      <c r="J2798" s="32">
        <f>IF(B2798="","",IFERROR(D2798/I2798,""))</f>
        <v/>
      </c>
      <c r="K2798" s="71">
        <f>IF(B2798="","",IFERROR(AVERAGEIFS($J$4:$J2798,$B$4:$B2798,B2798,$J$4:$J2798,"&gt;"&amp;0),""))</f>
        <v/>
      </c>
      <c r="L2798" s="12" t="n"/>
    </row>
    <row r="2799" ht="14" customHeight="1" s="72">
      <c r="A2799" s="82" t="n"/>
      <c r="B2799" s="79" t="n"/>
      <c r="C2799" s="69">
        <f>IF(B2799="","",IFERROR(INDEX(Client_List!$B:$B,MATCH(B2799,Client_List!$A:$A,0)),"⚠ NOT FOUND"))</f>
        <v/>
      </c>
      <c r="D2799" s="44" t="n"/>
      <c r="E2799" s="32">
        <f>IF(B2799="","",IFERROR(INDEX(Client_List!$C:$C,MATCH(VALUE(B2799),Client_List!$A:$A,0)),""))</f>
        <v/>
      </c>
      <c r="F2799" s="53">
        <f>IF(B2799="","",IFERROR(INDEX(Client_List!$D:$D,MATCH(VALUE(B2799),Client_List!$A:$A,0)),""))</f>
        <v/>
      </c>
      <c r="G2799" s="53">
        <f>IF(B2799="","",IFERROR(INDEX(Client_List!$K:$K,MATCH(VALUE(B2799),Client_List!$A:$A,0)),""))</f>
        <v/>
      </c>
      <c r="H2799" s="32">
        <f>IF(B2799="","",IFERROR(INDEX(Client_List!$J:$J,MATCH(VALUE(B2799),Client_List!$A:$A,0)),""))</f>
        <v/>
      </c>
      <c r="I2799" s="70">
        <f>IF(B2799="","",IFERROR(A2799-LOOKUP(2,1/($B$4:$B2798=B2799),$A$4:$A2798),""))</f>
        <v/>
      </c>
      <c r="J2799" s="32">
        <f>IF(B2799="","",IFERROR(D2799/I2799,""))</f>
        <v/>
      </c>
      <c r="K2799" s="71">
        <f>IF(B2799="","",IFERROR(AVERAGEIFS($J$4:$J2799,$B$4:$B2799,B2799,$J$4:$J2799,"&gt;"&amp;0),""))</f>
        <v/>
      </c>
      <c r="L2799" s="11" t="n"/>
    </row>
    <row r="2800" ht="14" customHeight="1" s="72">
      <c r="A2800" s="83" t="n"/>
      <c r="B2800" s="81" t="n"/>
      <c r="C2800" s="69">
        <f>IF(B2800="","",IFERROR(INDEX(Client_List!$B:$B,MATCH(B2800,Client_List!$A:$A,0)),"⚠ NOT FOUND"))</f>
        <v/>
      </c>
      <c r="D2800" s="45" t="n"/>
      <c r="E2800" s="32">
        <f>IF(B2800="","",IFERROR(INDEX(Client_List!$C:$C,MATCH(VALUE(B2800),Client_List!$A:$A,0)),""))</f>
        <v/>
      </c>
      <c r="F2800" s="53">
        <f>IF(B2800="","",IFERROR(INDEX(Client_List!$D:$D,MATCH(VALUE(B2800),Client_List!$A:$A,0)),""))</f>
        <v/>
      </c>
      <c r="G2800" s="53">
        <f>IF(B2800="","",IFERROR(INDEX(Client_List!$K:$K,MATCH(VALUE(B2800),Client_List!$A:$A,0)),""))</f>
        <v/>
      </c>
      <c r="H2800" s="32">
        <f>IF(B2800="","",IFERROR(INDEX(Client_List!$J:$J,MATCH(VALUE(B2800),Client_List!$A:$A,0)),""))</f>
        <v/>
      </c>
      <c r="I2800" s="70">
        <f>IF(B2800="","",IFERROR(A2800-LOOKUP(2,1/($B$4:$B2799=B2800),$A$4:$A2799),""))</f>
        <v/>
      </c>
      <c r="J2800" s="32">
        <f>IF(B2800="","",IFERROR(D2800/I2800,""))</f>
        <v/>
      </c>
      <c r="K2800" s="71">
        <f>IF(B2800="","",IFERROR(AVERAGEIFS($J$4:$J2800,$B$4:$B2800,B2800,$J$4:$J2800,"&gt;"&amp;0),""))</f>
        <v/>
      </c>
      <c r="L2800" s="12" t="n"/>
    </row>
    <row r="2801" ht="14" customHeight="1" s="72">
      <c r="A2801" s="82" t="n"/>
      <c r="B2801" s="79" t="n"/>
      <c r="C2801" s="69">
        <f>IF(B2801="","",IFERROR(INDEX(Client_List!$B:$B,MATCH(B2801,Client_List!$A:$A,0)),"⚠ NOT FOUND"))</f>
        <v/>
      </c>
      <c r="D2801" s="44" t="n"/>
      <c r="E2801" s="32">
        <f>IF(B2801="","",IFERROR(INDEX(Client_List!$C:$C,MATCH(VALUE(B2801),Client_List!$A:$A,0)),""))</f>
        <v/>
      </c>
      <c r="F2801" s="53">
        <f>IF(B2801="","",IFERROR(INDEX(Client_List!$D:$D,MATCH(VALUE(B2801),Client_List!$A:$A,0)),""))</f>
        <v/>
      </c>
      <c r="G2801" s="53">
        <f>IF(B2801="","",IFERROR(INDEX(Client_List!$K:$K,MATCH(VALUE(B2801),Client_List!$A:$A,0)),""))</f>
        <v/>
      </c>
      <c r="H2801" s="32">
        <f>IF(B2801="","",IFERROR(INDEX(Client_List!$J:$J,MATCH(VALUE(B2801),Client_List!$A:$A,0)),""))</f>
        <v/>
      </c>
      <c r="I2801" s="70">
        <f>IF(B2801="","",IFERROR(A2801-LOOKUP(2,1/($B$4:$B2800=B2801),$A$4:$A2800),""))</f>
        <v/>
      </c>
      <c r="J2801" s="32">
        <f>IF(B2801="","",IFERROR(D2801/I2801,""))</f>
        <v/>
      </c>
      <c r="K2801" s="71">
        <f>IF(B2801="","",IFERROR(AVERAGEIFS($J$4:$J2801,$B$4:$B2801,B2801,$J$4:$J2801,"&gt;"&amp;0),""))</f>
        <v/>
      </c>
      <c r="L2801" s="11" t="n"/>
    </row>
    <row r="2802" ht="14" customHeight="1" s="72">
      <c r="A2802" s="83" t="n"/>
      <c r="B2802" s="81" t="n"/>
      <c r="C2802" s="69">
        <f>IF(B2802="","",IFERROR(INDEX(Client_List!$B:$B,MATCH(B2802,Client_List!$A:$A,0)),"⚠ NOT FOUND"))</f>
        <v/>
      </c>
      <c r="D2802" s="45" t="n"/>
      <c r="E2802" s="32">
        <f>IF(B2802="","",IFERROR(INDEX(Client_List!$C:$C,MATCH(VALUE(B2802),Client_List!$A:$A,0)),""))</f>
        <v/>
      </c>
      <c r="F2802" s="53">
        <f>IF(B2802="","",IFERROR(INDEX(Client_List!$D:$D,MATCH(VALUE(B2802),Client_List!$A:$A,0)),""))</f>
        <v/>
      </c>
      <c r="G2802" s="53">
        <f>IF(B2802="","",IFERROR(INDEX(Client_List!$K:$K,MATCH(VALUE(B2802),Client_List!$A:$A,0)),""))</f>
        <v/>
      </c>
      <c r="H2802" s="32">
        <f>IF(B2802="","",IFERROR(INDEX(Client_List!$J:$J,MATCH(VALUE(B2802),Client_List!$A:$A,0)),""))</f>
        <v/>
      </c>
      <c r="I2802" s="70">
        <f>IF(B2802="","",IFERROR(A2802-LOOKUP(2,1/($B$4:$B2801=B2802),$A$4:$A2801),""))</f>
        <v/>
      </c>
      <c r="J2802" s="32">
        <f>IF(B2802="","",IFERROR(D2802/I2802,""))</f>
        <v/>
      </c>
      <c r="K2802" s="71">
        <f>IF(B2802="","",IFERROR(AVERAGEIFS($J$4:$J2802,$B$4:$B2802,B2802,$J$4:$J2802,"&gt;"&amp;0),""))</f>
        <v/>
      </c>
      <c r="L2802" s="12" t="n"/>
    </row>
    <row r="2803" ht="14" customHeight="1" s="72">
      <c r="A2803" s="82" t="n"/>
      <c r="B2803" s="79" t="n"/>
      <c r="C2803" s="69">
        <f>IF(B2803="","",IFERROR(INDEX(Client_List!$B:$B,MATCH(B2803,Client_List!$A:$A,0)),"⚠ NOT FOUND"))</f>
        <v/>
      </c>
      <c r="D2803" s="44" t="n"/>
      <c r="E2803" s="32">
        <f>IF(B2803="","",IFERROR(INDEX(Client_List!$C:$C,MATCH(VALUE(B2803),Client_List!$A:$A,0)),""))</f>
        <v/>
      </c>
      <c r="F2803" s="53">
        <f>IF(B2803="","",IFERROR(INDEX(Client_List!$D:$D,MATCH(VALUE(B2803),Client_List!$A:$A,0)),""))</f>
        <v/>
      </c>
      <c r="G2803" s="53">
        <f>IF(B2803="","",IFERROR(INDEX(Client_List!$K:$K,MATCH(VALUE(B2803),Client_List!$A:$A,0)),""))</f>
        <v/>
      </c>
      <c r="H2803" s="32">
        <f>IF(B2803="","",IFERROR(INDEX(Client_List!$J:$J,MATCH(VALUE(B2803),Client_List!$A:$A,0)),""))</f>
        <v/>
      </c>
      <c r="I2803" s="70">
        <f>IF(B2803="","",IFERROR(A2803-LOOKUP(2,1/($B$4:$B2802=B2803),$A$4:$A2802),""))</f>
        <v/>
      </c>
      <c r="J2803" s="32">
        <f>IF(B2803="","",IFERROR(D2803/I2803,""))</f>
        <v/>
      </c>
      <c r="K2803" s="71">
        <f>IF(B2803="","",IFERROR(AVERAGEIFS($J$4:$J2803,$B$4:$B2803,B2803,$J$4:$J2803,"&gt;"&amp;0),""))</f>
        <v/>
      </c>
      <c r="L2803" s="11" t="n"/>
    </row>
    <row r="2804" ht="14" customHeight="1" s="72">
      <c r="A2804" s="83" t="n"/>
      <c r="B2804" s="81" t="n"/>
      <c r="C2804" s="69">
        <f>IF(B2804="","",IFERROR(INDEX(Client_List!$B:$B,MATCH(B2804,Client_List!$A:$A,0)),"⚠ NOT FOUND"))</f>
        <v/>
      </c>
      <c r="D2804" s="45" t="n"/>
      <c r="E2804" s="32">
        <f>IF(B2804="","",IFERROR(INDEX(Client_List!$C:$C,MATCH(VALUE(B2804),Client_List!$A:$A,0)),""))</f>
        <v/>
      </c>
      <c r="F2804" s="53">
        <f>IF(B2804="","",IFERROR(INDEX(Client_List!$D:$D,MATCH(VALUE(B2804),Client_List!$A:$A,0)),""))</f>
        <v/>
      </c>
      <c r="G2804" s="53">
        <f>IF(B2804="","",IFERROR(INDEX(Client_List!$K:$K,MATCH(VALUE(B2804),Client_List!$A:$A,0)),""))</f>
        <v/>
      </c>
      <c r="H2804" s="32">
        <f>IF(B2804="","",IFERROR(INDEX(Client_List!$J:$J,MATCH(VALUE(B2804),Client_List!$A:$A,0)),""))</f>
        <v/>
      </c>
      <c r="I2804" s="70">
        <f>IF(B2804="","",IFERROR(A2804-LOOKUP(2,1/($B$4:$B2803=B2804),$A$4:$A2803),""))</f>
        <v/>
      </c>
      <c r="J2804" s="32">
        <f>IF(B2804="","",IFERROR(D2804/I2804,""))</f>
        <v/>
      </c>
      <c r="K2804" s="71">
        <f>IF(B2804="","",IFERROR(AVERAGEIFS($J$4:$J2804,$B$4:$B2804,B2804,$J$4:$J2804,"&gt;"&amp;0),""))</f>
        <v/>
      </c>
      <c r="L2804" s="12" t="n"/>
    </row>
    <row r="2805" ht="14" customHeight="1" s="72">
      <c r="A2805" s="82" t="n"/>
      <c r="B2805" s="79" t="n"/>
      <c r="C2805" s="69">
        <f>IF(B2805="","",IFERROR(INDEX(Client_List!$B:$B,MATCH(B2805,Client_List!$A:$A,0)),"⚠ NOT FOUND"))</f>
        <v/>
      </c>
      <c r="D2805" s="44" t="n"/>
      <c r="E2805" s="32">
        <f>IF(B2805="","",IFERROR(INDEX(Client_List!$C:$C,MATCH(VALUE(B2805),Client_List!$A:$A,0)),""))</f>
        <v/>
      </c>
      <c r="F2805" s="53">
        <f>IF(B2805="","",IFERROR(INDEX(Client_List!$D:$D,MATCH(VALUE(B2805),Client_List!$A:$A,0)),""))</f>
        <v/>
      </c>
      <c r="G2805" s="53">
        <f>IF(B2805="","",IFERROR(INDEX(Client_List!$K:$K,MATCH(VALUE(B2805),Client_List!$A:$A,0)),""))</f>
        <v/>
      </c>
      <c r="H2805" s="32">
        <f>IF(B2805="","",IFERROR(INDEX(Client_List!$J:$J,MATCH(VALUE(B2805),Client_List!$A:$A,0)),""))</f>
        <v/>
      </c>
      <c r="I2805" s="70">
        <f>IF(B2805="","",IFERROR(A2805-LOOKUP(2,1/($B$4:$B2804=B2805),$A$4:$A2804),""))</f>
        <v/>
      </c>
      <c r="J2805" s="32">
        <f>IF(B2805="","",IFERROR(D2805/I2805,""))</f>
        <v/>
      </c>
      <c r="K2805" s="71">
        <f>IF(B2805="","",IFERROR(AVERAGEIFS($J$4:$J2805,$B$4:$B2805,B2805,$J$4:$J2805,"&gt;"&amp;0),""))</f>
        <v/>
      </c>
      <c r="L2805" s="11" t="n"/>
    </row>
    <row r="2806" ht="14" customHeight="1" s="72">
      <c r="A2806" s="83" t="n"/>
      <c r="B2806" s="81" t="n"/>
      <c r="C2806" s="69">
        <f>IF(B2806="","",IFERROR(INDEX(Client_List!$B:$B,MATCH(B2806,Client_List!$A:$A,0)),"⚠ NOT FOUND"))</f>
        <v/>
      </c>
      <c r="D2806" s="45" t="n"/>
      <c r="E2806" s="32">
        <f>IF(B2806="","",IFERROR(INDEX(Client_List!$C:$C,MATCH(VALUE(B2806),Client_List!$A:$A,0)),""))</f>
        <v/>
      </c>
      <c r="F2806" s="53">
        <f>IF(B2806="","",IFERROR(INDEX(Client_List!$D:$D,MATCH(VALUE(B2806),Client_List!$A:$A,0)),""))</f>
        <v/>
      </c>
      <c r="G2806" s="53">
        <f>IF(B2806="","",IFERROR(INDEX(Client_List!$K:$K,MATCH(VALUE(B2806),Client_List!$A:$A,0)),""))</f>
        <v/>
      </c>
      <c r="H2806" s="32">
        <f>IF(B2806="","",IFERROR(INDEX(Client_List!$J:$J,MATCH(VALUE(B2806),Client_List!$A:$A,0)),""))</f>
        <v/>
      </c>
      <c r="I2806" s="70">
        <f>IF(B2806="","",IFERROR(A2806-LOOKUP(2,1/($B$4:$B2805=B2806),$A$4:$A2805),""))</f>
        <v/>
      </c>
      <c r="J2806" s="32">
        <f>IF(B2806="","",IFERROR(D2806/I2806,""))</f>
        <v/>
      </c>
      <c r="K2806" s="71">
        <f>IF(B2806="","",IFERROR(AVERAGEIFS($J$4:$J2806,$B$4:$B2806,B2806,$J$4:$J2806,"&gt;"&amp;0),""))</f>
        <v/>
      </c>
      <c r="L2806" s="12" t="n"/>
    </row>
    <row r="2807" ht="14" customHeight="1" s="72">
      <c r="A2807" s="82" t="n"/>
      <c r="B2807" s="79" t="n"/>
      <c r="C2807" s="69">
        <f>IF(B2807="","",IFERROR(INDEX(Client_List!$B:$B,MATCH(B2807,Client_List!$A:$A,0)),"⚠ NOT FOUND"))</f>
        <v/>
      </c>
      <c r="D2807" s="44" t="n"/>
      <c r="E2807" s="32">
        <f>IF(B2807="","",IFERROR(INDEX(Client_List!$C:$C,MATCH(VALUE(B2807),Client_List!$A:$A,0)),""))</f>
        <v/>
      </c>
      <c r="F2807" s="53">
        <f>IF(B2807="","",IFERROR(INDEX(Client_List!$D:$D,MATCH(VALUE(B2807),Client_List!$A:$A,0)),""))</f>
        <v/>
      </c>
      <c r="G2807" s="53">
        <f>IF(B2807="","",IFERROR(INDEX(Client_List!$K:$K,MATCH(VALUE(B2807),Client_List!$A:$A,0)),""))</f>
        <v/>
      </c>
      <c r="H2807" s="32">
        <f>IF(B2807="","",IFERROR(INDEX(Client_List!$J:$J,MATCH(VALUE(B2807),Client_List!$A:$A,0)),""))</f>
        <v/>
      </c>
      <c r="I2807" s="70">
        <f>IF(B2807="","",IFERROR(A2807-LOOKUP(2,1/($B$4:$B2806=B2807),$A$4:$A2806),""))</f>
        <v/>
      </c>
      <c r="J2807" s="32">
        <f>IF(B2807="","",IFERROR(D2807/I2807,""))</f>
        <v/>
      </c>
      <c r="K2807" s="71">
        <f>IF(B2807="","",IFERROR(AVERAGEIFS($J$4:$J2807,$B$4:$B2807,B2807,$J$4:$J2807,"&gt;"&amp;0),""))</f>
        <v/>
      </c>
      <c r="L2807" s="11" t="n"/>
    </row>
    <row r="2808" ht="14" customHeight="1" s="72">
      <c r="A2808" s="83" t="n"/>
      <c r="B2808" s="81" t="n"/>
      <c r="C2808" s="69">
        <f>IF(B2808="","",IFERROR(INDEX(Client_List!$B:$B,MATCH(B2808,Client_List!$A:$A,0)),"⚠ NOT FOUND"))</f>
        <v/>
      </c>
      <c r="D2808" s="45" t="n"/>
      <c r="E2808" s="32">
        <f>IF(B2808="","",IFERROR(INDEX(Client_List!$C:$C,MATCH(VALUE(B2808),Client_List!$A:$A,0)),""))</f>
        <v/>
      </c>
      <c r="F2808" s="53">
        <f>IF(B2808="","",IFERROR(INDEX(Client_List!$D:$D,MATCH(VALUE(B2808),Client_List!$A:$A,0)),""))</f>
        <v/>
      </c>
      <c r="G2808" s="53">
        <f>IF(B2808="","",IFERROR(INDEX(Client_List!$K:$K,MATCH(VALUE(B2808),Client_List!$A:$A,0)),""))</f>
        <v/>
      </c>
      <c r="H2808" s="32">
        <f>IF(B2808="","",IFERROR(INDEX(Client_List!$J:$J,MATCH(VALUE(B2808),Client_List!$A:$A,0)),""))</f>
        <v/>
      </c>
      <c r="I2808" s="70">
        <f>IF(B2808="","",IFERROR(A2808-LOOKUP(2,1/($B$4:$B2807=B2808),$A$4:$A2807),""))</f>
        <v/>
      </c>
      <c r="J2808" s="32">
        <f>IF(B2808="","",IFERROR(D2808/I2808,""))</f>
        <v/>
      </c>
      <c r="K2808" s="71">
        <f>IF(B2808="","",IFERROR(AVERAGEIFS($J$4:$J2808,$B$4:$B2808,B2808,$J$4:$J2808,"&gt;"&amp;0),""))</f>
        <v/>
      </c>
      <c r="L2808" s="12" t="n"/>
    </row>
    <row r="2809" ht="14" customHeight="1" s="72">
      <c r="A2809" s="82" t="n"/>
      <c r="B2809" s="79" t="n"/>
      <c r="C2809" s="69">
        <f>IF(B2809="","",IFERROR(INDEX(Client_List!$B:$B,MATCH(B2809,Client_List!$A:$A,0)),"⚠ NOT FOUND"))</f>
        <v/>
      </c>
      <c r="D2809" s="44" t="n"/>
      <c r="E2809" s="32">
        <f>IF(B2809="","",IFERROR(INDEX(Client_List!$C:$C,MATCH(VALUE(B2809),Client_List!$A:$A,0)),""))</f>
        <v/>
      </c>
      <c r="F2809" s="53">
        <f>IF(B2809="","",IFERROR(INDEX(Client_List!$D:$D,MATCH(VALUE(B2809),Client_List!$A:$A,0)),""))</f>
        <v/>
      </c>
      <c r="G2809" s="53">
        <f>IF(B2809="","",IFERROR(INDEX(Client_List!$K:$K,MATCH(VALUE(B2809),Client_List!$A:$A,0)),""))</f>
        <v/>
      </c>
      <c r="H2809" s="32">
        <f>IF(B2809="","",IFERROR(INDEX(Client_List!$J:$J,MATCH(VALUE(B2809),Client_List!$A:$A,0)),""))</f>
        <v/>
      </c>
      <c r="I2809" s="70">
        <f>IF(B2809="","",IFERROR(A2809-LOOKUP(2,1/($B$4:$B2808=B2809),$A$4:$A2808),""))</f>
        <v/>
      </c>
      <c r="J2809" s="32">
        <f>IF(B2809="","",IFERROR(D2809/I2809,""))</f>
        <v/>
      </c>
      <c r="K2809" s="71">
        <f>IF(B2809="","",IFERROR(AVERAGEIFS($J$4:$J2809,$B$4:$B2809,B2809,$J$4:$J2809,"&gt;"&amp;0),""))</f>
        <v/>
      </c>
      <c r="L2809" s="11" t="n"/>
    </row>
    <row r="2810" ht="14" customHeight="1" s="72">
      <c r="A2810" s="83" t="n"/>
      <c r="B2810" s="81" t="n"/>
      <c r="C2810" s="69">
        <f>IF(B2810="","",IFERROR(INDEX(Client_List!$B:$B,MATCH(B2810,Client_List!$A:$A,0)),"⚠ NOT FOUND"))</f>
        <v/>
      </c>
      <c r="D2810" s="45" t="n"/>
      <c r="E2810" s="32">
        <f>IF(B2810="","",IFERROR(INDEX(Client_List!$C:$C,MATCH(VALUE(B2810),Client_List!$A:$A,0)),""))</f>
        <v/>
      </c>
      <c r="F2810" s="53">
        <f>IF(B2810="","",IFERROR(INDEX(Client_List!$D:$D,MATCH(VALUE(B2810),Client_List!$A:$A,0)),""))</f>
        <v/>
      </c>
      <c r="G2810" s="53">
        <f>IF(B2810="","",IFERROR(INDEX(Client_List!$K:$K,MATCH(VALUE(B2810),Client_List!$A:$A,0)),""))</f>
        <v/>
      </c>
      <c r="H2810" s="32">
        <f>IF(B2810="","",IFERROR(INDEX(Client_List!$J:$J,MATCH(VALUE(B2810),Client_List!$A:$A,0)),""))</f>
        <v/>
      </c>
      <c r="I2810" s="70">
        <f>IF(B2810="","",IFERROR(A2810-LOOKUP(2,1/($B$4:$B2809=B2810),$A$4:$A2809),""))</f>
        <v/>
      </c>
      <c r="J2810" s="32">
        <f>IF(B2810="","",IFERROR(D2810/I2810,""))</f>
        <v/>
      </c>
      <c r="K2810" s="71">
        <f>IF(B2810="","",IFERROR(AVERAGEIFS($J$4:$J2810,$B$4:$B2810,B2810,$J$4:$J2810,"&gt;"&amp;0),""))</f>
        <v/>
      </c>
      <c r="L2810" s="12" t="n"/>
    </row>
    <row r="2811" ht="14" customHeight="1" s="72">
      <c r="A2811" s="82" t="n"/>
      <c r="B2811" s="79" t="n"/>
      <c r="C2811" s="69">
        <f>IF(B2811="","",IFERROR(INDEX(Client_List!$B:$B,MATCH(B2811,Client_List!$A:$A,0)),"⚠ NOT FOUND"))</f>
        <v/>
      </c>
      <c r="D2811" s="44" t="n"/>
      <c r="E2811" s="32">
        <f>IF(B2811="","",IFERROR(INDEX(Client_List!$C:$C,MATCH(VALUE(B2811),Client_List!$A:$A,0)),""))</f>
        <v/>
      </c>
      <c r="F2811" s="53">
        <f>IF(B2811="","",IFERROR(INDEX(Client_List!$D:$D,MATCH(VALUE(B2811),Client_List!$A:$A,0)),""))</f>
        <v/>
      </c>
      <c r="G2811" s="53">
        <f>IF(B2811="","",IFERROR(INDEX(Client_List!$K:$K,MATCH(VALUE(B2811),Client_List!$A:$A,0)),""))</f>
        <v/>
      </c>
      <c r="H2811" s="32">
        <f>IF(B2811="","",IFERROR(INDEX(Client_List!$J:$J,MATCH(VALUE(B2811),Client_List!$A:$A,0)),""))</f>
        <v/>
      </c>
      <c r="I2811" s="70">
        <f>IF(B2811="","",IFERROR(A2811-LOOKUP(2,1/($B$4:$B2810=B2811),$A$4:$A2810),""))</f>
        <v/>
      </c>
      <c r="J2811" s="32">
        <f>IF(B2811="","",IFERROR(D2811/I2811,""))</f>
        <v/>
      </c>
      <c r="K2811" s="71">
        <f>IF(B2811="","",IFERROR(AVERAGEIFS($J$4:$J2811,$B$4:$B2811,B2811,$J$4:$J2811,"&gt;"&amp;0),""))</f>
        <v/>
      </c>
      <c r="L2811" s="11" t="n"/>
    </row>
    <row r="2812" ht="14" customHeight="1" s="72">
      <c r="A2812" s="83" t="n"/>
      <c r="B2812" s="81" t="n"/>
      <c r="C2812" s="69">
        <f>IF(B2812="","",IFERROR(INDEX(Client_List!$B:$B,MATCH(B2812,Client_List!$A:$A,0)),"⚠ NOT FOUND"))</f>
        <v/>
      </c>
      <c r="D2812" s="45" t="n"/>
      <c r="E2812" s="32">
        <f>IF(B2812="","",IFERROR(INDEX(Client_List!$C:$C,MATCH(VALUE(B2812),Client_List!$A:$A,0)),""))</f>
        <v/>
      </c>
      <c r="F2812" s="53">
        <f>IF(B2812="","",IFERROR(INDEX(Client_List!$D:$D,MATCH(VALUE(B2812),Client_List!$A:$A,0)),""))</f>
        <v/>
      </c>
      <c r="G2812" s="53">
        <f>IF(B2812="","",IFERROR(INDEX(Client_List!$K:$K,MATCH(VALUE(B2812),Client_List!$A:$A,0)),""))</f>
        <v/>
      </c>
      <c r="H2812" s="32">
        <f>IF(B2812="","",IFERROR(INDEX(Client_List!$J:$J,MATCH(VALUE(B2812),Client_List!$A:$A,0)),""))</f>
        <v/>
      </c>
      <c r="I2812" s="70">
        <f>IF(B2812="","",IFERROR(A2812-LOOKUP(2,1/($B$4:$B2811=B2812),$A$4:$A2811),""))</f>
        <v/>
      </c>
      <c r="J2812" s="32">
        <f>IF(B2812="","",IFERROR(D2812/I2812,""))</f>
        <v/>
      </c>
      <c r="K2812" s="71">
        <f>IF(B2812="","",IFERROR(AVERAGEIFS($J$4:$J2812,$B$4:$B2812,B2812,$J$4:$J2812,"&gt;"&amp;0),""))</f>
        <v/>
      </c>
      <c r="L2812" s="12" t="n"/>
    </row>
    <row r="2813" ht="14" customHeight="1" s="72">
      <c r="A2813" s="82" t="n"/>
      <c r="B2813" s="79" t="n"/>
      <c r="C2813" s="69">
        <f>IF(B2813="","",IFERROR(INDEX(Client_List!$B:$B,MATCH(B2813,Client_List!$A:$A,0)),"⚠ NOT FOUND"))</f>
        <v/>
      </c>
      <c r="D2813" s="44" t="n"/>
      <c r="E2813" s="32">
        <f>IF(B2813="","",IFERROR(INDEX(Client_List!$C:$C,MATCH(VALUE(B2813),Client_List!$A:$A,0)),""))</f>
        <v/>
      </c>
      <c r="F2813" s="53">
        <f>IF(B2813="","",IFERROR(INDEX(Client_List!$D:$D,MATCH(VALUE(B2813),Client_List!$A:$A,0)),""))</f>
        <v/>
      </c>
      <c r="G2813" s="53">
        <f>IF(B2813="","",IFERROR(INDEX(Client_List!$K:$K,MATCH(VALUE(B2813),Client_List!$A:$A,0)),""))</f>
        <v/>
      </c>
      <c r="H2813" s="32">
        <f>IF(B2813="","",IFERROR(INDEX(Client_List!$J:$J,MATCH(VALUE(B2813),Client_List!$A:$A,0)),""))</f>
        <v/>
      </c>
      <c r="I2813" s="70">
        <f>IF(B2813="","",IFERROR(A2813-LOOKUP(2,1/($B$4:$B2812=B2813),$A$4:$A2812),""))</f>
        <v/>
      </c>
      <c r="J2813" s="32">
        <f>IF(B2813="","",IFERROR(D2813/I2813,""))</f>
        <v/>
      </c>
      <c r="K2813" s="71">
        <f>IF(B2813="","",IFERROR(AVERAGEIFS($J$4:$J2813,$B$4:$B2813,B2813,$J$4:$J2813,"&gt;"&amp;0),""))</f>
        <v/>
      </c>
      <c r="L2813" s="11" t="n"/>
    </row>
    <row r="2814" ht="14" customHeight="1" s="72">
      <c r="A2814" s="83" t="n"/>
      <c r="B2814" s="81" t="n"/>
      <c r="C2814" s="69">
        <f>IF(B2814="","",IFERROR(INDEX(Client_List!$B:$B,MATCH(B2814,Client_List!$A:$A,0)),"⚠ NOT FOUND"))</f>
        <v/>
      </c>
      <c r="D2814" s="45" t="n"/>
      <c r="E2814" s="32">
        <f>IF(B2814="","",IFERROR(INDEX(Client_List!$C:$C,MATCH(VALUE(B2814),Client_List!$A:$A,0)),""))</f>
        <v/>
      </c>
      <c r="F2814" s="53">
        <f>IF(B2814="","",IFERROR(INDEX(Client_List!$D:$D,MATCH(VALUE(B2814),Client_List!$A:$A,0)),""))</f>
        <v/>
      </c>
      <c r="G2814" s="53">
        <f>IF(B2814="","",IFERROR(INDEX(Client_List!$K:$K,MATCH(VALUE(B2814),Client_List!$A:$A,0)),""))</f>
        <v/>
      </c>
      <c r="H2814" s="32">
        <f>IF(B2814="","",IFERROR(INDEX(Client_List!$J:$J,MATCH(VALUE(B2814),Client_List!$A:$A,0)),""))</f>
        <v/>
      </c>
      <c r="I2814" s="70">
        <f>IF(B2814="","",IFERROR(A2814-LOOKUP(2,1/($B$4:$B2813=B2814),$A$4:$A2813),""))</f>
        <v/>
      </c>
      <c r="J2814" s="32">
        <f>IF(B2814="","",IFERROR(D2814/I2814,""))</f>
        <v/>
      </c>
      <c r="K2814" s="71">
        <f>IF(B2814="","",IFERROR(AVERAGEIFS($J$4:$J2814,$B$4:$B2814,B2814,$J$4:$J2814,"&gt;"&amp;0),""))</f>
        <v/>
      </c>
      <c r="L2814" s="12" t="n"/>
    </row>
    <row r="2815" ht="14" customHeight="1" s="72">
      <c r="A2815" s="82" t="n"/>
      <c r="B2815" s="79" t="n"/>
      <c r="C2815" s="69">
        <f>IF(B2815="","",IFERROR(INDEX(Client_List!$B:$B,MATCH(B2815,Client_List!$A:$A,0)),"⚠ NOT FOUND"))</f>
        <v/>
      </c>
      <c r="D2815" s="44" t="n"/>
      <c r="E2815" s="32">
        <f>IF(B2815="","",IFERROR(INDEX(Client_List!$C:$C,MATCH(VALUE(B2815),Client_List!$A:$A,0)),""))</f>
        <v/>
      </c>
      <c r="F2815" s="53">
        <f>IF(B2815="","",IFERROR(INDEX(Client_List!$D:$D,MATCH(VALUE(B2815),Client_List!$A:$A,0)),""))</f>
        <v/>
      </c>
      <c r="G2815" s="53">
        <f>IF(B2815="","",IFERROR(INDEX(Client_List!$K:$K,MATCH(VALUE(B2815),Client_List!$A:$A,0)),""))</f>
        <v/>
      </c>
      <c r="H2815" s="32">
        <f>IF(B2815="","",IFERROR(INDEX(Client_List!$J:$J,MATCH(VALUE(B2815),Client_List!$A:$A,0)),""))</f>
        <v/>
      </c>
      <c r="I2815" s="70">
        <f>IF(B2815="","",IFERROR(A2815-LOOKUP(2,1/($B$4:$B2814=B2815),$A$4:$A2814),""))</f>
        <v/>
      </c>
      <c r="J2815" s="32">
        <f>IF(B2815="","",IFERROR(D2815/I2815,""))</f>
        <v/>
      </c>
      <c r="K2815" s="71">
        <f>IF(B2815="","",IFERROR(AVERAGEIFS($J$4:$J2815,$B$4:$B2815,B2815,$J$4:$J2815,"&gt;"&amp;0),""))</f>
        <v/>
      </c>
      <c r="L2815" s="11" t="n"/>
    </row>
    <row r="2816" ht="14" customHeight="1" s="72">
      <c r="A2816" s="83" t="n"/>
      <c r="B2816" s="81" t="n"/>
      <c r="C2816" s="69">
        <f>IF(B2816="","",IFERROR(INDEX(Client_List!$B:$B,MATCH(B2816,Client_List!$A:$A,0)),"⚠ NOT FOUND"))</f>
        <v/>
      </c>
      <c r="D2816" s="45" t="n"/>
      <c r="E2816" s="32">
        <f>IF(B2816="","",IFERROR(INDEX(Client_List!$C:$C,MATCH(VALUE(B2816),Client_List!$A:$A,0)),""))</f>
        <v/>
      </c>
      <c r="F2816" s="53">
        <f>IF(B2816="","",IFERROR(INDEX(Client_List!$D:$D,MATCH(VALUE(B2816),Client_List!$A:$A,0)),""))</f>
        <v/>
      </c>
      <c r="G2816" s="53">
        <f>IF(B2816="","",IFERROR(INDEX(Client_List!$K:$K,MATCH(VALUE(B2816),Client_List!$A:$A,0)),""))</f>
        <v/>
      </c>
      <c r="H2816" s="32">
        <f>IF(B2816="","",IFERROR(INDEX(Client_List!$J:$J,MATCH(VALUE(B2816),Client_List!$A:$A,0)),""))</f>
        <v/>
      </c>
      <c r="I2816" s="70">
        <f>IF(B2816="","",IFERROR(A2816-LOOKUP(2,1/($B$4:$B2815=B2816),$A$4:$A2815),""))</f>
        <v/>
      </c>
      <c r="J2816" s="32">
        <f>IF(B2816="","",IFERROR(D2816/I2816,""))</f>
        <v/>
      </c>
      <c r="K2816" s="71">
        <f>IF(B2816="","",IFERROR(AVERAGEIFS($J$4:$J2816,$B$4:$B2816,B2816,$J$4:$J2816,"&gt;"&amp;0),""))</f>
        <v/>
      </c>
      <c r="L2816" s="12" t="n"/>
    </row>
    <row r="2817" ht="14" customHeight="1" s="72">
      <c r="A2817" s="82" t="n"/>
      <c r="B2817" s="79" t="n"/>
      <c r="C2817" s="69">
        <f>IF(B2817="","",IFERROR(INDEX(Client_List!$B:$B,MATCH(B2817,Client_List!$A:$A,0)),"⚠ NOT FOUND"))</f>
        <v/>
      </c>
      <c r="D2817" s="44" t="n"/>
      <c r="E2817" s="32">
        <f>IF(B2817="","",IFERROR(INDEX(Client_List!$C:$C,MATCH(VALUE(B2817),Client_List!$A:$A,0)),""))</f>
        <v/>
      </c>
      <c r="F2817" s="53">
        <f>IF(B2817="","",IFERROR(INDEX(Client_List!$D:$D,MATCH(VALUE(B2817),Client_List!$A:$A,0)),""))</f>
        <v/>
      </c>
      <c r="G2817" s="53">
        <f>IF(B2817="","",IFERROR(INDEX(Client_List!$K:$K,MATCH(VALUE(B2817),Client_List!$A:$A,0)),""))</f>
        <v/>
      </c>
      <c r="H2817" s="32">
        <f>IF(B2817="","",IFERROR(INDEX(Client_List!$J:$J,MATCH(VALUE(B2817),Client_List!$A:$A,0)),""))</f>
        <v/>
      </c>
      <c r="I2817" s="70">
        <f>IF(B2817="","",IFERROR(A2817-LOOKUP(2,1/($B$4:$B2816=B2817),$A$4:$A2816),""))</f>
        <v/>
      </c>
      <c r="J2817" s="32">
        <f>IF(B2817="","",IFERROR(D2817/I2817,""))</f>
        <v/>
      </c>
      <c r="K2817" s="71">
        <f>IF(B2817="","",IFERROR(AVERAGEIFS($J$4:$J2817,$B$4:$B2817,B2817,$J$4:$J2817,"&gt;"&amp;0),""))</f>
        <v/>
      </c>
      <c r="L2817" s="11" t="n"/>
    </row>
    <row r="2818" ht="14" customHeight="1" s="72">
      <c r="A2818" s="83" t="n"/>
      <c r="B2818" s="81" t="n"/>
      <c r="C2818" s="69">
        <f>IF(B2818="","",IFERROR(INDEX(Client_List!$B:$B,MATCH(B2818,Client_List!$A:$A,0)),"⚠ NOT FOUND"))</f>
        <v/>
      </c>
      <c r="D2818" s="45" t="n"/>
      <c r="E2818" s="32">
        <f>IF(B2818="","",IFERROR(INDEX(Client_List!$C:$C,MATCH(VALUE(B2818),Client_List!$A:$A,0)),""))</f>
        <v/>
      </c>
      <c r="F2818" s="53">
        <f>IF(B2818="","",IFERROR(INDEX(Client_List!$D:$D,MATCH(VALUE(B2818),Client_List!$A:$A,0)),""))</f>
        <v/>
      </c>
      <c r="G2818" s="53">
        <f>IF(B2818="","",IFERROR(INDEX(Client_List!$K:$K,MATCH(VALUE(B2818),Client_List!$A:$A,0)),""))</f>
        <v/>
      </c>
      <c r="H2818" s="32">
        <f>IF(B2818="","",IFERROR(INDEX(Client_List!$J:$J,MATCH(VALUE(B2818),Client_List!$A:$A,0)),""))</f>
        <v/>
      </c>
      <c r="I2818" s="70">
        <f>IF(B2818="","",IFERROR(A2818-LOOKUP(2,1/($B$4:$B2817=B2818),$A$4:$A2817),""))</f>
        <v/>
      </c>
      <c r="J2818" s="32">
        <f>IF(B2818="","",IFERROR(D2818/I2818,""))</f>
        <v/>
      </c>
      <c r="K2818" s="71">
        <f>IF(B2818="","",IFERROR(AVERAGEIFS($J$4:$J2818,$B$4:$B2818,B2818,$J$4:$J2818,"&gt;"&amp;0),""))</f>
        <v/>
      </c>
      <c r="L2818" s="12" t="n"/>
    </row>
    <row r="2819" ht="14" customHeight="1" s="72">
      <c r="A2819" s="82" t="n"/>
      <c r="B2819" s="79" t="n"/>
      <c r="C2819" s="69">
        <f>IF(B2819="","",IFERROR(INDEX(Client_List!$B:$B,MATCH(B2819,Client_List!$A:$A,0)),"⚠ NOT FOUND"))</f>
        <v/>
      </c>
      <c r="D2819" s="44" t="n"/>
      <c r="E2819" s="32">
        <f>IF(B2819="","",IFERROR(INDEX(Client_List!$C:$C,MATCH(VALUE(B2819),Client_List!$A:$A,0)),""))</f>
        <v/>
      </c>
      <c r="F2819" s="53">
        <f>IF(B2819="","",IFERROR(INDEX(Client_List!$D:$D,MATCH(VALUE(B2819),Client_List!$A:$A,0)),""))</f>
        <v/>
      </c>
      <c r="G2819" s="53">
        <f>IF(B2819="","",IFERROR(INDEX(Client_List!$K:$K,MATCH(VALUE(B2819),Client_List!$A:$A,0)),""))</f>
        <v/>
      </c>
      <c r="H2819" s="32">
        <f>IF(B2819="","",IFERROR(INDEX(Client_List!$J:$J,MATCH(VALUE(B2819),Client_List!$A:$A,0)),""))</f>
        <v/>
      </c>
      <c r="I2819" s="70">
        <f>IF(B2819="","",IFERROR(A2819-LOOKUP(2,1/($B$4:$B2818=B2819),$A$4:$A2818),""))</f>
        <v/>
      </c>
      <c r="J2819" s="32">
        <f>IF(B2819="","",IFERROR(D2819/I2819,""))</f>
        <v/>
      </c>
      <c r="K2819" s="71">
        <f>IF(B2819="","",IFERROR(AVERAGEIFS($J$4:$J2819,$B$4:$B2819,B2819,$J$4:$J2819,"&gt;"&amp;0),""))</f>
        <v/>
      </c>
      <c r="L2819" s="11" t="n"/>
    </row>
    <row r="2820" ht="14" customHeight="1" s="72">
      <c r="A2820" s="83" t="n"/>
      <c r="B2820" s="81" t="n"/>
      <c r="C2820" s="69">
        <f>IF(B2820="","",IFERROR(INDEX(Client_List!$B:$B,MATCH(B2820,Client_List!$A:$A,0)),"⚠ NOT FOUND"))</f>
        <v/>
      </c>
      <c r="D2820" s="45" t="n"/>
      <c r="E2820" s="32">
        <f>IF(B2820="","",IFERROR(INDEX(Client_List!$C:$C,MATCH(VALUE(B2820),Client_List!$A:$A,0)),""))</f>
        <v/>
      </c>
      <c r="F2820" s="53">
        <f>IF(B2820="","",IFERROR(INDEX(Client_List!$D:$D,MATCH(VALUE(B2820),Client_List!$A:$A,0)),""))</f>
        <v/>
      </c>
      <c r="G2820" s="53">
        <f>IF(B2820="","",IFERROR(INDEX(Client_List!$K:$K,MATCH(VALUE(B2820),Client_List!$A:$A,0)),""))</f>
        <v/>
      </c>
      <c r="H2820" s="32">
        <f>IF(B2820="","",IFERROR(INDEX(Client_List!$J:$J,MATCH(VALUE(B2820),Client_List!$A:$A,0)),""))</f>
        <v/>
      </c>
      <c r="I2820" s="70">
        <f>IF(B2820="","",IFERROR(A2820-LOOKUP(2,1/($B$4:$B2819=B2820),$A$4:$A2819),""))</f>
        <v/>
      </c>
      <c r="J2820" s="32">
        <f>IF(B2820="","",IFERROR(D2820/I2820,""))</f>
        <v/>
      </c>
      <c r="K2820" s="71">
        <f>IF(B2820="","",IFERROR(AVERAGEIFS($J$4:$J2820,$B$4:$B2820,B2820,$J$4:$J2820,"&gt;"&amp;0),""))</f>
        <v/>
      </c>
      <c r="L2820" s="12" t="n"/>
    </row>
    <row r="2821" ht="14" customHeight="1" s="72">
      <c r="A2821" s="82" t="n"/>
      <c r="B2821" s="79" t="n"/>
      <c r="C2821" s="69">
        <f>IF(B2821="","",IFERROR(INDEX(Client_List!$B:$B,MATCH(B2821,Client_List!$A:$A,0)),"⚠ NOT FOUND"))</f>
        <v/>
      </c>
      <c r="D2821" s="44" t="n"/>
      <c r="E2821" s="32">
        <f>IF(B2821="","",IFERROR(INDEX(Client_List!$C:$C,MATCH(VALUE(B2821),Client_List!$A:$A,0)),""))</f>
        <v/>
      </c>
      <c r="F2821" s="53">
        <f>IF(B2821="","",IFERROR(INDEX(Client_List!$D:$D,MATCH(VALUE(B2821),Client_List!$A:$A,0)),""))</f>
        <v/>
      </c>
      <c r="G2821" s="53">
        <f>IF(B2821="","",IFERROR(INDEX(Client_List!$K:$K,MATCH(VALUE(B2821),Client_List!$A:$A,0)),""))</f>
        <v/>
      </c>
      <c r="H2821" s="32">
        <f>IF(B2821="","",IFERROR(INDEX(Client_List!$J:$J,MATCH(VALUE(B2821),Client_List!$A:$A,0)),""))</f>
        <v/>
      </c>
      <c r="I2821" s="70">
        <f>IF(B2821="","",IFERROR(A2821-LOOKUP(2,1/($B$4:$B2820=B2821),$A$4:$A2820),""))</f>
        <v/>
      </c>
      <c r="J2821" s="32">
        <f>IF(B2821="","",IFERROR(D2821/I2821,""))</f>
        <v/>
      </c>
      <c r="K2821" s="71">
        <f>IF(B2821="","",IFERROR(AVERAGEIFS($J$4:$J2821,$B$4:$B2821,B2821,$J$4:$J2821,"&gt;"&amp;0),""))</f>
        <v/>
      </c>
      <c r="L2821" s="11" t="n"/>
    </row>
    <row r="2822" ht="14" customHeight="1" s="72">
      <c r="A2822" s="83" t="n"/>
      <c r="B2822" s="81" t="n"/>
      <c r="C2822" s="69">
        <f>IF(B2822="","",IFERROR(INDEX(Client_List!$B:$B,MATCH(B2822,Client_List!$A:$A,0)),"⚠ NOT FOUND"))</f>
        <v/>
      </c>
      <c r="D2822" s="45" t="n"/>
      <c r="E2822" s="32">
        <f>IF(B2822="","",IFERROR(INDEX(Client_List!$C:$C,MATCH(VALUE(B2822),Client_List!$A:$A,0)),""))</f>
        <v/>
      </c>
      <c r="F2822" s="53">
        <f>IF(B2822="","",IFERROR(INDEX(Client_List!$D:$D,MATCH(VALUE(B2822),Client_List!$A:$A,0)),""))</f>
        <v/>
      </c>
      <c r="G2822" s="53">
        <f>IF(B2822="","",IFERROR(INDEX(Client_List!$K:$K,MATCH(VALUE(B2822),Client_List!$A:$A,0)),""))</f>
        <v/>
      </c>
      <c r="H2822" s="32">
        <f>IF(B2822="","",IFERROR(INDEX(Client_List!$J:$J,MATCH(VALUE(B2822),Client_List!$A:$A,0)),""))</f>
        <v/>
      </c>
      <c r="I2822" s="70">
        <f>IF(B2822="","",IFERROR(A2822-LOOKUP(2,1/($B$4:$B2821=B2822),$A$4:$A2821),""))</f>
        <v/>
      </c>
      <c r="J2822" s="32">
        <f>IF(B2822="","",IFERROR(D2822/I2822,""))</f>
        <v/>
      </c>
      <c r="K2822" s="71">
        <f>IF(B2822="","",IFERROR(AVERAGEIFS($J$4:$J2822,$B$4:$B2822,B2822,$J$4:$J2822,"&gt;"&amp;0),""))</f>
        <v/>
      </c>
      <c r="L2822" s="12" t="n"/>
    </row>
    <row r="2823" ht="14" customHeight="1" s="72">
      <c r="A2823" s="82" t="n"/>
      <c r="B2823" s="79" t="n"/>
      <c r="C2823" s="69">
        <f>IF(B2823="","",IFERROR(INDEX(Client_List!$B:$B,MATCH(B2823,Client_List!$A:$A,0)),"⚠ NOT FOUND"))</f>
        <v/>
      </c>
      <c r="D2823" s="44" t="n"/>
      <c r="E2823" s="32">
        <f>IF(B2823="","",IFERROR(INDEX(Client_List!$C:$C,MATCH(VALUE(B2823),Client_List!$A:$A,0)),""))</f>
        <v/>
      </c>
      <c r="F2823" s="53">
        <f>IF(B2823="","",IFERROR(INDEX(Client_List!$D:$D,MATCH(VALUE(B2823),Client_List!$A:$A,0)),""))</f>
        <v/>
      </c>
      <c r="G2823" s="53">
        <f>IF(B2823="","",IFERROR(INDEX(Client_List!$K:$K,MATCH(VALUE(B2823),Client_List!$A:$A,0)),""))</f>
        <v/>
      </c>
      <c r="H2823" s="32">
        <f>IF(B2823="","",IFERROR(INDEX(Client_List!$J:$J,MATCH(VALUE(B2823),Client_List!$A:$A,0)),""))</f>
        <v/>
      </c>
      <c r="I2823" s="70">
        <f>IF(B2823="","",IFERROR(A2823-LOOKUP(2,1/($B$4:$B2822=B2823),$A$4:$A2822),""))</f>
        <v/>
      </c>
      <c r="J2823" s="32">
        <f>IF(B2823="","",IFERROR(D2823/I2823,""))</f>
        <v/>
      </c>
      <c r="K2823" s="71">
        <f>IF(B2823="","",IFERROR(AVERAGEIFS($J$4:$J2823,$B$4:$B2823,B2823,$J$4:$J2823,"&gt;"&amp;0),""))</f>
        <v/>
      </c>
      <c r="L2823" s="11" t="n"/>
    </row>
    <row r="2824" ht="14" customHeight="1" s="72">
      <c r="A2824" s="83" t="n"/>
      <c r="B2824" s="81" t="n"/>
      <c r="C2824" s="69">
        <f>IF(B2824="","",IFERROR(INDEX(Client_List!$B:$B,MATCH(B2824,Client_List!$A:$A,0)),"⚠ NOT FOUND"))</f>
        <v/>
      </c>
      <c r="D2824" s="45" t="n"/>
      <c r="E2824" s="32">
        <f>IF(B2824="","",IFERROR(INDEX(Client_List!$C:$C,MATCH(VALUE(B2824),Client_List!$A:$A,0)),""))</f>
        <v/>
      </c>
      <c r="F2824" s="53">
        <f>IF(B2824="","",IFERROR(INDEX(Client_List!$D:$D,MATCH(VALUE(B2824),Client_List!$A:$A,0)),""))</f>
        <v/>
      </c>
      <c r="G2824" s="53">
        <f>IF(B2824="","",IFERROR(INDEX(Client_List!$K:$K,MATCH(VALUE(B2824),Client_List!$A:$A,0)),""))</f>
        <v/>
      </c>
      <c r="H2824" s="32">
        <f>IF(B2824="","",IFERROR(INDEX(Client_List!$J:$J,MATCH(VALUE(B2824),Client_List!$A:$A,0)),""))</f>
        <v/>
      </c>
      <c r="I2824" s="70">
        <f>IF(B2824="","",IFERROR(A2824-LOOKUP(2,1/($B$4:$B2823=B2824),$A$4:$A2823),""))</f>
        <v/>
      </c>
      <c r="J2824" s="32">
        <f>IF(B2824="","",IFERROR(D2824/I2824,""))</f>
        <v/>
      </c>
      <c r="K2824" s="71">
        <f>IF(B2824="","",IFERROR(AVERAGEIFS($J$4:$J2824,$B$4:$B2824,B2824,$J$4:$J2824,"&gt;"&amp;0),""))</f>
        <v/>
      </c>
      <c r="L2824" s="12" t="n"/>
    </row>
    <row r="2825" ht="14" customHeight="1" s="72">
      <c r="A2825" s="82" t="n"/>
      <c r="B2825" s="79" t="n"/>
      <c r="C2825" s="69">
        <f>IF(B2825="","",IFERROR(INDEX(Client_List!$B:$B,MATCH(B2825,Client_List!$A:$A,0)),"⚠ NOT FOUND"))</f>
        <v/>
      </c>
      <c r="D2825" s="44" t="n"/>
      <c r="E2825" s="32">
        <f>IF(B2825="","",IFERROR(INDEX(Client_List!$C:$C,MATCH(VALUE(B2825),Client_List!$A:$A,0)),""))</f>
        <v/>
      </c>
      <c r="F2825" s="53">
        <f>IF(B2825="","",IFERROR(INDEX(Client_List!$D:$D,MATCH(VALUE(B2825),Client_List!$A:$A,0)),""))</f>
        <v/>
      </c>
      <c r="G2825" s="53">
        <f>IF(B2825="","",IFERROR(INDEX(Client_List!$K:$K,MATCH(VALUE(B2825),Client_List!$A:$A,0)),""))</f>
        <v/>
      </c>
      <c r="H2825" s="32">
        <f>IF(B2825="","",IFERROR(INDEX(Client_List!$J:$J,MATCH(VALUE(B2825),Client_List!$A:$A,0)),""))</f>
        <v/>
      </c>
      <c r="I2825" s="70">
        <f>IF(B2825="","",IFERROR(A2825-LOOKUP(2,1/($B$4:$B2824=B2825),$A$4:$A2824),""))</f>
        <v/>
      </c>
      <c r="J2825" s="32">
        <f>IF(B2825="","",IFERROR(D2825/I2825,""))</f>
        <v/>
      </c>
      <c r="K2825" s="71">
        <f>IF(B2825="","",IFERROR(AVERAGEIFS($J$4:$J2825,$B$4:$B2825,B2825,$J$4:$J2825,"&gt;"&amp;0),""))</f>
        <v/>
      </c>
      <c r="L2825" s="11" t="n"/>
    </row>
    <row r="2826" ht="14" customHeight="1" s="72">
      <c r="A2826" s="83" t="n"/>
      <c r="B2826" s="81" t="n"/>
      <c r="C2826" s="69">
        <f>IF(B2826="","",IFERROR(INDEX(Client_List!$B:$B,MATCH(B2826,Client_List!$A:$A,0)),"⚠ NOT FOUND"))</f>
        <v/>
      </c>
      <c r="D2826" s="45" t="n"/>
      <c r="E2826" s="32">
        <f>IF(B2826="","",IFERROR(INDEX(Client_List!$C:$C,MATCH(VALUE(B2826),Client_List!$A:$A,0)),""))</f>
        <v/>
      </c>
      <c r="F2826" s="53">
        <f>IF(B2826="","",IFERROR(INDEX(Client_List!$D:$D,MATCH(VALUE(B2826),Client_List!$A:$A,0)),""))</f>
        <v/>
      </c>
      <c r="G2826" s="53">
        <f>IF(B2826="","",IFERROR(INDEX(Client_List!$K:$K,MATCH(VALUE(B2826),Client_List!$A:$A,0)),""))</f>
        <v/>
      </c>
      <c r="H2826" s="32">
        <f>IF(B2826="","",IFERROR(INDEX(Client_List!$J:$J,MATCH(VALUE(B2826),Client_List!$A:$A,0)),""))</f>
        <v/>
      </c>
      <c r="I2826" s="70">
        <f>IF(B2826="","",IFERROR(A2826-LOOKUP(2,1/($B$4:$B2825=B2826),$A$4:$A2825),""))</f>
        <v/>
      </c>
      <c r="J2826" s="32">
        <f>IF(B2826="","",IFERROR(D2826/I2826,""))</f>
        <v/>
      </c>
      <c r="K2826" s="71">
        <f>IF(B2826="","",IFERROR(AVERAGEIFS($J$4:$J2826,$B$4:$B2826,B2826,$J$4:$J2826,"&gt;"&amp;0),""))</f>
        <v/>
      </c>
      <c r="L2826" s="12" t="n"/>
    </row>
    <row r="2827" ht="14" customHeight="1" s="72">
      <c r="A2827" s="82" t="n"/>
      <c r="B2827" s="79" t="n"/>
      <c r="C2827" s="69">
        <f>IF(B2827="","",IFERROR(INDEX(Client_List!$B:$B,MATCH(B2827,Client_List!$A:$A,0)),"⚠ NOT FOUND"))</f>
        <v/>
      </c>
      <c r="D2827" s="44" t="n"/>
      <c r="E2827" s="32">
        <f>IF(B2827="","",IFERROR(INDEX(Client_List!$C:$C,MATCH(VALUE(B2827),Client_List!$A:$A,0)),""))</f>
        <v/>
      </c>
      <c r="F2827" s="53">
        <f>IF(B2827="","",IFERROR(INDEX(Client_List!$D:$D,MATCH(VALUE(B2827),Client_List!$A:$A,0)),""))</f>
        <v/>
      </c>
      <c r="G2827" s="53">
        <f>IF(B2827="","",IFERROR(INDEX(Client_List!$K:$K,MATCH(VALUE(B2827),Client_List!$A:$A,0)),""))</f>
        <v/>
      </c>
      <c r="H2827" s="32">
        <f>IF(B2827="","",IFERROR(INDEX(Client_List!$J:$J,MATCH(VALUE(B2827),Client_List!$A:$A,0)),""))</f>
        <v/>
      </c>
      <c r="I2827" s="70">
        <f>IF(B2827="","",IFERROR(A2827-LOOKUP(2,1/($B$4:$B2826=B2827),$A$4:$A2826),""))</f>
        <v/>
      </c>
      <c r="J2827" s="32">
        <f>IF(B2827="","",IFERROR(D2827/I2827,""))</f>
        <v/>
      </c>
      <c r="K2827" s="71">
        <f>IF(B2827="","",IFERROR(AVERAGEIFS($J$4:$J2827,$B$4:$B2827,B2827,$J$4:$J2827,"&gt;"&amp;0),""))</f>
        <v/>
      </c>
      <c r="L2827" s="11" t="n"/>
    </row>
    <row r="2828" ht="14" customHeight="1" s="72">
      <c r="A2828" s="83" t="n"/>
      <c r="B2828" s="81" t="n"/>
      <c r="C2828" s="69">
        <f>IF(B2828="","",IFERROR(INDEX(Client_List!$B:$B,MATCH(B2828,Client_List!$A:$A,0)),"⚠ NOT FOUND"))</f>
        <v/>
      </c>
      <c r="D2828" s="45" t="n"/>
      <c r="E2828" s="32">
        <f>IF(B2828="","",IFERROR(INDEX(Client_List!$C:$C,MATCH(VALUE(B2828),Client_List!$A:$A,0)),""))</f>
        <v/>
      </c>
      <c r="F2828" s="53">
        <f>IF(B2828="","",IFERROR(INDEX(Client_List!$D:$D,MATCH(VALUE(B2828),Client_List!$A:$A,0)),""))</f>
        <v/>
      </c>
      <c r="G2828" s="53">
        <f>IF(B2828="","",IFERROR(INDEX(Client_List!$K:$K,MATCH(VALUE(B2828),Client_List!$A:$A,0)),""))</f>
        <v/>
      </c>
      <c r="H2828" s="32">
        <f>IF(B2828="","",IFERROR(INDEX(Client_List!$J:$J,MATCH(VALUE(B2828),Client_List!$A:$A,0)),""))</f>
        <v/>
      </c>
      <c r="I2828" s="70">
        <f>IF(B2828="","",IFERROR(A2828-LOOKUP(2,1/($B$4:$B2827=B2828),$A$4:$A2827),""))</f>
        <v/>
      </c>
      <c r="J2828" s="32">
        <f>IF(B2828="","",IFERROR(D2828/I2828,""))</f>
        <v/>
      </c>
      <c r="K2828" s="71">
        <f>IF(B2828="","",IFERROR(AVERAGEIFS($J$4:$J2828,$B$4:$B2828,B2828,$J$4:$J2828,"&gt;"&amp;0),""))</f>
        <v/>
      </c>
      <c r="L2828" s="12" t="n"/>
    </row>
    <row r="2829" ht="14" customHeight="1" s="72">
      <c r="A2829" s="82" t="n"/>
      <c r="B2829" s="79" t="n"/>
      <c r="C2829" s="69">
        <f>IF(B2829="","",IFERROR(INDEX(Client_List!$B:$B,MATCH(B2829,Client_List!$A:$A,0)),"⚠ NOT FOUND"))</f>
        <v/>
      </c>
      <c r="D2829" s="44" t="n"/>
      <c r="E2829" s="32">
        <f>IF(B2829="","",IFERROR(INDEX(Client_List!$C:$C,MATCH(VALUE(B2829),Client_List!$A:$A,0)),""))</f>
        <v/>
      </c>
      <c r="F2829" s="53">
        <f>IF(B2829="","",IFERROR(INDEX(Client_List!$D:$D,MATCH(VALUE(B2829),Client_List!$A:$A,0)),""))</f>
        <v/>
      </c>
      <c r="G2829" s="53">
        <f>IF(B2829="","",IFERROR(INDEX(Client_List!$K:$K,MATCH(VALUE(B2829),Client_List!$A:$A,0)),""))</f>
        <v/>
      </c>
      <c r="H2829" s="32">
        <f>IF(B2829="","",IFERROR(INDEX(Client_List!$J:$J,MATCH(VALUE(B2829),Client_List!$A:$A,0)),""))</f>
        <v/>
      </c>
      <c r="I2829" s="70">
        <f>IF(B2829="","",IFERROR(A2829-LOOKUP(2,1/($B$4:$B2828=B2829),$A$4:$A2828),""))</f>
        <v/>
      </c>
      <c r="J2829" s="32">
        <f>IF(B2829="","",IFERROR(D2829/I2829,""))</f>
        <v/>
      </c>
      <c r="K2829" s="71">
        <f>IF(B2829="","",IFERROR(AVERAGEIFS($J$4:$J2829,$B$4:$B2829,B2829,$J$4:$J2829,"&gt;"&amp;0),""))</f>
        <v/>
      </c>
      <c r="L2829" s="11" t="n"/>
    </row>
    <row r="2830" ht="14" customHeight="1" s="72">
      <c r="A2830" s="83" t="n"/>
      <c r="B2830" s="81" t="n"/>
      <c r="C2830" s="69">
        <f>IF(B2830="","",IFERROR(INDEX(Client_List!$B:$B,MATCH(B2830,Client_List!$A:$A,0)),"⚠ NOT FOUND"))</f>
        <v/>
      </c>
      <c r="D2830" s="45" t="n"/>
      <c r="E2830" s="32">
        <f>IF(B2830="","",IFERROR(INDEX(Client_List!$C:$C,MATCH(VALUE(B2830),Client_List!$A:$A,0)),""))</f>
        <v/>
      </c>
      <c r="F2830" s="53">
        <f>IF(B2830="","",IFERROR(INDEX(Client_List!$D:$D,MATCH(VALUE(B2830),Client_List!$A:$A,0)),""))</f>
        <v/>
      </c>
      <c r="G2830" s="53">
        <f>IF(B2830="","",IFERROR(INDEX(Client_List!$K:$K,MATCH(VALUE(B2830),Client_List!$A:$A,0)),""))</f>
        <v/>
      </c>
      <c r="H2830" s="32">
        <f>IF(B2830="","",IFERROR(INDEX(Client_List!$J:$J,MATCH(VALUE(B2830),Client_List!$A:$A,0)),""))</f>
        <v/>
      </c>
      <c r="I2830" s="70">
        <f>IF(B2830="","",IFERROR(A2830-LOOKUP(2,1/($B$4:$B2829=B2830),$A$4:$A2829),""))</f>
        <v/>
      </c>
      <c r="J2830" s="32">
        <f>IF(B2830="","",IFERROR(D2830/I2830,""))</f>
        <v/>
      </c>
      <c r="K2830" s="71">
        <f>IF(B2830="","",IFERROR(AVERAGEIFS($J$4:$J2830,$B$4:$B2830,B2830,$J$4:$J2830,"&gt;"&amp;0),""))</f>
        <v/>
      </c>
      <c r="L2830" s="12" t="n"/>
    </row>
    <row r="2831" ht="14" customHeight="1" s="72">
      <c r="A2831" s="82" t="n"/>
      <c r="B2831" s="79" t="n"/>
      <c r="C2831" s="69">
        <f>IF(B2831="","",IFERROR(INDEX(Client_List!$B:$B,MATCH(B2831,Client_List!$A:$A,0)),"⚠ NOT FOUND"))</f>
        <v/>
      </c>
      <c r="D2831" s="44" t="n"/>
      <c r="E2831" s="32">
        <f>IF(B2831="","",IFERROR(INDEX(Client_List!$C:$C,MATCH(VALUE(B2831),Client_List!$A:$A,0)),""))</f>
        <v/>
      </c>
      <c r="F2831" s="53">
        <f>IF(B2831="","",IFERROR(INDEX(Client_List!$D:$D,MATCH(VALUE(B2831),Client_List!$A:$A,0)),""))</f>
        <v/>
      </c>
      <c r="G2831" s="53">
        <f>IF(B2831="","",IFERROR(INDEX(Client_List!$K:$K,MATCH(VALUE(B2831),Client_List!$A:$A,0)),""))</f>
        <v/>
      </c>
      <c r="H2831" s="32">
        <f>IF(B2831="","",IFERROR(INDEX(Client_List!$J:$J,MATCH(VALUE(B2831),Client_List!$A:$A,0)),""))</f>
        <v/>
      </c>
      <c r="I2831" s="70">
        <f>IF(B2831="","",IFERROR(A2831-LOOKUP(2,1/($B$4:$B2830=B2831),$A$4:$A2830),""))</f>
        <v/>
      </c>
      <c r="J2831" s="32">
        <f>IF(B2831="","",IFERROR(D2831/I2831,""))</f>
        <v/>
      </c>
      <c r="K2831" s="71">
        <f>IF(B2831="","",IFERROR(AVERAGEIFS($J$4:$J2831,$B$4:$B2831,B2831,$J$4:$J2831,"&gt;"&amp;0),""))</f>
        <v/>
      </c>
      <c r="L2831" s="11" t="n"/>
    </row>
    <row r="2832" ht="14" customHeight="1" s="72">
      <c r="A2832" s="83" t="n"/>
      <c r="B2832" s="81" t="n"/>
      <c r="C2832" s="69">
        <f>IF(B2832="","",IFERROR(INDEX(Client_List!$B:$B,MATCH(B2832,Client_List!$A:$A,0)),"⚠ NOT FOUND"))</f>
        <v/>
      </c>
      <c r="D2832" s="45" t="n"/>
      <c r="E2832" s="32">
        <f>IF(B2832="","",IFERROR(INDEX(Client_List!$C:$C,MATCH(VALUE(B2832),Client_List!$A:$A,0)),""))</f>
        <v/>
      </c>
      <c r="F2832" s="53">
        <f>IF(B2832="","",IFERROR(INDEX(Client_List!$D:$D,MATCH(VALUE(B2832),Client_List!$A:$A,0)),""))</f>
        <v/>
      </c>
      <c r="G2832" s="53">
        <f>IF(B2832="","",IFERROR(INDEX(Client_List!$K:$K,MATCH(VALUE(B2832),Client_List!$A:$A,0)),""))</f>
        <v/>
      </c>
      <c r="H2832" s="32">
        <f>IF(B2832="","",IFERROR(INDEX(Client_List!$J:$J,MATCH(VALUE(B2832),Client_List!$A:$A,0)),""))</f>
        <v/>
      </c>
      <c r="I2832" s="70">
        <f>IF(B2832="","",IFERROR(A2832-LOOKUP(2,1/($B$4:$B2831=B2832),$A$4:$A2831),""))</f>
        <v/>
      </c>
      <c r="J2832" s="32">
        <f>IF(B2832="","",IFERROR(D2832/I2832,""))</f>
        <v/>
      </c>
      <c r="K2832" s="71">
        <f>IF(B2832="","",IFERROR(AVERAGEIFS($J$4:$J2832,$B$4:$B2832,B2832,$J$4:$J2832,"&gt;"&amp;0),""))</f>
        <v/>
      </c>
      <c r="L2832" s="12" t="n"/>
    </row>
    <row r="2833" ht="14" customHeight="1" s="72">
      <c r="A2833" s="82" t="n"/>
      <c r="B2833" s="79" t="n"/>
      <c r="C2833" s="69">
        <f>IF(B2833="","",IFERROR(INDEX(Client_List!$B:$B,MATCH(B2833,Client_List!$A:$A,0)),"⚠ NOT FOUND"))</f>
        <v/>
      </c>
      <c r="D2833" s="44" t="n"/>
      <c r="E2833" s="32">
        <f>IF(B2833="","",IFERROR(INDEX(Client_List!$C:$C,MATCH(VALUE(B2833),Client_List!$A:$A,0)),""))</f>
        <v/>
      </c>
      <c r="F2833" s="53">
        <f>IF(B2833="","",IFERROR(INDEX(Client_List!$D:$D,MATCH(VALUE(B2833),Client_List!$A:$A,0)),""))</f>
        <v/>
      </c>
      <c r="G2833" s="53">
        <f>IF(B2833="","",IFERROR(INDEX(Client_List!$K:$K,MATCH(VALUE(B2833),Client_List!$A:$A,0)),""))</f>
        <v/>
      </c>
      <c r="H2833" s="32">
        <f>IF(B2833="","",IFERROR(INDEX(Client_List!$J:$J,MATCH(VALUE(B2833),Client_List!$A:$A,0)),""))</f>
        <v/>
      </c>
      <c r="I2833" s="70">
        <f>IF(B2833="","",IFERROR(A2833-LOOKUP(2,1/($B$4:$B2832=B2833),$A$4:$A2832),""))</f>
        <v/>
      </c>
      <c r="J2833" s="32">
        <f>IF(B2833="","",IFERROR(D2833/I2833,""))</f>
        <v/>
      </c>
      <c r="K2833" s="71">
        <f>IF(B2833="","",IFERROR(AVERAGEIFS($J$4:$J2833,$B$4:$B2833,B2833,$J$4:$J2833,"&gt;"&amp;0),""))</f>
        <v/>
      </c>
      <c r="L2833" s="11" t="n"/>
    </row>
    <row r="2834" ht="14" customHeight="1" s="72">
      <c r="A2834" s="83" t="n"/>
      <c r="B2834" s="81" t="n"/>
      <c r="C2834" s="69">
        <f>IF(B2834="","",IFERROR(INDEX(Client_List!$B:$B,MATCH(B2834,Client_List!$A:$A,0)),"⚠ NOT FOUND"))</f>
        <v/>
      </c>
      <c r="D2834" s="45" t="n"/>
      <c r="E2834" s="32">
        <f>IF(B2834="","",IFERROR(INDEX(Client_List!$C:$C,MATCH(VALUE(B2834),Client_List!$A:$A,0)),""))</f>
        <v/>
      </c>
      <c r="F2834" s="53">
        <f>IF(B2834="","",IFERROR(INDEX(Client_List!$D:$D,MATCH(VALUE(B2834),Client_List!$A:$A,0)),""))</f>
        <v/>
      </c>
      <c r="G2834" s="53">
        <f>IF(B2834="","",IFERROR(INDEX(Client_List!$K:$K,MATCH(VALUE(B2834),Client_List!$A:$A,0)),""))</f>
        <v/>
      </c>
      <c r="H2834" s="32">
        <f>IF(B2834="","",IFERROR(INDEX(Client_List!$J:$J,MATCH(VALUE(B2834),Client_List!$A:$A,0)),""))</f>
        <v/>
      </c>
      <c r="I2834" s="70">
        <f>IF(B2834="","",IFERROR(A2834-LOOKUP(2,1/($B$4:$B2833=B2834),$A$4:$A2833),""))</f>
        <v/>
      </c>
      <c r="J2834" s="32">
        <f>IF(B2834="","",IFERROR(D2834/I2834,""))</f>
        <v/>
      </c>
      <c r="K2834" s="71">
        <f>IF(B2834="","",IFERROR(AVERAGEIFS($J$4:$J2834,$B$4:$B2834,B2834,$J$4:$J2834,"&gt;"&amp;0),""))</f>
        <v/>
      </c>
      <c r="L2834" s="12" t="n"/>
    </row>
    <row r="2835" ht="14" customHeight="1" s="72">
      <c r="A2835" s="82" t="n"/>
      <c r="B2835" s="79" t="n"/>
      <c r="C2835" s="69">
        <f>IF(B2835="","",IFERROR(INDEX(Client_List!$B:$B,MATCH(B2835,Client_List!$A:$A,0)),"⚠ NOT FOUND"))</f>
        <v/>
      </c>
      <c r="D2835" s="44" t="n"/>
      <c r="E2835" s="32">
        <f>IF(B2835="","",IFERROR(INDEX(Client_List!$C:$C,MATCH(VALUE(B2835),Client_List!$A:$A,0)),""))</f>
        <v/>
      </c>
      <c r="F2835" s="53">
        <f>IF(B2835="","",IFERROR(INDEX(Client_List!$D:$D,MATCH(VALUE(B2835),Client_List!$A:$A,0)),""))</f>
        <v/>
      </c>
      <c r="G2835" s="53">
        <f>IF(B2835="","",IFERROR(INDEX(Client_List!$K:$K,MATCH(VALUE(B2835),Client_List!$A:$A,0)),""))</f>
        <v/>
      </c>
      <c r="H2835" s="32">
        <f>IF(B2835="","",IFERROR(INDEX(Client_List!$J:$J,MATCH(VALUE(B2835),Client_List!$A:$A,0)),""))</f>
        <v/>
      </c>
      <c r="I2835" s="70">
        <f>IF(B2835="","",IFERROR(A2835-LOOKUP(2,1/($B$4:$B2834=B2835),$A$4:$A2834),""))</f>
        <v/>
      </c>
      <c r="J2835" s="32">
        <f>IF(B2835="","",IFERROR(D2835/I2835,""))</f>
        <v/>
      </c>
      <c r="K2835" s="71">
        <f>IF(B2835="","",IFERROR(AVERAGEIFS($J$4:$J2835,$B$4:$B2835,B2835,$J$4:$J2835,"&gt;"&amp;0),""))</f>
        <v/>
      </c>
      <c r="L2835" s="11" t="n"/>
    </row>
    <row r="2836" ht="14" customHeight="1" s="72">
      <c r="A2836" s="83" t="n"/>
      <c r="B2836" s="81" t="n"/>
      <c r="C2836" s="69">
        <f>IF(B2836="","",IFERROR(INDEX(Client_List!$B:$B,MATCH(B2836,Client_List!$A:$A,0)),"⚠ NOT FOUND"))</f>
        <v/>
      </c>
      <c r="D2836" s="45" t="n"/>
      <c r="E2836" s="32">
        <f>IF(B2836="","",IFERROR(INDEX(Client_List!$C:$C,MATCH(VALUE(B2836),Client_List!$A:$A,0)),""))</f>
        <v/>
      </c>
      <c r="F2836" s="53">
        <f>IF(B2836="","",IFERROR(INDEX(Client_List!$D:$D,MATCH(VALUE(B2836),Client_List!$A:$A,0)),""))</f>
        <v/>
      </c>
      <c r="G2836" s="53">
        <f>IF(B2836="","",IFERROR(INDEX(Client_List!$K:$K,MATCH(VALUE(B2836),Client_List!$A:$A,0)),""))</f>
        <v/>
      </c>
      <c r="H2836" s="32">
        <f>IF(B2836="","",IFERROR(INDEX(Client_List!$J:$J,MATCH(VALUE(B2836),Client_List!$A:$A,0)),""))</f>
        <v/>
      </c>
      <c r="I2836" s="70">
        <f>IF(B2836="","",IFERROR(A2836-LOOKUP(2,1/($B$4:$B2835=B2836),$A$4:$A2835),""))</f>
        <v/>
      </c>
      <c r="J2836" s="32">
        <f>IF(B2836="","",IFERROR(D2836/I2836,""))</f>
        <v/>
      </c>
      <c r="K2836" s="71">
        <f>IF(B2836="","",IFERROR(AVERAGEIFS($J$4:$J2836,$B$4:$B2836,B2836,$J$4:$J2836,"&gt;"&amp;0),""))</f>
        <v/>
      </c>
      <c r="L2836" s="12" t="n"/>
    </row>
    <row r="2837" ht="14" customHeight="1" s="72">
      <c r="A2837" s="82" t="n"/>
      <c r="B2837" s="79" t="n"/>
      <c r="C2837" s="69">
        <f>IF(B2837="","",IFERROR(INDEX(Client_List!$B:$B,MATCH(B2837,Client_List!$A:$A,0)),"⚠ NOT FOUND"))</f>
        <v/>
      </c>
      <c r="D2837" s="44" t="n"/>
      <c r="E2837" s="32">
        <f>IF(B2837="","",IFERROR(INDEX(Client_List!$C:$C,MATCH(VALUE(B2837),Client_List!$A:$A,0)),""))</f>
        <v/>
      </c>
      <c r="F2837" s="53">
        <f>IF(B2837="","",IFERROR(INDEX(Client_List!$D:$D,MATCH(VALUE(B2837),Client_List!$A:$A,0)),""))</f>
        <v/>
      </c>
      <c r="G2837" s="53">
        <f>IF(B2837="","",IFERROR(INDEX(Client_List!$K:$K,MATCH(VALUE(B2837),Client_List!$A:$A,0)),""))</f>
        <v/>
      </c>
      <c r="H2837" s="32">
        <f>IF(B2837="","",IFERROR(INDEX(Client_List!$J:$J,MATCH(VALUE(B2837),Client_List!$A:$A,0)),""))</f>
        <v/>
      </c>
      <c r="I2837" s="70">
        <f>IF(B2837="","",IFERROR(A2837-LOOKUP(2,1/($B$4:$B2836=B2837),$A$4:$A2836),""))</f>
        <v/>
      </c>
      <c r="J2837" s="32">
        <f>IF(B2837="","",IFERROR(D2837/I2837,""))</f>
        <v/>
      </c>
      <c r="K2837" s="71">
        <f>IF(B2837="","",IFERROR(AVERAGEIFS($J$4:$J2837,$B$4:$B2837,B2837,$J$4:$J2837,"&gt;"&amp;0),""))</f>
        <v/>
      </c>
      <c r="L2837" s="11" t="n"/>
    </row>
    <row r="2838" ht="14" customHeight="1" s="72">
      <c r="A2838" s="83" t="n"/>
      <c r="B2838" s="81" t="n"/>
      <c r="C2838" s="69">
        <f>IF(B2838="","",IFERROR(INDEX(Client_List!$B:$B,MATCH(B2838,Client_List!$A:$A,0)),"⚠ NOT FOUND"))</f>
        <v/>
      </c>
      <c r="D2838" s="45" t="n"/>
      <c r="E2838" s="32">
        <f>IF(B2838="","",IFERROR(INDEX(Client_List!$C:$C,MATCH(VALUE(B2838),Client_List!$A:$A,0)),""))</f>
        <v/>
      </c>
      <c r="F2838" s="53">
        <f>IF(B2838="","",IFERROR(INDEX(Client_List!$D:$D,MATCH(VALUE(B2838),Client_List!$A:$A,0)),""))</f>
        <v/>
      </c>
      <c r="G2838" s="53">
        <f>IF(B2838="","",IFERROR(INDEX(Client_List!$K:$K,MATCH(VALUE(B2838),Client_List!$A:$A,0)),""))</f>
        <v/>
      </c>
      <c r="H2838" s="32">
        <f>IF(B2838="","",IFERROR(INDEX(Client_List!$J:$J,MATCH(VALUE(B2838),Client_List!$A:$A,0)),""))</f>
        <v/>
      </c>
      <c r="I2838" s="70">
        <f>IF(B2838="","",IFERROR(A2838-LOOKUP(2,1/($B$4:$B2837=B2838),$A$4:$A2837),""))</f>
        <v/>
      </c>
      <c r="J2838" s="32">
        <f>IF(B2838="","",IFERROR(D2838/I2838,""))</f>
        <v/>
      </c>
      <c r="K2838" s="71">
        <f>IF(B2838="","",IFERROR(AVERAGEIFS($J$4:$J2838,$B$4:$B2838,B2838,$J$4:$J2838,"&gt;"&amp;0),""))</f>
        <v/>
      </c>
      <c r="L2838" s="12" t="n"/>
    </row>
    <row r="2839" ht="14" customHeight="1" s="72">
      <c r="A2839" s="82" t="n"/>
      <c r="B2839" s="79" t="n"/>
      <c r="C2839" s="69">
        <f>IF(B2839="","",IFERROR(INDEX(Client_List!$B:$B,MATCH(B2839,Client_List!$A:$A,0)),"⚠ NOT FOUND"))</f>
        <v/>
      </c>
      <c r="D2839" s="44" t="n"/>
      <c r="E2839" s="32">
        <f>IF(B2839="","",IFERROR(INDEX(Client_List!$C:$C,MATCH(VALUE(B2839),Client_List!$A:$A,0)),""))</f>
        <v/>
      </c>
      <c r="F2839" s="53">
        <f>IF(B2839="","",IFERROR(INDEX(Client_List!$D:$D,MATCH(VALUE(B2839),Client_List!$A:$A,0)),""))</f>
        <v/>
      </c>
      <c r="G2839" s="53">
        <f>IF(B2839="","",IFERROR(INDEX(Client_List!$K:$K,MATCH(VALUE(B2839),Client_List!$A:$A,0)),""))</f>
        <v/>
      </c>
      <c r="H2839" s="32">
        <f>IF(B2839="","",IFERROR(INDEX(Client_List!$J:$J,MATCH(VALUE(B2839),Client_List!$A:$A,0)),""))</f>
        <v/>
      </c>
      <c r="I2839" s="70">
        <f>IF(B2839="","",IFERROR(A2839-LOOKUP(2,1/($B$4:$B2838=B2839),$A$4:$A2838),""))</f>
        <v/>
      </c>
      <c r="J2839" s="32">
        <f>IF(B2839="","",IFERROR(D2839/I2839,""))</f>
        <v/>
      </c>
      <c r="K2839" s="71">
        <f>IF(B2839="","",IFERROR(AVERAGEIFS($J$4:$J2839,$B$4:$B2839,B2839,$J$4:$J2839,"&gt;"&amp;0),""))</f>
        <v/>
      </c>
      <c r="L2839" s="11" t="n"/>
    </row>
    <row r="2840" ht="14" customHeight="1" s="72">
      <c r="A2840" s="83" t="n"/>
      <c r="B2840" s="81" t="n"/>
      <c r="C2840" s="69">
        <f>IF(B2840="","",IFERROR(INDEX(Client_List!$B:$B,MATCH(B2840,Client_List!$A:$A,0)),"⚠ NOT FOUND"))</f>
        <v/>
      </c>
      <c r="D2840" s="45" t="n"/>
      <c r="E2840" s="32">
        <f>IF(B2840="","",IFERROR(INDEX(Client_List!$C:$C,MATCH(VALUE(B2840),Client_List!$A:$A,0)),""))</f>
        <v/>
      </c>
      <c r="F2840" s="53">
        <f>IF(B2840="","",IFERROR(INDEX(Client_List!$D:$D,MATCH(VALUE(B2840),Client_List!$A:$A,0)),""))</f>
        <v/>
      </c>
      <c r="G2840" s="53">
        <f>IF(B2840="","",IFERROR(INDEX(Client_List!$K:$K,MATCH(VALUE(B2840),Client_List!$A:$A,0)),""))</f>
        <v/>
      </c>
      <c r="H2840" s="32">
        <f>IF(B2840="","",IFERROR(INDEX(Client_List!$J:$J,MATCH(VALUE(B2840),Client_List!$A:$A,0)),""))</f>
        <v/>
      </c>
      <c r="I2840" s="70">
        <f>IF(B2840="","",IFERROR(A2840-LOOKUP(2,1/($B$4:$B2839=B2840),$A$4:$A2839),""))</f>
        <v/>
      </c>
      <c r="J2840" s="32">
        <f>IF(B2840="","",IFERROR(D2840/I2840,""))</f>
        <v/>
      </c>
      <c r="K2840" s="71">
        <f>IF(B2840="","",IFERROR(AVERAGEIFS($J$4:$J2840,$B$4:$B2840,B2840,$J$4:$J2840,"&gt;"&amp;0),""))</f>
        <v/>
      </c>
      <c r="L2840" s="12" t="n"/>
    </row>
    <row r="2841" ht="14" customHeight="1" s="72">
      <c r="A2841" s="82" t="n"/>
      <c r="B2841" s="79" t="n"/>
      <c r="C2841" s="69">
        <f>IF(B2841="","",IFERROR(INDEX(Client_List!$B:$B,MATCH(B2841,Client_List!$A:$A,0)),"⚠ NOT FOUND"))</f>
        <v/>
      </c>
      <c r="D2841" s="44" t="n"/>
      <c r="E2841" s="32">
        <f>IF(B2841="","",IFERROR(INDEX(Client_List!$C:$C,MATCH(VALUE(B2841),Client_List!$A:$A,0)),""))</f>
        <v/>
      </c>
      <c r="F2841" s="53">
        <f>IF(B2841="","",IFERROR(INDEX(Client_List!$D:$D,MATCH(VALUE(B2841),Client_List!$A:$A,0)),""))</f>
        <v/>
      </c>
      <c r="G2841" s="53">
        <f>IF(B2841="","",IFERROR(INDEX(Client_List!$K:$K,MATCH(VALUE(B2841),Client_List!$A:$A,0)),""))</f>
        <v/>
      </c>
      <c r="H2841" s="32">
        <f>IF(B2841="","",IFERROR(INDEX(Client_List!$J:$J,MATCH(VALUE(B2841),Client_List!$A:$A,0)),""))</f>
        <v/>
      </c>
      <c r="I2841" s="70">
        <f>IF(B2841="","",IFERROR(A2841-LOOKUP(2,1/($B$4:$B2840=B2841),$A$4:$A2840),""))</f>
        <v/>
      </c>
      <c r="J2841" s="32">
        <f>IF(B2841="","",IFERROR(D2841/I2841,""))</f>
        <v/>
      </c>
      <c r="K2841" s="71">
        <f>IF(B2841="","",IFERROR(AVERAGEIFS($J$4:$J2841,$B$4:$B2841,B2841,$J$4:$J2841,"&gt;"&amp;0),""))</f>
        <v/>
      </c>
      <c r="L2841" s="11" t="n"/>
    </row>
    <row r="2842" ht="14" customHeight="1" s="72">
      <c r="A2842" s="83" t="n"/>
      <c r="B2842" s="81" t="n"/>
      <c r="C2842" s="69">
        <f>IF(B2842="","",IFERROR(INDEX(Client_List!$B:$B,MATCH(B2842,Client_List!$A:$A,0)),"⚠ NOT FOUND"))</f>
        <v/>
      </c>
      <c r="D2842" s="45" t="n"/>
      <c r="E2842" s="32">
        <f>IF(B2842="","",IFERROR(INDEX(Client_List!$C:$C,MATCH(VALUE(B2842),Client_List!$A:$A,0)),""))</f>
        <v/>
      </c>
      <c r="F2842" s="53">
        <f>IF(B2842="","",IFERROR(INDEX(Client_List!$D:$D,MATCH(VALUE(B2842),Client_List!$A:$A,0)),""))</f>
        <v/>
      </c>
      <c r="G2842" s="53">
        <f>IF(B2842="","",IFERROR(INDEX(Client_List!$K:$K,MATCH(VALUE(B2842),Client_List!$A:$A,0)),""))</f>
        <v/>
      </c>
      <c r="H2842" s="32">
        <f>IF(B2842="","",IFERROR(INDEX(Client_List!$J:$J,MATCH(VALUE(B2842),Client_List!$A:$A,0)),""))</f>
        <v/>
      </c>
      <c r="I2842" s="70">
        <f>IF(B2842="","",IFERROR(A2842-LOOKUP(2,1/($B$4:$B2841=B2842),$A$4:$A2841),""))</f>
        <v/>
      </c>
      <c r="J2842" s="32">
        <f>IF(B2842="","",IFERROR(D2842/I2842,""))</f>
        <v/>
      </c>
      <c r="K2842" s="71">
        <f>IF(B2842="","",IFERROR(AVERAGEIFS($J$4:$J2842,$B$4:$B2842,B2842,$J$4:$J2842,"&gt;"&amp;0),""))</f>
        <v/>
      </c>
      <c r="L2842" s="12" t="n"/>
    </row>
    <row r="2843" ht="14" customHeight="1" s="72">
      <c r="A2843" s="82" t="n"/>
      <c r="B2843" s="79" t="n"/>
      <c r="C2843" s="69">
        <f>IF(B2843="","",IFERROR(INDEX(Client_List!$B:$B,MATCH(B2843,Client_List!$A:$A,0)),"⚠ NOT FOUND"))</f>
        <v/>
      </c>
      <c r="D2843" s="44" t="n"/>
      <c r="E2843" s="32">
        <f>IF(B2843="","",IFERROR(INDEX(Client_List!$C:$C,MATCH(VALUE(B2843),Client_List!$A:$A,0)),""))</f>
        <v/>
      </c>
      <c r="F2843" s="53">
        <f>IF(B2843="","",IFERROR(INDEX(Client_List!$D:$D,MATCH(VALUE(B2843),Client_List!$A:$A,0)),""))</f>
        <v/>
      </c>
      <c r="G2843" s="53">
        <f>IF(B2843="","",IFERROR(INDEX(Client_List!$K:$K,MATCH(VALUE(B2843),Client_List!$A:$A,0)),""))</f>
        <v/>
      </c>
      <c r="H2843" s="32">
        <f>IF(B2843="","",IFERROR(INDEX(Client_List!$J:$J,MATCH(VALUE(B2843),Client_List!$A:$A,0)),""))</f>
        <v/>
      </c>
      <c r="I2843" s="70">
        <f>IF(B2843="","",IFERROR(A2843-LOOKUP(2,1/($B$4:$B2842=B2843),$A$4:$A2842),""))</f>
        <v/>
      </c>
      <c r="J2843" s="32">
        <f>IF(B2843="","",IFERROR(D2843/I2843,""))</f>
        <v/>
      </c>
      <c r="K2843" s="71">
        <f>IF(B2843="","",IFERROR(AVERAGEIFS($J$4:$J2843,$B$4:$B2843,B2843,$J$4:$J2843,"&gt;"&amp;0),""))</f>
        <v/>
      </c>
      <c r="L2843" s="11" t="n"/>
    </row>
    <row r="2844" ht="14" customHeight="1" s="72">
      <c r="A2844" s="83" t="n"/>
      <c r="B2844" s="81" t="n"/>
      <c r="C2844" s="69">
        <f>IF(B2844="","",IFERROR(INDEX(Client_List!$B:$B,MATCH(B2844,Client_List!$A:$A,0)),"⚠ NOT FOUND"))</f>
        <v/>
      </c>
      <c r="D2844" s="45" t="n"/>
      <c r="E2844" s="32">
        <f>IF(B2844="","",IFERROR(INDEX(Client_List!$C:$C,MATCH(VALUE(B2844),Client_List!$A:$A,0)),""))</f>
        <v/>
      </c>
      <c r="F2844" s="53">
        <f>IF(B2844="","",IFERROR(INDEX(Client_List!$D:$D,MATCH(VALUE(B2844),Client_List!$A:$A,0)),""))</f>
        <v/>
      </c>
      <c r="G2844" s="53">
        <f>IF(B2844="","",IFERROR(INDEX(Client_List!$K:$K,MATCH(VALUE(B2844),Client_List!$A:$A,0)),""))</f>
        <v/>
      </c>
      <c r="H2844" s="32">
        <f>IF(B2844="","",IFERROR(INDEX(Client_List!$J:$J,MATCH(VALUE(B2844),Client_List!$A:$A,0)),""))</f>
        <v/>
      </c>
      <c r="I2844" s="70">
        <f>IF(B2844="","",IFERROR(A2844-LOOKUP(2,1/($B$4:$B2843=B2844),$A$4:$A2843),""))</f>
        <v/>
      </c>
      <c r="J2844" s="32">
        <f>IF(B2844="","",IFERROR(D2844/I2844,""))</f>
        <v/>
      </c>
      <c r="K2844" s="71">
        <f>IF(B2844="","",IFERROR(AVERAGEIFS($J$4:$J2844,$B$4:$B2844,B2844,$J$4:$J2844,"&gt;"&amp;0),""))</f>
        <v/>
      </c>
      <c r="L2844" s="12" t="n"/>
    </row>
    <row r="2845" ht="14" customHeight="1" s="72">
      <c r="A2845" s="82" t="n"/>
      <c r="B2845" s="79" t="n"/>
      <c r="C2845" s="69">
        <f>IF(B2845="","",IFERROR(INDEX(Client_List!$B:$B,MATCH(B2845,Client_List!$A:$A,0)),"⚠ NOT FOUND"))</f>
        <v/>
      </c>
      <c r="D2845" s="44" t="n"/>
      <c r="E2845" s="32">
        <f>IF(B2845="","",IFERROR(INDEX(Client_List!$C:$C,MATCH(VALUE(B2845),Client_List!$A:$A,0)),""))</f>
        <v/>
      </c>
      <c r="F2845" s="53">
        <f>IF(B2845="","",IFERROR(INDEX(Client_List!$D:$D,MATCH(VALUE(B2845),Client_List!$A:$A,0)),""))</f>
        <v/>
      </c>
      <c r="G2845" s="53">
        <f>IF(B2845="","",IFERROR(INDEX(Client_List!$K:$K,MATCH(VALUE(B2845),Client_List!$A:$A,0)),""))</f>
        <v/>
      </c>
      <c r="H2845" s="32">
        <f>IF(B2845="","",IFERROR(INDEX(Client_List!$J:$J,MATCH(VALUE(B2845),Client_List!$A:$A,0)),""))</f>
        <v/>
      </c>
      <c r="I2845" s="70">
        <f>IF(B2845="","",IFERROR(A2845-LOOKUP(2,1/($B$4:$B2844=B2845),$A$4:$A2844),""))</f>
        <v/>
      </c>
      <c r="J2845" s="32">
        <f>IF(B2845="","",IFERROR(D2845/I2845,""))</f>
        <v/>
      </c>
      <c r="K2845" s="71">
        <f>IF(B2845="","",IFERROR(AVERAGEIFS($J$4:$J2845,$B$4:$B2845,B2845,$J$4:$J2845,"&gt;"&amp;0),""))</f>
        <v/>
      </c>
      <c r="L2845" s="11" t="n"/>
    </row>
    <row r="2846" ht="14" customHeight="1" s="72">
      <c r="A2846" s="83" t="n"/>
      <c r="B2846" s="81" t="n"/>
      <c r="C2846" s="69">
        <f>IF(B2846="","",IFERROR(INDEX(Client_List!$B:$B,MATCH(B2846,Client_List!$A:$A,0)),"⚠ NOT FOUND"))</f>
        <v/>
      </c>
      <c r="D2846" s="45" t="n"/>
      <c r="E2846" s="32">
        <f>IF(B2846="","",IFERROR(INDEX(Client_List!$C:$C,MATCH(VALUE(B2846),Client_List!$A:$A,0)),""))</f>
        <v/>
      </c>
      <c r="F2846" s="53">
        <f>IF(B2846="","",IFERROR(INDEX(Client_List!$D:$D,MATCH(VALUE(B2846),Client_List!$A:$A,0)),""))</f>
        <v/>
      </c>
      <c r="G2846" s="53">
        <f>IF(B2846="","",IFERROR(INDEX(Client_List!$K:$K,MATCH(VALUE(B2846),Client_List!$A:$A,0)),""))</f>
        <v/>
      </c>
      <c r="H2846" s="32">
        <f>IF(B2846="","",IFERROR(INDEX(Client_List!$J:$J,MATCH(VALUE(B2846),Client_List!$A:$A,0)),""))</f>
        <v/>
      </c>
      <c r="I2846" s="70">
        <f>IF(B2846="","",IFERROR(A2846-LOOKUP(2,1/($B$4:$B2845=B2846),$A$4:$A2845),""))</f>
        <v/>
      </c>
      <c r="J2846" s="32">
        <f>IF(B2846="","",IFERROR(D2846/I2846,""))</f>
        <v/>
      </c>
      <c r="K2846" s="71">
        <f>IF(B2846="","",IFERROR(AVERAGEIFS($J$4:$J2846,$B$4:$B2846,B2846,$J$4:$J2846,"&gt;"&amp;0),""))</f>
        <v/>
      </c>
      <c r="L2846" s="12" t="n"/>
    </row>
    <row r="2847" ht="14" customHeight="1" s="72">
      <c r="A2847" s="82" t="n"/>
      <c r="B2847" s="79" t="n"/>
      <c r="C2847" s="69">
        <f>IF(B2847="","",IFERROR(INDEX(Client_List!$B:$B,MATCH(B2847,Client_List!$A:$A,0)),"⚠ NOT FOUND"))</f>
        <v/>
      </c>
      <c r="D2847" s="44" t="n"/>
      <c r="E2847" s="32">
        <f>IF(B2847="","",IFERROR(INDEX(Client_List!$C:$C,MATCH(VALUE(B2847),Client_List!$A:$A,0)),""))</f>
        <v/>
      </c>
      <c r="F2847" s="53">
        <f>IF(B2847="","",IFERROR(INDEX(Client_List!$D:$D,MATCH(VALUE(B2847),Client_List!$A:$A,0)),""))</f>
        <v/>
      </c>
      <c r="G2847" s="53">
        <f>IF(B2847="","",IFERROR(INDEX(Client_List!$K:$K,MATCH(VALUE(B2847),Client_List!$A:$A,0)),""))</f>
        <v/>
      </c>
      <c r="H2847" s="32">
        <f>IF(B2847="","",IFERROR(INDEX(Client_List!$J:$J,MATCH(VALUE(B2847),Client_List!$A:$A,0)),""))</f>
        <v/>
      </c>
      <c r="I2847" s="70">
        <f>IF(B2847="","",IFERROR(A2847-LOOKUP(2,1/($B$4:$B2846=B2847),$A$4:$A2846),""))</f>
        <v/>
      </c>
      <c r="J2847" s="32">
        <f>IF(B2847="","",IFERROR(D2847/I2847,""))</f>
        <v/>
      </c>
      <c r="K2847" s="71">
        <f>IF(B2847="","",IFERROR(AVERAGEIFS($J$4:$J2847,$B$4:$B2847,B2847,$J$4:$J2847,"&gt;"&amp;0),""))</f>
        <v/>
      </c>
      <c r="L2847" s="11" t="n"/>
    </row>
    <row r="2848" ht="14" customHeight="1" s="72">
      <c r="A2848" s="83" t="n"/>
      <c r="B2848" s="81" t="n"/>
      <c r="C2848" s="69">
        <f>IF(B2848="","",IFERROR(INDEX(Client_List!$B:$B,MATCH(B2848,Client_List!$A:$A,0)),"⚠ NOT FOUND"))</f>
        <v/>
      </c>
      <c r="D2848" s="45" t="n"/>
      <c r="E2848" s="32">
        <f>IF(B2848="","",IFERROR(INDEX(Client_List!$C:$C,MATCH(VALUE(B2848),Client_List!$A:$A,0)),""))</f>
        <v/>
      </c>
      <c r="F2848" s="53">
        <f>IF(B2848="","",IFERROR(INDEX(Client_List!$D:$D,MATCH(VALUE(B2848),Client_List!$A:$A,0)),""))</f>
        <v/>
      </c>
      <c r="G2848" s="53">
        <f>IF(B2848="","",IFERROR(INDEX(Client_List!$K:$K,MATCH(VALUE(B2848),Client_List!$A:$A,0)),""))</f>
        <v/>
      </c>
      <c r="H2848" s="32">
        <f>IF(B2848="","",IFERROR(INDEX(Client_List!$J:$J,MATCH(VALUE(B2848),Client_List!$A:$A,0)),""))</f>
        <v/>
      </c>
      <c r="I2848" s="70">
        <f>IF(B2848="","",IFERROR(A2848-LOOKUP(2,1/($B$4:$B2847=B2848),$A$4:$A2847),""))</f>
        <v/>
      </c>
      <c r="J2848" s="32">
        <f>IF(B2848="","",IFERROR(D2848/I2848,""))</f>
        <v/>
      </c>
      <c r="K2848" s="71">
        <f>IF(B2848="","",IFERROR(AVERAGEIFS($J$4:$J2848,$B$4:$B2848,B2848,$J$4:$J2848,"&gt;"&amp;0),""))</f>
        <v/>
      </c>
      <c r="L2848" s="12" t="n"/>
    </row>
    <row r="2849" ht="14" customHeight="1" s="72">
      <c r="A2849" s="82" t="n"/>
      <c r="B2849" s="79" t="n"/>
      <c r="C2849" s="69">
        <f>IF(B2849="","",IFERROR(INDEX(Client_List!$B:$B,MATCH(B2849,Client_List!$A:$A,0)),"⚠ NOT FOUND"))</f>
        <v/>
      </c>
      <c r="D2849" s="44" t="n"/>
      <c r="E2849" s="32">
        <f>IF(B2849="","",IFERROR(INDEX(Client_List!$C:$C,MATCH(VALUE(B2849),Client_List!$A:$A,0)),""))</f>
        <v/>
      </c>
      <c r="F2849" s="53">
        <f>IF(B2849="","",IFERROR(INDEX(Client_List!$D:$D,MATCH(VALUE(B2849),Client_List!$A:$A,0)),""))</f>
        <v/>
      </c>
      <c r="G2849" s="53">
        <f>IF(B2849="","",IFERROR(INDEX(Client_List!$K:$K,MATCH(VALUE(B2849),Client_List!$A:$A,0)),""))</f>
        <v/>
      </c>
      <c r="H2849" s="32">
        <f>IF(B2849="","",IFERROR(INDEX(Client_List!$J:$J,MATCH(VALUE(B2849),Client_List!$A:$A,0)),""))</f>
        <v/>
      </c>
      <c r="I2849" s="70">
        <f>IF(B2849="","",IFERROR(A2849-LOOKUP(2,1/($B$4:$B2848=B2849),$A$4:$A2848),""))</f>
        <v/>
      </c>
      <c r="J2849" s="32">
        <f>IF(B2849="","",IFERROR(D2849/I2849,""))</f>
        <v/>
      </c>
      <c r="K2849" s="71">
        <f>IF(B2849="","",IFERROR(AVERAGEIFS($J$4:$J2849,$B$4:$B2849,B2849,$J$4:$J2849,"&gt;"&amp;0),""))</f>
        <v/>
      </c>
      <c r="L2849" s="11" t="n"/>
    </row>
    <row r="2850" ht="14" customHeight="1" s="72">
      <c r="A2850" s="83" t="n"/>
      <c r="B2850" s="81" t="n"/>
      <c r="C2850" s="69">
        <f>IF(B2850="","",IFERROR(INDEX(Client_List!$B:$B,MATCH(B2850,Client_List!$A:$A,0)),"⚠ NOT FOUND"))</f>
        <v/>
      </c>
      <c r="D2850" s="45" t="n"/>
      <c r="E2850" s="32">
        <f>IF(B2850="","",IFERROR(INDEX(Client_List!$C:$C,MATCH(VALUE(B2850),Client_List!$A:$A,0)),""))</f>
        <v/>
      </c>
      <c r="F2850" s="53">
        <f>IF(B2850="","",IFERROR(INDEX(Client_List!$D:$D,MATCH(VALUE(B2850),Client_List!$A:$A,0)),""))</f>
        <v/>
      </c>
      <c r="G2850" s="53">
        <f>IF(B2850="","",IFERROR(INDEX(Client_List!$K:$K,MATCH(VALUE(B2850),Client_List!$A:$A,0)),""))</f>
        <v/>
      </c>
      <c r="H2850" s="32">
        <f>IF(B2850="","",IFERROR(INDEX(Client_List!$J:$J,MATCH(VALUE(B2850),Client_List!$A:$A,0)),""))</f>
        <v/>
      </c>
      <c r="I2850" s="70">
        <f>IF(B2850="","",IFERROR(A2850-LOOKUP(2,1/($B$4:$B2849=B2850),$A$4:$A2849),""))</f>
        <v/>
      </c>
      <c r="J2850" s="32">
        <f>IF(B2850="","",IFERROR(D2850/I2850,""))</f>
        <v/>
      </c>
      <c r="K2850" s="71">
        <f>IF(B2850="","",IFERROR(AVERAGEIFS($J$4:$J2850,$B$4:$B2850,B2850,$J$4:$J2850,"&gt;"&amp;0),""))</f>
        <v/>
      </c>
      <c r="L2850" s="12" t="n"/>
    </row>
    <row r="2851" ht="14" customHeight="1" s="72">
      <c r="A2851" s="82" t="n"/>
      <c r="B2851" s="79" t="n"/>
      <c r="C2851" s="69">
        <f>IF(B2851="","",IFERROR(INDEX(Client_List!$B:$B,MATCH(B2851,Client_List!$A:$A,0)),"⚠ NOT FOUND"))</f>
        <v/>
      </c>
      <c r="D2851" s="44" t="n"/>
      <c r="E2851" s="32">
        <f>IF(B2851="","",IFERROR(INDEX(Client_List!$C:$C,MATCH(VALUE(B2851),Client_List!$A:$A,0)),""))</f>
        <v/>
      </c>
      <c r="F2851" s="53">
        <f>IF(B2851="","",IFERROR(INDEX(Client_List!$D:$D,MATCH(VALUE(B2851),Client_List!$A:$A,0)),""))</f>
        <v/>
      </c>
      <c r="G2851" s="53">
        <f>IF(B2851="","",IFERROR(INDEX(Client_List!$K:$K,MATCH(VALUE(B2851),Client_List!$A:$A,0)),""))</f>
        <v/>
      </c>
      <c r="H2851" s="32">
        <f>IF(B2851="","",IFERROR(INDEX(Client_List!$J:$J,MATCH(VALUE(B2851),Client_List!$A:$A,0)),""))</f>
        <v/>
      </c>
      <c r="I2851" s="70">
        <f>IF(B2851="","",IFERROR(A2851-LOOKUP(2,1/($B$4:$B2850=B2851),$A$4:$A2850),""))</f>
        <v/>
      </c>
      <c r="J2851" s="32">
        <f>IF(B2851="","",IFERROR(D2851/I2851,""))</f>
        <v/>
      </c>
      <c r="K2851" s="71">
        <f>IF(B2851="","",IFERROR(AVERAGEIFS($J$4:$J2851,$B$4:$B2851,B2851,$J$4:$J2851,"&gt;"&amp;0),""))</f>
        <v/>
      </c>
      <c r="L2851" s="11" t="n"/>
    </row>
    <row r="2852" ht="14" customHeight="1" s="72">
      <c r="A2852" s="83" t="n"/>
      <c r="B2852" s="81" t="n"/>
      <c r="C2852" s="69">
        <f>IF(B2852="","",IFERROR(INDEX(Client_List!$B:$B,MATCH(B2852,Client_List!$A:$A,0)),"⚠ NOT FOUND"))</f>
        <v/>
      </c>
      <c r="D2852" s="45" t="n"/>
      <c r="E2852" s="32">
        <f>IF(B2852="","",IFERROR(INDEX(Client_List!$C:$C,MATCH(VALUE(B2852),Client_List!$A:$A,0)),""))</f>
        <v/>
      </c>
      <c r="F2852" s="53">
        <f>IF(B2852="","",IFERROR(INDEX(Client_List!$D:$D,MATCH(VALUE(B2852),Client_List!$A:$A,0)),""))</f>
        <v/>
      </c>
      <c r="G2852" s="53">
        <f>IF(B2852="","",IFERROR(INDEX(Client_List!$K:$K,MATCH(VALUE(B2852),Client_List!$A:$A,0)),""))</f>
        <v/>
      </c>
      <c r="H2852" s="32">
        <f>IF(B2852="","",IFERROR(INDEX(Client_List!$J:$J,MATCH(VALUE(B2852),Client_List!$A:$A,0)),""))</f>
        <v/>
      </c>
      <c r="I2852" s="70">
        <f>IF(B2852="","",IFERROR(A2852-LOOKUP(2,1/($B$4:$B2851=B2852),$A$4:$A2851),""))</f>
        <v/>
      </c>
      <c r="J2852" s="32">
        <f>IF(B2852="","",IFERROR(D2852/I2852,""))</f>
        <v/>
      </c>
      <c r="K2852" s="71">
        <f>IF(B2852="","",IFERROR(AVERAGEIFS($J$4:$J2852,$B$4:$B2852,B2852,$J$4:$J2852,"&gt;"&amp;0),""))</f>
        <v/>
      </c>
      <c r="L2852" s="12" t="n"/>
    </row>
    <row r="2853" ht="14" customHeight="1" s="72">
      <c r="A2853" s="82" t="n"/>
      <c r="B2853" s="79" t="n"/>
      <c r="C2853" s="69">
        <f>IF(B2853="","",IFERROR(INDEX(Client_List!$B:$B,MATCH(B2853,Client_List!$A:$A,0)),"⚠ NOT FOUND"))</f>
        <v/>
      </c>
      <c r="D2853" s="44" t="n"/>
      <c r="E2853" s="32">
        <f>IF(B2853="","",IFERROR(INDEX(Client_List!$C:$C,MATCH(VALUE(B2853),Client_List!$A:$A,0)),""))</f>
        <v/>
      </c>
      <c r="F2853" s="53">
        <f>IF(B2853="","",IFERROR(INDEX(Client_List!$D:$D,MATCH(VALUE(B2853),Client_List!$A:$A,0)),""))</f>
        <v/>
      </c>
      <c r="G2853" s="53">
        <f>IF(B2853="","",IFERROR(INDEX(Client_List!$K:$K,MATCH(VALUE(B2853),Client_List!$A:$A,0)),""))</f>
        <v/>
      </c>
      <c r="H2853" s="32">
        <f>IF(B2853="","",IFERROR(INDEX(Client_List!$J:$J,MATCH(VALUE(B2853),Client_List!$A:$A,0)),""))</f>
        <v/>
      </c>
      <c r="I2853" s="70">
        <f>IF(B2853="","",IFERROR(A2853-LOOKUP(2,1/($B$4:$B2852=B2853),$A$4:$A2852),""))</f>
        <v/>
      </c>
      <c r="J2853" s="32">
        <f>IF(B2853="","",IFERROR(D2853/I2853,""))</f>
        <v/>
      </c>
      <c r="K2853" s="71">
        <f>IF(B2853="","",IFERROR(AVERAGEIFS($J$4:$J2853,$B$4:$B2853,B2853,$J$4:$J2853,"&gt;"&amp;0),""))</f>
        <v/>
      </c>
      <c r="L2853" s="11" t="n"/>
    </row>
    <row r="2854" ht="14" customHeight="1" s="72">
      <c r="A2854" s="83" t="n"/>
      <c r="B2854" s="81" t="n"/>
      <c r="C2854" s="69">
        <f>IF(B2854="","",IFERROR(INDEX(Client_List!$B:$B,MATCH(B2854,Client_List!$A:$A,0)),"⚠ NOT FOUND"))</f>
        <v/>
      </c>
      <c r="D2854" s="45" t="n"/>
      <c r="E2854" s="32">
        <f>IF(B2854="","",IFERROR(INDEX(Client_List!$C:$C,MATCH(VALUE(B2854),Client_List!$A:$A,0)),""))</f>
        <v/>
      </c>
      <c r="F2854" s="53">
        <f>IF(B2854="","",IFERROR(INDEX(Client_List!$D:$D,MATCH(VALUE(B2854),Client_List!$A:$A,0)),""))</f>
        <v/>
      </c>
      <c r="G2854" s="53">
        <f>IF(B2854="","",IFERROR(INDEX(Client_List!$K:$K,MATCH(VALUE(B2854),Client_List!$A:$A,0)),""))</f>
        <v/>
      </c>
      <c r="H2854" s="32">
        <f>IF(B2854="","",IFERROR(INDEX(Client_List!$J:$J,MATCH(VALUE(B2854),Client_List!$A:$A,0)),""))</f>
        <v/>
      </c>
      <c r="I2854" s="70">
        <f>IF(B2854="","",IFERROR(A2854-LOOKUP(2,1/($B$4:$B2853=B2854),$A$4:$A2853),""))</f>
        <v/>
      </c>
      <c r="J2854" s="32">
        <f>IF(B2854="","",IFERROR(D2854/I2854,""))</f>
        <v/>
      </c>
      <c r="K2854" s="71">
        <f>IF(B2854="","",IFERROR(AVERAGEIFS($J$4:$J2854,$B$4:$B2854,B2854,$J$4:$J2854,"&gt;"&amp;0),""))</f>
        <v/>
      </c>
      <c r="L2854" s="12" t="n"/>
    </row>
    <row r="2855" ht="14" customHeight="1" s="72">
      <c r="A2855" s="82" t="n"/>
      <c r="B2855" s="79" t="n"/>
      <c r="C2855" s="69">
        <f>IF(B2855="","",IFERROR(INDEX(Client_List!$B:$B,MATCH(B2855,Client_List!$A:$A,0)),"⚠ NOT FOUND"))</f>
        <v/>
      </c>
      <c r="D2855" s="44" t="n"/>
      <c r="E2855" s="32">
        <f>IF(B2855="","",IFERROR(INDEX(Client_List!$C:$C,MATCH(VALUE(B2855),Client_List!$A:$A,0)),""))</f>
        <v/>
      </c>
      <c r="F2855" s="53">
        <f>IF(B2855="","",IFERROR(INDEX(Client_List!$D:$D,MATCH(VALUE(B2855),Client_List!$A:$A,0)),""))</f>
        <v/>
      </c>
      <c r="G2855" s="53">
        <f>IF(B2855="","",IFERROR(INDEX(Client_List!$K:$K,MATCH(VALUE(B2855),Client_List!$A:$A,0)),""))</f>
        <v/>
      </c>
      <c r="H2855" s="32">
        <f>IF(B2855="","",IFERROR(INDEX(Client_List!$J:$J,MATCH(VALUE(B2855),Client_List!$A:$A,0)),""))</f>
        <v/>
      </c>
      <c r="I2855" s="70">
        <f>IF(B2855="","",IFERROR(A2855-LOOKUP(2,1/($B$4:$B2854=B2855),$A$4:$A2854),""))</f>
        <v/>
      </c>
      <c r="J2855" s="32">
        <f>IF(B2855="","",IFERROR(D2855/I2855,""))</f>
        <v/>
      </c>
      <c r="K2855" s="71">
        <f>IF(B2855="","",IFERROR(AVERAGEIFS($J$4:$J2855,$B$4:$B2855,B2855,$J$4:$J2855,"&gt;"&amp;0),""))</f>
        <v/>
      </c>
      <c r="L2855" s="11" t="n"/>
    </row>
    <row r="2856" ht="14" customHeight="1" s="72">
      <c r="A2856" s="83" t="n"/>
      <c r="B2856" s="81" t="n"/>
      <c r="C2856" s="69">
        <f>IF(B2856="","",IFERROR(INDEX(Client_List!$B:$B,MATCH(B2856,Client_List!$A:$A,0)),"⚠ NOT FOUND"))</f>
        <v/>
      </c>
      <c r="D2856" s="45" t="n"/>
      <c r="E2856" s="32">
        <f>IF(B2856="","",IFERROR(INDEX(Client_List!$C:$C,MATCH(VALUE(B2856),Client_List!$A:$A,0)),""))</f>
        <v/>
      </c>
      <c r="F2856" s="53">
        <f>IF(B2856="","",IFERROR(INDEX(Client_List!$D:$D,MATCH(VALUE(B2856),Client_List!$A:$A,0)),""))</f>
        <v/>
      </c>
      <c r="G2856" s="53">
        <f>IF(B2856="","",IFERROR(INDEX(Client_List!$K:$K,MATCH(VALUE(B2856),Client_List!$A:$A,0)),""))</f>
        <v/>
      </c>
      <c r="H2856" s="32">
        <f>IF(B2856="","",IFERROR(INDEX(Client_List!$J:$J,MATCH(VALUE(B2856),Client_List!$A:$A,0)),""))</f>
        <v/>
      </c>
      <c r="I2856" s="70">
        <f>IF(B2856="","",IFERROR(A2856-LOOKUP(2,1/($B$4:$B2855=B2856),$A$4:$A2855),""))</f>
        <v/>
      </c>
      <c r="J2856" s="32">
        <f>IF(B2856="","",IFERROR(D2856/I2856,""))</f>
        <v/>
      </c>
      <c r="K2856" s="71">
        <f>IF(B2856="","",IFERROR(AVERAGEIFS($J$4:$J2856,$B$4:$B2856,B2856,$J$4:$J2856,"&gt;"&amp;0),""))</f>
        <v/>
      </c>
      <c r="L2856" s="12" t="n"/>
    </row>
    <row r="2857" ht="14" customHeight="1" s="72">
      <c r="A2857" s="82" t="n"/>
      <c r="B2857" s="79" t="n"/>
      <c r="C2857" s="69">
        <f>IF(B2857="","",IFERROR(INDEX(Client_List!$B:$B,MATCH(B2857,Client_List!$A:$A,0)),"⚠ NOT FOUND"))</f>
        <v/>
      </c>
      <c r="D2857" s="44" t="n"/>
      <c r="E2857" s="32">
        <f>IF(B2857="","",IFERROR(INDEX(Client_List!$C:$C,MATCH(VALUE(B2857),Client_List!$A:$A,0)),""))</f>
        <v/>
      </c>
      <c r="F2857" s="53">
        <f>IF(B2857="","",IFERROR(INDEX(Client_List!$D:$D,MATCH(VALUE(B2857),Client_List!$A:$A,0)),""))</f>
        <v/>
      </c>
      <c r="G2857" s="53">
        <f>IF(B2857="","",IFERROR(INDEX(Client_List!$K:$K,MATCH(VALUE(B2857),Client_List!$A:$A,0)),""))</f>
        <v/>
      </c>
      <c r="H2857" s="32">
        <f>IF(B2857="","",IFERROR(INDEX(Client_List!$J:$J,MATCH(VALUE(B2857),Client_List!$A:$A,0)),""))</f>
        <v/>
      </c>
      <c r="I2857" s="70">
        <f>IF(B2857="","",IFERROR(A2857-LOOKUP(2,1/($B$4:$B2856=B2857),$A$4:$A2856),""))</f>
        <v/>
      </c>
      <c r="J2857" s="32">
        <f>IF(B2857="","",IFERROR(D2857/I2857,""))</f>
        <v/>
      </c>
      <c r="K2857" s="71">
        <f>IF(B2857="","",IFERROR(AVERAGEIFS($J$4:$J2857,$B$4:$B2857,B2857,$J$4:$J2857,"&gt;"&amp;0),""))</f>
        <v/>
      </c>
      <c r="L2857" s="11" t="n"/>
    </row>
    <row r="2858" ht="14" customHeight="1" s="72">
      <c r="A2858" s="83" t="n"/>
      <c r="B2858" s="81" t="n"/>
      <c r="C2858" s="69">
        <f>IF(B2858="","",IFERROR(INDEX(Client_List!$B:$B,MATCH(B2858,Client_List!$A:$A,0)),"⚠ NOT FOUND"))</f>
        <v/>
      </c>
      <c r="D2858" s="45" t="n"/>
      <c r="E2858" s="32">
        <f>IF(B2858="","",IFERROR(INDEX(Client_List!$C:$C,MATCH(VALUE(B2858),Client_List!$A:$A,0)),""))</f>
        <v/>
      </c>
      <c r="F2858" s="53">
        <f>IF(B2858="","",IFERROR(INDEX(Client_List!$D:$D,MATCH(VALUE(B2858),Client_List!$A:$A,0)),""))</f>
        <v/>
      </c>
      <c r="G2858" s="53">
        <f>IF(B2858="","",IFERROR(INDEX(Client_List!$K:$K,MATCH(VALUE(B2858),Client_List!$A:$A,0)),""))</f>
        <v/>
      </c>
      <c r="H2858" s="32">
        <f>IF(B2858="","",IFERROR(INDEX(Client_List!$J:$J,MATCH(VALUE(B2858),Client_List!$A:$A,0)),""))</f>
        <v/>
      </c>
      <c r="I2858" s="70">
        <f>IF(B2858="","",IFERROR(A2858-LOOKUP(2,1/($B$4:$B2857=B2858),$A$4:$A2857),""))</f>
        <v/>
      </c>
      <c r="J2858" s="32">
        <f>IF(B2858="","",IFERROR(D2858/I2858,""))</f>
        <v/>
      </c>
      <c r="K2858" s="71">
        <f>IF(B2858="","",IFERROR(AVERAGEIFS($J$4:$J2858,$B$4:$B2858,B2858,$J$4:$J2858,"&gt;"&amp;0),""))</f>
        <v/>
      </c>
      <c r="L2858" s="12" t="n"/>
    </row>
    <row r="2859" ht="14" customHeight="1" s="72">
      <c r="A2859" s="82" t="n"/>
      <c r="B2859" s="79" t="n"/>
      <c r="C2859" s="69">
        <f>IF(B2859="","",IFERROR(INDEX(Client_List!$B:$B,MATCH(B2859,Client_List!$A:$A,0)),"⚠ NOT FOUND"))</f>
        <v/>
      </c>
      <c r="D2859" s="44" t="n"/>
      <c r="E2859" s="32">
        <f>IF(B2859="","",IFERROR(INDEX(Client_List!$C:$C,MATCH(VALUE(B2859),Client_List!$A:$A,0)),""))</f>
        <v/>
      </c>
      <c r="F2859" s="53">
        <f>IF(B2859="","",IFERROR(INDEX(Client_List!$D:$D,MATCH(VALUE(B2859),Client_List!$A:$A,0)),""))</f>
        <v/>
      </c>
      <c r="G2859" s="53">
        <f>IF(B2859="","",IFERROR(INDEX(Client_List!$K:$K,MATCH(VALUE(B2859),Client_List!$A:$A,0)),""))</f>
        <v/>
      </c>
      <c r="H2859" s="32">
        <f>IF(B2859="","",IFERROR(INDEX(Client_List!$J:$J,MATCH(VALUE(B2859),Client_List!$A:$A,0)),""))</f>
        <v/>
      </c>
      <c r="I2859" s="70">
        <f>IF(B2859="","",IFERROR(A2859-LOOKUP(2,1/($B$4:$B2858=B2859),$A$4:$A2858),""))</f>
        <v/>
      </c>
      <c r="J2859" s="32">
        <f>IF(B2859="","",IFERROR(D2859/I2859,""))</f>
        <v/>
      </c>
      <c r="K2859" s="71">
        <f>IF(B2859="","",IFERROR(AVERAGEIFS($J$4:$J2859,$B$4:$B2859,B2859,$J$4:$J2859,"&gt;"&amp;0),""))</f>
        <v/>
      </c>
      <c r="L2859" s="11" t="n"/>
    </row>
    <row r="2860" ht="14" customHeight="1" s="72">
      <c r="A2860" s="83" t="n"/>
      <c r="B2860" s="81" t="n"/>
      <c r="C2860" s="69">
        <f>IF(B2860="","",IFERROR(INDEX(Client_List!$B:$B,MATCH(B2860,Client_List!$A:$A,0)),"⚠ NOT FOUND"))</f>
        <v/>
      </c>
      <c r="D2860" s="45" t="n"/>
      <c r="E2860" s="32">
        <f>IF(B2860="","",IFERROR(INDEX(Client_List!$C:$C,MATCH(VALUE(B2860),Client_List!$A:$A,0)),""))</f>
        <v/>
      </c>
      <c r="F2860" s="53">
        <f>IF(B2860="","",IFERROR(INDEX(Client_List!$D:$D,MATCH(VALUE(B2860),Client_List!$A:$A,0)),""))</f>
        <v/>
      </c>
      <c r="G2860" s="53">
        <f>IF(B2860="","",IFERROR(INDEX(Client_List!$K:$K,MATCH(VALUE(B2860),Client_List!$A:$A,0)),""))</f>
        <v/>
      </c>
      <c r="H2860" s="32">
        <f>IF(B2860="","",IFERROR(INDEX(Client_List!$J:$J,MATCH(VALUE(B2860),Client_List!$A:$A,0)),""))</f>
        <v/>
      </c>
      <c r="I2860" s="70">
        <f>IF(B2860="","",IFERROR(A2860-LOOKUP(2,1/($B$4:$B2859=B2860),$A$4:$A2859),""))</f>
        <v/>
      </c>
      <c r="J2860" s="32">
        <f>IF(B2860="","",IFERROR(D2860/I2860,""))</f>
        <v/>
      </c>
      <c r="K2860" s="71">
        <f>IF(B2860="","",IFERROR(AVERAGEIFS($J$4:$J2860,$B$4:$B2860,B2860,$J$4:$J2860,"&gt;"&amp;0),""))</f>
        <v/>
      </c>
      <c r="L2860" s="12" t="n"/>
    </row>
    <row r="2861" ht="14" customHeight="1" s="72">
      <c r="A2861" s="82" t="n"/>
      <c r="B2861" s="79" t="n"/>
      <c r="C2861" s="69">
        <f>IF(B2861="","",IFERROR(INDEX(Client_List!$B:$B,MATCH(B2861,Client_List!$A:$A,0)),"⚠ NOT FOUND"))</f>
        <v/>
      </c>
      <c r="D2861" s="44" t="n"/>
      <c r="E2861" s="32">
        <f>IF(B2861="","",IFERROR(INDEX(Client_List!$C:$C,MATCH(VALUE(B2861),Client_List!$A:$A,0)),""))</f>
        <v/>
      </c>
      <c r="F2861" s="53">
        <f>IF(B2861="","",IFERROR(INDEX(Client_List!$D:$D,MATCH(VALUE(B2861),Client_List!$A:$A,0)),""))</f>
        <v/>
      </c>
      <c r="G2861" s="53">
        <f>IF(B2861="","",IFERROR(INDEX(Client_List!$K:$K,MATCH(VALUE(B2861),Client_List!$A:$A,0)),""))</f>
        <v/>
      </c>
      <c r="H2861" s="32">
        <f>IF(B2861="","",IFERROR(INDEX(Client_List!$J:$J,MATCH(VALUE(B2861),Client_List!$A:$A,0)),""))</f>
        <v/>
      </c>
      <c r="I2861" s="70">
        <f>IF(B2861="","",IFERROR(A2861-LOOKUP(2,1/($B$4:$B2860=B2861),$A$4:$A2860),""))</f>
        <v/>
      </c>
      <c r="J2861" s="32">
        <f>IF(B2861="","",IFERROR(D2861/I2861,""))</f>
        <v/>
      </c>
      <c r="K2861" s="71">
        <f>IF(B2861="","",IFERROR(AVERAGEIFS($J$4:$J2861,$B$4:$B2861,B2861,$J$4:$J2861,"&gt;"&amp;0),""))</f>
        <v/>
      </c>
      <c r="L2861" s="11" t="n"/>
    </row>
    <row r="2862" ht="14" customHeight="1" s="72">
      <c r="A2862" s="83" t="n"/>
      <c r="B2862" s="81" t="n"/>
      <c r="C2862" s="69">
        <f>IF(B2862="","",IFERROR(INDEX(Client_List!$B:$B,MATCH(B2862,Client_List!$A:$A,0)),"⚠ NOT FOUND"))</f>
        <v/>
      </c>
      <c r="D2862" s="45" t="n"/>
      <c r="E2862" s="32">
        <f>IF(B2862="","",IFERROR(INDEX(Client_List!$C:$C,MATCH(VALUE(B2862),Client_List!$A:$A,0)),""))</f>
        <v/>
      </c>
      <c r="F2862" s="53">
        <f>IF(B2862="","",IFERROR(INDEX(Client_List!$D:$D,MATCH(VALUE(B2862),Client_List!$A:$A,0)),""))</f>
        <v/>
      </c>
      <c r="G2862" s="53">
        <f>IF(B2862="","",IFERROR(INDEX(Client_List!$K:$K,MATCH(VALUE(B2862),Client_List!$A:$A,0)),""))</f>
        <v/>
      </c>
      <c r="H2862" s="32">
        <f>IF(B2862="","",IFERROR(INDEX(Client_List!$J:$J,MATCH(VALUE(B2862),Client_List!$A:$A,0)),""))</f>
        <v/>
      </c>
      <c r="I2862" s="70">
        <f>IF(B2862="","",IFERROR(A2862-LOOKUP(2,1/($B$4:$B2861=B2862),$A$4:$A2861),""))</f>
        <v/>
      </c>
      <c r="J2862" s="32">
        <f>IF(B2862="","",IFERROR(D2862/I2862,""))</f>
        <v/>
      </c>
      <c r="K2862" s="71">
        <f>IF(B2862="","",IFERROR(AVERAGEIFS($J$4:$J2862,$B$4:$B2862,B2862,$J$4:$J2862,"&gt;"&amp;0),""))</f>
        <v/>
      </c>
      <c r="L2862" s="12" t="n"/>
    </row>
    <row r="2863" ht="14" customHeight="1" s="72">
      <c r="A2863" s="82" t="n"/>
      <c r="B2863" s="79" t="n"/>
      <c r="C2863" s="69">
        <f>IF(B2863="","",IFERROR(INDEX(Client_List!$B:$B,MATCH(B2863,Client_List!$A:$A,0)),"⚠ NOT FOUND"))</f>
        <v/>
      </c>
      <c r="D2863" s="44" t="n"/>
      <c r="E2863" s="32">
        <f>IF(B2863="","",IFERROR(INDEX(Client_List!$C:$C,MATCH(VALUE(B2863),Client_List!$A:$A,0)),""))</f>
        <v/>
      </c>
      <c r="F2863" s="53">
        <f>IF(B2863="","",IFERROR(INDEX(Client_List!$D:$D,MATCH(VALUE(B2863),Client_List!$A:$A,0)),""))</f>
        <v/>
      </c>
      <c r="G2863" s="53">
        <f>IF(B2863="","",IFERROR(INDEX(Client_List!$K:$K,MATCH(VALUE(B2863),Client_List!$A:$A,0)),""))</f>
        <v/>
      </c>
      <c r="H2863" s="32">
        <f>IF(B2863="","",IFERROR(INDEX(Client_List!$J:$J,MATCH(VALUE(B2863),Client_List!$A:$A,0)),""))</f>
        <v/>
      </c>
      <c r="I2863" s="70">
        <f>IF(B2863="","",IFERROR(A2863-LOOKUP(2,1/($B$4:$B2862=B2863),$A$4:$A2862),""))</f>
        <v/>
      </c>
      <c r="J2863" s="32">
        <f>IF(B2863="","",IFERROR(D2863/I2863,""))</f>
        <v/>
      </c>
      <c r="K2863" s="71">
        <f>IF(B2863="","",IFERROR(AVERAGEIFS($J$4:$J2863,$B$4:$B2863,B2863,$J$4:$J2863,"&gt;"&amp;0),""))</f>
        <v/>
      </c>
      <c r="L2863" s="11" t="n"/>
    </row>
    <row r="2864" ht="14" customHeight="1" s="72">
      <c r="A2864" s="83" t="n"/>
      <c r="B2864" s="81" t="n"/>
      <c r="C2864" s="69">
        <f>IF(B2864="","",IFERROR(INDEX(Client_List!$B:$B,MATCH(B2864,Client_List!$A:$A,0)),"⚠ NOT FOUND"))</f>
        <v/>
      </c>
      <c r="D2864" s="45" t="n"/>
      <c r="E2864" s="32">
        <f>IF(B2864="","",IFERROR(INDEX(Client_List!$C:$C,MATCH(VALUE(B2864),Client_List!$A:$A,0)),""))</f>
        <v/>
      </c>
      <c r="F2864" s="53">
        <f>IF(B2864="","",IFERROR(INDEX(Client_List!$D:$D,MATCH(VALUE(B2864),Client_List!$A:$A,0)),""))</f>
        <v/>
      </c>
      <c r="G2864" s="53">
        <f>IF(B2864="","",IFERROR(INDEX(Client_List!$K:$K,MATCH(VALUE(B2864),Client_List!$A:$A,0)),""))</f>
        <v/>
      </c>
      <c r="H2864" s="32">
        <f>IF(B2864="","",IFERROR(INDEX(Client_List!$J:$J,MATCH(VALUE(B2864),Client_List!$A:$A,0)),""))</f>
        <v/>
      </c>
      <c r="I2864" s="70">
        <f>IF(B2864="","",IFERROR(A2864-LOOKUP(2,1/($B$4:$B2863=B2864),$A$4:$A2863),""))</f>
        <v/>
      </c>
      <c r="J2864" s="32">
        <f>IF(B2864="","",IFERROR(D2864/I2864,""))</f>
        <v/>
      </c>
      <c r="K2864" s="71">
        <f>IF(B2864="","",IFERROR(AVERAGEIFS($J$4:$J2864,$B$4:$B2864,B2864,$J$4:$J2864,"&gt;"&amp;0),""))</f>
        <v/>
      </c>
      <c r="L2864" s="12" t="n"/>
    </row>
    <row r="2865" ht="14" customHeight="1" s="72">
      <c r="A2865" s="82" t="n"/>
      <c r="B2865" s="79" t="n"/>
      <c r="C2865" s="69">
        <f>IF(B2865="","",IFERROR(INDEX(Client_List!$B:$B,MATCH(B2865,Client_List!$A:$A,0)),"⚠ NOT FOUND"))</f>
        <v/>
      </c>
      <c r="D2865" s="44" t="n"/>
      <c r="E2865" s="32">
        <f>IF(B2865="","",IFERROR(INDEX(Client_List!$C:$C,MATCH(VALUE(B2865),Client_List!$A:$A,0)),""))</f>
        <v/>
      </c>
      <c r="F2865" s="53">
        <f>IF(B2865="","",IFERROR(INDEX(Client_List!$D:$D,MATCH(VALUE(B2865),Client_List!$A:$A,0)),""))</f>
        <v/>
      </c>
      <c r="G2865" s="53">
        <f>IF(B2865="","",IFERROR(INDEX(Client_List!$K:$K,MATCH(VALUE(B2865),Client_List!$A:$A,0)),""))</f>
        <v/>
      </c>
      <c r="H2865" s="32">
        <f>IF(B2865="","",IFERROR(INDEX(Client_List!$J:$J,MATCH(VALUE(B2865),Client_List!$A:$A,0)),""))</f>
        <v/>
      </c>
      <c r="I2865" s="70">
        <f>IF(B2865="","",IFERROR(A2865-LOOKUP(2,1/($B$4:$B2864=B2865),$A$4:$A2864),""))</f>
        <v/>
      </c>
      <c r="J2865" s="32">
        <f>IF(B2865="","",IFERROR(D2865/I2865,""))</f>
        <v/>
      </c>
      <c r="K2865" s="71">
        <f>IF(B2865="","",IFERROR(AVERAGEIFS($J$4:$J2865,$B$4:$B2865,B2865,$J$4:$J2865,"&gt;"&amp;0),""))</f>
        <v/>
      </c>
      <c r="L2865" s="11" t="n"/>
    </row>
    <row r="2866" ht="14" customHeight="1" s="72">
      <c r="A2866" s="83" t="n"/>
      <c r="B2866" s="81" t="n"/>
      <c r="C2866" s="69">
        <f>IF(B2866="","",IFERROR(INDEX(Client_List!$B:$B,MATCH(B2866,Client_List!$A:$A,0)),"⚠ NOT FOUND"))</f>
        <v/>
      </c>
      <c r="D2866" s="45" t="n"/>
      <c r="E2866" s="32">
        <f>IF(B2866="","",IFERROR(INDEX(Client_List!$C:$C,MATCH(VALUE(B2866),Client_List!$A:$A,0)),""))</f>
        <v/>
      </c>
      <c r="F2866" s="53">
        <f>IF(B2866="","",IFERROR(INDEX(Client_List!$D:$D,MATCH(VALUE(B2866),Client_List!$A:$A,0)),""))</f>
        <v/>
      </c>
      <c r="G2866" s="53">
        <f>IF(B2866="","",IFERROR(INDEX(Client_List!$K:$K,MATCH(VALUE(B2866),Client_List!$A:$A,0)),""))</f>
        <v/>
      </c>
      <c r="H2866" s="32">
        <f>IF(B2866="","",IFERROR(INDEX(Client_List!$J:$J,MATCH(VALUE(B2866),Client_List!$A:$A,0)),""))</f>
        <v/>
      </c>
      <c r="I2866" s="70">
        <f>IF(B2866="","",IFERROR(A2866-LOOKUP(2,1/($B$4:$B2865=B2866),$A$4:$A2865),""))</f>
        <v/>
      </c>
      <c r="J2866" s="32">
        <f>IF(B2866="","",IFERROR(D2866/I2866,""))</f>
        <v/>
      </c>
      <c r="K2866" s="71">
        <f>IF(B2866="","",IFERROR(AVERAGEIFS($J$4:$J2866,$B$4:$B2866,B2866,$J$4:$J2866,"&gt;"&amp;0),""))</f>
        <v/>
      </c>
      <c r="L2866" s="12" t="n"/>
    </row>
    <row r="2867" ht="14" customHeight="1" s="72">
      <c r="A2867" s="82" t="n"/>
      <c r="B2867" s="79" t="n"/>
      <c r="C2867" s="69">
        <f>IF(B2867="","",IFERROR(INDEX(Client_List!$B:$B,MATCH(B2867,Client_List!$A:$A,0)),"⚠ NOT FOUND"))</f>
        <v/>
      </c>
      <c r="D2867" s="44" t="n"/>
      <c r="E2867" s="32">
        <f>IF(B2867="","",IFERROR(INDEX(Client_List!$C:$C,MATCH(VALUE(B2867),Client_List!$A:$A,0)),""))</f>
        <v/>
      </c>
      <c r="F2867" s="53">
        <f>IF(B2867="","",IFERROR(INDEX(Client_List!$D:$D,MATCH(VALUE(B2867),Client_List!$A:$A,0)),""))</f>
        <v/>
      </c>
      <c r="G2867" s="53">
        <f>IF(B2867="","",IFERROR(INDEX(Client_List!$K:$K,MATCH(VALUE(B2867),Client_List!$A:$A,0)),""))</f>
        <v/>
      </c>
      <c r="H2867" s="32">
        <f>IF(B2867="","",IFERROR(INDEX(Client_List!$J:$J,MATCH(VALUE(B2867),Client_List!$A:$A,0)),""))</f>
        <v/>
      </c>
      <c r="I2867" s="70">
        <f>IF(B2867="","",IFERROR(A2867-LOOKUP(2,1/($B$4:$B2866=B2867),$A$4:$A2866),""))</f>
        <v/>
      </c>
      <c r="J2867" s="32">
        <f>IF(B2867="","",IFERROR(D2867/I2867,""))</f>
        <v/>
      </c>
      <c r="K2867" s="71">
        <f>IF(B2867="","",IFERROR(AVERAGEIFS($J$4:$J2867,$B$4:$B2867,B2867,$J$4:$J2867,"&gt;"&amp;0),""))</f>
        <v/>
      </c>
      <c r="L2867" s="11" t="n"/>
    </row>
    <row r="2868" ht="14" customHeight="1" s="72">
      <c r="A2868" s="83" t="n"/>
      <c r="B2868" s="81" t="n"/>
      <c r="C2868" s="69">
        <f>IF(B2868="","",IFERROR(INDEX(Client_List!$B:$B,MATCH(B2868,Client_List!$A:$A,0)),"⚠ NOT FOUND"))</f>
        <v/>
      </c>
      <c r="D2868" s="45" t="n"/>
      <c r="E2868" s="32">
        <f>IF(B2868="","",IFERROR(INDEX(Client_List!$C:$C,MATCH(VALUE(B2868),Client_List!$A:$A,0)),""))</f>
        <v/>
      </c>
      <c r="F2868" s="53">
        <f>IF(B2868="","",IFERROR(INDEX(Client_List!$D:$D,MATCH(VALUE(B2868),Client_List!$A:$A,0)),""))</f>
        <v/>
      </c>
      <c r="G2868" s="53">
        <f>IF(B2868="","",IFERROR(INDEX(Client_List!$K:$K,MATCH(VALUE(B2868),Client_List!$A:$A,0)),""))</f>
        <v/>
      </c>
      <c r="H2868" s="32">
        <f>IF(B2868="","",IFERROR(INDEX(Client_List!$J:$J,MATCH(VALUE(B2868),Client_List!$A:$A,0)),""))</f>
        <v/>
      </c>
      <c r="I2868" s="70">
        <f>IF(B2868="","",IFERROR(A2868-LOOKUP(2,1/($B$4:$B2867=B2868),$A$4:$A2867),""))</f>
        <v/>
      </c>
      <c r="J2868" s="32">
        <f>IF(B2868="","",IFERROR(D2868/I2868,""))</f>
        <v/>
      </c>
      <c r="K2868" s="71">
        <f>IF(B2868="","",IFERROR(AVERAGEIFS($J$4:$J2868,$B$4:$B2868,B2868,$J$4:$J2868,"&gt;"&amp;0),""))</f>
        <v/>
      </c>
      <c r="L2868" s="12" t="n"/>
    </row>
    <row r="2869" ht="14" customHeight="1" s="72">
      <c r="A2869" s="82" t="n"/>
      <c r="B2869" s="79" t="n"/>
      <c r="C2869" s="69">
        <f>IF(B2869="","",IFERROR(INDEX(Client_List!$B:$B,MATCH(B2869,Client_List!$A:$A,0)),"⚠ NOT FOUND"))</f>
        <v/>
      </c>
      <c r="D2869" s="44" t="n"/>
      <c r="E2869" s="32">
        <f>IF(B2869="","",IFERROR(INDEX(Client_List!$C:$C,MATCH(VALUE(B2869),Client_List!$A:$A,0)),""))</f>
        <v/>
      </c>
      <c r="F2869" s="53">
        <f>IF(B2869="","",IFERROR(INDEX(Client_List!$D:$D,MATCH(VALUE(B2869),Client_List!$A:$A,0)),""))</f>
        <v/>
      </c>
      <c r="G2869" s="53">
        <f>IF(B2869="","",IFERROR(INDEX(Client_List!$K:$K,MATCH(VALUE(B2869),Client_List!$A:$A,0)),""))</f>
        <v/>
      </c>
      <c r="H2869" s="32">
        <f>IF(B2869="","",IFERROR(INDEX(Client_List!$J:$J,MATCH(VALUE(B2869),Client_List!$A:$A,0)),""))</f>
        <v/>
      </c>
      <c r="I2869" s="70">
        <f>IF(B2869="","",IFERROR(A2869-LOOKUP(2,1/($B$4:$B2868=B2869),$A$4:$A2868),""))</f>
        <v/>
      </c>
      <c r="J2869" s="32">
        <f>IF(B2869="","",IFERROR(D2869/I2869,""))</f>
        <v/>
      </c>
      <c r="K2869" s="71">
        <f>IF(B2869="","",IFERROR(AVERAGEIFS($J$4:$J2869,$B$4:$B2869,B2869,$J$4:$J2869,"&gt;"&amp;0),""))</f>
        <v/>
      </c>
      <c r="L2869" s="11" t="n"/>
    </row>
    <row r="2870" ht="14" customHeight="1" s="72">
      <c r="A2870" s="83" t="n"/>
      <c r="B2870" s="81" t="n"/>
      <c r="C2870" s="69">
        <f>IF(B2870="","",IFERROR(INDEX(Client_List!$B:$B,MATCH(B2870,Client_List!$A:$A,0)),"⚠ NOT FOUND"))</f>
        <v/>
      </c>
      <c r="D2870" s="45" t="n"/>
      <c r="E2870" s="32">
        <f>IF(B2870="","",IFERROR(INDEX(Client_List!$C:$C,MATCH(VALUE(B2870),Client_List!$A:$A,0)),""))</f>
        <v/>
      </c>
      <c r="F2870" s="53">
        <f>IF(B2870="","",IFERROR(INDEX(Client_List!$D:$D,MATCH(VALUE(B2870),Client_List!$A:$A,0)),""))</f>
        <v/>
      </c>
      <c r="G2870" s="53">
        <f>IF(B2870="","",IFERROR(INDEX(Client_List!$K:$K,MATCH(VALUE(B2870),Client_List!$A:$A,0)),""))</f>
        <v/>
      </c>
      <c r="H2870" s="32">
        <f>IF(B2870="","",IFERROR(INDEX(Client_List!$J:$J,MATCH(VALUE(B2870),Client_List!$A:$A,0)),""))</f>
        <v/>
      </c>
      <c r="I2870" s="70">
        <f>IF(B2870="","",IFERROR(A2870-LOOKUP(2,1/($B$4:$B2869=B2870),$A$4:$A2869),""))</f>
        <v/>
      </c>
      <c r="J2870" s="32">
        <f>IF(B2870="","",IFERROR(D2870/I2870,""))</f>
        <v/>
      </c>
      <c r="K2870" s="71">
        <f>IF(B2870="","",IFERROR(AVERAGEIFS($J$4:$J2870,$B$4:$B2870,B2870,$J$4:$J2870,"&gt;"&amp;0),""))</f>
        <v/>
      </c>
      <c r="L2870" s="12" t="n"/>
    </row>
    <row r="2871" ht="14" customHeight="1" s="72">
      <c r="A2871" s="82" t="n"/>
      <c r="B2871" s="79" t="n"/>
      <c r="C2871" s="69">
        <f>IF(B2871="","",IFERROR(INDEX(Client_List!$B:$B,MATCH(B2871,Client_List!$A:$A,0)),"⚠ NOT FOUND"))</f>
        <v/>
      </c>
      <c r="D2871" s="44" t="n"/>
      <c r="E2871" s="32">
        <f>IF(B2871="","",IFERROR(INDEX(Client_List!$C:$C,MATCH(VALUE(B2871),Client_List!$A:$A,0)),""))</f>
        <v/>
      </c>
      <c r="F2871" s="53">
        <f>IF(B2871="","",IFERROR(INDEX(Client_List!$D:$D,MATCH(VALUE(B2871),Client_List!$A:$A,0)),""))</f>
        <v/>
      </c>
      <c r="G2871" s="53">
        <f>IF(B2871="","",IFERROR(INDEX(Client_List!$K:$K,MATCH(VALUE(B2871),Client_List!$A:$A,0)),""))</f>
        <v/>
      </c>
      <c r="H2871" s="32">
        <f>IF(B2871="","",IFERROR(INDEX(Client_List!$J:$J,MATCH(VALUE(B2871),Client_List!$A:$A,0)),""))</f>
        <v/>
      </c>
      <c r="I2871" s="70">
        <f>IF(B2871="","",IFERROR(A2871-LOOKUP(2,1/($B$4:$B2870=B2871),$A$4:$A2870),""))</f>
        <v/>
      </c>
      <c r="J2871" s="32">
        <f>IF(B2871="","",IFERROR(D2871/I2871,""))</f>
        <v/>
      </c>
      <c r="K2871" s="71">
        <f>IF(B2871="","",IFERROR(AVERAGEIFS($J$4:$J2871,$B$4:$B2871,B2871,$J$4:$J2871,"&gt;"&amp;0),""))</f>
        <v/>
      </c>
      <c r="L2871" s="11" t="n"/>
    </row>
    <row r="2872" ht="14" customHeight="1" s="72">
      <c r="A2872" s="83" t="n"/>
      <c r="B2872" s="81" t="n"/>
      <c r="C2872" s="69">
        <f>IF(B2872="","",IFERROR(INDEX(Client_List!$B:$B,MATCH(B2872,Client_List!$A:$A,0)),"⚠ NOT FOUND"))</f>
        <v/>
      </c>
      <c r="D2872" s="45" t="n"/>
      <c r="E2872" s="32">
        <f>IF(B2872="","",IFERROR(INDEX(Client_List!$C:$C,MATCH(VALUE(B2872),Client_List!$A:$A,0)),""))</f>
        <v/>
      </c>
      <c r="F2872" s="53">
        <f>IF(B2872="","",IFERROR(INDEX(Client_List!$D:$D,MATCH(VALUE(B2872),Client_List!$A:$A,0)),""))</f>
        <v/>
      </c>
      <c r="G2872" s="53">
        <f>IF(B2872="","",IFERROR(INDEX(Client_List!$K:$K,MATCH(VALUE(B2872),Client_List!$A:$A,0)),""))</f>
        <v/>
      </c>
      <c r="H2872" s="32">
        <f>IF(B2872="","",IFERROR(INDEX(Client_List!$J:$J,MATCH(VALUE(B2872),Client_List!$A:$A,0)),""))</f>
        <v/>
      </c>
      <c r="I2872" s="70">
        <f>IF(B2872="","",IFERROR(A2872-LOOKUP(2,1/($B$4:$B2871=B2872),$A$4:$A2871),""))</f>
        <v/>
      </c>
      <c r="J2872" s="32">
        <f>IF(B2872="","",IFERROR(D2872/I2872,""))</f>
        <v/>
      </c>
      <c r="K2872" s="71">
        <f>IF(B2872="","",IFERROR(AVERAGEIFS($J$4:$J2872,$B$4:$B2872,B2872,$J$4:$J2872,"&gt;"&amp;0),""))</f>
        <v/>
      </c>
      <c r="L2872" s="12" t="n"/>
    </row>
    <row r="2873" ht="14" customHeight="1" s="72">
      <c r="A2873" s="82" t="n"/>
      <c r="B2873" s="79" t="n"/>
      <c r="C2873" s="69">
        <f>IF(B2873="","",IFERROR(INDEX(Client_List!$B:$B,MATCH(B2873,Client_List!$A:$A,0)),"⚠ NOT FOUND"))</f>
        <v/>
      </c>
      <c r="D2873" s="44" t="n"/>
      <c r="E2873" s="32">
        <f>IF(B2873="","",IFERROR(INDEX(Client_List!$C:$C,MATCH(VALUE(B2873),Client_List!$A:$A,0)),""))</f>
        <v/>
      </c>
      <c r="F2873" s="53">
        <f>IF(B2873="","",IFERROR(INDEX(Client_List!$D:$D,MATCH(VALUE(B2873),Client_List!$A:$A,0)),""))</f>
        <v/>
      </c>
      <c r="G2873" s="53">
        <f>IF(B2873="","",IFERROR(INDEX(Client_List!$K:$K,MATCH(VALUE(B2873),Client_List!$A:$A,0)),""))</f>
        <v/>
      </c>
      <c r="H2873" s="32">
        <f>IF(B2873="","",IFERROR(INDEX(Client_List!$J:$J,MATCH(VALUE(B2873),Client_List!$A:$A,0)),""))</f>
        <v/>
      </c>
      <c r="I2873" s="70">
        <f>IF(B2873="","",IFERROR(A2873-LOOKUP(2,1/($B$4:$B2872=B2873),$A$4:$A2872),""))</f>
        <v/>
      </c>
      <c r="J2873" s="32">
        <f>IF(B2873="","",IFERROR(D2873/I2873,""))</f>
        <v/>
      </c>
      <c r="K2873" s="71">
        <f>IF(B2873="","",IFERROR(AVERAGEIFS($J$4:$J2873,$B$4:$B2873,B2873,$J$4:$J2873,"&gt;"&amp;0),""))</f>
        <v/>
      </c>
      <c r="L2873" s="11" t="n"/>
    </row>
    <row r="2874" ht="14" customHeight="1" s="72">
      <c r="A2874" s="83" t="n"/>
      <c r="B2874" s="81" t="n"/>
      <c r="C2874" s="69">
        <f>IF(B2874="","",IFERROR(INDEX(Client_List!$B:$B,MATCH(B2874,Client_List!$A:$A,0)),"⚠ NOT FOUND"))</f>
        <v/>
      </c>
      <c r="D2874" s="45" t="n"/>
      <c r="E2874" s="32">
        <f>IF(B2874="","",IFERROR(INDEX(Client_List!$C:$C,MATCH(VALUE(B2874),Client_List!$A:$A,0)),""))</f>
        <v/>
      </c>
      <c r="F2874" s="53">
        <f>IF(B2874="","",IFERROR(INDEX(Client_List!$D:$D,MATCH(VALUE(B2874),Client_List!$A:$A,0)),""))</f>
        <v/>
      </c>
      <c r="G2874" s="53">
        <f>IF(B2874="","",IFERROR(INDEX(Client_List!$K:$K,MATCH(VALUE(B2874),Client_List!$A:$A,0)),""))</f>
        <v/>
      </c>
      <c r="H2874" s="32">
        <f>IF(B2874="","",IFERROR(INDEX(Client_List!$J:$J,MATCH(VALUE(B2874),Client_List!$A:$A,0)),""))</f>
        <v/>
      </c>
      <c r="I2874" s="70">
        <f>IF(B2874="","",IFERROR(A2874-LOOKUP(2,1/($B$4:$B2873=B2874),$A$4:$A2873),""))</f>
        <v/>
      </c>
      <c r="J2874" s="32">
        <f>IF(B2874="","",IFERROR(D2874/I2874,""))</f>
        <v/>
      </c>
      <c r="K2874" s="71">
        <f>IF(B2874="","",IFERROR(AVERAGEIFS($J$4:$J2874,$B$4:$B2874,B2874,$J$4:$J2874,"&gt;"&amp;0),""))</f>
        <v/>
      </c>
      <c r="L2874" s="12" t="n"/>
    </row>
    <row r="2875" ht="14" customHeight="1" s="72">
      <c r="A2875" s="82" t="n"/>
      <c r="B2875" s="79" t="n"/>
      <c r="C2875" s="69">
        <f>IF(B2875="","",IFERROR(INDEX(Client_List!$B:$B,MATCH(B2875,Client_List!$A:$A,0)),"⚠ NOT FOUND"))</f>
        <v/>
      </c>
      <c r="D2875" s="44" t="n"/>
      <c r="E2875" s="32">
        <f>IF(B2875="","",IFERROR(INDEX(Client_List!$C:$C,MATCH(VALUE(B2875),Client_List!$A:$A,0)),""))</f>
        <v/>
      </c>
      <c r="F2875" s="53">
        <f>IF(B2875="","",IFERROR(INDEX(Client_List!$D:$D,MATCH(VALUE(B2875),Client_List!$A:$A,0)),""))</f>
        <v/>
      </c>
      <c r="G2875" s="53">
        <f>IF(B2875="","",IFERROR(INDEX(Client_List!$K:$K,MATCH(VALUE(B2875),Client_List!$A:$A,0)),""))</f>
        <v/>
      </c>
      <c r="H2875" s="32">
        <f>IF(B2875="","",IFERROR(INDEX(Client_List!$J:$J,MATCH(VALUE(B2875),Client_List!$A:$A,0)),""))</f>
        <v/>
      </c>
      <c r="I2875" s="70">
        <f>IF(B2875="","",IFERROR(A2875-LOOKUP(2,1/($B$4:$B2874=B2875),$A$4:$A2874),""))</f>
        <v/>
      </c>
      <c r="J2875" s="32">
        <f>IF(B2875="","",IFERROR(D2875/I2875,""))</f>
        <v/>
      </c>
      <c r="K2875" s="71">
        <f>IF(B2875="","",IFERROR(AVERAGEIFS($J$4:$J2875,$B$4:$B2875,B2875,$J$4:$J2875,"&gt;"&amp;0),""))</f>
        <v/>
      </c>
      <c r="L2875" s="11" t="n"/>
    </row>
    <row r="2876" ht="14" customHeight="1" s="72">
      <c r="A2876" s="83" t="n"/>
      <c r="B2876" s="81" t="n"/>
      <c r="C2876" s="69">
        <f>IF(B2876="","",IFERROR(INDEX(Client_List!$B:$B,MATCH(B2876,Client_List!$A:$A,0)),"⚠ NOT FOUND"))</f>
        <v/>
      </c>
      <c r="D2876" s="45" t="n"/>
      <c r="E2876" s="32">
        <f>IF(B2876="","",IFERROR(INDEX(Client_List!$C:$C,MATCH(VALUE(B2876),Client_List!$A:$A,0)),""))</f>
        <v/>
      </c>
      <c r="F2876" s="53">
        <f>IF(B2876="","",IFERROR(INDEX(Client_List!$D:$D,MATCH(VALUE(B2876),Client_List!$A:$A,0)),""))</f>
        <v/>
      </c>
      <c r="G2876" s="53">
        <f>IF(B2876="","",IFERROR(INDEX(Client_List!$K:$K,MATCH(VALUE(B2876),Client_List!$A:$A,0)),""))</f>
        <v/>
      </c>
      <c r="H2876" s="32">
        <f>IF(B2876="","",IFERROR(INDEX(Client_List!$J:$J,MATCH(VALUE(B2876),Client_List!$A:$A,0)),""))</f>
        <v/>
      </c>
      <c r="I2876" s="70">
        <f>IF(B2876="","",IFERROR(A2876-LOOKUP(2,1/($B$4:$B2875=B2876),$A$4:$A2875),""))</f>
        <v/>
      </c>
      <c r="J2876" s="32">
        <f>IF(B2876="","",IFERROR(D2876/I2876,""))</f>
        <v/>
      </c>
      <c r="K2876" s="71">
        <f>IF(B2876="","",IFERROR(AVERAGEIFS($J$4:$J2876,$B$4:$B2876,B2876,$J$4:$J2876,"&gt;"&amp;0),""))</f>
        <v/>
      </c>
      <c r="L2876" s="12" t="n"/>
    </row>
    <row r="2877" ht="14" customHeight="1" s="72">
      <c r="A2877" s="82" t="n"/>
      <c r="B2877" s="79" t="n"/>
      <c r="C2877" s="69">
        <f>IF(B2877="","",IFERROR(INDEX(Client_List!$B:$B,MATCH(B2877,Client_List!$A:$A,0)),"⚠ NOT FOUND"))</f>
        <v/>
      </c>
      <c r="D2877" s="44" t="n"/>
      <c r="E2877" s="32">
        <f>IF(B2877="","",IFERROR(INDEX(Client_List!$C:$C,MATCH(VALUE(B2877),Client_List!$A:$A,0)),""))</f>
        <v/>
      </c>
      <c r="F2877" s="53">
        <f>IF(B2877="","",IFERROR(INDEX(Client_List!$D:$D,MATCH(VALUE(B2877),Client_List!$A:$A,0)),""))</f>
        <v/>
      </c>
      <c r="G2877" s="53">
        <f>IF(B2877="","",IFERROR(INDEX(Client_List!$K:$K,MATCH(VALUE(B2877),Client_List!$A:$A,0)),""))</f>
        <v/>
      </c>
      <c r="H2877" s="32">
        <f>IF(B2877="","",IFERROR(INDEX(Client_List!$J:$J,MATCH(VALUE(B2877),Client_List!$A:$A,0)),""))</f>
        <v/>
      </c>
      <c r="I2877" s="70">
        <f>IF(B2877="","",IFERROR(A2877-LOOKUP(2,1/($B$4:$B2876=B2877),$A$4:$A2876),""))</f>
        <v/>
      </c>
      <c r="J2877" s="32">
        <f>IF(B2877="","",IFERROR(D2877/I2877,""))</f>
        <v/>
      </c>
      <c r="K2877" s="71">
        <f>IF(B2877="","",IFERROR(AVERAGEIFS($J$4:$J2877,$B$4:$B2877,B2877,$J$4:$J2877,"&gt;"&amp;0),""))</f>
        <v/>
      </c>
      <c r="L2877" s="11" t="n"/>
    </row>
    <row r="2878" ht="14" customHeight="1" s="72">
      <c r="A2878" s="83" t="n"/>
      <c r="B2878" s="81" t="n"/>
      <c r="C2878" s="69">
        <f>IF(B2878="","",IFERROR(INDEX(Client_List!$B:$B,MATCH(B2878,Client_List!$A:$A,0)),"⚠ NOT FOUND"))</f>
        <v/>
      </c>
      <c r="D2878" s="45" t="n"/>
      <c r="E2878" s="32">
        <f>IF(B2878="","",IFERROR(INDEX(Client_List!$C:$C,MATCH(VALUE(B2878),Client_List!$A:$A,0)),""))</f>
        <v/>
      </c>
      <c r="F2878" s="53">
        <f>IF(B2878="","",IFERROR(INDEX(Client_List!$D:$D,MATCH(VALUE(B2878),Client_List!$A:$A,0)),""))</f>
        <v/>
      </c>
      <c r="G2878" s="53">
        <f>IF(B2878="","",IFERROR(INDEX(Client_List!$K:$K,MATCH(VALUE(B2878),Client_List!$A:$A,0)),""))</f>
        <v/>
      </c>
      <c r="H2878" s="32">
        <f>IF(B2878="","",IFERROR(INDEX(Client_List!$J:$J,MATCH(VALUE(B2878),Client_List!$A:$A,0)),""))</f>
        <v/>
      </c>
      <c r="I2878" s="70">
        <f>IF(B2878="","",IFERROR(A2878-LOOKUP(2,1/($B$4:$B2877=B2878),$A$4:$A2877),""))</f>
        <v/>
      </c>
      <c r="J2878" s="32">
        <f>IF(B2878="","",IFERROR(D2878/I2878,""))</f>
        <v/>
      </c>
      <c r="K2878" s="71">
        <f>IF(B2878="","",IFERROR(AVERAGEIFS($J$4:$J2878,$B$4:$B2878,B2878,$J$4:$J2878,"&gt;"&amp;0),""))</f>
        <v/>
      </c>
      <c r="L2878" s="12" t="n"/>
    </row>
    <row r="2879" ht="14" customHeight="1" s="72">
      <c r="A2879" s="82" t="n"/>
      <c r="B2879" s="79" t="n"/>
      <c r="C2879" s="69">
        <f>IF(B2879="","",IFERROR(INDEX(Client_List!$B:$B,MATCH(B2879,Client_List!$A:$A,0)),"⚠ NOT FOUND"))</f>
        <v/>
      </c>
      <c r="D2879" s="44" t="n"/>
      <c r="E2879" s="32">
        <f>IF(B2879="","",IFERROR(INDEX(Client_List!$C:$C,MATCH(VALUE(B2879),Client_List!$A:$A,0)),""))</f>
        <v/>
      </c>
      <c r="F2879" s="53">
        <f>IF(B2879="","",IFERROR(INDEX(Client_List!$D:$D,MATCH(VALUE(B2879),Client_List!$A:$A,0)),""))</f>
        <v/>
      </c>
      <c r="G2879" s="53">
        <f>IF(B2879="","",IFERROR(INDEX(Client_List!$K:$K,MATCH(VALUE(B2879),Client_List!$A:$A,0)),""))</f>
        <v/>
      </c>
      <c r="H2879" s="32">
        <f>IF(B2879="","",IFERROR(INDEX(Client_List!$J:$J,MATCH(VALUE(B2879),Client_List!$A:$A,0)),""))</f>
        <v/>
      </c>
      <c r="I2879" s="70">
        <f>IF(B2879="","",IFERROR(A2879-LOOKUP(2,1/($B$4:$B2878=B2879),$A$4:$A2878),""))</f>
        <v/>
      </c>
      <c r="J2879" s="32">
        <f>IF(B2879="","",IFERROR(D2879/I2879,""))</f>
        <v/>
      </c>
      <c r="K2879" s="71">
        <f>IF(B2879="","",IFERROR(AVERAGEIFS($J$4:$J2879,$B$4:$B2879,B2879,$J$4:$J2879,"&gt;"&amp;0),""))</f>
        <v/>
      </c>
      <c r="L2879" s="11" t="n"/>
    </row>
    <row r="2880" ht="14" customHeight="1" s="72">
      <c r="A2880" s="83" t="n"/>
      <c r="B2880" s="81" t="n"/>
      <c r="C2880" s="69">
        <f>IF(B2880="","",IFERROR(INDEX(Client_List!$B:$B,MATCH(B2880,Client_List!$A:$A,0)),"⚠ NOT FOUND"))</f>
        <v/>
      </c>
      <c r="D2880" s="45" t="n"/>
      <c r="E2880" s="32">
        <f>IF(B2880="","",IFERROR(INDEX(Client_List!$C:$C,MATCH(VALUE(B2880),Client_List!$A:$A,0)),""))</f>
        <v/>
      </c>
      <c r="F2880" s="53">
        <f>IF(B2880="","",IFERROR(INDEX(Client_List!$D:$D,MATCH(VALUE(B2880),Client_List!$A:$A,0)),""))</f>
        <v/>
      </c>
      <c r="G2880" s="53">
        <f>IF(B2880="","",IFERROR(INDEX(Client_List!$K:$K,MATCH(VALUE(B2880),Client_List!$A:$A,0)),""))</f>
        <v/>
      </c>
      <c r="H2880" s="32">
        <f>IF(B2880="","",IFERROR(INDEX(Client_List!$J:$J,MATCH(VALUE(B2880),Client_List!$A:$A,0)),""))</f>
        <v/>
      </c>
      <c r="I2880" s="70">
        <f>IF(B2880="","",IFERROR(A2880-LOOKUP(2,1/($B$4:$B2879=B2880),$A$4:$A2879),""))</f>
        <v/>
      </c>
      <c r="J2880" s="32">
        <f>IF(B2880="","",IFERROR(D2880/I2880,""))</f>
        <v/>
      </c>
      <c r="K2880" s="71">
        <f>IF(B2880="","",IFERROR(AVERAGEIFS($J$4:$J2880,$B$4:$B2880,B2880,$J$4:$J2880,"&gt;"&amp;0),""))</f>
        <v/>
      </c>
      <c r="L2880" s="12" t="n"/>
    </row>
    <row r="2881" ht="14" customHeight="1" s="72">
      <c r="A2881" s="82" t="n"/>
      <c r="B2881" s="79" t="n"/>
      <c r="C2881" s="69">
        <f>IF(B2881="","",IFERROR(INDEX(Client_List!$B:$B,MATCH(B2881,Client_List!$A:$A,0)),"⚠ NOT FOUND"))</f>
        <v/>
      </c>
      <c r="D2881" s="44" t="n"/>
      <c r="E2881" s="32">
        <f>IF(B2881="","",IFERROR(INDEX(Client_List!$C:$C,MATCH(VALUE(B2881),Client_List!$A:$A,0)),""))</f>
        <v/>
      </c>
      <c r="F2881" s="53">
        <f>IF(B2881="","",IFERROR(INDEX(Client_List!$D:$D,MATCH(VALUE(B2881),Client_List!$A:$A,0)),""))</f>
        <v/>
      </c>
      <c r="G2881" s="53">
        <f>IF(B2881="","",IFERROR(INDEX(Client_List!$K:$K,MATCH(VALUE(B2881),Client_List!$A:$A,0)),""))</f>
        <v/>
      </c>
      <c r="H2881" s="32">
        <f>IF(B2881="","",IFERROR(INDEX(Client_List!$J:$J,MATCH(VALUE(B2881),Client_List!$A:$A,0)),""))</f>
        <v/>
      </c>
      <c r="I2881" s="70">
        <f>IF(B2881="","",IFERROR(A2881-LOOKUP(2,1/($B$4:$B2880=B2881),$A$4:$A2880),""))</f>
        <v/>
      </c>
      <c r="J2881" s="32">
        <f>IF(B2881="","",IFERROR(D2881/I2881,""))</f>
        <v/>
      </c>
      <c r="K2881" s="71">
        <f>IF(B2881="","",IFERROR(AVERAGEIFS($J$4:$J2881,$B$4:$B2881,B2881,$J$4:$J2881,"&gt;"&amp;0),""))</f>
        <v/>
      </c>
      <c r="L2881" s="11" t="n"/>
    </row>
    <row r="2882" ht="14" customHeight="1" s="72">
      <c r="A2882" s="83" t="n"/>
      <c r="B2882" s="81" t="n"/>
      <c r="C2882" s="69">
        <f>IF(B2882="","",IFERROR(INDEX(Client_List!$B:$B,MATCH(B2882,Client_List!$A:$A,0)),"⚠ NOT FOUND"))</f>
        <v/>
      </c>
      <c r="D2882" s="45" t="n"/>
      <c r="E2882" s="32">
        <f>IF(B2882="","",IFERROR(INDEX(Client_List!$C:$C,MATCH(VALUE(B2882),Client_List!$A:$A,0)),""))</f>
        <v/>
      </c>
      <c r="F2882" s="53">
        <f>IF(B2882="","",IFERROR(INDEX(Client_List!$D:$D,MATCH(VALUE(B2882),Client_List!$A:$A,0)),""))</f>
        <v/>
      </c>
      <c r="G2882" s="53">
        <f>IF(B2882="","",IFERROR(INDEX(Client_List!$K:$K,MATCH(VALUE(B2882),Client_List!$A:$A,0)),""))</f>
        <v/>
      </c>
      <c r="H2882" s="32">
        <f>IF(B2882="","",IFERROR(INDEX(Client_List!$J:$J,MATCH(VALUE(B2882),Client_List!$A:$A,0)),""))</f>
        <v/>
      </c>
      <c r="I2882" s="70">
        <f>IF(B2882="","",IFERROR(A2882-LOOKUP(2,1/($B$4:$B2881=B2882),$A$4:$A2881),""))</f>
        <v/>
      </c>
      <c r="J2882" s="32">
        <f>IF(B2882="","",IFERROR(D2882/I2882,""))</f>
        <v/>
      </c>
      <c r="K2882" s="71">
        <f>IF(B2882="","",IFERROR(AVERAGEIFS($J$4:$J2882,$B$4:$B2882,B2882,$J$4:$J2882,"&gt;"&amp;0),""))</f>
        <v/>
      </c>
      <c r="L2882" s="12" t="n"/>
    </row>
    <row r="2883" ht="14" customHeight="1" s="72">
      <c r="A2883" s="82" t="n"/>
      <c r="B2883" s="79" t="n"/>
      <c r="C2883" s="69">
        <f>IF(B2883="","",IFERROR(INDEX(Client_List!$B:$B,MATCH(B2883,Client_List!$A:$A,0)),"⚠ NOT FOUND"))</f>
        <v/>
      </c>
      <c r="D2883" s="44" t="n"/>
      <c r="E2883" s="32">
        <f>IF(B2883="","",IFERROR(INDEX(Client_List!$C:$C,MATCH(VALUE(B2883),Client_List!$A:$A,0)),""))</f>
        <v/>
      </c>
      <c r="F2883" s="53">
        <f>IF(B2883="","",IFERROR(INDEX(Client_List!$D:$D,MATCH(VALUE(B2883),Client_List!$A:$A,0)),""))</f>
        <v/>
      </c>
      <c r="G2883" s="53">
        <f>IF(B2883="","",IFERROR(INDEX(Client_List!$K:$K,MATCH(VALUE(B2883),Client_List!$A:$A,0)),""))</f>
        <v/>
      </c>
      <c r="H2883" s="32">
        <f>IF(B2883="","",IFERROR(INDEX(Client_List!$J:$J,MATCH(VALUE(B2883),Client_List!$A:$A,0)),""))</f>
        <v/>
      </c>
      <c r="I2883" s="70">
        <f>IF(B2883="","",IFERROR(A2883-LOOKUP(2,1/($B$4:$B2882=B2883),$A$4:$A2882),""))</f>
        <v/>
      </c>
      <c r="J2883" s="32">
        <f>IF(B2883="","",IFERROR(D2883/I2883,""))</f>
        <v/>
      </c>
      <c r="K2883" s="71">
        <f>IF(B2883="","",IFERROR(AVERAGEIFS($J$4:$J2883,$B$4:$B2883,B2883,$J$4:$J2883,"&gt;"&amp;0),""))</f>
        <v/>
      </c>
      <c r="L2883" s="11" t="n"/>
    </row>
    <row r="2884" ht="14" customHeight="1" s="72">
      <c r="A2884" s="83" t="n"/>
      <c r="B2884" s="81" t="n"/>
      <c r="C2884" s="69">
        <f>IF(B2884="","",IFERROR(INDEX(Client_List!$B:$B,MATCH(B2884,Client_List!$A:$A,0)),"⚠ NOT FOUND"))</f>
        <v/>
      </c>
      <c r="D2884" s="45" t="n"/>
      <c r="E2884" s="32">
        <f>IF(B2884="","",IFERROR(INDEX(Client_List!$C:$C,MATCH(VALUE(B2884),Client_List!$A:$A,0)),""))</f>
        <v/>
      </c>
      <c r="F2884" s="53">
        <f>IF(B2884="","",IFERROR(INDEX(Client_List!$D:$D,MATCH(VALUE(B2884),Client_List!$A:$A,0)),""))</f>
        <v/>
      </c>
      <c r="G2884" s="53">
        <f>IF(B2884="","",IFERROR(INDEX(Client_List!$K:$K,MATCH(VALUE(B2884),Client_List!$A:$A,0)),""))</f>
        <v/>
      </c>
      <c r="H2884" s="32">
        <f>IF(B2884="","",IFERROR(INDEX(Client_List!$J:$J,MATCH(VALUE(B2884),Client_List!$A:$A,0)),""))</f>
        <v/>
      </c>
      <c r="I2884" s="70">
        <f>IF(B2884="","",IFERROR(A2884-LOOKUP(2,1/($B$4:$B2883=B2884),$A$4:$A2883),""))</f>
        <v/>
      </c>
      <c r="J2884" s="32">
        <f>IF(B2884="","",IFERROR(D2884/I2884,""))</f>
        <v/>
      </c>
      <c r="K2884" s="71">
        <f>IF(B2884="","",IFERROR(AVERAGEIFS($J$4:$J2884,$B$4:$B2884,B2884,$J$4:$J2884,"&gt;"&amp;0),""))</f>
        <v/>
      </c>
      <c r="L2884" s="12" t="n"/>
    </row>
    <row r="2885" ht="14" customHeight="1" s="72">
      <c r="A2885" s="82" t="n"/>
      <c r="B2885" s="79" t="n"/>
      <c r="C2885" s="69">
        <f>IF(B2885="","",IFERROR(INDEX(Client_List!$B:$B,MATCH(B2885,Client_List!$A:$A,0)),"⚠ NOT FOUND"))</f>
        <v/>
      </c>
      <c r="D2885" s="44" t="n"/>
      <c r="E2885" s="32">
        <f>IF(B2885="","",IFERROR(INDEX(Client_List!$C:$C,MATCH(VALUE(B2885),Client_List!$A:$A,0)),""))</f>
        <v/>
      </c>
      <c r="F2885" s="53">
        <f>IF(B2885="","",IFERROR(INDEX(Client_List!$D:$D,MATCH(VALUE(B2885),Client_List!$A:$A,0)),""))</f>
        <v/>
      </c>
      <c r="G2885" s="53">
        <f>IF(B2885="","",IFERROR(INDEX(Client_List!$K:$K,MATCH(VALUE(B2885),Client_List!$A:$A,0)),""))</f>
        <v/>
      </c>
      <c r="H2885" s="32">
        <f>IF(B2885="","",IFERROR(INDEX(Client_List!$J:$J,MATCH(VALUE(B2885),Client_List!$A:$A,0)),""))</f>
        <v/>
      </c>
      <c r="I2885" s="70">
        <f>IF(B2885="","",IFERROR(A2885-LOOKUP(2,1/($B$4:$B2884=B2885),$A$4:$A2884),""))</f>
        <v/>
      </c>
      <c r="J2885" s="32">
        <f>IF(B2885="","",IFERROR(D2885/I2885,""))</f>
        <v/>
      </c>
      <c r="K2885" s="71">
        <f>IF(B2885="","",IFERROR(AVERAGEIFS($J$4:$J2885,$B$4:$B2885,B2885,$J$4:$J2885,"&gt;"&amp;0),""))</f>
        <v/>
      </c>
      <c r="L2885" s="11" t="n"/>
    </row>
    <row r="2886" ht="14" customHeight="1" s="72">
      <c r="A2886" s="83" t="n"/>
      <c r="B2886" s="81" t="n"/>
      <c r="C2886" s="69">
        <f>IF(B2886="","",IFERROR(INDEX(Client_List!$B:$B,MATCH(B2886,Client_List!$A:$A,0)),"⚠ NOT FOUND"))</f>
        <v/>
      </c>
      <c r="D2886" s="45" t="n"/>
      <c r="E2886" s="32">
        <f>IF(B2886="","",IFERROR(INDEX(Client_List!$C:$C,MATCH(VALUE(B2886),Client_List!$A:$A,0)),""))</f>
        <v/>
      </c>
      <c r="F2886" s="53">
        <f>IF(B2886="","",IFERROR(INDEX(Client_List!$D:$D,MATCH(VALUE(B2886),Client_List!$A:$A,0)),""))</f>
        <v/>
      </c>
      <c r="G2886" s="53">
        <f>IF(B2886="","",IFERROR(INDEX(Client_List!$K:$K,MATCH(VALUE(B2886),Client_List!$A:$A,0)),""))</f>
        <v/>
      </c>
      <c r="H2886" s="32">
        <f>IF(B2886="","",IFERROR(INDEX(Client_List!$J:$J,MATCH(VALUE(B2886),Client_List!$A:$A,0)),""))</f>
        <v/>
      </c>
      <c r="I2886" s="70">
        <f>IF(B2886="","",IFERROR(A2886-LOOKUP(2,1/($B$4:$B2885=B2886),$A$4:$A2885),""))</f>
        <v/>
      </c>
      <c r="J2886" s="32">
        <f>IF(B2886="","",IFERROR(D2886/I2886,""))</f>
        <v/>
      </c>
      <c r="K2886" s="71">
        <f>IF(B2886="","",IFERROR(AVERAGEIFS($J$4:$J2886,$B$4:$B2886,B2886,$J$4:$J2886,"&gt;"&amp;0),""))</f>
        <v/>
      </c>
      <c r="L2886" s="12" t="n"/>
    </row>
    <row r="2887" ht="14" customHeight="1" s="72">
      <c r="A2887" s="82" t="n"/>
      <c r="B2887" s="79" t="n"/>
      <c r="C2887" s="69">
        <f>IF(B2887="","",IFERROR(INDEX(Client_List!$B:$B,MATCH(B2887,Client_List!$A:$A,0)),"⚠ NOT FOUND"))</f>
        <v/>
      </c>
      <c r="D2887" s="44" t="n"/>
      <c r="E2887" s="32">
        <f>IF(B2887="","",IFERROR(INDEX(Client_List!$C:$C,MATCH(VALUE(B2887),Client_List!$A:$A,0)),""))</f>
        <v/>
      </c>
      <c r="F2887" s="53">
        <f>IF(B2887="","",IFERROR(INDEX(Client_List!$D:$D,MATCH(VALUE(B2887),Client_List!$A:$A,0)),""))</f>
        <v/>
      </c>
      <c r="G2887" s="53">
        <f>IF(B2887="","",IFERROR(INDEX(Client_List!$K:$K,MATCH(VALUE(B2887),Client_List!$A:$A,0)),""))</f>
        <v/>
      </c>
      <c r="H2887" s="32">
        <f>IF(B2887="","",IFERROR(INDEX(Client_List!$J:$J,MATCH(VALUE(B2887),Client_List!$A:$A,0)),""))</f>
        <v/>
      </c>
      <c r="I2887" s="70">
        <f>IF(B2887="","",IFERROR(A2887-LOOKUP(2,1/($B$4:$B2886=B2887),$A$4:$A2886),""))</f>
        <v/>
      </c>
      <c r="J2887" s="32">
        <f>IF(B2887="","",IFERROR(D2887/I2887,""))</f>
        <v/>
      </c>
      <c r="K2887" s="71">
        <f>IF(B2887="","",IFERROR(AVERAGEIFS($J$4:$J2887,$B$4:$B2887,B2887,$J$4:$J2887,"&gt;"&amp;0),""))</f>
        <v/>
      </c>
      <c r="L2887" s="11" t="n"/>
    </row>
    <row r="2888" ht="14" customHeight="1" s="72">
      <c r="A2888" s="83" t="n"/>
      <c r="B2888" s="81" t="n"/>
      <c r="C2888" s="69">
        <f>IF(B2888="","",IFERROR(INDEX(Client_List!$B:$B,MATCH(B2888,Client_List!$A:$A,0)),"⚠ NOT FOUND"))</f>
        <v/>
      </c>
      <c r="D2888" s="45" t="n"/>
      <c r="E2888" s="32">
        <f>IF(B2888="","",IFERROR(INDEX(Client_List!$C:$C,MATCH(VALUE(B2888),Client_List!$A:$A,0)),""))</f>
        <v/>
      </c>
      <c r="F2888" s="53">
        <f>IF(B2888="","",IFERROR(INDEX(Client_List!$D:$D,MATCH(VALUE(B2888),Client_List!$A:$A,0)),""))</f>
        <v/>
      </c>
      <c r="G2888" s="53">
        <f>IF(B2888="","",IFERROR(INDEX(Client_List!$K:$K,MATCH(VALUE(B2888),Client_List!$A:$A,0)),""))</f>
        <v/>
      </c>
      <c r="H2888" s="32">
        <f>IF(B2888="","",IFERROR(INDEX(Client_List!$J:$J,MATCH(VALUE(B2888),Client_List!$A:$A,0)),""))</f>
        <v/>
      </c>
      <c r="I2888" s="70">
        <f>IF(B2888="","",IFERROR(A2888-LOOKUP(2,1/($B$4:$B2887=B2888),$A$4:$A2887),""))</f>
        <v/>
      </c>
      <c r="J2888" s="32">
        <f>IF(B2888="","",IFERROR(D2888/I2888,""))</f>
        <v/>
      </c>
      <c r="K2888" s="71">
        <f>IF(B2888="","",IFERROR(AVERAGEIFS($J$4:$J2888,$B$4:$B2888,B2888,$J$4:$J2888,"&gt;"&amp;0),""))</f>
        <v/>
      </c>
      <c r="L2888" s="12" t="n"/>
    </row>
    <row r="2889" ht="14" customHeight="1" s="72">
      <c r="A2889" s="82" t="n"/>
      <c r="B2889" s="79" t="n"/>
      <c r="C2889" s="69">
        <f>IF(B2889="","",IFERROR(INDEX(Client_List!$B:$B,MATCH(B2889,Client_List!$A:$A,0)),"⚠ NOT FOUND"))</f>
        <v/>
      </c>
      <c r="D2889" s="44" t="n"/>
      <c r="E2889" s="32">
        <f>IF(B2889="","",IFERROR(INDEX(Client_List!$C:$C,MATCH(VALUE(B2889),Client_List!$A:$A,0)),""))</f>
        <v/>
      </c>
      <c r="F2889" s="53">
        <f>IF(B2889="","",IFERROR(INDEX(Client_List!$D:$D,MATCH(VALUE(B2889),Client_List!$A:$A,0)),""))</f>
        <v/>
      </c>
      <c r="G2889" s="53">
        <f>IF(B2889="","",IFERROR(INDEX(Client_List!$K:$K,MATCH(VALUE(B2889),Client_List!$A:$A,0)),""))</f>
        <v/>
      </c>
      <c r="H2889" s="32">
        <f>IF(B2889="","",IFERROR(INDEX(Client_List!$J:$J,MATCH(VALUE(B2889),Client_List!$A:$A,0)),""))</f>
        <v/>
      </c>
      <c r="I2889" s="70">
        <f>IF(B2889="","",IFERROR(A2889-LOOKUP(2,1/($B$4:$B2888=B2889),$A$4:$A2888),""))</f>
        <v/>
      </c>
      <c r="J2889" s="32">
        <f>IF(B2889="","",IFERROR(D2889/I2889,""))</f>
        <v/>
      </c>
      <c r="K2889" s="71">
        <f>IF(B2889="","",IFERROR(AVERAGEIFS($J$4:$J2889,$B$4:$B2889,B2889,$J$4:$J2889,"&gt;"&amp;0),""))</f>
        <v/>
      </c>
      <c r="L2889" s="11" t="n"/>
    </row>
    <row r="2890" ht="14" customHeight="1" s="72">
      <c r="A2890" s="83" t="n"/>
      <c r="B2890" s="81" t="n"/>
      <c r="C2890" s="69">
        <f>IF(B2890="","",IFERROR(INDEX(Client_List!$B:$B,MATCH(B2890,Client_List!$A:$A,0)),"⚠ NOT FOUND"))</f>
        <v/>
      </c>
      <c r="D2890" s="45" t="n"/>
      <c r="E2890" s="32">
        <f>IF(B2890="","",IFERROR(INDEX(Client_List!$C:$C,MATCH(VALUE(B2890),Client_List!$A:$A,0)),""))</f>
        <v/>
      </c>
      <c r="F2890" s="53">
        <f>IF(B2890="","",IFERROR(INDEX(Client_List!$D:$D,MATCH(VALUE(B2890),Client_List!$A:$A,0)),""))</f>
        <v/>
      </c>
      <c r="G2890" s="53">
        <f>IF(B2890="","",IFERROR(INDEX(Client_List!$K:$K,MATCH(VALUE(B2890),Client_List!$A:$A,0)),""))</f>
        <v/>
      </c>
      <c r="H2890" s="32">
        <f>IF(B2890="","",IFERROR(INDEX(Client_List!$J:$J,MATCH(VALUE(B2890),Client_List!$A:$A,0)),""))</f>
        <v/>
      </c>
      <c r="I2890" s="70">
        <f>IF(B2890="","",IFERROR(A2890-LOOKUP(2,1/($B$4:$B2889=B2890),$A$4:$A2889),""))</f>
        <v/>
      </c>
      <c r="J2890" s="32">
        <f>IF(B2890="","",IFERROR(D2890/I2890,""))</f>
        <v/>
      </c>
      <c r="K2890" s="71">
        <f>IF(B2890="","",IFERROR(AVERAGEIFS($J$4:$J2890,$B$4:$B2890,B2890,$J$4:$J2890,"&gt;"&amp;0),""))</f>
        <v/>
      </c>
      <c r="L2890" s="12" t="n"/>
    </row>
    <row r="2891" ht="14" customHeight="1" s="72">
      <c r="A2891" s="82" t="n"/>
      <c r="B2891" s="79" t="n"/>
      <c r="C2891" s="69">
        <f>IF(B2891="","",IFERROR(INDEX(Client_List!$B:$B,MATCH(B2891,Client_List!$A:$A,0)),"⚠ NOT FOUND"))</f>
        <v/>
      </c>
      <c r="D2891" s="44" t="n"/>
      <c r="E2891" s="32">
        <f>IF(B2891="","",IFERROR(INDEX(Client_List!$C:$C,MATCH(VALUE(B2891),Client_List!$A:$A,0)),""))</f>
        <v/>
      </c>
      <c r="F2891" s="53">
        <f>IF(B2891="","",IFERROR(INDEX(Client_List!$D:$D,MATCH(VALUE(B2891),Client_List!$A:$A,0)),""))</f>
        <v/>
      </c>
      <c r="G2891" s="53">
        <f>IF(B2891="","",IFERROR(INDEX(Client_List!$K:$K,MATCH(VALUE(B2891),Client_List!$A:$A,0)),""))</f>
        <v/>
      </c>
      <c r="H2891" s="32">
        <f>IF(B2891="","",IFERROR(INDEX(Client_List!$J:$J,MATCH(VALUE(B2891),Client_List!$A:$A,0)),""))</f>
        <v/>
      </c>
      <c r="I2891" s="70">
        <f>IF(B2891="","",IFERROR(A2891-LOOKUP(2,1/($B$4:$B2890=B2891),$A$4:$A2890),""))</f>
        <v/>
      </c>
      <c r="J2891" s="32">
        <f>IF(B2891="","",IFERROR(D2891/I2891,""))</f>
        <v/>
      </c>
      <c r="K2891" s="71">
        <f>IF(B2891="","",IFERROR(AVERAGEIFS($J$4:$J2891,$B$4:$B2891,B2891,$J$4:$J2891,"&gt;"&amp;0),""))</f>
        <v/>
      </c>
      <c r="L2891" s="11" t="n"/>
    </row>
    <row r="2892" ht="14" customHeight="1" s="72">
      <c r="A2892" s="83" t="n"/>
      <c r="B2892" s="81" t="n"/>
      <c r="C2892" s="69">
        <f>IF(B2892="","",IFERROR(INDEX(Client_List!$B:$B,MATCH(B2892,Client_List!$A:$A,0)),"⚠ NOT FOUND"))</f>
        <v/>
      </c>
      <c r="D2892" s="45" t="n"/>
      <c r="E2892" s="32">
        <f>IF(B2892="","",IFERROR(INDEX(Client_List!$C:$C,MATCH(VALUE(B2892),Client_List!$A:$A,0)),""))</f>
        <v/>
      </c>
      <c r="F2892" s="53">
        <f>IF(B2892="","",IFERROR(INDEX(Client_List!$D:$D,MATCH(VALUE(B2892),Client_List!$A:$A,0)),""))</f>
        <v/>
      </c>
      <c r="G2892" s="53">
        <f>IF(B2892="","",IFERROR(INDEX(Client_List!$K:$K,MATCH(VALUE(B2892),Client_List!$A:$A,0)),""))</f>
        <v/>
      </c>
      <c r="H2892" s="32">
        <f>IF(B2892="","",IFERROR(INDEX(Client_List!$J:$J,MATCH(VALUE(B2892),Client_List!$A:$A,0)),""))</f>
        <v/>
      </c>
      <c r="I2892" s="70">
        <f>IF(B2892="","",IFERROR(A2892-LOOKUP(2,1/($B$4:$B2891=B2892),$A$4:$A2891),""))</f>
        <v/>
      </c>
      <c r="J2892" s="32">
        <f>IF(B2892="","",IFERROR(D2892/I2892,""))</f>
        <v/>
      </c>
      <c r="K2892" s="71">
        <f>IF(B2892="","",IFERROR(AVERAGEIFS($J$4:$J2892,$B$4:$B2892,B2892,$J$4:$J2892,"&gt;"&amp;0),""))</f>
        <v/>
      </c>
      <c r="L2892" s="12" t="n"/>
    </row>
    <row r="2893" ht="14" customHeight="1" s="72">
      <c r="A2893" s="82" t="n"/>
      <c r="B2893" s="79" t="n"/>
      <c r="C2893" s="69">
        <f>IF(B2893="","",IFERROR(INDEX(Client_List!$B:$B,MATCH(B2893,Client_List!$A:$A,0)),"⚠ NOT FOUND"))</f>
        <v/>
      </c>
      <c r="D2893" s="44" t="n"/>
      <c r="E2893" s="32">
        <f>IF(B2893="","",IFERROR(INDEX(Client_List!$C:$C,MATCH(VALUE(B2893),Client_List!$A:$A,0)),""))</f>
        <v/>
      </c>
      <c r="F2893" s="53">
        <f>IF(B2893="","",IFERROR(INDEX(Client_List!$D:$D,MATCH(VALUE(B2893),Client_List!$A:$A,0)),""))</f>
        <v/>
      </c>
      <c r="G2893" s="53">
        <f>IF(B2893="","",IFERROR(INDEX(Client_List!$K:$K,MATCH(VALUE(B2893),Client_List!$A:$A,0)),""))</f>
        <v/>
      </c>
      <c r="H2893" s="32">
        <f>IF(B2893="","",IFERROR(INDEX(Client_List!$J:$J,MATCH(VALUE(B2893),Client_List!$A:$A,0)),""))</f>
        <v/>
      </c>
      <c r="I2893" s="70">
        <f>IF(B2893="","",IFERROR(A2893-LOOKUP(2,1/($B$4:$B2892=B2893),$A$4:$A2892),""))</f>
        <v/>
      </c>
      <c r="J2893" s="32">
        <f>IF(B2893="","",IFERROR(D2893/I2893,""))</f>
        <v/>
      </c>
      <c r="K2893" s="71">
        <f>IF(B2893="","",IFERROR(AVERAGEIFS($J$4:$J2893,$B$4:$B2893,B2893,$J$4:$J2893,"&gt;"&amp;0),""))</f>
        <v/>
      </c>
      <c r="L2893" s="11" t="n"/>
    </row>
    <row r="2894" ht="14" customHeight="1" s="72">
      <c r="A2894" s="83" t="n"/>
      <c r="B2894" s="81" t="n"/>
      <c r="C2894" s="69">
        <f>IF(B2894="","",IFERROR(INDEX(Client_List!$B:$B,MATCH(B2894,Client_List!$A:$A,0)),"⚠ NOT FOUND"))</f>
        <v/>
      </c>
      <c r="D2894" s="45" t="n"/>
      <c r="E2894" s="32">
        <f>IF(B2894="","",IFERROR(INDEX(Client_List!$C:$C,MATCH(VALUE(B2894),Client_List!$A:$A,0)),""))</f>
        <v/>
      </c>
      <c r="F2894" s="53">
        <f>IF(B2894="","",IFERROR(INDEX(Client_List!$D:$D,MATCH(VALUE(B2894),Client_List!$A:$A,0)),""))</f>
        <v/>
      </c>
      <c r="G2894" s="53">
        <f>IF(B2894="","",IFERROR(INDEX(Client_List!$K:$K,MATCH(VALUE(B2894),Client_List!$A:$A,0)),""))</f>
        <v/>
      </c>
      <c r="H2894" s="32">
        <f>IF(B2894="","",IFERROR(INDEX(Client_List!$J:$J,MATCH(VALUE(B2894),Client_List!$A:$A,0)),""))</f>
        <v/>
      </c>
      <c r="I2894" s="70">
        <f>IF(B2894="","",IFERROR(A2894-LOOKUP(2,1/($B$4:$B2893=B2894),$A$4:$A2893),""))</f>
        <v/>
      </c>
      <c r="J2894" s="32">
        <f>IF(B2894="","",IFERROR(D2894/I2894,""))</f>
        <v/>
      </c>
      <c r="K2894" s="71">
        <f>IF(B2894="","",IFERROR(AVERAGEIFS($J$4:$J2894,$B$4:$B2894,B2894,$J$4:$J2894,"&gt;"&amp;0),""))</f>
        <v/>
      </c>
      <c r="L2894" s="12" t="n"/>
    </row>
    <row r="2895" ht="14" customHeight="1" s="72">
      <c r="A2895" s="82" t="n"/>
      <c r="B2895" s="79" t="n"/>
      <c r="C2895" s="69">
        <f>IF(B2895="","",IFERROR(INDEX(Client_List!$B:$B,MATCH(B2895,Client_List!$A:$A,0)),"⚠ NOT FOUND"))</f>
        <v/>
      </c>
      <c r="D2895" s="44" t="n"/>
      <c r="E2895" s="32">
        <f>IF(B2895="","",IFERROR(INDEX(Client_List!$C:$C,MATCH(VALUE(B2895),Client_List!$A:$A,0)),""))</f>
        <v/>
      </c>
      <c r="F2895" s="53">
        <f>IF(B2895="","",IFERROR(INDEX(Client_List!$D:$D,MATCH(VALUE(B2895),Client_List!$A:$A,0)),""))</f>
        <v/>
      </c>
      <c r="G2895" s="53">
        <f>IF(B2895="","",IFERROR(INDEX(Client_List!$K:$K,MATCH(VALUE(B2895),Client_List!$A:$A,0)),""))</f>
        <v/>
      </c>
      <c r="H2895" s="32">
        <f>IF(B2895="","",IFERROR(INDEX(Client_List!$J:$J,MATCH(VALUE(B2895),Client_List!$A:$A,0)),""))</f>
        <v/>
      </c>
      <c r="I2895" s="70">
        <f>IF(B2895="","",IFERROR(A2895-LOOKUP(2,1/($B$4:$B2894=B2895),$A$4:$A2894),""))</f>
        <v/>
      </c>
      <c r="J2895" s="32">
        <f>IF(B2895="","",IFERROR(D2895/I2895,""))</f>
        <v/>
      </c>
      <c r="K2895" s="71">
        <f>IF(B2895="","",IFERROR(AVERAGEIFS($J$4:$J2895,$B$4:$B2895,B2895,$J$4:$J2895,"&gt;"&amp;0),""))</f>
        <v/>
      </c>
      <c r="L2895" s="11" t="n"/>
    </row>
    <row r="2896" ht="14" customHeight="1" s="72">
      <c r="A2896" s="83" t="n"/>
      <c r="B2896" s="81" t="n"/>
      <c r="C2896" s="69">
        <f>IF(B2896="","",IFERROR(INDEX(Client_List!$B:$B,MATCH(B2896,Client_List!$A:$A,0)),"⚠ NOT FOUND"))</f>
        <v/>
      </c>
      <c r="D2896" s="45" t="n"/>
      <c r="E2896" s="32">
        <f>IF(B2896="","",IFERROR(INDEX(Client_List!$C:$C,MATCH(VALUE(B2896),Client_List!$A:$A,0)),""))</f>
        <v/>
      </c>
      <c r="F2896" s="53">
        <f>IF(B2896="","",IFERROR(INDEX(Client_List!$D:$D,MATCH(VALUE(B2896),Client_List!$A:$A,0)),""))</f>
        <v/>
      </c>
      <c r="G2896" s="53">
        <f>IF(B2896="","",IFERROR(INDEX(Client_List!$K:$K,MATCH(VALUE(B2896),Client_List!$A:$A,0)),""))</f>
        <v/>
      </c>
      <c r="H2896" s="32">
        <f>IF(B2896="","",IFERROR(INDEX(Client_List!$J:$J,MATCH(VALUE(B2896),Client_List!$A:$A,0)),""))</f>
        <v/>
      </c>
      <c r="I2896" s="70">
        <f>IF(B2896="","",IFERROR(A2896-LOOKUP(2,1/($B$4:$B2895=B2896),$A$4:$A2895),""))</f>
        <v/>
      </c>
      <c r="J2896" s="32">
        <f>IF(B2896="","",IFERROR(D2896/I2896,""))</f>
        <v/>
      </c>
      <c r="K2896" s="71">
        <f>IF(B2896="","",IFERROR(AVERAGEIFS($J$4:$J2896,$B$4:$B2896,B2896,$J$4:$J2896,"&gt;"&amp;0),""))</f>
        <v/>
      </c>
      <c r="L2896" s="12" t="n"/>
    </row>
    <row r="2897" ht="14" customHeight="1" s="72">
      <c r="A2897" s="82" t="n"/>
      <c r="B2897" s="79" t="n"/>
      <c r="C2897" s="69">
        <f>IF(B2897="","",IFERROR(INDEX(Client_List!$B:$B,MATCH(B2897,Client_List!$A:$A,0)),"⚠ NOT FOUND"))</f>
        <v/>
      </c>
      <c r="D2897" s="44" t="n"/>
      <c r="E2897" s="32">
        <f>IF(B2897="","",IFERROR(INDEX(Client_List!$C:$C,MATCH(VALUE(B2897),Client_List!$A:$A,0)),""))</f>
        <v/>
      </c>
      <c r="F2897" s="53">
        <f>IF(B2897="","",IFERROR(INDEX(Client_List!$D:$D,MATCH(VALUE(B2897),Client_List!$A:$A,0)),""))</f>
        <v/>
      </c>
      <c r="G2897" s="53">
        <f>IF(B2897="","",IFERROR(INDEX(Client_List!$K:$K,MATCH(VALUE(B2897),Client_List!$A:$A,0)),""))</f>
        <v/>
      </c>
      <c r="H2897" s="32">
        <f>IF(B2897="","",IFERROR(INDEX(Client_List!$J:$J,MATCH(VALUE(B2897),Client_List!$A:$A,0)),""))</f>
        <v/>
      </c>
      <c r="I2897" s="70">
        <f>IF(B2897="","",IFERROR(A2897-LOOKUP(2,1/($B$4:$B2896=B2897),$A$4:$A2896),""))</f>
        <v/>
      </c>
      <c r="J2897" s="32">
        <f>IF(B2897="","",IFERROR(D2897/I2897,""))</f>
        <v/>
      </c>
      <c r="K2897" s="71">
        <f>IF(B2897="","",IFERROR(AVERAGEIFS($J$4:$J2897,$B$4:$B2897,B2897,$J$4:$J2897,"&gt;"&amp;0),""))</f>
        <v/>
      </c>
      <c r="L2897" s="11" t="n"/>
    </row>
    <row r="2898" ht="14" customHeight="1" s="72">
      <c r="A2898" s="83" t="n"/>
      <c r="B2898" s="81" t="n"/>
      <c r="C2898" s="69">
        <f>IF(B2898="","",IFERROR(INDEX(Client_List!$B:$B,MATCH(B2898,Client_List!$A:$A,0)),"⚠ NOT FOUND"))</f>
        <v/>
      </c>
      <c r="D2898" s="45" t="n"/>
      <c r="E2898" s="32">
        <f>IF(B2898="","",IFERROR(INDEX(Client_List!$C:$C,MATCH(VALUE(B2898),Client_List!$A:$A,0)),""))</f>
        <v/>
      </c>
      <c r="F2898" s="53">
        <f>IF(B2898="","",IFERROR(INDEX(Client_List!$D:$D,MATCH(VALUE(B2898),Client_List!$A:$A,0)),""))</f>
        <v/>
      </c>
      <c r="G2898" s="53">
        <f>IF(B2898="","",IFERROR(INDEX(Client_List!$K:$K,MATCH(VALUE(B2898),Client_List!$A:$A,0)),""))</f>
        <v/>
      </c>
      <c r="H2898" s="32">
        <f>IF(B2898="","",IFERROR(INDEX(Client_List!$J:$J,MATCH(VALUE(B2898),Client_List!$A:$A,0)),""))</f>
        <v/>
      </c>
      <c r="I2898" s="70">
        <f>IF(B2898="","",IFERROR(A2898-LOOKUP(2,1/($B$4:$B2897=B2898),$A$4:$A2897),""))</f>
        <v/>
      </c>
      <c r="J2898" s="32">
        <f>IF(B2898="","",IFERROR(D2898/I2898,""))</f>
        <v/>
      </c>
      <c r="K2898" s="71">
        <f>IF(B2898="","",IFERROR(AVERAGEIFS($J$4:$J2898,$B$4:$B2898,B2898,$J$4:$J2898,"&gt;"&amp;0),""))</f>
        <v/>
      </c>
      <c r="L2898" s="12" t="n"/>
    </row>
    <row r="2899" ht="14" customHeight="1" s="72">
      <c r="A2899" s="82" t="n"/>
      <c r="B2899" s="79" t="n"/>
      <c r="C2899" s="69">
        <f>IF(B2899="","",IFERROR(INDEX(Client_List!$B:$B,MATCH(B2899,Client_List!$A:$A,0)),"⚠ NOT FOUND"))</f>
        <v/>
      </c>
      <c r="D2899" s="44" t="n"/>
      <c r="E2899" s="32">
        <f>IF(B2899="","",IFERROR(INDEX(Client_List!$C:$C,MATCH(VALUE(B2899),Client_List!$A:$A,0)),""))</f>
        <v/>
      </c>
      <c r="F2899" s="53">
        <f>IF(B2899="","",IFERROR(INDEX(Client_List!$D:$D,MATCH(VALUE(B2899),Client_List!$A:$A,0)),""))</f>
        <v/>
      </c>
      <c r="G2899" s="53">
        <f>IF(B2899="","",IFERROR(INDEX(Client_List!$K:$K,MATCH(VALUE(B2899),Client_List!$A:$A,0)),""))</f>
        <v/>
      </c>
      <c r="H2899" s="32">
        <f>IF(B2899="","",IFERROR(INDEX(Client_List!$J:$J,MATCH(VALUE(B2899),Client_List!$A:$A,0)),""))</f>
        <v/>
      </c>
      <c r="I2899" s="70">
        <f>IF(B2899="","",IFERROR(A2899-LOOKUP(2,1/($B$4:$B2898=B2899),$A$4:$A2898),""))</f>
        <v/>
      </c>
      <c r="J2899" s="32">
        <f>IF(B2899="","",IFERROR(D2899/I2899,""))</f>
        <v/>
      </c>
      <c r="K2899" s="71">
        <f>IF(B2899="","",IFERROR(AVERAGEIFS($J$4:$J2899,$B$4:$B2899,B2899,$J$4:$J2899,"&gt;"&amp;0),""))</f>
        <v/>
      </c>
      <c r="L2899" s="11" t="n"/>
    </row>
    <row r="2900" ht="14" customHeight="1" s="72">
      <c r="A2900" s="83" t="n"/>
      <c r="B2900" s="81" t="n"/>
      <c r="C2900" s="69">
        <f>IF(B2900="","",IFERROR(INDEX(Client_List!$B:$B,MATCH(B2900,Client_List!$A:$A,0)),"⚠ NOT FOUND"))</f>
        <v/>
      </c>
      <c r="D2900" s="45" t="n"/>
      <c r="E2900" s="32">
        <f>IF(B2900="","",IFERROR(INDEX(Client_List!$C:$C,MATCH(VALUE(B2900),Client_List!$A:$A,0)),""))</f>
        <v/>
      </c>
      <c r="F2900" s="53">
        <f>IF(B2900="","",IFERROR(INDEX(Client_List!$D:$D,MATCH(VALUE(B2900),Client_List!$A:$A,0)),""))</f>
        <v/>
      </c>
      <c r="G2900" s="53">
        <f>IF(B2900="","",IFERROR(INDEX(Client_List!$K:$K,MATCH(VALUE(B2900),Client_List!$A:$A,0)),""))</f>
        <v/>
      </c>
      <c r="H2900" s="32">
        <f>IF(B2900="","",IFERROR(INDEX(Client_List!$J:$J,MATCH(VALUE(B2900),Client_List!$A:$A,0)),""))</f>
        <v/>
      </c>
      <c r="I2900" s="70">
        <f>IF(B2900="","",IFERROR(A2900-LOOKUP(2,1/($B$4:$B2899=B2900),$A$4:$A2899),""))</f>
        <v/>
      </c>
      <c r="J2900" s="32">
        <f>IF(B2900="","",IFERROR(D2900/I2900,""))</f>
        <v/>
      </c>
      <c r="K2900" s="71">
        <f>IF(B2900="","",IFERROR(AVERAGEIFS($J$4:$J2900,$B$4:$B2900,B2900,$J$4:$J2900,"&gt;"&amp;0),""))</f>
        <v/>
      </c>
      <c r="L2900" s="12" t="n"/>
    </row>
    <row r="2901" ht="14" customHeight="1" s="72">
      <c r="A2901" s="82" t="n"/>
      <c r="B2901" s="79" t="n"/>
      <c r="C2901" s="69">
        <f>IF(B2901="","",IFERROR(INDEX(Client_List!$B:$B,MATCH(B2901,Client_List!$A:$A,0)),"⚠ NOT FOUND"))</f>
        <v/>
      </c>
      <c r="D2901" s="44" t="n"/>
      <c r="E2901" s="32">
        <f>IF(B2901="","",IFERROR(INDEX(Client_List!$C:$C,MATCH(VALUE(B2901),Client_List!$A:$A,0)),""))</f>
        <v/>
      </c>
      <c r="F2901" s="53">
        <f>IF(B2901="","",IFERROR(INDEX(Client_List!$D:$D,MATCH(VALUE(B2901),Client_List!$A:$A,0)),""))</f>
        <v/>
      </c>
      <c r="G2901" s="53">
        <f>IF(B2901="","",IFERROR(INDEX(Client_List!$K:$K,MATCH(VALUE(B2901),Client_List!$A:$A,0)),""))</f>
        <v/>
      </c>
      <c r="H2901" s="32">
        <f>IF(B2901="","",IFERROR(INDEX(Client_List!$J:$J,MATCH(VALUE(B2901),Client_List!$A:$A,0)),""))</f>
        <v/>
      </c>
      <c r="I2901" s="70">
        <f>IF(B2901="","",IFERROR(A2901-LOOKUP(2,1/($B$4:$B2900=B2901),$A$4:$A2900),""))</f>
        <v/>
      </c>
      <c r="J2901" s="32">
        <f>IF(B2901="","",IFERROR(D2901/I2901,""))</f>
        <v/>
      </c>
      <c r="K2901" s="71">
        <f>IF(B2901="","",IFERROR(AVERAGEIFS($J$4:$J2901,$B$4:$B2901,B2901,$J$4:$J2901,"&gt;"&amp;0),""))</f>
        <v/>
      </c>
      <c r="L2901" s="11" t="n"/>
    </row>
    <row r="2902" ht="14" customHeight="1" s="72">
      <c r="A2902" s="83" t="n"/>
      <c r="B2902" s="81" t="n"/>
      <c r="C2902" s="69">
        <f>IF(B2902="","",IFERROR(INDEX(Client_List!$B:$B,MATCH(B2902,Client_List!$A:$A,0)),"⚠ NOT FOUND"))</f>
        <v/>
      </c>
      <c r="D2902" s="45" t="n"/>
      <c r="E2902" s="32">
        <f>IF(B2902="","",IFERROR(INDEX(Client_List!$C:$C,MATCH(VALUE(B2902),Client_List!$A:$A,0)),""))</f>
        <v/>
      </c>
      <c r="F2902" s="53">
        <f>IF(B2902="","",IFERROR(INDEX(Client_List!$D:$D,MATCH(VALUE(B2902),Client_List!$A:$A,0)),""))</f>
        <v/>
      </c>
      <c r="G2902" s="53">
        <f>IF(B2902="","",IFERROR(INDEX(Client_List!$K:$K,MATCH(VALUE(B2902),Client_List!$A:$A,0)),""))</f>
        <v/>
      </c>
      <c r="H2902" s="32">
        <f>IF(B2902="","",IFERROR(INDEX(Client_List!$J:$J,MATCH(VALUE(B2902),Client_List!$A:$A,0)),""))</f>
        <v/>
      </c>
      <c r="I2902" s="70">
        <f>IF(B2902="","",IFERROR(A2902-LOOKUP(2,1/($B$4:$B2901=B2902),$A$4:$A2901),""))</f>
        <v/>
      </c>
      <c r="J2902" s="32">
        <f>IF(B2902="","",IFERROR(D2902/I2902,""))</f>
        <v/>
      </c>
      <c r="K2902" s="71">
        <f>IF(B2902="","",IFERROR(AVERAGEIFS($J$4:$J2902,$B$4:$B2902,B2902,$J$4:$J2902,"&gt;"&amp;0),""))</f>
        <v/>
      </c>
      <c r="L2902" s="12" t="n"/>
    </row>
    <row r="2903" ht="14" customHeight="1" s="72">
      <c r="A2903" s="82" t="n"/>
      <c r="B2903" s="79" t="n"/>
      <c r="C2903" s="69">
        <f>IF(B2903="","",IFERROR(INDEX(Client_List!$B:$B,MATCH(B2903,Client_List!$A:$A,0)),"⚠ NOT FOUND"))</f>
        <v/>
      </c>
      <c r="D2903" s="44" t="n"/>
      <c r="E2903" s="32">
        <f>IF(B2903="","",IFERROR(INDEX(Client_List!$C:$C,MATCH(VALUE(B2903),Client_List!$A:$A,0)),""))</f>
        <v/>
      </c>
      <c r="F2903" s="53">
        <f>IF(B2903="","",IFERROR(INDEX(Client_List!$D:$D,MATCH(VALUE(B2903),Client_List!$A:$A,0)),""))</f>
        <v/>
      </c>
      <c r="G2903" s="53">
        <f>IF(B2903="","",IFERROR(INDEX(Client_List!$K:$K,MATCH(VALUE(B2903),Client_List!$A:$A,0)),""))</f>
        <v/>
      </c>
      <c r="H2903" s="32">
        <f>IF(B2903="","",IFERROR(INDEX(Client_List!$J:$J,MATCH(VALUE(B2903),Client_List!$A:$A,0)),""))</f>
        <v/>
      </c>
      <c r="I2903" s="70">
        <f>IF(B2903="","",IFERROR(A2903-LOOKUP(2,1/($B$4:$B2902=B2903),$A$4:$A2902),""))</f>
        <v/>
      </c>
      <c r="J2903" s="32">
        <f>IF(B2903="","",IFERROR(D2903/I2903,""))</f>
        <v/>
      </c>
      <c r="K2903" s="71">
        <f>IF(B2903="","",IFERROR(AVERAGEIFS($J$4:$J2903,$B$4:$B2903,B2903,$J$4:$J2903,"&gt;"&amp;0),""))</f>
        <v/>
      </c>
      <c r="L2903" s="11" t="n"/>
    </row>
    <row r="2904" ht="14" customHeight="1" s="72">
      <c r="A2904" s="83" t="n"/>
      <c r="B2904" s="81" t="n"/>
      <c r="C2904" s="69">
        <f>IF(B2904="","",IFERROR(INDEX(Client_List!$B:$B,MATCH(B2904,Client_List!$A:$A,0)),"⚠ NOT FOUND"))</f>
        <v/>
      </c>
      <c r="D2904" s="45" t="n"/>
      <c r="E2904" s="32">
        <f>IF(B2904="","",IFERROR(INDEX(Client_List!$C:$C,MATCH(VALUE(B2904),Client_List!$A:$A,0)),""))</f>
        <v/>
      </c>
      <c r="F2904" s="53">
        <f>IF(B2904="","",IFERROR(INDEX(Client_List!$D:$D,MATCH(VALUE(B2904),Client_List!$A:$A,0)),""))</f>
        <v/>
      </c>
      <c r="G2904" s="53">
        <f>IF(B2904="","",IFERROR(INDEX(Client_List!$K:$K,MATCH(VALUE(B2904),Client_List!$A:$A,0)),""))</f>
        <v/>
      </c>
      <c r="H2904" s="32">
        <f>IF(B2904="","",IFERROR(INDEX(Client_List!$J:$J,MATCH(VALUE(B2904),Client_List!$A:$A,0)),""))</f>
        <v/>
      </c>
      <c r="I2904" s="70">
        <f>IF(B2904="","",IFERROR(A2904-LOOKUP(2,1/($B$4:$B2903=B2904),$A$4:$A2903),""))</f>
        <v/>
      </c>
      <c r="J2904" s="32">
        <f>IF(B2904="","",IFERROR(D2904/I2904,""))</f>
        <v/>
      </c>
      <c r="K2904" s="71">
        <f>IF(B2904="","",IFERROR(AVERAGEIFS($J$4:$J2904,$B$4:$B2904,B2904,$J$4:$J2904,"&gt;"&amp;0),""))</f>
        <v/>
      </c>
      <c r="L2904" s="12" t="n"/>
    </row>
    <row r="2905" ht="14" customHeight="1" s="72">
      <c r="A2905" s="82" t="n"/>
      <c r="B2905" s="79" t="n"/>
      <c r="C2905" s="69">
        <f>IF(B2905="","",IFERROR(INDEX(Client_List!$B:$B,MATCH(B2905,Client_List!$A:$A,0)),"⚠ NOT FOUND"))</f>
        <v/>
      </c>
      <c r="D2905" s="44" t="n"/>
      <c r="E2905" s="32">
        <f>IF(B2905="","",IFERROR(INDEX(Client_List!$C:$C,MATCH(VALUE(B2905),Client_List!$A:$A,0)),""))</f>
        <v/>
      </c>
      <c r="F2905" s="53">
        <f>IF(B2905="","",IFERROR(INDEX(Client_List!$D:$D,MATCH(VALUE(B2905),Client_List!$A:$A,0)),""))</f>
        <v/>
      </c>
      <c r="G2905" s="53">
        <f>IF(B2905="","",IFERROR(INDEX(Client_List!$K:$K,MATCH(VALUE(B2905),Client_List!$A:$A,0)),""))</f>
        <v/>
      </c>
      <c r="H2905" s="32">
        <f>IF(B2905="","",IFERROR(INDEX(Client_List!$J:$J,MATCH(VALUE(B2905),Client_List!$A:$A,0)),""))</f>
        <v/>
      </c>
      <c r="I2905" s="70">
        <f>IF(B2905="","",IFERROR(A2905-LOOKUP(2,1/($B$4:$B2904=B2905),$A$4:$A2904),""))</f>
        <v/>
      </c>
      <c r="J2905" s="32">
        <f>IF(B2905="","",IFERROR(D2905/I2905,""))</f>
        <v/>
      </c>
      <c r="K2905" s="71">
        <f>IF(B2905="","",IFERROR(AVERAGEIFS($J$4:$J2905,$B$4:$B2905,B2905,$J$4:$J2905,"&gt;"&amp;0),""))</f>
        <v/>
      </c>
      <c r="L2905" s="11" t="n"/>
    </row>
    <row r="2906" ht="14" customHeight="1" s="72">
      <c r="A2906" s="83" t="n"/>
      <c r="B2906" s="81" t="n"/>
      <c r="C2906" s="69">
        <f>IF(B2906="","",IFERROR(INDEX(Client_List!$B:$B,MATCH(B2906,Client_List!$A:$A,0)),"⚠ NOT FOUND"))</f>
        <v/>
      </c>
      <c r="D2906" s="45" t="n"/>
      <c r="E2906" s="32">
        <f>IF(B2906="","",IFERROR(INDEX(Client_List!$C:$C,MATCH(VALUE(B2906),Client_List!$A:$A,0)),""))</f>
        <v/>
      </c>
      <c r="F2906" s="53">
        <f>IF(B2906="","",IFERROR(INDEX(Client_List!$D:$D,MATCH(VALUE(B2906),Client_List!$A:$A,0)),""))</f>
        <v/>
      </c>
      <c r="G2906" s="53">
        <f>IF(B2906="","",IFERROR(INDEX(Client_List!$K:$K,MATCH(VALUE(B2906),Client_List!$A:$A,0)),""))</f>
        <v/>
      </c>
      <c r="H2906" s="32">
        <f>IF(B2906="","",IFERROR(INDEX(Client_List!$J:$J,MATCH(VALUE(B2906),Client_List!$A:$A,0)),""))</f>
        <v/>
      </c>
      <c r="I2906" s="70">
        <f>IF(B2906="","",IFERROR(A2906-LOOKUP(2,1/($B$4:$B2905=B2906),$A$4:$A2905),""))</f>
        <v/>
      </c>
      <c r="J2906" s="32">
        <f>IF(B2906="","",IFERROR(D2906/I2906,""))</f>
        <v/>
      </c>
      <c r="K2906" s="71">
        <f>IF(B2906="","",IFERROR(AVERAGEIFS($J$4:$J2906,$B$4:$B2906,B2906,$J$4:$J2906,"&gt;"&amp;0),""))</f>
        <v/>
      </c>
      <c r="L2906" s="12" t="n"/>
    </row>
    <row r="2907" ht="14" customHeight="1" s="72">
      <c r="A2907" s="82" t="n"/>
      <c r="B2907" s="79" t="n"/>
      <c r="C2907" s="69">
        <f>IF(B2907="","",IFERROR(INDEX(Client_List!$B:$B,MATCH(B2907,Client_List!$A:$A,0)),"⚠ NOT FOUND"))</f>
        <v/>
      </c>
      <c r="D2907" s="44" t="n"/>
      <c r="E2907" s="32">
        <f>IF(B2907="","",IFERROR(INDEX(Client_List!$C:$C,MATCH(VALUE(B2907),Client_List!$A:$A,0)),""))</f>
        <v/>
      </c>
      <c r="F2907" s="53">
        <f>IF(B2907="","",IFERROR(INDEX(Client_List!$D:$D,MATCH(VALUE(B2907),Client_List!$A:$A,0)),""))</f>
        <v/>
      </c>
      <c r="G2907" s="53">
        <f>IF(B2907="","",IFERROR(INDEX(Client_List!$K:$K,MATCH(VALUE(B2907),Client_List!$A:$A,0)),""))</f>
        <v/>
      </c>
      <c r="H2907" s="32">
        <f>IF(B2907="","",IFERROR(INDEX(Client_List!$J:$J,MATCH(VALUE(B2907),Client_List!$A:$A,0)),""))</f>
        <v/>
      </c>
      <c r="I2907" s="70">
        <f>IF(B2907="","",IFERROR(A2907-LOOKUP(2,1/($B$4:$B2906=B2907),$A$4:$A2906),""))</f>
        <v/>
      </c>
      <c r="J2907" s="32">
        <f>IF(B2907="","",IFERROR(D2907/I2907,""))</f>
        <v/>
      </c>
      <c r="K2907" s="71">
        <f>IF(B2907="","",IFERROR(AVERAGEIFS($J$4:$J2907,$B$4:$B2907,B2907,$J$4:$J2907,"&gt;"&amp;0),""))</f>
        <v/>
      </c>
      <c r="L2907" s="11" t="n"/>
    </row>
    <row r="2908" ht="14" customHeight="1" s="72">
      <c r="A2908" s="83" t="n"/>
      <c r="B2908" s="81" t="n"/>
      <c r="C2908" s="69">
        <f>IF(B2908="","",IFERROR(INDEX(Client_List!$B:$B,MATCH(B2908,Client_List!$A:$A,0)),"⚠ NOT FOUND"))</f>
        <v/>
      </c>
      <c r="D2908" s="45" t="n"/>
      <c r="E2908" s="32">
        <f>IF(B2908="","",IFERROR(INDEX(Client_List!$C:$C,MATCH(VALUE(B2908),Client_List!$A:$A,0)),""))</f>
        <v/>
      </c>
      <c r="F2908" s="53">
        <f>IF(B2908="","",IFERROR(INDEX(Client_List!$D:$D,MATCH(VALUE(B2908),Client_List!$A:$A,0)),""))</f>
        <v/>
      </c>
      <c r="G2908" s="53">
        <f>IF(B2908="","",IFERROR(INDEX(Client_List!$K:$K,MATCH(VALUE(B2908),Client_List!$A:$A,0)),""))</f>
        <v/>
      </c>
      <c r="H2908" s="32">
        <f>IF(B2908="","",IFERROR(INDEX(Client_List!$J:$J,MATCH(VALUE(B2908),Client_List!$A:$A,0)),""))</f>
        <v/>
      </c>
      <c r="I2908" s="70">
        <f>IF(B2908="","",IFERROR(A2908-LOOKUP(2,1/($B$4:$B2907=B2908),$A$4:$A2907),""))</f>
        <v/>
      </c>
      <c r="J2908" s="32">
        <f>IF(B2908="","",IFERROR(D2908/I2908,""))</f>
        <v/>
      </c>
      <c r="K2908" s="71">
        <f>IF(B2908="","",IFERROR(AVERAGEIFS($J$4:$J2908,$B$4:$B2908,B2908,$J$4:$J2908,"&gt;"&amp;0),""))</f>
        <v/>
      </c>
      <c r="L2908" s="12" t="n"/>
    </row>
    <row r="2909" ht="14" customHeight="1" s="72">
      <c r="A2909" s="82" t="n"/>
      <c r="B2909" s="79" t="n"/>
      <c r="C2909" s="69">
        <f>IF(B2909="","",IFERROR(INDEX(Client_List!$B:$B,MATCH(B2909,Client_List!$A:$A,0)),"⚠ NOT FOUND"))</f>
        <v/>
      </c>
      <c r="D2909" s="44" t="n"/>
      <c r="E2909" s="32">
        <f>IF(B2909="","",IFERROR(INDEX(Client_List!$C:$C,MATCH(VALUE(B2909),Client_List!$A:$A,0)),""))</f>
        <v/>
      </c>
      <c r="F2909" s="53">
        <f>IF(B2909="","",IFERROR(INDEX(Client_List!$D:$D,MATCH(VALUE(B2909),Client_List!$A:$A,0)),""))</f>
        <v/>
      </c>
      <c r="G2909" s="53">
        <f>IF(B2909="","",IFERROR(INDEX(Client_List!$K:$K,MATCH(VALUE(B2909),Client_List!$A:$A,0)),""))</f>
        <v/>
      </c>
      <c r="H2909" s="32">
        <f>IF(B2909="","",IFERROR(INDEX(Client_List!$J:$J,MATCH(VALUE(B2909),Client_List!$A:$A,0)),""))</f>
        <v/>
      </c>
      <c r="I2909" s="70">
        <f>IF(B2909="","",IFERROR(A2909-LOOKUP(2,1/($B$4:$B2908=B2909),$A$4:$A2908),""))</f>
        <v/>
      </c>
      <c r="J2909" s="32">
        <f>IF(B2909="","",IFERROR(D2909/I2909,""))</f>
        <v/>
      </c>
      <c r="K2909" s="71">
        <f>IF(B2909="","",IFERROR(AVERAGEIFS($J$4:$J2909,$B$4:$B2909,B2909,$J$4:$J2909,"&gt;"&amp;0),""))</f>
        <v/>
      </c>
      <c r="L2909" s="11" t="n"/>
    </row>
    <row r="2910" ht="14" customHeight="1" s="72">
      <c r="A2910" s="83" t="n"/>
      <c r="B2910" s="81" t="n"/>
      <c r="C2910" s="69">
        <f>IF(B2910="","",IFERROR(INDEX(Client_List!$B:$B,MATCH(B2910,Client_List!$A:$A,0)),"⚠ NOT FOUND"))</f>
        <v/>
      </c>
      <c r="D2910" s="45" t="n"/>
      <c r="E2910" s="32">
        <f>IF(B2910="","",IFERROR(INDEX(Client_List!$C:$C,MATCH(VALUE(B2910),Client_List!$A:$A,0)),""))</f>
        <v/>
      </c>
      <c r="F2910" s="53">
        <f>IF(B2910="","",IFERROR(INDEX(Client_List!$D:$D,MATCH(VALUE(B2910),Client_List!$A:$A,0)),""))</f>
        <v/>
      </c>
      <c r="G2910" s="53">
        <f>IF(B2910="","",IFERROR(INDEX(Client_List!$K:$K,MATCH(VALUE(B2910),Client_List!$A:$A,0)),""))</f>
        <v/>
      </c>
      <c r="H2910" s="32">
        <f>IF(B2910="","",IFERROR(INDEX(Client_List!$J:$J,MATCH(VALUE(B2910),Client_List!$A:$A,0)),""))</f>
        <v/>
      </c>
      <c r="I2910" s="70">
        <f>IF(B2910="","",IFERROR(A2910-LOOKUP(2,1/($B$4:$B2909=B2910),$A$4:$A2909),""))</f>
        <v/>
      </c>
      <c r="J2910" s="32">
        <f>IF(B2910="","",IFERROR(D2910/I2910,""))</f>
        <v/>
      </c>
      <c r="K2910" s="71">
        <f>IF(B2910="","",IFERROR(AVERAGEIFS($J$4:$J2910,$B$4:$B2910,B2910,$J$4:$J2910,"&gt;"&amp;0),""))</f>
        <v/>
      </c>
      <c r="L2910" s="12" t="n"/>
    </row>
    <row r="2911" ht="14" customHeight="1" s="72">
      <c r="A2911" s="82" t="n"/>
      <c r="B2911" s="79" t="n"/>
      <c r="C2911" s="69">
        <f>IF(B2911="","",IFERROR(INDEX(Client_List!$B:$B,MATCH(B2911,Client_List!$A:$A,0)),"⚠ NOT FOUND"))</f>
        <v/>
      </c>
      <c r="D2911" s="44" t="n"/>
      <c r="E2911" s="32">
        <f>IF(B2911="","",IFERROR(INDEX(Client_List!$C:$C,MATCH(VALUE(B2911),Client_List!$A:$A,0)),""))</f>
        <v/>
      </c>
      <c r="F2911" s="53">
        <f>IF(B2911="","",IFERROR(INDEX(Client_List!$D:$D,MATCH(VALUE(B2911),Client_List!$A:$A,0)),""))</f>
        <v/>
      </c>
      <c r="G2911" s="53">
        <f>IF(B2911="","",IFERROR(INDEX(Client_List!$K:$K,MATCH(VALUE(B2911),Client_List!$A:$A,0)),""))</f>
        <v/>
      </c>
      <c r="H2911" s="32">
        <f>IF(B2911="","",IFERROR(INDEX(Client_List!$J:$J,MATCH(VALUE(B2911),Client_List!$A:$A,0)),""))</f>
        <v/>
      </c>
      <c r="I2911" s="70">
        <f>IF(B2911="","",IFERROR(A2911-LOOKUP(2,1/($B$4:$B2910=B2911),$A$4:$A2910),""))</f>
        <v/>
      </c>
      <c r="J2911" s="32">
        <f>IF(B2911="","",IFERROR(D2911/I2911,""))</f>
        <v/>
      </c>
      <c r="K2911" s="71">
        <f>IF(B2911="","",IFERROR(AVERAGEIFS($J$4:$J2911,$B$4:$B2911,B2911,$J$4:$J2911,"&gt;"&amp;0),""))</f>
        <v/>
      </c>
      <c r="L2911" s="11" t="n"/>
    </row>
    <row r="2912" ht="14" customHeight="1" s="72">
      <c r="A2912" s="83" t="n"/>
      <c r="B2912" s="81" t="n"/>
      <c r="C2912" s="69">
        <f>IF(B2912="","",IFERROR(INDEX(Client_List!$B:$B,MATCH(B2912,Client_List!$A:$A,0)),"⚠ NOT FOUND"))</f>
        <v/>
      </c>
      <c r="D2912" s="45" t="n"/>
      <c r="E2912" s="32">
        <f>IF(B2912="","",IFERROR(INDEX(Client_List!$C:$C,MATCH(VALUE(B2912),Client_List!$A:$A,0)),""))</f>
        <v/>
      </c>
      <c r="F2912" s="53">
        <f>IF(B2912="","",IFERROR(INDEX(Client_List!$D:$D,MATCH(VALUE(B2912),Client_List!$A:$A,0)),""))</f>
        <v/>
      </c>
      <c r="G2912" s="53">
        <f>IF(B2912="","",IFERROR(INDEX(Client_List!$K:$K,MATCH(VALUE(B2912),Client_List!$A:$A,0)),""))</f>
        <v/>
      </c>
      <c r="H2912" s="32">
        <f>IF(B2912="","",IFERROR(INDEX(Client_List!$J:$J,MATCH(VALUE(B2912),Client_List!$A:$A,0)),""))</f>
        <v/>
      </c>
      <c r="I2912" s="70">
        <f>IF(B2912="","",IFERROR(A2912-LOOKUP(2,1/($B$4:$B2911=B2912),$A$4:$A2911),""))</f>
        <v/>
      </c>
      <c r="J2912" s="32">
        <f>IF(B2912="","",IFERROR(D2912/I2912,""))</f>
        <v/>
      </c>
      <c r="K2912" s="71">
        <f>IF(B2912="","",IFERROR(AVERAGEIFS($J$4:$J2912,$B$4:$B2912,B2912,$J$4:$J2912,"&gt;"&amp;0),""))</f>
        <v/>
      </c>
      <c r="L2912" s="12" t="n"/>
    </row>
    <row r="2913" ht="14" customHeight="1" s="72">
      <c r="A2913" s="82" t="n"/>
      <c r="B2913" s="79" t="n"/>
      <c r="C2913" s="69">
        <f>IF(B2913="","",IFERROR(INDEX(Client_List!$B:$B,MATCH(B2913,Client_List!$A:$A,0)),"⚠ NOT FOUND"))</f>
        <v/>
      </c>
      <c r="D2913" s="44" t="n"/>
      <c r="E2913" s="32">
        <f>IF(B2913="","",IFERROR(INDEX(Client_List!$C:$C,MATCH(VALUE(B2913),Client_List!$A:$A,0)),""))</f>
        <v/>
      </c>
      <c r="F2913" s="53">
        <f>IF(B2913="","",IFERROR(INDEX(Client_List!$D:$D,MATCH(VALUE(B2913),Client_List!$A:$A,0)),""))</f>
        <v/>
      </c>
      <c r="G2913" s="53">
        <f>IF(B2913="","",IFERROR(INDEX(Client_List!$K:$K,MATCH(VALUE(B2913),Client_List!$A:$A,0)),""))</f>
        <v/>
      </c>
      <c r="H2913" s="32">
        <f>IF(B2913="","",IFERROR(INDEX(Client_List!$J:$J,MATCH(VALUE(B2913),Client_List!$A:$A,0)),""))</f>
        <v/>
      </c>
      <c r="I2913" s="70">
        <f>IF(B2913="","",IFERROR(A2913-LOOKUP(2,1/($B$4:$B2912=B2913),$A$4:$A2912),""))</f>
        <v/>
      </c>
      <c r="J2913" s="32">
        <f>IF(B2913="","",IFERROR(D2913/I2913,""))</f>
        <v/>
      </c>
      <c r="K2913" s="71">
        <f>IF(B2913="","",IFERROR(AVERAGEIFS($J$4:$J2913,$B$4:$B2913,B2913,$J$4:$J2913,"&gt;"&amp;0),""))</f>
        <v/>
      </c>
      <c r="L2913" s="11" t="n"/>
    </row>
    <row r="2914" ht="14" customHeight="1" s="72">
      <c r="A2914" s="83" t="n"/>
      <c r="B2914" s="81" t="n"/>
      <c r="C2914" s="69">
        <f>IF(B2914="","",IFERROR(INDEX(Client_List!$B:$B,MATCH(B2914,Client_List!$A:$A,0)),"⚠ NOT FOUND"))</f>
        <v/>
      </c>
      <c r="D2914" s="45" t="n"/>
      <c r="E2914" s="32">
        <f>IF(B2914="","",IFERROR(INDEX(Client_List!$C:$C,MATCH(VALUE(B2914),Client_List!$A:$A,0)),""))</f>
        <v/>
      </c>
      <c r="F2914" s="53">
        <f>IF(B2914="","",IFERROR(INDEX(Client_List!$D:$D,MATCH(VALUE(B2914),Client_List!$A:$A,0)),""))</f>
        <v/>
      </c>
      <c r="G2914" s="53">
        <f>IF(B2914="","",IFERROR(INDEX(Client_List!$K:$K,MATCH(VALUE(B2914),Client_List!$A:$A,0)),""))</f>
        <v/>
      </c>
      <c r="H2914" s="32">
        <f>IF(B2914="","",IFERROR(INDEX(Client_List!$J:$J,MATCH(VALUE(B2914),Client_List!$A:$A,0)),""))</f>
        <v/>
      </c>
      <c r="I2914" s="70">
        <f>IF(B2914="","",IFERROR(A2914-LOOKUP(2,1/($B$4:$B2913=B2914),$A$4:$A2913),""))</f>
        <v/>
      </c>
      <c r="J2914" s="32">
        <f>IF(B2914="","",IFERROR(D2914/I2914,""))</f>
        <v/>
      </c>
      <c r="K2914" s="71">
        <f>IF(B2914="","",IFERROR(AVERAGEIFS($J$4:$J2914,$B$4:$B2914,B2914,$J$4:$J2914,"&gt;"&amp;0),""))</f>
        <v/>
      </c>
      <c r="L2914" s="12" t="n"/>
    </row>
    <row r="2915" ht="14" customHeight="1" s="72">
      <c r="A2915" s="82" t="n"/>
      <c r="B2915" s="79" t="n"/>
      <c r="C2915" s="69">
        <f>IF(B2915="","",IFERROR(INDEX(Client_List!$B:$B,MATCH(B2915,Client_List!$A:$A,0)),"⚠ NOT FOUND"))</f>
        <v/>
      </c>
      <c r="D2915" s="44" t="n"/>
      <c r="E2915" s="32">
        <f>IF(B2915="","",IFERROR(INDEX(Client_List!$C:$C,MATCH(VALUE(B2915),Client_List!$A:$A,0)),""))</f>
        <v/>
      </c>
      <c r="F2915" s="53">
        <f>IF(B2915="","",IFERROR(INDEX(Client_List!$D:$D,MATCH(VALUE(B2915),Client_List!$A:$A,0)),""))</f>
        <v/>
      </c>
      <c r="G2915" s="53">
        <f>IF(B2915="","",IFERROR(INDEX(Client_List!$K:$K,MATCH(VALUE(B2915),Client_List!$A:$A,0)),""))</f>
        <v/>
      </c>
      <c r="H2915" s="32">
        <f>IF(B2915="","",IFERROR(INDEX(Client_List!$J:$J,MATCH(VALUE(B2915),Client_List!$A:$A,0)),""))</f>
        <v/>
      </c>
      <c r="I2915" s="70">
        <f>IF(B2915="","",IFERROR(A2915-LOOKUP(2,1/($B$4:$B2914=B2915),$A$4:$A2914),""))</f>
        <v/>
      </c>
      <c r="J2915" s="32">
        <f>IF(B2915="","",IFERROR(D2915/I2915,""))</f>
        <v/>
      </c>
      <c r="K2915" s="71">
        <f>IF(B2915="","",IFERROR(AVERAGEIFS($J$4:$J2915,$B$4:$B2915,B2915,$J$4:$J2915,"&gt;"&amp;0),""))</f>
        <v/>
      </c>
      <c r="L2915" s="11" t="n"/>
    </row>
    <row r="2916" ht="14" customHeight="1" s="72">
      <c r="A2916" s="83" t="n"/>
      <c r="B2916" s="81" t="n"/>
      <c r="C2916" s="69">
        <f>IF(B2916="","",IFERROR(INDEX(Client_List!$B:$B,MATCH(B2916,Client_List!$A:$A,0)),"⚠ NOT FOUND"))</f>
        <v/>
      </c>
      <c r="D2916" s="45" t="n"/>
      <c r="E2916" s="32">
        <f>IF(B2916="","",IFERROR(INDEX(Client_List!$C:$C,MATCH(VALUE(B2916),Client_List!$A:$A,0)),""))</f>
        <v/>
      </c>
      <c r="F2916" s="53">
        <f>IF(B2916="","",IFERROR(INDEX(Client_List!$D:$D,MATCH(VALUE(B2916),Client_List!$A:$A,0)),""))</f>
        <v/>
      </c>
      <c r="G2916" s="53">
        <f>IF(B2916="","",IFERROR(INDEX(Client_List!$K:$K,MATCH(VALUE(B2916),Client_List!$A:$A,0)),""))</f>
        <v/>
      </c>
      <c r="H2916" s="32">
        <f>IF(B2916="","",IFERROR(INDEX(Client_List!$J:$J,MATCH(VALUE(B2916),Client_List!$A:$A,0)),""))</f>
        <v/>
      </c>
      <c r="I2916" s="70">
        <f>IF(B2916="","",IFERROR(A2916-LOOKUP(2,1/($B$4:$B2915=B2916),$A$4:$A2915),""))</f>
        <v/>
      </c>
      <c r="J2916" s="32">
        <f>IF(B2916="","",IFERROR(D2916/I2916,""))</f>
        <v/>
      </c>
      <c r="K2916" s="71">
        <f>IF(B2916="","",IFERROR(AVERAGEIFS($J$4:$J2916,$B$4:$B2916,B2916,$J$4:$J2916,"&gt;"&amp;0),""))</f>
        <v/>
      </c>
      <c r="L2916" s="12" t="n"/>
    </row>
    <row r="2917" ht="14" customHeight="1" s="72">
      <c r="A2917" s="82" t="n"/>
      <c r="B2917" s="79" t="n"/>
      <c r="C2917" s="69">
        <f>IF(B2917="","",IFERROR(INDEX(Client_List!$B:$B,MATCH(B2917,Client_List!$A:$A,0)),"⚠ NOT FOUND"))</f>
        <v/>
      </c>
      <c r="D2917" s="44" t="n"/>
      <c r="E2917" s="32">
        <f>IF(B2917="","",IFERROR(INDEX(Client_List!$C:$C,MATCH(VALUE(B2917),Client_List!$A:$A,0)),""))</f>
        <v/>
      </c>
      <c r="F2917" s="53">
        <f>IF(B2917="","",IFERROR(INDEX(Client_List!$D:$D,MATCH(VALUE(B2917),Client_List!$A:$A,0)),""))</f>
        <v/>
      </c>
      <c r="G2917" s="53">
        <f>IF(B2917="","",IFERROR(INDEX(Client_List!$K:$K,MATCH(VALUE(B2917),Client_List!$A:$A,0)),""))</f>
        <v/>
      </c>
      <c r="H2917" s="32">
        <f>IF(B2917="","",IFERROR(INDEX(Client_List!$J:$J,MATCH(VALUE(B2917),Client_List!$A:$A,0)),""))</f>
        <v/>
      </c>
      <c r="I2917" s="70">
        <f>IF(B2917="","",IFERROR(A2917-LOOKUP(2,1/($B$4:$B2916=B2917),$A$4:$A2916),""))</f>
        <v/>
      </c>
      <c r="J2917" s="32">
        <f>IF(B2917="","",IFERROR(D2917/I2917,""))</f>
        <v/>
      </c>
      <c r="K2917" s="71">
        <f>IF(B2917="","",IFERROR(AVERAGEIFS($J$4:$J2917,$B$4:$B2917,B2917,$J$4:$J2917,"&gt;"&amp;0),""))</f>
        <v/>
      </c>
      <c r="L2917" s="11" t="n"/>
    </row>
    <row r="2918" ht="14" customHeight="1" s="72">
      <c r="A2918" s="83" t="n"/>
      <c r="B2918" s="81" t="n"/>
      <c r="C2918" s="69">
        <f>IF(B2918="","",IFERROR(INDEX(Client_List!$B:$B,MATCH(B2918,Client_List!$A:$A,0)),"⚠ NOT FOUND"))</f>
        <v/>
      </c>
      <c r="D2918" s="45" t="n"/>
      <c r="E2918" s="32">
        <f>IF(B2918="","",IFERROR(INDEX(Client_List!$C:$C,MATCH(VALUE(B2918),Client_List!$A:$A,0)),""))</f>
        <v/>
      </c>
      <c r="F2918" s="53">
        <f>IF(B2918="","",IFERROR(INDEX(Client_List!$D:$D,MATCH(VALUE(B2918),Client_List!$A:$A,0)),""))</f>
        <v/>
      </c>
      <c r="G2918" s="53">
        <f>IF(B2918="","",IFERROR(INDEX(Client_List!$K:$K,MATCH(VALUE(B2918),Client_List!$A:$A,0)),""))</f>
        <v/>
      </c>
      <c r="H2918" s="32">
        <f>IF(B2918="","",IFERROR(INDEX(Client_List!$J:$J,MATCH(VALUE(B2918),Client_List!$A:$A,0)),""))</f>
        <v/>
      </c>
      <c r="I2918" s="70">
        <f>IF(B2918="","",IFERROR(A2918-LOOKUP(2,1/($B$4:$B2917=B2918),$A$4:$A2917),""))</f>
        <v/>
      </c>
      <c r="J2918" s="32">
        <f>IF(B2918="","",IFERROR(D2918/I2918,""))</f>
        <v/>
      </c>
      <c r="K2918" s="71">
        <f>IF(B2918="","",IFERROR(AVERAGEIFS($J$4:$J2918,$B$4:$B2918,B2918,$J$4:$J2918,"&gt;"&amp;0),""))</f>
        <v/>
      </c>
      <c r="L2918" s="12" t="n"/>
    </row>
    <row r="2919" ht="14" customHeight="1" s="72">
      <c r="A2919" s="82" t="n"/>
      <c r="B2919" s="79" t="n"/>
      <c r="C2919" s="69">
        <f>IF(B2919="","",IFERROR(INDEX(Client_List!$B:$B,MATCH(B2919,Client_List!$A:$A,0)),"⚠ NOT FOUND"))</f>
        <v/>
      </c>
      <c r="D2919" s="44" t="n"/>
      <c r="E2919" s="32">
        <f>IF(B2919="","",IFERROR(INDEX(Client_List!$C:$C,MATCH(VALUE(B2919),Client_List!$A:$A,0)),""))</f>
        <v/>
      </c>
      <c r="F2919" s="53">
        <f>IF(B2919="","",IFERROR(INDEX(Client_List!$D:$D,MATCH(VALUE(B2919),Client_List!$A:$A,0)),""))</f>
        <v/>
      </c>
      <c r="G2919" s="53">
        <f>IF(B2919="","",IFERROR(INDEX(Client_List!$K:$K,MATCH(VALUE(B2919),Client_List!$A:$A,0)),""))</f>
        <v/>
      </c>
      <c r="H2919" s="32">
        <f>IF(B2919="","",IFERROR(INDEX(Client_List!$J:$J,MATCH(VALUE(B2919),Client_List!$A:$A,0)),""))</f>
        <v/>
      </c>
      <c r="I2919" s="70">
        <f>IF(B2919="","",IFERROR(A2919-LOOKUP(2,1/($B$4:$B2918=B2919),$A$4:$A2918),""))</f>
        <v/>
      </c>
      <c r="J2919" s="32">
        <f>IF(B2919="","",IFERROR(D2919/I2919,""))</f>
        <v/>
      </c>
      <c r="K2919" s="71">
        <f>IF(B2919="","",IFERROR(AVERAGEIFS($J$4:$J2919,$B$4:$B2919,B2919,$J$4:$J2919,"&gt;"&amp;0),""))</f>
        <v/>
      </c>
      <c r="L2919" s="11" t="n"/>
    </row>
    <row r="2920" ht="14" customHeight="1" s="72">
      <c r="A2920" s="83" t="n"/>
      <c r="B2920" s="81" t="n"/>
      <c r="C2920" s="69">
        <f>IF(B2920="","",IFERROR(INDEX(Client_List!$B:$B,MATCH(B2920,Client_List!$A:$A,0)),"⚠ NOT FOUND"))</f>
        <v/>
      </c>
      <c r="D2920" s="45" t="n"/>
      <c r="E2920" s="32">
        <f>IF(B2920="","",IFERROR(INDEX(Client_List!$C:$C,MATCH(VALUE(B2920),Client_List!$A:$A,0)),""))</f>
        <v/>
      </c>
      <c r="F2920" s="53">
        <f>IF(B2920="","",IFERROR(INDEX(Client_List!$D:$D,MATCH(VALUE(B2920),Client_List!$A:$A,0)),""))</f>
        <v/>
      </c>
      <c r="G2920" s="53">
        <f>IF(B2920="","",IFERROR(INDEX(Client_List!$K:$K,MATCH(VALUE(B2920),Client_List!$A:$A,0)),""))</f>
        <v/>
      </c>
      <c r="H2920" s="32">
        <f>IF(B2920="","",IFERROR(INDEX(Client_List!$J:$J,MATCH(VALUE(B2920),Client_List!$A:$A,0)),""))</f>
        <v/>
      </c>
      <c r="I2920" s="70">
        <f>IF(B2920="","",IFERROR(A2920-LOOKUP(2,1/($B$4:$B2919=B2920),$A$4:$A2919),""))</f>
        <v/>
      </c>
      <c r="J2920" s="32">
        <f>IF(B2920="","",IFERROR(D2920/I2920,""))</f>
        <v/>
      </c>
      <c r="K2920" s="71">
        <f>IF(B2920="","",IFERROR(AVERAGEIFS($J$4:$J2920,$B$4:$B2920,B2920,$J$4:$J2920,"&gt;"&amp;0),""))</f>
        <v/>
      </c>
      <c r="L2920" s="12" t="n"/>
    </row>
    <row r="2921" ht="14" customHeight="1" s="72">
      <c r="A2921" s="82" t="n"/>
      <c r="B2921" s="79" t="n"/>
      <c r="C2921" s="69">
        <f>IF(B2921="","",IFERROR(INDEX(Client_List!$B:$B,MATCH(B2921,Client_List!$A:$A,0)),"⚠ NOT FOUND"))</f>
        <v/>
      </c>
      <c r="D2921" s="44" t="n"/>
      <c r="E2921" s="32">
        <f>IF(B2921="","",IFERROR(INDEX(Client_List!$C:$C,MATCH(VALUE(B2921),Client_List!$A:$A,0)),""))</f>
        <v/>
      </c>
      <c r="F2921" s="53">
        <f>IF(B2921="","",IFERROR(INDEX(Client_List!$D:$D,MATCH(VALUE(B2921),Client_List!$A:$A,0)),""))</f>
        <v/>
      </c>
      <c r="G2921" s="53">
        <f>IF(B2921="","",IFERROR(INDEX(Client_List!$K:$K,MATCH(VALUE(B2921),Client_List!$A:$A,0)),""))</f>
        <v/>
      </c>
      <c r="H2921" s="32">
        <f>IF(B2921="","",IFERROR(INDEX(Client_List!$J:$J,MATCH(VALUE(B2921),Client_List!$A:$A,0)),""))</f>
        <v/>
      </c>
      <c r="I2921" s="70">
        <f>IF(B2921="","",IFERROR(A2921-LOOKUP(2,1/($B$4:$B2920=B2921),$A$4:$A2920),""))</f>
        <v/>
      </c>
      <c r="J2921" s="32">
        <f>IF(B2921="","",IFERROR(D2921/I2921,""))</f>
        <v/>
      </c>
      <c r="K2921" s="71">
        <f>IF(B2921="","",IFERROR(AVERAGEIFS($J$4:$J2921,$B$4:$B2921,B2921,$J$4:$J2921,"&gt;"&amp;0),""))</f>
        <v/>
      </c>
      <c r="L2921" s="11" t="n"/>
    </row>
    <row r="2922" ht="14" customHeight="1" s="72">
      <c r="A2922" s="83" t="n"/>
      <c r="B2922" s="81" t="n"/>
      <c r="C2922" s="69">
        <f>IF(B2922="","",IFERROR(INDEX(Client_List!$B:$B,MATCH(B2922,Client_List!$A:$A,0)),"⚠ NOT FOUND"))</f>
        <v/>
      </c>
      <c r="D2922" s="45" t="n"/>
      <c r="E2922" s="32">
        <f>IF(B2922="","",IFERROR(INDEX(Client_List!$C:$C,MATCH(VALUE(B2922),Client_List!$A:$A,0)),""))</f>
        <v/>
      </c>
      <c r="F2922" s="53">
        <f>IF(B2922="","",IFERROR(INDEX(Client_List!$D:$D,MATCH(VALUE(B2922),Client_List!$A:$A,0)),""))</f>
        <v/>
      </c>
      <c r="G2922" s="53">
        <f>IF(B2922="","",IFERROR(INDEX(Client_List!$K:$K,MATCH(VALUE(B2922),Client_List!$A:$A,0)),""))</f>
        <v/>
      </c>
      <c r="H2922" s="32">
        <f>IF(B2922="","",IFERROR(INDEX(Client_List!$J:$J,MATCH(VALUE(B2922),Client_List!$A:$A,0)),""))</f>
        <v/>
      </c>
      <c r="I2922" s="70">
        <f>IF(B2922="","",IFERROR(A2922-LOOKUP(2,1/($B$4:$B2921=B2922),$A$4:$A2921),""))</f>
        <v/>
      </c>
      <c r="J2922" s="32">
        <f>IF(B2922="","",IFERROR(D2922/I2922,""))</f>
        <v/>
      </c>
      <c r="K2922" s="71">
        <f>IF(B2922="","",IFERROR(AVERAGEIFS($J$4:$J2922,$B$4:$B2922,B2922,$J$4:$J2922,"&gt;"&amp;0),""))</f>
        <v/>
      </c>
      <c r="L2922" s="12" t="n"/>
    </row>
    <row r="2923" ht="14" customHeight="1" s="72">
      <c r="A2923" s="82" t="n"/>
      <c r="B2923" s="79" t="n"/>
      <c r="C2923" s="69">
        <f>IF(B2923="","",IFERROR(INDEX(Client_List!$B:$B,MATCH(B2923,Client_List!$A:$A,0)),"⚠ NOT FOUND"))</f>
        <v/>
      </c>
      <c r="D2923" s="44" t="n"/>
      <c r="E2923" s="32">
        <f>IF(B2923="","",IFERROR(INDEX(Client_List!$C:$C,MATCH(VALUE(B2923),Client_List!$A:$A,0)),""))</f>
        <v/>
      </c>
      <c r="F2923" s="53">
        <f>IF(B2923="","",IFERROR(INDEX(Client_List!$D:$D,MATCH(VALUE(B2923),Client_List!$A:$A,0)),""))</f>
        <v/>
      </c>
      <c r="G2923" s="53">
        <f>IF(B2923="","",IFERROR(INDEX(Client_List!$K:$K,MATCH(VALUE(B2923),Client_List!$A:$A,0)),""))</f>
        <v/>
      </c>
      <c r="H2923" s="32">
        <f>IF(B2923="","",IFERROR(INDEX(Client_List!$J:$J,MATCH(VALUE(B2923),Client_List!$A:$A,0)),""))</f>
        <v/>
      </c>
      <c r="I2923" s="70">
        <f>IF(B2923="","",IFERROR(A2923-LOOKUP(2,1/($B$4:$B2922=B2923),$A$4:$A2922),""))</f>
        <v/>
      </c>
      <c r="J2923" s="32">
        <f>IF(B2923="","",IFERROR(D2923/I2923,""))</f>
        <v/>
      </c>
      <c r="K2923" s="71">
        <f>IF(B2923="","",IFERROR(AVERAGEIFS($J$4:$J2923,$B$4:$B2923,B2923,$J$4:$J2923,"&gt;"&amp;0),""))</f>
        <v/>
      </c>
      <c r="L2923" s="11" t="n"/>
    </row>
    <row r="2924" ht="14" customHeight="1" s="72">
      <c r="A2924" s="83" t="n"/>
      <c r="B2924" s="81" t="n"/>
      <c r="C2924" s="69">
        <f>IF(B2924="","",IFERROR(INDEX(Client_List!$B:$B,MATCH(B2924,Client_List!$A:$A,0)),"⚠ NOT FOUND"))</f>
        <v/>
      </c>
      <c r="D2924" s="45" t="n"/>
      <c r="E2924" s="32">
        <f>IF(B2924="","",IFERROR(INDEX(Client_List!$C:$C,MATCH(VALUE(B2924),Client_List!$A:$A,0)),""))</f>
        <v/>
      </c>
      <c r="F2924" s="53">
        <f>IF(B2924="","",IFERROR(INDEX(Client_List!$D:$D,MATCH(VALUE(B2924),Client_List!$A:$A,0)),""))</f>
        <v/>
      </c>
      <c r="G2924" s="53">
        <f>IF(B2924="","",IFERROR(INDEX(Client_List!$K:$K,MATCH(VALUE(B2924),Client_List!$A:$A,0)),""))</f>
        <v/>
      </c>
      <c r="H2924" s="32">
        <f>IF(B2924="","",IFERROR(INDEX(Client_List!$J:$J,MATCH(VALUE(B2924),Client_List!$A:$A,0)),""))</f>
        <v/>
      </c>
      <c r="I2924" s="70">
        <f>IF(B2924="","",IFERROR(A2924-LOOKUP(2,1/($B$4:$B2923=B2924),$A$4:$A2923),""))</f>
        <v/>
      </c>
      <c r="J2924" s="32">
        <f>IF(B2924="","",IFERROR(D2924/I2924,""))</f>
        <v/>
      </c>
      <c r="K2924" s="71">
        <f>IF(B2924="","",IFERROR(AVERAGEIFS($J$4:$J2924,$B$4:$B2924,B2924,$J$4:$J2924,"&gt;"&amp;0),""))</f>
        <v/>
      </c>
      <c r="L2924" s="12" t="n"/>
    </row>
    <row r="2925" ht="14" customHeight="1" s="72">
      <c r="A2925" s="82" t="n"/>
      <c r="B2925" s="79" t="n"/>
      <c r="C2925" s="69">
        <f>IF(B2925="","",IFERROR(INDEX(Client_List!$B:$B,MATCH(B2925,Client_List!$A:$A,0)),"⚠ NOT FOUND"))</f>
        <v/>
      </c>
      <c r="D2925" s="44" t="n"/>
      <c r="E2925" s="32">
        <f>IF(B2925="","",IFERROR(INDEX(Client_List!$C:$C,MATCH(VALUE(B2925),Client_List!$A:$A,0)),""))</f>
        <v/>
      </c>
      <c r="F2925" s="53">
        <f>IF(B2925="","",IFERROR(INDEX(Client_List!$D:$D,MATCH(VALUE(B2925),Client_List!$A:$A,0)),""))</f>
        <v/>
      </c>
      <c r="G2925" s="53">
        <f>IF(B2925="","",IFERROR(INDEX(Client_List!$K:$K,MATCH(VALUE(B2925),Client_List!$A:$A,0)),""))</f>
        <v/>
      </c>
      <c r="H2925" s="32">
        <f>IF(B2925="","",IFERROR(INDEX(Client_List!$J:$J,MATCH(VALUE(B2925),Client_List!$A:$A,0)),""))</f>
        <v/>
      </c>
      <c r="I2925" s="70">
        <f>IF(B2925="","",IFERROR(A2925-LOOKUP(2,1/($B$4:$B2924=B2925),$A$4:$A2924),""))</f>
        <v/>
      </c>
      <c r="J2925" s="32">
        <f>IF(B2925="","",IFERROR(D2925/I2925,""))</f>
        <v/>
      </c>
      <c r="K2925" s="71">
        <f>IF(B2925="","",IFERROR(AVERAGEIFS($J$4:$J2925,$B$4:$B2925,B2925,$J$4:$J2925,"&gt;"&amp;0),""))</f>
        <v/>
      </c>
      <c r="L2925" s="11" t="n"/>
    </row>
    <row r="2926" ht="14" customHeight="1" s="72">
      <c r="A2926" s="83" t="n"/>
      <c r="B2926" s="81" t="n"/>
      <c r="C2926" s="69">
        <f>IF(B2926="","",IFERROR(INDEX(Client_List!$B:$B,MATCH(B2926,Client_List!$A:$A,0)),"⚠ NOT FOUND"))</f>
        <v/>
      </c>
      <c r="D2926" s="45" t="n"/>
      <c r="E2926" s="32">
        <f>IF(B2926="","",IFERROR(INDEX(Client_List!$C:$C,MATCH(VALUE(B2926),Client_List!$A:$A,0)),""))</f>
        <v/>
      </c>
      <c r="F2926" s="53">
        <f>IF(B2926="","",IFERROR(INDEX(Client_List!$D:$D,MATCH(VALUE(B2926),Client_List!$A:$A,0)),""))</f>
        <v/>
      </c>
      <c r="G2926" s="53">
        <f>IF(B2926="","",IFERROR(INDEX(Client_List!$K:$K,MATCH(VALUE(B2926),Client_List!$A:$A,0)),""))</f>
        <v/>
      </c>
      <c r="H2926" s="32">
        <f>IF(B2926="","",IFERROR(INDEX(Client_List!$J:$J,MATCH(VALUE(B2926),Client_List!$A:$A,0)),""))</f>
        <v/>
      </c>
      <c r="I2926" s="70">
        <f>IF(B2926="","",IFERROR(A2926-LOOKUP(2,1/($B$4:$B2925=B2926),$A$4:$A2925),""))</f>
        <v/>
      </c>
      <c r="J2926" s="32">
        <f>IF(B2926="","",IFERROR(D2926/I2926,""))</f>
        <v/>
      </c>
      <c r="K2926" s="71">
        <f>IF(B2926="","",IFERROR(AVERAGEIFS($J$4:$J2926,$B$4:$B2926,B2926,$J$4:$J2926,"&gt;"&amp;0),""))</f>
        <v/>
      </c>
      <c r="L2926" s="12" t="n"/>
    </row>
    <row r="2927" ht="14" customHeight="1" s="72">
      <c r="A2927" s="82" t="n"/>
      <c r="B2927" s="79" t="n"/>
      <c r="C2927" s="69">
        <f>IF(B2927="","",IFERROR(INDEX(Client_List!$B:$B,MATCH(B2927,Client_List!$A:$A,0)),"⚠ NOT FOUND"))</f>
        <v/>
      </c>
      <c r="D2927" s="44" t="n"/>
      <c r="E2927" s="32">
        <f>IF(B2927="","",IFERROR(INDEX(Client_List!$C:$C,MATCH(VALUE(B2927),Client_List!$A:$A,0)),""))</f>
        <v/>
      </c>
      <c r="F2927" s="53">
        <f>IF(B2927="","",IFERROR(INDEX(Client_List!$D:$D,MATCH(VALUE(B2927),Client_List!$A:$A,0)),""))</f>
        <v/>
      </c>
      <c r="G2927" s="53">
        <f>IF(B2927="","",IFERROR(INDEX(Client_List!$K:$K,MATCH(VALUE(B2927),Client_List!$A:$A,0)),""))</f>
        <v/>
      </c>
      <c r="H2927" s="32">
        <f>IF(B2927="","",IFERROR(INDEX(Client_List!$J:$J,MATCH(VALUE(B2927),Client_List!$A:$A,0)),""))</f>
        <v/>
      </c>
      <c r="I2927" s="70">
        <f>IF(B2927="","",IFERROR(A2927-LOOKUP(2,1/($B$4:$B2926=B2927),$A$4:$A2926),""))</f>
        <v/>
      </c>
      <c r="J2927" s="32">
        <f>IF(B2927="","",IFERROR(D2927/I2927,""))</f>
        <v/>
      </c>
      <c r="K2927" s="71">
        <f>IF(B2927="","",IFERROR(AVERAGEIFS($J$4:$J2927,$B$4:$B2927,B2927,$J$4:$J2927,"&gt;"&amp;0),""))</f>
        <v/>
      </c>
      <c r="L2927" s="11" t="n"/>
    </row>
    <row r="2928" ht="14" customHeight="1" s="72">
      <c r="A2928" s="83" t="n"/>
      <c r="B2928" s="81" t="n"/>
      <c r="C2928" s="69">
        <f>IF(B2928="","",IFERROR(INDEX(Client_List!$B:$B,MATCH(B2928,Client_List!$A:$A,0)),"⚠ NOT FOUND"))</f>
        <v/>
      </c>
      <c r="D2928" s="45" t="n"/>
      <c r="E2928" s="32">
        <f>IF(B2928="","",IFERROR(INDEX(Client_List!$C:$C,MATCH(VALUE(B2928),Client_List!$A:$A,0)),""))</f>
        <v/>
      </c>
      <c r="F2928" s="53">
        <f>IF(B2928="","",IFERROR(INDEX(Client_List!$D:$D,MATCH(VALUE(B2928),Client_List!$A:$A,0)),""))</f>
        <v/>
      </c>
      <c r="G2928" s="53">
        <f>IF(B2928="","",IFERROR(INDEX(Client_List!$K:$K,MATCH(VALUE(B2928),Client_List!$A:$A,0)),""))</f>
        <v/>
      </c>
      <c r="H2928" s="32">
        <f>IF(B2928="","",IFERROR(INDEX(Client_List!$J:$J,MATCH(VALUE(B2928),Client_List!$A:$A,0)),""))</f>
        <v/>
      </c>
      <c r="I2928" s="70">
        <f>IF(B2928="","",IFERROR(A2928-LOOKUP(2,1/($B$4:$B2927=B2928),$A$4:$A2927),""))</f>
        <v/>
      </c>
      <c r="J2928" s="32">
        <f>IF(B2928="","",IFERROR(D2928/I2928,""))</f>
        <v/>
      </c>
      <c r="K2928" s="71">
        <f>IF(B2928="","",IFERROR(AVERAGEIFS($J$4:$J2928,$B$4:$B2928,B2928,$J$4:$J2928,"&gt;"&amp;0),""))</f>
        <v/>
      </c>
      <c r="L2928" s="12" t="n"/>
    </row>
    <row r="2929" ht="14" customHeight="1" s="72">
      <c r="A2929" s="82" t="n"/>
      <c r="B2929" s="79" t="n"/>
      <c r="C2929" s="69">
        <f>IF(B2929="","",IFERROR(INDEX(Client_List!$B:$B,MATCH(B2929,Client_List!$A:$A,0)),"⚠ NOT FOUND"))</f>
        <v/>
      </c>
      <c r="D2929" s="44" t="n"/>
      <c r="E2929" s="32">
        <f>IF(B2929="","",IFERROR(INDEX(Client_List!$C:$C,MATCH(VALUE(B2929),Client_List!$A:$A,0)),""))</f>
        <v/>
      </c>
      <c r="F2929" s="53">
        <f>IF(B2929="","",IFERROR(INDEX(Client_List!$D:$D,MATCH(VALUE(B2929),Client_List!$A:$A,0)),""))</f>
        <v/>
      </c>
      <c r="G2929" s="53">
        <f>IF(B2929="","",IFERROR(INDEX(Client_List!$K:$K,MATCH(VALUE(B2929),Client_List!$A:$A,0)),""))</f>
        <v/>
      </c>
      <c r="H2929" s="32">
        <f>IF(B2929="","",IFERROR(INDEX(Client_List!$J:$J,MATCH(VALUE(B2929),Client_List!$A:$A,0)),""))</f>
        <v/>
      </c>
      <c r="I2929" s="70">
        <f>IF(B2929="","",IFERROR(A2929-LOOKUP(2,1/($B$4:$B2928=B2929),$A$4:$A2928),""))</f>
        <v/>
      </c>
      <c r="J2929" s="32">
        <f>IF(B2929="","",IFERROR(D2929/I2929,""))</f>
        <v/>
      </c>
      <c r="K2929" s="71">
        <f>IF(B2929="","",IFERROR(AVERAGEIFS($J$4:$J2929,$B$4:$B2929,B2929,$J$4:$J2929,"&gt;"&amp;0),""))</f>
        <v/>
      </c>
      <c r="L2929" s="11" t="n"/>
    </row>
    <row r="2930" ht="14" customHeight="1" s="72">
      <c r="A2930" s="83" t="n"/>
      <c r="B2930" s="81" t="n"/>
      <c r="C2930" s="69">
        <f>IF(B2930="","",IFERROR(INDEX(Client_List!$B:$B,MATCH(B2930,Client_List!$A:$A,0)),"⚠ NOT FOUND"))</f>
        <v/>
      </c>
      <c r="D2930" s="45" t="n"/>
      <c r="E2930" s="32">
        <f>IF(B2930="","",IFERROR(INDEX(Client_List!$C:$C,MATCH(VALUE(B2930),Client_List!$A:$A,0)),""))</f>
        <v/>
      </c>
      <c r="F2930" s="53">
        <f>IF(B2930="","",IFERROR(INDEX(Client_List!$D:$D,MATCH(VALUE(B2930),Client_List!$A:$A,0)),""))</f>
        <v/>
      </c>
      <c r="G2930" s="53">
        <f>IF(B2930="","",IFERROR(INDEX(Client_List!$K:$K,MATCH(VALUE(B2930),Client_List!$A:$A,0)),""))</f>
        <v/>
      </c>
      <c r="H2930" s="32">
        <f>IF(B2930="","",IFERROR(INDEX(Client_List!$J:$J,MATCH(VALUE(B2930),Client_List!$A:$A,0)),""))</f>
        <v/>
      </c>
      <c r="I2930" s="70">
        <f>IF(B2930="","",IFERROR(A2930-LOOKUP(2,1/($B$4:$B2929=B2930),$A$4:$A2929),""))</f>
        <v/>
      </c>
      <c r="J2930" s="32">
        <f>IF(B2930="","",IFERROR(D2930/I2930,""))</f>
        <v/>
      </c>
      <c r="K2930" s="71">
        <f>IF(B2930="","",IFERROR(AVERAGEIFS($J$4:$J2930,$B$4:$B2930,B2930,$J$4:$J2930,"&gt;"&amp;0),""))</f>
        <v/>
      </c>
      <c r="L2930" s="12" t="n"/>
    </row>
    <row r="2931" ht="14" customHeight="1" s="72">
      <c r="A2931" s="82" t="n"/>
      <c r="B2931" s="79" t="n"/>
      <c r="C2931" s="69">
        <f>IF(B2931="","",IFERROR(INDEX(Client_List!$B:$B,MATCH(B2931,Client_List!$A:$A,0)),"⚠ NOT FOUND"))</f>
        <v/>
      </c>
      <c r="D2931" s="44" t="n"/>
      <c r="E2931" s="32">
        <f>IF(B2931="","",IFERROR(INDEX(Client_List!$C:$C,MATCH(VALUE(B2931),Client_List!$A:$A,0)),""))</f>
        <v/>
      </c>
      <c r="F2931" s="53">
        <f>IF(B2931="","",IFERROR(INDEX(Client_List!$D:$D,MATCH(VALUE(B2931),Client_List!$A:$A,0)),""))</f>
        <v/>
      </c>
      <c r="G2931" s="53">
        <f>IF(B2931="","",IFERROR(INDEX(Client_List!$K:$K,MATCH(VALUE(B2931),Client_List!$A:$A,0)),""))</f>
        <v/>
      </c>
      <c r="H2931" s="32">
        <f>IF(B2931="","",IFERROR(INDEX(Client_List!$J:$J,MATCH(VALUE(B2931),Client_List!$A:$A,0)),""))</f>
        <v/>
      </c>
      <c r="I2931" s="70">
        <f>IF(B2931="","",IFERROR(A2931-LOOKUP(2,1/($B$4:$B2930=B2931),$A$4:$A2930),""))</f>
        <v/>
      </c>
      <c r="J2931" s="32">
        <f>IF(B2931="","",IFERROR(D2931/I2931,""))</f>
        <v/>
      </c>
      <c r="K2931" s="71">
        <f>IF(B2931="","",IFERROR(AVERAGEIFS($J$4:$J2931,$B$4:$B2931,B2931,$J$4:$J2931,"&gt;"&amp;0),""))</f>
        <v/>
      </c>
      <c r="L2931" s="11" t="n"/>
    </row>
    <row r="2932" ht="14" customHeight="1" s="72">
      <c r="A2932" s="83" t="n"/>
      <c r="B2932" s="81" t="n"/>
      <c r="C2932" s="69">
        <f>IF(B2932="","",IFERROR(INDEX(Client_List!$B:$B,MATCH(B2932,Client_List!$A:$A,0)),"⚠ NOT FOUND"))</f>
        <v/>
      </c>
      <c r="D2932" s="45" t="n"/>
      <c r="E2932" s="32">
        <f>IF(B2932="","",IFERROR(INDEX(Client_List!$C:$C,MATCH(VALUE(B2932),Client_List!$A:$A,0)),""))</f>
        <v/>
      </c>
      <c r="F2932" s="53">
        <f>IF(B2932="","",IFERROR(INDEX(Client_List!$D:$D,MATCH(VALUE(B2932),Client_List!$A:$A,0)),""))</f>
        <v/>
      </c>
      <c r="G2932" s="53">
        <f>IF(B2932="","",IFERROR(INDEX(Client_List!$K:$K,MATCH(VALUE(B2932),Client_List!$A:$A,0)),""))</f>
        <v/>
      </c>
      <c r="H2932" s="32">
        <f>IF(B2932="","",IFERROR(INDEX(Client_List!$J:$J,MATCH(VALUE(B2932),Client_List!$A:$A,0)),""))</f>
        <v/>
      </c>
      <c r="I2932" s="70">
        <f>IF(B2932="","",IFERROR(A2932-LOOKUP(2,1/($B$4:$B2931=B2932),$A$4:$A2931),""))</f>
        <v/>
      </c>
      <c r="J2932" s="32">
        <f>IF(B2932="","",IFERROR(D2932/I2932,""))</f>
        <v/>
      </c>
      <c r="K2932" s="71">
        <f>IF(B2932="","",IFERROR(AVERAGEIFS($J$4:$J2932,$B$4:$B2932,B2932,$J$4:$J2932,"&gt;"&amp;0),""))</f>
        <v/>
      </c>
      <c r="L2932" s="12" t="n"/>
    </row>
    <row r="2933" ht="14" customHeight="1" s="72">
      <c r="A2933" s="82" t="n"/>
      <c r="B2933" s="79" t="n"/>
      <c r="C2933" s="69">
        <f>IF(B2933="","",IFERROR(INDEX(Client_List!$B:$B,MATCH(B2933,Client_List!$A:$A,0)),"⚠ NOT FOUND"))</f>
        <v/>
      </c>
      <c r="D2933" s="44" t="n"/>
      <c r="E2933" s="32">
        <f>IF(B2933="","",IFERROR(INDEX(Client_List!$C:$C,MATCH(VALUE(B2933),Client_List!$A:$A,0)),""))</f>
        <v/>
      </c>
      <c r="F2933" s="53">
        <f>IF(B2933="","",IFERROR(INDEX(Client_List!$D:$D,MATCH(VALUE(B2933),Client_List!$A:$A,0)),""))</f>
        <v/>
      </c>
      <c r="G2933" s="53">
        <f>IF(B2933="","",IFERROR(INDEX(Client_List!$K:$K,MATCH(VALUE(B2933),Client_List!$A:$A,0)),""))</f>
        <v/>
      </c>
      <c r="H2933" s="32">
        <f>IF(B2933="","",IFERROR(INDEX(Client_List!$J:$J,MATCH(VALUE(B2933),Client_List!$A:$A,0)),""))</f>
        <v/>
      </c>
      <c r="I2933" s="70">
        <f>IF(B2933="","",IFERROR(A2933-LOOKUP(2,1/($B$4:$B2932=B2933),$A$4:$A2932),""))</f>
        <v/>
      </c>
      <c r="J2933" s="32">
        <f>IF(B2933="","",IFERROR(D2933/I2933,""))</f>
        <v/>
      </c>
      <c r="K2933" s="71">
        <f>IF(B2933="","",IFERROR(AVERAGEIFS($J$4:$J2933,$B$4:$B2933,B2933,$J$4:$J2933,"&gt;"&amp;0),""))</f>
        <v/>
      </c>
      <c r="L2933" s="11" t="n"/>
    </row>
    <row r="2934" ht="14" customHeight="1" s="72">
      <c r="A2934" s="83" t="n"/>
      <c r="B2934" s="81" t="n"/>
      <c r="C2934" s="69">
        <f>IF(B2934="","",IFERROR(INDEX(Client_List!$B:$B,MATCH(B2934,Client_List!$A:$A,0)),"⚠ NOT FOUND"))</f>
        <v/>
      </c>
      <c r="D2934" s="45" t="n"/>
      <c r="E2934" s="32">
        <f>IF(B2934="","",IFERROR(INDEX(Client_List!$C:$C,MATCH(VALUE(B2934),Client_List!$A:$A,0)),""))</f>
        <v/>
      </c>
      <c r="F2934" s="53">
        <f>IF(B2934="","",IFERROR(INDEX(Client_List!$D:$D,MATCH(VALUE(B2934),Client_List!$A:$A,0)),""))</f>
        <v/>
      </c>
      <c r="G2934" s="53">
        <f>IF(B2934="","",IFERROR(INDEX(Client_List!$K:$K,MATCH(VALUE(B2934),Client_List!$A:$A,0)),""))</f>
        <v/>
      </c>
      <c r="H2934" s="32">
        <f>IF(B2934="","",IFERROR(INDEX(Client_List!$J:$J,MATCH(VALUE(B2934),Client_List!$A:$A,0)),""))</f>
        <v/>
      </c>
      <c r="I2934" s="70">
        <f>IF(B2934="","",IFERROR(A2934-LOOKUP(2,1/($B$4:$B2933=B2934),$A$4:$A2933),""))</f>
        <v/>
      </c>
      <c r="J2934" s="32">
        <f>IF(B2934="","",IFERROR(D2934/I2934,""))</f>
        <v/>
      </c>
      <c r="K2934" s="71">
        <f>IF(B2934="","",IFERROR(AVERAGEIFS($J$4:$J2934,$B$4:$B2934,B2934,$J$4:$J2934,"&gt;"&amp;0),""))</f>
        <v/>
      </c>
      <c r="L2934" s="12" t="n"/>
    </row>
    <row r="2935" ht="14" customHeight="1" s="72">
      <c r="A2935" s="82" t="n"/>
      <c r="B2935" s="79" t="n"/>
      <c r="C2935" s="69">
        <f>IF(B2935="","",IFERROR(INDEX(Client_List!$B:$B,MATCH(B2935,Client_List!$A:$A,0)),"⚠ NOT FOUND"))</f>
        <v/>
      </c>
      <c r="D2935" s="44" t="n"/>
      <c r="E2935" s="32">
        <f>IF(B2935="","",IFERROR(INDEX(Client_List!$C:$C,MATCH(VALUE(B2935),Client_List!$A:$A,0)),""))</f>
        <v/>
      </c>
      <c r="F2935" s="53">
        <f>IF(B2935="","",IFERROR(INDEX(Client_List!$D:$D,MATCH(VALUE(B2935),Client_List!$A:$A,0)),""))</f>
        <v/>
      </c>
      <c r="G2935" s="53">
        <f>IF(B2935="","",IFERROR(INDEX(Client_List!$K:$K,MATCH(VALUE(B2935),Client_List!$A:$A,0)),""))</f>
        <v/>
      </c>
      <c r="H2935" s="32">
        <f>IF(B2935="","",IFERROR(INDEX(Client_List!$J:$J,MATCH(VALUE(B2935),Client_List!$A:$A,0)),""))</f>
        <v/>
      </c>
      <c r="I2935" s="70">
        <f>IF(B2935="","",IFERROR(A2935-LOOKUP(2,1/($B$4:$B2934=B2935),$A$4:$A2934),""))</f>
        <v/>
      </c>
      <c r="J2935" s="32">
        <f>IF(B2935="","",IFERROR(D2935/I2935,""))</f>
        <v/>
      </c>
      <c r="K2935" s="71">
        <f>IF(B2935="","",IFERROR(AVERAGEIFS($J$4:$J2935,$B$4:$B2935,B2935,$J$4:$J2935,"&gt;"&amp;0),""))</f>
        <v/>
      </c>
      <c r="L2935" s="11" t="n"/>
    </row>
    <row r="2936" ht="14" customHeight="1" s="72">
      <c r="A2936" s="83" t="n"/>
      <c r="B2936" s="81" t="n"/>
      <c r="C2936" s="69">
        <f>IF(B2936="","",IFERROR(INDEX(Client_List!$B:$B,MATCH(B2936,Client_List!$A:$A,0)),"⚠ NOT FOUND"))</f>
        <v/>
      </c>
      <c r="D2936" s="45" t="n"/>
      <c r="E2936" s="32">
        <f>IF(B2936="","",IFERROR(INDEX(Client_List!$C:$C,MATCH(VALUE(B2936),Client_List!$A:$A,0)),""))</f>
        <v/>
      </c>
      <c r="F2936" s="53">
        <f>IF(B2936="","",IFERROR(INDEX(Client_List!$D:$D,MATCH(VALUE(B2936),Client_List!$A:$A,0)),""))</f>
        <v/>
      </c>
      <c r="G2936" s="53">
        <f>IF(B2936="","",IFERROR(INDEX(Client_List!$K:$K,MATCH(VALUE(B2936),Client_List!$A:$A,0)),""))</f>
        <v/>
      </c>
      <c r="H2936" s="32">
        <f>IF(B2936="","",IFERROR(INDEX(Client_List!$J:$J,MATCH(VALUE(B2936),Client_List!$A:$A,0)),""))</f>
        <v/>
      </c>
      <c r="I2936" s="70">
        <f>IF(B2936="","",IFERROR(A2936-LOOKUP(2,1/($B$4:$B2935=B2936),$A$4:$A2935),""))</f>
        <v/>
      </c>
      <c r="J2936" s="32">
        <f>IF(B2936="","",IFERROR(D2936/I2936,""))</f>
        <v/>
      </c>
      <c r="K2936" s="71">
        <f>IF(B2936="","",IFERROR(AVERAGEIFS($J$4:$J2936,$B$4:$B2936,B2936,$J$4:$J2936,"&gt;"&amp;0),""))</f>
        <v/>
      </c>
      <c r="L2936" s="12" t="n"/>
    </row>
    <row r="2937" ht="14" customHeight="1" s="72">
      <c r="A2937" s="82" t="n"/>
      <c r="B2937" s="79" t="n"/>
      <c r="C2937" s="69">
        <f>IF(B2937="","",IFERROR(INDEX(Client_List!$B:$B,MATCH(B2937,Client_List!$A:$A,0)),"⚠ NOT FOUND"))</f>
        <v/>
      </c>
      <c r="D2937" s="44" t="n"/>
      <c r="E2937" s="32">
        <f>IF(B2937="","",IFERROR(INDEX(Client_List!$C:$C,MATCH(VALUE(B2937),Client_List!$A:$A,0)),""))</f>
        <v/>
      </c>
      <c r="F2937" s="53">
        <f>IF(B2937="","",IFERROR(INDEX(Client_List!$D:$D,MATCH(VALUE(B2937),Client_List!$A:$A,0)),""))</f>
        <v/>
      </c>
      <c r="G2937" s="53">
        <f>IF(B2937="","",IFERROR(INDEX(Client_List!$K:$K,MATCH(VALUE(B2937),Client_List!$A:$A,0)),""))</f>
        <v/>
      </c>
      <c r="H2937" s="32">
        <f>IF(B2937="","",IFERROR(INDEX(Client_List!$J:$J,MATCH(VALUE(B2937),Client_List!$A:$A,0)),""))</f>
        <v/>
      </c>
      <c r="I2937" s="70">
        <f>IF(B2937="","",IFERROR(A2937-LOOKUP(2,1/($B$4:$B2936=B2937),$A$4:$A2936),""))</f>
        <v/>
      </c>
      <c r="J2937" s="32">
        <f>IF(B2937="","",IFERROR(D2937/I2937,""))</f>
        <v/>
      </c>
      <c r="K2937" s="71">
        <f>IF(B2937="","",IFERROR(AVERAGEIFS($J$4:$J2937,$B$4:$B2937,B2937,$J$4:$J2937,"&gt;"&amp;0),""))</f>
        <v/>
      </c>
      <c r="L2937" s="11" t="n"/>
    </row>
    <row r="2938" ht="14" customHeight="1" s="72">
      <c r="A2938" s="83" t="n"/>
      <c r="B2938" s="81" t="n"/>
      <c r="C2938" s="69">
        <f>IF(B2938="","",IFERROR(INDEX(Client_List!$B:$B,MATCH(B2938,Client_List!$A:$A,0)),"⚠ NOT FOUND"))</f>
        <v/>
      </c>
      <c r="D2938" s="45" t="n"/>
      <c r="E2938" s="32">
        <f>IF(B2938="","",IFERROR(INDEX(Client_List!$C:$C,MATCH(VALUE(B2938),Client_List!$A:$A,0)),""))</f>
        <v/>
      </c>
      <c r="F2938" s="53">
        <f>IF(B2938="","",IFERROR(INDEX(Client_List!$D:$D,MATCH(VALUE(B2938),Client_List!$A:$A,0)),""))</f>
        <v/>
      </c>
      <c r="G2938" s="53">
        <f>IF(B2938="","",IFERROR(INDEX(Client_List!$K:$K,MATCH(VALUE(B2938),Client_List!$A:$A,0)),""))</f>
        <v/>
      </c>
      <c r="H2938" s="32">
        <f>IF(B2938="","",IFERROR(INDEX(Client_List!$J:$J,MATCH(VALUE(B2938),Client_List!$A:$A,0)),""))</f>
        <v/>
      </c>
      <c r="I2938" s="70">
        <f>IF(B2938="","",IFERROR(A2938-LOOKUP(2,1/($B$4:$B2937=B2938),$A$4:$A2937),""))</f>
        <v/>
      </c>
      <c r="J2938" s="32">
        <f>IF(B2938="","",IFERROR(D2938/I2938,""))</f>
        <v/>
      </c>
      <c r="K2938" s="71">
        <f>IF(B2938="","",IFERROR(AVERAGEIFS($J$4:$J2938,$B$4:$B2938,B2938,$J$4:$J2938,"&gt;"&amp;0),""))</f>
        <v/>
      </c>
      <c r="L2938" s="12" t="n"/>
    </row>
    <row r="2939" ht="14" customHeight="1" s="72">
      <c r="A2939" s="82" t="n"/>
      <c r="B2939" s="79" t="n"/>
      <c r="C2939" s="69">
        <f>IF(B2939="","",IFERROR(INDEX(Client_List!$B:$B,MATCH(B2939,Client_List!$A:$A,0)),"⚠ NOT FOUND"))</f>
        <v/>
      </c>
      <c r="D2939" s="44" t="n"/>
      <c r="E2939" s="32">
        <f>IF(B2939="","",IFERROR(INDEX(Client_List!$C:$C,MATCH(VALUE(B2939),Client_List!$A:$A,0)),""))</f>
        <v/>
      </c>
      <c r="F2939" s="53">
        <f>IF(B2939="","",IFERROR(INDEX(Client_List!$D:$D,MATCH(VALUE(B2939),Client_List!$A:$A,0)),""))</f>
        <v/>
      </c>
      <c r="G2939" s="53">
        <f>IF(B2939="","",IFERROR(INDEX(Client_List!$K:$K,MATCH(VALUE(B2939),Client_List!$A:$A,0)),""))</f>
        <v/>
      </c>
      <c r="H2939" s="32">
        <f>IF(B2939="","",IFERROR(INDEX(Client_List!$J:$J,MATCH(VALUE(B2939),Client_List!$A:$A,0)),""))</f>
        <v/>
      </c>
      <c r="I2939" s="70">
        <f>IF(B2939="","",IFERROR(A2939-LOOKUP(2,1/($B$4:$B2938=B2939),$A$4:$A2938),""))</f>
        <v/>
      </c>
      <c r="J2939" s="32">
        <f>IF(B2939="","",IFERROR(D2939/I2939,""))</f>
        <v/>
      </c>
      <c r="K2939" s="71">
        <f>IF(B2939="","",IFERROR(AVERAGEIFS($J$4:$J2939,$B$4:$B2939,B2939,$J$4:$J2939,"&gt;"&amp;0),""))</f>
        <v/>
      </c>
      <c r="L2939" s="11" t="n"/>
    </row>
    <row r="2940" ht="14" customHeight="1" s="72">
      <c r="A2940" s="83" t="n"/>
      <c r="B2940" s="81" t="n"/>
      <c r="C2940" s="69">
        <f>IF(B2940="","",IFERROR(INDEX(Client_List!$B:$B,MATCH(B2940,Client_List!$A:$A,0)),"⚠ NOT FOUND"))</f>
        <v/>
      </c>
      <c r="D2940" s="45" t="n"/>
      <c r="E2940" s="32">
        <f>IF(B2940="","",IFERROR(INDEX(Client_List!$C:$C,MATCH(VALUE(B2940),Client_List!$A:$A,0)),""))</f>
        <v/>
      </c>
      <c r="F2940" s="53">
        <f>IF(B2940="","",IFERROR(INDEX(Client_List!$D:$D,MATCH(VALUE(B2940),Client_List!$A:$A,0)),""))</f>
        <v/>
      </c>
      <c r="G2940" s="53">
        <f>IF(B2940="","",IFERROR(INDEX(Client_List!$K:$K,MATCH(VALUE(B2940),Client_List!$A:$A,0)),""))</f>
        <v/>
      </c>
      <c r="H2940" s="32">
        <f>IF(B2940="","",IFERROR(INDEX(Client_List!$J:$J,MATCH(VALUE(B2940),Client_List!$A:$A,0)),""))</f>
        <v/>
      </c>
      <c r="I2940" s="70">
        <f>IF(B2940="","",IFERROR(A2940-LOOKUP(2,1/($B$4:$B2939=B2940),$A$4:$A2939),""))</f>
        <v/>
      </c>
      <c r="J2940" s="32">
        <f>IF(B2940="","",IFERROR(D2940/I2940,""))</f>
        <v/>
      </c>
      <c r="K2940" s="71">
        <f>IF(B2940="","",IFERROR(AVERAGEIFS($J$4:$J2940,$B$4:$B2940,B2940,$J$4:$J2940,"&gt;"&amp;0),""))</f>
        <v/>
      </c>
      <c r="L2940" s="12" t="n"/>
    </row>
    <row r="2941" ht="14" customHeight="1" s="72">
      <c r="A2941" s="82" t="n"/>
      <c r="B2941" s="79" t="n"/>
      <c r="C2941" s="69">
        <f>IF(B2941="","",IFERROR(INDEX(Client_List!$B:$B,MATCH(B2941,Client_List!$A:$A,0)),"⚠ NOT FOUND"))</f>
        <v/>
      </c>
      <c r="D2941" s="44" t="n"/>
      <c r="E2941" s="32">
        <f>IF(B2941="","",IFERROR(INDEX(Client_List!$C:$C,MATCH(VALUE(B2941),Client_List!$A:$A,0)),""))</f>
        <v/>
      </c>
      <c r="F2941" s="53">
        <f>IF(B2941="","",IFERROR(INDEX(Client_List!$D:$D,MATCH(VALUE(B2941),Client_List!$A:$A,0)),""))</f>
        <v/>
      </c>
      <c r="G2941" s="53">
        <f>IF(B2941="","",IFERROR(INDEX(Client_List!$K:$K,MATCH(VALUE(B2941),Client_List!$A:$A,0)),""))</f>
        <v/>
      </c>
      <c r="H2941" s="32">
        <f>IF(B2941="","",IFERROR(INDEX(Client_List!$J:$J,MATCH(VALUE(B2941),Client_List!$A:$A,0)),""))</f>
        <v/>
      </c>
      <c r="I2941" s="70">
        <f>IF(B2941="","",IFERROR(A2941-LOOKUP(2,1/($B$4:$B2940=B2941),$A$4:$A2940),""))</f>
        <v/>
      </c>
      <c r="J2941" s="32">
        <f>IF(B2941="","",IFERROR(D2941/I2941,""))</f>
        <v/>
      </c>
      <c r="K2941" s="71">
        <f>IF(B2941="","",IFERROR(AVERAGEIFS($J$4:$J2941,$B$4:$B2941,B2941,$J$4:$J2941,"&gt;"&amp;0),""))</f>
        <v/>
      </c>
      <c r="L2941" s="11" t="n"/>
    </row>
    <row r="2942" ht="14" customHeight="1" s="72">
      <c r="A2942" s="83" t="n"/>
      <c r="B2942" s="81" t="n"/>
      <c r="C2942" s="69">
        <f>IF(B2942="","",IFERROR(INDEX(Client_List!$B:$B,MATCH(B2942,Client_List!$A:$A,0)),"⚠ NOT FOUND"))</f>
        <v/>
      </c>
      <c r="D2942" s="45" t="n"/>
      <c r="E2942" s="32">
        <f>IF(B2942="","",IFERROR(INDEX(Client_List!$C:$C,MATCH(VALUE(B2942),Client_List!$A:$A,0)),""))</f>
        <v/>
      </c>
      <c r="F2942" s="53">
        <f>IF(B2942="","",IFERROR(INDEX(Client_List!$D:$D,MATCH(VALUE(B2942),Client_List!$A:$A,0)),""))</f>
        <v/>
      </c>
      <c r="G2942" s="53">
        <f>IF(B2942="","",IFERROR(INDEX(Client_List!$K:$K,MATCH(VALUE(B2942),Client_List!$A:$A,0)),""))</f>
        <v/>
      </c>
      <c r="H2942" s="32">
        <f>IF(B2942="","",IFERROR(INDEX(Client_List!$J:$J,MATCH(VALUE(B2942),Client_List!$A:$A,0)),""))</f>
        <v/>
      </c>
      <c r="I2942" s="70">
        <f>IF(B2942="","",IFERROR(A2942-LOOKUP(2,1/($B$4:$B2941=B2942),$A$4:$A2941),""))</f>
        <v/>
      </c>
      <c r="J2942" s="32">
        <f>IF(B2942="","",IFERROR(D2942/I2942,""))</f>
        <v/>
      </c>
      <c r="K2942" s="71">
        <f>IF(B2942="","",IFERROR(AVERAGEIFS($J$4:$J2942,$B$4:$B2942,B2942,$J$4:$J2942,"&gt;"&amp;0),""))</f>
        <v/>
      </c>
      <c r="L2942" s="12" t="n"/>
    </row>
    <row r="2943" ht="14" customHeight="1" s="72">
      <c r="A2943" s="82" t="n"/>
      <c r="B2943" s="79" t="n"/>
      <c r="C2943" s="69">
        <f>IF(B2943="","",IFERROR(INDEX(Client_List!$B:$B,MATCH(B2943,Client_List!$A:$A,0)),"⚠ NOT FOUND"))</f>
        <v/>
      </c>
      <c r="D2943" s="44" t="n"/>
      <c r="E2943" s="32">
        <f>IF(B2943="","",IFERROR(INDEX(Client_List!$C:$C,MATCH(VALUE(B2943),Client_List!$A:$A,0)),""))</f>
        <v/>
      </c>
      <c r="F2943" s="53">
        <f>IF(B2943="","",IFERROR(INDEX(Client_List!$D:$D,MATCH(VALUE(B2943),Client_List!$A:$A,0)),""))</f>
        <v/>
      </c>
      <c r="G2943" s="53">
        <f>IF(B2943="","",IFERROR(INDEX(Client_List!$K:$K,MATCH(VALUE(B2943),Client_List!$A:$A,0)),""))</f>
        <v/>
      </c>
      <c r="H2943" s="32">
        <f>IF(B2943="","",IFERROR(INDEX(Client_List!$J:$J,MATCH(VALUE(B2943),Client_List!$A:$A,0)),""))</f>
        <v/>
      </c>
      <c r="I2943" s="70">
        <f>IF(B2943="","",IFERROR(A2943-LOOKUP(2,1/($B$4:$B2942=B2943),$A$4:$A2942),""))</f>
        <v/>
      </c>
      <c r="J2943" s="32">
        <f>IF(B2943="","",IFERROR(D2943/I2943,""))</f>
        <v/>
      </c>
      <c r="K2943" s="71">
        <f>IF(B2943="","",IFERROR(AVERAGEIFS($J$4:$J2943,$B$4:$B2943,B2943,$J$4:$J2943,"&gt;"&amp;0),""))</f>
        <v/>
      </c>
      <c r="L2943" s="11" t="n"/>
    </row>
    <row r="2944" ht="14" customHeight="1" s="72">
      <c r="A2944" s="83" t="n"/>
      <c r="B2944" s="81" t="n"/>
      <c r="C2944" s="69">
        <f>IF(B2944="","",IFERROR(INDEX(Client_List!$B:$B,MATCH(B2944,Client_List!$A:$A,0)),"⚠ NOT FOUND"))</f>
        <v/>
      </c>
      <c r="D2944" s="45" t="n"/>
      <c r="E2944" s="32">
        <f>IF(B2944="","",IFERROR(INDEX(Client_List!$C:$C,MATCH(VALUE(B2944),Client_List!$A:$A,0)),""))</f>
        <v/>
      </c>
      <c r="F2944" s="53">
        <f>IF(B2944="","",IFERROR(INDEX(Client_List!$D:$D,MATCH(VALUE(B2944),Client_List!$A:$A,0)),""))</f>
        <v/>
      </c>
      <c r="G2944" s="53">
        <f>IF(B2944="","",IFERROR(INDEX(Client_List!$K:$K,MATCH(VALUE(B2944),Client_List!$A:$A,0)),""))</f>
        <v/>
      </c>
      <c r="H2944" s="32">
        <f>IF(B2944="","",IFERROR(INDEX(Client_List!$J:$J,MATCH(VALUE(B2944),Client_List!$A:$A,0)),""))</f>
        <v/>
      </c>
      <c r="I2944" s="70">
        <f>IF(B2944="","",IFERROR(A2944-LOOKUP(2,1/($B$4:$B2943=B2944),$A$4:$A2943),""))</f>
        <v/>
      </c>
      <c r="J2944" s="32">
        <f>IF(B2944="","",IFERROR(D2944/I2944,""))</f>
        <v/>
      </c>
      <c r="K2944" s="71">
        <f>IF(B2944="","",IFERROR(AVERAGEIFS($J$4:$J2944,$B$4:$B2944,B2944,$J$4:$J2944,"&gt;"&amp;0),""))</f>
        <v/>
      </c>
      <c r="L2944" s="12" t="n"/>
    </row>
    <row r="2945" ht="14" customHeight="1" s="72">
      <c r="A2945" s="82" t="n"/>
      <c r="B2945" s="79" t="n"/>
      <c r="C2945" s="69">
        <f>IF(B2945="","",IFERROR(INDEX(Client_List!$B:$B,MATCH(B2945,Client_List!$A:$A,0)),"⚠ NOT FOUND"))</f>
        <v/>
      </c>
      <c r="D2945" s="44" t="n"/>
      <c r="E2945" s="32">
        <f>IF(B2945="","",IFERROR(INDEX(Client_List!$C:$C,MATCH(VALUE(B2945),Client_List!$A:$A,0)),""))</f>
        <v/>
      </c>
      <c r="F2945" s="53">
        <f>IF(B2945="","",IFERROR(INDEX(Client_List!$D:$D,MATCH(VALUE(B2945),Client_List!$A:$A,0)),""))</f>
        <v/>
      </c>
      <c r="G2945" s="53">
        <f>IF(B2945="","",IFERROR(INDEX(Client_List!$K:$K,MATCH(VALUE(B2945),Client_List!$A:$A,0)),""))</f>
        <v/>
      </c>
      <c r="H2945" s="32">
        <f>IF(B2945="","",IFERROR(INDEX(Client_List!$J:$J,MATCH(VALUE(B2945),Client_List!$A:$A,0)),""))</f>
        <v/>
      </c>
      <c r="I2945" s="70">
        <f>IF(B2945="","",IFERROR(A2945-LOOKUP(2,1/($B$4:$B2944=B2945),$A$4:$A2944),""))</f>
        <v/>
      </c>
      <c r="J2945" s="32">
        <f>IF(B2945="","",IFERROR(D2945/I2945,""))</f>
        <v/>
      </c>
      <c r="K2945" s="71">
        <f>IF(B2945="","",IFERROR(AVERAGEIFS($J$4:$J2945,$B$4:$B2945,B2945,$J$4:$J2945,"&gt;"&amp;0),""))</f>
        <v/>
      </c>
      <c r="L2945" s="11" t="n"/>
    </row>
    <row r="2946" ht="14" customHeight="1" s="72">
      <c r="A2946" s="83" t="n"/>
      <c r="B2946" s="81" t="n"/>
      <c r="C2946" s="69">
        <f>IF(B2946="","",IFERROR(INDEX(Client_List!$B:$B,MATCH(B2946,Client_List!$A:$A,0)),"⚠ NOT FOUND"))</f>
        <v/>
      </c>
      <c r="D2946" s="45" t="n"/>
      <c r="E2946" s="32">
        <f>IF(B2946="","",IFERROR(INDEX(Client_List!$C:$C,MATCH(VALUE(B2946),Client_List!$A:$A,0)),""))</f>
        <v/>
      </c>
      <c r="F2946" s="53">
        <f>IF(B2946="","",IFERROR(INDEX(Client_List!$D:$D,MATCH(VALUE(B2946),Client_List!$A:$A,0)),""))</f>
        <v/>
      </c>
      <c r="G2946" s="53">
        <f>IF(B2946="","",IFERROR(INDEX(Client_List!$K:$K,MATCH(VALUE(B2946),Client_List!$A:$A,0)),""))</f>
        <v/>
      </c>
      <c r="H2946" s="32">
        <f>IF(B2946="","",IFERROR(INDEX(Client_List!$J:$J,MATCH(VALUE(B2946),Client_List!$A:$A,0)),""))</f>
        <v/>
      </c>
      <c r="I2946" s="70">
        <f>IF(B2946="","",IFERROR(A2946-LOOKUP(2,1/($B$4:$B2945=B2946),$A$4:$A2945),""))</f>
        <v/>
      </c>
      <c r="J2946" s="32">
        <f>IF(B2946="","",IFERROR(D2946/I2946,""))</f>
        <v/>
      </c>
      <c r="K2946" s="71">
        <f>IF(B2946="","",IFERROR(AVERAGEIFS($J$4:$J2946,$B$4:$B2946,B2946,$J$4:$J2946,"&gt;"&amp;0),""))</f>
        <v/>
      </c>
      <c r="L2946" s="12" t="n"/>
    </row>
    <row r="2947" ht="14" customHeight="1" s="72">
      <c r="A2947" s="82" t="n"/>
      <c r="B2947" s="79" t="n"/>
      <c r="C2947" s="69">
        <f>IF(B2947="","",IFERROR(INDEX(Client_List!$B:$B,MATCH(B2947,Client_List!$A:$A,0)),"⚠ NOT FOUND"))</f>
        <v/>
      </c>
      <c r="D2947" s="44" t="n"/>
      <c r="E2947" s="32">
        <f>IF(B2947="","",IFERROR(INDEX(Client_List!$C:$C,MATCH(VALUE(B2947),Client_List!$A:$A,0)),""))</f>
        <v/>
      </c>
      <c r="F2947" s="53">
        <f>IF(B2947="","",IFERROR(INDEX(Client_List!$D:$D,MATCH(VALUE(B2947),Client_List!$A:$A,0)),""))</f>
        <v/>
      </c>
      <c r="G2947" s="53">
        <f>IF(B2947="","",IFERROR(INDEX(Client_List!$K:$K,MATCH(VALUE(B2947),Client_List!$A:$A,0)),""))</f>
        <v/>
      </c>
      <c r="H2947" s="32">
        <f>IF(B2947="","",IFERROR(INDEX(Client_List!$J:$J,MATCH(VALUE(B2947),Client_List!$A:$A,0)),""))</f>
        <v/>
      </c>
      <c r="I2947" s="70">
        <f>IF(B2947="","",IFERROR(A2947-LOOKUP(2,1/($B$4:$B2946=B2947),$A$4:$A2946),""))</f>
        <v/>
      </c>
      <c r="J2947" s="32">
        <f>IF(B2947="","",IFERROR(D2947/I2947,""))</f>
        <v/>
      </c>
      <c r="K2947" s="71">
        <f>IF(B2947="","",IFERROR(AVERAGEIFS($J$4:$J2947,$B$4:$B2947,B2947,$J$4:$J2947,"&gt;"&amp;0),""))</f>
        <v/>
      </c>
      <c r="L2947" s="11" t="n"/>
    </row>
    <row r="2948" ht="14" customHeight="1" s="72">
      <c r="A2948" s="83" t="n"/>
      <c r="B2948" s="81" t="n"/>
      <c r="C2948" s="69">
        <f>IF(B2948="","",IFERROR(INDEX(Client_List!$B:$B,MATCH(B2948,Client_List!$A:$A,0)),"⚠ NOT FOUND"))</f>
        <v/>
      </c>
      <c r="D2948" s="45" t="n"/>
      <c r="E2948" s="32">
        <f>IF(B2948="","",IFERROR(INDEX(Client_List!$C:$C,MATCH(VALUE(B2948),Client_List!$A:$A,0)),""))</f>
        <v/>
      </c>
      <c r="F2948" s="53">
        <f>IF(B2948="","",IFERROR(INDEX(Client_List!$D:$D,MATCH(VALUE(B2948),Client_List!$A:$A,0)),""))</f>
        <v/>
      </c>
      <c r="G2948" s="53">
        <f>IF(B2948="","",IFERROR(INDEX(Client_List!$K:$K,MATCH(VALUE(B2948),Client_List!$A:$A,0)),""))</f>
        <v/>
      </c>
      <c r="H2948" s="32">
        <f>IF(B2948="","",IFERROR(INDEX(Client_List!$J:$J,MATCH(VALUE(B2948),Client_List!$A:$A,0)),""))</f>
        <v/>
      </c>
      <c r="I2948" s="70">
        <f>IF(B2948="","",IFERROR(A2948-LOOKUP(2,1/($B$4:$B2947=B2948),$A$4:$A2947),""))</f>
        <v/>
      </c>
      <c r="J2948" s="32">
        <f>IF(B2948="","",IFERROR(D2948/I2948,""))</f>
        <v/>
      </c>
      <c r="K2948" s="71">
        <f>IF(B2948="","",IFERROR(AVERAGEIFS($J$4:$J2948,$B$4:$B2948,B2948,$J$4:$J2948,"&gt;"&amp;0),""))</f>
        <v/>
      </c>
      <c r="L2948" s="12" t="n"/>
    </row>
    <row r="2949" ht="14" customHeight="1" s="72">
      <c r="A2949" s="82" t="n"/>
      <c r="B2949" s="79" t="n"/>
      <c r="C2949" s="69">
        <f>IF(B2949="","",IFERROR(INDEX(Client_List!$B:$B,MATCH(B2949,Client_List!$A:$A,0)),"⚠ NOT FOUND"))</f>
        <v/>
      </c>
      <c r="D2949" s="44" t="n"/>
      <c r="E2949" s="32">
        <f>IF(B2949="","",IFERROR(INDEX(Client_List!$C:$C,MATCH(VALUE(B2949),Client_List!$A:$A,0)),""))</f>
        <v/>
      </c>
      <c r="F2949" s="53">
        <f>IF(B2949="","",IFERROR(INDEX(Client_List!$D:$D,MATCH(VALUE(B2949),Client_List!$A:$A,0)),""))</f>
        <v/>
      </c>
      <c r="G2949" s="53">
        <f>IF(B2949="","",IFERROR(INDEX(Client_List!$K:$K,MATCH(VALUE(B2949),Client_List!$A:$A,0)),""))</f>
        <v/>
      </c>
      <c r="H2949" s="32">
        <f>IF(B2949="","",IFERROR(INDEX(Client_List!$J:$J,MATCH(VALUE(B2949),Client_List!$A:$A,0)),""))</f>
        <v/>
      </c>
      <c r="I2949" s="70">
        <f>IF(B2949="","",IFERROR(A2949-LOOKUP(2,1/($B$4:$B2948=B2949),$A$4:$A2948),""))</f>
        <v/>
      </c>
      <c r="J2949" s="32">
        <f>IF(B2949="","",IFERROR(D2949/I2949,""))</f>
        <v/>
      </c>
      <c r="K2949" s="71">
        <f>IF(B2949="","",IFERROR(AVERAGEIFS($J$4:$J2949,$B$4:$B2949,B2949,$J$4:$J2949,"&gt;"&amp;0),""))</f>
        <v/>
      </c>
      <c r="L2949" s="11" t="n"/>
    </row>
    <row r="2950" ht="14" customHeight="1" s="72">
      <c r="A2950" s="83" t="n"/>
      <c r="B2950" s="81" t="n"/>
      <c r="C2950" s="69">
        <f>IF(B2950="","",IFERROR(INDEX(Client_List!$B:$B,MATCH(B2950,Client_List!$A:$A,0)),"⚠ NOT FOUND"))</f>
        <v/>
      </c>
      <c r="D2950" s="45" t="n"/>
      <c r="E2950" s="32">
        <f>IF(B2950="","",IFERROR(INDEX(Client_List!$C:$C,MATCH(VALUE(B2950),Client_List!$A:$A,0)),""))</f>
        <v/>
      </c>
      <c r="F2950" s="53">
        <f>IF(B2950="","",IFERROR(INDEX(Client_List!$D:$D,MATCH(VALUE(B2950),Client_List!$A:$A,0)),""))</f>
        <v/>
      </c>
      <c r="G2950" s="53">
        <f>IF(B2950="","",IFERROR(INDEX(Client_List!$K:$K,MATCH(VALUE(B2950),Client_List!$A:$A,0)),""))</f>
        <v/>
      </c>
      <c r="H2950" s="32">
        <f>IF(B2950="","",IFERROR(INDEX(Client_List!$J:$J,MATCH(VALUE(B2950),Client_List!$A:$A,0)),""))</f>
        <v/>
      </c>
      <c r="I2950" s="70">
        <f>IF(B2950="","",IFERROR(A2950-LOOKUP(2,1/($B$4:$B2949=B2950),$A$4:$A2949),""))</f>
        <v/>
      </c>
      <c r="J2950" s="32">
        <f>IF(B2950="","",IFERROR(D2950/I2950,""))</f>
        <v/>
      </c>
      <c r="K2950" s="71">
        <f>IF(B2950="","",IFERROR(AVERAGEIFS($J$4:$J2950,$B$4:$B2950,B2950,$J$4:$J2950,"&gt;"&amp;0),""))</f>
        <v/>
      </c>
      <c r="L2950" s="12" t="n"/>
    </row>
    <row r="2951" ht="14" customHeight="1" s="72">
      <c r="A2951" s="82" t="n"/>
      <c r="B2951" s="79" t="n"/>
      <c r="C2951" s="69">
        <f>IF(B2951="","",IFERROR(INDEX(Client_List!$B:$B,MATCH(B2951,Client_List!$A:$A,0)),"⚠ NOT FOUND"))</f>
        <v/>
      </c>
      <c r="D2951" s="44" t="n"/>
      <c r="E2951" s="32">
        <f>IF(B2951="","",IFERROR(INDEX(Client_List!$C:$C,MATCH(VALUE(B2951),Client_List!$A:$A,0)),""))</f>
        <v/>
      </c>
      <c r="F2951" s="53">
        <f>IF(B2951="","",IFERROR(INDEX(Client_List!$D:$D,MATCH(VALUE(B2951),Client_List!$A:$A,0)),""))</f>
        <v/>
      </c>
      <c r="G2951" s="53">
        <f>IF(B2951="","",IFERROR(INDEX(Client_List!$K:$K,MATCH(VALUE(B2951),Client_List!$A:$A,0)),""))</f>
        <v/>
      </c>
      <c r="H2951" s="32">
        <f>IF(B2951="","",IFERROR(INDEX(Client_List!$J:$J,MATCH(VALUE(B2951),Client_List!$A:$A,0)),""))</f>
        <v/>
      </c>
      <c r="I2951" s="70">
        <f>IF(B2951="","",IFERROR(A2951-LOOKUP(2,1/($B$4:$B2950=B2951),$A$4:$A2950),""))</f>
        <v/>
      </c>
      <c r="J2951" s="32">
        <f>IF(B2951="","",IFERROR(D2951/I2951,""))</f>
        <v/>
      </c>
      <c r="K2951" s="71">
        <f>IF(B2951="","",IFERROR(AVERAGEIFS($J$4:$J2951,$B$4:$B2951,B2951,$J$4:$J2951,"&gt;"&amp;0),""))</f>
        <v/>
      </c>
      <c r="L2951" s="11" t="n"/>
    </row>
    <row r="2952" ht="14" customHeight="1" s="72">
      <c r="A2952" s="83" t="n"/>
      <c r="B2952" s="81" t="n"/>
      <c r="C2952" s="69">
        <f>IF(B2952="","",IFERROR(INDEX(Client_List!$B:$B,MATCH(B2952,Client_List!$A:$A,0)),"⚠ NOT FOUND"))</f>
        <v/>
      </c>
      <c r="D2952" s="45" t="n"/>
      <c r="E2952" s="32">
        <f>IF(B2952="","",IFERROR(INDEX(Client_List!$C:$C,MATCH(VALUE(B2952),Client_List!$A:$A,0)),""))</f>
        <v/>
      </c>
      <c r="F2952" s="53">
        <f>IF(B2952="","",IFERROR(INDEX(Client_List!$D:$D,MATCH(VALUE(B2952),Client_List!$A:$A,0)),""))</f>
        <v/>
      </c>
      <c r="G2952" s="53">
        <f>IF(B2952="","",IFERROR(INDEX(Client_List!$K:$K,MATCH(VALUE(B2952),Client_List!$A:$A,0)),""))</f>
        <v/>
      </c>
      <c r="H2952" s="32">
        <f>IF(B2952="","",IFERROR(INDEX(Client_List!$J:$J,MATCH(VALUE(B2952),Client_List!$A:$A,0)),""))</f>
        <v/>
      </c>
      <c r="I2952" s="70">
        <f>IF(B2952="","",IFERROR(A2952-LOOKUP(2,1/($B$4:$B2951=B2952),$A$4:$A2951),""))</f>
        <v/>
      </c>
      <c r="J2952" s="32">
        <f>IF(B2952="","",IFERROR(D2952/I2952,""))</f>
        <v/>
      </c>
      <c r="K2952" s="71">
        <f>IF(B2952="","",IFERROR(AVERAGEIFS($J$4:$J2952,$B$4:$B2952,B2952,$J$4:$J2952,"&gt;"&amp;0),""))</f>
        <v/>
      </c>
      <c r="L2952" s="12" t="n"/>
    </row>
    <row r="2953" ht="14" customHeight="1" s="72">
      <c r="A2953" s="82" t="n"/>
      <c r="B2953" s="79" t="n"/>
      <c r="C2953" s="69">
        <f>IF(B2953="","",IFERROR(INDEX(Client_List!$B:$B,MATCH(B2953,Client_List!$A:$A,0)),"⚠ NOT FOUND"))</f>
        <v/>
      </c>
      <c r="D2953" s="44" t="n"/>
      <c r="E2953" s="32">
        <f>IF(B2953="","",IFERROR(INDEX(Client_List!$C:$C,MATCH(VALUE(B2953),Client_List!$A:$A,0)),""))</f>
        <v/>
      </c>
      <c r="F2953" s="53">
        <f>IF(B2953="","",IFERROR(INDEX(Client_List!$D:$D,MATCH(VALUE(B2953),Client_List!$A:$A,0)),""))</f>
        <v/>
      </c>
      <c r="G2953" s="53">
        <f>IF(B2953="","",IFERROR(INDEX(Client_List!$K:$K,MATCH(VALUE(B2953),Client_List!$A:$A,0)),""))</f>
        <v/>
      </c>
      <c r="H2953" s="32">
        <f>IF(B2953="","",IFERROR(INDEX(Client_List!$J:$J,MATCH(VALUE(B2953),Client_List!$A:$A,0)),""))</f>
        <v/>
      </c>
      <c r="I2953" s="70">
        <f>IF(B2953="","",IFERROR(A2953-LOOKUP(2,1/($B$4:$B2952=B2953),$A$4:$A2952),""))</f>
        <v/>
      </c>
      <c r="J2953" s="32">
        <f>IF(B2953="","",IFERROR(D2953/I2953,""))</f>
        <v/>
      </c>
      <c r="K2953" s="71">
        <f>IF(B2953="","",IFERROR(AVERAGEIFS($J$4:$J2953,$B$4:$B2953,B2953,$J$4:$J2953,"&gt;"&amp;0),""))</f>
        <v/>
      </c>
      <c r="L2953" s="11" t="n"/>
    </row>
    <row r="2954" ht="14" customHeight="1" s="72">
      <c r="A2954" s="83" t="n"/>
      <c r="B2954" s="81" t="n"/>
      <c r="C2954" s="69">
        <f>IF(B2954="","",IFERROR(INDEX(Client_List!$B:$B,MATCH(B2954,Client_List!$A:$A,0)),"⚠ NOT FOUND"))</f>
        <v/>
      </c>
      <c r="D2954" s="45" t="n"/>
      <c r="E2954" s="32">
        <f>IF(B2954="","",IFERROR(INDEX(Client_List!$C:$C,MATCH(VALUE(B2954),Client_List!$A:$A,0)),""))</f>
        <v/>
      </c>
      <c r="F2954" s="53">
        <f>IF(B2954="","",IFERROR(INDEX(Client_List!$D:$D,MATCH(VALUE(B2954),Client_List!$A:$A,0)),""))</f>
        <v/>
      </c>
      <c r="G2954" s="53">
        <f>IF(B2954="","",IFERROR(INDEX(Client_List!$K:$K,MATCH(VALUE(B2954),Client_List!$A:$A,0)),""))</f>
        <v/>
      </c>
      <c r="H2954" s="32">
        <f>IF(B2954="","",IFERROR(INDEX(Client_List!$J:$J,MATCH(VALUE(B2954),Client_List!$A:$A,0)),""))</f>
        <v/>
      </c>
      <c r="I2954" s="70">
        <f>IF(B2954="","",IFERROR(A2954-LOOKUP(2,1/($B$4:$B2953=B2954),$A$4:$A2953),""))</f>
        <v/>
      </c>
      <c r="J2954" s="32">
        <f>IF(B2954="","",IFERROR(D2954/I2954,""))</f>
        <v/>
      </c>
      <c r="K2954" s="71">
        <f>IF(B2954="","",IFERROR(AVERAGEIFS($J$4:$J2954,$B$4:$B2954,B2954,$J$4:$J2954,"&gt;"&amp;0),""))</f>
        <v/>
      </c>
      <c r="L2954" s="12" t="n"/>
    </row>
    <row r="2955" ht="14" customHeight="1" s="72">
      <c r="A2955" s="82" t="n"/>
      <c r="B2955" s="79" t="n"/>
      <c r="C2955" s="69">
        <f>IF(B2955="","",IFERROR(INDEX(Client_List!$B:$B,MATCH(B2955,Client_List!$A:$A,0)),"⚠ NOT FOUND"))</f>
        <v/>
      </c>
      <c r="D2955" s="44" t="n"/>
      <c r="E2955" s="32">
        <f>IF(B2955="","",IFERROR(INDEX(Client_List!$C:$C,MATCH(VALUE(B2955),Client_List!$A:$A,0)),""))</f>
        <v/>
      </c>
      <c r="F2955" s="53">
        <f>IF(B2955="","",IFERROR(INDEX(Client_List!$D:$D,MATCH(VALUE(B2955),Client_List!$A:$A,0)),""))</f>
        <v/>
      </c>
      <c r="G2955" s="53">
        <f>IF(B2955="","",IFERROR(INDEX(Client_List!$K:$K,MATCH(VALUE(B2955),Client_List!$A:$A,0)),""))</f>
        <v/>
      </c>
      <c r="H2955" s="32">
        <f>IF(B2955="","",IFERROR(INDEX(Client_List!$J:$J,MATCH(VALUE(B2955),Client_List!$A:$A,0)),""))</f>
        <v/>
      </c>
      <c r="I2955" s="70">
        <f>IF(B2955="","",IFERROR(A2955-LOOKUP(2,1/($B$4:$B2954=B2955),$A$4:$A2954),""))</f>
        <v/>
      </c>
      <c r="J2955" s="32">
        <f>IF(B2955="","",IFERROR(D2955/I2955,""))</f>
        <v/>
      </c>
      <c r="K2955" s="71">
        <f>IF(B2955="","",IFERROR(AVERAGEIFS($J$4:$J2955,$B$4:$B2955,B2955,$J$4:$J2955,"&gt;"&amp;0),""))</f>
        <v/>
      </c>
      <c r="L2955" s="11" t="n"/>
    </row>
    <row r="2956" ht="14" customHeight="1" s="72">
      <c r="A2956" s="83" t="n"/>
      <c r="B2956" s="81" t="n"/>
      <c r="C2956" s="69">
        <f>IF(B2956="","",IFERROR(INDEX(Client_List!$B:$B,MATCH(B2956,Client_List!$A:$A,0)),"⚠ NOT FOUND"))</f>
        <v/>
      </c>
      <c r="D2956" s="45" t="n"/>
      <c r="E2956" s="32">
        <f>IF(B2956="","",IFERROR(INDEX(Client_List!$C:$C,MATCH(VALUE(B2956),Client_List!$A:$A,0)),""))</f>
        <v/>
      </c>
      <c r="F2956" s="53">
        <f>IF(B2956="","",IFERROR(INDEX(Client_List!$D:$D,MATCH(VALUE(B2956),Client_List!$A:$A,0)),""))</f>
        <v/>
      </c>
      <c r="G2956" s="53">
        <f>IF(B2956="","",IFERROR(INDEX(Client_List!$K:$K,MATCH(VALUE(B2956),Client_List!$A:$A,0)),""))</f>
        <v/>
      </c>
      <c r="H2956" s="32">
        <f>IF(B2956="","",IFERROR(INDEX(Client_List!$J:$J,MATCH(VALUE(B2956),Client_List!$A:$A,0)),""))</f>
        <v/>
      </c>
      <c r="I2956" s="70">
        <f>IF(B2956="","",IFERROR(A2956-LOOKUP(2,1/($B$4:$B2955=B2956),$A$4:$A2955),""))</f>
        <v/>
      </c>
      <c r="J2956" s="32">
        <f>IF(B2956="","",IFERROR(D2956/I2956,""))</f>
        <v/>
      </c>
      <c r="K2956" s="71">
        <f>IF(B2956="","",IFERROR(AVERAGEIFS($J$4:$J2956,$B$4:$B2956,B2956,$J$4:$J2956,"&gt;"&amp;0),""))</f>
        <v/>
      </c>
      <c r="L2956" s="12" t="n"/>
    </row>
    <row r="2957" ht="14" customHeight="1" s="72">
      <c r="A2957" s="82" t="n"/>
      <c r="B2957" s="79" t="n"/>
      <c r="C2957" s="69">
        <f>IF(B2957="","",IFERROR(INDEX(Client_List!$B:$B,MATCH(B2957,Client_List!$A:$A,0)),"⚠ NOT FOUND"))</f>
        <v/>
      </c>
      <c r="D2957" s="44" t="n"/>
      <c r="E2957" s="32">
        <f>IF(B2957="","",IFERROR(INDEX(Client_List!$C:$C,MATCH(VALUE(B2957),Client_List!$A:$A,0)),""))</f>
        <v/>
      </c>
      <c r="F2957" s="53">
        <f>IF(B2957="","",IFERROR(INDEX(Client_List!$D:$D,MATCH(VALUE(B2957),Client_List!$A:$A,0)),""))</f>
        <v/>
      </c>
      <c r="G2957" s="53">
        <f>IF(B2957="","",IFERROR(INDEX(Client_List!$K:$K,MATCH(VALUE(B2957),Client_List!$A:$A,0)),""))</f>
        <v/>
      </c>
      <c r="H2957" s="32">
        <f>IF(B2957="","",IFERROR(INDEX(Client_List!$J:$J,MATCH(VALUE(B2957),Client_List!$A:$A,0)),""))</f>
        <v/>
      </c>
      <c r="I2957" s="70">
        <f>IF(B2957="","",IFERROR(A2957-LOOKUP(2,1/($B$4:$B2956=B2957),$A$4:$A2956),""))</f>
        <v/>
      </c>
      <c r="J2957" s="32">
        <f>IF(B2957="","",IFERROR(D2957/I2957,""))</f>
        <v/>
      </c>
      <c r="K2957" s="71">
        <f>IF(B2957="","",IFERROR(AVERAGEIFS($J$4:$J2957,$B$4:$B2957,B2957,$J$4:$J2957,"&gt;"&amp;0),""))</f>
        <v/>
      </c>
      <c r="L2957" s="11" t="n"/>
    </row>
    <row r="2958" ht="14" customHeight="1" s="72">
      <c r="A2958" s="83" t="n"/>
      <c r="B2958" s="81" t="n"/>
      <c r="C2958" s="69">
        <f>IF(B2958="","",IFERROR(INDEX(Client_List!$B:$B,MATCH(B2958,Client_List!$A:$A,0)),"⚠ NOT FOUND"))</f>
        <v/>
      </c>
      <c r="D2958" s="45" t="n"/>
      <c r="E2958" s="32">
        <f>IF(B2958="","",IFERROR(INDEX(Client_List!$C:$C,MATCH(VALUE(B2958),Client_List!$A:$A,0)),""))</f>
        <v/>
      </c>
      <c r="F2958" s="53">
        <f>IF(B2958="","",IFERROR(INDEX(Client_List!$D:$D,MATCH(VALUE(B2958),Client_List!$A:$A,0)),""))</f>
        <v/>
      </c>
      <c r="G2958" s="53">
        <f>IF(B2958="","",IFERROR(INDEX(Client_List!$K:$K,MATCH(VALUE(B2958),Client_List!$A:$A,0)),""))</f>
        <v/>
      </c>
      <c r="H2958" s="32">
        <f>IF(B2958="","",IFERROR(INDEX(Client_List!$J:$J,MATCH(VALUE(B2958),Client_List!$A:$A,0)),""))</f>
        <v/>
      </c>
      <c r="I2958" s="70">
        <f>IF(B2958="","",IFERROR(A2958-LOOKUP(2,1/($B$4:$B2957=B2958),$A$4:$A2957),""))</f>
        <v/>
      </c>
      <c r="J2958" s="32">
        <f>IF(B2958="","",IFERROR(D2958/I2958,""))</f>
        <v/>
      </c>
      <c r="K2958" s="71">
        <f>IF(B2958="","",IFERROR(AVERAGEIFS($J$4:$J2958,$B$4:$B2958,B2958,$J$4:$J2958,"&gt;"&amp;0),""))</f>
        <v/>
      </c>
      <c r="L2958" s="12" t="n"/>
    </row>
    <row r="2959" ht="14" customHeight="1" s="72">
      <c r="A2959" s="82" t="n"/>
      <c r="B2959" s="79" t="n"/>
      <c r="C2959" s="69">
        <f>IF(B2959="","",IFERROR(INDEX(Client_List!$B:$B,MATCH(B2959,Client_List!$A:$A,0)),"⚠ NOT FOUND"))</f>
        <v/>
      </c>
      <c r="D2959" s="44" t="n"/>
      <c r="E2959" s="32">
        <f>IF(B2959="","",IFERROR(INDEX(Client_List!$C:$C,MATCH(VALUE(B2959),Client_List!$A:$A,0)),""))</f>
        <v/>
      </c>
      <c r="F2959" s="53">
        <f>IF(B2959="","",IFERROR(INDEX(Client_List!$D:$D,MATCH(VALUE(B2959),Client_List!$A:$A,0)),""))</f>
        <v/>
      </c>
      <c r="G2959" s="53">
        <f>IF(B2959="","",IFERROR(INDEX(Client_List!$K:$K,MATCH(VALUE(B2959),Client_List!$A:$A,0)),""))</f>
        <v/>
      </c>
      <c r="H2959" s="32">
        <f>IF(B2959="","",IFERROR(INDEX(Client_List!$J:$J,MATCH(VALUE(B2959),Client_List!$A:$A,0)),""))</f>
        <v/>
      </c>
      <c r="I2959" s="70">
        <f>IF(B2959="","",IFERROR(A2959-LOOKUP(2,1/($B$4:$B2958=B2959),$A$4:$A2958),""))</f>
        <v/>
      </c>
      <c r="J2959" s="32">
        <f>IF(B2959="","",IFERROR(D2959/I2959,""))</f>
        <v/>
      </c>
      <c r="K2959" s="71">
        <f>IF(B2959="","",IFERROR(AVERAGEIFS($J$4:$J2959,$B$4:$B2959,B2959,$J$4:$J2959,"&gt;"&amp;0),""))</f>
        <v/>
      </c>
      <c r="L2959" s="11" t="n"/>
    </row>
    <row r="2960" ht="14" customHeight="1" s="72">
      <c r="A2960" s="83" t="n"/>
      <c r="B2960" s="81" t="n"/>
      <c r="C2960" s="69">
        <f>IF(B2960="","",IFERROR(INDEX(Client_List!$B:$B,MATCH(B2960,Client_List!$A:$A,0)),"⚠ NOT FOUND"))</f>
        <v/>
      </c>
      <c r="D2960" s="45" t="n"/>
      <c r="E2960" s="32">
        <f>IF(B2960="","",IFERROR(INDEX(Client_List!$C:$C,MATCH(VALUE(B2960),Client_List!$A:$A,0)),""))</f>
        <v/>
      </c>
      <c r="F2960" s="53">
        <f>IF(B2960="","",IFERROR(INDEX(Client_List!$D:$D,MATCH(VALUE(B2960),Client_List!$A:$A,0)),""))</f>
        <v/>
      </c>
      <c r="G2960" s="53">
        <f>IF(B2960="","",IFERROR(INDEX(Client_List!$K:$K,MATCH(VALUE(B2960),Client_List!$A:$A,0)),""))</f>
        <v/>
      </c>
      <c r="H2960" s="32">
        <f>IF(B2960="","",IFERROR(INDEX(Client_List!$J:$J,MATCH(VALUE(B2960),Client_List!$A:$A,0)),""))</f>
        <v/>
      </c>
      <c r="I2960" s="70">
        <f>IF(B2960="","",IFERROR(A2960-LOOKUP(2,1/($B$4:$B2959=B2960),$A$4:$A2959),""))</f>
        <v/>
      </c>
      <c r="J2960" s="32">
        <f>IF(B2960="","",IFERROR(D2960/I2960,""))</f>
        <v/>
      </c>
      <c r="K2960" s="71">
        <f>IF(B2960="","",IFERROR(AVERAGEIFS($J$4:$J2960,$B$4:$B2960,B2960,$J$4:$J2960,"&gt;"&amp;0),""))</f>
        <v/>
      </c>
      <c r="L2960" s="12" t="n"/>
    </row>
    <row r="2961" ht="14" customHeight="1" s="72">
      <c r="A2961" s="82" t="n"/>
      <c r="B2961" s="79" t="n"/>
      <c r="C2961" s="69">
        <f>IF(B2961="","",IFERROR(INDEX(Client_List!$B:$B,MATCH(B2961,Client_List!$A:$A,0)),"⚠ NOT FOUND"))</f>
        <v/>
      </c>
      <c r="D2961" s="44" t="n"/>
      <c r="E2961" s="32">
        <f>IF(B2961="","",IFERROR(INDEX(Client_List!$C:$C,MATCH(VALUE(B2961),Client_List!$A:$A,0)),""))</f>
        <v/>
      </c>
      <c r="F2961" s="53">
        <f>IF(B2961="","",IFERROR(INDEX(Client_List!$D:$D,MATCH(VALUE(B2961),Client_List!$A:$A,0)),""))</f>
        <v/>
      </c>
      <c r="G2961" s="53">
        <f>IF(B2961="","",IFERROR(INDEX(Client_List!$K:$K,MATCH(VALUE(B2961),Client_List!$A:$A,0)),""))</f>
        <v/>
      </c>
      <c r="H2961" s="32">
        <f>IF(B2961="","",IFERROR(INDEX(Client_List!$J:$J,MATCH(VALUE(B2961),Client_List!$A:$A,0)),""))</f>
        <v/>
      </c>
      <c r="I2961" s="70">
        <f>IF(B2961="","",IFERROR(A2961-LOOKUP(2,1/($B$4:$B2960=B2961),$A$4:$A2960),""))</f>
        <v/>
      </c>
      <c r="J2961" s="32">
        <f>IF(B2961="","",IFERROR(D2961/I2961,""))</f>
        <v/>
      </c>
      <c r="K2961" s="71">
        <f>IF(B2961="","",IFERROR(AVERAGEIFS($J$4:$J2961,$B$4:$B2961,B2961,$J$4:$J2961,"&gt;"&amp;0),""))</f>
        <v/>
      </c>
      <c r="L2961" s="11" t="n"/>
    </row>
    <row r="2962" ht="14" customHeight="1" s="72">
      <c r="A2962" s="83" t="n"/>
      <c r="B2962" s="81" t="n"/>
      <c r="C2962" s="69">
        <f>IF(B2962="","",IFERROR(INDEX(Client_List!$B:$B,MATCH(B2962,Client_List!$A:$A,0)),"⚠ NOT FOUND"))</f>
        <v/>
      </c>
      <c r="D2962" s="45" t="n"/>
      <c r="E2962" s="32">
        <f>IF(B2962="","",IFERROR(INDEX(Client_List!$C:$C,MATCH(VALUE(B2962),Client_List!$A:$A,0)),""))</f>
        <v/>
      </c>
      <c r="F2962" s="53">
        <f>IF(B2962="","",IFERROR(INDEX(Client_List!$D:$D,MATCH(VALUE(B2962),Client_List!$A:$A,0)),""))</f>
        <v/>
      </c>
      <c r="G2962" s="53">
        <f>IF(B2962="","",IFERROR(INDEX(Client_List!$K:$K,MATCH(VALUE(B2962),Client_List!$A:$A,0)),""))</f>
        <v/>
      </c>
      <c r="H2962" s="32">
        <f>IF(B2962="","",IFERROR(INDEX(Client_List!$J:$J,MATCH(VALUE(B2962),Client_List!$A:$A,0)),""))</f>
        <v/>
      </c>
      <c r="I2962" s="70">
        <f>IF(B2962="","",IFERROR(A2962-LOOKUP(2,1/($B$4:$B2961=B2962),$A$4:$A2961),""))</f>
        <v/>
      </c>
      <c r="J2962" s="32">
        <f>IF(B2962="","",IFERROR(D2962/I2962,""))</f>
        <v/>
      </c>
      <c r="K2962" s="71">
        <f>IF(B2962="","",IFERROR(AVERAGEIFS($J$4:$J2962,$B$4:$B2962,B2962,$J$4:$J2962,"&gt;"&amp;0),""))</f>
        <v/>
      </c>
      <c r="L2962" s="12" t="n"/>
    </row>
    <row r="2963" ht="14" customHeight="1" s="72">
      <c r="A2963" s="82" t="n"/>
      <c r="B2963" s="79" t="n"/>
      <c r="C2963" s="69">
        <f>IF(B2963="","",IFERROR(INDEX(Client_List!$B:$B,MATCH(B2963,Client_List!$A:$A,0)),"⚠ NOT FOUND"))</f>
        <v/>
      </c>
      <c r="D2963" s="44" t="n"/>
      <c r="E2963" s="32">
        <f>IF(B2963="","",IFERROR(INDEX(Client_List!$C:$C,MATCH(VALUE(B2963),Client_List!$A:$A,0)),""))</f>
        <v/>
      </c>
      <c r="F2963" s="53">
        <f>IF(B2963="","",IFERROR(INDEX(Client_List!$D:$D,MATCH(VALUE(B2963),Client_List!$A:$A,0)),""))</f>
        <v/>
      </c>
      <c r="G2963" s="53">
        <f>IF(B2963="","",IFERROR(INDEX(Client_List!$K:$K,MATCH(VALUE(B2963),Client_List!$A:$A,0)),""))</f>
        <v/>
      </c>
      <c r="H2963" s="32">
        <f>IF(B2963="","",IFERROR(INDEX(Client_List!$J:$J,MATCH(VALUE(B2963),Client_List!$A:$A,0)),""))</f>
        <v/>
      </c>
      <c r="I2963" s="70">
        <f>IF(B2963="","",IFERROR(A2963-LOOKUP(2,1/($B$4:$B2962=B2963),$A$4:$A2962),""))</f>
        <v/>
      </c>
      <c r="J2963" s="32">
        <f>IF(B2963="","",IFERROR(D2963/I2963,""))</f>
        <v/>
      </c>
      <c r="K2963" s="71">
        <f>IF(B2963="","",IFERROR(AVERAGEIFS($J$4:$J2963,$B$4:$B2963,B2963,$J$4:$J2963,"&gt;"&amp;0),""))</f>
        <v/>
      </c>
      <c r="L2963" s="11" t="n"/>
    </row>
    <row r="2964" ht="14" customHeight="1" s="72">
      <c r="A2964" s="83" t="n"/>
      <c r="B2964" s="81" t="n"/>
      <c r="C2964" s="69">
        <f>IF(B2964="","",IFERROR(INDEX(Client_List!$B:$B,MATCH(B2964,Client_List!$A:$A,0)),"⚠ NOT FOUND"))</f>
        <v/>
      </c>
      <c r="D2964" s="45" t="n"/>
      <c r="E2964" s="32">
        <f>IF(B2964="","",IFERROR(INDEX(Client_List!$C:$C,MATCH(VALUE(B2964),Client_List!$A:$A,0)),""))</f>
        <v/>
      </c>
      <c r="F2964" s="53">
        <f>IF(B2964="","",IFERROR(INDEX(Client_List!$D:$D,MATCH(VALUE(B2964),Client_List!$A:$A,0)),""))</f>
        <v/>
      </c>
      <c r="G2964" s="53">
        <f>IF(B2964="","",IFERROR(INDEX(Client_List!$K:$K,MATCH(VALUE(B2964),Client_List!$A:$A,0)),""))</f>
        <v/>
      </c>
      <c r="H2964" s="32">
        <f>IF(B2964="","",IFERROR(INDEX(Client_List!$J:$J,MATCH(VALUE(B2964),Client_List!$A:$A,0)),""))</f>
        <v/>
      </c>
      <c r="I2964" s="70">
        <f>IF(B2964="","",IFERROR(A2964-LOOKUP(2,1/($B$4:$B2963=B2964),$A$4:$A2963),""))</f>
        <v/>
      </c>
      <c r="J2964" s="32">
        <f>IF(B2964="","",IFERROR(D2964/I2964,""))</f>
        <v/>
      </c>
      <c r="K2964" s="71">
        <f>IF(B2964="","",IFERROR(AVERAGEIFS($J$4:$J2964,$B$4:$B2964,B2964,$J$4:$J2964,"&gt;"&amp;0),""))</f>
        <v/>
      </c>
      <c r="L2964" s="12" t="n"/>
    </row>
    <row r="2965" ht="14" customHeight="1" s="72">
      <c r="A2965" s="82" t="n"/>
      <c r="B2965" s="79" t="n"/>
      <c r="C2965" s="69">
        <f>IF(B2965="","",IFERROR(INDEX(Client_List!$B:$B,MATCH(B2965,Client_List!$A:$A,0)),"⚠ NOT FOUND"))</f>
        <v/>
      </c>
      <c r="D2965" s="44" t="n"/>
      <c r="E2965" s="32">
        <f>IF(B2965="","",IFERROR(INDEX(Client_List!$C:$C,MATCH(VALUE(B2965),Client_List!$A:$A,0)),""))</f>
        <v/>
      </c>
      <c r="F2965" s="53">
        <f>IF(B2965="","",IFERROR(INDEX(Client_List!$D:$D,MATCH(VALUE(B2965),Client_List!$A:$A,0)),""))</f>
        <v/>
      </c>
      <c r="G2965" s="53">
        <f>IF(B2965="","",IFERROR(INDEX(Client_List!$K:$K,MATCH(VALUE(B2965),Client_List!$A:$A,0)),""))</f>
        <v/>
      </c>
      <c r="H2965" s="32">
        <f>IF(B2965="","",IFERROR(INDEX(Client_List!$J:$J,MATCH(VALUE(B2965),Client_List!$A:$A,0)),""))</f>
        <v/>
      </c>
      <c r="I2965" s="70">
        <f>IF(B2965="","",IFERROR(A2965-LOOKUP(2,1/($B$4:$B2964=B2965),$A$4:$A2964),""))</f>
        <v/>
      </c>
      <c r="J2965" s="32">
        <f>IF(B2965="","",IFERROR(D2965/I2965,""))</f>
        <v/>
      </c>
      <c r="K2965" s="71">
        <f>IF(B2965="","",IFERROR(AVERAGEIFS($J$4:$J2965,$B$4:$B2965,B2965,$J$4:$J2965,"&gt;"&amp;0),""))</f>
        <v/>
      </c>
      <c r="L2965" s="11" t="n"/>
    </row>
    <row r="2966" ht="14" customHeight="1" s="72">
      <c r="A2966" s="83" t="n"/>
      <c r="B2966" s="81" t="n"/>
      <c r="C2966" s="69">
        <f>IF(B2966="","",IFERROR(INDEX(Client_List!$B:$B,MATCH(B2966,Client_List!$A:$A,0)),"⚠ NOT FOUND"))</f>
        <v/>
      </c>
      <c r="D2966" s="45" t="n"/>
      <c r="E2966" s="32">
        <f>IF(B2966="","",IFERROR(INDEX(Client_List!$C:$C,MATCH(VALUE(B2966),Client_List!$A:$A,0)),""))</f>
        <v/>
      </c>
      <c r="F2966" s="53">
        <f>IF(B2966="","",IFERROR(INDEX(Client_List!$D:$D,MATCH(VALUE(B2966),Client_List!$A:$A,0)),""))</f>
        <v/>
      </c>
      <c r="G2966" s="53">
        <f>IF(B2966="","",IFERROR(INDEX(Client_List!$K:$K,MATCH(VALUE(B2966),Client_List!$A:$A,0)),""))</f>
        <v/>
      </c>
      <c r="H2966" s="32">
        <f>IF(B2966="","",IFERROR(INDEX(Client_List!$J:$J,MATCH(VALUE(B2966),Client_List!$A:$A,0)),""))</f>
        <v/>
      </c>
      <c r="I2966" s="70">
        <f>IF(B2966="","",IFERROR(A2966-LOOKUP(2,1/($B$4:$B2965=B2966),$A$4:$A2965),""))</f>
        <v/>
      </c>
      <c r="J2966" s="32">
        <f>IF(B2966="","",IFERROR(D2966/I2966,""))</f>
        <v/>
      </c>
      <c r="K2966" s="71">
        <f>IF(B2966="","",IFERROR(AVERAGEIFS($J$4:$J2966,$B$4:$B2966,B2966,$J$4:$J2966,"&gt;"&amp;0),""))</f>
        <v/>
      </c>
      <c r="L2966" s="12" t="n"/>
    </row>
    <row r="2967" ht="14" customHeight="1" s="72">
      <c r="A2967" s="82" t="n"/>
      <c r="B2967" s="79" t="n"/>
      <c r="C2967" s="69">
        <f>IF(B2967="","",IFERROR(INDEX(Client_List!$B:$B,MATCH(B2967,Client_List!$A:$A,0)),"⚠ NOT FOUND"))</f>
        <v/>
      </c>
      <c r="D2967" s="44" t="n"/>
      <c r="E2967" s="32">
        <f>IF(B2967="","",IFERROR(INDEX(Client_List!$C:$C,MATCH(VALUE(B2967),Client_List!$A:$A,0)),""))</f>
        <v/>
      </c>
      <c r="F2967" s="53">
        <f>IF(B2967="","",IFERROR(INDEX(Client_List!$D:$D,MATCH(VALUE(B2967),Client_List!$A:$A,0)),""))</f>
        <v/>
      </c>
      <c r="G2967" s="53">
        <f>IF(B2967="","",IFERROR(INDEX(Client_List!$K:$K,MATCH(VALUE(B2967),Client_List!$A:$A,0)),""))</f>
        <v/>
      </c>
      <c r="H2967" s="32">
        <f>IF(B2967="","",IFERROR(INDEX(Client_List!$J:$J,MATCH(VALUE(B2967),Client_List!$A:$A,0)),""))</f>
        <v/>
      </c>
      <c r="I2967" s="70">
        <f>IF(B2967="","",IFERROR(A2967-LOOKUP(2,1/($B$4:$B2966=B2967),$A$4:$A2966),""))</f>
        <v/>
      </c>
      <c r="J2967" s="32">
        <f>IF(B2967="","",IFERROR(D2967/I2967,""))</f>
        <v/>
      </c>
      <c r="K2967" s="71">
        <f>IF(B2967="","",IFERROR(AVERAGEIFS($J$4:$J2967,$B$4:$B2967,B2967,$J$4:$J2967,"&gt;"&amp;0),""))</f>
        <v/>
      </c>
      <c r="L2967" s="11" t="n"/>
    </row>
    <row r="2968" ht="14" customHeight="1" s="72">
      <c r="A2968" s="83" t="n"/>
      <c r="B2968" s="81" t="n"/>
      <c r="C2968" s="69">
        <f>IF(B2968="","",IFERROR(INDEX(Client_List!$B:$B,MATCH(B2968,Client_List!$A:$A,0)),"⚠ NOT FOUND"))</f>
        <v/>
      </c>
      <c r="D2968" s="45" t="n"/>
      <c r="E2968" s="32">
        <f>IF(B2968="","",IFERROR(INDEX(Client_List!$C:$C,MATCH(VALUE(B2968),Client_List!$A:$A,0)),""))</f>
        <v/>
      </c>
      <c r="F2968" s="53">
        <f>IF(B2968="","",IFERROR(INDEX(Client_List!$D:$D,MATCH(VALUE(B2968),Client_List!$A:$A,0)),""))</f>
        <v/>
      </c>
      <c r="G2968" s="53">
        <f>IF(B2968="","",IFERROR(INDEX(Client_List!$K:$K,MATCH(VALUE(B2968),Client_List!$A:$A,0)),""))</f>
        <v/>
      </c>
      <c r="H2968" s="32">
        <f>IF(B2968="","",IFERROR(INDEX(Client_List!$J:$J,MATCH(VALUE(B2968),Client_List!$A:$A,0)),""))</f>
        <v/>
      </c>
      <c r="I2968" s="70">
        <f>IF(B2968="","",IFERROR(A2968-LOOKUP(2,1/($B$4:$B2967=B2968),$A$4:$A2967),""))</f>
        <v/>
      </c>
      <c r="J2968" s="32">
        <f>IF(B2968="","",IFERROR(D2968/I2968,""))</f>
        <v/>
      </c>
      <c r="K2968" s="71">
        <f>IF(B2968="","",IFERROR(AVERAGEIFS($J$4:$J2968,$B$4:$B2968,B2968,$J$4:$J2968,"&gt;"&amp;0),""))</f>
        <v/>
      </c>
      <c r="L2968" s="12" t="n"/>
    </row>
    <row r="2969" ht="14" customHeight="1" s="72">
      <c r="A2969" s="82" t="n"/>
      <c r="B2969" s="79" t="n"/>
      <c r="C2969" s="69">
        <f>IF(B2969="","",IFERROR(INDEX(Client_List!$B:$B,MATCH(B2969,Client_List!$A:$A,0)),"⚠ NOT FOUND"))</f>
        <v/>
      </c>
      <c r="D2969" s="44" t="n"/>
      <c r="E2969" s="32">
        <f>IF(B2969="","",IFERROR(INDEX(Client_List!$C:$C,MATCH(VALUE(B2969),Client_List!$A:$A,0)),""))</f>
        <v/>
      </c>
      <c r="F2969" s="53">
        <f>IF(B2969="","",IFERROR(INDEX(Client_List!$D:$D,MATCH(VALUE(B2969),Client_List!$A:$A,0)),""))</f>
        <v/>
      </c>
      <c r="G2969" s="53">
        <f>IF(B2969="","",IFERROR(INDEX(Client_List!$K:$K,MATCH(VALUE(B2969),Client_List!$A:$A,0)),""))</f>
        <v/>
      </c>
      <c r="H2969" s="32">
        <f>IF(B2969="","",IFERROR(INDEX(Client_List!$J:$J,MATCH(VALUE(B2969),Client_List!$A:$A,0)),""))</f>
        <v/>
      </c>
      <c r="I2969" s="70">
        <f>IF(B2969="","",IFERROR(A2969-LOOKUP(2,1/($B$4:$B2968=B2969),$A$4:$A2968),""))</f>
        <v/>
      </c>
      <c r="J2969" s="32">
        <f>IF(B2969="","",IFERROR(D2969/I2969,""))</f>
        <v/>
      </c>
      <c r="K2969" s="71">
        <f>IF(B2969="","",IFERROR(AVERAGEIFS($J$4:$J2969,$B$4:$B2969,B2969,$J$4:$J2969,"&gt;"&amp;0),""))</f>
        <v/>
      </c>
      <c r="L2969" s="11" t="n"/>
    </row>
    <row r="2970" ht="14" customHeight="1" s="72">
      <c r="A2970" s="83" t="n"/>
      <c r="B2970" s="81" t="n"/>
      <c r="C2970" s="69">
        <f>IF(B2970="","",IFERROR(INDEX(Client_List!$B:$B,MATCH(B2970,Client_List!$A:$A,0)),"⚠ NOT FOUND"))</f>
        <v/>
      </c>
      <c r="D2970" s="45" t="n"/>
      <c r="E2970" s="32">
        <f>IF(B2970="","",IFERROR(INDEX(Client_List!$C:$C,MATCH(VALUE(B2970),Client_List!$A:$A,0)),""))</f>
        <v/>
      </c>
      <c r="F2970" s="53">
        <f>IF(B2970="","",IFERROR(INDEX(Client_List!$D:$D,MATCH(VALUE(B2970),Client_List!$A:$A,0)),""))</f>
        <v/>
      </c>
      <c r="G2970" s="53">
        <f>IF(B2970="","",IFERROR(INDEX(Client_List!$K:$K,MATCH(VALUE(B2970),Client_List!$A:$A,0)),""))</f>
        <v/>
      </c>
      <c r="H2970" s="32">
        <f>IF(B2970="","",IFERROR(INDEX(Client_List!$J:$J,MATCH(VALUE(B2970),Client_List!$A:$A,0)),""))</f>
        <v/>
      </c>
      <c r="I2970" s="70">
        <f>IF(B2970="","",IFERROR(A2970-LOOKUP(2,1/($B$4:$B2969=B2970),$A$4:$A2969),""))</f>
        <v/>
      </c>
      <c r="J2970" s="32">
        <f>IF(B2970="","",IFERROR(D2970/I2970,""))</f>
        <v/>
      </c>
      <c r="K2970" s="71">
        <f>IF(B2970="","",IFERROR(AVERAGEIFS($J$4:$J2970,$B$4:$B2970,B2970,$J$4:$J2970,"&gt;"&amp;0),""))</f>
        <v/>
      </c>
      <c r="L2970" s="12" t="n"/>
    </row>
    <row r="2971" ht="14" customHeight="1" s="72">
      <c r="A2971" s="82" t="n"/>
      <c r="B2971" s="79" t="n"/>
      <c r="C2971" s="69">
        <f>IF(B2971="","",IFERROR(INDEX(Client_List!$B:$B,MATCH(B2971,Client_List!$A:$A,0)),"⚠ NOT FOUND"))</f>
        <v/>
      </c>
      <c r="D2971" s="44" t="n"/>
      <c r="E2971" s="32">
        <f>IF(B2971="","",IFERROR(INDEX(Client_List!$C:$C,MATCH(VALUE(B2971),Client_List!$A:$A,0)),""))</f>
        <v/>
      </c>
      <c r="F2971" s="53">
        <f>IF(B2971="","",IFERROR(INDEX(Client_List!$D:$D,MATCH(VALUE(B2971),Client_List!$A:$A,0)),""))</f>
        <v/>
      </c>
      <c r="G2971" s="53">
        <f>IF(B2971="","",IFERROR(INDEX(Client_List!$K:$K,MATCH(VALUE(B2971),Client_List!$A:$A,0)),""))</f>
        <v/>
      </c>
      <c r="H2971" s="32">
        <f>IF(B2971="","",IFERROR(INDEX(Client_List!$J:$J,MATCH(VALUE(B2971),Client_List!$A:$A,0)),""))</f>
        <v/>
      </c>
      <c r="I2971" s="70">
        <f>IF(B2971="","",IFERROR(A2971-LOOKUP(2,1/($B$4:$B2970=B2971),$A$4:$A2970),""))</f>
        <v/>
      </c>
      <c r="J2971" s="32">
        <f>IF(B2971="","",IFERROR(D2971/I2971,""))</f>
        <v/>
      </c>
      <c r="K2971" s="71">
        <f>IF(B2971="","",IFERROR(AVERAGEIFS($J$4:$J2971,$B$4:$B2971,B2971,$J$4:$J2971,"&gt;"&amp;0),""))</f>
        <v/>
      </c>
      <c r="L2971" s="11" t="n"/>
    </row>
    <row r="2972" ht="14" customHeight="1" s="72">
      <c r="A2972" s="83" t="n"/>
      <c r="B2972" s="81" t="n"/>
      <c r="C2972" s="69">
        <f>IF(B2972="","",IFERROR(INDEX(Client_List!$B:$B,MATCH(B2972,Client_List!$A:$A,0)),"⚠ NOT FOUND"))</f>
        <v/>
      </c>
      <c r="D2972" s="45" t="n"/>
      <c r="E2972" s="32">
        <f>IF(B2972="","",IFERROR(INDEX(Client_List!$C:$C,MATCH(VALUE(B2972),Client_List!$A:$A,0)),""))</f>
        <v/>
      </c>
      <c r="F2972" s="53">
        <f>IF(B2972="","",IFERROR(INDEX(Client_List!$D:$D,MATCH(VALUE(B2972),Client_List!$A:$A,0)),""))</f>
        <v/>
      </c>
      <c r="G2972" s="53">
        <f>IF(B2972="","",IFERROR(INDEX(Client_List!$K:$K,MATCH(VALUE(B2972),Client_List!$A:$A,0)),""))</f>
        <v/>
      </c>
      <c r="H2972" s="32">
        <f>IF(B2972="","",IFERROR(INDEX(Client_List!$J:$J,MATCH(VALUE(B2972),Client_List!$A:$A,0)),""))</f>
        <v/>
      </c>
      <c r="I2972" s="70">
        <f>IF(B2972="","",IFERROR(A2972-LOOKUP(2,1/($B$4:$B2971=B2972),$A$4:$A2971),""))</f>
        <v/>
      </c>
      <c r="J2972" s="32">
        <f>IF(B2972="","",IFERROR(D2972/I2972,""))</f>
        <v/>
      </c>
      <c r="K2972" s="71">
        <f>IF(B2972="","",IFERROR(AVERAGEIFS($J$4:$J2972,$B$4:$B2972,B2972,$J$4:$J2972,"&gt;"&amp;0),""))</f>
        <v/>
      </c>
      <c r="L2972" s="12" t="n"/>
    </row>
    <row r="2973" ht="14" customHeight="1" s="72">
      <c r="A2973" s="82" t="n"/>
      <c r="B2973" s="79" t="n"/>
      <c r="C2973" s="69">
        <f>IF(B2973="","",IFERROR(INDEX(Client_List!$B:$B,MATCH(B2973,Client_List!$A:$A,0)),"⚠ NOT FOUND"))</f>
        <v/>
      </c>
      <c r="D2973" s="44" t="n"/>
      <c r="E2973" s="32">
        <f>IF(B2973="","",IFERROR(INDEX(Client_List!$C:$C,MATCH(VALUE(B2973),Client_List!$A:$A,0)),""))</f>
        <v/>
      </c>
      <c r="F2973" s="53">
        <f>IF(B2973="","",IFERROR(INDEX(Client_List!$D:$D,MATCH(VALUE(B2973),Client_List!$A:$A,0)),""))</f>
        <v/>
      </c>
      <c r="G2973" s="53">
        <f>IF(B2973="","",IFERROR(INDEX(Client_List!$K:$K,MATCH(VALUE(B2973),Client_List!$A:$A,0)),""))</f>
        <v/>
      </c>
      <c r="H2973" s="32">
        <f>IF(B2973="","",IFERROR(INDEX(Client_List!$J:$J,MATCH(VALUE(B2973),Client_List!$A:$A,0)),""))</f>
        <v/>
      </c>
      <c r="I2973" s="70">
        <f>IF(B2973="","",IFERROR(A2973-LOOKUP(2,1/($B$4:$B2972=B2973),$A$4:$A2972),""))</f>
        <v/>
      </c>
      <c r="J2973" s="32">
        <f>IF(B2973="","",IFERROR(D2973/I2973,""))</f>
        <v/>
      </c>
      <c r="K2973" s="71">
        <f>IF(B2973="","",IFERROR(AVERAGEIFS($J$4:$J2973,$B$4:$B2973,B2973,$J$4:$J2973,"&gt;"&amp;0),""))</f>
        <v/>
      </c>
      <c r="L2973" s="11" t="n"/>
    </row>
    <row r="2974" ht="14" customHeight="1" s="72">
      <c r="A2974" s="83" t="n"/>
      <c r="B2974" s="81" t="n"/>
      <c r="C2974" s="69">
        <f>IF(B2974="","",IFERROR(INDEX(Client_List!$B:$B,MATCH(B2974,Client_List!$A:$A,0)),"⚠ NOT FOUND"))</f>
        <v/>
      </c>
      <c r="D2974" s="45" t="n"/>
      <c r="E2974" s="32">
        <f>IF(B2974="","",IFERROR(INDEX(Client_List!$C:$C,MATCH(VALUE(B2974),Client_List!$A:$A,0)),""))</f>
        <v/>
      </c>
      <c r="F2974" s="53">
        <f>IF(B2974="","",IFERROR(INDEX(Client_List!$D:$D,MATCH(VALUE(B2974),Client_List!$A:$A,0)),""))</f>
        <v/>
      </c>
      <c r="G2974" s="53">
        <f>IF(B2974="","",IFERROR(INDEX(Client_List!$K:$K,MATCH(VALUE(B2974),Client_List!$A:$A,0)),""))</f>
        <v/>
      </c>
      <c r="H2974" s="32">
        <f>IF(B2974="","",IFERROR(INDEX(Client_List!$J:$J,MATCH(VALUE(B2974),Client_List!$A:$A,0)),""))</f>
        <v/>
      </c>
      <c r="I2974" s="70">
        <f>IF(B2974="","",IFERROR(A2974-LOOKUP(2,1/($B$4:$B2973=B2974),$A$4:$A2973),""))</f>
        <v/>
      </c>
      <c r="J2974" s="32">
        <f>IF(B2974="","",IFERROR(D2974/I2974,""))</f>
        <v/>
      </c>
      <c r="K2974" s="71">
        <f>IF(B2974="","",IFERROR(AVERAGEIFS($J$4:$J2974,$B$4:$B2974,B2974,$J$4:$J2974,"&gt;"&amp;0),""))</f>
        <v/>
      </c>
      <c r="L2974" s="12" t="n"/>
    </row>
    <row r="2975" ht="14" customHeight="1" s="72">
      <c r="A2975" s="82" t="n"/>
      <c r="B2975" s="79" t="n"/>
      <c r="C2975" s="69">
        <f>IF(B2975="","",IFERROR(INDEX(Client_List!$B:$B,MATCH(B2975,Client_List!$A:$A,0)),"⚠ NOT FOUND"))</f>
        <v/>
      </c>
      <c r="D2975" s="44" t="n"/>
      <c r="E2975" s="32">
        <f>IF(B2975="","",IFERROR(INDEX(Client_List!$C:$C,MATCH(VALUE(B2975),Client_List!$A:$A,0)),""))</f>
        <v/>
      </c>
      <c r="F2975" s="53">
        <f>IF(B2975="","",IFERROR(INDEX(Client_List!$D:$D,MATCH(VALUE(B2975),Client_List!$A:$A,0)),""))</f>
        <v/>
      </c>
      <c r="G2975" s="53">
        <f>IF(B2975="","",IFERROR(INDEX(Client_List!$K:$K,MATCH(VALUE(B2975),Client_List!$A:$A,0)),""))</f>
        <v/>
      </c>
      <c r="H2975" s="32">
        <f>IF(B2975="","",IFERROR(INDEX(Client_List!$J:$J,MATCH(VALUE(B2975),Client_List!$A:$A,0)),""))</f>
        <v/>
      </c>
      <c r="I2975" s="70">
        <f>IF(B2975="","",IFERROR(A2975-LOOKUP(2,1/($B$4:$B2974=B2975),$A$4:$A2974),""))</f>
        <v/>
      </c>
      <c r="J2975" s="32">
        <f>IF(B2975="","",IFERROR(D2975/I2975,""))</f>
        <v/>
      </c>
      <c r="K2975" s="71">
        <f>IF(B2975="","",IFERROR(AVERAGEIFS($J$4:$J2975,$B$4:$B2975,B2975,$J$4:$J2975,"&gt;"&amp;0),""))</f>
        <v/>
      </c>
      <c r="L2975" s="11" t="n"/>
    </row>
    <row r="2976" ht="14" customHeight="1" s="72">
      <c r="A2976" s="83" t="n"/>
      <c r="B2976" s="81" t="n"/>
      <c r="C2976" s="69">
        <f>IF(B2976="","",IFERROR(INDEX(Client_List!$B:$B,MATCH(B2976,Client_List!$A:$A,0)),"⚠ NOT FOUND"))</f>
        <v/>
      </c>
      <c r="D2976" s="45" t="n"/>
      <c r="E2976" s="32">
        <f>IF(B2976="","",IFERROR(INDEX(Client_List!$C:$C,MATCH(VALUE(B2976),Client_List!$A:$A,0)),""))</f>
        <v/>
      </c>
      <c r="F2976" s="53">
        <f>IF(B2976="","",IFERROR(INDEX(Client_List!$D:$D,MATCH(VALUE(B2976),Client_List!$A:$A,0)),""))</f>
        <v/>
      </c>
      <c r="G2976" s="53">
        <f>IF(B2976="","",IFERROR(INDEX(Client_List!$K:$K,MATCH(VALUE(B2976),Client_List!$A:$A,0)),""))</f>
        <v/>
      </c>
      <c r="H2976" s="32">
        <f>IF(B2976="","",IFERROR(INDEX(Client_List!$J:$J,MATCH(VALUE(B2976),Client_List!$A:$A,0)),""))</f>
        <v/>
      </c>
      <c r="I2976" s="70">
        <f>IF(B2976="","",IFERROR(A2976-LOOKUP(2,1/($B$4:$B2975=B2976),$A$4:$A2975),""))</f>
        <v/>
      </c>
      <c r="J2976" s="32">
        <f>IF(B2976="","",IFERROR(D2976/I2976,""))</f>
        <v/>
      </c>
      <c r="K2976" s="71">
        <f>IF(B2976="","",IFERROR(AVERAGEIFS($J$4:$J2976,$B$4:$B2976,B2976,$J$4:$J2976,"&gt;"&amp;0),""))</f>
        <v/>
      </c>
      <c r="L2976" s="12" t="n"/>
    </row>
    <row r="2977" ht="14" customHeight="1" s="72">
      <c r="A2977" s="82" t="n"/>
      <c r="B2977" s="79" t="n"/>
      <c r="C2977" s="69">
        <f>IF(B2977="","",IFERROR(INDEX(Client_List!$B:$B,MATCH(B2977,Client_List!$A:$A,0)),"⚠ NOT FOUND"))</f>
        <v/>
      </c>
      <c r="D2977" s="44" t="n"/>
      <c r="E2977" s="32">
        <f>IF(B2977="","",IFERROR(INDEX(Client_List!$C:$C,MATCH(VALUE(B2977),Client_List!$A:$A,0)),""))</f>
        <v/>
      </c>
      <c r="F2977" s="53">
        <f>IF(B2977="","",IFERROR(INDEX(Client_List!$D:$D,MATCH(VALUE(B2977),Client_List!$A:$A,0)),""))</f>
        <v/>
      </c>
      <c r="G2977" s="53">
        <f>IF(B2977="","",IFERROR(INDEX(Client_List!$K:$K,MATCH(VALUE(B2977),Client_List!$A:$A,0)),""))</f>
        <v/>
      </c>
      <c r="H2977" s="32">
        <f>IF(B2977="","",IFERROR(INDEX(Client_List!$J:$J,MATCH(VALUE(B2977),Client_List!$A:$A,0)),""))</f>
        <v/>
      </c>
      <c r="I2977" s="70">
        <f>IF(B2977="","",IFERROR(A2977-LOOKUP(2,1/($B$4:$B2976=B2977),$A$4:$A2976),""))</f>
        <v/>
      </c>
      <c r="J2977" s="32">
        <f>IF(B2977="","",IFERROR(D2977/I2977,""))</f>
        <v/>
      </c>
      <c r="K2977" s="71">
        <f>IF(B2977="","",IFERROR(AVERAGEIFS($J$4:$J2977,$B$4:$B2977,B2977,$J$4:$J2977,"&gt;"&amp;0),""))</f>
        <v/>
      </c>
      <c r="L2977" s="11" t="n"/>
    </row>
    <row r="2978" ht="14" customHeight="1" s="72">
      <c r="A2978" s="83" t="n"/>
      <c r="B2978" s="81" t="n"/>
      <c r="C2978" s="69">
        <f>IF(B2978="","",IFERROR(INDEX(Client_List!$B:$B,MATCH(B2978,Client_List!$A:$A,0)),"⚠ NOT FOUND"))</f>
        <v/>
      </c>
      <c r="D2978" s="45" t="n"/>
      <c r="E2978" s="32">
        <f>IF(B2978="","",IFERROR(INDEX(Client_List!$C:$C,MATCH(VALUE(B2978),Client_List!$A:$A,0)),""))</f>
        <v/>
      </c>
      <c r="F2978" s="53">
        <f>IF(B2978="","",IFERROR(INDEX(Client_List!$D:$D,MATCH(VALUE(B2978),Client_List!$A:$A,0)),""))</f>
        <v/>
      </c>
      <c r="G2978" s="53">
        <f>IF(B2978="","",IFERROR(INDEX(Client_List!$K:$K,MATCH(VALUE(B2978),Client_List!$A:$A,0)),""))</f>
        <v/>
      </c>
      <c r="H2978" s="32">
        <f>IF(B2978="","",IFERROR(INDEX(Client_List!$J:$J,MATCH(VALUE(B2978),Client_List!$A:$A,0)),""))</f>
        <v/>
      </c>
      <c r="I2978" s="70">
        <f>IF(B2978="","",IFERROR(A2978-LOOKUP(2,1/($B$4:$B2977=B2978),$A$4:$A2977),""))</f>
        <v/>
      </c>
      <c r="J2978" s="32">
        <f>IF(B2978="","",IFERROR(D2978/I2978,""))</f>
        <v/>
      </c>
      <c r="K2978" s="71">
        <f>IF(B2978="","",IFERROR(AVERAGEIFS($J$4:$J2978,$B$4:$B2978,B2978,$J$4:$J2978,"&gt;"&amp;0),""))</f>
        <v/>
      </c>
      <c r="L2978" s="12" t="n"/>
    </row>
    <row r="2979" ht="14" customHeight="1" s="72">
      <c r="A2979" s="82" t="n"/>
      <c r="B2979" s="79" t="n"/>
      <c r="C2979" s="69">
        <f>IF(B2979="","",IFERROR(INDEX(Client_List!$B:$B,MATCH(B2979,Client_List!$A:$A,0)),"⚠ NOT FOUND"))</f>
        <v/>
      </c>
      <c r="D2979" s="44" t="n"/>
      <c r="E2979" s="32">
        <f>IF(B2979="","",IFERROR(INDEX(Client_List!$C:$C,MATCH(VALUE(B2979),Client_List!$A:$A,0)),""))</f>
        <v/>
      </c>
      <c r="F2979" s="53">
        <f>IF(B2979="","",IFERROR(INDEX(Client_List!$D:$D,MATCH(VALUE(B2979),Client_List!$A:$A,0)),""))</f>
        <v/>
      </c>
      <c r="G2979" s="53">
        <f>IF(B2979="","",IFERROR(INDEX(Client_List!$K:$K,MATCH(VALUE(B2979),Client_List!$A:$A,0)),""))</f>
        <v/>
      </c>
      <c r="H2979" s="32">
        <f>IF(B2979="","",IFERROR(INDEX(Client_List!$J:$J,MATCH(VALUE(B2979),Client_List!$A:$A,0)),""))</f>
        <v/>
      </c>
      <c r="I2979" s="70">
        <f>IF(B2979="","",IFERROR(A2979-LOOKUP(2,1/($B$4:$B2978=B2979),$A$4:$A2978),""))</f>
        <v/>
      </c>
      <c r="J2979" s="32">
        <f>IF(B2979="","",IFERROR(D2979/I2979,""))</f>
        <v/>
      </c>
      <c r="K2979" s="71">
        <f>IF(B2979="","",IFERROR(AVERAGEIFS($J$4:$J2979,$B$4:$B2979,B2979,$J$4:$J2979,"&gt;"&amp;0),""))</f>
        <v/>
      </c>
      <c r="L2979" s="11" t="n"/>
    </row>
    <row r="2980" ht="14" customHeight="1" s="72">
      <c r="A2980" s="83" t="n"/>
      <c r="B2980" s="81" t="n"/>
      <c r="C2980" s="69">
        <f>IF(B2980="","",IFERROR(INDEX(Client_List!$B:$B,MATCH(B2980,Client_List!$A:$A,0)),"⚠ NOT FOUND"))</f>
        <v/>
      </c>
      <c r="D2980" s="45" t="n"/>
      <c r="E2980" s="32">
        <f>IF(B2980="","",IFERROR(INDEX(Client_List!$C:$C,MATCH(VALUE(B2980),Client_List!$A:$A,0)),""))</f>
        <v/>
      </c>
      <c r="F2980" s="53">
        <f>IF(B2980="","",IFERROR(INDEX(Client_List!$D:$D,MATCH(VALUE(B2980),Client_List!$A:$A,0)),""))</f>
        <v/>
      </c>
      <c r="G2980" s="53">
        <f>IF(B2980="","",IFERROR(INDEX(Client_List!$K:$K,MATCH(VALUE(B2980),Client_List!$A:$A,0)),""))</f>
        <v/>
      </c>
      <c r="H2980" s="32">
        <f>IF(B2980="","",IFERROR(INDEX(Client_List!$J:$J,MATCH(VALUE(B2980),Client_List!$A:$A,0)),""))</f>
        <v/>
      </c>
      <c r="I2980" s="70">
        <f>IF(B2980="","",IFERROR(A2980-LOOKUP(2,1/($B$4:$B2979=B2980),$A$4:$A2979),""))</f>
        <v/>
      </c>
      <c r="J2980" s="32">
        <f>IF(B2980="","",IFERROR(D2980/I2980,""))</f>
        <v/>
      </c>
      <c r="K2980" s="71">
        <f>IF(B2980="","",IFERROR(AVERAGEIFS($J$4:$J2980,$B$4:$B2980,B2980,$J$4:$J2980,"&gt;"&amp;0),""))</f>
        <v/>
      </c>
      <c r="L2980" s="12" t="n"/>
    </row>
    <row r="2981" ht="14" customHeight="1" s="72">
      <c r="A2981" s="82" t="n"/>
      <c r="B2981" s="79" t="n"/>
      <c r="C2981" s="69">
        <f>IF(B2981="","",IFERROR(INDEX(Client_List!$B:$B,MATCH(B2981,Client_List!$A:$A,0)),"⚠ NOT FOUND"))</f>
        <v/>
      </c>
      <c r="D2981" s="44" t="n"/>
      <c r="E2981" s="32">
        <f>IF(B2981="","",IFERROR(INDEX(Client_List!$C:$C,MATCH(VALUE(B2981),Client_List!$A:$A,0)),""))</f>
        <v/>
      </c>
      <c r="F2981" s="53">
        <f>IF(B2981="","",IFERROR(INDEX(Client_List!$D:$D,MATCH(VALUE(B2981),Client_List!$A:$A,0)),""))</f>
        <v/>
      </c>
      <c r="G2981" s="53">
        <f>IF(B2981="","",IFERROR(INDEX(Client_List!$K:$K,MATCH(VALUE(B2981),Client_List!$A:$A,0)),""))</f>
        <v/>
      </c>
      <c r="H2981" s="32">
        <f>IF(B2981="","",IFERROR(INDEX(Client_List!$J:$J,MATCH(VALUE(B2981),Client_List!$A:$A,0)),""))</f>
        <v/>
      </c>
      <c r="I2981" s="70">
        <f>IF(B2981="","",IFERROR(A2981-LOOKUP(2,1/($B$4:$B2980=B2981),$A$4:$A2980),""))</f>
        <v/>
      </c>
      <c r="J2981" s="32">
        <f>IF(B2981="","",IFERROR(D2981/I2981,""))</f>
        <v/>
      </c>
      <c r="K2981" s="71">
        <f>IF(B2981="","",IFERROR(AVERAGEIFS($J$4:$J2981,$B$4:$B2981,B2981,$J$4:$J2981,"&gt;"&amp;0),""))</f>
        <v/>
      </c>
      <c r="L2981" s="11" t="n"/>
    </row>
    <row r="2982" ht="14" customHeight="1" s="72">
      <c r="A2982" s="83" t="n"/>
      <c r="B2982" s="81" t="n"/>
      <c r="C2982" s="69">
        <f>IF(B2982="","",IFERROR(INDEX(Client_List!$B:$B,MATCH(B2982,Client_List!$A:$A,0)),"⚠ NOT FOUND"))</f>
        <v/>
      </c>
      <c r="D2982" s="45" t="n"/>
      <c r="E2982" s="32">
        <f>IF(B2982="","",IFERROR(INDEX(Client_List!$C:$C,MATCH(VALUE(B2982),Client_List!$A:$A,0)),""))</f>
        <v/>
      </c>
      <c r="F2982" s="53">
        <f>IF(B2982="","",IFERROR(INDEX(Client_List!$D:$D,MATCH(VALUE(B2982),Client_List!$A:$A,0)),""))</f>
        <v/>
      </c>
      <c r="G2982" s="53">
        <f>IF(B2982="","",IFERROR(INDEX(Client_List!$K:$K,MATCH(VALUE(B2982),Client_List!$A:$A,0)),""))</f>
        <v/>
      </c>
      <c r="H2982" s="32">
        <f>IF(B2982="","",IFERROR(INDEX(Client_List!$J:$J,MATCH(VALUE(B2982),Client_List!$A:$A,0)),""))</f>
        <v/>
      </c>
      <c r="I2982" s="70">
        <f>IF(B2982="","",IFERROR(A2982-LOOKUP(2,1/($B$4:$B2981=B2982),$A$4:$A2981),""))</f>
        <v/>
      </c>
      <c r="J2982" s="32">
        <f>IF(B2982="","",IFERROR(D2982/I2982,""))</f>
        <v/>
      </c>
      <c r="K2982" s="71">
        <f>IF(B2982="","",IFERROR(AVERAGEIFS($J$4:$J2982,$B$4:$B2982,B2982,$J$4:$J2982,"&gt;"&amp;0),""))</f>
        <v/>
      </c>
      <c r="L2982" s="12" t="n"/>
    </row>
    <row r="2983" ht="14" customHeight="1" s="72">
      <c r="A2983" s="82" t="n"/>
      <c r="B2983" s="79" t="n"/>
      <c r="C2983" s="69">
        <f>IF(B2983="","",IFERROR(INDEX(Client_List!$B:$B,MATCH(B2983,Client_List!$A:$A,0)),"⚠ NOT FOUND"))</f>
        <v/>
      </c>
      <c r="D2983" s="44" t="n"/>
      <c r="E2983" s="32">
        <f>IF(B2983="","",IFERROR(INDEX(Client_List!$C:$C,MATCH(VALUE(B2983),Client_List!$A:$A,0)),""))</f>
        <v/>
      </c>
      <c r="F2983" s="53">
        <f>IF(B2983="","",IFERROR(INDEX(Client_List!$D:$D,MATCH(VALUE(B2983),Client_List!$A:$A,0)),""))</f>
        <v/>
      </c>
      <c r="G2983" s="53">
        <f>IF(B2983="","",IFERROR(INDEX(Client_List!$K:$K,MATCH(VALUE(B2983),Client_List!$A:$A,0)),""))</f>
        <v/>
      </c>
      <c r="H2983" s="32">
        <f>IF(B2983="","",IFERROR(INDEX(Client_List!$J:$J,MATCH(VALUE(B2983),Client_List!$A:$A,0)),""))</f>
        <v/>
      </c>
      <c r="I2983" s="70">
        <f>IF(B2983="","",IFERROR(A2983-LOOKUP(2,1/($B$4:$B2982=B2983),$A$4:$A2982),""))</f>
        <v/>
      </c>
      <c r="J2983" s="32">
        <f>IF(B2983="","",IFERROR(D2983/I2983,""))</f>
        <v/>
      </c>
      <c r="K2983" s="71">
        <f>IF(B2983="","",IFERROR(AVERAGEIFS($J$4:$J2983,$B$4:$B2983,B2983,$J$4:$J2983,"&gt;"&amp;0),""))</f>
        <v/>
      </c>
      <c r="L2983" s="11" t="n"/>
    </row>
    <row r="2984" ht="14" customHeight="1" s="72">
      <c r="A2984" s="83" t="n"/>
      <c r="B2984" s="81" t="n"/>
      <c r="C2984" s="69">
        <f>IF(B2984="","",IFERROR(INDEX(Client_List!$B:$B,MATCH(B2984,Client_List!$A:$A,0)),"⚠ NOT FOUND"))</f>
        <v/>
      </c>
      <c r="D2984" s="45" t="n"/>
      <c r="E2984" s="32">
        <f>IF(B2984="","",IFERROR(INDEX(Client_List!$C:$C,MATCH(VALUE(B2984),Client_List!$A:$A,0)),""))</f>
        <v/>
      </c>
      <c r="F2984" s="53">
        <f>IF(B2984="","",IFERROR(INDEX(Client_List!$D:$D,MATCH(VALUE(B2984),Client_List!$A:$A,0)),""))</f>
        <v/>
      </c>
      <c r="G2984" s="53">
        <f>IF(B2984="","",IFERROR(INDEX(Client_List!$K:$K,MATCH(VALUE(B2984),Client_List!$A:$A,0)),""))</f>
        <v/>
      </c>
      <c r="H2984" s="32">
        <f>IF(B2984="","",IFERROR(INDEX(Client_List!$J:$J,MATCH(VALUE(B2984),Client_List!$A:$A,0)),""))</f>
        <v/>
      </c>
      <c r="I2984" s="70">
        <f>IF(B2984="","",IFERROR(A2984-LOOKUP(2,1/($B$4:$B2983=B2984),$A$4:$A2983),""))</f>
        <v/>
      </c>
      <c r="J2984" s="32">
        <f>IF(B2984="","",IFERROR(D2984/I2984,""))</f>
        <v/>
      </c>
      <c r="K2984" s="71">
        <f>IF(B2984="","",IFERROR(AVERAGEIFS($J$4:$J2984,$B$4:$B2984,B2984,$J$4:$J2984,"&gt;"&amp;0),""))</f>
        <v/>
      </c>
      <c r="L2984" s="12" t="n"/>
    </row>
    <row r="2985" ht="14" customHeight="1" s="72">
      <c r="A2985" s="82" t="n"/>
      <c r="B2985" s="79" t="n"/>
      <c r="C2985" s="69">
        <f>IF(B2985="","",IFERROR(INDEX(Client_List!$B:$B,MATCH(B2985,Client_List!$A:$A,0)),"⚠ NOT FOUND"))</f>
        <v/>
      </c>
      <c r="D2985" s="44" t="n"/>
      <c r="E2985" s="32">
        <f>IF(B2985="","",IFERROR(INDEX(Client_List!$C:$C,MATCH(VALUE(B2985),Client_List!$A:$A,0)),""))</f>
        <v/>
      </c>
      <c r="F2985" s="53">
        <f>IF(B2985="","",IFERROR(INDEX(Client_List!$D:$D,MATCH(VALUE(B2985),Client_List!$A:$A,0)),""))</f>
        <v/>
      </c>
      <c r="G2985" s="53">
        <f>IF(B2985="","",IFERROR(INDEX(Client_List!$K:$K,MATCH(VALUE(B2985),Client_List!$A:$A,0)),""))</f>
        <v/>
      </c>
      <c r="H2985" s="32">
        <f>IF(B2985="","",IFERROR(INDEX(Client_List!$J:$J,MATCH(VALUE(B2985),Client_List!$A:$A,0)),""))</f>
        <v/>
      </c>
      <c r="I2985" s="70">
        <f>IF(B2985="","",IFERROR(A2985-LOOKUP(2,1/($B$4:$B2984=B2985),$A$4:$A2984),""))</f>
        <v/>
      </c>
      <c r="J2985" s="32">
        <f>IF(B2985="","",IFERROR(D2985/I2985,""))</f>
        <v/>
      </c>
      <c r="K2985" s="71">
        <f>IF(B2985="","",IFERROR(AVERAGEIFS($J$4:$J2985,$B$4:$B2985,B2985,$J$4:$J2985,"&gt;"&amp;0),""))</f>
        <v/>
      </c>
      <c r="L2985" s="11" t="n"/>
    </row>
    <row r="2986" ht="14" customHeight="1" s="72">
      <c r="A2986" s="83" t="n"/>
      <c r="B2986" s="81" t="n"/>
      <c r="C2986" s="69">
        <f>IF(B2986="","",IFERROR(INDEX(Client_List!$B:$B,MATCH(B2986,Client_List!$A:$A,0)),"⚠ NOT FOUND"))</f>
        <v/>
      </c>
      <c r="D2986" s="45" t="n"/>
      <c r="E2986" s="32">
        <f>IF(B2986="","",IFERROR(INDEX(Client_List!$C:$C,MATCH(VALUE(B2986),Client_List!$A:$A,0)),""))</f>
        <v/>
      </c>
      <c r="F2986" s="53">
        <f>IF(B2986="","",IFERROR(INDEX(Client_List!$D:$D,MATCH(VALUE(B2986),Client_List!$A:$A,0)),""))</f>
        <v/>
      </c>
      <c r="G2986" s="53">
        <f>IF(B2986="","",IFERROR(INDEX(Client_List!$K:$K,MATCH(VALUE(B2986),Client_List!$A:$A,0)),""))</f>
        <v/>
      </c>
      <c r="H2986" s="32">
        <f>IF(B2986="","",IFERROR(INDEX(Client_List!$J:$J,MATCH(VALUE(B2986),Client_List!$A:$A,0)),""))</f>
        <v/>
      </c>
      <c r="I2986" s="70">
        <f>IF(B2986="","",IFERROR(A2986-LOOKUP(2,1/($B$4:$B2985=B2986),$A$4:$A2985),""))</f>
        <v/>
      </c>
      <c r="J2986" s="32">
        <f>IF(B2986="","",IFERROR(D2986/I2986,""))</f>
        <v/>
      </c>
      <c r="K2986" s="71">
        <f>IF(B2986="","",IFERROR(AVERAGEIFS($J$4:$J2986,$B$4:$B2986,B2986,$J$4:$J2986,"&gt;"&amp;0),""))</f>
        <v/>
      </c>
      <c r="L2986" s="12" t="n"/>
    </row>
    <row r="2987" ht="14" customHeight="1" s="72">
      <c r="A2987" s="82" t="n"/>
      <c r="B2987" s="79" t="n"/>
      <c r="C2987" s="69">
        <f>IF(B2987="","",IFERROR(INDEX(Client_List!$B:$B,MATCH(B2987,Client_List!$A:$A,0)),"⚠ NOT FOUND"))</f>
        <v/>
      </c>
      <c r="D2987" s="44" t="n"/>
      <c r="E2987" s="32">
        <f>IF(B2987="","",IFERROR(INDEX(Client_List!$C:$C,MATCH(VALUE(B2987),Client_List!$A:$A,0)),""))</f>
        <v/>
      </c>
      <c r="F2987" s="53">
        <f>IF(B2987="","",IFERROR(INDEX(Client_List!$D:$D,MATCH(VALUE(B2987),Client_List!$A:$A,0)),""))</f>
        <v/>
      </c>
      <c r="G2987" s="53">
        <f>IF(B2987="","",IFERROR(INDEX(Client_List!$K:$K,MATCH(VALUE(B2987),Client_List!$A:$A,0)),""))</f>
        <v/>
      </c>
      <c r="H2987" s="32">
        <f>IF(B2987="","",IFERROR(INDEX(Client_List!$J:$J,MATCH(VALUE(B2987),Client_List!$A:$A,0)),""))</f>
        <v/>
      </c>
      <c r="I2987" s="70">
        <f>IF(B2987="","",IFERROR(A2987-LOOKUP(2,1/($B$4:$B2986=B2987),$A$4:$A2986),""))</f>
        <v/>
      </c>
      <c r="J2987" s="32">
        <f>IF(B2987="","",IFERROR(D2987/I2987,""))</f>
        <v/>
      </c>
      <c r="K2987" s="71">
        <f>IF(B2987="","",IFERROR(AVERAGEIFS($J$4:$J2987,$B$4:$B2987,B2987,$J$4:$J2987,"&gt;"&amp;0),""))</f>
        <v/>
      </c>
      <c r="L2987" s="11" t="n"/>
    </row>
    <row r="2988" ht="14" customHeight="1" s="72">
      <c r="A2988" s="83" t="n"/>
      <c r="B2988" s="81" t="n"/>
      <c r="C2988" s="69">
        <f>IF(B2988="","",IFERROR(INDEX(Client_List!$B:$B,MATCH(B2988,Client_List!$A:$A,0)),"⚠ NOT FOUND"))</f>
        <v/>
      </c>
      <c r="D2988" s="45" t="n"/>
      <c r="E2988" s="32">
        <f>IF(B2988="","",IFERROR(INDEX(Client_List!$C:$C,MATCH(VALUE(B2988),Client_List!$A:$A,0)),""))</f>
        <v/>
      </c>
      <c r="F2988" s="53">
        <f>IF(B2988="","",IFERROR(INDEX(Client_List!$D:$D,MATCH(VALUE(B2988),Client_List!$A:$A,0)),""))</f>
        <v/>
      </c>
      <c r="G2988" s="53">
        <f>IF(B2988="","",IFERROR(INDEX(Client_List!$K:$K,MATCH(VALUE(B2988),Client_List!$A:$A,0)),""))</f>
        <v/>
      </c>
      <c r="H2988" s="32">
        <f>IF(B2988="","",IFERROR(INDEX(Client_List!$J:$J,MATCH(VALUE(B2988),Client_List!$A:$A,0)),""))</f>
        <v/>
      </c>
      <c r="I2988" s="70">
        <f>IF(B2988="","",IFERROR(A2988-LOOKUP(2,1/($B$4:$B2987=B2988),$A$4:$A2987),""))</f>
        <v/>
      </c>
      <c r="J2988" s="32">
        <f>IF(B2988="","",IFERROR(D2988/I2988,""))</f>
        <v/>
      </c>
      <c r="K2988" s="71">
        <f>IF(B2988="","",IFERROR(AVERAGEIFS($J$4:$J2988,$B$4:$B2988,B2988,$J$4:$J2988,"&gt;"&amp;0),""))</f>
        <v/>
      </c>
      <c r="L2988" s="12" t="n"/>
    </row>
    <row r="2989" ht="14" customHeight="1" s="72">
      <c r="A2989" s="82" t="n"/>
      <c r="B2989" s="79" t="n"/>
      <c r="C2989" s="69">
        <f>IF(B2989="","",IFERROR(INDEX(Client_List!$B:$B,MATCH(B2989,Client_List!$A:$A,0)),"⚠ NOT FOUND"))</f>
        <v/>
      </c>
      <c r="D2989" s="44" t="n"/>
      <c r="E2989" s="32">
        <f>IF(B2989="","",IFERROR(INDEX(Client_List!$C:$C,MATCH(VALUE(B2989),Client_List!$A:$A,0)),""))</f>
        <v/>
      </c>
      <c r="F2989" s="53">
        <f>IF(B2989="","",IFERROR(INDEX(Client_List!$D:$D,MATCH(VALUE(B2989),Client_List!$A:$A,0)),""))</f>
        <v/>
      </c>
      <c r="G2989" s="53">
        <f>IF(B2989="","",IFERROR(INDEX(Client_List!$K:$K,MATCH(VALUE(B2989),Client_List!$A:$A,0)),""))</f>
        <v/>
      </c>
      <c r="H2989" s="32">
        <f>IF(B2989="","",IFERROR(INDEX(Client_List!$J:$J,MATCH(VALUE(B2989),Client_List!$A:$A,0)),""))</f>
        <v/>
      </c>
      <c r="I2989" s="70">
        <f>IF(B2989="","",IFERROR(A2989-LOOKUP(2,1/($B$4:$B2988=B2989),$A$4:$A2988),""))</f>
        <v/>
      </c>
      <c r="J2989" s="32">
        <f>IF(B2989="","",IFERROR(D2989/I2989,""))</f>
        <v/>
      </c>
      <c r="K2989" s="71">
        <f>IF(B2989="","",IFERROR(AVERAGEIFS($J$4:$J2989,$B$4:$B2989,B2989,$J$4:$J2989,"&gt;"&amp;0),""))</f>
        <v/>
      </c>
      <c r="L2989" s="11" t="n"/>
    </row>
    <row r="2990" ht="14" customHeight="1" s="72">
      <c r="A2990" s="83" t="n"/>
      <c r="B2990" s="81" t="n"/>
      <c r="C2990" s="69">
        <f>IF(B2990="","",IFERROR(INDEX(Client_List!$B:$B,MATCH(B2990,Client_List!$A:$A,0)),"⚠ NOT FOUND"))</f>
        <v/>
      </c>
      <c r="D2990" s="45" t="n"/>
      <c r="E2990" s="32">
        <f>IF(B2990="","",IFERROR(INDEX(Client_List!$C:$C,MATCH(VALUE(B2990),Client_List!$A:$A,0)),""))</f>
        <v/>
      </c>
      <c r="F2990" s="53">
        <f>IF(B2990="","",IFERROR(INDEX(Client_List!$D:$D,MATCH(VALUE(B2990),Client_List!$A:$A,0)),""))</f>
        <v/>
      </c>
      <c r="G2990" s="53">
        <f>IF(B2990="","",IFERROR(INDEX(Client_List!$K:$K,MATCH(VALUE(B2990),Client_List!$A:$A,0)),""))</f>
        <v/>
      </c>
      <c r="H2990" s="32">
        <f>IF(B2990="","",IFERROR(INDEX(Client_List!$J:$J,MATCH(VALUE(B2990),Client_List!$A:$A,0)),""))</f>
        <v/>
      </c>
      <c r="I2990" s="70">
        <f>IF(B2990="","",IFERROR(A2990-LOOKUP(2,1/($B$4:$B2989=B2990),$A$4:$A2989),""))</f>
        <v/>
      </c>
      <c r="J2990" s="32">
        <f>IF(B2990="","",IFERROR(D2990/I2990,""))</f>
        <v/>
      </c>
      <c r="K2990" s="71">
        <f>IF(B2990="","",IFERROR(AVERAGEIFS($J$4:$J2990,$B$4:$B2990,B2990,$J$4:$J2990,"&gt;"&amp;0),""))</f>
        <v/>
      </c>
      <c r="L2990" s="12" t="n"/>
    </row>
    <row r="2991" ht="14" customHeight="1" s="72">
      <c r="A2991" s="82" t="n"/>
      <c r="B2991" s="79" t="n"/>
      <c r="C2991" s="69">
        <f>IF(B2991="","",IFERROR(INDEX(Client_List!$B:$B,MATCH(B2991,Client_List!$A:$A,0)),"⚠ NOT FOUND"))</f>
        <v/>
      </c>
      <c r="D2991" s="44" t="n"/>
      <c r="E2991" s="32">
        <f>IF(B2991="","",IFERROR(INDEX(Client_List!$C:$C,MATCH(VALUE(B2991),Client_List!$A:$A,0)),""))</f>
        <v/>
      </c>
      <c r="F2991" s="53">
        <f>IF(B2991="","",IFERROR(INDEX(Client_List!$D:$D,MATCH(VALUE(B2991),Client_List!$A:$A,0)),""))</f>
        <v/>
      </c>
      <c r="G2991" s="53">
        <f>IF(B2991="","",IFERROR(INDEX(Client_List!$K:$K,MATCH(VALUE(B2991),Client_List!$A:$A,0)),""))</f>
        <v/>
      </c>
      <c r="H2991" s="32">
        <f>IF(B2991="","",IFERROR(INDEX(Client_List!$J:$J,MATCH(VALUE(B2991),Client_List!$A:$A,0)),""))</f>
        <v/>
      </c>
      <c r="I2991" s="70">
        <f>IF(B2991="","",IFERROR(A2991-LOOKUP(2,1/($B$4:$B2990=B2991),$A$4:$A2990),""))</f>
        <v/>
      </c>
      <c r="J2991" s="32">
        <f>IF(B2991="","",IFERROR(D2991/I2991,""))</f>
        <v/>
      </c>
      <c r="K2991" s="71">
        <f>IF(B2991="","",IFERROR(AVERAGEIFS($J$4:$J2991,$B$4:$B2991,B2991,$J$4:$J2991,"&gt;"&amp;0),""))</f>
        <v/>
      </c>
      <c r="L2991" s="11" t="n"/>
    </row>
    <row r="2992" ht="14" customHeight="1" s="72">
      <c r="A2992" s="83" t="n"/>
      <c r="B2992" s="81" t="n"/>
      <c r="C2992" s="69">
        <f>IF(B2992="","",IFERROR(INDEX(Client_List!$B:$B,MATCH(B2992,Client_List!$A:$A,0)),"⚠ NOT FOUND"))</f>
        <v/>
      </c>
      <c r="D2992" s="45" t="n"/>
      <c r="E2992" s="32">
        <f>IF(B2992="","",IFERROR(INDEX(Client_List!$C:$C,MATCH(VALUE(B2992),Client_List!$A:$A,0)),""))</f>
        <v/>
      </c>
      <c r="F2992" s="53">
        <f>IF(B2992="","",IFERROR(INDEX(Client_List!$D:$D,MATCH(VALUE(B2992),Client_List!$A:$A,0)),""))</f>
        <v/>
      </c>
      <c r="G2992" s="53">
        <f>IF(B2992="","",IFERROR(INDEX(Client_List!$K:$K,MATCH(VALUE(B2992),Client_List!$A:$A,0)),""))</f>
        <v/>
      </c>
      <c r="H2992" s="32">
        <f>IF(B2992="","",IFERROR(INDEX(Client_List!$J:$J,MATCH(VALUE(B2992),Client_List!$A:$A,0)),""))</f>
        <v/>
      </c>
      <c r="I2992" s="70">
        <f>IF(B2992="","",IFERROR(A2992-LOOKUP(2,1/($B$4:$B2991=B2992),$A$4:$A2991),""))</f>
        <v/>
      </c>
      <c r="J2992" s="32">
        <f>IF(B2992="","",IFERROR(D2992/I2992,""))</f>
        <v/>
      </c>
      <c r="K2992" s="71">
        <f>IF(B2992="","",IFERROR(AVERAGEIFS($J$4:$J2992,$B$4:$B2992,B2992,$J$4:$J2992,"&gt;"&amp;0),""))</f>
        <v/>
      </c>
      <c r="L2992" s="12" t="n"/>
    </row>
    <row r="2993" ht="14" customHeight="1" s="72">
      <c r="A2993" s="82" t="n"/>
      <c r="B2993" s="79" t="n"/>
      <c r="C2993" s="69">
        <f>IF(B2993="","",IFERROR(INDEX(Client_List!$B:$B,MATCH(B2993,Client_List!$A:$A,0)),"⚠ NOT FOUND"))</f>
        <v/>
      </c>
      <c r="D2993" s="44" t="n"/>
      <c r="E2993" s="32">
        <f>IF(B2993="","",IFERROR(INDEX(Client_List!$C:$C,MATCH(VALUE(B2993),Client_List!$A:$A,0)),""))</f>
        <v/>
      </c>
      <c r="F2993" s="53">
        <f>IF(B2993="","",IFERROR(INDEX(Client_List!$D:$D,MATCH(VALUE(B2993),Client_List!$A:$A,0)),""))</f>
        <v/>
      </c>
      <c r="G2993" s="53">
        <f>IF(B2993="","",IFERROR(INDEX(Client_List!$K:$K,MATCH(VALUE(B2993),Client_List!$A:$A,0)),""))</f>
        <v/>
      </c>
      <c r="H2993" s="32">
        <f>IF(B2993="","",IFERROR(INDEX(Client_List!$J:$J,MATCH(VALUE(B2993),Client_List!$A:$A,0)),""))</f>
        <v/>
      </c>
      <c r="I2993" s="70">
        <f>IF(B2993="","",IFERROR(A2993-LOOKUP(2,1/($B$4:$B2992=B2993),$A$4:$A2992),""))</f>
        <v/>
      </c>
      <c r="J2993" s="32">
        <f>IF(B2993="","",IFERROR(D2993/I2993,""))</f>
        <v/>
      </c>
      <c r="K2993" s="71">
        <f>IF(B2993="","",IFERROR(AVERAGEIFS($J$4:$J2993,$B$4:$B2993,B2993,$J$4:$J2993,"&gt;"&amp;0),""))</f>
        <v/>
      </c>
      <c r="L2993" s="11" t="n"/>
    </row>
    <row r="2994" ht="14" customHeight="1" s="72">
      <c r="A2994" s="83" t="n"/>
      <c r="B2994" s="81" t="n"/>
      <c r="C2994" s="69">
        <f>IF(B2994="","",IFERROR(INDEX(Client_List!$B:$B,MATCH(B2994,Client_List!$A:$A,0)),"⚠ NOT FOUND"))</f>
        <v/>
      </c>
      <c r="D2994" s="45" t="n"/>
      <c r="E2994" s="32">
        <f>IF(B2994="","",IFERROR(INDEX(Client_List!$C:$C,MATCH(VALUE(B2994),Client_List!$A:$A,0)),""))</f>
        <v/>
      </c>
      <c r="F2994" s="53">
        <f>IF(B2994="","",IFERROR(INDEX(Client_List!$D:$D,MATCH(VALUE(B2994),Client_List!$A:$A,0)),""))</f>
        <v/>
      </c>
      <c r="G2994" s="53">
        <f>IF(B2994="","",IFERROR(INDEX(Client_List!$K:$K,MATCH(VALUE(B2994),Client_List!$A:$A,0)),""))</f>
        <v/>
      </c>
      <c r="H2994" s="32">
        <f>IF(B2994="","",IFERROR(INDEX(Client_List!$J:$J,MATCH(VALUE(B2994),Client_List!$A:$A,0)),""))</f>
        <v/>
      </c>
      <c r="I2994" s="70">
        <f>IF(B2994="","",IFERROR(A2994-LOOKUP(2,1/($B$4:$B2993=B2994),$A$4:$A2993),""))</f>
        <v/>
      </c>
      <c r="J2994" s="32">
        <f>IF(B2994="","",IFERROR(D2994/I2994,""))</f>
        <v/>
      </c>
      <c r="K2994" s="71">
        <f>IF(B2994="","",IFERROR(AVERAGEIFS($J$4:$J2994,$B$4:$B2994,B2994,$J$4:$J2994,"&gt;"&amp;0),""))</f>
        <v/>
      </c>
      <c r="L2994" s="12" t="n"/>
    </row>
    <row r="2995" ht="14" customHeight="1" s="72">
      <c r="A2995" s="82" t="n"/>
      <c r="B2995" s="79" t="n"/>
      <c r="C2995" s="69">
        <f>IF(B2995="","",IFERROR(INDEX(Client_List!$B:$B,MATCH(B2995,Client_List!$A:$A,0)),"⚠ NOT FOUND"))</f>
        <v/>
      </c>
      <c r="D2995" s="44" t="n"/>
      <c r="E2995" s="32">
        <f>IF(B2995="","",IFERROR(INDEX(Client_List!$C:$C,MATCH(VALUE(B2995),Client_List!$A:$A,0)),""))</f>
        <v/>
      </c>
      <c r="F2995" s="53">
        <f>IF(B2995="","",IFERROR(INDEX(Client_List!$D:$D,MATCH(VALUE(B2995),Client_List!$A:$A,0)),""))</f>
        <v/>
      </c>
      <c r="G2995" s="53">
        <f>IF(B2995="","",IFERROR(INDEX(Client_List!$K:$K,MATCH(VALUE(B2995),Client_List!$A:$A,0)),""))</f>
        <v/>
      </c>
      <c r="H2995" s="32">
        <f>IF(B2995="","",IFERROR(INDEX(Client_List!$J:$J,MATCH(VALUE(B2995),Client_List!$A:$A,0)),""))</f>
        <v/>
      </c>
      <c r="I2995" s="70">
        <f>IF(B2995="","",IFERROR(A2995-LOOKUP(2,1/($B$4:$B2994=B2995),$A$4:$A2994),""))</f>
        <v/>
      </c>
      <c r="J2995" s="32">
        <f>IF(B2995="","",IFERROR(D2995/I2995,""))</f>
        <v/>
      </c>
      <c r="K2995" s="71">
        <f>IF(B2995="","",IFERROR(AVERAGEIFS($J$4:$J2995,$B$4:$B2995,B2995,$J$4:$J2995,"&gt;"&amp;0),""))</f>
        <v/>
      </c>
      <c r="L2995" s="11" t="n"/>
    </row>
    <row r="2996" ht="14" customHeight="1" s="72">
      <c r="A2996" s="83" t="n"/>
      <c r="B2996" s="81" t="n"/>
      <c r="C2996" s="69">
        <f>IF(B2996="","",IFERROR(INDEX(Client_List!$B:$B,MATCH(B2996,Client_List!$A:$A,0)),"⚠ NOT FOUND"))</f>
        <v/>
      </c>
      <c r="D2996" s="45" t="n"/>
      <c r="E2996" s="32">
        <f>IF(B2996="","",IFERROR(INDEX(Client_List!$C:$C,MATCH(VALUE(B2996),Client_List!$A:$A,0)),""))</f>
        <v/>
      </c>
      <c r="F2996" s="53">
        <f>IF(B2996="","",IFERROR(INDEX(Client_List!$D:$D,MATCH(VALUE(B2996),Client_List!$A:$A,0)),""))</f>
        <v/>
      </c>
      <c r="G2996" s="53">
        <f>IF(B2996="","",IFERROR(INDEX(Client_List!$K:$K,MATCH(VALUE(B2996),Client_List!$A:$A,0)),""))</f>
        <v/>
      </c>
      <c r="H2996" s="32">
        <f>IF(B2996="","",IFERROR(INDEX(Client_List!$J:$J,MATCH(VALUE(B2996),Client_List!$A:$A,0)),""))</f>
        <v/>
      </c>
      <c r="I2996" s="70">
        <f>IF(B2996="","",IFERROR(A2996-LOOKUP(2,1/($B$4:$B2995=B2996),$A$4:$A2995),""))</f>
        <v/>
      </c>
      <c r="J2996" s="32">
        <f>IF(B2996="","",IFERROR(D2996/I2996,""))</f>
        <v/>
      </c>
      <c r="K2996" s="71">
        <f>IF(B2996="","",IFERROR(AVERAGEIFS($J$4:$J2996,$B$4:$B2996,B2996,$J$4:$J2996,"&gt;"&amp;0),""))</f>
        <v/>
      </c>
      <c r="L2996" s="12" t="n"/>
    </row>
    <row r="2997" ht="14" customHeight="1" s="72">
      <c r="A2997" s="82" t="n"/>
      <c r="B2997" s="79" t="n"/>
      <c r="C2997" s="69">
        <f>IF(B2997="","",IFERROR(INDEX(Client_List!$B:$B,MATCH(B2997,Client_List!$A:$A,0)),"⚠ NOT FOUND"))</f>
        <v/>
      </c>
      <c r="D2997" s="44" t="n"/>
      <c r="E2997" s="32">
        <f>IF(B2997="","",IFERROR(INDEX(Client_List!$C:$C,MATCH(VALUE(B2997),Client_List!$A:$A,0)),""))</f>
        <v/>
      </c>
      <c r="F2997" s="53">
        <f>IF(B2997="","",IFERROR(INDEX(Client_List!$D:$D,MATCH(VALUE(B2997),Client_List!$A:$A,0)),""))</f>
        <v/>
      </c>
      <c r="G2997" s="53">
        <f>IF(B2997="","",IFERROR(INDEX(Client_List!$K:$K,MATCH(VALUE(B2997),Client_List!$A:$A,0)),""))</f>
        <v/>
      </c>
      <c r="H2997" s="32">
        <f>IF(B2997="","",IFERROR(INDEX(Client_List!$J:$J,MATCH(VALUE(B2997),Client_List!$A:$A,0)),""))</f>
        <v/>
      </c>
      <c r="I2997" s="70">
        <f>IF(B2997="","",IFERROR(A2997-LOOKUP(2,1/($B$4:$B2996=B2997),$A$4:$A2996),""))</f>
        <v/>
      </c>
      <c r="J2997" s="32">
        <f>IF(B2997="","",IFERROR(D2997/I2997,""))</f>
        <v/>
      </c>
      <c r="K2997" s="71">
        <f>IF(B2997="","",IFERROR(AVERAGEIFS($J$4:$J2997,$B$4:$B2997,B2997,$J$4:$J2997,"&gt;"&amp;0),""))</f>
        <v/>
      </c>
      <c r="L2997" s="11" t="n"/>
    </row>
    <row r="2998" ht="14" customHeight="1" s="72">
      <c r="A2998" s="83" t="n"/>
      <c r="B2998" s="81" t="n"/>
      <c r="C2998" s="69">
        <f>IF(B2998="","",IFERROR(INDEX(Client_List!$B:$B,MATCH(B2998,Client_List!$A:$A,0)),"⚠ NOT FOUND"))</f>
        <v/>
      </c>
      <c r="D2998" s="45" t="n"/>
      <c r="E2998" s="32">
        <f>IF(B2998="","",IFERROR(INDEX(Client_List!$C:$C,MATCH(VALUE(B2998),Client_List!$A:$A,0)),""))</f>
        <v/>
      </c>
      <c r="F2998" s="53">
        <f>IF(B2998="","",IFERROR(INDEX(Client_List!$D:$D,MATCH(VALUE(B2998),Client_List!$A:$A,0)),""))</f>
        <v/>
      </c>
      <c r="G2998" s="53">
        <f>IF(B2998="","",IFERROR(INDEX(Client_List!$K:$K,MATCH(VALUE(B2998),Client_List!$A:$A,0)),""))</f>
        <v/>
      </c>
      <c r="H2998" s="32">
        <f>IF(B2998="","",IFERROR(INDEX(Client_List!$J:$J,MATCH(VALUE(B2998),Client_List!$A:$A,0)),""))</f>
        <v/>
      </c>
      <c r="I2998" s="70">
        <f>IF(B2998="","",IFERROR(A2998-LOOKUP(2,1/($B$4:$B2997=B2998),$A$4:$A2997),""))</f>
        <v/>
      </c>
      <c r="J2998" s="32">
        <f>IF(B2998="","",IFERROR(D2998/I2998,""))</f>
        <v/>
      </c>
      <c r="K2998" s="71">
        <f>IF(B2998="","",IFERROR(AVERAGEIFS($J$4:$J2998,$B$4:$B2998,B2998,$J$4:$J2998,"&gt;"&amp;0),""))</f>
        <v/>
      </c>
      <c r="L2998" s="12" t="n"/>
    </row>
    <row r="2999" ht="14" customHeight="1" s="72">
      <c r="A2999" s="82" t="n"/>
      <c r="B2999" s="79" t="n"/>
      <c r="C2999" s="69">
        <f>IF(B2999="","",IFERROR(INDEX(Client_List!$B:$B,MATCH(B2999,Client_List!$A:$A,0)),"⚠ NOT FOUND"))</f>
        <v/>
      </c>
      <c r="D2999" s="44" t="n"/>
      <c r="E2999" s="32">
        <f>IF(B2999="","",IFERROR(INDEX(Client_List!$C:$C,MATCH(VALUE(B2999),Client_List!$A:$A,0)),""))</f>
        <v/>
      </c>
      <c r="F2999" s="53">
        <f>IF(B2999="","",IFERROR(INDEX(Client_List!$D:$D,MATCH(VALUE(B2999),Client_List!$A:$A,0)),""))</f>
        <v/>
      </c>
      <c r="G2999" s="53">
        <f>IF(B2999="","",IFERROR(INDEX(Client_List!$K:$K,MATCH(VALUE(B2999),Client_List!$A:$A,0)),""))</f>
        <v/>
      </c>
      <c r="H2999" s="32">
        <f>IF(B2999="","",IFERROR(INDEX(Client_List!$J:$J,MATCH(VALUE(B2999),Client_List!$A:$A,0)),""))</f>
        <v/>
      </c>
      <c r="I2999" s="70">
        <f>IF(B2999="","",IFERROR(A2999-LOOKUP(2,1/($B$4:$B2998=B2999),$A$4:$A2998),""))</f>
        <v/>
      </c>
      <c r="J2999" s="32">
        <f>IF(B2999="","",IFERROR(D2999/I2999,""))</f>
        <v/>
      </c>
      <c r="K2999" s="71">
        <f>IF(B2999="","",IFERROR(AVERAGEIFS($J$4:$J2999,$B$4:$B2999,B2999,$J$4:$J2999,"&gt;"&amp;0),""))</f>
        <v/>
      </c>
      <c r="L2999" s="11" t="n"/>
    </row>
    <row r="3000" ht="14" customHeight="1" s="72">
      <c r="A3000" s="83" t="n"/>
      <c r="B3000" s="81" t="n"/>
      <c r="C3000" s="69">
        <f>IF(B3000="","",IFERROR(INDEX(Client_List!$B:$B,MATCH(B3000,Client_List!$A:$A,0)),"⚠ NOT FOUND"))</f>
        <v/>
      </c>
      <c r="D3000" s="45" t="n"/>
      <c r="E3000" s="32">
        <f>IF(B3000="","",IFERROR(INDEX(Client_List!$C:$C,MATCH(VALUE(B3000),Client_List!$A:$A,0)),""))</f>
        <v/>
      </c>
      <c r="F3000" s="53">
        <f>IF(B3000="","",IFERROR(INDEX(Client_List!$D:$D,MATCH(VALUE(B3000),Client_List!$A:$A,0)),""))</f>
        <v/>
      </c>
      <c r="G3000" s="53">
        <f>IF(B3000="","",IFERROR(INDEX(Client_List!$K:$K,MATCH(VALUE(B3000),Client_List!$A:$A,0)),""))</f>
        <v/>
      </c>
      <c r="H3000" s="32">
        <f>IF(B3000="","",IFERROR(INDEX(Client_List!$J:$J,MATCH(VALUE(B3000),Client_List!$A:$A,0)),""))</f>
        <v/>
      </c>
      <c r="I3000" s="70">
        <f>IF(B3000="","",IFERROR(A3000-LOOKUP(2,1/($B$4:$B2999=B3000),$A$4:$A2999),""))</f>
        <v/>
      </c>
      <c r="J3000" s="32">
        <f>IF(B3000="","",IFERROR(D3000/I3000,""))</f>
        <v/>
      </c>
      <c r="K3000" s="71">
        <f>IF(B3000="","",IFERROR(AVERAGEIFS($J$4:$J3000,$B$4:$B3000,B3000,$J$4:$J3000,"&gt;"&amp;0),""))</f>
        <v/>
      </c>
      <c r="L3000" s="12" t="n"/>
    </row>
    <row r="3001" ht="14" customHeight="1" s="72">
      <c r="A3001" s="82" t="n"/>
      <c r="B3001" s="79" t="n"/>
      <c r="C3001" s="69">
        <f>IF(B3001="","",IFERROR(INDEX(Client_List!$B:$B,MATCH(B3001,Client_List!$A:$A,0)),"⚠ NOT FOUND"))</f>
        <v/>
      </c>
      <c r="D3001" s="44" t="n"/>
      <c r="E3001" s="32">
        <f>IF(B3001="","",IFERROR(INDEX(Client_List!$C:$C,MATCH(VALUE(B3001),Client_List!$A:$A,0)),""))</f>
        <v/>
      </c>
      <c r="F3001" s="53">
        <f>IF(B3001="","",IFERROR(INDEX(Client_List!$D:$D,MATCH(VALUE(B3001),Client_List!$A:$A,0)),""))</f>
        <v/>
      </c>
      <c r="G3001" s="53">
        <f>IF(B3001="","",IFERROR(INDEX(Client_List!$K:$K,MATCH(VALUE(B3001),Client_List!$A:$A,0)),""))</f>
        <v/>
      </c>
      <c r="H3001" s="32">
        <f>IF(B3001="","",IFERROR(INDEX(Client_List!$J:$J,MATCH(VALUE(B3001),Client_List!$A:$A,0)),""))</f>
        <v/>
      </c>
      <c r="I3001" s="70">
        <f>IF(B3001="","",IFERROR(A3001-LOOKUP(2,1/($B$4:$B3000=B3001),$A$4:$A3000),""))</f>
        <v/>
      </c>
      <c r="J3001" s="32">
        <f>IF(B3001="","",IFERROR(D3001/I3001,""))</f>
        <v/>
      </c>
      <c r="K3001" s="71">
        <f>IF(B3001="","",IFERROR(AVERAGEIFS($J$4:$J3001,$B$4:$B3001,B3001,$J$4:$J3001,"&gt;"&amp;0),""))</f>
        <v/>
      </c>
      <c r="L3001" s="11" t="n"/>
    </row>
    <row r="3002" ht="14" customHeight="1" s="72">
      <c r="A3002" s="83" t="n"/>
      <c r="B3002" s="81" t="n"/>
      <c r="C3002" s="69">
        <f>IF(B3002="","",IFERROR(INDEX(Client_List!$B:$B,MATCH(B3002,Client_List!$A:$A,0)),"⚠ NOT FOUND"))</f>
        <v/>
      </c>
      <c r="D3002" s="45" t="n"/>
      <c r="E3002" s="32">
        <f>IF(B3002="","",IFERROR(INDEX(Client_List!$C:$C,MATCH(VALUE(B3002),Client_List!$A:$A,0)),""))</f>
        <v/>
      </c>
      <c r="F3002" s="53">
        <f>IF(B3002="","",IFERROR(INDEX(Client_List!$D:$D,MATCH(VALUE(B3002),Client_List!$A:$A,0)),""))</f>
        <v/>
      </c>
      <c r="G3002" s="53">
        <f>IF(B3002="","",IFERROR(INDEX(Client_List!$K:$K,MATCH(VALUE(B3002),Client_List!$A:$A,0)),""))</f>
        <v/>
      </c>
      <c r="H3002" s="32">
        <f>IF(B3002="","",IFERROR(INDEX(Client_List!$J:$J,MATCH(VALUE(B3002),Client_List!$A:$A,0)),""))</f>
        <v/>
      </c>
      <c r="I3002" s="70">
        <f>IF(B3002="","",IFERROR(A3002-LOOKUP(2,1/($B$4:$B3001=B3002),$A$4:$A3001),""))</f>
        <v/>
      </c>
      <c r="J3002" s="32">
        <f>IF(B3002="","",IFERROR(D3002/I3002,""))</f>
        <v/>
      </c>
      <c r="K3002" s="71">
        <f>IF(B3002="","",IFERROR(AVERAGEIFS($J$4:$J3002,$B$4:$B3002,B3002,$J$4:$J3002,"&gt;"&amp;0),""))</f>
        <v/>
      </c>
      <c r="L3002" s="12" t="n"/>
    </row>
    <row r="3003" ht="14" customHeight="1" s="72">
      <c r="A3003" s="82" t="n"/>
      <c r="B3003" s="79" t="n"/>
      <c r="C3003" s="69">
        <f>IF(B3003="","",IFERROR(INDEX(Client_List!$B:$B,MATCH(B3003,Client_List!$A:$A,0)),"⚠ NOT FOUND"))</f>
        <v/>
      </c>
      <c r="D3003" s="44" t="n"/>
      <c r="E3003" s="32">
        <f>IF(B3003="","",IFERROR(INDEX(Client_List!$C:$C,MATCH(VALUE(B3003),Client_List!$A:$A,0)),""))</f>
        <v/>
      </c>
      <c r="F3003" s="53">
        <f>IF(B3003="","",IFERROR(INDEX(Client_List!$D:$D,MATCH(VALUE(B3003),Client_List!$A:$A,0)),""))</f>
        <v/>
      </c>
      <c r="G3003" s="53">
        <f>IF(B3003="","",IFERROR(INDEX(Client_List!$K:$K,MATCH(VALUE(B3003),Client_List!$A:$A,0)),""))</f>
        <v/>
      </c>
      <c r="H3003" s="32">
        <f>IF(B3003="","",IFERROR(INDEX(Client_List!$J:$J,MATCH(VALUE(B3003),Client_List!$A:$A,0)),""))</f>
        <v/>
      </c>
      <c r="I3003" s="70">
        <f>IF(B3003="","",IFERROR(A3003-LOOKUP(2,1/($B$4:$B3002=B3003),$A$4:$A3002),""))</f>
        <v/>
      </c>
      <c r="J3003" s="32">
        <f>IF(B3003="","",IFERROR(D3003/I3003,""))</f>
        <v/>
      </c>
      <c r="K3003" s="71">
        <f>IF(B3003="","",IFERROR(AVERAGEIFS($J$4:$J3003,$B$4:$B3003,B3003,$J$4:$J3003,"&gt;"&amp;0),""))</f>
        <v/>
      </c>
      <c r="L3003" s="11" t="n"/>
    </row>
    <row r="3004" ht="14" customHeight="1" s="72">
      <c r="A3004" s="83" t="n"/>
      <c r="B3004" s="81" t="n"/>
      <c r="C3004" s="69">
        <f>IF(B3004="","",IFERROR(INDEX(Client_List!$B:$B,MATCH(B3004,Client_List!$A:$A,0)),"⚠ NOT FOUND"))</f>
        <v/>
      </c>
      <c r="D3004" s="45" t="n"/>
      <c r="E3004" s="32">
        <f>IF(B3004="","",IFERROR(INDEX(Client_List!$C:$C,MATCH(VALUE(B3004),Client_List!$A:$A,0)),""))</f>
        <v/>
      </c>
      <c r="F3004" s="53">
        <f>IF(B3004="","",IFERROR(INDEX(Client_List!$D:$D,MATCH(VALUE(B3004),Client_List!$A:$A,0)),""))</f>
        <v/>
      </c>
      <c r="G3004" s="53">
        <f>IF(B3004="","",IFERROR(INDEX(Client_List!$K:$K,MATCH(VALUE(B3004),Client_List!$A:$A,0)),""))</f>
        <v/>
      </c>
      <c r="H3004" s="32">
        <f>IF(B3004="","",IFERROR(INDEX(Client_List!$J:$J,MATCH(VALUE(B3004),Client_List!$A:$A,0)),""))</f>
        <v/>
      </c>
      <c r="I3004" s="70">
        <f>IF(B3004="","",IFERROR(A3004-LOOKUP(2,1/($B$4:$B3003=B3004),$A$4:$A3003),""))</f>
        <v/>
      </c>
      <c r="J3004" s="32">
        <f>IF(B3004="","",IFERROR(D3004/I3004,""))</f>
        <v/>
      </c>
      <c r="K3004" s="71">
        <f>IF(B3004="","",IFERROR(AVERAGEIFS($J$4:$J3004,$B$4:$B3004,B3004,$J$4:$J3004,"&gt;"&amp;0),""))</f>
        <v/>
      </c>
      <c r="L3004" s="12" t="n"/>
    </row>
    <row r="3005" ht="14" customHeight="1" s="72">
      <c r="A3005" s="82" t="n"/>
      <c r="B3005" s="79" t="n"/>
      <c r="C3005" s="69">
        <f>IF(B3005="","",IFERROR(INDEX(Client_List!$B:$B,MATCH(B3005,Client_List!$A:$A,0)),"⚠ NOT FOUND"))</f>
        <v/>
      </c>
      <c r="D3005" s="44" t="n"/>
      <c r="E3005" s="32">
        <f>IF(B3005="","",IFERROR(INDEX(Client_List!$C:$C,MATCH(VALUE(B3005),Client_List!$A:$A,0)),""))</f>
        <v/>
      </c>
      <c r="F3005" s="53">
        <f>IF(B3005="","",IFERROR(INDEX(Client_List!$D:$D,MATCH(VALUE(B3005),Client_List!$A:$A,0)),""))</f>
        <v/>
      </c>
      <c r="G3005" s="53">
        <f>IF(B3005="","",IFERROR(INDEX(Client_List!$K:$K,MATCH(VALUE(B3005),Client_List!$A:$A,0)),""))</f>
        <v/>
      </c>
      <c r="H3005" s="32">
        <f>IF(B3005="","",IFERROR(INDEX(Client_List!$J:$J,MATCH(VALUE(B3005),Client_List!$A:$A,0)),""))</f>
        <v/>
      </c>
      <c r="I3005" s="70">
        <f>IF(B3005="","",IFERROR(A3005-LOOKUP(2,1/($B$4:$B3004=B3005),$A$4:$A3004),""))</f>
        <v/>
      </c>
      <c r="J3005" s="32">
        <f>IF(B3005="","",IFERROR(D3005/I3005,""))</f>
        <v/>
      </c>
      <c r="K3005" s="71">
        <f>IF(B3005="","",IFERROR(AVERAGEIFS($J$4:$J3005,$B$4:$B3005,B3005,$J$4:$J3005,"&gt;"&amp;0),""))</f>
        <v/>
      </c>
      <c r="L3005" s="11" t="n"/>
    </row>
    <row r="3006" ht="14" customHeight="1" s="72">
      <c r="A3006" s="83" t="n"/>
      <c r="B3006" s="81" t="n"/>
      <c r="C3006" s="69">
        <f>IF(B3006="","",IFERROR(INDEX(Client_List!$B:$B,MATCH(B3006,Client_List!$A:$A,0)),"⚠ NOT FOUND"))</f>
        <v/>
      </c>
      <c r="D3006" s="45" t="n"/>
      <c r="E3006" s="32">
        <f>IF(B3006="","",IFERROR(INDEX(Client_List!$C:$C,MATCH(VALUE(B3006),Client_List!$A:$A,0)),""))</f>
        <v/>
      </c>
      <c r="F3006" s="53">
        <f>IF(B3006="","",IFERROR(INDEX(Client_List!$D:$D,MATCH(VALUE(B3006),Client_List!$A:$A,0)),""))</f>
        <v/>
      </c>
      <c r="G3006" s="53">
        <f>IF(B3006="","",IFERROR(INDEX(Client_List!$K:$K,MATCH(VALUE(B3006),Client_List!$A:$A,0)),""))</f>
        <v/>
      </c>
      <c r="H3006" s="32">
        <f>IF(B3006="","",IFERROR(INDEX(Client_List!$J:$J,MATCH(VALUE(B3006),Client_List!$A:$A,0)),""))</f>
        <v/>
      </c>
      <c r="I3006" s="70">
        <f>IF(B3006="","",IFERROR(A3006-LOOKUP(2,1/($B$4:$B3005=B3006),$A$4:$A3005),""))</f>
        <v/>
      </c>
      <c r="J3006" s="32">
        <f>IF(B3006="","",IFERROR(D3006/I3006,""))</f>
        <v/>
      </c>
      <c r="K3006" s="71">
        <f>IF(B3006="","",IFERROR(AVERAGEIFS($J$4:$J3006,$B$4:$B3006,B3006,$J$4:$J3006,"&gt;"&amp;0),""))</f>
        <v/>
      </c>
      <c r="L3006" s="12" t="n"/>
    </row>
    <row r="3007" ht="14" customHeight="1" s="72">
      <c r="A3007" s="82" t="n"/>
      <c r="B3007" s="79" t="n"/>
      <c r="C3007" s="69">
        <f>IF(B3007="","",IFERROR(INDEX(Client_List!$B:$B,MATCH(B3007,Client_List!$A:$A,0)),"⚠ NOT FOUND"))</f>
        <v/>
      </c>
      <c r="D3007" s="44" t="n"/>
      <c r="E3007" s="32">
        <f>IF(B3007="","",IFERROR(INDEX(Client_List!$C:$C,MATCH(VALUE(B3007),Client_List!$A:$A,0)),""))</f>
        <v/>
      </c>
      <c r="F3007" s="53">
        <f>IF(B3007="","",IFERROR(INDEX(Client_List!$D:$D,MATCH(VALUE(B3007),Client_List!$A:$A,0)),""))</f>
        <v/>
      </c>
      <c r="G3007" s="53">
        <f>IF(B3007="","",IFERROR(INDEX(Client_List!$K:$K,MATCH(VALUE(B3007),Client_List!$A:$A,0)),""))</f>
        <v/>
      </c>
      <c r="H3007" s="32">
        <f>IF(B3007="","",IFERROR(INDEX(Client_List!$J:$J,MATCH(VALUE(B3007),Client_List!$A:$A,0)),""))</f>
        <v/>
      </c>
      <c r="I3007" s="70">
        <f>IF(B3007="","",IFERROR(A3007-LOOKUP(2,1/($B$4:$B3006=B3007),$A$4:$A3006),""))</f>
        <v/>
      </c>
      <c r="J3007" s="32">
        <f>IF(B3007="","",IFERROR(D3007/I3007,""))</f>
        <v/>
      </c>
      <c r="K3007" s="71">
        <f>IF(B3007="","",IFERROR(AVERAGEIFS($J$4:$J3007,$B$4:$B3007,B3007,$J$4:$J3007,"&gt;"&amp;0),""))</f>
        <v/>
      </c>
      <c r="L3007" s="11" t="n"/>
    </row>
    <row r="3008" ht="14" customHeight="1" s="72">
      <c r="A3008" s="83" t="n"/>
      <c r="B3008" s="81" t="n"/>
      <c r="C3008" s="69">
        <f>IF(B3008="","",IFERROR(INDEX(Client_List!$B:$B,MATCH(B3008,Client_List!$A:$A,0)),"⚠ NOT FOUND"))</f>
        <v/>
      </c>
      <c r="D3008" s="45" t="n"/>
      <c r="E3008" s="32">
        <f>IF(B3008="","",IFERROR(INDEX(Client_List!$C:$C,MATCH(VALUE(B3008),Client_List!$A:$A,0)),""))</f>
        <v/>
      </c>
      <c r="F3008" s="53">
        <f>IF(B3008="","",IFERROR(INDEX(Client_List!$D:$D,MATCH(VALUE(B3008),Client_List!$A:$A,0)),""))</f>
        <v/>
      </c>
      <c r="G3008" s="53">
        <f>IF(B3008="","",IFERROR(INDEX(Client_List!$K:$K,MATCH(VALUE(B3008),Client_List!$A:$A,0)),""))</f>
        <v/>
      </c>
      <c r="H3008" s="32">
        <f>IF(B3008="","",IFERROR(INDEX(Client_List!$J:$J,MATCH(VALUE(B3008),Client_List!$A:$A,0)),""))</f>
        <v/>
      </c>
      <c r="I3008" s="70">
        <f>IF(B3008="","",IFERROR(A3008-LOOKUP(2,1/($B$4:$B3007=B3008),$A$4:$A3007),""))</f>
        <v/>
      </c>
      <c r="J3008" s="32">
        <f>IF(B3008="","",IFERROR(D3008/I3008,""))</f>
        <v/>
      </c>
      <c r="K3008" s="71">
        <f>IF(B3008="","",IFERROR(AVERAGEIFS($J$4:$J3008,$B$4:$B3008,B3008,$J$4:$J3008,"&gt;"&amp;0),""))</f>
        <v/>
      </c>
      <c r="L3008" s="12" t="n"/>
    </row>
    <row r="3009" ht="14" customHeight="1" s="72">
      <c r="A3009" s="82" t="n"/>
      <c r="B3009" s="79" t="n"/>
      <c r="C3009" s="69">
        <f>IF(B3009="","",IFERROR(INDEX(Client_List!$B:$B,MATCH(B3009,Client_List!$A:$A,0)),"⚠ NOT FOUND"))</f>
        <v/>
      </c>
      <c r="D3009" s="44" t="n"/>
      <c r="E3009" s="32">
        <f>IF(B3009="","",IFERROR(INDEX(Client_List!$C:$C,MATCH(VALUE(B3009),Client_List!$A:$A,0)),""))</f>
        <v/>
      </c>
      <c r="F3009" s="53">
        <f>IF(B3009="","",IFERROR(INDEX(Client_List!$D:$D,MATCH(VALUE(B3009),Client_List!$A:$A,0)),""))</f>
        <v/>
      </c>
      <c r="G3009" s="53">
        <f>IF(B3009="","",IFERROR(INDEX(Client_List!$K:$K,MATCH(VALUE(B3009),Client_List!$A:$A,0)),""))</f>
        <v/>
      </c>
      <c r="H3009" s="32">
        <f>IF(B3009="","",IFERROR(INDEX(Client_List!$J:$J,MATCH(VALUE(B3009),Client_List!$A:$A,0)),""))</f>
        <v/>
      </c>
      <c r="I3009" s="70">
        <f>IF(B3009="","",IFERROR(A3009-LOOKUP(2,1/($B$4:$B3008=B3009),$A$4:$A3008),""))</f>
        <v/>
      </c>
      <c r="J3009" s="32">
        <f>IF(B3009="","",IFERROR(D3009/I3009,""))</f>
        <v/>
      </c>
      <c r="K3009" s="71">
        <f>IF(B3009="","",IFERROR(AVERAGEIFS($J$4:$J3009,$B$4:$B3009,B3009,$J$4:$J3009,"&gt;"&amp;0),""))</f>
        <v/>
      </c>
      <c r="L3009" s="11" t="n"/>
    </row>
    <row r="3010" ht="14" customHeight="1" s="72">
      <c r="A3010" s="83" t="n"/>
      <c r="B3010" s="81" t="n"/>
      <c r="C3010" s="69">
        <f>IF(B3010="","",IFERROR(INDEX(Client_List!$B:$B,MATCH(B3010,Client_List!$A:$A,0)),"⚠ NOT FOUND"))</f>
        <v/>
      </c>
      <c r="D3010" s="45" t="n"/>
      <c r="E3010" s="32">
        <f>IF(B3010="","",IFERROR(INDEX(Client_List!$C:$C,MATCH(VALUE(B3010),Client_List!$A:$A,0)),""))</f>
        <v/>
      </c>
      <c r="F3010" s="53">
        <f>IF(B3010="","",IFERROR(INDEX(Client_List!$D:$D,MATCH(VALUE(B3010),Client_List!$A:$A,0)),""))</f>
        <v/>
      </c>
      <c r="G3010" s="53">
        <f>IF(B3010="","",IFERROR(INDEX(Client_List!$K:$K,MATCH(VALUE(B3010),Client_List!$A:$A,0)),""))</f>
        <v/>
      </c>
      <c r="H3010" s="32">
        <f>IF(B3010="","",IFERROR(INDEX(Client_List!$J:$J,MATCH(VALUE(B3010),Client_List!$A:$A,0)),""))</f>
        <v/>
      </c>
      <c r="I3010" s="70">
        <f>IF(B3010="","",IFERROR(A3010-LOOKUP(2,1/($B$4:$B3009=B3010),$A$4:$A3009),""))</f>
        <v/>
      </c>
      <c r="J3010" s="32">
        <f>IF(B3010="","",IFERROR(D3010/I3010,""))</f>
        <v/>
      </c>
      <c r="K3010" s="71">
        <f>IF(B3010="","",IFERROR(AVERAGEIFS($J$4:$J3010,$B$4:$B3010,B3010,$J$4:$J3010,"&gt;"&amp;0),""))</f>
        <v/>
      </c>
      <c r="L3010" s="12" t="n"/>
    </row>
    <row r="3011" ht="14" customHeight="1" s="72">
      <c r="A3011" s="82" t="n"/>
      <c r="B3011" s="79" t="n"/>
      <c r="C3011" s="69">
        <f>IF(B3011="","",IFERROR(INDEX(Client_List!$B:$B,MATCH(B3011,Client_List!$A:$A,0)),"⚠ NOT FOUND"))</f>
        <v/>
      </c>
      <c r="D3011" s="44" t="n"/>
      <c r="E3011" s="32">
        <f>IF(B3011="","",IFERROR(INDEX(Client_List!$C:$C,MATCH(VALUE(B3011),Client_List!$A:$A,0)),""))</f>
        <v/>
      </c>
      <c r="F3011" s="53">
        <f>IF(B3011="","",IFERROR(INDEX(Client_List!$D:$D,MATCH(VALUE(B3011),Client_List!$A:$A,0)),""))</f>
        <v/>
      </c>
      <c r="G3011" s="53">
        <f>IF(B3011="","",IFERROR(INDEX(Client_List!$K:$K,MATCH(VALUE(B3011),Client_List!$A:$A,0)),""))</f>
        <v/>
      </c>
      <c r="H3011" s="32">
        <f>IF(B3011="","",IFERROR(INDEX(Client_List!$J:$J,MATCH(VALUE(B3011),Client_List!$A:$A,0)),""))</f>
        <v/>
      </c>
      <c r="I3011" s="70">
        <f>IF(B3011="","",IFERROR(A3011-LOOKUP(2,1/($B$4:$B3010=B3011),$A$4:$A3010),""))</f>
        <v/>
      </c>
      <c r="J3011" s="32">
        <f>IF(B3011="","",IFERROR(D3011/I3011,""))</f>
        <v/>
      </c>
      <c r="K3011" s="71">
        <f>IF(B3011="","",IFERROR(AVERAGEIFS($J$4:$J3011,$B$4:$B3011,B3011,$J$4:$J3011,"&gt;"&amp;0),""))</f>
        <v/>
      </c>
      <c r="L3011" s="11" t="n"/>
    </row>
    <row r="3012" ht="14" customHeight="1" s="72">
      <c r="A3012" s="83" t="n"/>
      <c r="B3012" s="81" t="n"/>
      <c r="C3012" s="69">
        <f>IF(B3012="","",IFERROR(INDEX(Client_List!$B:$B,MATCH(B3012,Client_List!$A:$A,0)),"⚠ NOT FOUND"))</f>
        <v/>
      </c>
      <c r="D3012" s="45" t="n"/>
      <c r="E3012" s="32">
        <f>IF(B3012="","",IFERROR(INDEX(Client_List!$C:$C,MATCH(VALUE(B3012),Client_List!$A:$A,0)),""))</f>
        <v/>
      </c>
      <c r="F3012" s="53">
        <f>IF(B3012="","",IFERROR(INDEX(Client_List!$D:$D,MATCH(VALUE(B3012),Client_List!$A:$A,0)),""))</f>
        <v/>
      </c>
      <c r="G3012" s="53">
        <f>IF(B3012="","",IFERROR(INDEX(Client_List!$K:$K,MATCH(VALUE(B3012),Client_List!$A:$A,0)),""))</f>
        <v/>
      </c>
      <c r="H3012" s="32">
        <f>IF(B3012="","",IFERROR(INDEX(Client_List!$J:$J,MATCH(VALUE(B3012),Client_List!$A:$A,0)),""))</f>
        <v/>
      </c>
      <c r="I3012" s="70">
        <f>IF(B3012="","",IFERROR(A3012-LOOKUP(2,1/($B$4:$B3011=B3012),$A$4:$A3011),""))</f>
        <v/>
      </c>
      <c r="J3012" s="32">
        <f>IF(B3012="","",IFERROR(D3012/I3012,""))</f>
        <v/>
      </c>
      <c r="K3012" s="71">
        <f>IF(B3012="","",IFERROR(AVERAGEIFS($J$4:$J3012,$B$4:$B3012,B3012,$J$4:$J3012,"&gt;"&amp;0),""))</f>
        <v/>
      </c>
      <c r="L3012" s="12" t="n"/>
    </row>
    <row r="3013" ht="14" customHeight="1" s="72">
      <c r="A3013" s="82" t="n"/>
      <c r="B3013" s="79" t="n"/>
      <c r="C3013" s="69">
        <f>IF(B3013="","",IFERROR(INDEX(Client_List!$B:$B,MATCH(B3013,Client_List!$A:$A,0)),"⚠ NOT FOUND"))</f>
        <v/>
      </c>
      <c r="D3013" s="44" t="n"/>
      <c r="E3013" s="32">
        <f>IF(B3013="","",IFERROR(INDEX(Client_List!$C:$C,MATCH(VALUE(B3013),Client_List!$A:$A,0)),""))</f>
        <v/>
      </c>
      <c r="F3013" s="53">
        <f>IF(B3013="","",IFERROR(INDEX(Client_List!$D:$D,MATCH(VALUE(B3013),Client_List!$A:$A,0)),""))</f>
        <v/>
      </c>
      <c r="G3013" s="53">
        <f>IF(B3013="","",IFERROR(INDEX(Client_List!$K:$K,MATCH(VALUE(B3013),Client_List!$A:$A,0)),""))</f>
        <v/>
      </c>
      <c r="H3013" s="32">
        <f>IF(B3013="","",IFERROR(INDEX(Client_List!$J:$J,MATCH(VALUE(B3013),Client_List!$A:$A,0)),""))</f>
        <v/>
      </c>
      <c r="I3013" s="70">
        <f>IF(B3013="","",IFERROR(A3013-LOOKUP(2,1/($B$4:$B3012=B3013),$A$4:$A3012),""))</f>
        <v/>
      </c>
      <c r="J3013" s="32">
        <f>IF(B3013="","",IFERROR(D3013/I3013,""))</f>
        <v/>
      </c>
      <c r="K3013" s="71">
        <f>IF(B3013="","",IFERROR(AVERAGEIFS($J$4:$J3013,$B$4:$B3013,B3013,$J$4:$J3013,"&gt;"&amp;0),""))</f>
        <v/>
      </c>
      <c r="L3013" s="11" t="n"/>
    </row>
    <row r="3014" ht="14" customHeight="1" s="72">
      <c r="A3014" s="83" t="n"/>
      <c r="B3014" s="81" t="n"/>
      <c r="C3014" s="69">
        <f>IF(B3014="","",IFERROR(INDEX(Client_List!$B:$B,MATCH(B3014,Client_List!$A:$A,0)),"⚠ NOT FOUND"))</f>
        <v/>
      </c>
      <c r="D3014" s="45" t="n"/>
      <c r="E3014" s="32">
        <f>IF(B3014="","",IFERROR(INDEX(Client_List!$C:$C,MATCH(VALUE(B3014),Client_List!$A:$A,0)),""))</f>
        <v/>
      </c>
      <c r="F3014" s="53">
        <f>IF(B3014="","",IFERROR(INDEX(Client_List!$D:$D,MATCH(VALUE(B3014),Client_List!$A:$A,0)),""))</f>
        <v/>
      </c>
      <c r="G3014" s="53">
        <f>IF(B3014="","",IFERROR(INDEX(Client_List!$K:$K,MATCH(VALUE(B3014),Client_List!$A:$A,0)),""))</f>
        <v/>
      </c>
      <c r="H3014" s="32">
        <f>IF(B3014="","",IFERROR(INDEX(Client_List!$J:$J,MATCH(VALUE(B3014),Client_List!$A:$A,0)),""))</f>
        <v/>
      </c>
      <c r="I3014" s="70">
        <f>IF(B3014="","",IFERROR(A3014-LOOKUP(2,1/($B$4:$B3013=B3014),$A$4:$A3013),""))</f>
        <v/>
      </c>
      <c r="J3014" s="32">
        <f>IF(B3014="","",IFERROR(D3014/I3014,""))</f>
        <v/>
      </c>
      <c r="K3014" s="71">
        <f>IF(B3014="","",IFERROR(AVERAGEIFS($J$4:$J3014,$B$4:$B3014,B3014,$J$4:$J3014,"&gt;"&amp;0),""))</f>
        <v/>
      </c>
      <c r="L3014" s="12" t="n"/>
    </row>
    <row r="3015" ht="14" customHeight="1" s="72">
      <c r="A3015" s="82" t="n"/>
      <c r="B3015" s="79" t="n"/>
      <c r="C3015" s="69">
        <f>IF(B3015="","",IFERROR(INDEX(Client_List!$B:$B,MATCH(B3015,Client_List!$A:$A,0)),"⚠ NOT FOUND"))</f>
        <v/>
      </c>
      <c r="D3015" s="44" t="n"/>
      <c r="E3015" s="32">
        <f>IF(B3015="","",IFERROR(INDEX(Client_List!$C:$C,MATCH(VALUE(B3015),Client_List!$A:$A,0)),""))</f>
        <v/>
      </c>
      <c r="F3015" s="53">
        <f>IF(B3015="","",IFERROR(INDEX(Client_List!$D:$D,MATCH(VALUE(B3015),Client_List!$A:$A,0)),""))</f>
        <v/>
      </c>
      <c r="G3015" s="53">
        <f>IF(B3015="","",IFERROR(INDEX(Client_List!$K:$K,MATCH(VALUE(B3015),Client_List!$A:$A,0)),""))</f>
        <v/>
      </c>
      <c r="H3015" s="32">
        <f>IF(B3015="","",IFERROR(INDEX(Client_List!$J:$J,MATCH(VALUE(B3015),Client_List!$A:$A,0)),""))</f>
        <v/>
      </c>
      <c r="I3015" s="70">
        <f>IF(B3015="","",IFERROR(A3015-LOOKUP(2,1/($B$4:$B3014=B3015),$A$4:$A3014),""))</f>
        <v/>
      </c>
      <c r="J3015" s="32">
        <f>IF(B3015="","",IFERROR(D3015/I3015,""))</f>
        <v/>
      </c>
      <c r="K3015" s="71">
        <f>IF(B3015="","",IFERROR(AVERAGEIFS($J$4:$J3015,$B$4:$B3015,B3015,$J$4:$J3015,"&gt;"&amp;0),""))</f>
        <v/>
      </c>
      <c r="L3015" s="11" t="n"/>
    </row>
    <row r="3016" ht="14" customHeight="1" s="72">
      <c r="A3016" s="83" t="n"/>
      <c r="B3016" s="81" t="n"/>
      <c r="C3016" s="69">
        <f>IF(B3016="","",IFERROR(INDEX(Client_List!$B:$B,MATCH(B3016,Client_List!$A:$A,0)),"⚠ NOT FOUND"))</f>
        <v/>
      </c>
      <c r="D3016" s="45" t="n"/>
      <c r="E3016" s="32">
        <f>IF(B3016="","",IFERROR(INDEX(Client_List!$C:$C,MATCH(VALUE(B3016),Client_List!$A:$A,0)),""))</f>
        <v/>
      </c>
      <c r="F3016" s="53">
        <f>IF(B3016="","",IFERROR(INDEX(Client_List!$D:$D,MATCH(VALUE(B3016),Client_List!$A:$A,0)),""))</f>
        <v/>
      </c>
      <c r="G3016" s="53">
        <f>IF(B3016="","",IFERROR(INDEX(Client_List!$K:$K,MATCH(VALUE(B3016),Client_List!$A:$A,0)),""))</f>
        <v/>
      </c>
      <c r="H3016" s="32">
        <f>IF(B3016="","",IFERROR(INDEX(Client_List!$J:$J,MATCH(VALUE(B3016),Client_List!$A:$A,0)),""))</f>
        <v/>
      </c>
      <c r="I3016" s="70">
        <f>IF(B3016="","",IFERROR(A3016-LOOKUP(2,1/($B$4:$B3015=B3016),$A$4:$A3015),""))</f>
        <v/>
      </c>
      <c r="J3016" s="32">
        <f>IF(B3016="","",IFERROR(D3016/I3016,""))</f>
        <v/>
      </c>
      <c r="K3016" s="71">
        <f>IF(B3016="","",IFERROR(AVERAGEIFS($J$4:$J3016,$B$4:$B3016,B3016,$J$4:$J3016,"&gt;"&amp;0),""))</f>
        <v/>
      </c>
      <c r="L3016" s="12" t="n"/>
    </row>
    <row r="3017" ht="14" customHeight="1" s="72">
      <c r="A3017" s="82" t="n"/>
      <c r="B3017" s="79" t="n"/>
      <c r="C3017" s="69">
        <f>IF(B3017="","",IFERROR(INDEX(Client_List!$B:$B,MATCH(B3017,Client_List!$A:$A,0)),"⚠ NOT FOUND"))</f>
        <v/>
      </c>
      <c r="D3017" s="44" t="n"/>
      <c r="E3017" s="32">
        <f>IF(B3017="","",IFERROR(INDEX(Client_List!$C:$C,MATCH(VALUE(B3017),Client_List!$A:$A,0)),""))</f>
        <v/>
      </c>
      <c r="F3017" s="53">
        <f>IF(B3017="","",IFERROR(INDEX(Client_List!$D:$D,MATCH(VALUE(B3017),Client_List!$A:$A,0)),""))</f>
        <v/>
      </c>
      <c r="G3017" s="53">
        <f>IF(B3017="","",IFERROR(INDEX(Client_List!$K:$K,MATCH(VALUE(B3017),Client_List!$A:$A,0)),""))</f>
        <v/>
      </c>
      <c r="H3017" s="32">
        <f>IF(B3017="","",IFERROR(INDEX(Client_List!$J:$J,MATCH(VALUE(B3017),Client_List!$A:$A,0)),""))</f>
        <v/>
      </c>
      <c r="I3017" s="70">
        <f>IF(B3017="","",IFERROR(A3017-LOOKUP(2,1/($B$4:$B3016=B3017),$A$4:$A3016),""))</f>
        <v/>
      </c>
      <c r="J3017" s="32">
        <f>IF(B3017="","",IFERROR(D3017/I3017,""))</f>
        <v/>
      </c>
      <c r="K3017" s="71">
        <f>IF(B3017="","",IFERROR(AVERAGEIFS($J$4:$J3017,$B$4:$B3017,B3017,$J$4:$J3017,"&gt;"&amp;0),""))</f>
        <v/>
      </c>
      <c r="L3017" s="11" t="n"/>
    </row>
    <row r="3018" ht="14" customHeight="1" s="72">
      <c r="A3018" s="83" t="n"/>
      <c r="B3018" s="81" t="n"/>
      <c r="C3018" s="69">
        <f>IF(B3018="","",IFERROR(INDEX(Client_List!$B:$B,MATCH(B3018,Client_List!$A:$A,0)),"⚠ NOT FOUND"))</f>
        <v/>
      </c>
      <c r="D3018" s="45" t="n"/>
      <c r="E3018" s="32">
        <f>IF(B3018="","",IFERROR(INDEX(Client_List!$C:$C,MATCH(VALUE(B3018),Client_List!$A:$A,0)),""))</f>
        <v/>
      </c>
      <c r="F3018" s="53">
        <f>IF(B3018="","",IFERROR(INDEX(Client_List!$D:$D,MATCH(VALUE(B3018),Client_List!$A:$A,0)),""))</f>
        <v/>
      </c>
      <c r="G3018" s="53">
        <f>IF(B3018="","",IFERROR(INDEX(Client_List!$K:$K,MATCH(VALUE(B3018),Client_List!$A:$A,0)),""))</f>
        <v/>
      </c>
      <c r="H3018" s="32">
        <f>IF(B3018="","",IFERROR(INDEX(Client_List!$J:$J,MATCH(VALUE(B3018),Client_List!$A:$A,0)),""))</f>
        <v/>
      </c>
      <c r="I3018" s="70">
        <f>IF(B3018="","",IFERROR(A3018-LOOKUP(2,1/($B$4:$B3017=B3018),$A$4:$A3017),""))</f>
        <v/>
      </c>
      <c r="J3018" s="32">
        <f>IF(B3018="","",IFERROR(D3018/I3018,""))</f>
        <v/>
      </c>
      <c r="K3018" s="71">
        <f>IF(B3018="","",IFERROR(AVERAGEIFS($J$4:$J3018,$B$4:$B3018,B3018,$J$4:$J3018,"&gt;"&amp;0),""))</f>
        <v/>
      </c>
      <c r="L3018" s="12" t="n"/>
    </row>
    <row r="3019" ht="14" customHeight="1" s="72">
      <c r="A3019" s="82" t="n"/>
      <c r="B3019" s="79" t="n"/>
      <c r="C3019" s="69">
        <f>IF(B3019="","",IFERROR(INDEX(Client_List!$B:$B,MATCH(B3019,Client_List!$A:$A,0)),"⚠ NOT FOUND"))</f>
        <v/>
      </c>
      <c r="D3019" s="44" t="n"/>
      <c r="E3019" s="32">
        <f>IF(B3019="","",IFERROR(INDEX(Client_List!$C:$C,MATCH(VALUE(B3019),Client_List!$A:$A,0)),""))</f>
        <v/>
      </c>
      <c r="F3019" s="53">
        <f>IF(B3019="","",IFERROR(INDEX(Client_List!$D:$D,MATCH(VALUE(B3019),Client_List!$A:$A,0)),""))</f>
        <v/>
      </c>
      <c r="G3019" s="53">
        <f>IF(B3019="","",IFERROR(INDEX(Client_List!$K:$K,MATCH(VALUE(B3019),Client_List!$A:$A,0)),""))</f>
        <v/>
      </c>
      <c r="H3019" s="32">
        <f>IF(B3019="","",IFERROR(INDEX(Client_List!$J:$J,MATCH(VALUE(B3019),Client_List!$A:$A,0)),""))</f>
        <v/>
      </c>
      <c r="I3019" s="70">
        <f>IF(B3019="","",IFERROR(A3019-LOOKUP(2,1/($B$4:$B3018=B3019),$A$4:$A3018),""))</f>
        <v/>
      </c>
      <c r="J3019" s="32">
        <f>IF(B3019="","",IFERROR(D3019/I3019,""))</f>
        <v/>
      </c>
      <c r="K3019" s="71">
        <f>IF(B3019="","",IFERROR(AVERAGEIFS($J$4:$J3019,$B$4:$B3019,B3019,$J$4:$J3019,"&gt;"&amp;0),""))</f>
        <v/>
      </c>
      <c r="L3019" s="11" t="n"/>
    </row>
    <row r="3020" ht="14" customHeight="1" s="72">
      <c r="A3020" s="83" t="n"/>
      <c r="B3020" s="81" t="n"/>
      <c r="C3020" s="69">
        <f>IF(B3020="","",IFERROR(INDEX(Client_List!$B:$B,MATCH(B3020,Client_List!$A:$A,0)),"⚠ NOT FOUND"))</f>
        <v/>
      </c>
      <c r="D3020" s="45" t="n"/>
      <c r="E3020" s="32">
        <f>IF(B3020="","",IFERROR(INDEX(Client_List!$C:$C,MATCH(VALUE(B3020),Client_List!$A:$A,0)),""))</f>
        <v/>
      </c>
      <c r="F3020" s="53">
        <f>IF(B3020="","",IFERROR(INDEX(Client_List!$D:$D,MATCH(VALUE(B3020),Client_List!$A:$A,0)),""))</f>
        <v/>
      </c>
      <c r="G3020" s="53">
        <f>IF(B3020="","",IFERROR(INDEX(Client_List!$K:$K,MATCH(VALUE(B3020),Client_List!$A:$A,0)),""))</f>
        <v/>
      </c>
      <c r="H3020" s="32">
        <f>IF(B3020="","",IFERROR(INDEX(Client_List!$J:$J,MATCH(VALUE(B3020),Client_List!$A:$A,0)),""))</f>
        <v/>
      </c>
      <c r="I3020" s="70">
        <f>IF(B3020="","",IFERROR(A3020-LOOKUP(2,1/($B$4:$B3019=B3020),$A$4:$A3019),""))</f>
        <v/>
      </c>
      <c r="J3020" s="32">
        <f>IF(B3020="","",IFERROR(D3020/I3020,""))</f>
        <v/>
      </c>
      <c r="K3020" s="71">
        <f>IF(B3020="","",IFERROR(AVERAGEIFS($J$4:$J3020,$B$4:$B3020,B3020,$J$4:$J3020,"&gt;"&amp;0),""))</f>
        <v/>
      </c>
      <c r="L3020" s="12" t="n"/>
    </row>
    <row r="3021" ht="14" customHeight="1" s="72">
      <c r="A3021" s="82" t="n"/>
      <c r="B3021" s="79" t="n"/>
      <c r="C3021" s="69">
        <f>IF(B3021="","",IFERROR(INDEX(Client_List!$B:$B,MATCH(B3021,Client_List!$A:$A,0)),"⚠ NOT FOUND"))</f>
        <v/>
      </c>
      <c r="D3021" s="44" t="n"/>
      <c r="E3021" s="32">
        <f>IF(B3021="","",IFERROR(INDEX(Client_List!$C:$C,MATCH(VALUE(B3021),Client_List!$A:$A,0)),""))</f>
        <v/>
      </c>
      <c r="F3021" s="53">
        <f>IF(B3021="","",IFERROR(INDEX(Client_List!$D:$D,MATCH(VALUE(B3021),Client_List!$A:$A,0)),""))</f>
        <v/>
      </c>
      <c r="G3021" s="53">
        <f>IF(B3021="","",IFERROR(INDEX(Client_List!$K:$K,MATCH(VALUE(B3021),Client_List!$A:$A,0)),""))</f>
        <v/>
      </c>
      <c r="H3021" s="32">
        <f>IF(B3021="","",IFERROR(INDEX(Client_List!$J:$J,MATCH(VALUE(B3021),Client_List!$A:$A,0)),""))</f>
        <v/>
      </c>
      <c r="I3021" s="70">
        <f>IF(B3021="","",IFERROR(A3021-LOOKUP(2,1/($B$4:$B3020=B3021),$A$4:$A3020),""))</f>
        <v/>
      </c>
      <c r="J3021" s="32">
        <f>IF(B3021="","",IFERROR(D3021/I3021,""))</f>
        <v/>
      </c>
      <c r="K3021" s="71">
        <f>IF(B3021="","",IFERROR(AVERAGEIFS($J$4:$J3021,$B$4:$B3021,B3021,$J$4:$J3021,"&gt;"&amp;0),""))</f>
        <v/>
      </c>
      <c r="L3021" s="11" t="n"/>
    </row>
    <row r="3022" ht="14" customHeight="1" s="72">
      <c r="A3022" s="83" t="n"/>
      <c r="B3022" s="81" t="n"/>
      <c r="C3022" s="69">
        <f>IF(B3022="","",IFERROR(INDEX(Client_List!$B:$B,MATCH(B3022,Client_List!$A:$A,0)),"⚠ NOT FOUND"))</f>
        <v/>
      </c>
      <c r="D3022" s="45" t="n"/>
      <c r="E3022" s="32">
        <f>IF(B3022="","",IFERROR(INDEX(Client_List!$C:$C,MATCH(VALUE(B3022),Client_List!$A:$A,0)),""))</f>
        <v/>
      </c>
      <c r="F3022" s="53">
        <f>IF(B3022="","",IFERROR(INDEX(Client_List!$D:$D,MATCH(VALUE(B3022),Client_List!$A:$A,0)),""))</f>
        <v/>
      </c>
      <c r="G3022" s="53">
        <f>IF(B3022="","",IFERROR(INDEX(Client_List!$K:$K,MATCH(VALUE(B3022),Client_List!$A:$A,0)),""))</f>
        <v/>
      </c>
      <c r="H3022" s="32">
        <f>IF(B3022="","",IFERROR(INDEX(Client_List!$J:$J,MATCH(VALUE(B3022),Client_List!$A:$A,0)),""))</f>
        <v/>
      </c>
      <c r="I3022" s="70">
        <f>IF(B3022="","",IFERROR(A3022-LOOKUP(2,1/($B$4:$B3021=B3022),$A$4:$A3021),""))</f>
        <v/>
      </c>
      <c r="J3022" s="32">
        <f>IF(B3022="","",IFERROR(D3022/I3022,""))</f>
        <v/>
      </c>
      <c r="K3022" s="71">
        <f>IF(B3022="","",IFERROR(AVERAGEIFS($J$4:$J3022,$B$4:$B3022,B3022,$J$4:$J3022,"&gt;"&amp;0),""))</f>
        <v/>
      </c>
      <c r="L3022" s="12" t="n"/>
    </row>
    <row r="3023" ht="14" customHeight="1" s="72">
      <c r="A3023" s="82" t="n"/>
      <c r="B3023" s="79" t="n"/>
      <c r="C3023" s="69">
        <f>IF(B3023="","",IFERROR(INDEX(Client_List!$B:$B,MATCH(B3023,Client_List!$A:$A,0)),"⚠ NOT FOUND"))</f>
        <v/>
      </c>
      <c r="D3023" s="44" t="n"/>
      <c r="E3023" s="32">
        <f>IF(B3023="","",IFERROR(INDEX(Client_List!$C:$C,MATCH(VALUE(B3023),Client_List!$A:$A,0)),""))</f>
        <v/>
      </c>
      <c r="F3023" s="53">
        <f>IF(B3023="","",IFERROR(INDEX(Client_List!$D:$D,MATCH(VALUE(B3023),Client_List!$A:$A,0)),""))</f>
        <v/>
      </c>
      <c r="G3023" s="53">
        <f>IF(B3023="","",IFERROR(INDEX(Client_List!$K:$K,MATCH(VALUE(B3023),Client_List!$A:$A,0)),""))</f>
        <v/>
      </c>
      <c r="H3023" s="32">
        <f>IF(B3023="","",IFERROR(INDEX(Client_List!$J:$J,MATCH(VALUE(B3023),Client_List!$A:$A,0)),""))</f>
        <v/>
      </c>
      <c r="I3023" s="70">
        <f>IF(B3023="","",IFERROR(A3023-LOOKUP(2,1/($B$4:$B3022=B3023),$A$4:$A3022),""))</f>
        <v/>
      </c>
      <c r="J3023" s="32">
        <f>IF(B3023="","",IFERROR(D3023/I3023,""))</f>
        <v/>
      </c>
      <c r="K3023" s="71">
        <f>IF(B3023="","",IFERROR(AVERAGEIFS($J$4:$J3023,$B$4:$B3023,B3023,$J$4:$J3023,"&gt;"&amp;0),""))</f>
        <v/>
      </c>
      <c r="L3023" s="11" t="n"/>
    </row>
    <row r="3024" ht="14" customHeight="1" s="72">
      <c r="A3024" s="83" t="n"/>
      <c r="B3024" s="81" t="n"/>
      <c r="C3024" s="69">
        <f>IF(B3024="","",IFERROR(INDEX(Client_List!$B:$B,MATCH(B3024,Client_List!$A:$A,0)),"⚠ NOT FOUND"))</f>
        <v/>
      </c>
      <c r="D3024" s="45" t="n"/>
      <c r="E3024" s="32">
        <f>IF(B3024="","",IFERROR(INDEX(Client_List!$C:$C,MATCH(VALUE(B3024),Client_List!$A:$A,0)),""))</f>
        <v/>
      </c>
      <c r="F3024" s="53">
        <f>IF(B3024="","",IFERROR(INDEX(Client_List!$D:$D,MATCH(VALUE(B3024),Client_List!$A:$A,0)),""))</f>
        <v/>
      </c>
      <c r="G3024" s="53">
        <f>IF(B3024="","",IFERROR(INDEX(Client_List!$K:$K,MATCH(VALUE(B3024),Client_List!$A:$A,0)),""))</f>
        <v/>
      </c>
      <c r="H3024" s="32">
        <f>IF(B3024="","",IFERROR(INDEX(Client_List!$J:$J,MATCH(VALUE(B3024),Client_List!$A:$A,0)),""))</f>
        <v/>
      </c>
      <c r="I3024" s="70">
        <f>IF(B3024="","",IFERROR(A3024-LOOKUP(2,1/($B$4:$B3023=B3024),$A$4:$A3023),""))</f>
        <v/>
      </c>
      <c r="J3024" s="32">
        <f>IF(B3024="","",IFERROR(D3024/I3024,""))</f>
        <v/>
      </c>
      <c r="K3024" s="71">
        <f>IF(B3024="","",IFERROR(AVERAGEIFS($J$4:$J3024,$B$4:$B3024,B3024,$J$4:$J3024,"&gt;"&amp;0),""))</f>
        <v/>
      </c>
      <c r="L3024" s="12" t="n"/>
    </row>
    <row r="3025" ht="14" customHeight="1" s="72">
      <c r="A3025" s="82" t="n"/>
      <c r="B3025" s="79" t="n"/>
      <c r="C3025" s="69">
        <f>IF(B3025="","",IFERROR(INDEX(Client_List!$B:$B,MATCH(B3025,Client_List!$A:$A,0)),"⚠ NOT FOUND"))</f>
        <v/>
      </c>
      <c r="D3025" s="44" t="n"/>
      <c r="E3025" s="32">
        <f>IF(B3025="","",IFERROR(INDEX(Client_List!$C:$C,MATCH(VALUE(B3025),Client_List!$A:$A,0)),""))</f>
        <v/>
      </c>
      <c r="F3025" s="53">
        <f>IF(B3025="","",IFERROR(INDEX(Client_List!$D:$D,MATCH(VALUE(B3025),Client_List!$A:$A,0)),""))</f>
        <v/>
      </c>
      <c r="G3025" s="53">
        <f>IF(B3025="","",IFERROR(INDEX(Client_List!$K:$K,MATCH(VALUE(B3025),Client_List!$A:$A,0)),""))</f>
        <v/>
      </c>
      <c r="H3025" s="32">
        <f>IF(B3025="","",IFERROR(INDEX(Client_List!$J:$J,MATCH(VALUE(B3025),Client_List!$A:$A,0)),""))</f>
        <v/>
      </c>
      <c r="I3025" s="70">
        <f>IF(B3025="","",IFERROR(A3025-LOOKUP(2,1/($B$4:$B3024=B3025),$A$4:$A3024),""))</f>
        <v/>
      </c>
      <c r="J3025" s="32">
        <f>IF(B3025="","",IFERROR(D3025/I3025,""))</f>
        <v/>
      </c>
      <c r="K3025" s="71">
        <f>IF(B3025="","",IFERROR(AVERAGEIFS($J$4:$J3025,$B$4:$B3025,B3025,$J$4:$J3025,"&gt;"&amp;0),""))</f>
        <v/>
      </c>
      <c r="L3025" s="11" t="n"/>
    </row>
    <row r="3026" ht="14" customHeight="1" s="72">
      <c r="A3026" s="83" t="n"/>
      <c r="B3026" s="81" t="n"/>
      <c r="C3026" s="69">
        <f>IF(B3026="","",IFERROR(INDEX(Client_List!$B:$B,MATCH(B3026,Client_List!$A:$A,0)),"⚠ NOT FOUND"))</f>
        <v/>
      </c>
      <c r="D3026" s="45" t="n"/>
      <c r="E3026" s="32">
        <f>IF(B3026="","",IFERROR(INDEX(Client_List!$C:$C,MATCH(VALUE(B3026),Client_List!$A:$A,0)),""))</f>
        <v/>
      </c>
      <c r="F3026" s="53">
        <f>IF(B3026="","",IFERROR(INDEX(Client_List!$D:$D,MATCH(VALUE(B3026),Client_List!$A:$A,0)),""))</f>
        <v/>
      </c>
      <c r="G3026" s="53">
        <f>IF(B3026="","",IFERROR(INDEX(Client_List!$K:$K,MATCH(VALUE(B3026),Client_List!$A:$A,0)),""))</f>
        <v/>
      </c>
      <c r="H3026" s="32">
        <f>IF(B3026="","",IFERROR(INDEX(Client_List!$J:$J,MATCH(VALUE(B3026),Client_List!$A:$A,0)),""))</f>
        <v/>
      </c>
      <c r="I3026" s="70">
        <f>IF(B3026="","",IFERROR(A3026-LOOKUP(2,1/($B$4:$B3025=B3026),$A$4:$A3025),""))</f>
        <v/>
      </c>
      <c r="J3026" s="32">
        <f>IF(B3026="","",IFERROR(D3026/I3026,""))</f>
        <v/>
      </c>
      <c r="K3026" s="71">
        <f>IF(B3026="","",IFERROR(AVERAGEIFS($J$4:$J3026,$B$4:$B3026,B3026,$J$4:$J3026,"&gt;"&amp;0),""))</f>
        <v/>
      </c>
      <c r="L3026" s="12" t="n"/>
    </row>
    <row r="3027" ht="14" customHeight="1" s="72">
      <c r="A3027" s="82" t="n"/>
      <c r="B3027" s="79" t="n"/>
      <c r="C3027" s="69">
        <f>IF(B3027="","",IFERROR(INDEX(Client_List!$B:$B,MATCH(B3027,Client_List!$A:$A,0)),"⚠ NOT FOUND"))</f>
        <v/>
      </c>
      <c r="D3027" s="44" t="n"/>
      <c r="E3027" s="32">
        <f>IF(B3027="","",IFERROR(INDEX(Client_List!$C:$C,MATCH(VALUE(B3027),Client_List!$A:$A,0)),""))</f>
        <v/>
      </c>
      <c r="F3027" s="53">
        <f>IF(B3027="","",IFERROR(INDEX(Client_List!$D:$D,MATCH(VALUE(B3027),Client_List!$A:$A,0)),""))</f>
        <v/>
      </c>
      <c r="G3027" s="53">
        <f>IF(B3027="","",IFERROR(INDEX(Client_List!$K:$K,MATCH(VALUE(B3027),Client_List!$A:$A,0)),""))</f>
        <v/>
      </c>
      <c r="H3027" s="32">
        <f>IF(B3027="","",IFERROR(INDEX(Client_List!$J:$J,MATCH(VALUE(B3027),Client_List!$A:$A,0)),""))</f>
        <v/>
      </c>
      <c r="I3027" s="70">
        <f>IF(B3027="","",IFERROR(A3027-LOOKUP(2,1/($B$4:$B3026=B3027),$A$4:$A3026),""))</f>
        <v/>
      </c>
      <c r="J3027" s="32">
        <f>IF(B3027="","",IFERROR(D3027/I3027,""))</f>
        <v/>
      </c>
      <c r="K3027" s="71">
        <f>IF(B3027="","",IFERROR(AVERAGEIFS($J$4:$J3027,$B$4:$B3027,B3027,$J$4:$J3027,"&gt;"&amp;0),""))</f>
        <v/>
      </c>
      <c r="L3027" s="11" t="n"/>
    </row>
    <row r="3028" ht="14" customHeight="1" s="72">
      <c r="A3028" s="83" t="n"/>
      <c r="B3028" s="81" t="n"/>
      <c r="C3028" s="69">
        <f>IF(B3028="","",IFERROR(INDEX(Client_List!$B:$B,MATCH(B3028,Client_List!$A:$A,0)),"⚠ NOT FOUND"))</f>
        <v/>
      </c>
      <c r="D3028" s="45" t="n"/>
      <c r="E3028" s="32">
        <f>IF(B3028="","",IFERROR(INDEX(Client_List!$C:$C,MATCH(VALUE(B3028),Client_List!$A:$A,0)),""))</f>
        <v/>
      </c>
      <c r="F3028" s="53">
        <f>IF(B3028="","",IFERROR(INDEX(Client_List!$D:$D,MATCH(VALUE(B3028),Client_List!$A:$A,0)),""))</f>
        <v/>
      </c>
      <c r="G3028" s="53">
        <f>IF(B3028="","",IFERROR(INDEX(Client_List!$K:$K,MATCH(VALUE(B3028),Client_List!$A:$A,0)),""))</f>
        <v/>
      </c>
      <c r="H3028" s="32">
        <f>IF(B3028="","",IFERROR(INDEX(Client_List!$J:$J,MATCH(VALUE(B3028),Client_List!$A:$A,0)),""))</f>
        <v/>
      </c>
      <c r="I3028" s="70">
        <f>IF(B3028="","",IFERROR(A3028-LOOKUP(2,1/($B$4:$B3027=B3028),$A$4:$A3027),""))</f>
        <v/>
      </c>
      <c r="J3028" s="32">
        <f>IF(B3028="","",IFERROR(D3028/I3028,""))</f>
        <v/>
      </c>
      <c r="K3028" s="71">
        <f>IF(B3028="","",IFERROR(AVERAGEIFS($J$4:$J3028,$B$4:$B3028,B3028,$J$4:$J3028,"&gt;"&amp;0),""))</f>
        <v/>
      </c>
      <c r="L3028" s="12" t="n"/>
    </row>
    <row r="3029" ht="14" customHeight="1" s="72">
      <c r="A3029" s="82" t="n"/>
      <c r="B3029" s="79" t="n"/>
      <c r="C3029" s="69">
        <f>IF(B3029="","",IFERROR(INDEX(Client_List!$B:$B,MATCH(B3029,Client_List!$A:$A,0)),"⚠ NOT FOUND"))</f>
        <v/>
      </c>
      <c r="D3029" s="44" t="n"/>
      <c r="E3029" s="32">
        <f>IF(B3029="","",IFERROR(INDEX(Client_List!$C:$C,MATCH(VALUE(B3029),Client_List!$A:$A,0)),""))</f>
        <v/>
      </c>
      <c r="F3029" s="53">
        <f>IF(B3029="","",IFERROR(INDEX(Client_List!$D:$D,MATCH(VALUE(B3029),Client_List!$A:$A,0)),""))</f>
        <v/>
      </c>
      <c r="G3029" s="53">
        <f>IF(B3029="","",IFERROR(INDEX(Client_List!$K:$K,MATCH(VALUE(B3029),Client_List!$A:$A,0)),""))</f>
        <v/>
      </c>
      <c r="H3029" s="32">
        <f>IF(B3029="","",IFERROR(INDEX(Client_List!$J:$J,MATCH(VALUE(B3029),Client_List!$A:$A,0)),""))</f>
        <v/>
      </c>
      <c r="I3029" s="70">
        <f>IF(B3029="","",IFERROR(A3029-LOOKUP(2,1/($B$4:$B3028=B3029),$A$4:$A3028),""))</f>
        <v/>
      </c>
      <c r="J3029" s="32">
        <f>IF(B3029="","",IFERROR(D3029/I3029,""))</f>
        <v/>
      </c>
      <c r="K3029" s="71">
        <f>IF(B3029="","",IFERROR(AVERAGEIFS($J$4:$J3029,$B$4:$B3029,B3029,$J$4:$J3029,"&gt;"&amp;0),""))</f>
        <v/>
      </c>
      <c r="L3029" s="11" t="n"/>
    </row>
    <row r="3030" ht="14" customHeight="1" s="72">
      <c r="A3030" s="83" t="n"/>
      <c r="B3030" s="81" t="n"/>
      <c r="C3030" s="69">
        <f>IF(B3030="","",IFERROR(INDEX(Client_List!$B:$B,MATCH(B3030,Client_List!$A:$A,0)),"⚠ NOT FOUND"))</f>
        <v/>
      </c>
      <c r="D3030" s="45" t="n"/>
      <c r="E3030" s="32">
        <f>IF(B3030="","",IFERROR(INDEX(Client_List!$C:$C,MATCH(VALUE(B3030),Client_List!$A:$A,0)),""))</f>
        <v/>
      </c>
      <c r="F3030" s="53">
        <f>IF(B3030="","",IFERROR(INDEX(Client_List!$D:$D,MATCH(VALUE(B3030),Client_List!$A:$A,0)),""))</f>
        <v/>
      </c>
      <c r="G3030" s="53">
        <f>IF(B3030="","",IFERROR(INDEX(Client_List!$K:$K,MATCH(VALUE(B3030),Client_List!$A:$A,0)),""))</f>
        <v/>
      </c>
      <c r="H3030" s="32">
        <f>IF(B3030="","",IFERROR(INDEX(Client_List!$J:$J,MATCH(VALUE(B3030),Client_List!$A:$A,0)),""))</f>
        <v/>
      </c>
      <c r="I3030" s="70">
        <f>IF(B3030="","",IFERROR(A3030-LOOKUP(2,1/($B$4:$B3029=B3030),$A$4:$A3029),""))</f>
        <v/>
      </c>
      <c r="J3030" s="32">
        <f>IF(B3030="","",IFERROR(D3030/I3030,""))</f>
        <v/>
      </c>
      <c r="K3030" s="71">
        <f>IF(B3030="","",IFERROR(AVERAGEIFS($J$4:$J3030,$B$4:$B3030,B3030,$J$4:$J3030,"&gt;"&amp;0),""))</f>
        <v/>
      </c>
      <c r="L3030" s="12" t="n"/>
    </row>
    <row r="3031" ht="14" customHeight="1" s="72">
      <c r="A3031" s="82" t="n"/>
      <c r="B3031" s="79" t="n"/>
      <c r="C3031" s="69">
        <f>IF(B3031="","",IFERROR(INDEX(Client_List!$B:$B,MATCH(B3031,Client_List!$A:$A,0)),"⚠ NOT FOUND"))</f>
        <v/>
      </c>
      <c r="D3031" s="44" t="n"/>
      <c r="E3031" s="32">
        <f>IF(B3031="","",IFERROR(INDEX(Client_List!$C:$C,MATCH(VALUE(B3031),Client_List!$A:$A,0)),""))</f>
        <v/>
      </c>
      <c r="F3031" s="53">
        <f>IF(B3031="","",IFERROR(INDEX(Client_List!$D:$D,MATCH(VALUE(B3031),Client_List!$A:$A,0)),""))</f>
        <v/>
      </c>
      <c r="G3031" s="53">
        <f>IF(B3031="","",IFERROR(INDEX(Client_List!$K:$K,MATCH(VALUE(B3031),Client_List!$A:$A,0)),""))</f>
        <v/>
      </c>
      <c r="H3031" s="32">
        <f>IF(B3031="","",IFERROR(INDEX(Client_List!$J:$J,MATCH(VALUE(B3031),Client_List!$A:$A,0)),""))</f>
        <v/>
      </c>
      <c r="I3031" s="70">
        <f>IF(B3031="","",IFERROR(A3031-LOOKUP(2,1/($B$4:$B3030=B3031),$A$4:$A3030),""))</f>
        <v/>
      </c>
      <c r="J3031" s="32">
        <f>IF(B3031="","",IFERROR(D3031/I3031,""))</f>
        <v/>
      </c>
      <c r="K3031" s="71">
        <f>IF(B3031="","",IFERROR(AVERAGEIFS($J$4:$J3031,$B$4:$B3031,B3031,$J$4:$J3031,"&gt;"&amp;0),""))</f>
        <v/>
      </c>
      <c r="L3031" s="11" t="n"/>
    </row>
    <row r="3032" ht="14" customHeight="1" s="72">
      <c r="A3032" s="83" t="n"/>
      <c r="B3032" s="81" t="n"/>
      <c r="C3032" s="69">
        <f>IF(B3032="","",IFERROR(INDEX(Client_List!$B:$B,MATCH(B3032,Client_List!$A:$A,0)),"⚠ NOT FOUND"))</f>
        <v/>
      </c>
      <c r="D3032" s="45" t="n"/>
      <c r="E3032" s="32">
        <f>IF(B3032="","",IFERROR(INDEX(Client_List!$C:$C,MATCH(VALUE(B3032),Client_List!$A:$A,0)),""))</f>
        <v/>
      </c>
      <c r="F3032" s="53">
        <f>IF(B3032="","",IFERROR(INDEX(Client_List!$D:$D,MATCH(VALUE(B3032),Client_List!$A:$A,0)),""))</f>
        <v/>
      </c>
      <c r="G3032" s="53">
        <f>IF(B3032="","",IFERROR(INDEX(Client_List!$K:$K,MATCH(VALUE(B3032),Client_List!$A:$A,0)),""))</f>
        <v/>
      </c>
      <c r="H3032" s="32">
        <f>IF(B3032="","",IFERROR(INDEX(Client_List!$J:$J,MATCH(VALUE(B3032),Client_List!$A:$A,0)),""))</f>
        <v/>
      </c>
      <c r="I3032" s="70">
        <f>IF(B3032="","",IFERROR(A3032-LOOKUP(2,1/($B$4:$B3031=B3032),$A$4:$A3031),""))</f>
        <v/>
      </c>
      <c r="J3032" s="32">
        <f>IF(B3032="","",IFERROR(D3032/I3032,""))</f>
        <v/>
      </c>
      <c r="K3032" s="71">
        <f>IF(B3032="","",IFERROR(AVERAGEIFS($J$4:$J3032,$B$4:$B3032,B3032,$J$4:$J3032,"&gt;"&amp;0),""))</f>
        <v/>
      </c>
      <c r="L3032" s="12" t="n"/>
    </row>
    <row r="3033" ht="14" customHeight="1" s="72">
      <c r="A3033" s="82" t="n"/>
      <c r="B3033" s="79" t="n"/>
      <c r="C3033" s="69">
        <f>IF(B3033="","",IFERROR(INDEX(Client_List!$B:$B,MATCH(B3033,Client_List!$A:$A,0)),"⚠ NOT FOUND"))</f>
        <v/>
      </c>
      <c r="D3033" s="44" t="n"/>
      <c r="E3033" s="32">
        <f>IF(B3033="","",IFERROR(INDEX(Client_List!$C:$C,MATCH(VALUE(B3033),Client_List!$A:$A,0)),""))</f>
        <v/>
      </c>
      <c r="F3033" s="53">
        <f>IF(B3033="","",IFERROR(INDEX(Client_List!$D:$D,MATCH(VALUE(B3033),Client_List!$A:$A,0)),""))</f>
        <v/>
      </c>
      <c r="G3033" s="53">
        <f>IF(B3033="","",IFERROR(INDEX(Client_List!$K:$K,MATCH(VALUE(B3033),Client_List!$A:$A,0)),""))</f>
        <v/>
      </c>
      <c r="H3033" s="32">
        <f>IF(B3033="","",IFERROR(INDEX(Client_List!$J:$J,MATCH(VALUE(B3033),Client_List!$A:$A,0)),""))</f>
        <v/>
      </c>
      <c r="I3033" s="70">
        <f>IF(B3033="","",IFERROR(A3033-LOOKUP(2,1/($B$4:$B3032=B3033),$A$4:$A3032),""))</f>
        <v/>
      </c>
      <c r="J3033" s="32">
        <f>IF(B3033="","",IFERROR(D3033/I3033,""))</f>
        <v/>
      </c>
      <c r="K3033" s="71">
        <f>IF(B3033="","",IFERROR(AVERAGEIFS($J$4:$J3033,$B$4:$B3033,B3033,$J$4:$J3033,"&gt;"&amp;0),""))</f>
        <v/>
      </c>
      <c r="L3033" s="11" t="n"/>
    </row>
    <row r="3034" ht="14" customHeight="1" s="72">
      <c r="A3034" s="83" t="n"/>
      <c r="B3034" s="81" t="n"/>
      <c r="C3034" s="69">
        <f>IF(B3034="","",IFERROR(INDEX(Client_List!$B:$B,MATCH(B3034,Client_List!$A:$A,0)),"⚠ NOT FOUND"))</f>
        <v/>
      </c>
      <c r="D3034" s="45" t="n"/>
      <c r="E3034" s="32">
        <f>IF(B3034="","",IFERROR(INDEX(Client_List!$C:$C,MATCH(VALUE(B3034),Client_List!$A:$A,0)),""))</f>
        <v/>
      </c>
      <c r="F3034" s="53">
        <f>IF(B3034="","",IFERROR(INDEX(Client_List!$D:$D,MATCH(VALUE(B3034),Client_List!$A:$A,0)),""))</f>
        <v/>
      </c>
      <c r="G3034" s="53">
        <f>IF(B3034="","",IFERROR(INDEX(Client_List!$K:$K,MATCH(VALUE(B3034),Client_List!$A:$A,0)),""))</f>
        <v/>
      </c>
      <c r="H3034" s="32">
        <f>IF(B3034="","",IFERROR(INDEX(Client_List!$J:$J,MATCH(VALUE(B3034),Client_List!$A:$A,0)),""))</f>
        <v/>
      </c>
      <c r="I3034" s="70">
        <f>IF(B3034="","",IFERROR(A3034-LOOKUP(2,1/($B$4:$B3033=B3034),$A$4:$A3033),""))</f>
        <v/>
      </c>
      <c r="J3034" s="32">
        <f>IF(B3034="","",IFERROR(D3034/I3034,""))</f>
        <v/>
      </c>
      <c r="K3034" s="71">
        <f>IF(B3034="","",IFERROR(AVERAGEIFS($J$4:$J3034,$B$4:$B3034,B3034,$J$4:$J3034,"&gt;"&amp;0),""))</f>
        <v/>
      </c>
      <c r="L3034" s="12" t="n"/>
    </row>
    <row r="3035" ht="14" customHeight="1" s="72">
      <c r="A3035" s="82" t="n"/>
      <c r="B3035" s="79" t="n"/>
      <c r="C3035" s="69">
        <f>IF(B3035="","",IFERROR(INDEX(Client_List!$B:$B,MATCH(B3035,Client_List!$A:$A,0)),"⚠ NOT FOUND"))</f>
        <v/>
      </c>
      <c r="D3035" s="44" t="n"/>
      <c r="E3035" s="32">
        <f>IF(B3035="","",IFERROR(INDEX(Client_List!$C:$C,MATCH(VALUE(B3035),Client_List!$A:$A,0)),""))</f>
        <v/>
      </c>
      <c r="F3035" s="53">
        <f>IF(B3035="","",IFERROR(INDEX(Client_List!$D:$D,MATCH(VALUE(B3035),Client_List!$A:$A,0)),""))</f>
        <v/>
      </c>
      <c r="G3035" s="53">
        <f>IF(B3035="","",IFERROR(INDEX(Client_List!$K:$K,MATCH(VALUE(B3035),Client_List!$A:$A,0)),""))</f>
        <v/>
      </c>
      <c r="H3035" s="32">
        <f>IF(B3035="","",IFERROR(INDEX(Client_List!$J:$J,MATCH(VALUE(B3035),Client_List!$A:$A,0)),""))</f>
        <v/>
      </c>
      <c r="I3035" s="70">
        <f>IF(B3035="","",IFERROR(A3035-LOOKUP(2,1/($B$4:$B3034=B3035),$A$4:$A3034),""))</f>
        <v/>
      </c>
      <c r="J3035" s="32">
        <f>IF(B3035="","",IFERROR(D3035/I3035,""))</f>
        <v/>
      </c>
      <c r="K3035" s="71">
        <f>IF(B3035="","",IFERROR(AVERAGEIFS($J$4:$J3035,$B$4:$B3035,B3035,$J$4:$J3035,"&gt;"&amp;0),""))</f>
        <v/>
      </c>
      <c r="L3035" s="11" t="n"/>
    </row>
    <row r="3036" ht="14" customHeight="1" s="72">
      <c r="A3036" s="83" t="n"/>
      <c r="B3036" s="81" t="n"/>
      <c r="C3036" s="69">
        <f>IF(B3036="","",IFERROR(INDEX(Client_List!$B:$B,MATCH(B3036,Client_List!$A:$A,0)),"⚠ NOT FOUND"))</f>
        <v/>
      </c>
      <c r="D3036" s="45" t="n"/>
      <c r="E3036" s="32">
        <f>IF(B3036="","",IFERROR(INDEX(Client_List!$C:$C,MATCH(VALUE(B3036),Client_List!$A:$A,0)),""))</f>
        <v/>
      </c>
      <c r="F3036" s="53">
        <f>IF(B3036="","",IFERROR(INDEX(Client_List!$D:$D,MATCH(VALUE(B3036),Client_List!$A:$A,0)),""))</f>
        <v/>
      </c>
      <c r="G3036" s="53">
        <f>IF(B3036="","",IFERROR(INDEX(Client_List!$K:$K,MATCH(VALUE(B3036),Client_List!$A:$A,0)),""))</f>
        <v/>
      </c>
      <c r="H3036" s="32">
        <f>IF(B3036="","",IFERROR(INDEX(Client_List!$J:$J,MATCH(VALUE(B3036),Client_List!$A:$A,0)),""))</f>
        <v/>
      </c>
      <c r="I3036" s="70">
        <f>IF(B3036="","",IFERROR(A3036-LOOKUP(2,1/($B$4:$B3035=B3036),$A$4:$A3035),""))</f>
        <v/>
      </c>
      <c r="J3036" s="32">
        <f>IF(B3036="","",IFERROR(D3036/I3036,""))</f>
        <v/>
      </c>
      <c r="K3036" s="71">
        <f>IF(B3036="","",IFERROR(AVERAGEIFS($J$4:$J3036,$B$4:$B3036,B3036,$J$4:$J3036,"&gt;"&amp;0),""))</f>
        <v/>
      </c>
      <c r="L3036" s="12" t="n"/>
    </row>
    <row r="3037" ht="14" customHeight="1" s="72">
      <c r="A3037" s="82" t="n"/>
      <c r="B3037" s="79" t="n"/>
      <c r="C3037" s="69">
        <f>IF(B3037="","",IFERROR(INDEX(Client_List!$B:$B,MATCH(B3037,Client_List!$A:$A,0)),"⚠ NOT FOUND"))</f>
        <v/>
      </c>
      <c r="D3037" s="44" t="n"/>
      <c r="E3037" s="32">
        <f>IF(B3037="","",IFERROR(INDEX(Client_List!$C:$C,MATCH(VALUE(B3037),Client_List!$A:$A,0)),""))</f>
        <v/>
      </c>
      <c r="F3037" s="53">
        <f>IF(B3037="","",IFERROR(INDEX(Client_List!$D:$D,MATCH(VALUE(B3037),Client_List!$A:$A,0)),""))</f>
        <v/>
      </c>
      <c r="G3037" s="53">
        <f>IF(B3037="","",IFERROR(INDEX(Client_List!$K:$K,MATCH(VALUE(B3037),Client_List!$A:$A,0)),""))</f>
        <v/>
      </c>
      <c r="H3037" s="32">
        <f>IF(B3037="","",IFERROR(INDEX(Client_List!$J:$J,MATCH(VALUE(B3037),Client_List!$A:$A,0)),""))</f>
        <v/>
      </c>
      <c r="I3037" s="70">
        <f>IF(B3037="","",IFERROR(A3037-LOOKUP(2,1/($B$4:$B3036=B3037),$A$4:$A3036),""))</f>
        <v/>
      </c>
      <c r="J3037" s="32">
        <f>IF(B3037="","",IFERROR(D3037/I3037,""))</f>
        <v/>
      </c>
      <c r="K3037" s="71">
        <f>IF(B3037="","",IFERROR(AVERAGEIFS($J$4:$J3037,$B$4:$B3037,B3037,$J$4:$J3037,"&gt;"&amp;0),""))</f>
        <v/>
      </c>
      <c r="L3037" s="11" t="n"/>
    </row>
    <row r="3038" ht="14" customHeight="1" s="72">
      <c r="A3038" s="83" t="n"/>
      <c r="B3038" s="81" t="n"/>
      <c r="C3038" s="69">
        <f>IF(B3038="","",IFERROR(INDEX(Client_List!$B:$B,MATCH(B3038,Client_List!$A:$A,0)),"⚠ NOT FOUND"))</f>
        <v/>
      </c>
      <c r="D3038" s="45" t="n"/>
      <c r="E3038" s="32">
        <f>IF(B3038="","",IFERROR(INDEX(Client_List!$C:$C,MATCH(VALUE(B3038),Client_List!$A:$A,0)),""))</f>
        <v/>
      </c>
      <c r="F3038" s="53">
        <f>IF(B3038="","",IFERROR(INDEX(Client_List!$D:$D,MATCH(VALUE(B3038),Client_List!$A:$A,0)),""))</f>
        <v/>
      </c>
      <c r="G3038" s="53">
        <f>IF(B3038="","",IFERROR(INDEX(Client_List!$K:$K,MATCH(VALUE(B3038),Client_List!$A:$A,0)),""))</f>
        <v/>
      </c>
      <c r="H3038" s="32">
        <f>IF(B3038="","",IFERROR(INDEX(Client_List!$J:$J,MATCH(VALUE(B3038),Client_List!$A:$A,0)),""))</f>
        <v/>
      </c>
      <c r="I3038" s="70">
        <f>IF(B3038="","",IFERROR(A3038-LOOKUP(2,1/($B$4:$B3037=B3038),$A$4:$A3037),""))</f>
        <v/>
      </c>
      <c r="J3038" s="32">
        <f>IF(B3038="","",IFERROR(D3038/I3038,""))</f>
        <v/>
      </c>
      <c r="K3038" s="71">
        <f>IF(B3038="","",IFERROR(AVERAGEIFS($J$4:$J3038,$B$4:$B3038,B3038,$J$4:$J3038,"&gt;"&amp;0),""))</f>
        <v/>
      </c>
      <c r="L3038" s="12" t="n"/>
    </row>
    <row r="3039" ht="14" customHeight="1" s="72">
      <c r="A3039" s="82" t="n"/>
      <c r="B3039" s="79" t="n"/>
      <c r="C3039" s="69">
        <f>IF(B3039="","",IFERROR(INDEX(Client_List!$B:$B,MATCH(B3039,Client_List!$A:$A,0)),"⚠ NOT FOUND"))</f>
        <v/>
      </c>
      <c r="D3039" s="44" t="n"/>
      <c r="E3039" s="32">
        <f>IF(B3039="","",IFERROR(INDEX(Client_List!$C:$C,MATCH(VALUE(B3039),Client_List!$A:$A,0)),""))</f>
        <v/>
      </c>
      <c r="F3039" s="53">
        <f>IF(B3039="","",IFERROR(INDEX(Client_List!$D:$D,MATCH(VALUE(B3039),Client_List!$A:$A,0)),""))</f>
        <v/>
      </c>
      <c r="G3039" s="53">
        <f>IF(B3039="","",IFERROR(INDEX(Client_List!$K:$K,MATCH(VALUE(B3039),Client_List!$A:$A,0)),""))</f>
        <v/>
      </c>
      <c r="H3039" s="32">
        <f>IF(B3039="","",IFERROR(INDEX(Client_List!$J:$J,MATCH(VALUE(B3039),Client_List!$A:$A,0)),""))</f>
        <v/>
      </c>
      <c r="I3039" s="70">
        <f>IF(B3039="","",IFERROR(A3039-LOOKUP(2,1/($B$4:$B3038=B3039),$A$4:$A3038),""))</f>
        <v/>
      </c>
      <c r="J3039" s="32">
        <f>IF(B3039="","",IFERROR(D3039/I3039,""))</f>
        <v/>
      </c>
      <c r="K3039" s="71">
        <f>IF(B3039="","",IFERROR(AVERAGEIFS($J$4:$J3039,$B$4:$B3039,B3039,$J$4:$J3039,"&gt;"&amp;0),""))</f>
        <v/>
      </c>
      <c r="L3039" s="11" t="n"/>
    </row>
    <row r="3040" ht="14" customHeight="1" s="72">
      <c r="A3040" s="83" t="n"/>
      <c r="B3040" s="81" t="n"/>
      <c r="C3040" s="69">
        <f>IF(B3040="","",IFERROR(INDEX(Client_List!$B:$B,MATCH(B3040,Client_List!$A:$A,0)),"⚠ NOT FOUND"))</f>
        <v/>
      </c>
      <c r="D3040" s="45" t="n"/>
      <c r="E3040" s="32">
        <f>IF(B3040="","",IFERROR(INDEX(Client_List!$C:$C,MATCH(VALUE(B3040),Client_List!$A:$A,0)),""))</f>
        <v/>
      </c>
      <c r="F3040" s="53">
        <f>IF(B3040="","",IFERROR(INDEX(Client_List!$D:$D,MATCH(VALUE(B3040),Client_List!$A:$A,0)),""))</f>
        <v/>
      </c>
      <c r="G3040" s="53">
        <f>IF(B3040="","",IFERROR(INDEX(Client_List!$K:$K,MATCH(VALUE(B3040),Client_List!$A:$A,0)),""))</f>
        <v/>
      </c>
      <c r="H3040" s="32">
        <f>IF(B3040="","",IFERROR(INDEX(Client_List!$J:$J,MATCH(VALUE(B3040),Client_List!$A:$A,0)),""))</f>
        <v/>
      </c>
      <c r="I3040" s="70">
        <f>IF(B3040="","",IFERROR(A3040-LOOKUP(2,1/($B$4:$B3039=B3040),$A$4:$A3039),""))</f>
        <v/>
      </c>
      <c r="J3040" s="32">
        <f>IF(B3040="","",IFERROR(D3040/I3040,""))</f>
        <v/>
      </c>
      <c r="K3040" s="71">
        <f>IF(B3040="","",IFERROR(AVERAGEIFS($J$4:$J3040,$B$4:$B3040,B3040,$J$4:$J3040,"&gt;"&amp;0),""))</f>
        <v/>
      </c>
      <c r="L3040" s="12" t="n"/>
    </row>
    <row r="3041" ht="14" customHeight="1" s="72">
      <c r="A3041" s="82" t="n"/>
      <c r="B3041" s="79" t="n"/>
      <c r="C3041" s="69">
        <f>IF(B3041="","",IFERROR(INDEX(Client_List!$B:$B,MATCH(B3041,Client_List!$A:$A,0)),"⚠ NOT FOUND"))</f>
        <v/>
      </c>
      <c r="D3041" s="44" t="n"/>
      <c r="E3041" s="32">
        <f>IF(B3041="","",IFERROR(INDEX(Client_List!$C:$C,MATCH(VALUE(B3041),Client_List!$A:$A,0)),""))</f>
        <v/>
      </c>
      <c r="F3041" s="53">
        <f>IF(B3041="","",IFERROR(INDEX(Client_List!$D:$D,MATCH(VALUE(B3041),Client_List!$A:$A,0)),""))</f>
        <v/>
      </c>
      <c r="G3041" s="53">
        <f>IF(B3041="","",IFERROR(INDEX(Client_List!$K:$K,MATCH(VALUE(B3041),Client_List!$A:$A,0)),""))</f>
        <v/>
      </c>
      <c r="H3041" s="32">
        <f>IF(B3041="","",IFERROR(INDEX(Client_List!$J:$J,MATCH(VALUE(B3041),Client_List!$A:$A,0)),""))</f>
        <v/>
      </c>
      <c r="I3041" s="70">
        <f>IF(B3041="","",IFERROR(A3041-LOOKUP(2,1/($B$4:$B3040=B3041),$A$4:$A3040),""))</f>
        <v/>
      </c>
      <c r="J3041" s="32">
        <f>IF(B3041="","",IFERROR(D3041/I3041,""))</f>
        <v/>
      </c>
      <c r="K3041" s="71">
        <f>IF(B3041="","",IFERROR(AVERAGEIFS($J$4:$J3041,$B$4:$B3041,B3041,$J$4:$J3041,"&gt;"&amp;0),""))</f>
        <v/>
      </c>
      <c r="L3041" s="11" t="n"/>
    </row>
    <row r="3042" ht="14" customHeight="1" s="72">
      <c r="A3042" s="83" t="n"/>
      <c r="B3042" s="81" t="n"/>
      <c r="C3042" s="69">
        <f>IF(B3042="","",IFERROR(INDEX(Client_List!$B:$B,MATCH(B3042,Client_List!$A:$A,0)),"⚠ NOT FOUND"))</f>
        <v/>
      </c>
      <c r="D3042" s="45" t="n"/>
      <c r="E3042" s="32">
        <f>IF(B3042="","",IFERROR(INDEX(Client_List!$C:$C,MATCH(VALUE(B3042),Client_List!$A:$A,0)),""))</f>
        <v/>
      </c>
      <c r="F3042" s="53">
        <f>IF(B3042="","",IFERROR(INDEX(Client_List!$D:$D,MATCH(VALUE(B3042),Client_List!$A:$A,0)),""))</f>
        <v/>
      </c>
      <c r="G3042" s="53">
        <f>IF(B3042="","",IFERROR(INDEX(Client_List!$K:$K,MATCH(VALUE(B3042),Client_List!$A:$A,0)),""))</f>
        <v/>
      </c>
      <c r="H3042" s="32">
        <f>IF(B3042="","",IFERROR(INDEX(Client_List!$J:$J,MATCH(VALUE(B3042),Client_List!$A:$A,0)),""))</f>
        <v/>
      </c>
      <c r="I3042" s="70">
        <f>IF(B3042="","",IFERROR(A3042-LOOKUP(2,1/($B$4:$B3041=B3042),$A$4:$A3041),""))</f>
        <v/>
      </c>
      <c r="J3042" s="32">
        <f>IF(B3042="","",IFERROR(D3042/I3042,""))</f>
        <v/>
      </c>
      <c r="K3042" s="71">
        <f>IF(B3042="","",IFERROR(AVERAGEIFS($J$4:$J3042,$B$4:$B3042,B3042,$J$4:$J3042,"&gt;"&amp;0),""))</f>
        <v/>
      </c>
      <c r="L3042" s="12" t="n"/>
    </row>
    <row r="3043" ht="14" customHeight="1" s="72">
      <c r="A3043" s="82" t="n"/>
      <c r="B3043" s="79" t="n"/>
      <c r="C3043" s="69">
        <f>IF(B3043="","",IFERROR(INDEX(Client_List!$B:$B,MATCH(B3043,Client_List!$A:$A,0)),"⚠ NOT FOUND"))</f>
        <v/>
      </c>
      <c r="D3043" s="44" t="n"/>
      <c r="E3043" s="32">
        <f>IF(B3043="","",IFERROR(INDEX(Client_List!$C:$C,MATCH(VALUE(B3043),Client_List!$A:$A,0)),""))</f>
        <v/>
      </c>
      <c r="F3043" s="53">
        <f>IF(B3043="","",IFERROR(INDEX(Client_List!$D:$D,MATCH(VALUE(B3043),Client_List!$A:$A,0)),""))</f>
        <v/>
      </c>
      <c r="G3043" s="53">
        <f>IF(B3043="","",IFERROR(INDEX(Client_List!$K:$K,MATCH(VALUE(B3043),Client_List!$A:$A,0)),""))</f>
        <v/>
      </c>
      <c r="H3043" s="32">
        <f>IF(B3043="","",IFERROR(INDEX(Client_List!$J:$J,MATCH(VALUE(B3043),Client_List!$A:$A,0)),""))</f>
        <v/>
      </c>
      <c r="I3043" s="70">
        <f>IF(B3043="","",IFERROR(A3043-LOOKUP(2,1/($B$4:$B3042=B3043),$A$4:$A3042),""))</f>
        <v/>
      </c>
      <c r="J3043" s="32">
        <f>IF(B3043="","",IFERROR(D3043/I3043,""))</f>
        <v/>
      </c>
      <c r="K3043" s="71">
        <f>IF(B3043="","",IFERROR(AVERAGEIFS($J$4:$J3043,$B$4:$B3043,B3043,$J$4:$J3043,"&gt;"&amp;0),""))</f>
        <v/>
      </c>
      <c r="L3043" s="11" t="n"/>
    </row>
    <row r="3044" ht="14" customHeight="1" s="72">
      <c r="A3044" s="83" t="n"/>
      <c r="B3044" s="81" t="n"/>
      <c r="C3044" s="69">
        <f>IF(B3044="","",IFERROR(INDEX(Client_List!$B:$B,MATCH(B3044,Client_List!$A:$A,0)),"⚠ NOT FOUND"))</f>
        <v/>
      </c>
      <c r="D3044" s="45" t="n"/>
      <c r="E3044" s="32">
        <f>IF(B3044="","",IFERROR(INDEX(Client_List!$C:$C,MATCH(VALUE(B3044),Client_List!$A:$A,0)),""))</f>
        <v/>
      </c>
      <c r="F3044" s="53">
        <f>IF(B3044="","",IFERROR(INDEX(Client_List!$D:$D,MATCH(VALUE(B3044),Client_List!$A:$A,0)),""))</f>
        <v/>
      </c>
      <c r="G3044" s="53">
        <f>IF(B3044="","",IFERROR(INDEX(Client_List!$K:$K,MATCH(VALUE(B3044),Client_List!$A:$A,0)),""))</f>
        <v/>
      </c>
      <c r="H3044" s="32">
        <f>IF(B3044="","",IFERROR(INDEX(Client_List!$J:$J,MATCH(VALUE(B3044),Client_List!$A:$A,0)),""))</f>
        <v/>
      </c>
      <c r="I3044" s="70">
        <f>IF(B3044="","",IFERROR(A3044-LOOKUP(2,1/($B$4:$B3043=B3044),$A$4:$A3043),""))</f>
        <v/>
      </c>
      <c r="J3044" s="32">
        <f>IF(B3044="","",IFERROR(D3044/I3044,""))</f>
        <v/>
      </c>
      <c r="K3044" s="71">
        <f>IF(B3044="","",IFERROR(AVERAGEIFS($J$4:$J3044,$B$4:$B3044,B3044,$J$4:$J3044,"&gt;"&amp;0),""))</f>
        <v/>
      </c>
      <c r="L3044" s="12" t="n"/>
    </row>
    <row r="3045" ht="14" customHeight="1" s="72">
      <c r="A3045" s="82" t="n"/>
      <c r="B3045" s="79" t="n"/>
      <c r="C3045" s="69">
        <f>IF(B3045="","",IFERROR(INDEX(Client_List!$B:$B,MATCH(B3045,Client_List!$A:$A,0)),"⚠ NOT FOUND"))</f>
        <v/>
      </c>
      <c r="D3045" s="44" t="n"/>
      <c r="E3045" s="32">
        <f>IF(B3045="","",IFERROR(INDEX(Client_List!$C:$C,MATCH(VALUE(B3045),Client_List!$A:$A,0)),""))</f>
        <v/>
      </c>
      <c r="F3045" s="53">
        <f>IF(B3045="","",IFERROR(INDEX(Client_List!$D:$D,MATCH(VALUE(B3045),Client_List!$A:$A,0)),""))</f>
        <v/>
      </c>
      <c r="G3045" s="53">
        <f>IF(B3045="","",IFERROR(INDEX(Client_List!$K:$K,MATCH(VALUE(B3045),Client_List!$A:$A,0)),""))</f>
        <v/>
      </c>
      <c r="H3045" s="32">
        <f>IF(B3045="","",IFERROR(INDEX(Client_List!$J:$J,MATCH(VALUE(B3045),Client_List!$A:$A,0)),""))</f>
        <v/>
      </c>
      <c r="I3045" s="70">
        <f>IF(B3045="","",IFERROR(A3045-LOOKUP(2,1/($B$4:$B3044=B3045),$A$4:$A3044),""))</f>
        <v/>
      </c>
      <c r="J3045" s="32">
        <f>IF(B3045="","",IFERROR(D3045/I3045,""))</f>
        <v/>
      </c>
      <c r="K3045" s="71">
        <f>IF(B3045="","",IFERROR(AVERAGEIFS($J$4:$J3045,$B$4:$B3045,B3045,$J$4:$J3045,"&gt;"&amp;0),""))</f>
        <v/>
      </c>
      <c r="L3045" s="11" t="n"/>
    </row>
    <row r="3046" ht="14" customHeight="1" s="72">
      <c r="A3046" s="83" t="n"/>
      <c r="B3046" s="81" t="n"/>
      <c r="C3046" s="69">
        <f>IF(B3046="","",IFERROR(INDEX(Client_List!$B:$B,MATCH(B3046,Client_List!$A:$A,0)),"⚠ NOT FOUND"))</f>
        <v/>
      </c>
      <c r="D3046" s="45" t="n"/>
      <c r="E3046" s="32">
        <f>IF(B3046="","",IFERROR(INDEX(Client_List!$C:$C,MATCH(VALUE(B3046),Client_List!$A:$A,0)),""))</f>
        <v/>
      </c>
      <c r="F3046" s="53">
        <f>IF(B3046="","",IFERROR(INDEX(Client_List!$D:$D,MATCH(VALUE(B3046),Client_List!$A:$A,0)),""))</f>
        <v/>
      </c>
      <c r="G3046" s="53">
        <f>IF(B3046="","",IFERROR(INDEX(Client_List!$K:$K,MATCH(VALUE(B3046),Client_List!$A:$A,0)),""))</f>
        <v/>
      </c>
      <c r="H3046" s="32">
        <f>IF(B3046="","",IFERROR(INDEX(Client_List!$J:$J,MATCH(VALUE(B3046),Client_List!$A:$A,0)),""))</f>
        <v/>
      </c>
      <c r="I3046" s="70">
        <f>IF(B3046="","",IFERROR(A3046-LOOKUP(2,1/($B$4:$B3045=B3046),$A$4:$A3045),""))</f>
        <v/>
      </c>
      <c r="J3046" s="32">
        <f>IF(B3046="","",IFERROR(D3046/I3046,""))</f>
        <v/>
      </c>
      <c r="K3046" s="71">
        <f>IF(B3046="","",IFERROR(AVERAGEIFS($J$4:$J3046,$B$4:$B3046,B3046,$J$4:$J3046,"&gt;"&amp;0),""))</f>
        <v/>
      </c>
      <c r="L3046" s="12" t="n"/>
    </row>
    <row r="3047" ht="14" customHeight="1" s="72">
      <c r="A3047" s="82" t="n"/>
      <c r="B3047" s="79" t="n"/>
      <c r="C3047" s="69">
        <f>IF(B3047="","",IFERROR(INDEX(Client_List!$B:$B,MATCH(B3047,Client_List!$A:$A,0)),"⚠ NOT FOUND"))</f>
        <v/>
      </c>
      <c r="D3047" s="44" t="n"/>
      <c r="E3047" s="32">
        <f>IF(B3047="","",IFERROR(INDEX(Client_List!$C:$C,MATCH(VALUE(B3047),Client_List!$A:$A,0)),""))</f>
        <v/>
      </c>
      <c r="F3047" s="53">
        <f>IF(B3047="","",IFERROR(INDEX(Client_List!$D:$D,MATCH(VALUE(B3047),Client_List!$A:$A,0)),""))</f>
        <v/>
      </c>
      <c r="G3047" s="53">
        <f>IF(B3047="","",IFERROR(INDEX(Client_List!$K:$K,MATCH(VALUE(B3047),Client_List!$A:$A,0)),""))</f>
        <v/>
      </c>
      <c r="H3047" s="32">
        <f>IF(B3047="","",IFERROR(INDEX(Client_List!$J:$J,MATCH(VALUE(B3047),Client_List!$A:$A,0)),""))</f>
        <v/>
      </c>
      <c r="I3047" s="70">
        <f>IF(B3047="","",IFERROR(A3047-LOOKUP(2,1/($B$4:$B3046=B3047),$A$4:$A3046),""))</f>
        <v/>
      </c>
      <c r="J3047" s="32">
        <f>IF(B3047="","",IFERROR(D3047/I3047,""))</f>
        <v/>
      </c>
      <c r="K3047" s="71">
        <f>IF(B3047="","",IFERROR(AVERAGEIFS($J$4:$J3047,$B$4:$B3047,B3047,$J$4:$J3047,"&gt;"&amp;0),""))</f>
        <v/>
      </c>
      <c r="L3047" s="11" t="n"/>
    </row>
    <row r="3048" ht="14" customHeight="1" s="72">
      <c r="A3048" s="83" t="n"/>
      <c r="B3048" s="81" t="n"/>
      <c r="C3048" s="69">
        <f>IF(B3048="","",IFERROR(INDEX(Client_List!$B:$B,MATCH(B3048,Client_List!$A:$A,0)),"⚠ NOT FOUND"))</f>
        <v/>
      </c>
      <c r="D3048" s="45" t="n"/>
      <c r="E3048" s="32">
        <f>IF(B3048="","",IFERROR(INDEX(Client_List!$C:$C,MATCH(VALUE(B3048),Client_List!$A:$A,0)),""))</f>
        <v/>
      </c>
      <c r="F3048" s="53">
        <f>IF(B3048="","",IFERROR(INDEX(Client_List!$D:$D,MATCH(VALUE(B3048),Client_List!$A:$A,0)),""))</f>
        <v/>
      </c>
      <c r="G3048" s="53">
        <f>IF(B3048="","",IFERROR(INDEX(Client_List!$K:$K,MATCH(VALUE(B3048),Client_List!$A:$A,0)),""))</f>
        <v/>
      </c>
      <c r="H3048" s="32">
        <f>IF(B3048="","",IFERROR(INDEX(Client_List!$J:$J,MATCH(VALUE(B3048),Client_List!$A:$A,0)),""))</f>
        <v/>
      </c>
      <c r="I3048" s="70">
        <f>IF(B3048="","",IFERROR(A3048-LOOKUP(2,1/($B$4:$B3047=B3048),$A$4:$A3047),""))</f>
        <v/>
      </c>
      <c r="J3048" s="32">
        <f>IF(B3048="","",IFERROR(D3048/I3048,""))</f>
        <v/>
      </c>
      <c r="K3048" s="71">
        <f>IF(B3048="","",IFERROR(AVERAGEIFS($J$4:$J3048,$B$4:$B3048,B3048,$J$4:$J3048,"&gt;"&amp;0),""))</f>
        <v/>
      </c>
      <c r="L3048" s="12" t="n"/>
    </row>
    <row r="3049" ht="14" customHeight="1" s="72">
      <c r="A3049" s="82" t="n"/>
      <c r="B3049" s="79" t="n"/>
      <c r="C3049" s="69">
        <f>IF(B3049="","",IFERROR(INDEX(Client_List!$B:$B,MATCH(B3049,Client_List!$A:$A,0)),"⚠ NOT FOUND"))</f>
        <v/>
      </c>
      <c r="D3049" s="44" t="n"/>
      <c r="E3049" s="32">
        <f>IF(B3049="","",IFERROR(INDEX(Client_List!$C:$C,MATCH(VALUE(B3049),Client_List!$A:$A,0)),""))</f>
        <v/>
      </c>
      <c r="F3049" s="53">
        <f>IF(B3049="","",IFERROR(INDEX(Client_List!$D:$D,MATCH(VALUE(B3049),Client_List!$A:$A,0)),""))</f>
        <v/>
      </c>
      <c r="G3049" s="53">
        <f>IF(B3049="","",IFERROR(INDEX(Client_List!$K:$K,MATCH(VALUE(B3049),Client_List!$A:$A,0)),""))</f>
        <v/>
      </c>
      <c r="H3049" s="32">
        <f>IF(B3049="","",IFERROR(INDEX(Client_List!$J:$J,MATCH(VALUE(B3049),Client_List!$A:$A,0)),""))</f>
        <v/>
      </c>
      <c r="I3049" s="70">
        <f>IF(B3049="","",IFERROR(A3049-LOOKUP(2,1/($B$4:$B3048=B3049),$A$4:$A3048),""))</f>
        <v/>
      </c>
      <c r="J3049" s="32">
        <f>IF(B3049="","",IFERROR(D3049/I3049,""))</f>
        <v/>
      </c>
      <c r="K3049" s="71">
        <f>IF(B3049="","",IFERROR(AVERAGEIFS($J$4:$J3049,$B$4:$B3049,B3049,$J$4:$J3049,"&gt;"&amp;0),""))</f>
        <v/>
      </c>
      <c r="L3049" s="11" t="n"/>
    </row>
    <row r="3050" ht="14" customHeight="1" s="72">
      <c r="A3050" s="83" t="n"/>
      <c r="B3050" s="81" t="n"/>
      <c r="C3050" s="69">
        <f>IF(B3050="","",IFERROR(INDEX(Client_List!$B:$B,MATCH(B3050,Client_List!$A:$A,0)),"⚠ NOT FOUND"))</f>
        <v/>
      </c>
      <c r="D3050" s="45" t="n"/>
      <c r="E3050" s="32">
        <f>IF(B3050="","",IFERROR(INDEX(Client_List!$C:$C,MATCH(VALUE(B3050),Client_List!$A:$A,0)),""))</f>
        <v/>
      </c>
      <c r="F3050" s="53">
        <f>IF(B3050="","",IFERROR(INDEX(Client_List!$D:$D,MATCH(VALUE(B3050),Client_List!$A:$A,0)),""))</f>
        <v/>
      </c>
      <c r="G3050" s="53">
        <f>IF(B3050="","",IFERROR(INDEX(Client_List!$K:$K,MATCH(VALUE(B3050),Client_List!$A:$A,0)),""))</f>
        <v/>
      </c>
      <c r="H3050" s="32">
        <f>IF(B3050="","",IFERROR(INDEX(Client_List!$J:$J,MATCH(VALUE(B3050),Client_List!$A:$A,0)),""))</f>
        <v/>
      </c>
      <c r="I3050" s="70">
        <f>IF(B3050="","",IFERROR(A3050-LOOKUP(2,1/($B$4:$B3049=B3050),$A$4:$A3049),""))</f>
        <v/>
      </c>
      <c r="J3050" s="32">
        <f>IF(B3050="","",IFERROR(D3050/I3050,""))</f>
        <v/>
      </c>
      <c r="K3050" s="71">
        <f>IF(B3050="","",IFERROR(AVERAGEIFS($J$4:$J3050,$B$4:$B3050,B3050,$J$4:$J3050,"&gt;"&amp;0),""))</f>
        <v/>
      </c>
      <c r="L3050" s="12" t="n"/>
    </row>
    <row r="3051" ht="14" customHeight="1" s="72">
      <c r="A3051" s="82" t="n"/>
      <c r="B3051" s="79" t="n"/>
      <c r="C3051" s="69">
        <f>IF(B3051="","",IFERROR(INDEX(Client_List!$B:$B,MATCH(B3051,Client_List!$A:$A,0)),"⚠ NOT FOUND"))</f>
        <v/>
      </c>
      <c r="D3051" s="44" t="n"/>
      <c r="E3051" s="32">
        <f>IF(B3051="","",IFERROR(INDEX(Client_List!$C:$C,MATCH(VALUE(B3051),Client_List!$A:$A,0)),""))</f>
        <v/>
      </c>
      <c r="F3051" s="53">
        <f>IF(B3051="","",IFERROR(INDEX(Client_List!$D:$D,MATCH(VALUE(B3051),Client_List!$A:$A,0)),""))</f>
        <v/>
      </c>
      <c r="G3051" s="53">
        <f>IF(B3051="","",IFERROR(INDEX(Client_List!$K:$K,MATCH(VALUE(B3051),Client_List!$A:$A,0)),""))</f>
        <v/>
      </c>
      <c r="H3051" s="32">
        <f>IF(B3051="","",IFERROR(INDEX(Client_List!$J:$J,MATCH(VALUE(B3051),Client_List!$A:$A,0)),""))</f>
        <v/>
      </c>
      <c r="I3051" s="70">
        <f>IF(B3051="","",IFERROR(A3051-LOOKUP(2,1/($B$4:$B3050=B3051),$A$4:$A3050),""))</f>
        <v/>
      </c>
      <c r="J3051" s="32">
        <f>IF(B3051="","",IFERROR(D3051/I3051,""))</f>
        <v/>
      </c>
      <c r="K3051" s="71">
        <f>IF(B3051="","",IFERROR(AVERAGEIFS($J$4:$J3051,$B$4:$B3051,B3051,$J$4:$J3051,"&gt;"&amp;0),""))</f>
        <v/>
      </c>
      <c r="L3051" s="11" t="n"/>
    </row>
    <row r="3052" ht="14" customHeight="1" s="72">
      <c r="A3052" s="83" t="n"/>
      <c r="B3052" s="81" t="n"/>
      <c r="C3052" s="69">
        <f>IF(B3052="","",IFERROR(INDEX(Client_List!$B:$B,MATCH(B3052,Client_List!$A:$A,0)),"⚠ NOT FOUND"))</f>
        <v/>
      </c>
      <c r="D3052" s="45" t="n"/>
      <c r="E3052" s="32">
        <f>IF(B3052="","",IFERROR(INDEX(Client_List!$C:$C,MATCH(VALUE(B3052),Client_List!$A:$A,0)),""))</f>
        <v/>
      </c>
      <c r="F3052" s="53">
        <f>IF(B3052="","",IFERROR(INDEX(Client_List!$D:$D,MATCH(VALUE(B3052),Client_List!$A:$A,0)),""))</f>
        <v/>
      </c>
      <c r="G3052" s="53">
        <f>IF(B3052="","",IFERROR(INDEX(Client_List!$K:$K,MATCH(VALUE(B3052),Client_List!$A:$A,0)),""))</f>
        <v/>
      </c>
      <c r="H3052" s="32">
        <f>IF(B3052="","",IFERROR(INDEX(Client_List!$J:$J,MATCH(VALUE(B3052),Client_List!$A:$A,0)),""))</f>
        <v/>
      </c>
      <c r="I3052" s="70">
        <f>IF(B3052="","",IFERROR(A3052-LOOKUP(2,1/($B$4:$B3051=B3052),$A$4:$A3051),""))</f>
        <v/>
      </c>
      <c r="J3052" s="32">
        <f>IF(B3052="","",IFERROR(D3052/I3052,""))</f>
        <v/>
      </c>
      <c r="K3052" s="71">
        <f>IF(B3052="","",IFERROR(AVERAGEIFS($J$4:$J3052,$B$4:$B3052,B3052,$J$4:$J3052,"&gt;"&amp;0),""))</f>
        <v/>
      </c>
      <c r="L3052" s="12" t="n"/>
    </row>
    <row r="3053" ht="14" customHeight="1" s="72">
      <c r="A3053" s="82" t="n"/>
      <c r="B3053" s="79" t="n"/>
      <c r="C3053" s="69">
        <f>IF(B3053="","",IFERROR(INDEX(Client_List!$B:$B,MATCH(B3053,Client_List!$A:$A,0)),"⚠ NOT FOUND"))</f>
        <v/>
      </c>
      <c r="D3053" s="44" t="n"/>
      <c r="E3053" s="32">
        <f>IF(B3053="","",IFERROR(INDEX(Client_List!$C:$C,MATCH(VALUE(B3053),Client_List!$A:$A,0)),""))</f>
        <v/>
      </c>
      <c r="F3053" s="53">
        <f>IF(B3053="","",IFERROR(INDEX(Client_List!$D:$D,MATCH(VALUE(B3053),Client_List!$A:$A,0)),""))</f>
        <v/>
      </c>
      <c r="G3053" s="53">
        <f>IF(B3053="","",IFERROR(INDEX(Client_List!$K:$K,MATCH(VALUE(B3053),Client_List!$A:$A,0)),""))</f>
        <v/>
      </c>
      <c r="H3053" s="32">
        <f>IF(B3053="","",IFERROR(INDEX(Client_List!$J:$J,MATCH(VALUE(B3053),Client_List!$A:$A,0)),""))</f>
        <v/>
      </c>
      <c r="I3053" s="70">
        <f>IF(B3053="","",IFERROR(A3053-LOOKUP(2,1/($B$4:$B3052=B3053),$A$4:$A3052),""))</f>
        <v/>
      </c>
      <c r="J3053" s="32">
        <f>IF(B3053="","",IFERROR(D3053/I3053,""))</f>
        <v/>
      </c>
      <c r="K3053" s="71">
        <f>IF(B3053="","",IFERROR(AVERAGEIFS($J$4:$J3053,$B$4:$B3053,B3053,$J$4:$J3053,"&gt;"&amp;0),""))</f>
        <v/>
      </c>
      <c r="L3053" s="11" t="n"/>
    </row>
    <row r="3054" ht="14" customHeight="1" s="72">
      <c r="A3054" s="83" t="n"/>
      <c r="B3054" s="81" t="n"/>
      <c r="C3054" s="69">
        <f>IF(B3054="","",IFERROR(INDEX(Client_List!$B:$B,MATCH(B3054,Client_List!$A:$A,0)),"⚠ NOT FOUND"))</f>
        <v/>
      </c>
      <c r="D3054" s="45" t="n"/>
      <c r="E3054" s="32">
        <f>IF(B3054="","",IFERROR(INDEX(Client_List!$C:$C,MATCH(VALUE(B3054),Client_List!$A:$A,0)),""))</f>
        <v/>
      </c>
      <c r="F3054" s="53">
        <f>IF(B3054="","",IFERROR(INDEX(Client_List!$D:$D,MATCH(VALUE(B3054),Client_List!$A:$A,0)),""))</f>
        <v/>
      </c>
      <c r="G3054" s="53">
        <f>IF(B3054="","",IFERROR(INDEX(Client_List!$K:$K,MATCH(VALUE(B3054),Client_List!$A:$A,0)),""))</f>
        <v/>
      </c>
      <c r="H3054" s="32">
        <f>IF(B3054="","",IFERROR(INDEX(Client_List!$J:$J,MATCH(VALUE(B3054),Client_List!$A:$A,0)),""))</f>
        <v/>
      </c>
      <c r="I3054" s="70">
        <f>IF(B3054="","",IFERROR(A3054-LOOKUP(2,1/($B$4:$B3053=B3054),$A$4:$A3053),""))</f>
        <v/>
      </c>
      <c r="J3054" s="32">
        <f>IF(B3054="","",IFERROR(D3054/I3054,""))</f>
        <v/>
      </c>
      <c r="K3054" s="71">
        <f>IF(B3054="","",IFERROR(AVERAGEIFS($J$4:$J3054,$B$4:$B3054,B3054,$J$4:$J3054,"&gt;"&amp;0),""))</f>
        <v/>
      </c>
      <c r="L3054" s="12" t="n"/>
    </row>
    <row r="3055" ht="14" customHeight="1" s="72">
      <c r="A3055" s="82" t="n"/>
      <c r="B3055" s="79" t="n"/>
      <c r="C3055" s="69">
        <f>IF(B3055="","",IFERROR(INDEX(Client_List!$B:$B,MATCH(B3055,Client_List!$A:$A,0)),"⚠ NOT FOUND"))</f>
        <v/>
      </c>
      <c r="D3055" s="44" t="n"/>
      <c r="E3055" s="32">
        <f>IF(B3055="","",IFERROR(INDEX(Client_List!$C:$C,MATCH(VALUE(B3055),Client_List!$A:$A,0)),""))</f>
        <v/>
      </c>
      <c r="F3055" s="53">
        <f>IF(B3055="","",IFERROR(INDEX(Client_List!$D:$D,MATCH(VALUE(B3055),Client_List!$A:$A,0)),""))</f>
        <v/>
      </c>
      <c r="G3055" s="53">
        <f>IF(B3055="","",IFERROR(INDEX(Client_List!$K:$K,MATCH(VALUE(B3055),Client_List!$A:$A,0)),""))</f>
        <v/>
      </c>
      <c r="H3055" s="32">
        <f>IF(B3055="","",IFERROR(INDEX(Client_List!$J:$J,MATCH(VALUE(B3055),Client_List!$A:$A,0)),""))</f>
        <v/>
      </c>
      <c r="I3055" s="70">
        <f>IF(B3055="","",IFERROR(A3055-LOOKUP(2,1/($B$4:$B3054=B3055),$A$4:$A3054),""))</f>
        <v/>
      </c>
      <c r="J3055" s="32">
        <f>IF(B3055="","",IFERROR(D3055/I3055,""))</f>
        <v/>
      </c>
      <c r="K3055" s="71">
        <f>IF(B3055="","",IFERROR(AVERAGEIFS($J$4:$J3055,$B$4:$B3055,B3055,$J$4:$J3055,"&gt;"&amp;0),""))</f>
        <v/>
      </c>
      <c r="L3055" s="11" t="n"/>
    </row>
    <row r="3056" ht="14" customHeight="1" s="72">
      <c r="A3056" s="83" t="n"/>
      <c r="B3056" s="81" t="n"/>
      <c r="C3056" s="69">
        <f>IF(B3056="","",IFERROR(INDEX(Client_List!$B:$B,MATCH(B3056,Client_List!$A:$A,0)),"⚠ NOT FOUND"))</f>
        <v/>
      </c>
      <c r="D3056" s="45" t="n"/>
      <c r="E3056" s="32">
        <f>IF(B3056="","",IFERROR(INDEX(Client_List!$C:$C,MATCH(VALUE(B3056),Client_List!$A:$A,0)),""))</f>
        <v/>
      </c>
      <c r="F3056" s="53">
        <f>IF(B3056="","",IFERROR(INDEX(Client_List!$D:$D,MATCH(VALUE(B3056),Client_List!$A:$A,0)),""))</f>
        <v/>
      </c>
      <c r="G3056" s="53">
        <f>IF(B3056="","",IFERROR(INDEX(Client_List!$K:$K,MATCH(VALUE(B3056),Client_List!$A:$A,0)),""))</f>
        <v/>
      </c>
      <c r="H3056" s="32">
        <f>IF(B3056="","",IFERROR(INDEX(Client_List!$J:$J,MATCH(VALUE(B3056),Client_List!$A:$A,0)),""))</f>
        <v/>
      </c>
      <c r="I3056" s="70">
        <f>IF(B3056="","",IFERROR(A3056-LOOKUP(2,1/($B$4:$B3055=B3056),$A$4:$A3055),""))</f>
        <v/>
      </c>
      <c r="J3056" s="32">
        <f>IF(B3056="","",IFERROR(D3056/I3056,""))</f>
        <v/>
      </c>
      <c r="K3056" s="71">
        <f>IF(B3056="","",IFERROR(AVERAGEIFS($J$4:$J3056,$B$4:$B3056,B3056,$J$4:$J3056,"&gt;"&amp;0),""))</f>
        <v/>
      </c>
      <c r="L3056" s="12" t="n"/>
    </row>
    <row r="3057" ht="14" customHeight="1" s="72">
      <c r="A3057" s="82" t="n"/>
      <c r="B3057" s="79" t="n"/>
      <c r="C3057" s="69">
        <f>IF(B3057="","",IFERROR(INDEX(Client_List!$B:$B,MATCH(B3057,Client_List!$A:$A,0)),"⚠ NOT FOUND"))</f>
        <v/>
      </c>
      <c r="D3057" s="44" t="n"/>
      <c r="E3057" s="32">
        <f>IF(B3057="","",IFERROR(INDEX(Client_List!$C:$C,MATCH(VALUE(B3057),Client_List!$A:$A,0)),""))</f>
        <v/>
      </c>
      <c r="F3057" s="53">
        <f>IF(B3057="","",IFERROR(INDEX(Client_List!$D:$D,MATCH(VALUE(B3057),Client_List!$A:$A,0)),""))</f>
        <v/>
      </c>
      <c r="G3057" s="53">
        <f>IF(B3057="","",IFERROR(INDEX(Client_List!$K:$K,MATCH(VALUE(B3057),Client_List!$A:$A,0)),""))</f>
        <v/>
      </c>
      <c r="H3057" s="32">
        <f>IF(B3057="","",IFERROR(INDEX(Client_List!$J:$J,MATCH(VALUE(B3057),Client_List!$A:$A,0)),""))</f>
        <v/>
      </c>
      <c r="I3057" s="70">
        <f>IF(B3057="","",IFERROR(A3057-LOOKUP(2,1/($B$4:$B3056=B3057),$A$4:$A3056),""))</f>
        <v/>
      </c>
      <c r="J3057" s="32">
        <f>IF(B3057="","",IFERROR(D3057/I3057,""))</f>
        <v/>
      </c>
      <c r="K3057" s="71">
        <f>IF(B3057="","",IFERROR(AVERAGEIFS($J$4:$J3057,$B$4:$B3057,B3057,$J$4:$J3057,"&gt;"&amp;0),""))</f>
        <v/>
      </c>
      <c r="L3057" s="11" t="n"/>
    </row>
    <row r="3058" ht="14" customHeight="1" s="72">
      <c r="A3058" s="83" t="n"/>
      <c r="B3058" s="81" t="n"/>
      <c r="C3058" s="69">
        <f>IF(B3058="","",IFERROR(INDEX(Client_List!$B:$B,MATCH(B3058,Client_List!$A:$A,0)),"⚠ NOT FOUND"))</f>
        <v/>
      </c>
      <c r="D3058" s="45" t="n"/>
      <c r="E3058" s="32">
        <f>IF(B3058="","",IFERROR(INDEX(Client_List!$C:$C,MATCH(VALUE(B3058),Client_List!$A:$A,0)),""))</f>
        <v/>
      </c>
      <c r="F3058" s="53">
        <f>IF(B3058="","",IFERROR(INDEX(Client_List!$D:$D,MATCH(VALUE(B3058),Client_List!$A:$A,0)),""))</f>
        <v/>
      </c>
      <c r="G3058" s="53">
        <f>IF(B3058="","",IFERROR(INDEX(Client_List!$K:$K,MATCH(VALUE(B3058),Client_List!$A:$A,0)),""))</f>
        <v/>
      </c>
      <c r="H3058" s="32">
        <f>IF(B3058="","",IFERROR(INDEX(Client_List!$J:$J,MATCH(VALUE(B3058),Client_List!$A:$A,0)),""))</f>
        <v/>
      </c>
      <c r="I3058" s="70">
        <f>IF(B3058="","",IFERROR(A3058-LOOKUP(2,1/($B$4:$B3057=B3058),$A$4:$A3057),""))</f>
        <v/>
      </c>
      <c r="J3058" s="32">
        <f>IF(B3058="","",IFERROR(D3058/I3058,""))</f>
        <v/>
      </c>
      <c r="K3058" s="71">
        <f>IF(B3058="","",IFERROR(AVERAGEIFS($J$4:$J3058,$B$4:$B3058,B3058,$J$4:$J3058,"&gt;"&amp;0),""))</f>
        <v/>
      </c>
      <c r="L3058" s="12" t="n"/>
    </row>
    <row r="3059" ht="14" customHeight="1" s="72">
      <c r="A3059" s="82" t="n"/>
      <c r="B3059" s="79" t="n"/>
      <c r="C3059" s="69">
        <f>IF(B3059="","",IFERROR(INDEX(Client_List!$B:$B,MATCH(B3059,Client_List!$A:$A,0)),"⚠ NOT FOUND"))</f>
        <v/>
      </c>
      <c r="D3059" s="44" t="n"/>
      <c r="E3059" s="32">
        <f>IF(B3059="","",IFERROR(INDEX(Client_List!$C:$C,MATCH(VALUE(B3059),Client_List!$A:$A,0)),""))</f>
        <v/>
      </c>
      <c r="F3059" s="53">
        <f>IF(B3059="","",IFERROR(INDEX(Client_List!$D:$D,MATCH(VALUE(B3059),Client_List!$A:$A,0)),""))</f>
        <v/>
      </c>
      <c r="G3059" s="53">
        <f>IF(B3059="","",IFERROR(INDEX(Client_List!$K:$K,MATCH(VALUE(B3059),Client_List!$A:$A,0)),""))</f>
        <v/>
      </c>
      <c r="H3059" s="32">
        <f>IF(B3059="","",IFERROR(INDEX(Client_List!$J:$J,MATCH(VALUE(B3059),Client_List!$A:$A,0)),""))</f>
        <v/>
      </c>
      <c r="I3059" s="70">
        <f>IF(B3059="","",IFERROR(A3059-LOOKUP(2,1/($B$4:$B3058=B3059),$A$4:$A3058),""))</f>
        <v/>
      </c>
      <c r="J3059" s="32">
        <f>IF(B3059="","",IFERROR(D3059/I3059,""))</f>
        <v/>
      </c>
      <c r="K3059" s="71">
        <f>IF(B3059="","",IFERROR(AVERAGEIFS($J$4:$J3059,$B$4:$B3059,B3059,$J$4:$J3059,"&gt;"&amp;0),""))</f>
        <v/>
      </c>
      <c r="L3059" s="11" t="n"/>
    </row>
    <row r="3060" ht="14" customHeight="1" s="72">
      <c r="A3060" s="83" t="n"/>
      <c r="B3060" s="81" t="n"/>
      <c r="C3060" s="69">
        <f>IF(B3060="","",IFERROR(INDEX(Client_List!$B:$B,MATCH(B3060,Client_List!$A:$A,0)),"⚠ NOT FOUND"))</f>
        <v/>
      </c>
      <c r="D3060" s="45" t="n"/>
      <c r="E3060" s="32">
        <f>IF(B3060="","",IFERROR(INDEX(Client_List!$C:$C,MATCH(VALUE(B3060),Client_List!$A:$A,0)),""))</f>
        <v/>
      </c>
      <c r="F3060" s="53">
        <f>IF(B3060="","",IFERROR(INDEX(Client_List!$D:$D,MATCH(VALUE(B3060),Client_List!$A:$A,0)),""))</f>
        <v/>
      </c>
      <c r="G3060" s="53">
        <f>IF(B3060="","",IFERROR(INDEX(Client_List!$K:$K,MATCH(VALUE(B3060),Client_List!$A:$A,0)),""))</f>
        <v/>
      </c>
      <c r="H3060" s="32">
        <f>IF(B3060="","",IFERROR(INDEX(Client_List!$J:$J,MATCH(VALUE(B3060),Client_List!$A:$A,0)),""))</f>
        <v/>
      </c>
      <c r="I3060" s="70">
        <f>IF(B3060="","",IFERROR(A3060-LOOKUP(2,1/($B$4:$B3059=B3060),$A$4:$A3059),""))</f>
        <v/>
      </c>
      <c r="J3060" s="32">
        <f>IF(B3060="","",IFERROR(D3060/I3060,""))</f>
        <v/>
      </c>
      <c r="K3060" s="71">
        <f>IF(B3060="","",IFERROR(AVERAGEIFS($J$4:$J3060,$B$4:$B3060,B3060,$J$4:$J3060,"&gt;"&amp;0),""))</f>
        <v/>
      </c>
      <c r="L3060" s="12" t="n"/>
    </row>
    <row r="3061" ht="14" customHeight="1" s="72">
      <c r="A3061" s="82" t="n"/>
      <c r="B3061" s="79" t="n"/>
      <c r="C3061" s="69">
        <f>IF(B3061="","",IFERROR(INDEX(Client_List!$B:$B,MATCH(B3061,Client_List!$A:$A,0)),"⚠ NOT FOUND"))</f>
        <v/>
      </c>
      <c r="D3061" s="44" t="n"/>
      <c r="E3061" s="32">
        <f>IF(B3061="","",IFERROR(INDEX(Client_List!$C:$C,MATCH(VALUE(B3061),Client_List!$A:$A,0)),""))</f>
        <v/>
      </c>
      <c r="F3061" s="53">
        <f>IF(B3061="","",IFERROR(INDEX(Client_List!$D:$D,MATCH(VALUE(B3061),Client_List!$A:$A,0)),""))</f>
        <v/>
      </c>
      <c r="G3061" s="53">
        <f>IF(B3061="","",IFERROR(INDEX(Client_List!$K:$K,MATCH(VALUE(B3061),Client_List!$A:$A,0)),""))</f>
        <v/>
      </c>
      <c r="H3061" s="32">
        <f>IF(B3061="","",IFERROR(INDEX(Client_List!$J:$J,MATCH(VALUE(B3061),Client_List!$A:$A,0)),""))</f>
        <v/>
      </c>
      <c r="I3061" s="70">
        <f>IF(B3061="","",IFERROR(A3061-LOOKUP(2,1/($B$4:$B3060=B3061),$A$4:$A3060),""))</f>
        <v/>
      </c>
      <c r="J3061" s="32">
        <f>IF(B3061="","",IFERROR(D3061/I3061,""))</f>
        <v/>
      </c>
      <c r="K3061" s="71">
        <f>IF(B3061="","",IFERROR(AVERAGEIFS($J$4:$J3061,$B$4:$B3061,B3061,$J$4:$J3061,"&gt;"&amp;0),""))</f>
        <v/>
      </c>
      <c r="L3061" s="11" t="n"/>
    </row>
    <row r="3062" ht="14" customHeight="1" s="72">
      <c r="A3062" s="83" t="n"/>
      <c r="B3062" s="81" t="n"/>
      <c r="C3062" s="69">
        <f>IF(B3062="","",IFERROR(INDEX(Client_List!$B:$B,MATCH(B3062,Client_List!$A:$A,0)),"⚠ NOT FOUND"))</f>
        <v/>
      </c>
      <c r="D3062" s="45" t="n"/>
      <c r="E3062" s="32">
        <f>IF(B3062="","",IFERROR(INDEX(Client_List!$C:$C,MATCH(VALUE(B3062),Client_List!$A:$A,0)),""))</f>
        <v/>
      </c>
      <c r="F3062" s="53">
        <f>IF(B3062="","",IFERROR(INDEX(Client_List!$D:$D,MATCH(VALUE(B3062),Client_List!$A:$A,0)),""))</f>
        <v/>
      </c>
      <c r="G3062" s="53">
        <f>IF(B3062="","",IFERROR(INDEX(Client_List!$K:$K,MATCH(VALUE(B3062),Client_List!$A:$A,0)),""))</f>
        <v/>
      </c>
      <c r="H3062" s="32">
        <f>IF(B3062="","",IFERROR(INDEX(Client_List!$J:$J,MATCH(VALUE(B3062),Client_List!$A:$A,0)),""))</f>
        <v/>
      </c>
      <c r="I3062" s="70">
        <f>IF(B3062="","",IFERROR(A3062-LOOKUP(2,1/($B$4:$B3061=B3062),$A$4:$A3061),""))</f>
        <v/>
      </c>
      <c r="J3062" s="32">
        <f>IF(B3062="","",IFERROR(D3062/I3062,""))</f>
        <v/>
      </c>
      <c r="K3062" s="71">
        <f>IF(B3062="","",IFERROR(AVERAGEIFS($J$4:$J3062,$B$4:$B3062,B3062,$J$4:$J3062,"&gt;"&amp;0),""))</f>
        <v/>
      </c>
      <c r="L3062" s="12" t="n"/>
    </row>
    <row r="3063" ht="14" customHeight="1" s="72">
      <c r="A3063" s="82" t="n"/>
      <c r="B3063" s="79" t="n"/>
      <c r="C3063" s="69">
        <f>IF(B3063="","",IFERROR(INDEX(Client_List!$B:$B,MATCH(B3063,Client_List!$A:$A,0)),"⚠ NOT FOUND"))</f>
        <v/>
      </c>
      <c r="D3063" s="44" t="n"/>
      <c r="E3063" s="32">
        <f>IF(B3063="","",IFERROR(INDEX(Client_List!$C:$C,MATCH(VALUE(B3063),Client_List!$A:$A,0)),""))</f>
        <v/>
      </c>
      <c r="F3063" s="53">
        <f>IF(B3063="","",IFERROR(INDEX(Client_List!$D:$D,MATCH(VALUE(B3063),Client_List!$A:$A,0)),""))</f>
        <v/>
      </c>
      <c r="G3063" s="53">
        <f>IF(B3063="","",IFERROR(INDEX(Client_List!$K:$K,MATCH(VALUE(B3063),Client_List!$A:$A,0)),""))</f>
        <v/>
      </c>
      <c r="H3063" s="32">
        <f>IF(B3063="","",IFERROR(INDEX(Client_List!$J:$J,MATCH(VALUE(B3063),Client_List!$A:$A,0)),""))</f>
        <v/>
      </c>
      <c r="I3063" s="70">
        <f>IF(B3063="","",IFERROR(A3063-LOOKUP(2,1/($B$4:$B3062=B3063),$A$4:$A3062),""))</f>
        <v/>
      </c>
      <c r="J3063" s="32">
        <f>IF(B3063="","",IFERROR(D3063/I3063,""))</f>
        <v/>
      </c>
      <c r="K3063" s="71">
        <f>IF(B3063="","",IFERROR(AVERAGEIFS($J$4:$J3063,$B$4:$B3063,B3063,$J$4:$J3063,"&gt;"&amp;0),""))</f>
        <v/>
      </c>
      <c r="L3063" s="11" t="n"/>
    </row>
    <row r="3064" ht="14" customHeight="1" s="72">
      <c r="A3064" s="83" t="n"/>
      <c r="B3064" s="81" t="n"/>
      <c r="C3064" s="69">
        <f>IF(B3064="","",IFERROR(INDEX(Client_List!$B:$B,MATCH(B3064,Client_List!$A:$A,0)),"⚠ NOT FOUND"))</f>
        <v/>
      </c>
      <c r="D3064" s="45" t="n"/>
      <c r="E3064" s="32">
        <f>IF(B3064="","",IFERROR(INDEX(Client_List!$C:$C,MATCH(VALUE(B3064),Client_List!$A:$A,0)),""))</f>
        <v/>
      </c>
      <c r="F3064" s="53">
        <f>IF(B3064="","",IFERROR(INDEX(Client_List!$D:$D,MATCH(VALUE(B3064),Client_List!$A:$A,0)),""))</f>
        <v/>
      </c>
      <c r="G3064" s="53">
        <f>IF(B3064="","",IFERROR(INDEX(Client_List!$K:$K,MATCH(VALUE(B3064),Client_List!$A:$A,0)),""))</f>
        <v/>
      </c>
      <c r="H3064" s="32">
        <f>IF(B3064="","",IFERROR(INDEX(Client_List!$J:$J,MATCH(VALUE(B3064),Client_List!$A:$A,0)),""))</f>
        <v/>
      </c>
      <c r="I3064" s="70">
        <f>IF(B3064="","",IFERROR(A3064-LOOKUP(2,1/($B$4:$B3063=B3064),$A$4:$A3063),""))</f>
        <v/>
      </c>
      <c r="J3064" s="32">
        <f>IF(B3064="","",IFERROR(D3064/I3064,""))</f>
        <v/>
      </c>
      <c r="K3064" s="71">
        <f>IF(B3064="","",IFERROR(AVERAGEIFS($J$4:$J3064,$B$4:$B3064,B3064,$J$4:$J3064,"&gt;"&amp;0),""))</f>
        <v/>
      </c>
      <c r="L3064" s="12" t="n"/>
    </row>
    <row r="3065" ht="14" customHeight="1" s="72">
      <c r="A3065" s="82" t="n"/>
      <c r="B3065" s="79" t="n"/>
      <c r="C3065" s="69">
        <f>IF(B3065="","",IFERROR(INDEX(Client_List!$B:$B,MATCH(B3065,Client_List!$A:$A,0)),"⚠ NOT FOUND"))</f>
        <v/>
      </c>
      <c r="D3065" s="44" t="n"/>
      <c r="E3065" s="32">
        <f>IF(B3065="","",IFERROR(INDEX(Client_List!$C:$C,MATCH(VALUE(B3065),Client_List!$A:$A,0)),""))</f>
        <v/>
      </c>
      <c r="F3065" s="53">
        <f>IF(B3065="","",IFERROR(INDEX(Client_List!$D:$D,MATCH(VALUE(B3065),Client_List!$A:$A,0)),""))</f>
        <v/>
      </c>
      <c r="G3065" s="53">
        <f>IF(B3065="","",IFERROR(INDEX(Client_List!$K:$K,MATCH(VALUE(B3065),Client_List!$A:$A,0)),""))</f>
        <v/>
      </c>
      <c r="H3065" s="32">
        <f>IF(B3065="","",IFERROR(INDEX(Client_List!$J:$J,MATCH(VALUE(B3065),Client_List!$A:$A,0)),""))</f>
        <v/>
      </c>
      <c r="I3065" s="70">
        <f>IF(B3065="","",IFERROR(A3065-LOOKUP(2,1/($B$4:$B3064=B3065),$A$4:$A3064),""))</f>
        <v/>
      </c>
      <c r="J3065" s="32">
        <f>IF(B3065="","",IFERROR(D3065/I3065,""))</f>
        <v/>
      </c>
      <c r="K3065" s="71">
        <f>IF(B3065="","",IFERROR(AVERAGEIFS($J$4:$J3065,$B$4:$B3065,B3065,$J$4:$J3065,"&gt;"&amp;0),""))</f>
        <v/>
      </c>
      <c r="L3065" s="11" t="n"/>
    </row>
    <row r="3066" ht="14" customHeight="1" s="72">
      <c r="A3066" s="83" t="n"/>
      <c r="B3066" s="81" t="n"/>
      <c r="C3066" s="69">
        <f>IF(B3066="","",IFERROR(INDEX(Client_List!$B:$B,MATCH(B3066,Client_List!$A:$A,0)),"⚠ NOT FOUND"))</f>
        <v/>
      </c>
      <c r="D3066" s="45" t="n"/>
      <c r="E3066" s="32">
        <f>IF(B3066="","",IFERROR(INDEX(Client_List!$C:$C,MATCH(VALUE(B3066),Client_List!$A:$A,0)),""))</f>
        <v/>
      </c>
      <c r="F3066" s="53">
        <f>IF(B3066="","",IFERROR(INDEX(Client_List!$D:$D,MATCH(VALUE(B3066),Client_List!$A:$A,0)),""))</f>
        <v/>
      </c>
      <c r="G3066" s="53">
        <f>IF(B3066="","",IFERROR(INDEX(Client_List!$K:$K,MATCH(VALUE(B3066),Client_List!$A:$A,0)),""))</f>
        <v/>
      </c>
      <c r="H3066" s="32">
        <f>IF(B3066="","",IFERROR(INDEX(Client_List!$J:$J,MATCH(VALUE(B3066),Client_List!$A:$A,0)),""))</f>
        <v/>
      </c>
      <c r="I3066" s="70">
        <f>IF(B3066="","",IFERROR(A3066-LOOKUP(2,1/($B$4:$B3065=B3066),$A$4:$A3065),""))</f>
        <v/>
      </c>
      <c r="J3066" s="32">
        <f>IF(B3066="","",IFERROR(D3066/I3066,""))</f>
        <v/>
      </c>
      <c r="K3066" s="71">
        <f>IF(B3066="","",IFERROR(AVERAGEIFS($J$4:$J3066,$B$4:$B3066,B3066,$J$4:$J3066,"&gt;"&amp;0),""))</f>
        <v/>
      </c>
      <c r="L3066" s="12" t="n"/>
    </row>
    <row r="3067" ht="14" customHeight="1" s="72">
      <c r="A3067" s="82" t="n"/>
      <c r="B3067" s="79" t="n"/>
      <c r="C3067" s="69">
        <f>IF(B3067="","",IFERROR(INDEX(Client_List!$B:$B,MATCH(B3067,Client_List!$A:$A,0)),"⚠ NOT FOUND"))</f>
        <v/>
      </c>
      <c r="D3067" s="44" t="n"/>
      <c r="E3067" s="32">
        <f>IF(B3067="","",IFERROR(INDEX(Client_List!$C:$C,MATCH(VALUE(B3067),Client_List!$A:$A,0)),""))</f>
        <v/>
      </c>
      <c r="F3067" s="53">
        <f>IF(B3067="","",IFERROR(INDEX(Client_List!$D:$D,MATCH(VALUE(B3067),Client_List!$A:$A,0)),""))</f>
        <v/>
      </c>
      <c r="G3067" s="53">
        <f>IF(B3067="","",IFERROR(INDEX(Client_List!$K:$K,MATCH(VALUE(B3067),Client_List!$A:$A,0)),""))</f>
        <v/>
      </c>
      <c r="H3067" s="32">
        <f>IF(B3067="","",IFERROR(INDEX(Client_List!$J:$J,MATCH(VALUE(B3067),Client_List!$A:$A,0)),""))</f>
        <v/>
      </c>
      <c r="I3067" s="70">
        <f>IF(B3067="","",IFERROR(A3067-LOOKUP(2,1/($B$4:$B3066=B3067),$A$4:$A3066),""))</f>
        <v/>
      </c>
      <c r="J3067" s="32">
        <f>IF(B3067="","",IFERROR(D3067/I3067,""))</f>
        <v/>
      </c>
      <c r="K3067" s="71">
        <f>IF(B3067="","",IFERROR(AVERAGEIFS($J$4:$J3067,$B$4:$B3067,B3067,$J$4:$J3067,"&gt;"&amp;0),""))</f>
        <v/>
      </c>
      <c r="L3067" s="11" t="n"/>
    </row>
    <row r="3068" ht="14" customHeight="1" s="72">
      <c r="A3068" s="83" t="n"/>
      <c r="B3068" s="81" t="n"/>
      <c r="C3068" s="69">
        <f>IF(B3068="","",IFERROR(INDEX(Client_List!$B:$B,MATCH(B3068,Client_List!$A:$A,0)),"⚠ NOT FOUND"))</f>
        <v/>
      </c>
      <c r="D3068" s="45" t="n"/>
      <c r="E3068" s="32">
        <f>IF(B3068="","",IFERROR(INDEX(Client_List!$C:$C,MATCH(VALUE(B3068),Client_List!$A:$A,0)),""))</f>
        <v/>
      </c>
      <c r="F3068" s="53">
        <f>IF(B3068="","",IFERROR(INDEX(Client_List!$D:$D,MATCH(VALUE(B3068),Client_List!$A:$A,0)),""))</f>
        <v/>
      </c>
      <c r="G3068" s="53">
        <f>IF(B3068="","",IFERROR(INDEX(Client_List!$K:$K,MATCH(VALUE(B3068),Client_List!$A:$A,0)),""))</f>
        <v/>
      </c>
      <c r="H3068" s="32">
        <f>IF(B3068="","",IFERROR(INDEX(Client_List!$J:$J,MATCH(VALUE(B3068),Client_List!$A:$A,0)),""))</f>
        <v/>
      </c>
      <c r="I3068" s="70">
        <f>IF(B3068="","",IFERROR(A3068-LOOKUP(2,1/($B$4:$B3067=B3068),$A$4:$A3067),""))</f>
        <v/>
      </c>
      <c r="J3068" s="32">
        <f>IF(B3068="","",IFERROR(D3068/I3068,""))</f>
        <v/>
      </c>
      <c r="K3068" s="71">
        <f>IF(B3068="","",IFERROR(AVERAGEIFS($J$4:$J3068,$B$4:$B3068,B3068,$J$4:$J3068,"&gt;"&amp;0),""))</f>
        <v/>
      </c>
      <c r="L3068" s="12" t="n"/>
    </row>
    <row r="3069" ht="14" customHeight="1" s="72">
      <c r="A3069" s="82" t="n"/>
      <c r="B3069" s="79" t="n"/>
      <c r="C3069" s="69">
        <f>IF(B3069="","",IFERROR(INDEX(Client_List!$B:$B,MATCH(B3069,Client_List!$A:$A,0)),"⚠ NOT FOUND"))</f>
        <v/>
      </c>
      <c r="D3069" s="44" t="n"/>
      <c r="E3069" s="32">
        <f>IF(B3069="","",IFERROR(INDEX(Client_List!$C:$C,MATCH(VALUE(B3069),Client_List!$A:$A,0)),""))</f>
        <v/>
      </c>
      <c r="F3069" s="53">
        <f>IF(B3069="","",IFERROR(INDEX(Client_List!$D:$D,MATCH(VALUE(B3069),Client_List!$A:$A,0)),""))</f>
        <v/>
      </c>
      <c r="G3069" s="53">
        <f>IF(B3069="","",IFERROR(INDEX(Client_List!$K:$K,MATCH(VALUE(B3069),Client_List!$A:$A,0)),""))</f>
        <v/>
      </c>
      <c r="H3069" s="32">
        <f>IF(B3069="","",IFERROR(INDEX(Client_List!$J:$J,MATCH(VALUE(B3069),Client_List!$A:$A,0)),""))</f>
        <v/>
      </c>
      <c r="I3069" s="70">
        <f>IF(B3069="","",IFERROR(A3069-LOOKUP(2,1/($B$4:$B3068=B3069),$A$4:$A3068),""))</f>
        <v/>
      </c>
      <c r="J3069" s="32">
        <f>IF(B3069="","",IFERROR(D3069/I3069,""))</f>
        <v/>
      </c>
      <c r="K3069" s="71">
        <f>IF(B3069="","",IFERROR(AVERAGEIFS($J$4:$J3069,$B$4:$B3069,B3069,$J$4:$J3069,"&gt;"&amp;0),""))</f>
        <v/>
      </c>
      <c r="L3069" s="11" t="n"/>
    </row>
    <row r="3070" ht="14" customHeight="1" s="72">
      <c r="A3070" s="83" t="n"/>
      <c r="B3070" s="81" t="n"/>
      <c r="C3070" s="69">
        <f>IF(B3070="","",IFERROR(INDEX(Client_List!$B:$B,MATCH(B3070,Client_List!$A:$A,0)),"⚠ NOT FOUND"))</f>
        <v/>
      </c>
      <c r="D3070" s="45" t="n"/>
      <c r="E3070" s="32">
        <f>IF(B3070="","",IFERROR(INDEX(Client_List!$C:$C,MATCH(VALUE(B3070),Client_List!$A:$A,0)),""))</f>
        <v/>
      </c>
      <c r="F3070" s="53">
        <f>IF(B3070="","",IFERROR(INDEX(Client_List!$D:$D,MATCH(VALUE(B3070),Client_List!$A:$A,0)),""))</f>
        <v/>
      </c>
      <c r="G3070" s="53">
        <f>IF(B3070="","",IFERROR(INDEX(Client_List!$K:$K,MATCH(VALUE(B3070),Client_List!$A:$A,0)),""))</f>
        <v/>
      </c>
      <c r="H3070" s="32">
        <f>IF(B3070="","",IFERROR(INDEX(Client_List!$J:$J,MATCH(VALUE(B3070),Client_List!$A:$A,0)),""))</f>
        <v/>
      </c>
      <c r="I3070" s="70">
        <f>IF(B3070="","",IFERROR(A3070-LOOKUP(2,1/($B$4:$B3069=B3070),$A$4:$A3069),""))</f>
        <v/>
      </c>
      <c r="J3070" s="32">
        <f>IF(B3070="","",IFERROR(D3070/I3070,""))</f>
        <v/>
      </c>
      <c r="K3070" s="71">
        <f>IF(B3070="","",IFERROR(AVERAGEIFS($J$4:$J3070,$B$4:$B3070,B3070,$J$4:$J3070,"&gt;"&amp;0),""))</f>
        <v/>
      </c>
      <c r="L3070" s="12" t="n"/>
    </row>
    <row r="3071" ht="14" customHeight="1" s="72">
      <c r="A3071" s="82" t="n"/>
      <c r="B3071" s="79" t="n"/>
      <c r="C3071" s="69">
        <f>IF(B3071="","",IFERROR(INDEX(Client_List!$B:$B,MATCH(B3071,Client_List!$A:$A,0)),"⚠ NOT FOUND"))</f>
        <v/>
      </c>
      <c r="D3071" s="44" t="n"/>
      <c r="E3071" s="32">
        <f>IF(B3071="","",IFERROR(INDEX(Client_List!$C:$C,MATCH(VALUE(B3071),Client_List!$A:$A,0)),""))</f>
        <v/>
      </c>
      <c r="F3071" s="53">
        <f>IF(B3071="","",IFERROR(INDEX(Client_List!$D:$D,MATCH(VALUE(B3071),Client_List!$A:$A,0)),""))</f>
        <v/>
      </c>
      <c r="G3071" s="53">
        <f>IF(B3071="","",IFERROR(INDEX(Client_List!$K:$K,MATCH(VALUE(B3071),Client_List!$A:$A,0)),""))</f>
        <v/>
      </c>
      <c r="H3071" s="32">
        <f>IF(B3071="","",IFERROR(INDEX(Client_List!$J:$J,MATCH(VALUE(B3071),Client_List!$A:$A,0)),""))</f>
        <v/>
      </c>
      <c r="I3071" s="70">
        <f>IF(B3071="","",IFERROR(A3071-LOOKUP(2,1/($B$4:$B3070=B3071),$A$4:$A3070),""))</f>
        <v/>
      </c>
      <c r="J3071" s="32">
        <f>IF(B3071="","",IFERROR(D3071/I3071,""))</f>
        <v/>
      </c>
      <c r="K3071" s="71">
        <f>IF(B3071="","",IFERROR(AVERAGEIFS($J$4:$J3071,$B$4:$B3071,B3071,$J$4:$J3071,"&gt;"&amp;0),""))</f>
        <v/>
      </c>
      <c r="L3071" s="11" t="n"/>
    </row>
    <row r="3072" ht="14" customHeight="1" s="72">
      <c r="A3072" s="83" t="n"/>
      <c r="B3072" s="81" t="n"/>
      <c r="C3072" s="69">
        <f>IF(B3072="","",IFERROR(INDEX(Client_List!$B:$B,MATCH(B3072,Client_List!$A:$A,0)),"⚠ NOT FOUND"))</f>
        <v/>
      </c>
      <c r="D3072" s="45" t="n"/>
      <c r="E3072" s="32">
        <f>IF(B3072="","",IFERROR(INDEX(Client_List!$C:$C,MATCH(VALUE(B3072),Client_List!$A:$A,0)),""))</f>
        <v/>
      </c>
      <c r="F3072" s="53">
        <f>IF(B3072="","",IFERROR(INDEX(Client_List!$D:$D,MATCH(VALUE(B3072),Client_List!$A:$A,0)),""))</f>
        <v/>
      </c>
      <c r="G3072" s="53">
        <f>IF(B3072="","",IFERROR(INDEX(Client_List!$K:$K,MATCH(VALUE(B3072),Client_List!$A:$A,0)),""))</f>
        <v/>
      </c>
      <c r="H3072" s="32">
        <f>IF(B3072="","",IFERROR(INDEX(Client_List!$J:$J,MATCH(VALUE(B3072),Client_List!$A:$A,0)),""))</f>
        <v/>
      </c>
      <c r="I3072" s="70">
        <f>IF(B3072="","",IFERROR(A3072-LOOKUP(2,1/($B$4:$B3071=B3072),$A$4:$A3071),""))</f>
        <v/>
      </c>
      <c r="J3072" s="32">
        <f>IF(B3072="","",IFERROR(D3072/I3072,""))</f>
        <v/>
      </c>
      <c r="K3072" s="71">
        <f>IF(B3072="","",IFERROR(AVERAGEIFS($J$4:$J3072,$B$4:$B3072,B3072,$J$4:$J3072,"&gt;"&amp;0),""))</f>
        <v/>
      </c>
      <c r="L3072" s="12" t="n"/>
    </row>
    <row r="3073" ht="14" customHeight="1" s="72">
      <c r="A3073" s="82" t="n"/>
      <c r="B3073" s="79" t="n"/>
      <c r="C3073" s="69">
        <f>IF(B3073="","",IFERROR(INDEX(Client_List!$B:$B,MATCH(B3073,Client_List!$A:$A,0)),"⚠ NOT FOUND"))</f>
        <v/>
      </c>
      <c r="D3073" s="44" t="n"/>
      <c r="E3073" s="32">
        <f>IF(B3073="","",IFERROR(INDEX(Client_List!$C:$C,MATCH(VALUE(B3073),Client_List!$A:$A,0)),""))</f>
        <v/>
      </c>
      <c r="F3073" s="53">
        <f>IF(B3073="","",IFERROR(INDEX(Client_List!$D:$D,MATCH(VALUE(B3073),Client_List!$A:$A,0)),""))</f>
        <v/>
      </c>
      <c r="G3073" s="53">
        <f>IF(B3073="","",IFERROR(INDEX(Client_List!$K:$K,MATCH(VALUE(B3073),Client_List!$A:$A,0)),""))</f>
        <v/>
      </c>
      <c r="H3073" s="32">
        <f>IF(B3073="","",IFERROR(INDEX(Client_List!$J:$J,MATCH(VALUE(B3073),Client_List!$A:$A,0)),""))</f>
        <v/>
      </c>
      <c r="I3073" s="70">
        <f>IF(B3073="","",IFERROR(A3073-LOOKUP(2,1/($B$4:$B3072=B3073),$A$4:$A3072),""))</f>
        <v/>
      </c>
      <c r="J3073" s="32">
        <f>IF(B3073="","",IFERROR(D3073/I3073,""))</f>
        <v/>
      </c>
      <c r="K3073" s="71">
        <f>IF(B3073="","",IFERROR(AVERAGEIFS($J$4:$J3073,$B$4:$B3073,B3073,$J$4:$J3073,"&gt;"&amp;0),""))</f>
        <v/>
      </c>
      <c r="L3073" s="11" t="n"/>
    </row>
    <row r="3074" ht="14" customHeight="1" s="72">
      <c r="A3074" s="83" t="n"/>
      <c r="B3074" s="81" t="n"/>
      <c r="C3074" s="69">
        <f>IF(B3074="","",IFERROR(INDEX(Client_List!$B:$B,MATCH(B3074,Client_List!$A:$A,0)),"⚠ NOT FOUND"))</f>
        <v/>
      </c>
      <c r="D3074" s="45" t="n"/>
      <c r="E3074" s="32">
        <f>IF(B3074="","",IFERROR(INDEX(Client_List!$C:$C,MATCH(VALUE(B3074),Client_List!$A:$A,0)),""))</f>
        <v/>
      </c>
      <c r="F3074" s="53">
        <f>IF(B3074="","",IFERROR(INDEX(Client_List!$D:$D,MATCH(VALUE(B3074),Client_List!$A:$A,0)),""))</f>
        <v/>
      </c>
      <c r="G3074" s="53">
        <f>IF(B3074="","",IFERROR(INDEX(Client_List!$K:$K,MATCH(VALUE(B3074),Client_List!$A:$A,0)),""))</f>
        <v/>
      </c>
      <c r="H3074" s="32">
        <f>IF(B3074="","",IFERROR(INDEX(Client_List!$J:$J,MATCH(VALUE(B3074),Client_List!$A:$A,0)),""))</f>
        <v/>
      </c>
      <c r="I3074" s="70">
        <f>IF(B3074="","",IFERROR(A3074-LOOKUP(2,1/($B$4:$B3073=B3074),$A$4:$A3073),""))</f>
        <v/>
      </c>
      <c r="J3074" s="32">
        <f>IF(B3074="","",IFERROR(D3074/I3074,""))</f>
        <v/>
      </c>
      <c r="K3074" s="71">
        <f>IF(B3074="","",IFERROR(AVERAGEIFS($J$4:$J3074,$B$4:$B3074,B3074,$J$4:$J3074,"&gt;"&amp;0),""))</f>
        <v/>
      </c>
      <c r="L3074" s="12" t="n"/>
    </row>
    <row r="3075" ht="14" customHeight="1" s="72">
      <c r="A3075" s="82" t="n"/>
      <c r="B3075" s="79" t="n"/>
      <c r="C3075" s="69">
        <f>IF(B3075="","",IFERROR(INDEX(Client_List!$B:$B,MATCH(B3075,Client_List!$A:$A,0)),"⚠ NOT FOUND"))</f>
        <v/>
      </c>
      <c r="D3075" s="44" t="n"/>
      <c r="E3075" s="32">
        <f>IF(B3075="","",IFERROR(INDEX(Client_List!$C:$C,MATCH(VALUE(B3075),Client_List!$A:$A,0)),""))</f>
        <v/>
      </c>
      <c r="F3075" s="53">
        <f>IF(B3075="","",IFERROR(INDEX(Client_List!$D:$D,MATCH(VALUE(B3075),Client_List!$A:$A,0)),""))</f>
        <v/>
      </c>
      <c r="G3075" s="53">
        <f>IF(B3075="","",IFERROR(INDEX(Client_List!$K:$K,MATCH(VALUE(B3075),Client_List!$A:$A,0)),""))</f>
        <v/>
      </c>
      <c r="H3075" s="32">
        <f>IF(B3075="","",IFERROR(INDEX(Client_List!$J:$J,MATCH(VALUE(B3075),Client_List!$A:$A,0)),""))</f>
        <v/>
      </c>
      <c r="I3075" s="70">
        <f>IF(B3075="","",IFERROR(A3075-LOOKUP(2,1/($B$4:$B3074=B3075),$A$4:$A3074),""))</f>
        <v/>
      </c>
      <c r="J3075" s="32">
        <f>IF(B3075="","",IFERROR(D3075/I3075,""))</f>
        <v/>
      </c>
      <c r="K3075" s="71">
        <f>IF(B3075="","",IFERROR(AVERAGEIFS($J$4:$J3075,$B$4:$B3075,B3075,$J$4:$J3075,"&gt;"&amp;0),""))</f>
        <v/>
      </c>
      <c r="L3075" s="11" t="n"/>
    </row>
    <row r="3076" ht="14" customHeight="1" s="72">
      <c r="A3076" s="83" t="n"/>
      <c r="B3076" s="81" t="n"/>
      <c r="C3076" s="69">
        <f>IF(B3076="","",IFERROR(INDEX(Client_List!$B:$B,MATCH(B3076,Client_List!$A:$A,0)),"⚠ NOT FOUND"))</f>
        <v/>
      </c>
      <c r="D3076" s="45" t="n"/>
      <c r="E3076" s="32">
        <f>IF(B3076="","",IFERROR(INDEX(Client_List!$C:$C,MATCH(VALUE(B3076),Client_List!$A:$A,0)),""))</f>
        <v/>
      </c>
      <c r="F3076" s="53">
        <f>IF(B3076="","",IFERROR(INDEX(Client_List!$D:$D,MATCH(VALUE(B3076),Client_List!$A:$A,0)),""))</f>
        <v/>
      </c>
      <c r="G3076" s="53">
        <f>IF(B3076="","",IFERROR(INDEX(Client_List!$K:$K,MATCH(VALUE(B3076),Client_List!$A:$A,0)),""))</f>
        <v/>
      </c>
      <c r="H3076" s="32">
        <f>IF(B3076="","",IFERROR(INDEX(Client_List!$J:$J,MATCH(VALUE(B3076),Client_List!$A:$A,0)),""))</f>
        <v/>
      </c>
      <c r="I3076" s="70">
        <f>IF(B3076="","",IFERROR(A3076-LOOKUP(2,1/($B$4:$B3075=B3076),$A$4:$A3075),""))</f>
        <v/>
      </c>
      <c r="J3076" s="32">
        <f>IF(B3076="","",IFERROR(D3076/I3076,""))</f>
        <v/>
      </c>
      <c r="K3076" s="71">
        <f>IF(B3076="","",IFERROR(AVERAGEIFS($J$4:$J3076,$B$4:$B3076,B3076,$J$4:$J3076,"&gt;"&amp;0),""))</f>
        <v/>
      </c>
      <c r="L3076" s="12" t="n"/>
    </row>
    <row r="3077" ht="14" customHeight="1" s="72">
      <c r="A3077" s="82" t="n"/>
      <c r="B3077" s="79" t="n"/>
      <c r="C3077" s="69">
        <f>IF(B3077="","",IFERROR(INDEX(Client_List!$B:$B,MATCH(B3077,Client_List!$A:$A,0)),"⚠ NOT FOUND"))</f>
        <v/>
      </c>
      <c r="D3077" s="44" t="n"/>
      <c r="E3077" s="32">
        <f>IF(B3077="","",IFERROR(INDEX(Client_List!$C:$C,MATCH(VALUE(B3077),Client_List!$A:$A,0)),""))</f>
        <v/>
      </c>
      <c r="F3077" s="53">
        <f>IF(B3077="","",IFERROR(INDEX(Client_List!$D:$D,MATCH(VALUE(B3077),Client_List!$A:$A,0)),""))</f>
        <v/>
      </c>
      <c r="G3077" s="53">
        <f>IF(B3077="","",IFERROR(INDEX(Client_List!$K:$K,MATCH(VALUE(B3077),Client_List!$A:$A,0)),""))</f>
        <v/>
      </c>
      <c r="H3077" s="32">
        <f>IF(B3077="","",IFERROR(INDEX(Client_List!$J:$J,MATCH(VALUE(B3077),Client_List!$A:$A,0)),""))</f>
        <v/>
      </c>
      <c r="I3077" s="70">
        <f>IF(B3077="","",IFERROR(A3077-LOOKUP(2,1/($B$4:$B3076=B3077),$A$4:$A3076),""))</f>
        <v/>
      </c>
      <c r="J3077" s="32">
        <f>IF(B3077="","",IFERROR(D3077/I3077,""))</f>
        <v/>
      </c>
      <c r="K3077" s="71">
        <f>IF(B3077="","",IFERROR(AVERAGEIFS($J$4:$J3077,$B$4:$B3077,B3077,$J$4:$J3077,"&gt;"&amp;0),""))</f>
        <v/>
      </c>
      <c r="L3077" s="11" t="n"/>
    </row>
    <row r="3078" ht="14" customHeight="1" s="72">
      <c r="A3078" s="83" t="n"/>
      <c r="B3078" s="81" t="n"/>
      <c r="C3078" s="69">
        <f>IF(B3078="","",IFERROR(INDEX(Client_List!$B:$B,MATCH(B3078,Client_List!$A:$A,0)),"⚠ NOT FOUND"))</f>
        <v/>
      </c>
      <c r="D3078" s="45" t="n"/>
      <c r="E3078" s="32">
        <f>IF(B3078="","",IFERROR(INDEX(Client_List!$C:$C,MATCH(VALUE(B3078),Client_List!$A:$A,0)),""))</f>
        <v/>
      </c>
      <c r="F3078" s="53">
        <f>IF(B3078="","",IFERROR(INDEX(Client_List!$D:$D,MATCH(VALUE(B3078),Client_List!$A:$A,0)),""))</f>
        <v/>
      </c>
      <c r="G3078" s="53">
        <f>IF(B3078="","",IFERROR(INDEX(Client_List!$K:$K,MATCH(VALUE(B3078),Client_List!$A:$A,0)),""))</f>
        <v/>
      </c>
      <c r="H3078" s="32">
        <f>IF(B3078="","",IFERROR(INDEX(Client_List!$J:$J,MATCH(VALUE(B3078),Client_List!$A:$A,0)),""))</f>
        <v/>
      </c>
      <c r="I3078" s="70">
        <f>IF(B3078="","",IFERROR(A3078-LOOKUP(2,1/($B$4:$B3077=B3078),$A$4:$A3077),""))</f>
        <v/>
      </c>
      <c r="J3078" s="32">
        <f>IF(B3078="","",IFERROR(D3078/I3078,""))</f>
        <v/>
      </c>
      <c r="K3078" s="71">
        <f>IF(B3078="","",IFERROR(AVERAGEIFS($J$4:$J3078,$B$4:$B3078,B3078,$J$4:$J3078,"&gt;"&amp;0),""))</f>
        <v/>
      </c>
      <c r="L3078" s="12" t="n"/>
    </row>
    <row r="3079" ht="14" customHeight="1" s="72">
      <c r="A3079" s="82" t="n"/>
      <c r="B3079" s="79" t="n"/>
      <c r="C3079" s="69">
        <f>IF(B3079="","",IFERROR(INDEX(Client_List!$B:$B,MATCH(B3079,Client_List!$A:$A,0)),"⚠ NOT FOUND"))</f>
        <v/>
      </c>
      <c r="D3079" s="44" t="n"/>
      <c r="E3079" s="32">
        <f>IF(B3079="","",IFERROR(INDEX(Client_List!$C:$C,MATCH(VALUE(B3079),Client_List!$A:$A,0)),""))</f>
        <v/>
      </c>
      <c r="F3079" s="53">
        <f>IF(B3079="","",IFERROR(INDEX(Client_List!$D:$D,MATCH(VALUE(B3079),Client_List!$A:$A,0)),""))</f>
        <v/>
      </c>
      <c r="G3079" s="53">
        <f>IF(B3079="","",IFERROR(INDEX(Client_List!$K:$K,MATCH(VALUE(B3079),Client_List!$A:$A,0)),""))</f>
        <v/>
      </c>
      <c r="H3079" s="32">
        <f>IF(B3079="","",IFERROR(INDEX(Client_List!$J:$J,MATCH(VALUE(B3079),Client_List!$A:$A,0)),""))</f>
        <v/>
      </c>
      <c r="I3079" s="70">
        <f>IF(B3079="","",IFERROR(A3079-LOOKUP(2,1/($B$4:$B3078=B3079),$A$4:$A3078),""))</f>
        <v/>
      </c>
      <c r="J3079" s="32">
        <f>IF(B3079="","",IFERROR(D3079/I3079,""))</f>
        <v/>
      </c>
      <c r="K3079" s="71">
        <f>IF(B3079="","",IFERROR(AVERAGEIFS($J$4:$J3079,$B$4:$B3079,B3079,$J$4:$J3079,"&gt;"&amp;0),""))</f>
        <v/>
      </c>
      <c r="L3079" s="11" t="n"/>
    </row>
    <row r="3080" ht="14" customHeight="1" s="72">
      <c r="A3080" s="83" t="n"/>
      <c r="B3080" s="81" t="n"/>
      <c r="C3080" s="69">
        <f>IF(B3080="","",IFERROR(INDEX(Client_List!$B:$B,MATCH(B3080,Client_List!$A:$A,0)),"⚠ NOT FOUND"))</f>
        <v/>
      </c>
      <c r="D3080" s="45" t="n"/>
      <c r="E3080" s="32">
        <f>IF(B3080="","",IFERROR(INDEX(Client_List!$C:$C,MATCH(VALUE(B3080),Client_List!$A:$A,0)),""))</f>
        <v/>
      </c>
      <c r="F3080" s="53">
        <f>IF(B3080="","",IFERROR(INDEX(Client_List!$D:$D,MATCH(VALUE(B3080),Client_List!$A:$A,0)),""))</f>
        <v/>
      </c>
      <c r="G3080" s="53">
        <f>IF(B3080="","",IFERROR(INDEX(Client_List!$K:$K,MATCH(VALUE(B3080),Client_List!$A:$A,0)),""))</f>
        <v/>
      </c>
      <c r="H3080" s="32">
        <f>IF(B3080="","",IFERROR(INDEX(Client_List!$J:$J,MATCH(VALUE(B3080),Client_List!$A:$A,0)),""))</f>
        <v/>
      </c>
      <c r="I3080" s="70">
        <f>IF(B3080="","",IFERROR(A3080-LOOKUP(2,1/($B$4:$B3079=B3080),$A$4:$A3079),""))</f>
        <v/>
      </c>
      <c r="J3080" s="32">
        <f>IF(B3080="","",IFERROR(D3080/I3080,""))</f>
        <v/>
      </c>
      <c r="K3080" s="71">
        <f>IF(B3080="","",IFERROR(AVERAGEIFS($J$4:$J3080,$B$4:$B3080,B3080,$J$4:$J3080,"&gt;"&amp;0),""))</f>
        <v/>
      </c>
      <c r="L3080" s="12" t="n"/>
    </row>
    <row r="3081" ht="14" customHeight="1" s="72">
      <c r="A3081" s="82" t="n"/>
      <c r="B3081" s="79" t="n"/>
      <c r="C3081" s="69">
        <f>IF(B3081="","",IFERROR(INDEX(Client_List!$B:$B,MATCH(B3081,Client_List!$A:$A,0)),"⚠ NOT FOUND"))</f>
        <v/>
      </c>
      <c r="D3081" s="44" t="n"/>
      <c r="E3081" s="32">
        <f>IF(B3081="","",IFERROR(INDEX(Client_List!$C:$C,MATCH(VALUE(B3081),Client_List!$A:$A,0)),""))</f>
        <v/>
      </c>
      <c r="F3081" s="53">
        <f>IF(B3081="","",IFERROR(INDEX(Client_List!$D:$D,MATCH(VALUE(B3081),Client_List!$A:$A,0)),""))</f>
        <v/>
      </c>
      <c r="G3081" s="53">
        <f>IF(B3081="","",IFERROR(INDEX(Client_List!$K:$K,MATCH(VALUE(B3081),Client_List!$A:$A,0)),""))</f>
        <v/>
      </c>
      <c r="H3081" s="32">
        <f>IF(B3081="","",IFERROR(INDEX(Client_List!$J:$J,MATCH(VALUE(B3081),Client_List!$A:$A,0)),""))</f>
        <v/>
      </c>
      <c r="I3081" s="70">
        <f>IF(B3081="","",IFERROR(A3081-LOOKUP(2,1/($B$4:$B3080=B3081),$A$4:$A3080),""))</f>
        <v/>
      </c>
      <c r="J3081" s="32">
        <f>IF(B3081="","",IFERROR(D3081/I3081,""))</f>
        <v/>
      </c>
      <c r="K3081" s="71">
        <f>IF(B3081="","",IFERROR(AVERAGEIFS($J$4:$J3081,$B$4:$B3081,B3081,$J$4:$J3081,"&gt;"&amp;0),""))</f>
        <v/>
      </c>
      <c r="L3081" s="11" t="n"/>
    </row>
    <row r="3082" ht="14" customHeight="1" s="72">
      <c r="A3082" s="83" t="n"/>
      <c r="B3082" s="81" t="n"/>
      <c r="C3082" s="69">
        <f>IF(B3082="","",IFERROR(INDEX(Client_List!$B:$B,MATCH(B3082,Client_List!$A:$A,0)),"⚠ NOT FOUND"))</f>
        <v/>
      </c>
      <c r="D3082" s="45" t="n"/>
      <c r="E3082" s="32">
        <f>IF(B3082="","",IFERROR(INDEX(Client_List!$C:$C,MATCH(VALUE(B3082),Client_List!$A:$A,0)),""))</f>
        <v/>
      </c>
      <c r="F3082" s="53">
        <f>IF(B3082="","",IFERROR(INDEX(Client_List!$D:$D,MATCH(VALUE(B3082),Client_List!$A:$A,0)),""))</f>
        <v/>
      </c>
      <c r="G3082" s="53">
        <f>IF(B3082="","",IFERROR(INDEX(Client_List!$K:$K,MATCH(VALUE(B3082),Client_List!$A:$A,0)),""))</f>
        <v/>
      </c>
      <c r="H3082" s="32">
        <f>IF(B3082="","",IFERROR(INDEX(Client_List!$J:$J,MATCH(VALUE(B3082),Client_List!$A:$A,0)),""))</f>
        <v/>
      </c>
      <c r="I3082" s="70">
        <f>IF(B3082="","",IFERROR(A3082-LOOKUP(2,1/($B$4:$B3081=B3082),$A$4:$A3081),""))</f>
        <v/>
      </c>
      <c r="J3082" s="32">
        <f>IF(B3082="","",IFERROR(D3082/I3082,""))</f>
        <v/>
      </c>
      <c r="K3082" s="71">
        <f>IF(B3082="","",IFERROR(AVERAGEIFS($J$4:$J3082,$B$4:$B3082,B3082,$J$4:$J3082,"&gt;"&amp;0),""))</f>
        <v/>
      </c>
      <c r="L3082" s="12" t="n"/>
    </row>
    <row r="3083" ht="14" customHeight="1" s="72">
      <c r="A3083" s="82" t="n"/>
      <c r="B3083" s="79" t="n"/>
      <c r="C3083" s="69">
        <f>IF(B3083="","",IFERROR(INDEX(Client_List!$B:$B,MATCH(B3083,Client_List!$A:$A,0)),"⚠ NOT FOUND"))</f>
        <v/>
      </c>
      <c r="D3083" s="44" t="n"/>
      <c r="E3083" s="32">
        <f>IF(B3083="","",IFERROR(INDEX(Client_List!$C:$C,MATCH(VALUE(B3083),Client_List!$A:$A,0)),""))</f>
        <v/>
      </c>
      <c r="F3083" s="53">
        <f>IF(B3083="","",IFERROR(INDEX(Client_List!$D:$D,MATCH(VALUE(B3083),Client_List!$A:$A,0)),""))</f>
        <v/>
      </c>
      <c r="G3083" s="53">
        <f>IF(B3083="","",IFERROR(INDEX(Client_List!$K:$K,MATCH(VALUE(B3083),Client_List!$A:$A,0)),""))</f>
        <v/>
      </c>
      <c r="H3083" s="32">
        <f>IF(B3083="","",IFERROR(INDEX(Client_List!$J:$J,MATCH(VALUE(B3083),Client_List!$A:$A,0)),""))</f>
        <v/>
      </c>
      <c r="I3083" s="70">
        <f>IF(B3083="","",IFERROR(A3083-LOOKUP(2,1/($B$4:$B3082=B3083),$A$4:$A3082),""))</f>
        <v/>
      </c>
      <c r="J3083" s="32">
        <f>IF(B3083="","",IFERROR(D3083/I3083,""))</f>
        <v/>
      </c>
      <c r="K3083" s="71">
        <f>IF(B3083="","",IFERROR(AVERAGEIFS($J$4:$J3083,$B$4:$B3083,B3083,$J$4:$J3083,"&gt;"&amp;0),""))</f>
        <v/>
      </c>
      <c r="L3083" s="11" t="n"/>
    </row>
    <row r="3084" ht="14" customHeight="1" s="72">
      <c r="A3084" s="83" t="n"/>
      <c r="B3084" s="81" t="n"/>
      <c r="C3084" s="69">
        <f>IF(B3084="","",IFERROR(INDEX(Client_List!$B:$B,MATCH(B3084,Client_List!$A:$A,0)),"⚠ NOT FOUND"))</f>
        <v/>
      </c>
      <c r="D3084" s="45" t="n"/>
      <c r="E3084" s="32">
        <f>IF(B3084="","",IFERROR(INDEX(Client_List!$C:$C,MATCH(VALUE(B3084),Client_List!$A:$A,0)),""))</f>
        <v/>
      </c>
      <c r="F3084" s="53">
        <f>IF(B3084="","",IFERROR(INDEX(Client_List!$D:$D,MATCH(VALUE(B3084),Client_List!$A:$A,0)),""))</f>
        <v/>
      </c>
      <c r="G3084" s="53">
        <f>IF(B3084="","",IFERROR(INDEX(Client_List!$K:$K,MATCH(VALUE(B3084),Client_List!$A:$A,0)),""))</f>
        <v/>
      </c>
      <c r="H3084" s="32">
        <f>IF(B3084="","",IFERROR(INDEX(Client_List!$J:$J,MATCH(VALUE(B3084),Client_List!$A:$A,0)),""))</f>
        <v/>
      </c>
      <c r="I3084" s="70">
        <f>IF(B3084="","",IFERROR(A3084-LOOKUP(2,1/($B$4:$B3083=B3084),$A$4:$A3083),""))</f>
        <v/>
      </c>
      <c r="J3084" s="32">
        <f>IF(B3084="","",IFERROR(D3084/I3084,""))</f>
        <v/>
      </c>
      <c r="K3084" s="71">
        <f>IF(B3084="","",IFERROR(AVERAGEIFS($J$4:$J3084,$B$4:$B3084,B3084,$J$4:$J3084,"&gt;"&amp;0),""))</f>
        <v/>
      </c>
      <c r="L3084" s="12" t="n"/>
    </row>
    <row r="3085" ht="14" customHeight="1" s="72">
      <c r="A3085" s="82" t="n"/>
      <c r="B3085" s="79" t="n"/>
      <c r="C3085" s="69">
        <f>IF(B3085="","",IFERROR(INDEX(Client_List!$B:$B,MATCH(B3085,Client_List!$A:$A,0)),"⚠ NOT FOUND"))</f>
        <v/>
      </c>
      <c r="D3085" s="44" t="n"/>
      <c r="E3085" s="32">
        <f>IF(B3085="","",IFERROR(INDEX(Client_List!$C:$C,MATCH(VALUE(B3085),Client_List!$A:$A,0)),""))</f>
        <v/>
      </c>
      <c r="F3085" s="53">
        <f>IF(B3085="","",IFERROR(INDEX(Client_List!$D:$D,MATCH(VALUE(B3085),Client_List!$A:$A,0)),""))</f>
        <v/>
      </c>
      <c r="G3085" s="53">
        <f>IF(B3085="","",IFERROR(INDEX(Client_List!$K:$K,MATCH(VALUE(B3085),Client_List!$A:$A,0)),""))</f>
        <v/>
      </c>
      <c r="H3085" s="32">
        <f>IF(B3085="","",IFERROR(INDEX(Client_List!$J:$J,MATCH(VALUE(B3085),Client_List!$A:$A,0)),""))</f>
        <v/>
      </c>
      <c r="I3085" s="70">
        <f>IF(B3085="","",IFERROR(A3085-LOOKUP(2,1/($B$4:$B3084=B3085),$A$4:$A3084),""))</f>
        <v/>
      </c>
      <c r="J3085" s="32">
        <f>IF(B3085="","",IFERROR(D3085/I3085,""))</f>
        <v/>
      </c>
      <c r="K3085" s="71">
        <f>IF(B3085="","",IFERROR(AVERAGEIFS($J$4:$J3085,$B$4:$B3085,B3085,$J$4:$J3085,"&gt;"&amp;0),""))</f>
        <v/>
      </c>
      <c r="L3085" s="11" t="n"/>
    </row>
    <row r="3086" ht="14" customHeight="1" s="72">
      <c r="A3086" s="83" t="n"/>
      <c r="B3086" s="81" t="n"/>
      <c r="C3086" s="69">
        <f>IF(B3086="","",IFERROR(INDEX(Client_List!$B:$B,MATCH(B3086,Client_List!$A:$A,0)),"⚠ NOT FOUND"))</f>
        <v/>
      </c>
      <c r="D3086" s="45" t="n"/>
      <c r="E3086" s="32">
        <f>IF(B3086="","",IFERROR(INDEX(Client_List!$C:$C,MATCH(VALUE(B3086),Client_List!$A:$A,0)),""))</f>
        <v/>
      </c>
      <c r="F3086" s="53">
        <f>IF(B3086="","",IFERROR(INDEX(Client_List!$D:$D,MATCH(VALUE(B3086),Client_List!$A:$A,0)),""))</f>
        <v/>
      </c>
      <c r="G3086" s="53">
        <f>IF(B3086="","",IFERROR(INDEX(Client_List!$K:$K,MATCH(VALUE(B3086),Client_List!$A:$A,0)),""))</f>
        <v/>
      </c>
      <c r="H3086" s="32">
        <f>IF(B3086="","",IFERROR(INDEX(Client_List!$J:$J,MATCH(VALUE(B3086),Client_List!$A:$A,0)),""))</f>
        <v/>
      </c>
      <c r="I3086" s="70">
        <f>IF(B3086="","",IFERROR(A3086-LOOKUP(2,1/($B$4:$B3085=B3086),$A$4:$A3085),""))</f>
        <v/>
      </c>
      <c r="J3086" s="32">
        <f>IF(B3086="","",IFERROR(D3086/I3086,""))</f>
        <v/>
      </c>
      <c r="K3086" s="71">
        <f>IF(B3086="","",IFERROR(AVERAGEIFS($J$4:$J3086,$B$4:$B3086,B3086,$J$4:$J3086,"&gt;"&amp;0),""))</f>
        <v/>
      </c>
      <c r="L3086" s="12" t="n"/>
    </row>
    <row r="3087" ht="14" customHeight="1" s="72">
      <c r="A3087" s="82" t="n"/>
      <c r="B3087" s="79" t="n"/>
      <c r="C3087" s="69">
        <f>IF(B3087="","",IFERROR(INDEX(Client_List!$B:$B,MATCH(B3087,Client_List!$A:$A,0)),"⚠ NOT FOUND"))</f>
        <v/>
      </c>
      <c r="D3087" s="44" t="n"/>
      <c r="E3087" s="32">
        <f>IF(B3087="","",IFERROR(INDEX(Client_List!$C:$C,MATCH(VALUE(B3087),Client_List!$A:$A,0)),""))</f>
        <v/>
      </c>
      <c r="F3087" s="53">
        <f>IF(B3087="","",IFERROR(INDEX(Client_List!$D:$D,MATCH(VALUE(B3087),Client_List!$A:$A,0)),""))</f>
        <v/>
      </c>
      <c r="G3087" s="53">
        <f>IF(B3087="","",IFERROR(INDEX(Client_List!$K:$K,MATCH(VALUE(B3087),Client_List!$A:$A,0)),""))</f>
        <v/>
      </c>
      <c r="H3087" s="32">
        <f>IF(B3087="","",IFERROR(INDEX(Client_List!$J:$J,MATCH(VALUE(B3087),Client_List!$A:$A,0)),""))</f>
        <v/>
      </c>
      <c r="I3087" s="70">
        <f>IF(B3087="","",IFERROR(A3087-LOOKUP(2,1/($B$4:$B3086=B3087),$A$4:$A3086),""))</f>
        <v/>
      </c>
      <c r="J3087" s="32">
        <f>IF(B3087="","",IFERROR(D3087/I3087,""))</f>
        <v/>
      </c>
      <c r="K3087" s="71">
        <f>IF(B3087="","",IFERROR(AVERAGEIFS($J$4:$J3087,$B$4:$B3087,B3087,$J$4:$J3087,"&gt;"&amp;0),""))</f>
        <v/>
      </c>
      <c r="L3087" s="11" t="n"/>
    </row>
    <row r="3088" ht="14" customHeight="1" s="72">
      <c r="A3088" s="83" t="n"/>
      <c r="B3088" s="81" t="n"/>
      <c r="C3088" s="69">
        <f>IF(B3088="","",IFERROR(INDEX(Client_List!$B:$B,MATCH(B3088,Client_List!$A:$A,0)),"⚠ NOT FOUND"))</f>
        <v/>
      </c>
      <c r="D3088" s="45" t="n"/>
      <c r="E3088" s="32">
        <f>IF(B3088="","",IFERROR(INDEX(Client_List!$C:$C,MATCH(VALUE(B3088),Client_List!$A:$A,0)),""))</f>
        <v/>
      </c>
      <c r="F3088" s="53">
        <f>IF(B3088="","",IFERROR(INDEX(Client_List!$D:$D,MATCH(VALUE(B3088),Client_List!$A:$A,0)),""))</f>
        <v/>
      </c>
      <c r="G3088" s="53">
        <f>IF(B3088="","",IFERROR(INDEX(Client_List!$K:$K,MATCH(VALUE(B3088),Client_List!$A:$A,0)),""))</f>
        <v/>
      </c>
      <c r="H3088" s="32">
        <f>IF(B3088="","",IFERROR(INDEX(Client_List!$J:$J,MATCH(VALUE(B3088),Client_List!$A:$A,0)),""))</f>
        <v/>
      </c>
      <c r="I3088" s="70">
        <f>IF(B3088="","",IFERROR(A3088-LOOKUP(2,1/($B$4:$B3087=B3088),$A$4:$A3087),""))</f>
        <v/>
      </c>
      <c r="J3088" s="32">
        <f>IF(B3088="","",IFERROR(D3088/I3088,""))</f>
        <v/>
      </c>
      <c r="K3088" s="71">
        <f>IF(B3088="","",IFERROR(AVERAGEIFS($J$4:$J3088,$B$4:$B3088,B3088,$J$4:$J3088,"&gt;"&amp;0),""))</f>
        <v/>
      </c>
      <c r="L3088" s="12" t="n"/>
    </row>
    <row r="3089" ht="14" customHeight="1" s="72">
      <c r="A3089" s="82" t="n"/>
      <c r="B3089" s="79" t="n"/>
      <c r="C3089" s="69">
        <f>IF(B3089="","",IFERROR(INDEX(Client_List!$B:$B,MATCH(B3089,Client_List!$A:$A,0)),"⚠ NOT FOUND"))</f>
        <v/>
      </c>
      <c r="D3089" s="44" t="n"/>
      <c r="E3089" s="32">
        <f>IF(B3089="","",IFERROR(INDEX(Client_List!$C:$C,MATCH(VALUE(B3089),Client_List!$A:$A,0)),""))</f>
        <v/>
      </c>
      <c r="F3089" s="53">
        <f>IF(B3089="","",IFERROR(INDEX(Client_List!$D:$D,MATCH(VALUE(B3089),Client_List!$A:$A,0)),""))</f>
        <v/>
      </c>
      <c r="G3089" s="53">
        <f>IF(B3089="","",IFERROR(INDEX(Client_List!$K:$K,MATCH(VALUE(B3089),Client_List!$A:$A,0)),""))</f>
        <v/>
      </c>
      <c r="H3089" s="32">
        <f>IF(B3089="","",IFERROR(INDEX(Client_List!$J:$J,MATCH(VALUE(B3089),Client_List!$A:$A,0)),""))</f>
        <v/>
      </c>
      <c r="I3089" s="70">
        <f>IF(B3089="","",IFERROR(A3089-LOOKUP(2,1/($B$4:$B3088=B3089),$A$4:$A3088),""))</f>
        <v/>
      </c>
      <c r="J3089" s="32">
        <f>IF(B3089="","",IFERROR(D3089/I3089,""))</f>
        <v/>
      </c>
      <c r="K3089" s="71">
        <f>IF(B3089="","",IFERROR(AVERAGEIFS($J$4:$J3089,$B$4:$B3089,B3089,$J$4:$J3089,"&gt;"&amp;0),""))</f>
        <v/>
      </c>
      <c r="L3089" s="11" t="n"/>
    </row>
    <row r="3090" ht="14" customHeight="1" s="72">
      <c r="A3090" s="83" t="n"/>
      <c r="B3090" s="81" t="n"/>
      <c r="C3090" s="69">
        <f>IF(B3090="","",IFERROR(INDEX(Client_List!$B:$B,MATCH(B3090,Client_List!$A:$A,0)),"⚠ NOT FOUND"))</f>
        <v/>
      </c>
      <c r="D3090" s="45" t="n"/>
      <c r="E3090" s="32">
        <f>IF(B3090="","",IFERROR(INDEX(Client_List!$C:$C,MATCH(VALUE(B3090),Client_List!$A:$A,0)),""))</f>
        <v/>
      </c>
      <c r="F3090" s="53">
        <f>IF(B3090="","",IFERROR(INDEX(Client_List!$D:$D,MATCH(VALUE(B3090),Client_List!$A:$A,0)),""))</f>
        <v/>
      </c>
      <c r="G3090" s="53">
        <f>IF(B3090="","",IFERROR(INDEX(Client_List!$K:$K,MATCH(VALUE(B3090),Client_List!$A:$A,0)),""))</f>
        <v/>
      </c>
      <c r="H3090" s="32">
        <f>IF(B3090="","",IFERROR(INDEX(Client_List!$J:$J,MATCH(VALUE(B3090),Client_List!$A:$A,0)),""))</f>
        <v/>
      </c>
      <c r="I3090" s="70">
        <f>IF(B3090="","",IFERROR(A3090-LOOKUP(2,1/($B$4:$B3089=B3090),$A$4:$A3089),""))</f>
        <v/>
      </c>
      <c r="J3090" s="32">
        <f>IF(B3090="","",IFERROR(D3090/I3090,""))</f>
        <v/>
      </c>
      <c r="K3090" s="71">
        <f>IF(B3090="","",IFERROR(AVERAGEIFS($J$4:$J3090,$B$4:$B3090,B3090,$J$4:$J3090,"&gt;"&amp;0),""))</f>
        <v/>
      </c>
      <c r="L3090" s="12" t="n"/>
    </row>
    <row r="3091" ht="14" customHeight="1" s="72">
      <c r="A3091" s="82" t="n"/>
      <c r="B3091" s="79" t="n"/>
      <c r="C3091" s="69">
        <f>IF(B3091="","",IFERROR(INDEX(Client_List!$B:$B,MATCH(B3091,Client_List!$A:$A,0)),"⚠ NOT FOUND"))</f>
        <v/>
      </c>
      <c r="D3091" s="44" t="n"/>
      <c r="E3091" s="32">
        <f>IF(B3091="","",IFERROR(INDEX(Client_List!$C:$C,MATCH(VALUE(B3091),Client_List!$A:$A,0)),""))</f>
        <v/>
      </c>
      <c r="F3091" s="53">
        <f>IF(B3091="","",IFERROR(INDEX(Client_List!$D:$D,MATCH(VALUE(B3091),Client_List!$A:$A,0)),""))</f>
        <v/>
      </c>
      <c r="G3091" s="53">
        <f>IF(B3091="","",IFERROR(INDEX(Client_List!$K:$K,MATCH(VALUE(B3091),Client_List!$A:$A,0)),""))</f>
        <v/>
      </c>
      <c r="H3091" s="32">
        <f>IF(B3091="","",IFERROR(INDEX(Client_List!$J:$J,MATCH(VALUE(B3091),Client_List!$A:$A,0)),""))</f>
        <v/>
      </c>
      <c r="I3091" s="70">
        <f>IF(B3091="","",IFERROR(A3091-LOOKUP(2,1/($B$4:$B3090=B3091),$A$4:$A3090),""))</f>
        <v/>
      </c>
      <c r="J3091" s="32">
        <f>IF(B3091="","",IFERROR(D3091/I3091,""))</f>
        <v/>
      </c>
      <c r="K3091" s="71">
        <f>IF(B3091="","",IFERROR(AVERAGEIFS($J$4:$J3091,$B$4:$B3091,B3091,$J$4:$J3091,"&gt;"&amp;0),""))</f>
        <v/>
      </c>
      <c r="L3091" s="11" t="n"/>
    </row>
    <row r="3092" ht="14" customHeight="1" s="72">
      <c r="A3092" s="83" t="n"/>
      <c r="B3092" s="81" t="n"/>
      <c r="C3092" s="69">
        <f>IF(B3092="","",IFERROR(INDEX(Client_List!$B:$B,MATCH(B3092,Client_List!$A:$A,0)),"⚠ NOT FOUND"))</f>
        <v/>
      </c>
      <c r="D3092" s="45" t="n"/>
      <c r="E3092" s="32">
        <f>IF(B3092="","",IFERROR(INDEX(Client_List!$C:$C,MATCH(VALUE(B3092),Client_List!$A:$A,0)),""))</f>
        <v/>
      </c>
      <c r="F3092" s="53">
        <f>IF(B3092="","",IFERROR(INDEX(Client_List!$D:$D,MATCH(VALUE(B3092),Client_List!$A:$A,0)),""))</f>
        <v/>
      </c>
      <c r="G3092" s="53">
        <f>IF(B3092="","",IFERROR(INDEX(Client_List!$K:$K,MATCH(VALUE(B3092),Client_List!$A:$A,0)),""))</f>
        <v/>
      </c>
      <c r="H3092" s="32">
        <f>IF(B3092="","",IFERROR(INDEX(Client_List!$J:$J,MATCH(VALUE(B3092),Client_List!$A:$A,0)),""))</f>
        <v/>
      </c>
      <c r="I3092" s="70">
        <f>IF(B3092="","",IFERROR(A3092-LOOKUP(2,1/($B$4:$B3091=B3092),$A$4:$A3091),""))</f>
        <v/>
      </c>
      <c r="J3092" s="32">
        <f>IF(B3092="","",IFERROR(D3092/I3092,""))</f>
        <v/>
      </c>
      <c r="K3092" s="71">
        <f>IF(B3092="","",IFERROR(AVERAGEIFS($J$4:$J3092,$B$4:$B3092,B3092,$J$4:$J3092,"&gt;"&amp;0),""))</f>
        <v/>
      </c>
      <c r="L3092" s="12" t="n"/>
    </row>
    <row r="3093" ht="14" customHeight="1" s="72">
      <c r="A3093" s="82" t="n"/>
      <c r="B3093" s="79" t="n"/>
      <c r="C3093" s="69">
        <f>IF(B3093="","",IFERROR(INDEX(Client_List!$B:$B,MATCH(B3093,Client_List!$A:$A,0)),"⚠ NOT FOUND"))</f>
        <v/>
      </c>
      <c r="D3093" s="44" t="n"/>
      <c r="E3093" s="32">
        <f>IF(B3093="","",IFERROR(INDEX(Client_List!$C:$C,MATCH(VALUE(B3093),Client_List!$A:$A,0)),""))</f>
        <v/>
      </c>
      <c r="F3093" s="53">
        <f>IF(B3093="","",IFERROR(INDEX(Client_List!$D:$D,MATCH(VALUE(B3093),Client_List!$A:$A,0)),""))</f>
        <v/>
      </c>
      <c r="G3093" s="53">
        <f>IF(B3093="","",IFERROR(INDEX(Client_List!$K:$K,MATCH(VALUE(B3093),Client_List!$A:$A,0)),""))</f>
        <v/>
      </c>
      <c r="H3093" s="32">
        <f>IF(B3093="","",IFERROR(INDEX(Client_List!$J:$J,MATCH(VALUE(B3093),Client_List!$A:$A,0)),""))</f>
        <v/>
      </c>
      <c r="I3093" s="70">
        <f>IF(B3093="","",IFERROR(A3093-LOOKUP(2,1/($B$4:$B3092=B3093),$A$4:$A3092),""))</f>
        <v/>
      </c>
      <c r="J3093" s="32">
        <f>IF(B3093="","",IFERROR(D3093/I3093,""))</f>
        <v/>
      </c>
      <c r="K3093" s="71">
        <f>IF(B3093="","",IFERROR(AVERAGEIFS($J$4:$J3093,$B$4:$B3093,B3093,$J$4:$J3093,"&gt;"&amp;0),""))</f>
        <v/>
      </c>
      <c r="L3093" s="11" t="n"/>
    </row>
    <row r="3094" ht="14" customHeight="1" s="72">
      <c r="A3094" s="83" t="n"/>
      <c r="B3094" s="81" t="n"/>
      <c r="C3094" s="69">
        <f>IF(B3094="","",IFERROR(INDEX(Client_List!$B:$B,MATCH(B3094,Client_List!$A:$A,0)),"⚠ NOT FOUND"))</f>
        <v/>
      </c>
      <c r="D3094" s="45" t="n"/>
      <c r="E3094" s="32">
        <f>IF(B3094="","",IFERROR(INDEX(Client_List!$C:$C,MATCH(VALUE(B3094),Client_List!$A:$A,0)),""))</f>
        <v/>
      </c>
      <c r="F3094" s="53">
        <f>IF(B3094="","",IFERROR(INDEX(Client_List!$D:$D,MATCH(VALUE(B3094),Client_List!$A:$A,0)),""))</f>
        <v/>
      </c>
      <c r="G3094" s="53">
        <f>IF(B3094="","",IFERROR(INDEX(Client_List!$K:$K,MATCH(VALUE(B3094),Client_List!$A:$A,0)),""))</f>
        <v/>
      </c>
      <c r="H3094" s="32">
        <f>IF(B3094="","",IFERROR(INDEX(Client_List!$J:$J,MATCH(VALUE(B3094),Client_List!$A:$A,0)),""))</f>
        <v/>
      </c>
      <c r="I3094" s="70">
        <f>IF(B3094="","",IFERROR(A3094-LOOKUP(2,1/($B$4:$B3093=B3094),$A$4:$A3093),""))</f>
        <v/>
      </c>
      <c r="J3094" s="32">
        <f>IF(B3094="","",IFERROR(D3094/I3094,""))</f>
        <v/>
      </c>
      <c r="K3094" s="71">
        <f>IF(B3094="","",IFERROR(AVERAGEIFS($J$4:$J3094,$B$4:$B3094,B3094,$J$4:$J3094,"&gt;"&amp;0),""))</f>
        <v/>
      </c>
      <c r="L3094" s="12" t="n"/>
    </row>
    <row r="3095" ht="14" customHeight="1" s="72">
      <c r="A3095" s="82" t="n"/>
      <c r="B3095" s="79" t="n"/>
      <c r="C3095" s="69">
        <f>IF(B3095="","",IFERROR(INDEX(Client_List!$B:$B,MATCH(B3095,Client_List!$A:$A,0)),"⚠ NOT FOUND"))</f>
        <v/>
      </c>
      <c r="D3095" s="44" t="n"/>
      <c r="E3095" s="32">
        <f>IF(B3095="","",IFERROR(INDEX(Client_List!$C:$C,MATCH(VALUE(B3095),Client_List!$A:$A,0)),""))</f>
        <v/>
      </c>
      <c r="F3095" s="53">
        <f>IF(B3095="","",IFERROR(INDEX(Client_List!$D:$D,MATCH(VALUE(B3095),Client_List!$A:$A,0)),""))</f>
        <v/>
      </c>
      <c r="G3095" s="53">
        <f>IF(B3095="","",IFERROR(INDEX(Client_List!$K:$K,MATCH(VALUE(B3095),Client_List!$A:$A,0)),""))</f>
        <v/>
      </c>
      <c r="H3095" s="32">
        <f>IF(B3095="","",IFERROR(INDEX(Client_List!$J:$J,MATCH(VALUE(B3095),Client_List!$A:$A,0)),""))</f>
        <v/>
      </c>
      <c r="I3095" s="70">
        <f>IF(B3095="","",IFERROR(A3095-LOOKUP(2,1/($B$4:$B3094=B3095),$A$4:$A3094),""))</f>
        <v/>
      </c>
      <c r="J3095" s="32">
        <f>IF(B3095="","",IFERROR(D3095/I3095,""))</f>
        <v/>
      </c>
      <c r="K3095" s="71">
        <f>IF(B3095="","",IFERROR(AVERAGEIFS($J$4:$J3095,$B$4:$B3095,B3095,$J$4:$J3095,"&gt;"&amp;0),""))</f>
        <v/>
      </c>
      <c r="L3095" s="11" t="n"/>
    </row>
    <row r="3096" ht="14" customHeight="1" s="72">
      <c r="A3096" s="83" t="n"/>
      <c r="B3096" s="81" t="n"/>
      <c r="C3096" s="69">
        <f>IF(B3096="","",IFERROR(INDEX(Client_List!$B:$B,MATCH(B3096,Client_List!$A:$A,0)),"⚠ NOT FOUND"))</f>
        <v/>
      </c>
      <c r="D3096" s="45" t="n"/>
      <c r="E3096" s="32">
        <f>IF(B3096="","",IFERROR(INDEX(Client_List!$C:$C,MATCH(VALUE(B3096),Client_List!$A:$A,0)),""))</f>
        <v/>
      </c>
      <c r="F3096" s="53">
        <f>IF(B3096="","",IFERROR(INDEX(Client_List!$D:$D,MATCH(VALUE(B3096),Client_List!$A:$A,0)),""))</f>
        <v/>
      </c>
      <c r="G3096" s="53">
        <f>IF(B3096="","",IFERROR(INDEX(Client_List!$K:$K,MATCH(VALUE(B3096),Client_List!$A:$A,0)),""))</f>
        <v/>
      </c>
      <c r="H3096" s="32">
        <f>IF(B3096="","",IFERROR(INDEX(Client_List!$J:$J,MATCH(VALUE(B3096),Client_List!$A:$A,0)),""))</f>
        <v/>
      </c>
      <c r="I3096" s="70">
        <f>IF(B3096="","",IFERROR(A3096-LOOKUP(2,1/($B$4:$B3095=B3096),$A$4:$A3095),""))</f>
        <v/>
      </c>
      <c r="J3096" s="32">
        <f>IF(B3096="","",IFERROR(D3096/I3096,""))</f>
        <v/>
      </c>
      <c r="K3096" s="71">
        <f>IF(B3096="","",IFERROR(AVERAGEIFS($J$4:$J3096,$B$4:$B3096,B3096,$J$4:$J3096,"&gt;"&amp;0),""))</f>
        <v/>
      </c>
      <c r="L3096" s="12" t="n"/>
    </row>
    <row r="3097" ht="14" customHeight="1" s="72">
      <c r="A3097" s="82" t="n"/>
      <c r="B3097" s="79" t="n"/>
      <c r="C3097" s="69">
        <f>IF(B3097="","",IFERROR(INDEX(Client_List!$B:$B,MATCH(B3097,Client_List!$A:$A,0)),"⚠ NOT FOUND"))</f>
        <v/>
      </c>
      <c r="D3097" s="44" t="n"/>
      <c r="E3097" s="32">
        <f>IF(B3097="","",IFERROR(INDEX(Client_List!$C:$C,MATCH(VALUE(B3097),Client_List!$A:$A,0)),""))</f>
        <v/>
      </c>
      <c r="F3097" s="53">
        <f>IF(B3097="","",IFERROR(INDEX(Client_List!$D:$D,MATCH(VALUE(B3097),Client_List!$A:$A,0)),""))</f>
        <v/>
      </c>
      <c r="G3097" s="53">
        <f>IF(B3097="","",IFERROR(INDEX(Client_List!$K:$K,MATCH(VALUE(B3097),Client_List!$A:$A,0)),""))</f>
        <v/>
      </c>
      <c r="H3097" s="32">
        <f>IF(B3097="","",IFERROR(INDEX(Client_List!$J:$J,MATCH(VALUE(B3097),Client_List!$A:$A,0)),""))</f>
        <v/>
      </c>
      <c r="I3097" s="70">
        <f>IF(B3097="","",IFERROR(A3097-LOOKUP(2,1/($B$4:$B3096=B3097),$A$4:$A3096),""))</f>
        <v/>
      </c>
      <c r="J3097" s="32">
        <f>IF(B3097="","",IFERROR(D3097/I3097,""))</f>
        <v/>
      </c>
      <c r="K3097" s="71">
        <f>IF(B3097="","",IFERROR(AVERAGEIFS($J$4:$J3097,$B$4:$B3097,B3097,$J$4:$J3097,"&gt;"&amp;0),""))</f>
        <v/>
      </c>
      <c r="L3097" s="11" t="n"/>
    </row>
    <row r="3098" ht="14" customHeight="1" s="72">
      <c r="A3098" s="83" t="n"/>
      <c r="B3098" s="81" t="n"/>
      <c r="C3098" s="69">
        <f>IF(B3098="","",IFERROR(INDEX(Client_List!$B:$B,MATCH(B3098,Client_List!$A:$A,0)),"⚠ NOT FOUND"))</f>
        <v/>
      </c>
      <c r="D3098" s="45" t="n"/>
      <c r="E3098" s="32">
        <f>IF(B3098="","",IFERROR(INDEX(Client_List!$C:$C,MATCH(VALUE(B3098),Client_List!$A:$A,0)),""))</f>
        <v/>
      </c>
      <c r="F3098" s="53">
        <f>IF(B3098="","",IFERROR(INDEX(Client_List!$D:$D,MATCH(VALUE(B3098),Client_List!$A:$A,0)),""))</f>
        <v/>
      </c>
      <c r="G3098" s="53">
        <f>IF(B3098="","",IFERROR(INDEX(Client_List!$K:$K,MATCH(VALUE(B3098),Client_List!$A:$A,0)),""))</f>
        <v/>
      </c>
      <c r="H3098" s="32">
        <f>IF(B3098="","",IFERROR(INDEX(Client_List!$J:$J,MATCH(VALUE(B3098),Client_List!$A:$A,0)),""))</f>
        <v/>
      </c>
      <c r="I3098" s="70">
        <f>IF(B3098="","",IFERROR(A3098-LOOKUP(2,1/($B$4:$B3097=B3098),$A$4:$A3097),""))</f>
        <v/>
      </c>
      <c r="J3098" s="32">
        <f>IF(B3098="","",IFERROR(D3098/I3098,""))</f>
        <v/>
      </c>
      <c r="K3098" s="71">
        <f>IF(B3098="","",IFERROR(AVERAGEIFS($J$4:$J3098,$B$4:$B3098,B3098,$J$4:$J3098,"&gt;"&amp;0),""))</f>
        <v/>
      </c>
      <c r="L3098" s="12" t="n"/>
    </row>
    <row r="3099" ht="14" customHeight="1" s="72">
      <c r="A3099" s="82" t="n"/>
      <c r="B3099" s="79" t="n"/>
      <c r="C3099" s="69">
        <f>IF(B3099="","",IFERROR(INDEX(Client_List!$B:$B,MATCH(B3099,Client_List!$A:$A,0)),"⚠ NOT FOUND"))</f>
        <v/>
      </c>
      <c r="D3099" s="44" t="n"/>
      <c r="E3099" s="32">
        <f>IF(B3099="","",IFERROR(INDEX(Client_List!$C:$C,MATCH(VALUE(B3099),Client_List!$A:$A,0)),""))</f>
        <v/>
      </c>
      <c r="F3099" s="53">
        <f>IF(B3099="","",IFERROR(INDEX(Client_List!$D:$D,MATCH(VALUE(B3099),Client_List!$A:$A,0)),""))</f>
        <v/>
      </c>
      <c r="G3099" s="53">
        <f>IF(B3099="","",IFERROR(INDEX(Client_List!$K:$K,MATCH(VALUE(B3099),Client_List!$A:$A,0)),""))</f>
        <v/>
      </c>
      <c r="H3099" s="32">
        <f>IF(B3099="","",IFERROR(INDEX(Client_List!$J:$J,MATCH(VALUE(B3099),Client_List!$A:$A,0)),""))</f>
        <v/>
      </c>
      <c r="I3099" s="70">
        <f>IF(B3099="","",IFERROR(A3099-LOOKUP(2,1/($B$4:$B3098=B3099),$A$4:$A3098),""))</f>
        <v/>
      </c>
      <c r="J3099" s="32">
        <f>IF(B3099="","",IFERROR(D3099/I3099,""))</f>
        <v/>
      </c>
      <c r="K3099" s="71">
        <f>IF(B3099="","",IFERROR(AVERAGEIFS($J$4:$J3099,$B$4:$B3099,B3099,$J$4:$J3099,"&gt;"&amp;0),""))</f>
        <v/>
      </c>
      <c r="L3099" s="11" t="n"/>
    </row>
    <row r="3100" ht="14" customHeight="1" s="72">
      <c r="A3100" s="83" t="n"/>
      <c r="B3100" s="81" t="n"/>
      <c r="C3100" s="69">
        <f>IF(B3100="","",IFERROR(INDEX(Client_List!$B:$B,MATCH(B3100,Client_List!$A:$A,0)),"⚠ NOT FOUND"))</f>
        <v/>
      </c>
      <c r="D3100" s="45" t="n"/>
      <c r="E3100" s="32">
        <f>IF(B3100="","",IFERROR(INDEX(Client_List!$C:$C,MATCH(VALUE(B3100),Client_List!$A:$A,0)),""))</f>
        <v/>
      </c>
      <c r="F3100" s="53">
        <f>IF(B3100="","",IFERROR(INDEX(Client_List!$D:$D,MATCH(VALUE(B3100),Client_List!$A:$A,0)),""))</f>
        <v/>
      </c>
      <c r="G3100" s="53">
        <f>IF(B3100="","",IFERROR(INDEX(Client_List!$K:$K,MATCH(VALUE(B3100),Client_List!$A:$A,0)),""))</f>
        <v/>
      </c>
      <c r="H3100" s="32">
        <f>IF(B3100="","",IFERROR(INDEX(Client_List!$J:$J,MATCH(VALUE(B3100),Client_List!$A:$A,0)),""))</f>
        <v/>
      </c>
      <c r="I3100" s="70">
        <f>IF(B3100="","",IFERROR(A3100-LOOKUP(2,1/($B$4:$B3099=B3100),$A$4:$A3099),""))</f>
        <v/>
      </c>
      <c r="J3100" s="32">
        <f>IF(B3100="","",IFERROR(D3100/I3100,""))</f>
        <v/>
      </c>
      <c r="K3100" s="71">
        <f>IF(B3100="","",IFERROR(AVERAGEIFS($J$4:$J3100,$B$4:$B3100,B3100,$J$4:$J3100,"&gt;"&amp;0),""))</f>
        <v/>
      </c>
      <c r="L3100" s="12" t="n"/>
    </row>
    <row r="3101" ht="14" customHeight="1" s="72">
      <c r="A3101" s="82" t="n"/>
      <c r="B3101" s="79" t="n"/>
      <c r="C3101" s="69">
        <f>IF(B3101="","",IFERROR(INDEX(Client_List!$B:$B,MATCH(B3101,Client_List!$A:$A,0)),"⚠ NOT FOUND"))</f>
        <v/>
      </c>
      <c r="D3101" s="44" t="n"/>
      <c r="E3101" s="32">
        <f>IF(B3101="","",IFERROR(INDEX(Client_List!$C:$C,MATCH(VALUE(B3101),Client_List!$A:$A,0)),""))</f>
        <v/>
      </c>
      <c r="F3101" s="53">
        <f>IF(B3101="","",IFERROR(INDEX(Client_List!$D:$D,MATCH(VALUE(B3101),Client_List!$A:$A,0)),""))</f>
        <v/>
      </c>
      <c r="G3101" s="53">
        <f>IF(B3101="","",IFERROR(INDEX(Client_List!$K:$K,MATCH(VALUE(B3101),Client_List!$A:$A,0)),""))</f>
        <v/>
      </c>
      <c r="H3101" s="32">
        <f>IF(B3101="","",IFERROR(INDEX(Client_List!$J:$J,MATCH(VALUE(B3101),Client_List!$A:$A,0)),""))</f>
        <v/>
      </c>
      <c r="I3101" s="70">
        <f>IF(B3101="","",IFERROR(A3101-LOOKUP(2,1/($B$4:$B3100=B3101),$A$4:$A3100),""))</f>
        <v/>
      </c>
      <c r="J3101" s="32">
        <f>IF(B3101="","",IFERROR(D3101/I3101,""))</f>
        <v/>
      </c>
      <c r="K3101" s="71">
        <f>IF(B3101="","",IFERROR(AVERAGEIFS($J$4:$J3101,$B$4:$B3101,B3101,$J$4:$J3101,"&gt;"&amp;0),""))</f>
        <v/>
      </c>
      <c r="L3101" s="11" t="n"/>
    </row>
    <row r="3102" ht="14" customHeight="1" s="72">
      <c r="A3102" s="83" t="n"/>
      <c r="B3102" s="81" t="n"/>
      <c r="C3102" s="69">
        <f>IF(B3102="","",IFERROR(INDEX(Client_List!$B:$B,MATCH(B3102,Client_List!$A:$A,0)),"⚠ NOT FOUND"))</f>
        <v/>
      </c>
      <c r="D3102" s="45" t="n"/>
      <c r="E3102" s="32">
        <f>IF(B3102="","",IFERROR(INDEX(Client_List!$C:$C,MATCH(VALUE(B3102),Client_List!$A:$A,0)),""))</f>
        <v/>
      </c>
      <c r="F3102" s="53">
        <f>IF(B3102="","",IFERROR(INDEX(Client_List!$D:$D,MATCH(VALUE(B3102),Client_List!$A:$A,0)),""))</f>
        <v/>
      </c>
      <c r="G3102" s="53">
        <f>IF(B3102="","",IFERROR(INDEX(Client_List!$K:$K,MATCH(VALUE(B3102),Client_List!$A:$A,0)),""))</f>
        <v/>
      </c>
      <c r="H3102" s="32">
        <f>IF(B3102="","",IFERROR(INDEX(Client_List!$J:$J,MATCH(VALUE(B3102),Client_List!$A:$A,0)),""))</f>
        <v/>
      </c>
      <c r="I3102" s="70">
        <f>IF(B3102="","",IFERROR(A3102-LOOKUP(2,1/($B$4:$B3101=B3102),$A$4:$A3101),""))</f>
        <v/>
      </c>
      <c r="J3102" s="32">
        <f>IF(B3102="","",IFERROR(D3102/I3102,""))</f>
        <v/>
      </c>
      <c r="K3102" s="71">
        <f>IF(B3102="","",IFERROR(AVERAGEIFS($J$4:$J3102,$B$4:$B3102,B3102,$J$4:$J3102,"&gt;"&amp;0),""))</f>
        <v/>
      </c>
      <c r="L3102" s="12" t="n"/>
    </row>
    <row r="3103" ht="14" customHeight="1" s="72">
      <c r="A3103" s="82" t="n"/>
      <c r="B3103" s="79" t="n"/>
      <c r="C3103" s="69">
        <f>IF(B3103="","",IFERROR(INDEX(Client_List!$B:$B,MATCH(B3103,Client_List!$A:$A,0)),"⚠ NOT FOUND"))</f>
        <v/>
      </c>
      <c r="D3103" s="44" t="n"/>
      <c r="E3103" s="32">
        <f>IF(B3103="","",IFERROR(INDEX(Client_List!$C:$C,MATCH(VALUE(B3103),Client_List!$A:$A,0)),""))</f>
        <v/>
      </c>
      <c r="F3103" s="53">
        <f>IF(B3103="","",IFERROR(INDEX(Client_List!$D:$D,MATCH(VALUE(B3103),Client_List!$A:$A,0)),""))</f>
        <v/>
      </c>
      <c r="G3103" s="53">
        <f>IF(B3103="","",IFERROR(INDEX(Client_List!$K:$K,MATCH(VALUE(B3103),Client_List!$A:$A,0)),""))</f>
        <v/>
      </c>
      <c r="H3103" s="32">
        <f>IF(B3103="","",IFERROR(INDEX(Client_List!$J:$J,MATCH(VALUE(B3103),Client_List!$A:$A,0)),""))</f>
        <v/>
      </c>
      <c r="I3103" s="70">
        <f>IF(B3103="","",IFERROR(A3103-LOOKUP(2,1/($B$4:$B3102=B3103),$A$4:$A3102),""))</f>
        <v/>
      </c>
      <c r="J3103" s="32">
        <f>IF(B3103="","",IFERROR(D3103/I3103,""))</f>
        <v/>
      </c>
      <c r="K3103" s="71">
        <f>IF(B3103="","",IFERROR(AVERAGEIFS($J$4:$J3103,$B$4:$B3103,B3103,$J$4:$J3103,"&gt;"&amp;0),""))</f>
        <v/>
      </c>
      <c r="L3103" s="11" t="n"/>
    </row>
    <row r="3104" ht="14" customHeight="1" s="72">
      <c r="A3104" s="83" t="n"/>
      <c r="B3104" s="81" t="n"/>
      <c r="C3104" s="69">
        <f>IF(B3104="","",IFERROR(INDEX(Client_List!$B:$B,MATCH(B3104,Client_List!$A:$A,0)),"⚠ NOT FOUND"))</f>
        <v/>
      </c>
      <c r="D3104" s="45" t="n"/>
      <c r="E3104" s="32">
        <f>IF(B3104="","",IFERROR(INDEX(Client_List!$C:$C,MATCH(VALUE(B3104),Client_List!$A:$A,0)),""))</f>
        <v/>
      </c>
      <c r="F3104" s="53">
        <f>IF(B3104="","",IFERROR(INDEX(Client_List!$D:$D,MATCH(VALUE(B3104),Client_List!$A:$A,0)),""))</f>
        <v/>
      </c>
      <c r="G3104" s="53">
        <f>IF(B3104="","",IFERROR(INDEX(Client_List!$K:$K,MATCH(VALUE(B3104),Client_List!$A:$A,0)),""))</f>
        <v/>
      </c>
      <c r="H3104" s="32">
        <f>IF(B3104="","",IFERROR(INDEX(Client_List!$J:$J,MATCH(VALUE(B3104),Client_List!$A:$A,0)),""))</f>
        <v/>
      </c>
      <c r="I3104" s="70">
        <f>IF(B3104="","",IFERROR(A3104-LOOKUP(2,1/($B$4:$B3103=B3104),$A$4:$A3103),""))</f>
        <v/>
      </c>
      <c r="J3104" s="32">
        <f>IF(B3104="","",IFERROR(D3104/I3104,""))</f>
        <v/>
      </c>
      <c r="K3104" s="71">
        <f>IF(B3104="","",IFERROR(AVERAGEIFS($J$4:$J3104,$B$4:$B3104,B3104,$J$4:$J3104,"&gt;"&amp;0),""))</f>
        <v/>
      </c>
      <c r="L3104" s="12" t="n"/>
    </row>
    <row r="3105" ht="14" customHeight="1" s="72">
      <c r="A3105" s="82" t="n"/>
      <c r="B3105" s="79" t="n"/>
      <c r="C3105" s="69">
        <f>IF(B3105="","",IFERROR(INDEX(Client_List!$B:$B,MATCH(B3105,Client_List!$A:$A,0)),"⚠ NOT FOUND"))</f>
        <v/>
      </c>
      <c r="D3105" s="44" t="n"/>
      <c r="E3105" s="32">
        <f>IF(B3105="","",IFERROR(INDEX(Client_List!$C:$C,MATCH(VALUE(B3105),Client_List!$A:$A,0)),""))</f>
        <v/>
      </c>
      <c r="F3105" s="53">
        <f>IF(B3105="","",IFERROR(INDEX(Client_List!$D:$D,MATCH(VALUE(B3105),Client_List!$A:$A,0)),""))</f>
        <v/>
      </c>
      <c r="G3105" s="53">
        <f>IF(B3105="","",IFERROR(INDEX(Client_List!$K:$K,MATCH(VALUE(B3105),Client_List!$A:$A,0)),""))</f>
        <v/>
      </c>
      <c r="H3105" s="32">
        <f>IF(B3105="","",IFERROR(INDEX(Client_List!$J:$J,MATCH(VALUE(B3105),Client_List!$A:$A,0)),""))</f>
        <v/>
      </c>
      <c r="I3105" s="70">
        <f>IF(B3105="","",IFERROR(A3105-LOOKUP(2,1/($B$4:$B3104=B3105),$A$4:$A3104),""))</f>
        <v/>
      </c>
      <c r="J3105" s="32">
        <f>IF(B3105="","",IFERROR(D3105/I3105,""))</f>
        <v/>
      </c>
      <c r="K3105" s="71">
        <f>IF(B3105="","",IFERROR(AVERAGEIFS($J$4:$J3105,$B$4:$B3105,B3105,$J$4:$J3105,"&gt;"&amp;0),""))</f>
        <v/>
      </c>
      <c r="L3105" s="11" t="n"/>
    </row>
    <row r="3106" ht="14" customHeight="1" s="72">
      <c r="A3106" s="83" t="n"/>
      <c r="B3106" s="81" t="n"/>
      <c r="C3106" s="69">
        <f>IF(B3106="","",IFERROR(INDEX(Client_List!$B:$B,MATCH(B3106,Client_List!$A:$A,0)),"⚠ NOT FOUND"))</f>
        <v/>
      </c>
      <c r="D3106" s="45" t="n"/>
      <c r="E3106" s="32">
        <f>IF(B3106="","",IFERROR(INDEX(Client_List!$C:$C,MATCH(VALUE(B3106),Client_List!$A:$A,0)),""))</f>
        <v/>
      </c>
      <c r="F3106" s="53">
        <f>IF(B3106="","",IFERROR(INDEX(Client_List!$D:$D,MATCH(VALUE(B3106),Client_List!$A:$A,0)),""))</f>
        <v/>
      </c>
      <c r="G3106" s="53">
        <f>IF(B3106="","",IFERROR(INDEX(Client_List!$K:$K,MATCH(VALUE(B3106),Client_List!$A:$A,0)),""))</f>
        <v/>
      </c>
      <c r="H3106" s="32">
        <f>IF(B3106="","",IFERROR(INDEX(Client_List!$J:$J,MATCH(VALUE(B3106),Client_List!$A:$A,0)),""))</f>
        <v/>
      </c>
      <c r="I3106" s="70">
        <f>IF(B3106="","",IFERROR(A3106-LOOKUP(2,1/($B$4:$B3105=B3106),$A$4:$A3105),""))</f>
        <v/>
      </c>
      <c r="J3106" s="32">
        <f>IF(B3106="","",IFERROR(D3106/I3106,""))</f>
        <v/>
      </c>
      <c r="K3106" s="71">
        <f>IF(B3106="","",IFERROR(AVERAGEIFS($J$4:$J3106,$B$4:$B3106,B3106,$J$4:$J3106,"&gt;"&amp;0),""))</f>
        <v/>
      </c>
      <c r="L3106" s="12" t="n"/>
    </row>
    <row r="3107" ht="14" customHeight="1" s="72">
      <c r="A3107" s="82" t="n"/>
      <c r="B3107" s="79" t="n"/>
      <c r="C3107" s="69">
        <f>IF(B3107="","",IFERROR(INDEX(Client_List!$B:$B,MATCH(B3107,Client_List!$A:$A,0)),"⚠ NOT FOUND"))</f>
        <v/>
      </c>
      <c r="D3107" s="44" t="n"/>
      <c r="E3107" s="32">
        <f>IF(B3107="","",IFERROR(INDEX(Client_List!$C:$C,MATCH(VALUE(B3107),Client_List!$A:$A,0)),""))</f>
        <v/>
      </c>
      <c r="F3107" s="53">
        <f>IF(B3107="","",IFERROR(INDEX(Client_List!$D:$D,MATCH(VALUE(B3107),Client_List!$A:$A,0)),""))</f>
        <v/>
      </c>
      <c r="G3107" s="53">
        <f>IF(B3107="","",IFERROR(INDEX(Client_List!$K:$K,MATCH(VALUE(B3107),Client_List!$A:$A,0)),""))</f>
        <v/>
      </c>
      <c r="H3107" s="32">
        <f>IF(B3107="","",IFERROR(INDEX(Client_List!$J:$J,MATCH(VALUE(B3107),Client_List!$A:$A,0)),""))</f>
        <v/>
      </c>
      <c r="I3107" s="70">
        <f>IF(B3107="","",IFERROR(A3107-LOOKUP(2,1/($B$4:$B3106=B3107),$A$4:$A3106),""))</f>
        <v/>
      </c>
      <c r="J3107" s="32">
        <f>IF(B3107="","",IFERROR(D3107/I3107,""))</f>
        <v/>
      </c>
      <c r="K3107" s="71">
        <f>IF(B3107="","",IFERROR(AVERAGEIFS($J$4:$J3107,$B$4:$B3107,B3107,$J$4:$J3107,"&gt;"&amp;0),""))</f>
        <v/>
      </c>
      <c r="L3107" s="11" t="n"/>
    </row>
    <row r="3108" ht="14" customHeight="1" s="72">
      <c r="A3108" s="83" t="n"/>
      <c r="B3108" s="81" t="n"/>
      <c r="C3108" s="69">
        <f>IF(B3108="","",IFERROR(INDEX(Client_List!$B:$B,MATCH(B3108,Client_List!$A:$A,0)),"⚠ NOT FOUND"))</f>
        <v/>
      </c>
      <c r="D3108" s="45" t="n"/>
      <c r="E3108" s="32">
        <f>IF(B3108="","",IFERROR(INDEX(Client_List!$C:$C,MATCH(VALUE(B3108),Client_List!$A:$A,0)),""))</f>
        <v/>
      </c>
      <c r="F3108" s="53">
        <f>IF(B3108="","",IFERROR(INDEX(Client_List!$D:$D,MATCH(VALUE(B3108),Client_List!$A:$A,0)),""))</f>
        <v/>
      </c>
      <c r="G3108" s="53">
        <f>IF(B3108="","",IFERROR(INDEX(Client_List!$K:$K,MATCH(VALUE(B3108),Client_List!$A:$A,0)),""))</f>
        <v/>
      </c>
      <c r="H3108" s="32">
        <f>IF(B3108="","",IFERROR(INDEX(Client_List!$J:$J,MATCH(VALUE(B3108),Client_List!$A:$A,0)),""))</f>
        <v/>
      </c>
      <c r="I3108" s="70">
        <f>IF(B3108="","",IFERROR(A3108-LOOKUP(2,1/($B$4:$B3107=B3108),$A$4:$A3107),""))</f>
        <v/>
      </c>
      <c r="J3108" s="32">
        <f>IF(B3108="","",IFERROR(D3108/I3108,""))</f>
        <v/>
      </c>
      <c r="K3108" s="71">
        <f>IF(B3108="","",IFERROR(AVERAGEIFS($J$4:$J3108,$B$4:$B3108,B3108,$J$4:$J3108,"&gt;"&amp;0),""))</f>
        <v/>
      </c>
      <c r="L3108" s="12" t="n"/>
    </row>
    <row r="3109" ht="14" customHeight="1" s="72">
      <c r="A3109" s="82" t="n"/>
      <c r="B3109" s="79" t="n"/>
      <c r="C3109" s="69">
        <f>IF(B3109="","",IFERROR(INDEX(Client_List!$B:$B,MATCH(B3109,Client_List!$A:$A,0)),"⚠ NOT FOUND"))</f>
        <v/>
      </c>
      <c r="D3109" s="44" t="n"/>
      <c r="E3109" s="32">
        <f>IF(B3109="","",IFERROR(INDEX(Client_List!$C:$C,MATCH(VALUE(B3109),Client_List!$A:$A,0)),""))</f>
        <v/>
      </c>
      <c r="F3109" s="53">
        <f>IF(B3109="","",IFERROR(INDEX(Client_List!$D:$D,MATCH(VALUE(B3109),Client_List!$A:$A,0)),""))</f>
        <v/>
      </c>
      <c r="G3109" s="53">
        <f>IF(B3109="","",IFERROR(INDEX(Client_List!$K:$K,MATCH(VALUE(B3109),Client_List!$A:$A,0)),""))</f>
        <v/>
      </c>
      <c r="H3109" s="32">
        <f>IF(B3109="","",IFERROR(INDEX(Client_List!$J:$J,MATCH(VALUE(B3109),Client_List!$A:$A,0)),""))</f>
        <v/>
      </c>
      <c r="I3109" s="70">
        <f>IF(B3109="","",IFERROR(A3109-LOOKUP(2,1/($B$4:$B3108=B3109),$A$4:$A3108),""))</f>
        <v/>
      </c>
      <c r="J3109" s="32">
        <f>IF(B3109="","",IFERROR(D3109/I3109,""))</f>
        <v/>
      </c>
      <c r="K3109" s="71">
        <f>IF(B3109="","",IFERROR(AVERAGEIFS($J$4:$J3109,$B$4:$B3109,B3109,$J$4:$J3109,"&gt;"&amp;0),""))</f>
        <v/>
      </c>
      <c r="L3109" s="11" t="n"/>
    </row>
    <row r="3110" ht="14" customHeight="1" s="72">
      <c r="A3110" s="83" t="n"/>
      <c r="B3110" s="81" t="n"/>
      <c r="C3110" s="69">
        <f>IF(B3110="","",IFERROR(INDEX(Client_List!$B:$B,MATCH(B3110,Client_List!$A:$A,0)),"⚠ NOT FOUND"))</f>
        <v/>
      </c>
      <c r="D3110" s="45" t="n"/>
      <c r="E3110" s="32">
        <f>IF(B3110="","",IFERROR(INDEX(Client_List!$C:$C,MATCH(VALUE(B3110),Client_List!$A:$A,0)),""))</f>
        <v/>
      </c>
      <c r="F3110" s="53">
        <f>IF(B3110="","",IFERROR(INDEX(Client_List!$D:$D,MATCH(VALUE(B3110),Client_List!$A:$A,0)),""))</f>
        <v/>
      </c>
      <c r="G3110" s="53">
        <f>IF(B3110="","",IFERROR(INDEX(Client_List!$K:$K,MATCH(VALUE(B3110),Client_List!$A:$A,0)),""))</f>
        <v/>
      </c>
      <c r="H3110" s="32">
        <f>IF(B3110="","",IFERROR(INDEX(Client_List!$J:$J,MATCH(VALUE(B3110),Client_List!$A:$A,0)),""))</f>
        <v/>
      </c>
      <c r="I3110" s="70">
        <f>IF(B3110="","",IFERROR(A3110-LOOKUP(2,1/($B$4:$B3109=B3110),$A$4:$A3109),""))</f>
        <v/>
      </c>
      <c r="J3110" s="32">
        <f>IF(B3110="","",IFERROR(D3110/I3110,""))</f>
        <v/>
      </c>
      <c r="K3110" s="71">
        <f>IF(B3110="","",IFERROR(AVERAGEIFS($J$4:$J3110,$B$4:$B3110,B3110,$J$4:$J3110,"&gt;"&amp;0),""))</f>
        <v/>
      </c>
      <c r="L3110" s="12" t="n"/>
    </row>
    <row r="3111" ht="14" customHeight="1" s="72">
      <c r="A3111" s="82" t="n"/>
      <c r="B3111" s="79" t="n"/>
      <c r="C3111" s="69">
        <f>IF(B3111="","",IFERROR(INDEX(Client_List!$B:$B,MATCH(B3111,Client_List!$A:$A,0)),"⚠ NOT FOUND"))</f>
        <v/>
      </c>
      <c r="D3111" s="44" t="n"/>
      <c r="E3111" s="32">
        <f>IF(B3111="","",IFERROR(INDEX(Client_List!$C:$C,MATCH(VALUE(B3111),Client_List!$A:$A,0)),""))</f>
        <v/>
      </c>
      <c r="F3111" s="53">
        <f>IF(B3111="","",IFERROR(INDEX(Client_List!$D:$D,MATCH(VALUE(B3111),Client_List!$A:$A,0)),""))</f>
        <v/>
      </c>
      <c r="G3111" s="53">
        <f>IF(B3111="","",IFERROR(INDEX(Client_List!$K:$K,MATCH(VALUE(B3111),Client_List!$A:$A,0)),""))</f>
        <v/>
      </c>
      <c r="H3111" s="32">
        <f>IF(B3111="","",IFERROR(INDEX(Client_List!$J:$J,MATCH(VALUE(B3111),Client_List!$A:$A,0)),""))</f>
        <v/>
      </c>
      <c r="I3111" s="70">
        <f>IF(B3111="","",IFERROR(A3111-LOOKUP(2,1/($B$4:$B3110=B3111),$A$4:$A3110),""))</f>
        <v/>
      </c>
      <c r="J3111" s="32">
        <f>IF(B3111="","",IFERROR(D3111/I3111,""))</f>
        <v/>
      </c>
      <c r="K3111" s="71">
        <f>IF(B3111="","",IFERROR(AVERAGEIFS($J$4:$J3111,$B$4:$B3111,B3111,$J$4:$J3111,"&gt;"&amp;0),""))</f>
        <v/>
      </c>
      <c r="L3111" s="11" t="n"/>
    </row>
    <row r="3112" ht="14" customHeight="1" s="72">
      <c r="A3112" s="83" t="n"/>
      <c r="B3112" s="81" t="n"/>
      <c r="C3112" s="69">
        <f>IF(B3112="","",IFERROR(INDEX(Client_List!$B:$B,MATCH(B3112,Client_List!$A:$A,0)),"⚠ NOT FOUND"))</f>
        <v/>
      </c>
      <c r="D3112" s="45" t="n"/>
      <c r="E3112" s="32">
        <f>IF(B3112="","",IFERROR(INDEX(Client_List!$C:$C,MATCH(VALUE(B3112),Client_List!$A:$A,0)),""))</f>
        <v/>
      </c>
      <c r="F3112" s="53">
        <f>IF(B3112="","",IFERROR(INDEX(Client_List!$D:$D,MATCH(VALUE(B3112),Client_List!$A:$A,0)),""))</f>
        <v/>
      </c>
      <c r="G3112" s="53">
        <f>IF(B3112="","",IFERROR(INDEX(Client_List!$K:$K,MATCH(VALUE(B3112),Client_List!$A:$A,0)),""))</f>
        <v/>
      </c>
      <c r="H3112" s="32">
        <f>IF(B3112="","",IFERROR(INDEX(Client_List!$J:$J,MATCH(VALUE(B3112),Client_List!$A:$A,0)),""))</f>
        <v/>
      </c>
      <c r="I3112" s="70">
        <f>IF(B3112="","",IFERROR(A3112-LOOKUP(2,1/($B$4:$B3111=B3112),$A$4:$A3111),""))</f>
        <v/>
      </c>
      <c r="J3112" s="32">
        <f>IF(B3112="","",IFERROR(D3112/I3112,""))</f>
        <v/>
      </c>
      <c r="K3112" s="71">
        <f>IF(B3112="","",IFERROR(AVERAGEIFS($J$4:$J3112,$B$4:$B3112,B3112,$J$4:$J3112,"&gt;"&amp;0),""))</f>
        <v/>
      </c>
      <c r="L3112" s="12" t="n"/>
    </row>
    <row r="3113" ht="14" customHeight="1" s="72">
      <c r="A3113" s="82" t="n"/>
      <c r="B3113" s="79" t="n"/>
      <c r="C3113" s="69">
        <f>IF(B3113="","",IFERROR(INDEX(Client_List!$B:$B,MATCH(B3113,Client_List!$A:$A,0)),"⚠ NOT FOUND"))</f>
        <v/>
      </c>
      <c r="D3113" s="44" t="n"/>
      <c r="E3113" s="32">
        <f>IF(B3113="","",IFERROR(INDEX(Client_List!$C:$C,MATCH(VALUE(B3113),Client_List!$A:$A,0)),""))</f>
        <v/>
      </c>
      <c r="F3113" s="53">
        <f>IF(B3113="","",IFERROR(INDEX(Client_List!$D:$D,MATCH(VALUE(B3113),Client_List!$A:$A,0)),""))</f>
        <v/>
      </c>
      <c r="G3113" s="53">
        <f>IF(B3113="","",IFERROR(INDEX(Client_List!$K:$K,MATCH(VALUE(B3113),Client_List!$A:$A,0)),""))</f>
        <v/>
      </c>
      <c r="H3113" s="32">
        <f>IF(B3113="","",IFERROR(INDEX(Client_List!$J:$J,MATCH(VALUE(B3113),Client_List!$A:$A,0)),""))</f>
        <v/>
      </c>
      <c r="I3113" s="70">
        <f>IF(B3113="","",IFERROR(A3113-LOOKUP(2,1/($B$4:$B3112=B3113),$A$4:$A3112),""))</f>
        <v/>
      </c>
      <c r="J3113" s="32">
        <f>IF(B3113="","",IFERROR(D3113/I3113,""))</f>
        <v/>
      </c>
      <c r="K3113" s="71">
        <f>IF(B3113="","",IFERROR(AVERAGEIFS($J$4:$J3113,$B$4:$B3113,B3113,$J$4:$J3113,"&gt;"&amp;0),""))</f>
        <v/>
      </c>
      <c r="L3113" s="11" t="n"/>
    </row>
    <row r="3114" ht="14" customHeight="1" s="72">
      <c r="A3114" s="83" t="n"/>
      <c r="B3114" s="81" t="n"/>
      <c r="C3114" s="69">
        <f>IF(B3114="","",IFERROR(INDEX(Client_List!$B:$B,MATCH(B3114,Client_List!$A:$A,0)),"⚠ NOT FOUND"))</f>
        <v/>
      </c>
      <c r="D3114" s="45" t="n"/>
      <c r="E3114" s="32">
        <f>IF(B3114="","",IFERROR(INDEX(Client_List!$C:$C,MATCH(VALUE(B3114),Client_List!$A:$A,0)),""))</f>
        <v/>
      </c>
      <c r="F3114" s="53">
        <f>IF(B3114="","",IFERROR(INDEX(Client_List!$D:$D,MATCH(VALUE(B3114),Client_List!$A:$A,0)),""))</f>
        <v/>
      </c>
      <c r="G3114" s="53">
        <f>IF(B3114="","",IFERROR(INDEX(Client_List!$K:$K,MATCH(VALUE(B3114),Client_List!$A:$A,0)),""))</f>
        <v/>
      </c>
      <c r="H3114" s="32">
        <f>IF(B3114="","",IFERROR(INDEX(Client_List!$J:$J,MATCH(VALUE(B3114),Client_List!$A:$A,0)),""))</f>
        <v/>
      </c>
      <c r="I3114" s="70">
        <f>IF(B3114="","",IFERROR(A3114-LOOKUP(2,1/($B$4:$B3113=B3114),$A$4:$A3113),""))</f>
        <v/>
      </c>
      <c r="J3114" s="32">
        <f>IF(B3114="","",IFERROR(D3114/I3114,""))</f>
        <v/>
      </c>
      <c r="K3114" s="71">
        <f>IF(B3114="","",IFERROR(AVERAGEIFS($J$4:$J3114,$B$4:$B3114,B3114,$J$4:$J3114,"&gt;"&amp;0),""))</f>
        <v/>
      </c>
      <c r="L3114" s="12" t="n"/>
    </row>
    <row r="3115" ht="14" customHeight="1" s="72">
      <c r="A3115" s="82" t="n"/>
      <c r="B3115" s="79" t="n"/>
      <c r="C3115" s="69">
        <f>IF(B3115="","",IFERROR(INDEX(Client_List!$B:$B,MATCH(B3115,Client_List!$A:$A,0)),"⚠ NOT FOUND"))</f>
        <v/>
      </c>
      <c r="D3115" s="44" t="n"/>
      <c r="E3115" s="32">
        <f>IF(B3115="","",IFERROR(INDEX(Client_List!$C:$C,MATCH(VALUE(B3115),Client_List!$A:$A,0)),""))</f>
        <v/>
      </c>
      <c r="F3115" s="53">
        <f>IF(B3115="","",IFERROR(INDEX(Client_List!$D:$D,MATCH(VALUE(B3115),Client_List!$A:$A,0)),""))</f>
        <v/>
      </c>
      <c r="G3115" s="53">
        <f>IF(B3115="","",IFERROR(INDEX(Client_List!$K:$K,MATCH(VALUE(B3115),Client_List!$A:$A,0)),""))</f>
        <v/>
      </c>
      <c r="H3115" s="32">
        <f>IF(B3115="","",IFERROR(INDEX(Client_List!$J:$J,MATCH(VALUE(B3115),Client_List!$A:$A,0)),""))</f>
        <v/>
      </c>
      <c r="I3115" s="70">
        <f>IF(B3115="","",IFERROR(A3115-LOOKUP(2,1/($B$4:$B3114=B3115),$A$4:$A3114),""))</f>
        <v/>
      </c>
      <c r="J3115" s="32">
        <f>IF(B3115="","",IFERROR(D3115/I3115,""))</f>
        <v/>
      </c>
      <c r="K3115" s="71">
        <f>IF(B3115="","",IFERROR(AVERAGEIFS($J$4:$J3115,$B$4:$B3115,B3115,$J$4:$J3115,"&gt;"&amp;0),""))</f>
        <v/>
      </c>
      <c r="L3115" s="11" t="n"/>
    </row>
    <row r="3116" ht="14" customHeight="1" s="72">
      <c r="A3116" s="83" t="n"/>
      <c r="B3116" s="81" t="n"/>
      <c r="C3116" s="69">
        <f>IF(B3116="","",IFERROR(INDEX(Client_List!$B:$B,MATCH(B3116,Client_List!$A:$A,0)),"⚠ NOT FOUND"))</f>
        <v/>
      </c>
      <c r="D3116" s="45" t="n"/>
      <c r="E3116" s="32">
        <f>IF(B3116="","",IFERROR(INDEX(Client_List!$C:$C,MATCH(VALUE(B3116),Client_List!$A:$A,0)),""))</f>
        <v/>
      </c>
      <c r="F3116" s="53">
        <f>IF(B3116="","",IFERROR(INDEX(Client_List!$D:$D,MATCH(VALUE(B3116),Client_List!$A:$A,0)),""))</f>
        <v/>
      </c>
      <c r="G3116" s="53">
        <f>IF(B3116="","",IFERROR(INDEX(Client_List!$K:$K,MATCH(VALUE(B3116),Client_List!$A:$A,0)),""))</f>
        <v/>
      </c>
      <c r="H3116" s="32">
        <f>IF(B3116="","",IFERROR(INDEX(Client_List!$J:$J,MATCH(VALUE(B3116),Client_List!$A:$A,0)),""))</f>
        <v/>
      </c>
      <c r="I3116" s="70">
        <f>IF(B3116="","",IFERROR(A3116-LOOKUP(2,1/($B$4:$B3115=B3116),$A$4:$A3115),""))</f>
        <v/>
      </c>
      <c r="J3116" s="32">
        <f>IF(B3116="","",IFERROR(D3116/I3116,""))</f>
        <v/>
      </c>
      <c r="K3116" s="71">
        <f>IF(B3116="","",IFERROR(AVERAGEIFS($J$4:$J3116,$B$4:$B3116,B3116,$J$4:$J3116,"&gt;"&amp;0),""))</f>
        <v/>
      </c>
      <c r="L3116" s="12" t="n"/>
    </row>
    <row r="3117" ht="14" customHeight="1" s="72">
      <c r="A3117" s="82" t="n"/>
      <c r="B3117" s="79" t="n"/>
      <c r="C3117" s="69">
        <f>IF(B3117="","",IFERROR(INDEX(Client_List!$B:$B,MATCH(B3117,Client_List!$A:$A,0)),"⚠ NOT FOUND"))</f>
        <v/>
      </c>
      <c r="D3117" s="44" t="n"/>
      <c r="E3117" s="32">
        <f>IF(B3117="","",IFERROR(INDEX(Client_List!$C:$C,MATCH(VALUE(B3117),Client_List!$A:$A,0)),""))</f>
        <v/>
      </c>
      <c r="F3117" s="53">
        <f>IF(B3117="","",IFERROR(INDEX(Client_List!$D:$D,MATCH(VALUE(B3117),Client_List!$A:$A,0)),""))</f>
        <v/>
      </c>
      <c r="G3117" s="53">
        <f>IF(B3117="","",IFERROR(INDEX(Client_List!$K:$K,MATCH(VALUE(B3117),Client_List!$A:$A,0)),""))</f>
        <v/>
      </c>
      <c r="H3117" s="32">
        <f>IF(B3117="","",IFERROR(INDEX(Client_List!$J:$J,MATCH(VALUE(B3117),Client_List!$A:$A,0)),""))</f>
        <v/>
      </c>
      <c r="I3117" s="70">
        <f>IF(B3117="","",IFERROR(A3117-LOOKUP(2,1/($B$4:$B3116=B3117),$A$4:$A3116),""))</f>
        <v/>
      </c>
      <c r="J3117" s="32">
        <f>IF(B3117="","",IFERROR(D3117/I3117,""))</f>
        <v/>
      </c>
      <c r="K3117" s="71">
        <f>IF(B3117="","",IFERROR(AVERAGEIFS($J$4:$J3117,$B$4:$B3117,B3117,$J$4:$J3117,"&gt;"&amp;0),""))</f>
        <v/>
      </c>
      <c r="L3117" s="11" t="n"/>
    </row>
    <row r="3118" ht="14" customHeight="1" s="72">
      <c r="A3118" s="83" t="n"/>
      <c r="B3118" s="81" t="n"/>
      <c r="C3118" s="69">
        <f>IF(B3118="","",IFERROR(INDEX(Client_List!$B:$B,MATCH(B3118,Client_List!$A:$A,0)),"⚠ NOT FOUND"))</f>
        <v/>
      </c>
      <c r="D3118" s="45" t="n"/>
      <c r="E3118" s="32">
        <f>IF(B3118="","",IFERROR(INDEX(Client_List!$C:$C,MATCH(VALUE(B3118),Client_List!$A:$A,0)),""))</f>
        <v/>
      </c>
      <c r="F3118" s="53">
        <f>IF(B3118="","",IFERROR(INDEX(Client_List!$D:$D,MATCH(VALUE(B3118),Client_List!$A:$A,0)),""))</f>
        <v/>
      </c>
      <c r="G3118" s="53">
        <f>IF(B3118="","",IFERROR(INDEX(Client_List!$K:$K,MATCH(VALUE(B3118),Client_List!$A:$A,0)),""))</f>
        <v/>
      </c>
      <c r="H3118" s="32">
        <f>IF(B3118="","",IFERROR(INDEX(Client_List!$J:$J,MATCH(VALUE(B3118),Client_List!$A:$A,0)),""))</f>
        <v/>
      </c>
      <c r="I3118" s="70">
        <f>IF(B3118="","",IFERROR(A3118-LOOKUP(2,1/($B$4:$B3117=B3118),$A$4:$A3117),""))</f>
        <v/>
      </c>
      <c r="J3118" s="32">
        <f>IF(B3118="","",IFERROR(D3118/I3118,""))</f>
        <v/>
      </c>
      <c r="K3118" s="71">
        <f>IF(B3118="","",IFERROR(AVERAGEIFS($J$4:$J3118,$B$4:$B3118,B3118,$J$4:$J3118,"&gt;"&amp;0),""))</f>
        <v/>
      </c>
      <c r="L3118" s="12" t="n"/>
    </row>
    <row r="3119" ht="14" customHeight="1" s="72">
      <c r="A3119" s="82" t="n"/>
      <c r="B3119" s="79" t="n"/>
      <c r="C3119" s="69">
        <f>IF(B3119="","",IFERROR(INDEX(Client_List!$B:$B,MATCH(B3119,Client_List!$A:$A,0)),"⚠ NOT FOUND"))</f>
        <v/>
      </c>
      <c r="D3119" s="44" t="n"/>
      <c r="E3119" s="32">
        <f>IF(B3119="","",IFERROR(INDEX(Client_List!$C:$C,MATCH(VALUE(B3119),Client_List!$A:$A,0)),""))</f>
        <v/>
      </c>
      <c r="F3119" s="53">
        <f>IF(B3119="","",IFERROR(INDEX(Client_List!$D:$D,MATCH(VALUE(B3119),Client_List!$A:$A,0)),""))</f>
        <v/>
      </c>
      <c r="G3119" s="53">
        <f>IF(B3119="","",IFERROR(INDEX(Client_List!$K:$K,MATCH(VALUE(B3119),Client_List!$A:$A,0)),""))</f>
        <v/>
      </c>
      <c r="H3119" s="32">
        <f>IF(B3119="","",IFERROR(INDEX(Client_List!$J:$J,MATCH(VALUE(B3119),Client_List!$A:$A,0)),""))</f>
        <v/>
      </c>
      <c r="I3119" s="70">
        <f>IF(B3119="","",IFERROR(A3119-LOOKUP(2,1/($B$4:$B3118=B3119),$A$4:$A3118),""))</f>
        <v/>
      </c>
      <c r="J3119" s="32">
        <f>IF(B3119="","",IFERROR(D3119/I3119,""))</f>
        <v/>
      </c>
      <c r="K3119" s="71">
        <f>IF(B3119="","",IFERROR(AVERAGEIFS($J$4:$J3119,$B$4:$B3119,B3119,$J$4:$J3119,"&gt;"&amp;0),""))</f>
        <v/>
      </c>
      <c r="L3119" s="11" t="n"/>
    </row>
    <row r="3120" ht="14" customHeight="1" s="72">
      <c r="A3120" s="83" t="n"/>
      <c r="B3120" s="81" t="n"/>
      <c r="C3120" s="69">
        <f>IF(B3120="","",IFERROR(INDEX(Client_List!$B:$B,MATCH(B3120,Client_List!$A:$A,0)),"⚠ NOT FOUND"))</f>
        <v/>
      </c>
      <c r="D3120" s="45" t="n"/>
      <c r="E3120" s="32">
        <f>IF(B3120="","",IFERROR(INDEX(Client_List!$C:$C,MATCH(VALUE(B3120),Client_List!$A:$A,0)),""))</f>
        <v/>
      </c>
      <c r="F3120" s="53">
        <f>IF(B3120="","",IFERROR(INDEX(Client_List!$D:$D,MATCH(VALUE(B3120),Client_List!$A:$A,0)),""))</f>
        <v/>
      </c>
      <c r="G3120" s="53">
        <f>IF(B3120="","",IFERROR(INDEX(Client_List!$K:$K,MATCH(VALUE(B3120),Client_List!$A:$A,0)),""))</f>
        <v/>
      </c>
      <c r="H3120" s="32">
        <f>IF(B3120="","",IFERROR(INDEX(Client_List!$J:$J,MATCH(VALUE(B3120),Client_List!$A:$A,0)),""))</f>
        <v/>
      </c>
      <c r="I3120" s="70">
        <f>IF(B3120="","",IFERROR(A3120-LOOKUP(2,1/($B$4:$B3119=B3120),$A$4:$A3119),""))</f>
        <v/>
      </c>
      <c r="J3120" s="32">
        <f>IF(B3120="","",IFERROR(D3120/I3120,""))</f>
        <v/>
      </c>
      <c r="K3120" s="71">
        <f>IF(B3120="","",IFERROR(AVERAGEIFS($J$4:$J3120,$B$4:$B3120,B3120,$J$4:$J3120,"&gt;"&amp;0),""))</f>
        <v/>
      </c>
      <c r="L3120" s="12" t="n"/>
    </row>
    <row r="3121" ht="14" customHeight="1" s="72">
      <c r="A3121" s="82" t="n"/>
      <c r="B3121" s="79" t="n"/>
      <c r="C3121" s="69">
        <f>IF(B3121="","",IFERROR(INDEX(Client_List!$B:$B,MATCH(B3121,Client_List!$A:$A,0)),"⚠ NOT FOUND"))</f>
        <v/>
      </c>
      <c r="D3121" s="44" t="n"/>
      <c r="E3121" s="32">
        <f>IF(B3121="","",IFERROR(INDEX(Client_List!$C:$C,MATCH(VALUE(B3121),Client_List!$A:$A,0)),""))</f>
        <v/>
      </c>
      <c r="F3121" s="53">
        <f>IF(B3121="","",IFERROR(INDEX(Client_List!$D:$D,MATCH(VALUE(B3121),Client_List!$A:$A,0)),""))</f>
        <v/>
      </c>
      <c r="G3121" s="53">
        <f>IF(B3121="","",IFERROR(INDEX(Client_List!$K:$K,MATCH(VALUE(B3121),Client_List!$A:$A,0)),""))</f>
        <v/>
      </c>
      <c r="H3121" s="32">
        <f>IF(B3121="","",IFERROR(INDEX(Client_List!$J:$J,MATCH(VALUE(B3121),Client_List!$A:$A,0)),""))</f>
        <v/>
      </c>
      <c r="I3121" s="70">
        <f>IF(B3121="","",IFERROR(A3121-LOOKUP(2,1/($B$4:$B3120=B3121),$A$4:$A3120),""))</f>
        <v/>
      </c>
      <c r="J3121" s="32">
        <f>IF(B3121="","",IFERROR(D3121/I3121,""))</f>
        <v/>
      </c>
      <c r="K3121" s="71">
        <f>IF(B3121="","",IFERROR(AVERAGEIFS($J$4:$J3121,$B$4:$B3121,B3121,$J$4:$J3121,"&gt;"&amp;0),""))</f>
        <v/>
      </c>
      <c r="L3121" s="11" t="n"/>
    </row>
    <row r="3122" ht="14" customHeight="1" s="72">
      <c r="A3122" s="83" t="n"/>
      <c r="B3122" s="81" t="n"/>
      <c r="C3122" s="69">
        <f>IF(B3122="","",IFERROR(INDEX(Client_List!$B:$B,MATCH(B3122,Client_List!$A:$A,0)),"⚠ NOT FOUND"))</f>
        <v/>
      </c>
      <c r="D3122" s="45" t="n"/>
      <c r="E3122" s="32">
        <f>IF(B3122="","",IFERROR(INDEX(Client_List!$C:$C,MATCH(VALUE(B3122),Client_List!$A:$A,0)),""))</f>
        <v/>
      </c>
      <c r="F3122" s="53">
        <f>IF(B3122="","",IFERROR(INDEX(Client_List!$D:$D,MATCH(VALUE(B3122),Client_List!$A:$A,0)),""))</f>
        <v/>
      </c>
      <c r="G3122" s="53">
        <f>IF(B3122="","",IFERROR(INDEX(Client_List!$K:$K,MATCH(VALUE(B3122),Client_List!$A:$A,0)),""))</f>
        <v/>
      </c>
      <c r="H3122" s="32">
        <f>IF(B3122="","",IFERROR(INDEX(Client_List!$J:$J,MATCH(VALUE(B3122),Client_List!$A:$A,0)),""))</f>
        <v/>
      </c>
      <c r="I3122" s="70">
        <f>IF(B3122="","",IFERROR(A3122-LOOKUP(2,1/($B$4:$B3121=B3122),$A$4:$A3121),""))</f>
        <v/>
      </c>
      <c r="J3122" s="32">
        <f>IF(B3122="","",IFERROR(D3122/I3122,""))</f>
        <v/>
      </c>
      <c r="K3122" s="71">
        <f>IF(B3122="","",IFERROR(AVERAGEIFS($J$4:$J3122,$B$4:$B3122,B3122,$J$4:$J3122,"&gt;"&amp;0),""))</f>
        <v/>
      </c>
      <c r="L3122" s="12" t="n"/>
    </row>
    <row r="3123" ht="14" customHeight="1" s="72">
      <c r="A3123" s="82" t="n"/>
      <c r="B3123" s="79" t="n"/>
      <c r="C3123" s="69">
        <f>IF(B3123="","",IFERROR(INDEX(Client_List!$B:$B,MATCH(B3123,Client_List!$A:$A,0)),"⚠ NOT FOUND"))</f>
        <v/>
      </c>
      <c r="D3123" s="44" t="n"/>
      <c r="E3123" s="32">
        <f>IF(B3123="","",IFERROR(INDEX(Client_List!$C:$C,MATCH(VALUE(B3123),Client_List!$A:$A,0)),""))</f>
        <v/>
      </c>
      <c r="F3123" s="53">
        <f>IF(B3123="","",IFERROR(INDEX(Client_List!$D:$D,MATCH(VALUE(B3123),Client_List!$A:$A,0)),""))</f>
        <v/>
      </c>
      <c r="G3123" s="53">
        <f>IF(B3123="","",IFERROR(INDEX(Client_List!$K:$K,MATCH(VALUE(B3123),Client_List!$A:$A,0)),""))</f>
        <v/>
      </c>
      <c r="H3123" s="32">
        <f>IF(B3123="","",IFERROR(INDEX(Client_List!$J:$J,MATCH(VALUE(B3123),Client_List!$A:$A,0)),""))</f>
        <v/>
      </c>
      <c r="I3123" s="70">
        <f>IF(B3123="","",IFERROR(A3123-LOOKUP(2,1/($B$4:$B3122=B3123),$A$4:$A3122),""))</f>
        <v/>
      </c>
      <c r="J3123" s="32">
        <f>IF(B3123="","",IFERROR(D3123/I3123,""))</f>
        <v/>
      </c>
      <c r="K3123" s="71">
        <f>IF(B3123="","",IFERROR(AVERAGEIFS($J$4:$J3123,$B$4:$B3123,B3123,$J$4:$J3123,"&gt;"&amp;0),""))</f>
        <v/>
      </c>
      <c r="L3123" s="11" t="n"/>
    </row>
    <row r="3124" ht="14" customHeight="1" s="72">
      <c r="A3124" s="83" t="n"/>
      <c r="B3124" s="81" t="n"/>
      <c r="C3124" s="69">
        <f>IF(B3124="","",IFERROR(INDEX(Client_List!$B:$B,MATCH(B3124,Client_List!$A:$A,0)),"⚠ NOT FOUND"))</f>
        <v/>
      </c>
      <c r="D3124" s="45" t="n"/>
      <c r="E3124" s="32">
        <f>IF(B3124="","",IFERROR(INDEX(Client_List!$C:$C,MATCH(VALUE(B3124),Client_List!$A:$A,0)),""))</f>
        <v/>
      </c>
      <c r="F3124" s="53">
        <f>IF(B3124="","",IFERROR(INDEX(Client_List!$D:$D,MATCH(VALUE(B3124),Client_List!$A:$A,0)),""))</f>
        <v/>
      </c>
      <c r="G3124" s="53">
        <f>IF(B3124="","",IFERROR(INDEX(Client_List!$K:$K,MATCH(VALUE(B3124),Client_List!$A:$A,0)),""))</f>
        <v/>
      </c>
      <c r="H3124" s="32">
        <f>IF(B3124="","",IFERROR(INDEX(Client_List!$J:$J,MATCH(VALUE(B3124),Client_List!$A:$A,0)),""))</f>
        <v/>
      </c>
      <c r="I3124" s="70">
        <f>IF(B3124="","",IFERROR(A3124-LOOKUP(2,1/($B$4:$B3123=B3124),$A$4:$A3123),""))</f>
        <v/>
      </c>
      <c r="J3124" s="32">
        <f>IF(B3124="","",IFERROR(D3124/I3124,""))</f>
        <v/>
      </c>
      <c r="K3124" s="71">
        <f>IF(B3124="","",IFERROR(AVERAGEIFS($J$4:$J3124,$B$4:$B3124,B3124,$J$4:$J3124,"&gt;"&amp;0),""))</f>
        <v/>
      </c>
      <c r="L3124" s="12" t="n"/>
    </row>
    <row r="3125" ht="14" customHeight="1" s="72">
      <c r="A3125" s="82" t="n"/>
      <c r="B3125" s="79" t="n"/>
      <c r="C3125" s="69">
        <f>IF(B3125="","",IFERROR(INDEX(Client_List!$B:$B,MATCH(B3125,Client_List!$A:$A,0)),"⚠ NOT FOUND"))</f>
        <v/>
      </c>
      <c r="D3125" s="44" t="n"/>
      <c r="E3125" s="32">
        <f>IF(B3125="","",IFERROR(INDEX(Client_List!$C:$C,MATCH(VALUE(B3125),Client_List!$A:$A,0)),""))</f>
        <v/>
      </c>
      <c r="F3125" s="53">
        <f>IF(B3125="","",IFERROR(INDEX(Client_List!$D:$D,MATCH(VALUE(B3125),Client_List!$A:$A,0)),""))</f>
        <v/>
      </c>
      <c r="G3125" s="53">
        <f>IF(B3125="","",IFERROR(INDEX(Client_List!$K:$K,MATCH(VALUE(B3125),Client_List!$A:$A,0)),""))</f>
        <v/>
      </c>
      <c r="H3125" s="32">
        <f>IF(B3125="","",IFERROR(INDEX(Client_List!$J:$J,MATCH(VALUE(B3125),Client_List!$A:$A,0)),""))</f>
        <v/>
      </c>
      <c r="I3125" s="70">
        <f>IF(B3125="","",IFERROR(A3125-LOOKUP(2,1/($B$4:$B3124=B3125),$A$4:$A3124),""))</f>
        <v/>
      </c>
      <c r="J3125" s="32">
        <f>IF(B3125="","",IFERROR(D3125/I3125,""))</f>
        <v/>
      </c>
      <c r="K3125" s="71">
        <f>IF(B3125="","",IFERROR(AVERAGEIFS($J$4:$J3125,$B$4:$B3125,B3125,$J$4:$J3125,"&gt;"&amp;0),""))</f>
        <v/>
      </c>
      <c r="L3125" s="11" t="n"/>
    </row>
    <row r="3126" ht="14" customHeight="1" s="72">
      <c r="A3126" s="83" t="n"/>
      <c r="B3126" s="81" t="n"/>
      <c r="C3126" s="69">
        <f>IF(B3126="","",IFERROR(INDEX(Client_List!$B:$B,MATCH(B3126,Client_List!$A:$A,0)),"⚠ NOT FOUND"))</f>
        <v/>
      </c>
      <c r="D3126" s="45" t="n"/>
      <c r="E3126" s="32">
        <f>IF(B3126="","",IFERROR(INDEX(Client_List!$C:$C,MATCH(VALUE(B3126),Client_List!$A:$A,0)),""))</f>
        <v/>
      </c>
      <c r="F3126" s="53">
        <f>IF(B3126="","",IFERROR(INDEX(Client_List!$D:$D,MATCH(VALUE(B3126),Client_List!$A:$A,0)),""))</f>
        <v/>
      </c>
      <c r="G3126" s="53">
        <f>IF(B3126="","",IFERROR(INDEX(Client_List!$K:$K,MATCH(VALUE(B3126),Client_List!$A:$A,0)),""))</f>
        <v/>
      </c>
      <c r="H3126" s="32">
        <f>IF(B3126="","",IFERROR(INDEX(Client_List!$J:$J,MATCH(VALUE(B3126),Client_List!$A:$A,0)),""))</f>
        <v/>
      </c>
      <c r="I3126" s="70">
        <f>IF(B3126="","",IFERROR(A3126-LOOKUP(2,1/($B$4:$B3125=B3126),$A$4:$A3125),""))</f>
        <v/>
      </c>
      <c r="J3126" s="32">
        <f>IF(B3126="","",IFERROR(D3126/I3126,""))</f>
        <v/>
      </c>
      <c r="K3126" s="71">
        <f>IF(B3126="","",IFERROR(AVERAGEIFS($J$4:$J3126,$B$4:$B3126,B3126,$J$4:$J3126,"&gt;"&amp;0),""))</f>
        <v/>
      </c>
      <c r="L3126" s="12" t="n"/>
    </row>
    <row r="3127" ht="14" customHeight="1" s="72">
      <c r="A3127" s="82" t="n"/>
      <c r="B3127" s="79" t="n"/>
      <c r="C3127" s="69">
        <f>IF(B3127="","",IFERROR(INDEX(Client_List!$B:$B,MATCH(B3127,Client_List!$A:$A,0)),"⚠ NOT FOUND"))</f>
        <v/>
      </c>
      <c r="D3127" s="44" t="n"/>
      <c r="E3127" s="32">
        <f>IF(B3127="","",IFERROR(INDEX(Client_List!$C:$C,MATCH(VALUE(B3127),Client_List!$A:$A,0)),""))</f>
        <v/>
      </c>
      <c r="F3127" s="53">
        <f>IF(B3127="","",IFERROR(INDEX(Client_List!$D:$D,MATCH(VALUE(B3127),Client_List!$A:$A,0)),""))</f>
        <v/>
      </c>
      <c r="G3127" s="53">
        <f>IF(B3127="","",IFERROR(INDEX(Client_List!$K:$K,MATCH(VALUE(B3127),Client_List!$A:$A,0)),""))</f>
        <v/>
      </c>
      <c r="H3127" s="32">
        <f>IF(B3127="","",IFERROR(INDEX(Client_List!$J:$J,MATCH(VALUE(B3127),Client_List!$A:$A,0)),""))</f>
        <v/>
      </c>
      <c r="I3127" s="70">
        <f>IF(B3127="","",IFERROR(A3127-LOOKUP(2,1/($B$4:$B3126=B3127),$A$4:$A3126),""))</f>
        <v/>
      </c>
      <c r="J3127" s="32">
        <f>IF(B3127="","",IFERROR(D3127/I3127,""))</f>
        <v/>
      </c>
      <c r="K3127" s="71">
        <f>IF(B3127="","",IFERROR(AVERAGEIFS($J$4:$J3127,$B$4:$B3127,B3127,$J$4:$J3127,"&gt;"&amp;0),""))</f>
        <v/>
      </c>
      <c r="L3127" s="11" t="n"/>
    </row>
    <row r="3128" ht="14" customHeight="1" s="72">
      <c r="A3128" s="83" t="n"/>
      <c r="B3128" s="81" t="n"/>
      <c r="C3128" s="69">
        <f>IF(B3128="","",IFERROR(INDEX(Client_List!$B:$B,MATCH(B3128,Client_List!$A:$A,0)),"⚠ NOT FOUND"))</f>
        <v/>
      </c>
      <c r="D3128" s="45" t="n"/>
      <c r="E3128" s="32">
        <f>IF(B3128="","",IFERROR(INDEX(Client_List!$C:$C,MATCH(VALUE(B3128),Client_List!$A:$A,0)),""))</f>
        <v/>
      </c>
      <c r="F3128" s="53">
        <f>IF(B3128="","",IFERROR(INDEX(Client_List!$D:$D,MATCH(VALUE(B3128),Client_List!$A:$A,0)),""))</f>
        <v/>
      </c>
      <c r="G3128" s="53">
        <f>IF(B3128="","",IFERROR(INDEX(Client_List!$K:$K,MATCH(VALUE(B3128),Client_List!$A:$A,0)),""))</f>
        <v/>
      </c>
      <c r="H3128" s="32">
        <f>IF(B3128="","",IFERROR(INDEX(Client_List!$J:$J,MATCH(VALUE(B3128),Client_List!$A:$A,0)),""))</f>
        <v/>
      </c>
      <c r="I3128" s="70">
        <f>IF(B3128="","",IFERROR(A3128-LOOKUP(2,1/($B$4:$B3127=B3128),$A$4:$A3127),""))</f>
        <v/>
      </c>
      <c r="J3128" s="32">
        <f>IF(B3128="","",IFERROR(D3128/I3128,""))</f>
        <v/>
      </c>
      <c r="K3128" s="71">
        <f>IF(B3128="","",IFERROR(AVERAGEIFS($J$4:$J3128,$B$4:$B3128,B3128,$J$4:$J3128,"&gt;"&amp;0),""))</f>
        <v/>
      </c>
      <c r="L3128" s="12" t="n"/>
    </row>
    <row r="3129" ht="14" customHeight="1" s="72">
      <c r="A3129" s="82" t="n"/>
      <c r="B3129" s="79" t="n"/>
      <c r="C3129" s="69">
        <f>IF(B3129="","",IFERROR(INDEX(Client_List!$B:$B,MATCH(B3129,Client_List!$A:$A,0)),"⚠ NOT FOUND"))</f>
        <v/>
      </c>
      <c r="D3129" s="44" t="n"/>
      <c r="E3129" s="32">
        <f>IF(B3129="","",IFERROR(INDEX(Client_List!$C:$C,MATCH(VALUE(B3129),Client_List!$A:$A,0)),""))</f>
        <v/>
      </c>
      <c r="F3129" s="53">
        <f>IF(B3129="","",IFERROR(INDEX(Client_List!$D:$D,MATCH(VALUE(B3129),Client_List!$A:$A,0)),""))</f>
        <v/>
      </c>
      <c r="G3129" s="53">
        <f>IF(B3129="","",IFERROR(INDEX(Client_List!$K:$K,MATCH(VALUE(B3129),Client_List!$A:$A,0)),""))</f>
        <v/>
      </c>
      <c r="H3129" s="32">
        <f>IF(B3129="","",IFERROR(INDEX(Client_List!$J:$J,MATCH(VALUE(B3129),Client_List!$A:$A,0)),""))</f>
        <v/>
      </c>
      <c r="I3129" s="70">
        <f>IF(B3129="","",IFERROR(A3129-LOOKUP(2,1/($B$4:$B3128=B3129),$A$4:$A3128),""))</f>
        <v/>
      </c>
      <c r="J3129" s="32">
        <f>IF(B3129="","",IFERROR(D3129/I3129,""))</f>
        <v/>
      </c>
      <c r="K3129" s="71">
        <f>IF(B3129="","",IFERROR(AVERAGEIFS($J$4:$J3129,$B$4:$B3129,B3129,$J$4:$J3129,"&gt;"&amp;0),""))</f>
        <v/>
      </c>
      <c r="L3129" s="11" t="n"/>
    </row>
    <row r="3130" ht="14" customHeight="1" s="72">
      <c r="A3130" s="83" t="n"/>
      <c r="B3130" s="81" t="n"/>
      <c r="C3130" s="69">
        <f>IF(B3130="","",IFERROR(INDEX(Client_List!$B:$B,MATCH(B3130,Client_List!$A:$A,0)),"⚠ NOT FOUND"))</f>
        <v/>
      </c>
      <c r="D3130" s="45" t="n"/>
      <c r="E3130" s="32">
        <f>IF(B3130="","",IFERROR(INDEX(Client_List!$C:$C,MATCH(VALUE(B3130),Client_List!$A:$A,0)),""))</f>
        <v/>
      </c>
      <c r="F3130" s="53">
        <f>IF(B3130="","",IFERROR(INDEX(Client_List!$D:$D,MATCH(VALUE(B3130),Client_List!$A:$A,0)),""))</f>
        <v/>
      </c>
      <c r="G3130" s="53">
        <f>IF(B3130="","",IFERROR(INDEX(Client_List!$K:$K,MATCH(VALUE(B3130),Client_List!$A:$A,0)),""))</f>
        <v/>
      </c>
      <c r="H3130" s="32">
        <f>IF(B3130="","",IFERROR(INDEX(Client_List!$J:$J,MATCH(VALUE(B3130),Client_List!$A:$A,0)),""))</f>
        <v/>
      </c>
      <c r="I3130" s="70">
        <f>IF(B3130="","",IFERROR(A3130-LOOKUP(2,1/($B$4:$B3129=B3130),$A$4:$A3129),""))</f>
        <v/>
      </c>
      <c r="J3130" s="32">
        <f>IF(B3130="","",IFERROR(D3130/I3130,""))</f>
        <v/>
      </c>
      <c r="K3130" s="71">
        <f>IF(B3130="","",IFERROR(AVERAGEIFS($J$4:$J3130,$B$4:$B3130,B3130,$J$4:$J3130,"&gt;"&amp;0),""))</f>
        <v/>
      </c>
      <c r="L3130" s="12" t="n"/>
    </row>
    <row r="3131" ht="14" customHeight="1" s="72">
      <c r="A3131" s="82" t="n"/>
      <c r="B3131" s="79" t="n"/>
      <c r="C3131" s="69">
        <f>IF(B3131="","",IFERROR(INDEX(Client_List!$B:$B,MATCH(B3131,Client_List!$A:$A,0)),"⚠ NOT FOUND"))</f>
        <v/>
      </c>
      <c r="D3131" s="44" t="n"/>
      <c r="E3131" s="32">
        <f>IF(B3131="","",IFERROR(INDEX(Client_List!$C:$C,MATCH(VALUE(B3131),Client_List!$A:$A,0)),""))</f>
        <v/>
      </c>
      <c r="F3131" s="53">
        <f>IF(B3131="","",IFERROR(INDEX(Client_List!$D:$D,MATCH(VALUE(B3131),Client_List!$A:$A,0)),""))</f>
        <v/>
      </c>
      <c r="G3131" s="53">
        <f>IF(B3131="","",IFERROR(INDEX(Client_List!$K:$K,MATCH(VALUE(B3131),Client_List!$A:$A,0)),""))</f>
        <v/>
      </c>
      <c r="H3131" s="32">
        <f>IF(B3131="","",IFERROR(INDEX(Client_List!$J:$J,MATCH(VALUE(B3131),Client_List!$A:$A,0)),""))</f>
        <v/>
      </c>
      <c r="I3131" s="70">
        <f>IF(B3131="","",IFERROR(A3131-LOOKUP(2,1/($B$4:$B3130=B3131),$A$4:$A3130),""))</f>
        <v/>
      </c>
      <c r="J3131" s="32">
        <f>IF(B3131="","",IFERROR(D3131/I3131,""))</f>
        <v/>
      </c>
      <c r="K3131" s="71">
        <f>IF(B3131="","",IFERROR(AVERAGEIFS($J$4:$J3131,$B$4:$B3131,B3131,$J$4:$J3131,"&gt;"&amp;0),""))</f>
        <v/>
      </c>
      <c r="L3131" s="11" t="n"/>
    </row>
    <row r="3132" ht="14" customHeight="1" s="72">
      <c r="A3132" s="83" t="n"/>
      <c r="B3132" s="81" t="n"/>
      <c r="C3132" s="69">
        <f>IF(B3132="","",IFERROR(INDEX(Client_List!$B:$B,MATCH(B3132,Client_List!$A:$A,0)),"⚠ NOT FOUND"))</f>
        <v/>
      </c>
      <c r="D3132" s="45" t="n"/>
      <c r="E3132" s="32">
        <f>IF(B3132="","",IFERROR(INDEX(Client_List!$C:$C,MATCH(VALUE(B3132),Client_List!$A:$A,0)),""))</f>
        <v/>
      </c>
      <c r="F3132" s="53">
        <f>IF(B3132="","",IFERROR(INDEX(Client_List!$D:$D,MATCH(VALUE(B3132),Client_List!$A:$A,0)),""))</f>
        <v/>
      </c>
      <c r="G3132" s="53">
        <f>IF(B3132="","",IFERROR(INDEX(Client_List!$K:$K,MATCH(VALUE(B3132),Client_List!$A:$A,0)),""))</f>
        <v/>
      </c>
      <c r="H3132" s="32">
        <f>IF(B3132="","",IFERROR(INDEX(Client_List!$J:$J,MATCH(VALUE(B3132),Client_List!$A:$A,0)),""))</f>
        <v/>
      </c>
      <c r="I3132" s="70">
        <f>IF(B3132="","",IFERROR(A3132-LOOKUP(2,1/($B$4:$B3131=B3132),$A$4:$A3131),""))</f>
        <v/>
      </c>
      <c r="J3132" s="32">
        <f>IF(B3132="","",IFERROR(D3132/I3132,""))</f>
        <v/>
      </c>
      <c r="K3132" s="71">
        <f>IF(B3132="","",IFERROR(AVERAGEIFS($J$4:$J3132,$B$4:$B3132,B3132,$J$4:$J3132,"&gt;"&amp;0),""))</f>
        <v/>
      </c>
      <c r="L3132" s="12" t="n"/>
    </row>
    <row r="3133" ht="14" customHeight="1" s="72">
      <c r="A3133" s="82" t="n"/>
      <c r="B3133" s="79" t="n"/>
      <c r="C3133" s="69">
        <f>IF(B3133="","",IFERROR(INDEX(Client_List!$B:$B,MATCH(B3133,Client_List!$A:$A,0)),"⚠ NOT FOUND"))</f>
        <v/>
      </c>
      <c r="D3133" s="44" t="n"/>
      <c r="E3133" s="32">
        <f>IF(B3133="","",IFERROR(INDEX(Client_List!$C:$C,MATCH(VALUE(B3133),Client_List!$A:$A,0)),""))</f>
        <v/>
      </c>
      <c r="F3133" s="53">
        <f>IF(B3133="","",IFERROR(INDEX(Client_List!$D:$D,MATCH(VALUE(B3133),Client_List!$A:$A,0)),""))</f>
        <v/>
      </c>
      <c r="G3133" s="53">
        <f>IF(B3133="","",IFERROR(INDEX(Client_List!$K:$K,MATCH(VALUE(B3133),Client_List!$A:$A,0)),""))</f>
        <v/>
      </c>
      <c r="H3133" s="32">
        <f>IF(B3133="","",IFERROR(INDEX(Client_List!$J:$J,MATCH(VALUE(B3133),Client_List!$A:$A,0)),""))</f>
        <v/>
      </c>
      <c r="I3133" s="70">
        <f>IF(B3133="","",IFERROR(A3133-LOOKUP(2,1/($B$4:$B3132=B3133),$A$4:$A3132),""))</f>
        <v/>
      </c>
      <c r="J3133" s="32">
        <f>IF(B3133="","",IFERROR(D3133/I3133,""))</f>
        <v/>
      </c>
      <c r="K3133" s="71">
        <f>IF(B3133="","",IFERROR(AVERAGEIFS($J$4:$J3133,$B$4:$B3133,B3133,$J$4:$J3133,"&gt;"&amp;0),""))</f>
        <v/>
      </c>
      <c r="L3133" s="11" t="n"/>
    </row>
    <row r="3134" ht="14" customHeight="1" s="72">
      <c r="A3134" s="83" t="n"/>
      <c r="B3134" s="81" t="n"/>
      <c r="C3134" s="69">
        <f>IF(B3134="","",IFERROR(INDEX(Client_List!$B:$B,MATCH(B3134,Client_List!$A:$A,0)),"⚠ NOT FOUND"))</f>
        <v/>
      </c>
      <c r="D3134" s="45" t="n"/>
      <c r="E3134" s="32">
        <f>IF(B3134="","",IFERROR(INDEX(Client_List!$C:$C,MATCH(VALUE(B3134),Client_List!$A:$A,0)),""))</f>
        <v/>
      </c>
      <c r="F3134" s="53">
        <f>IF(B3134="","",IFERROR(INDEX(Client_List!$D:$D,MATCH(VALUE(B3134),Client_List!$A:$A,0)),""))</f>
        <v/>
      </c>
      <c r="G3134" s="53">
        <f>IF(B3134="","",IFERROR(INDEX(Client_List!$K:$K,MATCH(VALUE(B3134),Client_List!$A:$A,0)),""))</f>
        <v/>
      </c>
      <c r="H3134" s="32">
        <f>IF(B3134="","",IFERROR(INDEX(Client_List!$J:$J,MATCH(VALUE(B3134),Client_List!$A:$A,0)),""))</f>
        <v/>
      </c>
      <c r="I3134" s="70">
        <f>IF(B3134="","",IFERROR(A3134-LOOKUP(2,1/($B$4:$B3133=B3134),$A$4:$A3133),""))</f>
        <v/>
      </c>
      <c r="J3134" s="32">
        <f>IF(B3134="","",IFERROR(D3134/I3134,""))</f>
        <v/>
      </c>
      <c r="K3134" s="71">
        <f>IF(B3134="","",IFERROR(AVERAGEIFS($J$4:$J3134,$B$4:$B3134,B3134,$J$4:$J3134,"&gt;"&amp;0),""))</f>
        <v/>
      </c>
      <c r="L3134" s="12" t="n"/>
    </row>
    <row r="3135" ht="14" customHeight="1" s="72">
      <c r="A3135" s="82" t="n"/>
      <c r="B3135" s="79" t="n"/>
      <c r="C3135" s="69">
        <f>IF(B3135="","",IFERROR(INDEX(Client_List!$B:$B,MATCH(B3135,Client_List!$A:$A,0)),"⚠ NOT FOUND"))</f>
        <v/>
      </c>
      <c r="D3135" s="44" t="n"/>
      <c r="E3135" s="32">
        <f>IF(B3135="","",IFERROR(INDEX(Client_List!$C:$C,MATCH(VALUE(B3135),Client_List!$A:$A,0)),""))</f>
        <v/>
      </c>
      <c r="F3135" s="53">
        <f>IF(B3135="","",IFERROR(INDEX(Client_List!$D:$D,MATCH(VALUE(B3135),Client_List!$A:$A,0)),""))</f>
        <v/>
      </c>
      <c r="G3135" s="53">
        <f>IF(B3135="","",IFERROR(INDEX(Client_List!$K:$K,MATCH(VALUE(B3135),Client_List!$A:$A,0)),""))</f>
        <v/>
      </c>
      <c r="H3135" s="32">
        <f>IF(B3135="","",IFERROR(INDEX(Client_List!$J:$J,MATCH(VALUE(B3135),Client_List!$A:$A,0)),""))</f>
        <v/>
      </c>
      <c r="I3135" s="70">
        <f>IF(B3135="","",IFERROR(A3135-LOOKUP(2,1/($B$4:$B3134=B3135),$A$4:$A3134),""))</f>
        <v/>
      </c>
      <c r="J3135" s="32">
        <f>IF(B3135="","",IFERROR(D3135/I3135,""))</f>
        <v/>
      </c>
      <c r="K3135" s="71">
        <f>IF(B3135="","",IFERROR(AVERAGEIFS($J$4:$J3135,$B$4:$B3135,B3135,$J$4:$J3135,"&gt;"&amp;0),""))</f>
        <v/>
      </c>
      <c r="L3135" s="11" t="n"/>
    </row>
    <row r="3136" ht="14" customHeight="1" s="72">
      <c r="A3136" s="83" t="n"/>
      <c r="B3136" s="81" t="n"/>
      <c r="C3136" s="69">
        <f>IF(B3136="","",IFERROR(INDEX(Client_List!$B:$B,MATCH(B3136,Client_List!$A:$A,0)),"⚠ NOT FOUND"))</f>
        <v/>
      </c>
      <c r="D3136" s="45" t="n"/>
      <c r="E3136" s="32">
        <f>IF(B3136="","",IFERROR(INDEX(Client_List!$C:$C,MATCH(VALUE(B3136),Client_List!$A:$A,0)),""))</f>
        <v/>
      </c>
      <c r="F3136" s="53">
        <f>IF(B3136="","",IFERROR(INDEX(Client_List!$D:$D,MATCH(VALUE(B3136),Client_List!$A:$A,0)),""))</f>
        <v/>
      </c>
      <c r="G3136" s="53">
        <f>IF(B3136="","",IFERROR(INDEX(Client_List!$K:$K,MATCH(VALUE(B3136),Client_List!$A:$A,0)),""))</f>
        <v/>
      </c>
      <c r="H3136" s="32">
        <f>IF(B3136="","",IFERROR(INDEX(Client_List!$J:$J,MATCH(VALUE(B3136),Client_List!$A:$A,0)),""))</f>
        <v/>
      </c>
      <c r="I3136" s="70">
        <f>IF(B3136="","",IFERROR(A3136-LOOKUP(2,1/($B$4:$B3135=B3136),$A$4:$A3135),""))</f>
        <v/>
      </c>
      <c r="J3136" s="32">
        <f>IF(B3136="","",IFERROR(D3136/I3136,""))</f>
        <v/>
      </c>
      <c r="K3136" s="71">
        <f>IF(B3136="","",IFERROR(AVERAGEIFS($J$4:$J3136,$B$4:$B3136,B3136,$J$4:$J3136,"&gt;"&amp;0),""))</f>
        <v/>
      </c>
      <c r="L3136" s="12" t="n"/>
    </row>
    <row r="3137" ht="14" customHeight="1" s="72">
      <c r="A3137" s="82" t="n"/>
      <c r="B3137" s="79" t="n"/>
      <c r="C3137" s="69">
        <f>IF(B3137="","",IFERROR(INDEX(Client_List!$B:$B,MATCH(B3137,Client_List!$A:$A,0)),"⚠ NOT FOUND"))</f>
        <v/>
      </c>
      <c r="D3137" s="44" t="n"/>
      <c r="E3137" s="32">
        <f>IF(B3137="","",IFERROR(INDEX(Client_List!$C:$C,MATCH(VALUE(B3137),Client_List!$A:$A,0)),""))</f>
        <v/>
      </c>
      <c r="F3137" s="53">
        <f>IF(B3137="","",IFERROR(INDEX(Client_List!$D:$D,MATCH(VALUE(B3137),Client_List!$A:$A,0)),""))</f>
        <v/>
      </c>
      <c r="G3137" s="53">
        <f>IF(B3137="","",IFERROR(INDEX(Client_List!$K:$K,MATCH(VALUE(B3137),Client_List!$A:$A,0)),""))</f>
        <v/>
      </c>
      <c r="H3137" s="32">
        <f>IF(B3137="","",IFERROR(INDEX(Client_List!$J:$J,MATCH(VALUE(B3137),Client_List!$A:$A,0)),""))</f>
        <v/>
      </c>
      <c r="I3137" s="70">
        <f>IF(B3137="","",IFERROR(A3137-LOOKUP(2,1/($B$4:$B3136=B3137),$A$4:$A3136),""))</f>
        <v/>
      </c>
      <c r="J3137" s="32">
        <f>IF(B3137="","",IFERROR(D3137/I3137,""))</f>
        <v/>
      </c>
      <c r="K3137" s="71">
        <f>IF(B3137="","",IFERROR(AVERAGEIFS($J$4:$J3137,$B$4:$B3137,B3137,$J$4:$J3137,"&gt;"&amp;0),""))</f>
        <v/>
      </c>
      <c r="L3137" s="11" t="n"/>
    </row>
    <row r="3138" ht="14" customHeight="1" s="72">
      <c r="A3138" s="83" t="n"/>
      <c r="B3138" s="81" t="n"/>
      <c r="C3138" s="69">
        <f>IF(B3138="","",IFERROR(INDEX(Client_List!$B:$B,MATCH(B3138,Client_List!$A:$A,0)),"⚠ NOT FOUND"))</f>
        <v/>
      </c>
      <c r="D3138" s="45" t="n"/>
      <c r="E3138" s="32">
        <f>IF(B3138="","",IFERROR(INDEX(Client_List!$C:$C,MATCH(VALUE(B3138),Client_List!$A:$A,0)),""))</f>
        <v/>
      </c>
      <c r="F3138" s="53">
        <f>IF(B3138="","",IFERROR(INDEX(Client_List!$D:$D,MATCH(VALUE(B3138),Client_List!$A:$A,0)),""))</f>
        <v/>
      </c>
      <c r="G3138" s="53">
        <f>IF(B3138="","",IFERROR(INDEX(Client_List!$K:$K,MATCH(VALUE(B3138),Client_List!$A:$A,0)),""))</f>
        <v/>
      </c>
      <c r="H3138" s="32">
        <f>IF(B3138="","",IFERROR(INDEX(Client_List!$J:$J,MATCH(VALUE(B3138),Client_List!$A:$A,0)),""))</f>
        <v/>
      </c>
      <c r="I3138" s="70">
        <f>IF(B3138="","",IFERROR(A3138-LOOKUP(2,1/($B$4:$B3137=B3138),$A$4:$A3137),""))</f>
        <v/>
      </c>
      <c r="J3138" s="32">
        <f>IF(B3138="","",IFERROR(D3138/I3138,""))</f>
        <v/>
      </c>
      <c r="K3138" s="71">
        <f>IF(B3138="","",IFERROR(AVERAGEIFS($J$4:$J3138,$B$4:$B3138,B3138,$J$4:$J3138,"&gt;"&amp;0),""))</f>
        <v/>
      </c>
      <c r="L3138" s="12" t="n"/>
    </row>
    <row r="3139" ht="14" customHeight="1" s="72">
      <c r="A3139" s="82" t="n"/>
      <c r="B3139" s="79" t="n"/>
      <c r="C3139" s="69">
        <f>IF(B3139="","",IFERROR(INDEX(Client_List!$B:$B,MATCH(B3139,Client_List!$A:$A,0)),"⚠ NOT FOUND"))</f>
        <v/>
      </c>
      <c r="D3139" s="44" t="n"/>
      <c r="E3139" s="32">
        <f>IF(B3139="","",IFERROR(INDEX(Client_List!$C:$C,MATCH(VALUE(B3139),Client_List!$A:$A,0)),""))</f>
        <v/>
      </c>
      <c r="F3139" s="53">
        <f>IF(B3139="","",IFERROR(INDEX(Client_List!$D:$D,MATCH(VALUE(B3139),Client_List!$A:$A,0)),""))</f>
        <v/>
      </c>
      <c r="G3139" s="53">
        <f>IF(B3139="","",IFERROR(INDEX(Client_List!$K:$K,MATCH(VALUE(B3139),Client_List!$A:$A,0)),""))</f>
        <v/>
      </c>
      <c r="H3139" s="32">
        <f>IF(B3139="","",IFERROR(INDEX(Client_List!$J:$J,MATCH(VALUE(B3139),Client_List!$A:$A,0)),""))</f>
        <v/>
      </c>
      <c r="I3139" s="70">
        <f>IF(B3139="","",IFERROR(A3139-LOOKUP(2,1/($B$4:$B3138=B3139),$A$4:$A3138),""))</f>
        <v/>
      </c>
      <c r="J3139" s="32">
        <f>IF(B3139="","",IFERROR(D3139/I3139,""))</f>
        <v/>
      </c>
      <c r="K3139" s="71">
        <f>IF(B3139="","",IFERROR(AVERAGEIFS($J$4:$J3139,$B$4:$B3139,B3139,$J$4:$J3139,"&gt;"&amp;0),""))</f>
        <v/>
      </c>
      <c r="L3139" s="11" t="n"/>
    </row>
    <row r="3140" ht="14" customHeight="1" s="72">
      <c r="A3140" s="83" t="n"/>
      <c r="B3140" s="81" t="n"/>
      <c r="C3140" s="69">
        <f>IF(B3140="","",IFERROR(INDEX(Client_List!$B:$B,MATCH(B3140,Client_List!$A:$A,0)),"⚠ NOT FOUND"))</f>
        <v/>
      </c>
      <c r="D3140" s="45" t="n"/>
      <c r="E3140" s="32">
        <f>IF(B3140="","",IFERROR(INDEX(Client_List!$C:$C,MATCH(VALUE(B3140),Client_List!$A:$A,0)),""))</f>
        <v/>
      </c>
      <c r="F3140" s="53">
        <f>IF(B3140="","",IFERROR(INDEX(Client_List!$D:$D,MATCH(VALUE(B3140),Client_List!$A:$A,0)),""))</f>
        <v/>
      </c>
      <c r="G3140" s="53">
        <f>IF(B3140="","",IFERROR(INDEX(Client_List!$K:$K,MATCH(VALUE(B3140),Client_List!$A:$A,0)),""))</f>
        <v/>
      </c>
      <c r="H3140" s="32">
        <f>IF(B3140="","",IFERROR(INDEX(Client_List!$J:$J,MATCH(VALUE(B3140),Client_List!$A:$A,0)),""))</f>
        <v/>
      </c>
      <c r="I3140" s="70">
        <f>IF(B3140="","",IFERROR(A3140-LOOKUP(2,1/($B$4:$B3139=B3140),$A$4:$A3139),""))</f>
        <v/>
      </c>
      <c r="J3140" s="32">
        <f>IF(B3140="","",IFERROR(D3140/I3140,""))</f>
        <v/>
      </c>
      <c r="K3140" s="71">
        <f>IF(B3140="","",IFERROR(AVERAGEIFS($J$4:$J3140,$B$4:$B3140,B3140,$J$4:$J3140,"&gt;"&amp;0),""))</f>
        <v/>
      </c>
      <c r="L3140" s="12" t="n"/>
    </row>
    <row r="3141" ht="14" customHeight="1" s="72">
      <c r="A3141" s="82" t="n"/>
      <c r="B3141" s="79" t="n"/>
      <c r="C3141" s="69">
        <f>IF(B3141="","",IFERROR(INDEX(Client_List!$B:$B,MATCH(B3141,Client_List!$A:$A,0)),"⚠ NOT FOUND"))</f>
        <v/>
      </c>
      <c r="D3141" s="44" t="n"/>
      <c r="E3141" s="32">
        <f>IF(B3141="","",IFERROR(INDEX(Client_List!$C:$C,MATCH(VALUE(B3141),Client_List!$A:$A,0)),""))</f>
        <v/>
      </c>
      <c r="F3141" s="53">
        <f>IF(B3141="","",IFERROR(INDEX(Client_List!$D:$D,MATCH(VALUE(B3141),Client_List!$A:$A,0)),""))</f>
        <v/>
      </c>
      <c r="G3141" s="53">
        <f>IF(B3141="","",IFERROR(INDEX(Client_List!$K:$K,MATCH(VALUE(B3141),Client_List!$A:$A,0)),""))</f>
        <v/>
      </c>
      <c r="H3141" s="32">
        <f>IF(B3141="","",IFERROR(INDEX(Client_List!$J:$J,MATCH(VALUE(B3141),Client_List!$A:$A,0)),""))</f>
        <v/>
      </c>
      <c r="I3141" s="70">
        <f>IF(B3141="","",IFERROR(A3141-LOOKUP(2,1/($B$4:$B3140=B3141),$A$4:$A3140),""))</f>
        <v/>
      </c>
      <c r="J3141" s="32">
        <f>IF(B3141="","",IFERROR(D3141/I3141,""))</f>
        <v/>
      </c>
      <c r="K3141" s="71">
        <f>IF(B3141="","",IFERROR(AVERAGEIFS($J$4:$J3141,$B$4:$B3141,B3141,$J$4:$J3141,"&gt;"&amp;0),""))</f>
        <v/>
      </c>
      <c r="L3141" s="11" t="n"/>
    </row>
    <row r="3142" ht="14" customHeight="1" s="72">
      <c r="A3142" s="83" t="n"/>
      <c r="B3142" s="81" t="n"/>
      <c r="C3142" s="69">
        <f>IF(B3142="","",IFERROR(INDEX(Client_List!$B:$B,MATCH(B3142,Client_List!$A:$A,0)),"⚠ NOT FOUND"))</f>
        <v/>
      </c>
      <c r="D3142" s="45" t="n"/>
      <c r="E3142" s="32">
        <f>IF(B3142="","",IFERROR(INDEX(Client_List!$C:$C,MATCH(VALUE(B3142),Client_List!$A:$A,0)),""))</f>
        <v/>
      </c>
      <c r="F3142" s="53">
        <f>IF(B3142="","",IFERROR(INDEX(Client_List!$D:$D,MATCH(VALUE(B3142),Client_List!$A:$A,0)),""))</f>
        <v/>
      </c>
      <c r="G3142" s="53">
        <f>IF(B3142="","",IFERROR(INDEX(Client_List!$K:$K,MATCH(VALUE(B3142),Client_List!$A:$A,0)),""))</f>
        <v/>
      </c>
      <c r="H3142" s="32">
        <f>IF(B3142="","",IFERROR(INDEX(Client_List!$J:$J,MATCH(VALUE(B3142),Client_List!$A:$A,0)),""))</f>
        <v/>
      </c>
      <c r="I3142" s="70">
        <f>IF(B3142="","",IFERROR(A3142-LOOKUP(2,1/($B$4:$B3141=B3142),$A$4:$A3141),""))</f>
        <v/>
      </c>
      <c r="J3142" s="32">
        <f>IF(B3142="","",IFERROR(D3142/I3142,""))</f>
        <v/>
      </c>
      <c r="K3142" s="71">
        <f>IF(B3142="","",IFERROR(AVERAGEIFS($J$4:$J3142,$B$4:$B3142,B3142,$J$4:$J3142,"&gt;"&amp;0),""))</f>
        <v/>
      </c>
      <c r="L3142" s="12" t="n"/>
    </row>
    <row r="3143" ht="14" customHeight="1" s="72">
      <c r="A3143" s="82" t="n"/>
      <c r="B3143" s="79" t="n"/>
      <c r="C3143" s="69">
        <f>IF(B3143="","",IFERROR(INDEX(Client_List!$B:$B,MATCH(B3143,Client_List!$A:$A,0)),"⚠ NOT FOUND"))</f>
        <v/>
      </c>
      <c r="D3143" s="44" t="n"/>
      <c r="E3143" s="32">
        <f>IF(B3143="","",IFERROR(INDEX(Client_List!$C:$C,MATCH(VALUE(B3143),Client_List!$A:$A,0)),""))</f>
        <v/>
      </c>
      <c r="F3143" s="53">
        <f>IF(B3143="","",IFERROR(INDEX(Client_List!$D:$D,MATCH(VALUE(B3143),Client_List!$A:$A,0)),""))</f>
        <v/>
      </c>
      <c r="G3143" s="53">
        <f>IF(B3143="","",IFERROR(INDEX(Client_List!$K:$K,MATCH(VALUE(B3143),Client_List!$A:$A,0)),""))</f>
        <v/>
      </c>
      <c r="H3143" s="32">
        <f>IF(B3143="","",IFERROR(INDEX(Client_List!$J:$J,MATCH(VALUE(B3143),Client_List!$A:$A,0)),""))</f>
        <v/>
      </c>
      <c r="I3143" s="70">
        <f>IF(B3143="","",IFERROR(A3143-LOOKUP(2,1/($B$4:$B3142=B3143),$A$4:$A3142),""))</f>
        <v/>
      </c>
      <c r="J3143" s="32">
        <f>IF(B3143="","",IFERROR(D3143/I3143,""))</f>
        <v/>
      </c>
      <c r="K3143" s="71">
        <f>IF(B3143="","",IFERROR(AVERAGEIFS($J$4:$J3143,$B$4:$B3143,B3143,$J$4:$J3143,"&gt;"&amp;0),""))</f>
        <v/>
      </c>
      <c r="L3143" s="11" t="n"/>
    </row>
    <row r="3144" ht="14" customHeight="1" s="72">
      <c r="A3144" s="83" t="n"/>
      <c r="B3144" s="81" t="n"/>
      <c r="C3144" s="69">
        <f>IF(B3144="","",IFERROR(INDEX(Client_List!$B:$B,MATCH(B3144,Client_List!$A:$A,0)),"⚠ NOT FOUND"))</f>
        <v/>
      </c>
      <c r="D3144" s="45" t="n"/>
      <c r="E3144" s="32">
        <f>IF(B3144="","",IFERROR(INDEX(Client_List!$C:$C,MATCH(VALUE(B3144),Client_List!$A:$A,0)),""))</f>
        <v/>
      </c>
      <c r="F3144" s="53">
        <f>IF(B3144="","",IFERROR(INDEX(Client_List!$D:$D,MATCH(VALUE(B3144),Client_List!$A:$A,0)),""))</f>
        <v/>
      </c>
      <c r="G3144" s="53">
        <f>IF(B3144="","",IFERROR(INDEX(Client_List!$K:$K,MATCH(VALUE(B3144),Client_List!$A:$A,0)),""))</f>
        <v/>
      </c>
      <c r="H3144" s="32">
        <f>IF(B3144="","",IFERROR(INDEX(Client_List!$J:$J,MATCH(VALUE(B3144),Client_List!$A:$A,0)),""))</f>
        <v/>
      </c>
      <c r="I3144" s="70">
        <f>IF(B3144="","",IFERROR(A3144-LOOKUP(2,1/($B$4:$B3143=B3144),$A$4:$A3143),""))</f>
        <v/>
      </c>
      <c r="J3144" s="32">
        <f>IF(B3144="","",IFERROR(D3144/I3144,""))</f>
        <v/>
      </c>
      <c r="K3144" s="71">
        <f>IF(B3144="","",IFERROR(AVERAGEIFS($J$4:$J3144,$B$4:$B3144,B3144,$J$4:$J3144,"&gt;"&amp;0),""))</f>
        <v/>
      </c>
      <c r="L3144" s="12" t="n"/>
    </row>
    <row r="3145" ht="14" customHeight="1" s="72">
      <c r="A3145" s="82" t="n"/>
      <c r="B3145" s="79" t="n"/>
      <c r="C3145" s="69">
        <f>IF(B3145="","",IFERROR(INDEX(Client_List!$B:$B,MATCH(B3145,Client_List!$A:$A,0)),"⚠ NOT FOUND"))</f>
        <v/>
      </c>
      <c r="D3145" s="44" t="n"/>
      <c r="E3145" s="32">
        <f>IF(B3145="","",IFERROR(INDEX(Client_List!$C:$C,MATCH(VALUE(B3145),Client_List!$A:$A,0)),""))</f>
        <v/>
      </c>
      <c r="F3145" s="53">
        <f>IF(B3145="","",IFERROR(INDEX(Client_List!$D:$D,MATCH(VALUE(B3145),Client_List!$A:$A,0)),""))</f>
        <v/>
      </c>
      <c r="G3145" s="53">
        <f>IF(B3145="","",IFERROR(INDEX(Client_List!$K:$K,MATCH(VALUE(B3145),Client_List!$A:$A,0)),""))</f>
        <v/>
      </c>
      <c r="H3145" s="32">
        <f>IF(B3145="","",IFERROR(INDEX(Client_List!$J:$J,MATCH(VALUE(B3145),Client_List!$A:$A,0)),""))</f>
        <v/>
      </c>
      <c r="I3145" s="70">
        <f>IF(B3145="","",IFERROR(A3145-LOOKUP(2,1/($B$4:$B3144=B3145),$A$4:$A3144),""))</f>
        <v/>
      </c>
      <c r="J3145" s="32">
        <f>IF(B3145="","",IFERROR(D3145/I3145,""))</f>
        <v/>
      </c>
      <c r="K3145" s="71">
        <f>IF(B3145="","",IFERROR(AVERAGEIFS($J$4:$J3145,$B$4:$B3145,B3145,$J$4:$J3145,"&gt;"&amp;0),""))</f>
        <v/>
      </c>
      <c r="L3145" s="11" t="n"/>
    </row>
    <row r="3146" ht="14" customHeight="1" s="72">
      <c r="A3146" s="83" t="n"/>
      <c r="B3146" s="81" t="n"/>
      <c r="C3146" s="69">
        <f>IF(B3146="","",IFERROR(INDEX(Client_List!$B:$B,MATCH(B3146,Client_List!$A:$A,0)),"⚠ NOT FOUND"))</f>
        <v/>
      </c>
      <c r="D3146" s="45" t="n"/>
      <c r="E3146" s="32">
        <f>IF(B3146="","",IFERROR(INDEX(Client_List!$C:$C,MATCH(VALUE(B3146),Client_List!$A:$A,0)),""))</f>
        <v/>
      </c>
      <c r="F3146" s="53">
        <f>IF(B3146="","",IFERROR(INDEX(Client_List!$D:$D,MATCH(VALUE(B3146),Client_List!$A:$A,0)),""))</f>
        <v/>
      </c>
      <c r="G3146" s="53">
        <f>IF(B3146="","",IFERROR(INDEX(Client_List!$K:$K,MATCH(VALUE(B3146),Client_List!$A:$A,0)),""))</f>
        <v/>
      </c>
      <c r="H3146" s="32">
        <f>IF(B3146="","",IFERROR(INDEX(Client_List!$J:$J,MATCH(VALUE(B3146),Client_List!$A:$A,0)),""))</f>
        <v/>
      </c>
      <c r="I3146" s="70">
        <f>IF(B3146="","",IFERROR(A3146-LOOKUP(2,1/($B$4:$B3145=B3146),$A$4:$A3145),""))</f>
        <v/>
      </c>
      <c r="J3146" s="32">
        <f>IF(B3146="","",IFERROR(D3146/I3146,""))</f>
        <v/>
      </c>
      <c r="K3146" s="71">
        <f>IF(B3146="","",IFERROR(AVERAGEIFS($J$4:$J3146,$B$4:$B3146,B3146,$J$4:$J3146,"&gt;"&amp;0),""))</f>
        <v/>
      </c>
      <c r="L3146" s="12" t="n"/>
    </row>
    <row r="3147" ht="14" customHeight="1" s="72">
      <c r="A3147" s="82" t="n"/>
      <c r="B3147" s="79" t="n"/>
      <c r="C3147" s="69">
        <f>IF(B3147="","",IFERROR(INDEX(Client_List!$B:$B,MATCH(B3147,Client_List!$A:$A,0)),"⚠ NOT FOUND"))</f>
        <v/>
      </c>
      <c r="D3147" s="44" t="n"/>
      <c r="E3147" s="32">
        <f>IF(B3147="","",IFERROR(INDEX(Client_List!$C:$C,MATCH(VALUE(B3147),Client_List!$A:$A,0)),""))</f>
        <v/>
      </c>
      <c r="F3147" s="53">
        <f>IF(B3147="","",IFERROR(INDEX(Client_List!$D:$D,MATCH(VALUE(B3147),Client_List!$A:$A,0)),""))</f>
        <v/>
      </c>
      <c r="G3147" s="53">
        <f>IF(B3147="","",IFERROR(INDEX(Client_List!$K:$K,MATCH(VALUE(B3147),Client_List!$A:$A,0)),""))</f>
        <v/>
      </c>
      <c r="H3147" s="32">
        <f>IF(B3147="","",IFERROR(INDEX(Client_List!$J:$J,MATCH(VALUE(B3147),Client_List!$A:$A,0)),""))</f>
        <v/>
      </c>
      <c r="I3147" s="70">
        <f>IF(B3147="","",IFERROR(A3147-LOOKUP(2,1/($B$4:$B3146=B3147),$A$4:$A3146),""))</f>
        <v/>
      </c>
      <c r="J3147" s="32">
        <f>IF(B3147="","",IFERROR(D3147/I3147,""))</f>
        <v/>
      </c>
      <c r="K3147" s="71">
        <f>IF(B3147="","",IFERROR(AVERAGEIFS($J$4:$J3147,$B$4:$B3147,B3147,$J$4:$J3147,"&gt;"&amp;0),""))</f>
        <v/>
      </c>
      <c r="L3147" s="11" t="n"/>
    </row>
    <row r="3148" ht="14" customHeight="1" s="72">
      <c r="A3148" s="83" t="n"/>
      <c r="B3148" s="81" t="n"/>
      <c r="C3148" s="69">
        <f>IF(B3148="","",IFERROR(INDEX(Client_List!$B:$B,MATCH(B3148,Client_List!$A:$A,0)),"⚠ NOT FOUND"))</f>
        <v/>
      </c>
      <c r="D3148" s="45" t="n"/>
      <c r="E3148" s="32">
        <f>IF(B3148="","",IFERROR(INDEX(Client_List!$C:$C,MATCH(VALUE(B3148),Client_List!$A:$A,0)),""))</f>
        <v/>
      </c>
      <c r="F3148" s="53">
        <f>IF(B3148="","",IFERROR(INDEX(Client_List!$D:$D,MATCH(VALUE(B3148),Client_List!$A:$A,0)),""))</f>
        <v/>
      </c>
      <c r="G3148" s="53">
        <f>IF(B3148="","",IFERROR(INDEX(Client_List!$K:$K,MATCH(VALUE(B3148),Client_List!$A:$A,0)),""))</f>
        <v/>
      </c>
      <c r="H3148" s="32">
        <f>IF(B3148="","",IFERROR(INDEX(Client_List!$J:$J,MATCH(VALUE(B3148),Client_List!$A:$A,0)),""))</f>
        <v/>
      </c>
      <c r="I3148" s="70">
        <f>IF(B3148="","",IFERROR(A3148-LOOKUP(2,1/($B$4:$B3147=B3148),$A$4:$A3147),""))</f>
        <v/>
      </c>
      <c r="J3148" s="32">
        <f>IF(B3148="","",IFERROR(D3148/I3148,""))</f>
        <v/>
      </c>
      <c r="K3148" s="71">
        <f>IF(B3148="","",IFERROR(AVERAGEIFS($J$4:$J3148,$B$4:$B3148,B3148,$J$4:$J3148,"&gt;"&amp;0),""))</f>
        <v/>
      </c>
      <c r="L3148" s="12" t="n"/>
    </row>
    <row r="3149" ht="14" customHeight="1" s="72">
      <c r="A3149" s="82" t="n"/>
      <c r="B3149" s="79" t="n"/>
      <c r="C3149" s="69">
        <f>IF(B3149="","",IFERROR(INDEX(Client_List!$B:$B,MATCH(B3149,Client_List!$A:$A,0)),"⚠ NOT FOUND"))</f>
        <v/>
      </c>
      <c r="D3149" s="44" t="n"/>
      <c r="E3149" s="32">
        <f>IF(B3149="","",IFERROR(INDEX(Client_List!$C:$C,MATCH(VALUE(B3149),Client_List!$A:$A,0)),""))</f>
        <v/>
      </c>
      <c r="F3149" s="53">
        <f>IF(B3149="","",IFERROR(INDEX(Client_List!$D:$D,MATCH(VALUE(B3149),Client_List!$A:$A,0)),""))</f>
        <v/>
      </c>
      <c r="G3149" s="53">
        <f>IF(B3149="","",IFERROR(INDEX(Client_List!$K:$K,MATCH(VALUE(B3149),Client_List!$A:$A,0)),""))</f>
        <v/>
      </c>
      <c r="H3149" s="32">
        <f>IF(B3149="","",IFERROR(INDEX(Client_List!$J:$J,MATCH(VALUE(B3149),Client_List!$A:$A,0)),""))</f>
        <v/>
      </c>
      <c r="I3149" s="70">
        <f>IF(B3149="","",IFERROR(A3149-LOOKUP(2,1/($B$4:$B3148=B3149),$A$4:$A3148),""))</f>
        <v/>
      </c>
      <c r="J3149" s="32">
        <f>IF(B3149="","",IFERROR(D3149/I3149,""))</f>
        <v/>
      </c>
      <c r="K3149" s="71">
        <f>IF(B3149="","",IFERROR(AVERAGEIFS($J$4:$J3149,$B$4:$B3149,B3149,$J$4:$J3149,"&gt;"&amp;0),""))</f>
        <v/>
      </c>
      <c r="L3149" s="11" t="n"/>
    </row>
    <row r="3150" ht="14" customHeight="1" s="72">
      <c r="A3150" s="83" t="n"/>
      <c r="B3150" s="81" t="n"/>
      <c r="C3150" s="69">
        <f>IF(B3150="","",IFERROR(INDEX(Client_List!$B:$B,MATCH(B3150,Client_List!$A:$A,0)),"⚠ NOT FOUND"))</f>
        <v/>
      </c>
      <c r="D3150" s="45" t="n"/>
      <c r="E3150" s="32">
        <f>IF(B3150="","",IFERROR(INDEX(Client_List!$C:$C,MATCH(VALUE(B3150),Client_List!$A:$A,0)),""))</f>
        <v/>
      </c>
      <c r="F3150" s="53">
        <f>IF(B3150="","",IFERROR(INDEX(Client_List!$D:$D,MATCH(VALUE(B3150),Client_List!$A:$A,0)),""))</f>
        <v/>
      </c>
      <c r="G3150" s="53">
        <f>IF(B3150="","",IFERROR(INDEX(Client_List!$K:$K,MATCH(VALUE(B3150),Client_List!$A:$A,0)),""))</f>
        <v/>
      </c>
      <c r="H3150" s="32">
        <f>IF(B3150="","",IFERROR(INDEX(Client_List!$J:$J,MATCH(VALUE(B3150),Client_List!$A:$A,0)),""))</f>
        <v/>
      </c>
      <c r="I3150" s="70">
        <f>IF(B3150="","",IFERROR(A3150-LOOKUP(2,1/($B$4:$B3149=B3150),$A$4:$A3149),""))</f>
        <v/>
      </c>
      <c r="J3150" s="32">
        <f>IF(B3150="","",IFERROR(D3150/I3150,""))</f>
        <v/>
      </c>
      <c r="K3150" s="71">
        <f>IF(B3150="","",IFERROR(AVERAGEIFS($J$4:$J3150,$B$4:$B3150,B3150,$J$4:$J3150,"&gt;"&amp;0),""))</f>
        <v/>
      </c>
      <c r="L3150" s="12" t="n"/>
    </row>
    <row r="3151" ht="14" customHeight="1" s="72">
      <c r="A3151" s="82" t="n"/>
      <c r="B3151" s="79" t="n"/>
      <c r="C3151" s="69">
        <f>IF(B3151="","",IFERROR(INDEX(Client_List!$B:$B,MATCH(B3151,Client_List!$A:$A,0)),"⚠ NOT FOUND"))</f>
        <v/>
      </c>
      <c r="D3151" s="44" t="n"/>
      <c r="E3151" s="32">
        <f>IF(B3151="","",IFERROR(INDEX(Client_List!$C:$C,MATCH(VALUE(B3151),Client_List!$A:$A,0)),""))</f>
        <v/>
      </c>
      <c r="F3151" s="53">
        <f>IF(B3151="","",IFERROR(INDEX(Client_List!$D:$D,MATCH(VALUE(B3151),Client_List!$A:$A,0)),""))</f>
        <v/>
      </c>
      <c r="G3151" s="53">
        <f>IF(B3151="","",IFERROR(INDEX(Client_List!$K:$K,MATCH(VALUE(B3151),Client_List!$A:$A,0)),""))</f>
        <v/>
      </c>
      <c r="H3151" s="32">
        <f>IF(B3151="","",IFERROR(INDEX(Client_List!$J:$J,MATCH(VALUE(B3151),Client_List!$A:$A,0)),""))</f>
        <v/>
      </c>
      <c r="I3151" s="70">
        <f>IF(B3151="","",IFERROR(A3151-LOOKUP(2,1/($B$4:$B3150=B3151),$A$4:$A3150),""))</f>
        <v/>
      </c>
      <c r="J3151" s="32">
        <f>IF(B3151="","",IFERROR(D3151/I3151,""))</f>
        <v/>
      </c>
      <c r="K3151" s="71">
        <f>IF(B3151="","",IFERROR(AVERAGEIFS($J$4:$J3151,$B$4:$B3151,B3151,$J$4:$J3151,"&gt;"&amp;0),""))</f>
        <v/>
      </c>
      <c r="L3151" s="11" t="n"/>
    </row>
    <row r="3152" ht="14" customHeight="1" s="72">
      <c r="A3152" s="83" t="n"/>
      <c r="B3152" s="81" t="n"/>
      <c r="C3152" s="69">
        <f>IF(B3152="","",IFERROR(INDEX(Client_List!$B:$B,MATCH(B3152,Client_List!$A:$A,0)),"⚠ NOT FOUND"))</f>
        <v/>
      </c>
      <c r="D3152" s="45" t="n"/>
      <c r="E3152" s="32">
        <f>IF(B3152="","",IFERROR(INDEX(Client_List!$C:$C,MATCH(VALUE(B3152),Client_List!$A:$A,0)),""))</f>
        <v/>
      </c>
      <c r="F3152" s="53">
        <f>IF(B3152="","",IFERROR(INDEX(Client_List!$D:$D,MATCH(VALUE(B3152),Client_List!$A:$A,0)),""))</f>
        <v/>
      </c>
      <c r="G3152" s="53">
        <f>IF(B3152="","",IFERROR(INDEX(Client_List!$K:$K,MATCH(VALUE(B3152),Client_List!$A:$A,0)),""))</f>
        <v/>
      </c>
      <c r="H3152" s="32">
        <f>IF(B3152="","",IFERROR(INDEX(Client_List!$J:$J,MATCH(VALUE(B3152),Client_List!$A:$A,0)),""))</f>
        <v/>
      </c>
      <c r="I3152" s="70">
        <f>IF(B3152="","",IFERROR(A3152-LOOKUP(2,1/($B$4:$B3151=B3152),$A$4:$A3151),""))</f>
        <v/>
      </c>
      <c r="J3152" s="32">
        <f>IF(B3152="","",IFERROR(D3152/I3152,""))</f>
        <v/>
      </c>
      <c r="K3152" s="71">
        <f>IF(B3152="","",IFERROR(AVERAGEIFS($J$4:$J3152,$B$4:$B3152,B3152,$J$4:$J3152,"&gt;"&amp;0),""))</f>
        <v/>
      </c>
      <c r="L3152" s="12" t="n"/>
    </row>
    <row r="3153" ht="14" customHeight="1" s="72">
      <c r="A3153" s="82" t="n"/>
      <c r="B3153" s="79" t="n"/>
      <c r="C3153" s="69">
        <f>IF(B3153="","",IFERROR(INDEX(Client_List!$B:$B,MATCH(B3153,Client_List!$A:$A,0)),"⚠ NOT FOUND"))</f>
        <v/>
      </c>
      <c r="D3153" s="44" t="n"/>
      <c r="E3153" s="32">
        <f>IF(B3153="","",IFERROR(INDEX(Client_List!$C:$C,MATCH(VALUE(B3153),Client_List!$A:$A,0)),""))</f>
        <v/>
      </c>
      <c r="F3153" s="53">
        <f>IF(B3153="","",IFERROR(INDEX(Client_List!$D:$D,MATCH(VALUE(B3153),Client_List!$A:$A,0)),""))</f>
        <v/>
      </c>
      <c r="G3153" s="53">
        <f>IF(B3153="","",IFERROR(INDEX(Client_List!$K:$K,MATCH(VALUE(B3153),Client_List!$A:$A,0)),""))</f>
        <v/>
      </c>
      <c r="H3153" s="32">
        <f>IF(B3153="","",IFERROR(INDEX(Client_List!$J:$J,MATCH(VALUE(B3153),Client_List!$A:$A,0)),""))</f>
        <v/>
      </c>
      <c r="I3153" s="70">
        <f>IF(B3153="","",IFERROR(A3153-LOOKUP(2,1/($B$4:$B3152=B3153),$A$4:$A3152),""))</f>
        <v/>
      </c>
      <c r="J3153" s="32">
        <f>IF(B3153="","",IFERROR(D3153/I3153,""))</f>
        <v/>
      </c>
      <c r="K3153" s="71">
        <f>IF(B3153="","",IFERROR(AVERAGEIFS($J$4:$J3153,$B$4:$B3153,B3153,$J$4:$J3153,"&gt;"&amp;0),""))</f>
        <v/>
      </c>
      <c r="L3153" s="11" t="n"/>
    </row>
    <row r="3154" ht="14" customHeight="1" s="72">
      <c r="A3154" s="83" t="n"/>
      <c r="B3154" s="81" t="n"/>
      <c r="C3154" s="69">
        <f>IF(B3154="","",IFERROR(INDEX(Client_List!$B:$B,MATCH(B3154,Client_List!$A:$A,0)),"⚠ NOT FOUND"))</f>
        <v/>
      </c>
      <c r="D3154" s="45" t="n"/>
      <c r="E3154" s="32">
        <f>IF(B3154="","",IFERROR(INDEX(Client_List!$C:$C,MATCH(VALUE(B3154),Client_List!$A:$A,0)),""))</f>
        <v/>
      </c>
      <c r="F3154" s="53">
        <f>IF(B3154="","",IFERROR(INDEX(Client_List!$D:$D,MATCH(VALUE(B3154),Client_List!$A:$A,0)),""))</f>
        <v/>
      </c>
      <c r="G3154" s="53">
        <f>IF(B3154="","",IFERROR(INDEX(Client_List!$K:$K,MATCH(VALUE(B3154),Client_List!$A:$A,0)),""))</f>
        <v/>
      </c>
      <c r="H3154" s="32">
        <f>IF(B3154="","",IFERROR(INDEX(Client_List!$J:$J,MATCH(VALUE(B3154),Client_List!$A:$A,0)),""))</f>
        <v/>
      </c>
      <c r="I3154" s="70">
        <f>IF(B3154="","",IFERROR(A3154-LOOKUP(2,1/($B$4:$B3153=B3154),$A$4:$A3153),""))</f>
        <v/>
      </c>
      <c r="J3154" s="32">
        <f>IF(B3154="","",IFERROR(D3154/I3154,""))</f>
        <v/>
      </c>
      <c r="K3154" s="71">
        <f>IF(B3154="","",IFERROR(AVERAGEIFS($J$4:$J3154,$B$4:$B3154,B3154,$J$4:$J3154,"&gt;"&amp;0),""))</f>
        <v/>
      </c>
      <c r="L3154" s="12" t="n"/>
    </row>
    <row r="3155" ht="14" customHeight="1" s="72">
      <c r="A3155" s="82" t="n"/>
      <c r="B3155" s="79" t="n"/>
      <c r="C3155" s="69">
        <f>IF(B3155="","",IFERROR(INDEX(Client_List!$B:$B,MATCH(B3155,Client_List!$A:$A,0)),"⚠ NOT FOUND"))</f>
        <v/>
      </c>
      <c r="D3155" s="44" t="n"/>
      <c r="E3155" s="32">
        <f>IF(B3155="","",IFERROR(INDEX(Client_List!$C:$C,MATCH(VALUE(B3155),Client_List!$A:$A,0)),""))</f>
        <v/>
      </c>
      <c r="F3155" s="53">
        <f>IF(B3155="","",IFERROR(INDEX(Client_List!$D:$D,MATCH(VALUE(B3155),Client_List!$A:$A,0)),""))</f>
        <v/>
      </c>
      <c r="G3155" s="53">
        <f>IF(B3155="","",IFERROR(INDEX(Client_List!$K:$K,MATCH(VALUE(B3155),Client_List!$A:$A,0)),""))</f>
        <v/>
      </c>
      <c r="H3155" s="32">
        <f>IF(B3155="","",IFERROR(INDEX(Client_List!$J:$J,MATCH(VALUE(B3155),Client_List!$A:$A,0)),""))</f>
        <v/>
      </c>
      <c r="I3155" s="70">
        <f>IF(B3155="","",IFERROR(A3155-LOOKUP(2,1/($B$4:$B3154=B3155),$A$4:$A3154),""))</f>
        <v/>
      </c>
      <c r="J3155" s="32">
        <f>IF(B3155="","",IFERROR(D3155/I3155,""))</f>
        <v/>
      </c>
      <c r="K3155" s="71">
        <f>IF(B3155="","",IFERROR(AVERAGEIFS($J$4:$J3155,$B$4:$B3155,B3155,$J$4:$J3155,"&gt;"&amp;0),""))</f>
        <v/>
      </c>
      <c r="L3155" s="11" t="n"/>
    </row>
    <row r="3156" ht="14" customHeight="1" s="72">
      <c r="A3156" s="83" t="n"/>
      <c r="B3156" s="81" t="n"/>
      <c r="C3156" s="69">
        <f>IF(B3156="","",IFERROR(INDEX(Client_List!$B:$B,MATCH(B3156,Client_List!$A:$A,0)),"⚠ NOT FOUND"))</f>
        <v/>
      </c>
      <c r="D3156" s="45" t="n"/>
      <c r="E3156" s="32">
        <f>IF(B3156="","",IFERROR(INDEX(Client_List!$C:$C,MATCH(VALUE(B3156),Client_List!$A:$A,0)),""))</f>
        <v/>
      </c>
      <c r="F3156" s="53">
        <f>IF(B3156="","",IFERROR(INDEX(Client_List!$D:$D,MATCH(VALUE(B3156),Client_List!$A:$A,0)),""))</f>
        <v/>
      </c>
      <c r="G3156" s="53">
        <f>IF(B3156="","",IFERROR(INDEX(Client_List!$K:$K,MATCH(VALUE(B3156),Client_List!$A:$A,0)),""))</f>
        <v/>
      </c>
      <c r="H3156" s="32">
        <f>IF(B3156="","",IFERROR(INDEX(Client_List!$J:$J,MATCH(VALUE(B3156),Client_List!$A:$A,0)),""))</f>
        <v/>
      </c>
      <c r="I3156" s="70">
        <f>IF(B3156="","",IFERROR(A3156-LOOKUP(2,1/($B$4:$B3155=B3156),$A$4:$A3155),""))</f>
        <v/>
      </c>
      <c r="J3156" s="32">
        <f>IF(B3156="","",IFERROR(D3156/I3156,""))</f>
        <v/>
      </c>
      <c r="K3156" s="71">
        <f>IF(B3156="","",IFERROR(AVERAGEIFS($J$4:$J3156,$B$4:$B3156,B3156,$J$4:$J3156,"&gt;"&amp;0),""))</f>
        <v/>
      </c>
      <c r="L3156" s="12" t="n"/>
    </row>
    <row r="3157" ht="14" customHeight="1" s="72">
      <c r="A3157" s="82" t="n"/>
      <c r="B3157" s="79" t="n"/>
      <c r="C3157" s="69">
        <f>IF(B3157="","",IFERROR(INDEX(Client_List!$B:$B,MATCH(B3157,Client_List!$A:$A,0)),"⚠ NOT FOUND"))</f>
        <v/>
      </c>
      <c r="D3157" s="44" t="n"/>
      <c r="E3157" s="32">
        <f>IF(B3157="","",IFERROR(INDEX(Client_List!$C:$C,MATCH(VALUE(B3157),Client_List!$A:$A,0)),""))</f>
        <v/>
      </c>
      <c r="F3157" s="53">
        <f>IF(B3157="","",IFERROR(INDEX(Client_List!$D:$D,MATCH(VALUE(B3157),Client_List!$A:$A,0)),""))</f>
        <v/>
      </c>
      <c r="G3157" s="53">
        <f>IF(B3157="","",IFERROR(INDEX(Client_List!$K:$K,MATCH(VALUE(B3157),Client_List!$A:$A,0)),""))</f>
        <v/>
      </c>
      <c r="H3157" s="32">
        <f>IF(B3157="","",IFERROR(INDEX(Client_List!$J:$J,MATCH(VALUE(B3157),Client_List!$A:$A,0)),""))</f>
        <v/>
      </c>
      <c r="I3157" s="70">
        <f>IF(B3157="","",IFERROR(A3157-LOOKUP(2,1/($B$4:$B3156=B3157),$A$4:$A3156),""))</f>
        <v/>
      </c>
      <c r="J3157" s="32">
        <f>IF(B3157="","",IFERROR(D3157/I3157,""))</f>
        <v/>
      </c>
      <c r="K3157" s="71">
        <f>IF(B3157="","",IFERROR(AVERAGEIFS($J$4:$J3157,$B$4:$B3157,B3157,$J$4:$J3157,"&gt;"&amp;0),""))</f>
        <v/>
      </c>
      <c r="L3157" s="11" t="n"/>
    </row>
    <row r="3158" ht="14" customHeight="1" s="72">
      <c r="A3158" s="83" t="n"/>
      <c r="B3158" s="81" t="n"/>
      <c r="C3158" s="69">
        <f>IF(B3158="","",IFERROR(INDEX(Client_List!$B:$B,MATCH(B3158,Client_List!$A:$A,0)),"⚠ NOT FOUND"))</f>
        <v/>
      </c>
      <c r="D3158" s="45" t="n"/>
      <c r="E3158" s="32">
        <f>IF(B3158="","",IFERROR(INDEX(Client_List!$C:$C,MATCH(VALUE(B3158),Client_List!$A:$A,0)),""))</f>
        <v/>
      </c>
      <c r="F3158" s="53">
        <f>IF(B3158="","",IFERROR(INDEX(Client_List!$D:$D,MATCH(VALUE(B3158),Client_List!$A:$A,0)),""))</f>
        <v/>
      </c>
      <c r="G3158" s="53">
        <f>IF(B3158="","",IFERROR(INDEX(Client_List!$K:$K,MATCH(VALUE(B3158),Client_List!$A:$A,0)),""))</f>
        <v/>
      </c>
      <c r="H3158" s="32">
        <f>IF(B3158="","",IFERROR(INDEX(Client_List!$J:$J,MATCH(VALUE(B3158),Client_List!$A:$A,0)),""))</f>
        <v/>
      </c>
      <c r="I3158" s="70">
        <f>IF(B3158="","",IFERROR(A3158-LOOKUP(2,1/($B$4:$B3157=B3158),$A$4:$A3157),""))</f>
        <v/>
      </c>
      <c r="J3158" s="32">
        <f>IF(B3158="","",IFERROR(D3158/I3158,""))</f>
        <v/>
      </c>
      <c r="K3158" s="71">
        <f>IF(B3158="","",IFERROR(AVERAGEIFS($J$4:$J3158,$B$4:$B3158,B3158,$J$4:$J3158,"&gt;"&amp;0),""))</f>
        <v/>
      </c>
      <c r="L3158" s="12" t="n"/>
    </row>
    <row r="3159" ht="14" customHeight="1" s="72">
      <c r="A3159" s="82" t="n"/>
      <c r="B3159" s="79" t="n"/>
      <c r="C3159" s="69">
        <f>IF(B3159="","",IFERROR(INDEX(Client_List!$B:$B,MATCH(B3159,Client_List!$A:$A,0)),"⚠ NOT FOUND"))</f>
        <v/>
      </c>
      <c r="D3159" s="44" t="n"/>
      <c r="E3159" s="32">
        <f>IF(B3159="","",IFERROR(INDEX(Client_List!$C:$C,MATCH(VALUE(B3159),Client_List!$A:$A,0)),""))</f>
        <v/>
      </c>
      <c r="F3159" s="53">
        <f>IF(B3159="","",IFERROR(INDEX(Client_List!$D:$D,MATCH(VALUE(B3159),Client_List!$A:$A,0)),""))</f>
        <v/>
      </c>
      <c r="G3159" s="53">
        <f>IF(B3159="","",IFERROR(INDEX(Client_List!$K:$K,MATCH(VALUE(B3159),Client_List!$A:$A,0)),""))</f>
        <v/>
      </c>
      <c r="H3159" s="32">
        <f>IF(B3159="","",IFERROR(INDEX(Client_List!$J:$J,MATCH(VALUE(B3159),Client_List!$A:$A,0)),""))</f>
        <v/>
      </c>
      <c r="I3159" s="70">
        <f>IF(B3159="","",IFERROR(A3159-LOOKUP(2,1/($B$4:$B3158=B3159),$A$4:$A3158),""))</f>
        <v/>
      </c>
      <c r="J3159" s="32">
        <f>IF(B3159="","",IFERROR(D3159/I3159,""))</f>
        <v/>
      </c>
      <c r="K3159" s="71">
        <f>IF(B3159="","",IFERROR(AVERAGEIFS($J$4:$J3159,$B$4:$B3159,B3159,$J$4:$J3159,"&gt;"&amp;0),""))</f>
        <v/>
      </c>
      <c r="L3159" s="11" t="n"/>
    </row>
    <row r="3160" ht="14" customHeight="1" s="72">
      <c r="A3160" s="83" t="n"/>
      <c r="B3160" s="81" t="n"/>
      <c r="C3160" s="69">
        <f>IF(B3160="","",IFERROR(INDEX(Client_List!$B:$B,MATCH(B3160,Client_List!$A:$A,0)),"⚠ NOT FOUND"))</f>
        <v/>
      </c>
      <c r="D3160" s="45" t="n"/>
      <c r="E3160" s="32">
        <f>IF(B3160="","",IFERROR(INDEX(Client_List!$C:$C,MATCH(VALUE(B3160),Client_List!$A:$A,0)),""))</f>
        <v/>
      </c>
      <c r="F3160" s="53">
        <f>IF(B3160="","",IFERROR(INDEX(Client_List!$D:$D,MATCH(VALUE(B3160),Client_List!$A:$A,0)),""))</f>
        <v/>
      </c>
      <c r="G3160" s="53">
        <f>IF(B3160="","",IFERROR(INDEX(Client_List!$K:$K,MATCH(VALUE(B3160),Client_List!$A:$A,0)),""))</f>
        <v/>
      </c>
      <c r="H3160" s="32">
        <f>IF(B3160="","",IFERROR(INDEX(Client_List!$J:$J,MATCH(VALUE(B3160),Client_List!$A:$A,0)),""))</f>
        <v/>
      </c>
      <c r="I3160" s="70">
        <f>IF(B3160="","",IFERROR(A3160-LOOKUP(2,1/($B$4:$B3159=B3160),$A$4:$A3159),""))</f>
        <v/>
      </c>
      <c r="J3160" s="32">
        <f>IF(B3160="","",IFERROR(D3160/I3160,""))</f>
        <v/>
      </c>
      <c r="K3160" s="71">
        <f>IF(B3160="","",IFERROR(AVERAGEIFS($J$4:$J3160,$B$4:$B3160,B3160,$J$4:$J3160,"&gt;"&amp;0),""))</f>
        <v/>
      </c>
      <c r="L3160" s="12" t="n"/>
    </row>
    <row r="3161" ht="14" customHeight="1" s="72">
      <c r="A3161" s="82" t="n"/>
      <c r="B3161" s="79" t="n"/>
      <c r="C3161" s="69">
        <f>IF(B3161="","",IFERROR(INDEX(Client_List!$B:$B,MATCH(B3161,Client_List!$A:$A,0)),"⚠ NOT FOUND"))</f>
        <v/>
      </c>
      <c r="D3161" s="44" t="n"/>
      <c r="E3161" s="32">
        <f>IF(B3161="","",IFERROR(INDEX(Client_List!$C:$C,MATCH(VALUE(B3161),Client_List!$A:$A,0)),""))</f>
        <v/>
      </c>
      <c r="F3161" s="53">
        <f>IF(B3161="","",IFERROR(INDEX(Client_List!$D:$D,MATCH(VALUE(B3161),Client_List!$A:$A,0)),""))</f>
        <v/>
      </c>
      <c r="G3161" s="53">
        <f>IF(B3161="","",IFERROR(INDEX(Client_List!$K:$K,MATCH(VALUE(B3161),Client_List!$A:$A,0)),""))</f>
        <v/>
      </c>
      <c r="H3161" s="32">
        <f>IF(B3161="","",IFERROR(INDEX(Client_List!$J:$J,MATCH(VALUE(B3161),Client_List!$A:$A,0)),""))</f>
        <v/>
      </c>
      <c r="I3161" s="70">
        <f>IF(B3161="","",IFERROR(A3161-LOOKUP(2,1/($B$4:$B3160=B3161),$A$4:$A3160),""))</f>
        <v/>
      </c>
      <c r="J3161" s="32">
        <f>IF(B3161="","",IFERROR(D3161/I3161,""))</f>
        <v/>
      </c>
      <c r="K3161" s="71">
        <f>IF(B3161="","",IFERROR(AVERAGEIFS($J$4:$J3161,$B$4:$B3161,B3161,$J$4:$J3161,"&gt;"&amp;0),""))</f>
        <v/>
      </c>
      <c r="L3161" s="11" t="n"/>
    </row>
    <row r="3162" ht="14" customHeight="1" s="72">
      <c r="A3162" s="83" t="n"/>
      <c r="B3162" s="81" t="n"/>
      <c r="C3162" s="69">
        <f>IF(B3162="","",IFERROR(INDEX(Client_List!$B:$B,MATCH(B3162,Client_List!$A:$A,0)),"⚠ NOT FOUND"))</f>
        <v/>
      </c>
      <c r="D3162" s="45" t="n"/>
      <c r="E3162" s="32">
        <f>IF(B3162="","",IFERROR(INDEX(Client_List!$C:$C,MATCH(VALUE(B3162),Client_List!$A:$A,0)),""))</f>
        <v/>
      </c>
      <c r="F3162" s="53">
        <f>IF(B3162="","",IFERROR(INDEX(Client_List!$D:$D,MATCH(VALUE(B3162),Client_List!$A:$A,0)),""))</f>
        <v/>
      </c>
      <c r="G3162" s="53">
        <f>IF(B3162="","",IFERROR(INDEX(Client_List!$K:$K,MATCH(VALUE(B3162),Client_List!$A:$A,0)),""))</f>
        <v/>
      </c>
      <c r="H3162" s="32">
        <f>IF(B3162="","",IFERROR(INDEX(Client_List!$J:$J,MATCH(VALUE(B3162),Client_List!$A:$A,0)),""))</f>
        <v/>
      </c>
      <c r="I3162" s="70">
        <f>IF(B3162="","",IFERROR(A3162-LOOKUP(2,1/($B$4:$B3161=B3162),$A$4:$A3161),""))</f>
        <v/>
      </c>
      <c r="J3162" s="32">
        <f>IF(B3162="","",IFERROR(D3162/I3162,""))</f>
        <v/>
      </c>
      <c r="K3162" s="71">
        <f>IF(B3162="","",IFERROR(AVERAGEIFS($J$4:$J3162,$B$4:$B3162,B3162,$J$4:$J3162,"&gt;"&amp;0),""))</f>
        <v/>
      </c>
      <c r="L3162" s="12" t="n"/>
    </row>
    <row r="3163" ht="14" customHeight="1" s="72">
      <c r="A3163" s="82" t="n"/>
      <c r="B3163" s="79" t="n"/>
      <c r="C3163" s="69">
        <f>IF(B3163="","",IFERROR(INDEX(Client_List!$B:$B,MATCH(B3163,Client_List!$A:$A,0)),"⚠ NOT FOUND"))</f>
        <v/>
      </c>
      <c r="D3163" s="44" t="n"/>
      <c r="E3163" s="32">
        <f>IF(B3163="","",IFERROR(INDEX(Client_List!$C:$C,MATCH(VALUE(B3163),Client_List!$A:$A,0)),""))</f>
        <v/>
      </c>
      <c r="F3163" s="53">
        <f>IF(B3163="","",IFERROR(INDEX(Client_List!$D:$D,MATCH(VALUE(B3163),Client_List!$A:$A,0)),""))</f>
        <v/>
      </c>
      <c r="G3163" s="53">
        <f>IF(B3163="","",IFERROR(INDEX(Client_List!$K:$K,MATCH(VALUE(B3163),Client_List!$A:$A,0)),""))</f>
        <v/>
      </c>
      <c r="H3163" s="32">
        <f>IF(B3163="","",IFERROR(INDEX(Client_List!$J:$J,MATCH(VALUE(B3163),Client_List!$A:$A,0)),""))</f>
        <v/>
      </c>
      <c r="I3163" s="70">
        <f>IF(B3163="","",IFERROR(A3163-LOOKUP(2,1/($B$4:$B3162=B3163),$A$4:$A3162),""))</f>
        <v/>
      </c>
      <c r="J3163" s="32">
        <f>IF(B3163="","",IFERROR(D3163/I3163,""))</f>
        <v/>
      </c>
      <c r="K3163" s="71">
        <f>IF(B3163="","",IFERROR(AVERAGEIFS($J$4:$J3163,$B$4:$B3163,B3163,$J$4:$J3163,"&gt;"&amp;0),""))</f>
        <v/>
      </c>
      <c r="L3163" s="11" t="n"/>
    </row>
    <row r="3164" ht="14" customHeight="1" s="72">
      <c r="A3164" s="83" t="n"/>
      <c r="B3164" s="81" t="n"/>
      <c r="C3164" s="69">
        <f>IF(B3164="","",IFERROR(INDEX(Client_List!$B:$B,MATCH(B3164,Client_List!$A:$A,0)),"⚠ NOT FOUND"))</f>
        <v/>
      </c>
      <c r="D3164" s="45" t="n"/>
      <c r="E3164" s="32">
        <f>IF(B3164="","",IFERROR(INDEX(Client_List!$C:$C,MATCH(VALUE(B3164),Client_List!$A:$A,0)),""))</f>
        <v/>
      </c>
      <c r="F3164" s="53">
        <f>IF(B3164="","",IFERROR(INDEX(Client_List!$D:$D,MATCH(VALUE(B3164),Client_List!$A:$A,0)),""))</f>
        <v/>
      </c>
      <c r="G3164" s="53">
        <f>IF(B3164="","",IFERROR(INDEX(Client_List!$K:$K,MATCH(VALUE(B3164),Client_List!$A:$A,0)),""))</f>
        <v/>
      </c>
      <c r="H3164" s="32">
        <f>IF(B3164="","",IFERROR(INDEX(Client_List!$J:$J,MATCH(VALUE(B3164),Client_List!$A:$A,0)),""))</f>
        <v/>
      </c>
      <c r="I3164" s="70">
        <f>IF(B3164="","",IFERROR(A3164-LOOKUP(2,1/($B$4:$B3163=B3164),$A$4:$A3163),""))</f>
        <v/>
      </c>
      <c r="J3164" s="32">
        <f>IF(B3164="","",IFERROR(D3164/I3164,""))</f>
        <v/>
      </c>
      <c r="K3164" s="71">
        <f>IF(B3164="","",IFERROR(AVERAGEIFS($J$4:$J3164,$B$4:$B3164,B3164,$J$4:$J3164,"&gt;"&amp;0),""))</f>
        <v/>
      </c>
      <c r="L3164" s="12" t="n"/>
    </row>
    <row r="3165" ht="14" customHeight="1" s="72">
      <c r="A3165" s="82" t="n"/>
      <c r="B3165" s="79" t="n"/>
      <c r="C3165" s="69">
        <f>IF(B3165="","",IFERROR(INDEX(Client_List!$B:$B,MATCH(B3165,Client_List!$A:$A,0)),"⚠ NOT FOUND"))</f>
        <v/>
      </c>
      <c r="D3165" s="44" t="n"/>
      <c r="E3165" s="32">
        <f>IF(B3165="","",IFERROR(INDEX(Client_List!$C:$C,MATCH(VALUE(B3165),Client_List!$A:$A,0)),""))</f>
        <v/>
      </c>
      <c r="F3165" s="53">
        <f>IF(B3165="","",IFERROR(INDEX(Client_List!$D:$D,MATCH(VALUE(B3165),Client_List!$A:$A,0)),""))</f>
        <v/>
      </c>
      <c r="G3165" s="53">
        <f>IF(B3165="","",IFERROR(INDEX(Client_List!$K:$K,MATCH(VALUE(B3165),Client_List!$A:$A,0)),""))</f>
        <v/>
      </c>
      <c r="H3165" s="32">
        <f>IF(B3165="","",IFERROR(INDEX(Client_List!$J:$J,MATCH(VALUE(B3165),Client_List!$A:$A,0)),""))</f>
        <v/>
      </c>
      <c r="I3165" s="70">
        <f>IF(B3165="","",IFERROR(A3165-LOOKUP(2,1/($B$4:$B3164=B3165),$A$4:$A3164),""))</f>
        <v/>
      </c>
      <c r="J3165" s="32">
        <f>IF(B3165="","",IFERROR(D3165/I3165,""))</f>
        <v/>
      </c>
      <c r="K3165" s="71">
        <f>IF(B3165="","",IFERROR(AVERAGEIFS($J$4:$J3165,$B$4:$B3165,B3165,$J$4:$J3165,"&gt;"&amp;0),""))</f>
        <v/>
      </c>
      <c r="L3165" s="11" t="n"/>
    </row>
    <row r="3166" ht="14" customHeight="1" s="72">
      <c r="A3166" s="83" t="n"/>
      <c r="B3166" s="81" t="n"/>
      <c r="C3166" s="69">
        <f>IF(B3166="","",IFERROR(INDEX(Client_List!$B:$B,MATCH(B3166,Client_List!$A:$A,0)),"⚠ NOT FOUND"))</f>
        <v/>
      </c>
      <c r="D3166" s="45" t="n"/>
      <c r="E3166" s="32">
        <f>IF(B3166="","",IFERROR(INDEX(Client_List!$C:$C,MATCH(VALUE(B3166),Client_List!$A:$A,0)),""))</f>
        <v/>
      </c>
      <c r="F3166" s="53">
        <f>IF(B3166="","",IFERROR(INDEX(Client_List!$D:$D,MATCH(VALUE(B3166),Client_List!$A:$A,0)),""))</f>
        <v/>
      </c>
      <c r="G3166" s="53">
        <f>IF(B3166="","",IFERROR(INDEX(Client_List!$K:$K,MATCH(VALUE(B3166),Client_List!$A:$A,0)),""))</f>
        <v/>
      </c>
      <c r="H3166" s="32">
        <f>IF(B3166="","",IFERROR(INDEX(Client_List!$J:$J,MATCH(VALUE(B3166),Client_List!$A:$A,0)),""))</f>
        <v/>
      </c>
      <c r="I3166" s="70">
        <f>IF(B3166="","",IFERROR(A3166-LOOKUP(2,1/($B$4:$B3165=B3166),$A$4:$A3165),""))</f>
        <v/>
      </c>
      <c r="J3166" s="32">
        <f>IF(B3166="","",IFERROR(D3166/I3166,""))</f>
        <v/>
      </c>
      <c r="K3166" s="71">
        <f>IF(B3166="","",IFERROR(AVERAGEIFS($J$4:$J3166,$B$4:$B3166,B3166,$J$4:$J3166,"&gt;"&amp;0),""))</f>
        <v/>
      </c>
      <c r="L3166" s="12" t="n"/>
    </row>
    <row r="3167" ht="14" customHeight="1" s="72">
      <c r="A3167" s="82" t="n"/>
      <c r="B3167" s="79" t="n"/>
      <c r="C3167" s="69">
        <f>IF(B3167="","",IFERROR(INDEX(Client_List!$B:$B,MATCH(B3167,Client_List!$A:$A,0)),"⚠ NOT FOUND"))</f>
        <v/>
      </c>
      <c r="D3167" s="44" t="n"/>
      <c r="E3167" s="32">
        <f>IF(B3167="","",IFERROR(INDEX(Client_List!$C:$C,MATCH(VALUE(B3167),Client_List!$A:$A,0)),""))</f>
        <v/>
      </c>
      <c r="F3167" s="53">
        <f>IF(B3167="","",IFERROR(INDEX(Client_List!$D:$D,MATCH(VALUE(B3167),Client_List!$A:$A,0)),""))</f>
        <v/>
      </c>
      <c r="G3167" s="53">
        <f>IF(B3167="","",IFERROR(INDEX(Client_List!$K:$K,MATCH(VALUE(B3167),Client_List!$A:$A,0)),""))</f>
        <v/>
      </c>
      <c r="H3167" s="32">
        <f>IF(B3167="","",IFERROR(INDEX(Client_List!$J:$J,MATCH(VALUE(B3167),Client_List!$A:$A,0)),""))</f>
        <v/>
      </c>
      <c r="I3167" s="70">
        <f>IF(B3167="","",IFERROR(A3167-LOOKUP(2,1/($B$4:$B3166=B3167),$A$4:$A3166),""))</f>
        <v/>
      </c>
      <c r="J3167" s="32">
        <f>IF(B3167="","",IFERROR(D3167/I3167,""))</f>
        <v/>
      </c>
      <c r="K3167" s="71">
        <f>IF(B3167="","",IFERROR(AVERAGEIFS($J$4:$J3167,$B$4:$B3167,B3167,$J$4:$J3167,"&gt;"&amp;0),""))</f>
        <v/>
      </c>
      <c r="L3167" s="11" t="n"/>
    </row>
    <row r="3168" ht="14" customHeight="1" s="72">
      <c r="A3168" s="83" t="n"/>
      <c r="B3168" s="81" t="n"/>
      <c r="C3168" s="69">
        <f>IF(B3168="","",IFERROR(INDEX(Client_List!$B:$B,MATCH(B3168,Client_List!$A:$A,0)),"⚠ NOT FOUND"))</f>
        <v/>
      </c>
      <c r="D3168" s="45" t="n"/>
      <c r="E3168" s="32">
        <f>IF(B3168="","",IFERROR(INDEX(Client_List!$C:$C,MATCH(VALUE(B3168),Client_List!$A:$A,0)),""))</f>
        <v/>
      </c>
      <c r="F3168" s="53">
        <f>IF(B3168="","",IFERROR(INDEX(Client_List!$D:$D,MATCH(VALUE(B3168),Client_List!$A:$A,0)),""))</f>
        <v/>
      </c>
      <c r="G3168" s="53">
        <f>IF(B3168="","",IFERROR(INDEX(Client_List!$K:$K,MATCH(VALUE(B3168),Client_List!$A:$A,0)),""))</f>
        <v/>
      </c>
      <c r="H3168" s="32">
        <f>IF(B3168="","",IFERROR(INDEX(Client_List!$J:$J,MATCH(VALUE(B3168),Client_List!$A:$A,0)),""))</f>
        <v/>
      </c>
      <c r="I3168" s="70">
        <f>IF(B3168="","",IFERROR(A3168-LOOKUP(2,1/($B$4:$B3167=B3168),$A$4:$A3167),""))</f>
        <v/>
      </c>
      <c r="J3168" s="32">
        <f>IF(B3168="","",IFERROR(D3168/I3168,""))</f>
        <v/>
      </c>
      <c r="K3168" s="71">
        <f>IF(B3168="","",IFERROR(AVERAGEIFS($J$4:$J3168,$B$4:$B3168,B3168,$J$4:$J3168,"&gt;"&amp;0),""))</f>
        <v/>
      </c>
      <c r="L3168" s="12" t="n"/>
    </row>
    <row r="3169" ht="14" customHeight="1" s="72">
      <c r="A3169" s="82" t="n"/>
      <c r="B3169" s="79" t="n"/>
      <c r="C3169" s="69">
        <f>IF(B3169="","",IFERROR(INDEX(Client_List!$B:$B,MATCH(B3169,Client_List!$A:$A,0)),"⚠ NOT FOUND"))</f>
        <v/>
      </c>
      <c r="D3169" s="44" t="n"/>
      <c r="E3169" s="32">
        <f>IF(B3169="","",IFERROR(INDEX(Client_List!$C:$C,MATCH(VALUE(B3169),Client_List!$A:$A,0)),""))</f>
        <v/>
      </c>
      <c r="F3169" s="53">
        <f>IF(B3169="","",IFERROR(INDEX(Client_List!$D:$D,MATCH(VALUE(B3169),Client_List!$A:$A,0)),""))</f>
        <v/>
      </c>
      <c r="G3169" s="53">
        <f>IF(B3169="","",IFERROR(INDEX(Client_List!$K:$K,MATCH(VALUE(B3169),Client_List!$A:$A,0)),""))</f>
        <v/>
      </c>
      <c r="H3169" s="32">
        <f>IF(B3169="","",IFERROR(INDEX(Client_List!$J:$J,MATCH(VALUE(B3169),Client_List!$A:$A,0)),""))</f>
        <v/>
      </c>
      <c r="I3169" s="70">
        <f>IF(B3169="","",IFERROR(A3169-LOOKUP(2,1/($B$4:$B3168=B3169),$A$4:$A3168),""))</f>
        <v/>
      </c>
      <c r="J3169" s="32">
        <f>IF(B3169="","",IFERROR(D3169/I3169,""))</f>
        <v/>
      </c>
      <c r="K3169" s="71">
        <f>IF(B3169="","",IFERROR(AVERAGEIFS($J$4:$J3169,$B$4:$B3169,B3169,$J$4:$J3169,"&gt;"&amp;0),""))</f>
        <v/>
      </c>
      <c r="L3169" s="11" t="n"/>
    </row>
    <row r="3170" ht="14" customHeight="1" s="72">
      <c r="A3170" s="83" t="n"/>
      <c r="B3170" s="81" t="n"/>
      <c r="C3170" s="69">
        <f>IF(B3170="","",IFERROR(INDEX(Client_List!$B:$B,MATCH(B3170,Client_List!$A:$A,0)),"⚠ NOT FOUND"))</f>
        <v/>
      </c>
      <c r="D3170" s="45" t="n"/>
      <c r="E3170" s="32">
        <f>IF(B3170="","",IFERROR(INDEX(Client_List!$C:$C,MATCH(VALUE(B3170),Client_List!$A:$A,0)),""))</f>
        <v/>
      </c>
      <c r="F3170" s="53">
        <f>IF(B3170="","",IFERROR(INDEX(Client_List!$D:$D,MATCH(VALUE(B3170),Client_List!$A:$A,0)),""))</f>
        <v/>
      </c>
      <c r="G3170" s="53">
        <f>IF(B3170="","",IFERROR(INDEX(Client_List!$K:$K,MATCH(VALUE(B3170),Client_List!$A:$A,0)),""))</f>
        <v/>
      </c>
      <c r="H3170" s="32">
        <f>IF(B3170="","",IFERROR(INDEX(Client_List!$J:$J,MATCH(VALUE(B3170),Client_List!$A:$A,0)),""))</f>
        <v/>
      </c>
      <c r="I3170" s="70">
        <f>IF(B3170="","",IFERROR(A3170-LOOKUP(2,1/($B$4:$B3169=B3170),$A$4:$A3169),""))</f>
        <v/>
      </c>
      <c r="J3170" s="32">
        <f>IF(B3170="","",IFERROR(D3170/I3170,""))</f>
        <v/>
      </c>
      <c r="K3170" s="71">
        <f>IF(B3170="","",IFERROR(AVERAGEIFS($J$4:$J3170,$B$4:$B3170,B3170,$J$4:$J3170,"&gt;"&amp;0),""))</f>
        <v/>
      </c>
      <c r="L3170" s="12" t="n"/>
    </row>
    <row r="3171" ht="14" customHeight="1" s="72">
      <c r="A3171" s="82" t="n"/>
      <c r="B3171" s="79" t="n"/>
      <c r="C3171" s="69">
        <f>IF(B3171="","",IFERROR(INDEX(Client_List!$B:$B,MATCH(B3171,Client_List!$A:$A,0)),"⚠ NOT FOUND"))</f>
        <v/>
      </c>
      <c r="D3171" s="44" t="n"/>
      <c r="E3171" s="32">
        <f>IF(B3171="","",IFERROR(INDEX(Client_List!$C:$C,MATCH(VALUE(B3171),Client_List!$A:$A,0)),""))</f>
        <v/>
      </c>
      <c r="F3171" s="53">
        <f>IF(B3171="","",IFERROR(INDEX(Client_List!$D:$D,MATCH(VALUE(B3171),Client_List!$A:$A,0)),""))</f>
        <v/>
      </c>
      <c r="G3171" s="53">
        <f>IF(B3171="","",IFERROR(INDEX(Client_List!$K:$K,MATCH(VALUE(B3171),Client_List!$A:$A,0)),""))</f>
        <v/>
      </c>
      <c r="H3171" s="32">
        <f>IF(B3171="","",IFERROR(INDEX(Client_List!$J:$J,MATCH(VALUE(B3171),Client_List!$A:$A,0)),""))</f>
        <v/>
      </c>
      <c r="I3171" s="70">
        <f>IF(B3171="","",IFERROR(A3171-LOOKUP(2,1/($B$4:$B3170=B3171),$A$4:$A3170),""))</f>
        <v/>
      </c>
      <c r="J3171" s="32">
        <f>IF(B3171="","",IFERROR(D3171/I3171,""))</f>
        <v/>
      </c>
      <c r="K3171" s="71">
        <f>IF(B3171="","",IFERROR(AVERAGEIFS($J$4:$J3171,$B$4:$B3171,B3171,$J$4:$J3171,"&gt;"&amp;0),""))</f>
        <v/>
      </c>
      <c r="L3171" s="11" t="n"/>
    </row>
    <row r="3172" ht="14" customHeight="1" s="72">
      <c r="A3172" s="83" t="n"/>
      <c r="B3172" s="81" t="n"/>
      <c r="C3172" s="69">
        <f>IF(B3172="","",IFERROR(INDEX(Client_List!$B:$B,MATCH(B3172,Client_List!$A:$A,0)),"⚠ NOT FOUND"))</f>
        <v/>
      </c>
      <c r="D3172" s="45" t="n"/>
      <c r="E3172" s="32">
        <f>IF(B3172="","",IFERROR(INDEX(Client_List!$C:$C,MATCH(VALUE(B3172),Client_List!$A:$A,0)),""))</f>
        <v/>
      </c>
      <c r="F3172" s="53">
        <f>IF(B3172="","",IFERROR(INDEX(Client_List!$D:$D,MATCH(VALUE(B3172),Client_List!$A:$A,0)),""))</f>
        <v/>
      </c>
      <c r="G3172" s="53">
        <f>IF(B3172="","",IFERROR(INDEX(Client_List!$K:$K,MATCH(VALUE(B3172),Client_List!$A:$A,0)),""))</f>
        <v/>
      </c>
      <c r="H3172" s="32">
        <f>IF(B3172="","",IFERROR(INDEX(Client_List!$J:$J,MATCH(VALUE(B3172),Client_List!$A:$A,0)),""))</f>
        <v/>
      </c>
      <c r="I3172" s="70">
        <f>IF(B3172="","",IFERROR(A3172-LOOKUP(2,1/($B$4:$B3171=B3172),$A$4:$A3171),""))</f>
        <v/>
      </c>
      <c r="J3172" s="32">
        <f>IF(B3172="","",IFERROR(D3172/I3172,""))</f>
        <v/>
      </c>
      <c r="K3172" s="71">
        <f>IF(B3172="","",IFERROR(AVERAGEIFS($J$4:$J3172,$B$4:$B3172,B3172,$J$4:$J3172,"&gt;"&amp;0),""))</f>
        <v/>
      </c>
      <c r="L3172" s="12" t="n"/>
    </row>
    <row r="3173" ht="14" customHeight="1" s="72">
      <c r="A3173" s="82" t="n"/>
      <c r="B3173" s="79" t="n"/>
      <c r="C3173" s="69">
        <f>IF(B3173="","",IFERROR(INDEX(Client_List!$B:$B,MATCH(B3173,Client_List!$A:$A,0)),"⚠ NOT FOUND"))</f>
        <v/>
      </c>
      <c r="D3173" s="44" t="n"/>
      <c r="E3173" s="32">
        <f>IF(B3173="","",IFERROR(INDEX(Client_List!$C:$C,MATCH(VALUE(B3173),Client_List!$A:$A,0)),""))</f>
        <v/>
      </c>
      <c r="F3173" s="53">
        <f>IF(B3173="","",IFERROR(INDEX(Client_List!$D:$D,MATCH(VALUE(B3173),Client_List!$A:$A,0)),""))</f>
        <v/>
      </c>
      <c r="G3173" s="53">
        <f>IF(B3173="","",IFERROR(INDEX(Client_List!$K:$K,MATCH(VALUE(B3173),Client_List!$A:$A,0)),""))</f>
        <v/>
      </c>
      <c r="H3173" s="32">
        <f>IF(B3173="","",IFERROR(INDEX(Client_List!$J:$J,MATCH(VALUE(B3173),Client_List!$A:$A,0)),""))</f>
        <v/>
      </c>
      <c r="I3173" s="70">
        <f>IF(B3173="","",IFERROR(A3173-LOOKUP(2,1/($B$4:$B3172=B3173),$A$4:$A3172),""))</f>
        <v/>
      </c>
      <c r="J3173" s="32">
        <f>IF(B3173="","",IFERROR(D3173/I3173,""))</f>
        <v/>
      </c>
      <c r="K3173" s="71">
        <f>IF(B3173="","",IFERROR(AVERAGEIFS($J$4:$J3173,$B$4:$B3173,B3173,$J$4:$J3173,"&gt;"&amp;0),""))</f>
        <v/>
      </c>
      <c r="L3173" s="11" t="n"/>
    </row>
    <row r="3174" ht="14" customHeight="1" s="72">
      <c r="A3174" s="83" t="n"/>
      <c r="B3174" s="81" t="n"/>
      <c r="C3174" s="69">
        <f>IF(B3174="","",IFERROR(INDEX(Client_List!$B:$B,MATCH(B3174,Client_List!$A:$A,0)),"⚠ NOT FOUND"))</f>
        <v/>
      </c>
      <c r="D3174" s="45" t="n"/>
      <c r="E3174" s="32">
        <f>IF(B3174="","",IFERROR(INDEX(Client_List!$C:$C,MATCH(VALUE(B3174),Client_List!$A:$A,0)),""))</f>
        <v/>
      </c>
      <c r="F3174" s="53">
        <f>IF(B3174="","",IFERROR(INDEX(Client_List!$D:$D,MATCH(VALUE(B3174),Client_List!$A:$A,0)),""))</f>
        <v/>
      </c>
      <c r="G3174" s="53">
        <f>IF(B3174="","",IFERROR(INDEX(Client_List!$K:$K,MATCH(VALUE(B3174),Client_List!$A:$A,0)),""))</f>
        <v/>
      </c>
      <c r="H3174" s="32">
        <f>IF(B3174="","",IFERROR(INDEX(Client_List!$J:$J,MATCH(VALUE(B3174),Client_List!$A:$A,0)),""))</f>
        <v/>
      </c>
      <c r="I3174" s="70">
        <f>IF(B3174="","",IFERROR(A3174-LOOKUP(2,1/($B$4:$B3173=B3174),$A$4:$A3173),""))</f>
        <v/>
      </c>
      <c r="J3174" s="32">
        <f>IF(B3174="","",IFERROR(D3174/I3174,""))</f>
        <v/>
      </c>
      <c r="K3174" s="71">
        <f>IF(B3174="","",IFERROR(AVERAGEIFS($J$4:$J3174,$B$4:$B3174,B3174,$J$4:$J3174,"&gt;"&amp;0),""))</f>
        <v/>
      </c>
      <c r="L3174" s="12" t="n"/>
    </row>
    <row r="3175" ht="14" customHeight="1" s="72">
      <c r="A3175" s="82" t="n"/>
      <c r="B3175" s="79" t="n"/>
      <c r="C3175" s="69">
        <f>IF(B3175="","",IFERROR(INDEX(Client_List!$B:$B,MATCH(B3175,Client_List!$A:$A,0)),"⚠ NOT FOUND"))</f>
        <v/>
      </c>
      <c r="D3175" s="44" t="n"/>
      <c r="E3175" s="32">
        <f>IF(B3175="","",IFERROR(INDEX(Client_List!$C:$C,MATCH(VALUE(B3175),Client_List!$A:$A,0)),""))</f>
        <v/>
      </c>
      <c r="F3175" s="53">
        <f>IF(B3175="","",IFERROR(INDEX(Client_List!$D:$D,MATCH(VALUE(B3175),Client_List!$A:$A,0)),""))</f>
        <v/>
      </c>
      <c r="G3175" s="53">
        <f>IF(B3175="","",IFERROR(INDEX(Client_List!$K:$K,MATCH(VALUE(B3175),Client_List!$A:$A,0)),""))</f>
        <v/>
      </c>
      <c r="H3175" s="32">
        <f>IF(B3175="","",IFERROR(INDEX(Client_List!$J:$J,MATCH(VALUE(B3175),Client_List!$A:$A,0)),""))</f>
        <v/>
      </c>
      <c r="I3175" s="70">
        <f>IF(B3175="","",IFERROR(A3175-LOOKUP(2,1/($B$4:$B3174=B3175),$A$4:$A3174),""))</f>
        <v/>
      </c>
      <c r="J3175" s="32">
        <f>IF(B3175="","",IFERROR(D3175/I3175,""))</f>
        <v/>
      </c>
      <c r="K3175" s="71">
        <f>IF(B3175="","",IFERROR(AVERAGEIFS($J$4:$J3175,$B$4:$B3175,B3175,$J$4:$J3175,"&gt;"&amp;0),""))</f>
        <v/>
      </c>
      <c r="L3175" s="11" t="n"/>
    </row>
    <row r="3176" ht="14" customHeight="1" s="72">
      <c r="A3176" s="83" t="n"/>
      <c r="B3176" s="81" t="n"/>
      <c r="C3176" s="69">
        <f>IF(B3176="","",IFERROR(INDEX(Client_List!$B:$B,MATCH(B3176,Client_List!$A:$A,0)),"⚠ NOT FOUND"))</f>
        <v/>
      </c>
      <c r="D3176" s="45" t="n"/>
      <c r="E3176" s="32">
        <f>IF(B3176="","",IFERROR(INDEX(Client_List!$C:$C,MATCH(VALUE(B3176),Client_List!$A:$A,0)),""))</f>
        <v/>
      </c>
      <c r="F3176" s="53">
        <f>IF(B3176="","",IFERROR(INDEX(Client_List!$D:$D,MATCH(VALUE(B3176),Client_List!$A:$A,0)),""))</f>
        <v/>
      </c>
      <c r="G3176" s="53">
        <f>IF(B3176="","",IFERROR(INDEX(Client_List!$K:$K,MATCH(VALUE(B3176),Client_List!$A:$A,0)),""))</f>
        <v/>
      </c>
      <c r="H3176" s="32">
        <f>IF(B3176="","",IFERROR(INDEX(Client_List!$J:$J,MATCH(VALUE(B3176),Client_List!$A:$A,0)),""))</f>
        <v/>
      </c>
      <c r="I3176" s="70">
        <f>IF(B3176="","",IFERROR(A3176-LOOKUP(2,1/($B$4:$B3175=B3176),$A$4:$A3175),""))</f>
        <v/>
      </c>
      <c r="J3176" s="32">
        <f>IF(B3176="","",IFERROR(D3176/I3176,""))</f>
        <v/>
      </c>
      <c r="K3176" s="71">
        <f>IF(B3176="","",IFERROR(AVERAGEIFS($J$4:$J3176,$B$4:$B3176,B3176,$J$4:$J3176,"&gt;"&amp;0),""))</f>
        <v/>
      </c>
      <c r="L3176" s="12" t="n"/>
    </row>
    <row r="3177" ht="14" customHeight="1" s="72">
      <c r="A3177" s="82" t="n"/>
      <c r="B3177" s="79" t="n"/>
      <c r="C3177" s="69">
        <f>IF(B3177="","",IFERROR(INDEX(Client_List!$B:$B,MATCH(B3177,Client_List!$A:$A,0)),"⚠ NOT FOUND"))</f>
        <v/>
      </c>
      <c r="D3177" s="44" t="n"/>
      <c r="E3177" s="32">
        <f>IF(B3177="","",IFERROR(INDEX(Client_List!$C:$C,MATCH(VALUE(B3177),Client_List!$A:$A,0)),""))</f>
        <v/>
      </c>
      <c r="F3177" s="53">
        <f>IF(B3177="","",IFERROR(INDEX(Client_List!$D:$D,MATCH(VALUE(B3177),Client_List!$A:$A,0)),""))</f>
        <v/>
      </c>
      <c r="G3177" s="53">
        <f>IF(B3177="","",IFERROR(INDEX(Client_List!$K:$K,MATCH(VALUE(B3177),Client_List!$A:$A,0)),""))</f>
        <v/>
      </c>
      <c r="H3177" s="32">
        <f>IF(B3177="","",IFERROR(INDEX(Client_List!$J:$J,MATCH(VALUE(B3177),Client_List!$A:$A,0)),""))</f>
        <v/>
      </c>
      <c r="I3177" s="70">
        <f>IF(B3177="","",IFERROR(A3177-LOOKUP(2,1/($B$4:$B3176=B3177),$A$4:$A3176),""))</f>
        <v/>
      </c>
      <c r="J3177" s="32">
        <f>IF(B3177="","",IFERROR(D3177/I3177,""))</f>
        <v/>
      </c>
      <c r="K3177" s="71">
        <f>IF(B3177="","",IFERROR(AVERAGEIFS($J$4:$J3177,$B$4:$B3177,B3177,$J$4:$J3177,"&gt;"&amp;0),""))</f>
        <v/>
      </c>
      <c r="L3177" s="11" t="n"/>
    </row>
    <row r="3178" ht="14" customHeight="1" s="72">
      <c r="A3178" s="83" t="n"/>
      <c r="B3178" s="81" t="n"/>
      <c r="C3178" s="69">
        <f>IF(B3178="","",IFERROR(INDEX(Client_List!$B:$B,MATCH(B3178,Client_List!$A:$A,0)),"⚠ NOT FOUND"))</f>
        <v/>
      </c>
      <c r="D3178" s="45" t="n"/>
      <c r="E3178" s="32">
        <f>IF(B3178="","",IFERROR(INDEX(Client_List!$C:$C,MATCH(VALUE(B3178),Client_List!$A:$A,0)),""))</f>
        <v/>
      </c>
      <c r="F3178" s="53">
        <f>IF(B3178="","",IFERROR(INDEX(Client_List!$D:$D,MATCH(VALUE(B3178),Client_List!$A:$A,0)),""))</f>
        <v/>
      </c>
      <c r="G3178" s="53">
        <f>IF(B3178="","",IFERROR(INDEX(Client_List!$K:$K,MATCH(VALUE(B3178),Client_List!$A:$A,0)),""))</f>
        <v/>
      </c>
      <c r="H3178" s="32">
        <f>IF(B3178="","",IFERROR(INDEX(Client_List!$J:$J,MATCH(VALUE(B3178),Client_List!$A:$A,0)),""))</f>
        <v/>
      </c>
      <c r="I3178" s="70">
        <f>IF(B3178="","",IFERROR(A3178-LOOKUP(2,1/($B$4:$B3177=B3178),$A$4:$A3177),""))</f>
        <v/>
      </c>
      <c r="J3178" s="32">
        <f>IF(B3178="","",IFERROR(D3178/I3178,""))</f>
        <v/>
      </c>
      <c r="K3178" s="71">
        <f>IF(B3178="","",IFERROR(AVERAGEIFS($J$4:$J3178,$B$4:$B3178,B3178,$J$4:$J3178,"&gt;"&amp;0),""))</f>
        <v/>
      </c>
      <c r="L3178" s="12" t="n"/>
    </row>
    <row r="3179" ht="14" customHeight="1" s="72">
      <c r="A3179" s="82" t="n"/>
      <c r="B3179" s="79" t="n"/>
      <c r="C3179" s="69">
        <f>IF(B3179="","",IFERROR(INDEX(Client_List!$B:$B,MATCH(B3179,Client_List!$A:$A,0)),"⚠ NOT FOUND"))</f>
        <v/>
      </c>
      <c r="D3179" s="44" t="n"/>
      <c r="E3179" s="32">
        <f>IF(B3179="","",IFERROR(INDEX(Client_List!$C:$C,MATCH(VALUE(B3179),Client_List!$A:$A,0)),""))</f>
        <v/>
      </c>
      <c r="F3179" s="53">
        <f>IF(B3179="","",IFERROR(INDEX(Client_List!$D:$D,MATCH(VALUE(B3179),Client_List!$A:$A,0)),""))</f>
        <v/>
      </c>
      <c r="G3179" s="53">
        <f>IF(B3179="","",IFERROR(INDEX(Client_List!$K:$K,MATCH(VALUE(B3179),Client_List!$A:$A,0)),""))</f>
        <v/>
      </c>
      <c r="H3179" s="32">
        <f>IF(B3179="","",IFERROR(INDEX(Client_List!$J:$J,MATCH(VALUE(B3179),Client_List!$A:$A,0)),""))</f>
        <v/>
      </c>
      <c r="I3179" s="70">
        <f>IF(B3179="","",IFERROR(A3179-LOOKUP(2,1/($B$4:$B3178=B3179),$A$4:$A3178),""))</f>
        <v/>
      </c>
      <c r="J3179" s="32">
        <f>IF(B3179="","",IFERROR(D3179/I3179,""))</f>
        <v/>
      </c>
      <c r="K3179" s="71">
        <f>IF(B3179="","",IFERROR(AVERAGEIFS($J$4:$J3179,$B$4:$B3179,B3179,$J$4:$J3179,"&gt;"&amp;0),""))</f>
        <v/>
      </c>
      <c r="L3179" s="11" t="n"/>
    </row>
    <row r="3180" ht="14" customHeight="1" s="72">
      <c r="A3180" s="83" t="n"/>
      <c r="B3180" s="81" t="n"/>
      <c r="C3180" s="69">
        <f>IF(B3180="","",IFERROR(INDEX(Client_List!$B:$B,MATCH(B3180,Client_List!$A:$A,0)),"⚠ NOT FOUND"))</f>
        <v/>
      </c>
      <c r="D3180" s="45" t="n"/>
      <c r="E3180" s="32">
        <f>IF(B3180="","",IFERROR(INDEX(Client_List!$C:$C,MATCH(VALUE(B3180),Client_List!$A:$A,0)),""))</f>
        <v/>
      </c>
      <c r="F3180" s="53">
        <f>IF(B3180="","",IFERROR(INDEX(Client_List!$D:$D,MATCH(VALUE(B3180),Client_List!$A:$A,0)),""))</f>
        <v/>
      </c>
      <c r="G3180" s="53">
        <f>IF(B3180="","",IFERROR(INDEX(Client_List!$K:$K,MATCH(VALUE(B3180),Client_List!$A:$A,0)),""))</f>
        <v/>
      </c>
      <c r="H3180" s="32">
        <f>IF(B3180="","",IFERROR(INDEX(Client_List!$J:$J,MATCH(VALUE(B3180),Client_List!$A:$A,0)),""))</f>
        <v/>
      </c>
      <c r="I3180" s="70">
        <f>IF(B3180="","",IFERROR(A3180-LOOKUP(2,1/($B$4:$B3179=B3180),$A$4:$A3179),""))</f>
        <v/>
      </c>
      <c r="J3180" s="32">
        <f>IF(B3180="","",IFERROR(D3180/I3180,""))</f>
        <v/>
      </c>
      <c r="K3180" s="71">
        <f>IF(B3180="","",IFERROR(AVERAGEIFS($J$4:$J3180,$B$4:$B3180,B3180,$J$4:$J3180,"&gt;"&amp;0),""))</f>
        <v/>
      </c>
      <c r="L3180" s="12" t="n"/>
    </row>
    <row r="3181" ht="14" customHeight="1" s="72">
      <c r="A3181" s="82" t="n"/>
      <c r="B3181" s="79" t="n"/>
      <c r="C3181" s="69">
        <f>IF(B3181="","",IFERROR(INDEX(Client_List!$B:$B,MATCH(B3181,Client_List!$A:$A,0)),"⚠ NOT FOUND"))</f>
        <v/>
      </c>
      <c r="D3181" s="44" t="n"/>
      <c r="E3181" s="32">
        <f>IF(B3181="","",IFERROR(INDEX(Client_List!$C:$C,MATCH(VALUE(B3181),Client_List!$A:$A,0)),""))</f>
        <v/>
      </c>
      <c r="F3181" s="53">
        <f>IF(B3181="","",IFERROR(INDEX(Client_List!$D:$D,MATCH(VALUE(B3181),Client_List!$A:$A,0)),""))</f>
        <v/>
      </c>
      <c r="G3181" s="53">
        <f>IF(B3181="","",IFERROR(INDEX(Client_List!$K:$K,MATCH(VALUE(B3181),Client_List!$A:$A,0)),""))</f>
        <v/>
      </c>
      <c r="H3181" s="32">
        <f>IF(B3181="","",IFERROR(INDEX(Client_List!$J:$J,MATCH(VALUE(B3181),Client_List!$A:$A,0)),""))</f>
        <v/>
      </c>
      <c r="I3181" s="70">
        <f>IF(B3181="","",IFERROR(A3181-LOOKUP(2,1/($B$4:$B3180=B3181),$A$4:$A3180),""))</f>
        <v/>
      </c>
      <c r="J3181" s="32">
        <f>IF(B3181="","",IFERROR(D3181/I3181,""))</f>
        <v/>
      </c>
      <c r="K3181" s="71">
        <f>IF(B3181="","",IFERROR(AVERAGEIFS($J$4:$J3181,$B$4:$B3181,B3181,$J$4:$J3181,"&gt;"&amp;0),""))</f>
        <v/>
      </c>
      <c r="L3181" s="11" t="n"/>
    </row>
    <row r="3182" ht="14" customHeight="1" s="72">
      <c r="A3182" s="83" t="n"/>
      <c r="B3182" s="81" t="n"/>
      <c r="C3182" s="69">
        <f>IF(B3182="","",IFERROR(INDEX(Client_List!$B:$B,MATCH(B3182,Client_List!$A:$A,0)),"⚠ NOT FOUND"))</f>
        <v/>
      </c>
      <c r="D3182" s="45" t="n"/>
      <c r="E3182" s="32">
        <f>IF(B3182="","",IFERROR(INDEX(Client_List!$C:$C,MATCH(VALUE(B3182),Client_List!$A:$A,0)),""))</f>
        <v/>
      </c>
      <c r="F3182" s="53">
        <f>IF(B3182="","",IFERROR(INDEX(Client_List!$D:$D,MATCH(VALUE(B3182),Client_List!$A:$A,0)),""))</f>
        <v/>
      </c>
      <c r="G3182" s="53">
        <f>IF(B3182="","",IFERROR(INDEX(Client_List!$K:$K,MATCH(VALUE(B3182),Client_List!$A:$A,0)),""))</f>
        <v/>
      </c>
      <c r="H3182" s="32">
        <f>IF(B3182="","",IFERROR(INDEX(Client_List!$J:$J,MATCH(VALUE(B3182),Client_List!$A:$A,0)),""))</f>
        <v/>
      </c>
      <c r="I3182" s="70">
        <f>IF(B3182="","",IFERROR(A3182-LOOKUP(2,1/($B$4:$B3181=B3182),$A$4:$A3181),""))</f>
        <v/>
      </c>
      <c r="J3182" s="32">
        <f>IF(B3182="","",IFERROR(D3182/I3182,""))</f>
        <v/>
      </c>
      <c r="K3182" s="71">
        <f>IF(B3182="","",IFERROR(AVERAGEIFS($J$4:$J3182,$B$4:$B3182,B3182,$J$4:$J3182,"&gt;"&amp;0),""))</f>
        <v/>
      </c>
      <c r="L3182" s="12" t="n"/>
    </row>
    <row r="3183" ht="14" customHeight="1" s="72">
      <c r="A3183" s="82" t="n"/>
      <c r="B3183" s="79" t="n"/>
      <c r="C3183" s="69">
        <f>IF(B3183="","",IFERROR(INDEX(Client_List!$B:$B,MATCH(B3183,Client_List!$A:$A,0)),"⚠ NOT FOUND"))</f>
        <v/>
      </c>
      <c r="D3183" s="44" t="n"/>
      <c r="E3183" s="32">
        <f>IF(B3183="","",IFERROR(INDEX(Client_List!$C:$C,MATCH(VALUE(B3183),Client_List!$A:$A,0)),""))</f>
        <v/>
      </c>
      <c r="F3183" s="53">
        <f>IF(B3183="","",IFERROR(INDEX(Client_List!$D:$D,MATCH(VALUE(B3183),Client_List!$A:$A,0)),""))</f>
        <v/>
      </c>
      <c r="G3183" s="53">
        <f>IF(B3183="","",IFERROR(INDEX(Client_List!$K:$K,MATCH(VALUE(B3183),Client_List!$A:$A,0)),""))</f>
        <v/>
      </c>
      <c r="H3183" s="32">
        <f>IF(B3183="","",IFERROR(INDEX(Client_List!$J:$J,MATCH(VALUE(B3183),Client_List!$A:$A,0)),""))</f>
        <v/>
      </c>
      <c r="I3183" s="70">
        <f>IF(B3183="","",IFERROR(A3183-LOOKUP(2,1/($B$4:$B3182=B3183),$A$4:$A3182),""))</f>
        <v/>
      </c>
      <c r="J3183" s="32">
        <f>IF(B3183="","",IFERROR(D3183/I3183,""))</f>
        <v/>
      </c>
      <c r="K3183" s="71">
        <f>IF(B3183="","",IFERROR(AVERAGEIFS($J$4:$J3183,$B$4:$B3183,B3183,$J$4:$J3183,"&gt;"&amp;0),""))</f>
        <v/>
      </c>
      <c r="L3183" s="11" t="n"/>
    </row>
    <row r="3184" ht="14" customHeight="1" s="72">
      <c r="A3184" s="83" t="n"/>
      <c r="B3184" s="81" t="n"/>
      <c r="C3184" s="69">
        <f>IF(B3184="","",IFERROR(INDEX(Client_List!$B:$B,MATCH(B3184,Client_List!$A:$A,0)),"⚠ NOT FOUND"))</f>
        <v/>
      </c>
      <c r="D3184" s="45" t="n"/>
      <c r="E3184" s="32">
        <f>IF(B3184="","",IFERROR(INDEX(Client_List!$C:$C,MATCH(VALUE(B3184),Client_List!$A:$A,0)),""))</f>
        <v/>
      </c>
      <c r="F3184" s="53">
        <f>IF(B3184="","",IFERROR(INDEX(Client_List!$D:$D,MATCH(VALUE(B3184),Client_List!$A:$A,0)),""))</f>
        <v/>
      </c>
      <c r="G3184" s="53">
        <f>IF(B3184="","",IFERROR(INDEX(Client_List!$K:$K,MATCH(VALUE(B3184),Client_List!$A:$A,0)),""))</f>
        <v/>
      </c>
      <c r="H3184" s="32">
        <f>IF(B3184="","",IFERROR(INDEX(Client_List!$J:$J,MATCH(VALUE(B3184),Client_List!$A:$A,0)),""))</f>
        <v/>
      </c>
      <c r="I3184" s="70">
        <f>IF(B3184="","",IFERROR(A3184-LOOKUP(2,1/($B$4:$B3183=B3184),$A$4:$A3183),""))</f>
        <v/>
      </c>
      <c r="J3184" s="32">
        <f>IF(B3184="","",IFERROR(D3184/I3184,""))</f>
        <v/>
      </c>
      <c r="K3184" s="71">
        <f>IF(B3184="","",IFERROR(AVERAGEIFS($J$4:$J3184,$B$4:$B3184,B3184,$J$4:$J3184,"&gt;"&amp;0),""))</f>
        <v/>
      </c>
      <c r="L3184" s="12" t="n"/>
    </row>
    <row r="3185" ht="14" customHeight="1" s="72">
      <c r="A3185" s="82" t="n"/>
      <c r="B3185" s="79" t="n"/>
      <c r="C3185" s="69">
        <f>IF(B3185="","",IFERROR(INDEX(Client_List!$B:$B,MATCH(B3185,Client_List!$A:$A,0)),"⚠ NOT FOUND"))</f>
        <v/>
      </c>
      <c r="D3185" s="44" t="n"/>
      <c r="E3185" s="32">
        <f>IF(B3185="","",IFERROR(INDEX(Client_List!$C:$C,MATCH(VALUE(B3185),Client_List!$A:$A,0)),""))</f>
        <v/>
      </c>
      <c r="F3185" s="53">
        <f>IF(B3185="","",IFERROR(INDEX(Client_List!$D:$D,MATCH(VALUE(B3185),Client_List!$A:$A,0)),""))</f>
        <v/>
      </c>
      <c r="G3185" s="53">
        <f>IF(B3185="","",IFERROR(INDEX(Client_List!$K:$K,MATCH(VALUE(B3185),Client_List!$A:$A,0)),""))</f>
        <v/>
      </c>
      <c r="H3185" s="32">
        <f>IF(B3185="","",IFERROR(INDEX(Client_List!$J:$J,MATCH(VALUE(B3185),Client_List!$A:$A,0)),""))</f>
        <v/>
      </c>
      <c r="I3185" s="70">
        <f>IF(B3185="","",IFERROR(A3185-LOOKUP(2,1/($B$4:$B3184=B3185),$A$4:$A3184),""))</f>
        <v/>
      </c>
      <c r="J3185" s="32">
        <f>IF(B3185="","",IFERROR(D3185/I3185,""))</f>
        <v/>
      </c>
      <c r="K3185" s="71">
        <f>IF(B3185="","",IFERROR(AVERAGEIFS($J$4:$J3185,$B$4:$B3185,B3185,$J$4:$J3185,"&gt;"&amp;0),""))</f>
        <v/>
      </c>
      <c r="L3185" s="11" t="n"/>
    </row>
    <row r="3186" ht="14" customHeight="1" s="72">
      <c r="A3186" s="83" t="n"/>
      <c r="B3186" s="81" t="n"/>
      <c r="C3186" s="69">
        <f>IF(B3186="","",IFERROR(INDEX(Client_List!$B:$B,MATCH(B3186,Client_List!$A:$A,0)),"⚠ NOT FOUND"))</f>
        <v/>
      </c>
      <c r="D3186" s="45" t="n"/>
      <c r="E3186" s="32">
        <f>IF(B3186="","",IFERROR(INDEX(Client_List!$C:$C,MATCH(VALUE(B3186),Client_List!$A:$A,0)),""))</f>
        <v/>
      </c>
      <c r="F3186" s="53">
        <f>IF(B3186="","",IFERROR(INDEX(Client_List!$D:$D,MATCH(VALUE(B3186),Client_List!$A:$A,0)),""))</f>
        <v/>
      </c>
      <c r="G3186" s="53">
        <f>IF(B3186="","",IFERROR(INDEX(Client_List!$K:$K,MATCH(VALUE(B3186),Client_List!$A:$A,0)),""))</f>
        <v/>
      </c>
      <c r="H3186" s="32">
        <f>IF(B3186="","",IFERROR(INDEX(Client_List!$J:$J,MATCH(VALUE(B3186),Client_List!$A:$A,0)),""))</f>
        <v/>
      </c>
      <c r="I3186" s="70">
        <f>IF(B3186="","",IFERROR(A3186-LOOKUP(2,1/($B$4:$B3185=B3186),$A$4:$A3185),""))</f>
        <v/>
      </c>
      <c r="J3186" s="32">
        <f>IF(B3186="","",IFERROR(D3186/I3186,""))</f>
        <v/>
      </c>
      <c r="K3186" s="71">
        <f>IF(B3186="","",IFERROR(AVERAGEIFS($J$4:$J3186,$B$4:$B3186,B3186,$J$4:$J3186,"&gt;"&amp;0),""))</f>
        <v/>
      </c>
      <c r="L3186" s="12" t="n"/>
    </row>
    <row r="3187" ht="14" customHeight="1" s="72">
      <c r="A3187" s="82" t="n"/>
      <c r="B3187" s="79" t="n"/>
      <c r="C3187" s="69">
        <f>IF(B3187="","",IFERROR(INDEX(Client_List!$B:$B,MATCH(B3187,Client_List!$A:$A,0)),"⚠ NOT FOUND"))</f>
        <v/>
      </c>
      <c r="D3187" s="44" t="n"/>
      <c r="E3187" s="32">
        <f>IF(B3187="","",IFERROR(INDEX(Client_List!$C:$C,MATCH(VALUE(B3187),Client_List!$A:$A,0)),""))</f>
        <v/>
      </c>
      <c r="F3187" s="53">
        <f>IF(B3187="","",IFERROR(INDEX(Client_List!$D:$D,MATCH(VALUE(B3187),Client_List!$A:$A,0)),""))</f>
        <v/>
      </c>
      <c r="G3187" s="53">
        <f>IF(B3187="","",IFERROR(INDEX(Client_List!$K:$K,MATCH(VALUE(B3187),Client_List!$A:$A,0)),""))</f>
        <v/>
      </c>
      <c r="H3187" s="32">
        <f>IF(B3187="","",IFERROR(INDEX(Client_List!$J:$J,MATCH(VALUE(B3187),Client_List!$A:$A,0)),""))</f>
        <v/>
      </c>
      <c r="I3187" s="70">
        <f>IF(B3187="","",IFERROR(A3187-LOOKUP(2,1/($B$4:$B3186=B3187),$A$4:$A3186),""))</f>
        <v/>
      </c>
      <c r="J3187" s="32">
        <f>IF(B3187="","",IFERROR(D3187/I3187,""))</f>
        <v/>
      </c>
      <c r="K3187" s="71">
        <f>IF(B3187="","",IFERROR(AVERAGEIFS($J$4:$J3187,$B$4:$B3187,B3187,$J$4:$J3187,"&gt;"&amp;0),""))</f>
        <v/>
      </c>
      <c r="L3187" s="11" t="n"/>
    </row>
    <row r="3188" ht="14" customHeight="1" s="72">
      <c r="A3188" s="83" t="n"/>
      <c r="B3188" s="81" t="n"/>
      <c r="C3188" s="69">
        <f>IF(B3188="","",IFERROR(INDEX(Client_List!$B:$B,MATCH(B3188,Client_List!$A:$A,0)),"⚠ NOT FOUND"))</f>
        <v/>
      </c>
      <c r="D3188" s="45" t="n"/>
      <c r="E3188" s="32">
        <f>IF(B3188="","",IFERROR(INDEX(Client_List!$C:$C,MATCH(VALUE(B3188),Client_List!$A:$A,0)),""))</f>
        <v/>
      </c>
      <c r="F3188" s="53">
        <f>IF(B3188="","",IFERROR(INDEX(Client_List!$D:$D,MATCH(VALUE(B3188),Client_List!$A:$A,0)),""))</f>
        <v/>
      </c>
      <c r="G3188" s="53">
        <f>IF(B3188="","",IFERROR(INDEX(Client_List!$K:$K,MATCH(VALUE(B3188),Client_List!$A:$A,0)),""))</f>
        <v/>
      </c>
      <c r="H3188" s="32">
        <f>IF(B3188="","",IFERROR(INDEX(Client_List!$J:$J,MATCH(VALUE(B3188),Client_List!$A:$A,0)),""))</f>
        <v/>
      </c>
      <c r="I3188" s="70">
        <f>IF(B3188="","",IFERROR(A3188-LOOKUP(2,1/($B$4:$B3187=B3188),$A$4:$A3187),""))</f>
        <v/>
      </c>
      <c r="J3188" s="32">
        <f>IF(B3188="","",IFERROR(D3188/I3188,""))</f>
        <v/>
      </c>
      <c r="K3188" s="71">
        <f>IF(B3188="","",IFERROR(AVERAGEIFS($J$4:$J3188,$B$4:$B3188,B3188,$J$4:$J3188,"&gt;"&amp;0),""))</f>
        <v/>
      </c>
      <c r="L3188" s="12" t="n"/>
    </row>
    <row r="3189" ht="14" customHeight="1" s="72">
      <c r="A3189" s="82" t="n"/>
      <c r="B3189" s="79" t="n"/>
      <c r="C3189" s="69">
        <f>IF(B3189="","",IFERROR(INDEX(Client_List!$B:$B,MATCH(B3189,Client_List!$A:$A,0)),"⚠ NOT FOUND"))</f>
        <v/>
      </c>
      <c r="D3189" s="44" t="n"/>
      <c r="E3189" s="32">
        <f>IF(B3189="","",IFERROR(INDEX(Client_List!$C:$C,MATCH(VALUE(B3189),Client_List!$A:$A,0)),""))</f>
        <v/>
      </c>
      <c r="F3189" s="53">
        <f>IF(B3189="","",IFERROR(INDEX(Client_List!$D:$D,MATCH(VALUE(B3189),Client_List!$A:$A,0)),""))</f>
        <v/>
      </c>
      <c r="G3189" s="53">
        <f>IF(B3189="","",IFERROR(INDEX(Client_List!$K:$K,MATCH(VALUE(B3189),Client_List!$A:$A,0)),""))</f>
        <v/>
      </c>
      <c r="H3189" s="32">
        <f>IF(B3189="","",IFERROR(INDEX(Client_List!$J:$J,MATCH(VALUE(B3189),Client_List!$A:$A,0)),""))</f>
        <v/>
      </c>
      <c r="I3189" s="70">
        <f>IF(B3189="","",IFERROR(A3189-LOOKUP(2,1/($B$4:$B3188=B3189),$A$4:$A3188),""))</f>
        <v/>
      </c>
      <c r="J3189" s="32">
        <f>IF(B3189="","",IFERROR(D3189/I3189,""))</f>
        <v/>
      </c>
      <c r="K3189" s="71">
        <f>IF(B3189="","",IFERROR(AVERAGEIFS($J$4:$J3189,$B$4:$B3189,B3189,$J$4:$J3189,"&gt;"&amp;0),""))</f>
        <v/>
      </c>
      <c r="L3189" s="11" t="n"/>
    </row>
    <row r="3190" ht="14" customHeight="1" s="72">
      <c r="A3190" s="83" t="n"/>
      <c r="B3190" s="81" t="n"/>
      <c r="C3190" s="69">
        <f>IF(B3190="","",IFERROR(INDEX(Client_List!$B:$B,MATCH(B3190,Client_List!$A:$A,0)),"⚠ NOT FOUND"))</f>
        <v/>
      </c>
      <c r="D3190" s="45" t="n"/>
      <c r="E3190" s="32">
        <f>IF(B3190="","",IFERROR(INDEX(Client_List!$C:$C,MATCH(VALUE(B3190),Client_List!$A:$A,0)),""))</f>
        <v/>
      </c>
      <c r="F3190" s="53">
        <f>IF(B3190="","",IFERROR(INDEX(Client_List!$D:$D,MATCH(VALUE(B3190),Client_List!$A:$A,0)),""))</f>
        <v/>
      </c>
      <c r="G3190" s="53">
        <f>IF(B3190="","",IFERROR(INDEX(Client_List!$K:$K,MATCH(VALUE(B3190),Client_List!$A:$A,0)),""))</f>
        <v/>
      </c>
      <c r="H3190" s="32">
        <f>IF(B3190="","",IFERROR(INDEX(Client_List!$J:$J,MATCH(VALUE(B3190),Client_List!$A:$A,0)),""))</f>
        <v/>
      </c>
      <c r="I3190" s="70">
        <f>IF(B3190="","",IFERROR(A3190-LOOKUP(2,1/($B$4:$B3189=B3190),$A$4:$A3189),""))</f>
        <v/>
      </c>
      <c r="J3190" s="32">
        <f>IF(B3190="","",IFERROR(D3190/I3190,""))</f>
        <v/>
      </c>
      <c r="K3190" s="71">
        <f>IF(B3190="","",IFERROR(AVERAGEIFS($J$4:$J3190,$B$4:$B3190,B3190,$J$4:$J3190,"&gt;"&amp;0),""))</f>
        <v/>
      </c>
      <c r="L3190" s="12" t="n"/>
    </row>
    <row r="3191" ht="14" customHeight="1" s="72">
      <c r="A3191" s="82" t="n"/>
      <c r="B3191" s="79" t="n"/>
      <c r="C3191" s="69">
        <f>IF(B3191="","",IFERROR(INDEX(Client_List!$B:$B,MATCH(B3191,Client_List!$A:$A,0)),"⚠ NOT FOUND"))</f>
        <v/>
      </c>
      <c r="D3191" s="44" t="n"/>
      <c r="E3191" s="32">
        <f>IF(B3191="","",IFERROR(INDEX(Client_List!$C:$C,MATCH(VALUE(B3191),Client_List!$A:$A,0)),""))</f>
        <v/>
      </c>
      <c r="F3191" s="53">
        <f>IF(B3191="","",IFERROR(INDEX(Client_List!$D:$D,MATCH(VALUE(B3191),Client_List!$A:$A,0)),""))</f>
        <v/>
      </c>
      <c r="G3191" s="53">
        <f>IF(B3191="","",IFERROR(INDEX(Client_List!$K:$K,MATCH(VALUE(B3191),Client_List!$A:$A,0)),""))</f>
        <v/>
      </c>
      <c r="H3191" s="32">
        <f>IF(B3191="","",IFERROR(INDEX(Client_List!$J:$J,MATCH(VALUE(B3191),Client_List!$A:$A,0)),""))</f>
        <v/>
      </c>
      <c r="I3191" s="70">
        <f>IF(B3191="","",IFERROR(A3191-LOOKUP(2,1/($B$4:$B3190=B3191),$A$4:$A3190),""))</f>
        <v/>
      </c>
      <c r="J3191" s="32">
        <f>IF(B3191="","",IFERROR(D3191/I3191,""))</f>
        <v/>
      </c>
      <c r="K3191" s="71">
        <f>IF(B3191="","",IFERROR(AVERAGEIFS($J$4:$J3191,$B$4:$B3191,B3191,$J$4:$J3191,"&gt;"&amp;0),""))</f>
        <v/>
      </c>
      <c r="L3191" s="11" t="n"/>
    </row>
    <row r="3192" ht="14" customHeight="1" s="72">
      <c r="A3192" s="83" t="n"/>
      <c r="B3192" s="81" t="n"/>
      <c r="C3192" s="69">
        <f>IF(B3192="","",IFERROR(INDEX(Client_List!$B:$B,MATCH(B3192,Client_List!$A:$A,0)),"⚠ NOT FOUND"))</f>
        <v/>
      </c>
      <c r="D3192" s="45" t="n"/>
      <c r="E3192" s="32">
        <f>IF(B3192="","",IFERROR(INDEX(Client_List!$C:$C,MATCH(VALUE(B3192),Client_List!$A:$A,0)),""))</f>
        <v/>
      </c>
      <c r="F3192" s="53">
        <f>IF(B3192="","",IFERROR(INDEX(Client_List!$D:$D,MATCH(VALUE(B3192),Client_List!$A:$A,0)),""))</f>
        <v/>
      </c>
      <c r="G3192" s="53">
        <f>IF(B3192="","",IFERROR(INDEX(Client_List!$K:$K,MATCH(VALUE(B3192),Client_List!$A:$A,0)),""))</f>
        <v/>
      </c>
      <c r="H3192" s="32">
        <f>IF(B3192="","",IFERROR(INDEX(Client_List!$J:$J,MATCH(VALUE(B3192),Client_List!$A:$A,0)),""))</f>
        <v/>
      </c>
      <c r="I3192" s="70">
        <f>IF(B3192="","",IFERROR(A3192-LOOKUP(2,1/($B$4:$B3191=B3192),$A$4:$A3191),""))</f>
        <v/>
      </c>
      <c r="J3192" s="32">
        <f>IF(B3192="","",IFERROR(D3192/I3192,""))</f>
        <v/>
      </c>
      <c r="K3192" s="71">
        <f>IF(B3192="","",IFERROR(AVERAGEIFS($J$4:$J3192,$B$4:$B3192,B3192,$J$4:$J3192,"&gt;"&amp;0),""))</f>
        <v/>
      </c>
      <c r="L3192" s="12" t="n"/>
    </row>
    <row r="3193" ht="14" customHeight="1" s="72">
      <c r="A3193" s="82" t="n"/>
      <c r="B3193" s="79" t="n"/>
      <c r="C3193" s="69">
        <f>IF(B3193="","",IFERROR(INDEX(Client_List!$B:$B,MATCH(B3193,Client_List!$A:$A,0)),"⚠ NOT FOUND"))</f>
        <v/>
      </c>
      <c r="D3193" s="44" t="n"/>
      <c r="E3193" s="32">
        <f>IF(B3193="","",IFERROR(INDEX(Client_List!$C:$C,MATCH(VALUE(B3193),Client_List!$A:$A,0)),""))</f>
        <v/>
      </c>
      <c r="F3193" s="53">
        <f>IF(B3193="","",IFERROR(INDEX(Client_List!$D:$D,MATCH(VALUE(B3193),Client_List!$A:$A,0)),""))</f>
        <v/>
      </c>
      <c r="G3193" s="53">
        <f>IF(B3193="","",IFERROR(INDEX(Client_List!$K:$K,MATCH(VALUE(B3193),Client_List!$A:$A,0)),""))</f>
        <v/>
      </c>
      <c r="H3193" s="32">
        <f>IF(B3193="","",IFERROR(INDEX(Client_List!$J:$J,MATCH(VALUE(B3193),Client_List!$A:$A,0)),""))</f>
        <v/>
      </c>
      <c r="I3193" s="70">
        <f>IF(B3193="","",IFERROR(A3193-LOOKUP(2,1/($B$4:$B3192=B3193),$A$4:$A3192),""))</f>
        <v/>
      </c>
      <c r="J3193" s="32">
        <f>IF(B3193="","",IFERROR(D3193/I3193,""))</f>
        <v/>
      </c>
      <c r="K3193" s="71">
        <f>IF(B3193="","",IFERROR(AVERAGEIFS($J$4:$J3193,$B$4:$B3193,B3193,$J$4:$J3193,"&gt;"&amp;0),""))</f>
        <v/>
      </c>
      <c r="L3193" s="11" t="n"/>
    </row>
    <row r="3194" ht="14" customHeight="1" s="72">
      <c r="A3194" s="83" t="n"/>
      <c r="B3194" s="81" t="n"/>
      <c r="C3194" s="69">
        <f>IF(B3194="","",IFERROR(INDEX(Client_List!$B:$B,MATCH(B3194,Client_List!$A:$A,0)),"⚠ NOT FOUND"))</f>
        <v/>
      </c>
      <c r="D3194" s="45" t="n"/>
      <c r="E3194" s="32">
        <f>IF(B3194="","",IFERROR(INDEX(Client_List!$C:$C,MATCH(VALUE(B3194),Client_List!$A:$A,0)),""))</f>
        <v/>
      </c>
      <c r="F3194" s="53">
        <f>IF(B3194="","",IFERROR(INDEX(Client_List!$D:$D,MATCH(VALUE(B3194),Client_List!$A:$A,0)),""))</f>
        <v/>
      </c>
      <c r="G3194" s="53">
        <f>IF(B3194="","",IFERROR(INDEX(Client_List!$K:$K,MATCH(VALUE(B3194),Client_List!$A:$A,0)),""))</f>
        <v/>
      </c>
      <c r="H3194" s="32">
        <f>IF(B3194="","",IFERROR(INDEX(Client_List!$J:$J,MATCH(VALUE(B3194),Client_List!$A:$A,0)),""))</f>
        <v/>
      </c>
      <c r="I3194" s="70">
        <f>IF(B3194="","",IFERROR(A3194-LOOKUP(2,1/($B$4:$B3193=B3194),$A$4:$A3193),""))</f>
        <v/>
      </c>
      <c r="J3194" s="32">
        <f>IF(B3194="","",IFERROR(D3194/I3194,""))</f>
        <v/>
      </c>
      <c r="K3194" s="71">
        <f>IF(B3194="","",IFERROR(AVERAGEIFS($J$4:$J3194,$B$4:$B3194,B3194,$J$4:$J3194,"&gt;"&amp;0),""))</f>
        <v/>
      </c>
      <c r="L3194" s="12" t="n"/>
    </row>
    <row r="3195" ht="14" customHeight="1" s="72">
      <c r="A3195" s="82" t="n"/>
      <c r="B3195" s="79" t="n"/>
      <c r="C3195" s="69">
        <f>IF(B3195="","",IFERROR(INDEX(Client_List!$B:$B,MATCH(B3195,Client_List!$A:$A,0)),"⚠ NOT FOUND"))</f>
        <v/>
      </c>
      <c r="D3195" s="44" t="n"/>
      <c r="E3195" s="32">
        <f>IF(B3195="","",IFERROR(INDEX(Client_List!$C:$C,MATCH(VALUE(B3195),Client_List!$A:$A,0)),""))</f>
        <v/>
      </c>
      <c r="F3195" s="53">
        <f>IF(B3195="","",IFERROR(INDEX(Client_List!$D:$D,MATCH(VALUE(B3195),Client_List!$A:$A,0)),""))</f>
        <v/>
      </c>
      <c r="G3195" s="53">
        <f>IF(B3195="","",IFERROR(INDEX(Client_List!$K:$K,MATCH(VALUE(B3195),Client_List!$A:$A,0)),""))</f>
        <v/>
      </c>
      <c r="H3195" s="32">
        <f>IF(B3195="","",IFERROR(INDEX(Client_List!$J:$J,MATCH(VALUE(B3195),Client_List!$A:$A,0)),""))</f>
        <v/>
      </c>
      <c r="I3195" s="70">
        <f>IF(B3195="","",IFERROR(A3195-LOOKUP(2,1/($B$4:$B3194=B3195),$A$4:$A3194),""))</f>
        <v/>
      </c>
      <c r="J3195" s="32">
        <f>IF(B3195="","",IFERROR(D3195/I3195,""))</f>
        <v/>
      </c>
      <c r="K3195" s="71">
        <f>IF(B3195="","",IFERROR(AVERAGEIFS($J$4:$J3195,$B$4:$B3195,B3195,$J$4:$J3195,"&gt;"&amp;0),""))</f>
        <v/>
      </c>
      <c r="L3195" s="11" t="n"/>
    </row>
    <row r="3196" ht="14" customHeight="1" s="72">
      <c r="A3196" s="83" t="n"/>
      <c r="B3196" s="81" t="n"/>
      <c r="C3196" s="69">
        <f>IF(B3196="","",IFERROR(INDEX(Client_List!$B:$B,MATCH(B3196,Client_List!$A:$A,0)),"⚠ NOT FOUND"))</f>
        <v/>
      </c>
      <c r="D3196" s="45" t="n"/>
      <c r="E3196" s="32">
        <f>IF(B3196="","",IFERROR(INDEX(Client_List!$C:$C,MATCH(VALUE(B3196),Client_List!$A:$A,0)),""))</f>
        <v/>
      </c>
      <c r="F3196" s="53">
        <f>IF(B3196="","",IFERROR(INDEX(Client_List!$D:$D,MATCH(VALUE(B3196),Client_List!$A:$A,0)),""))</f>
        <v/>
      </c>
      <c r="G3196" s="53">
        <f>IF(B3196="","",IFERROR(INDEX(Client_List!$K:$K,MATCH(VALUE(B3196),Client_List!$A:$A,0)),""))</f>
        <v/>
      </c>
      <c r="H3196" s="32">
        <f>IF(B3196="","",IFERROR(INDEX(Client_List!$J:$J,MATCH(VALUE(B3196),Client_List!$A:$A,0)),""))</f>
        <v/>
      </c>
      <c r="I3196" s="70">
        <f>IF(B3196="","",IFERROR(A3196-LOOKUP(2,1/($B$4:$B3195=B3196),$A$4:$A3195),""))</f>
        <v/>
      </c>
      <c r="J3196" s="32">
        <f>IF(B3196="","",IFERROR(D3196/I3196,""))</f>
        <v/>
      </c>
      <c r="K3196" s="71">
        <f>IF(B3196="","",IFERROR(AVERAGEIFS($J$4:$J3196,$B$4:$B3196,B3196,$J$4:$J3196,"&gt;"&amp;0),""))</f>
        <v/>
      </c>
      <c r="L3196" s="12" t="n"/>
    </row>
    <row r="3197" ht="14" customHeight="1" s="72">
      <c r="A3197" s="82" t="n"/>
      <c r="B3197" s="79" t="n"/>
      <c r="C3197" s="69">
        <f>IF(B3197="","",IFERROR(INDEX(Client_List!$B:$B,MATCH(B3197,Client_List!$A:$A,0)),"⚠ NOT FOUND"))</f>
        <v/>
      </c>
      <c r="D3197" s="44" t="n"/>
      <c r="E3197" s="32">
        <f>IF(B3197="","",IFERROR(INDEX(Client_List!$C:$C,MATCH(VALUE(B3197),Client_List!$A:$A,0)),""))</f>
        <v/>
      </c>
      <c r="F3197" s="53">
        <f>IF(B3197="","",IFERROR(INDEX(Client_List!$D:$D,MATCH(VALUE(B3197),Client_List!$A:$A,0)),""))</f>
        <v/>
      </c>
      <c r="G3197" s="53">
        <f>IF(B3197="","",IFERROR(INDEX(Client_List!$K:$K,MATCH(VALUE(B3197),Client_List!$A:$A,0)),""))</f>
        <v/>
      </c>
      <c r="H3197" s="32">
        <f>IF(B3197="","",IFERROR(INDEX(Client_List!$J:$J,MATCH(VALUE(B3197),Client_List!$A:$A,0)),""))</f>
        <v/>
      </c>
      <c r="I3197" s="70">
        <f>IF(B3197="","",IFERROR(A3197-LOOKUP(2,1/($B$4:$B3196=B3197),$A$4:$A3196),""))</f>
        <v/>
      </c>
      <c r="J3197" s="32">
        <f>IF(B3197="","",IFERROR(D3197/I3197,""))</f>
        <v/>
      </c>
      <c r="K3197" s="71">
        <f>IF(B3197="","",IFERROR(AVERAGEIFS($J$4:$J3197,$B$4:$B3197,B3197,$J$4:$J3197,"&gt;"&amp;0),""))</f>
        <v/>
      </c>
      <c r="L3197" s="11" t="n"/>
    </row>
    <row r="3198" ht="14" customHeight="1" s="72">
      <c r="A3198" s="83" t="n"/>
      <c r="B3198" s="81" t="n"/>
      <c r="C3198" s="69">
        <f>IF(B3198="","",IFERROR(INDEX(Client_List!$B:$B,MATCH(B3198,Client_List!$A:$A,0)),"⚠ NOT FOUND"))</f>
        <v/>
      </c>
      <c r="D3198" s="45" t="n"/>
      <c r="E3198" s="32">
        <f>IF(B3198="","",IFERROR(INDEX(Client_List!$C:$C,MATCH(VALUE(B3198),Client_List!$A:$A,0)),""))</f>
        <v/>
      </c>
      <c r="F3198" s="53">
        <f>IF(B3198="","",IFERROR(INDEX(Client_List!$D:$D,MATCH(VALUE(B3198),Client_List!$A:$A,0)),""))</f>
        <v/>
      </c>
      <c r="G3198" s="53">
        <f>IF(B3198="","",IFERROR(INDEX(Client_List!$K:$K,MATCH(VALUE(B3198),Client_List!$A:$A,0)),""))</f>
        <v/>
      </c>
      <c r="H3198" s="32">
        <f>IF(B3198="","",IFERROR(INDEX(Client_List!$J:$J,MATCH(VALUE(B3198),Client_List!$A:$A,0)),""))</f>
        <v/>
      </c>
      <c r="I3198" s="70">
        <f>IF(B3198="","",IFERROR(A3198-LOOKUP(2,1/($B$4:$B3197=B3198),$A$4:$A3197),""))</f>
        <v/>
      </c>
      <c r="J3198" s="32">
        <f>IF(B3198="","",IFERROR(D3198/I3198,""))</f>
        <v/>
      </c>
      <c r="K3198" s="71">
        <f>IF(B3198="","",IFERROR(AVERAGEIFS($J$4:$J3198,$B$4:$B3198,B3198,$J$4:$J3198,"&gt;"&amp;0),""))</f>
        <v/>
      </c>
      <c r="L3198" s="12" t="n"/>
    </row>
    <row r="3199" ht="14" customHeight="1" s="72">
      <c r="A3199" s="82" t="n"/>
      <c r="B3199" s="79" t="n"/>
      <c r="C3199" s="69">
        <f>IF(B3199="","",IFERROR(INDEX(Client_List!$B:$B,MATCH(B3199,Client_List!$A:$A,0)),"⚠ NOT FOUND"))</f>
        <v/>
      </c>
      <c r="D3199" s="44" t="n"/>
      <c r="E3199" s="32">
        <f>IF(B3199="","",IFERROR(INDEX(Client_List!$C:$C,MATCH(VALUE(B3199),Client_List!$A:$A,0)),""))</f>
        <v/>
      </c>
      <c r="F3199" s="53">
        <f>IF(B3199="","",IFERROR(INDEX(Client_List!$D:$D,MATCH(VALUE(B3199),Client_List!$A:$A,0)),""))</f>
        <v/>
      </c>
      <c r="G3199" s="53">
        <f>IF(B3199="","",IFERROR(INDEX(Client_List!$K:$K,MATCH(VALUE(B3199),Client_List!$A:$A,0)),""))</f>
        <v/>
      </c>
      <c r="H3199" s="32">
        <f>IF(B3199="","",IFERROR(INDEX(Client_List!$J:$J,MATCH(VALUE(B3199),Client_List!$A:$A,0)),""))</f>
        <v/>
      </c>
      <c r="I3199" s="70">
        <f>IF(B3199="","",IFERROR(A3199-LOOKUP(2,1/($B$4:$B3198=B3199),$A$4:$A3198),""))</f>
        <v/>
      </c>
      <c r="J3199" s="32">
        <f>IF(B3199="","",IFERROR(D3199/I3199,""))</f>
        <v/>
      </c>
      <c r="K3199" s="71">
        <f>IF(B3199="","",IFERROR(AVERAGEIFS($J$4:$J3199,$B$4:$B3199,B3199,$J$4:$J3199,"&gt;"&amp;0),""))</f>
        <v/>
      </c>
      <c r="L3199" s="11" t="n"/>
    </row>
    <row r="3200" ht="14" customHeight="1" s="72">
      <c r="A3200" s="83" t="n"/>
      <c r="B3200" s="81" t="n"/>
      <c r="C3200" s="69">
        <f>IF(B3200="","",IFERROR(INDEX(Client_List!$B:$B,MATCH(B3200,Client_List!$A:$A,0)),"⚠ NOT FOUND"))</f>
        <v/>
      </c>
      <c r="D3200" s="45" t="n"/>
      <c r="E3200" s="32">
        <f>IF(B3200="","",IFERROR(INDEX(Client_List!$C:$C,MATCH(VALUE(B3200),Client_List!$A:$A,0)),""))</f>
        <v/>
      </c>
      <c r="F3200" s="53">
        <f>IF(B3200="","",IFERROR(INDEX(Client_List!$D:$D,MATCH(VALUE(B3200),Client_List!$A:$A,0)),""))</f>
        <v/>
      </c>
      <c r="G3200" s="53">
        <f>IF(B3200="","",IFERROR(INDEX(Client_List!$K:$K,MATCH(VALUE(B3200),Client_List!$A:$A,0)),""))</f>
        <v/>
      </c>
      <c r="H3200" s="32">
        <f>IF(B3200="","",IFERROR(INDEX(Client_List!$J:$J,MATCH(VALUE(B3200),Client_List!$A:$A,0)),""))</f>
        <v/>
      </c>
      <c r="I3200" s="70">
        <f>IF(B3200="","",IFERROR(A3200-LOOKUP(2,1/($B$4:$B3199=B3200),$A$4:$A3199),""))</f>
        <v/>
      </c>
      <c r="J3200" s="32">
        <f>IF(B3200="","",IFERROR(D3200/I3200,""))</f>
        <v/>
      </c>
      <c r="K3200" s="71">
        <f>IF(B3200="","",IFERROR(AVERAGEIFS($J$4:$J3200,$B$4:$B3200,B3200,$J$4:$J3200,"&gt;"&amp;0),""))</f>
        <v/>
      </c>
      <c r="L3200" s="12" t="n"/>
    </row>
    <row r="3201" ht="14" customHeight="1" s="72">
      <c r="A3201" s="82" t="n"/>
      <c r="B3201" s="79" t="n"/>
      <c r="C3201" s="69">
        <f>IF(B3201="","",IFERROR(INDEX(Client_List!$B:$B,MATCH(B3201,Client_List!$A:$A,0)),"⚠ NOT FOUND"))</f>
        <v/>
      </c>
      <c r="D3201" s="44" t="n"/>
      <c r="E3201" s="32">
        <f>IF(B3201="","",IFERROR(INDEX(Client_List!$C:$C,MATCH(VALUE(B3201),Client_List!$A:$A,0)),""))</f>
        <v/>
      </c>
      <c r="F3201" s="53">
        <f>IF(B3201="","",IFERROR(INDEX(Client_List!$D:$D,MATCH(VALUE(B3201),Client_List!$A:$A,0)),""))</f>
        <v/>
      </c>
      <c r="G3201" s="53">
        <f>IF(B3201="","",IFERROR(INDEX(Client_List!$K:$K,MATCH(VALUE(B3201),Client_List!$A:$A,0)),""))</f>
        <v/>
      </c>
      <c r="H3201" s="32">
        <f>IF(B3201="","",IFERROR(INDEX(Client_List!$J:$J,MATCH(VALUE(B3201),Client_List!$A:$A,0)),""))</f>
        <v/>
      </c>
      <c r="I3201" s="70">
        <f>IF(B3201="","",IFERROR(A3201-LOOKUP(2,1/($B$4:$B3200=B3201),$A$4:$A3200),""))</f>
        <v/>
      </c>
      <c r="J3201" s="32">
        <f>IF(B3201="","",IFERROR(D3201/I3201,""))</f>
        <v/>
      </c>
      <c r="K3201" s="71">
        <f>IF(B3201="","",IFERROR(AVERAGEIFS($J$4:$J3201,$B$4:$B3201,B3201,$J$4:$J3201,"&gt;"&amp;0),""))</f>
        <v/>
      </c>
      <c r="L3201" s="11" t="n"/>
    </row>
    <row r="3202" ht="14" customHeight="1" s="72">
      <c r="A3202" s="83" t="n"/>
      <c r="B3202" s="81" t="n"/>
      <c r="C3202" s="69">
        <f>IF(B3202="","",IFERROR(INDEX(Client_List!$B:$B,MATCH(B3202,Client_List!$A:$A,0)),"⚠ NOT FOUND"))</f>
        <v/>
      </c>
      <c r="D3202" s="45" t="n"/>
      <c r="E3202" s="32">
        <f>IF(B3202="","",IFERROR(INDEX(Client_List!$C:$C,MATCH(VALUE(B3202),Client_List!$A:$A,0)),""))</f>
        <v/>
      </c>
      <c r="F3202" s="53">
        <f>IF(B3202="","",IFERROR(INDEX(Client_List!$D:$D,MATCH(VALUE(B3202),Client_List!$A:$A,0)),""))</f>
        <v/>
      </c>
      <c r="G3202" s="53">
        <f>IF(B3202="","",IFERROR(INDEX(Client_List!$K:$K,MATCH(VALUE(B3202),Client_List!$A:$A,0)),""))</f>
        <v/>
      </c>
      <c r="H3202" s="32">
        <f>IF(B3202="","",IFERROR(INDEX(Client_List!$J:$J,MATCH(VALUE(B3202),Client_List!$A:$A,0)),""))</f>
        <v/>
      </c>
      <c r="I3202" s="70">
        <f>IF(B3202="","",IFERROR(A3202-LOOKUP(2,1/($B$4:$B3201=B3202),$A$4:$A3201),""))</f>
        <v/>
      </c>
      <c r="J3202" s="32">
        <f>IF(B3202="","",IFERROR(D3202/I3202,""))</f>
        <v/>
      </c>
      <c r="K3202" s="71">
        <f>IF(B3202="","",IFERROR(AVERAGEIFS($J$4:$J3202,$B$4:$B3202,B3202,$J$4:$J3202,"&gt;"&amp;0),""))</f>
        <v/>
      </c>
      <c r="L3202" s="12" t="n"/>
    </row>
    <row r="3203" ht="14" customHeight="1" s="72">
      <c r="A3203" s="82" t="n"/>
      <c r="B3203" s="79" t="n"/>
      <c r="C3203" s="69">
        <f>IF(B3203="","",IFERROR(INDEX(Client_List!$B:$B,MATCH(B3203,Client_List!$A:$A,0)),"⚠ NOT FOUND"))</f>
        <v/>
      </c>
      <c r="D3203" s="44" t="n"/>
      <c r="E3203" s="32">
        <f>IF(B3203="","",IFERROR(INDEX(Client_List!$C:$C,MATCH(VALUE(B3203),Client_List!$A:$A,0)),""))</f>
        <v/>
      </c>
      <c r="F3203" s="53">
        <f>IF(B3203="","",IFERROR(INDEX(Client_List!$D:$D,MATCH(VALUE(B3203),Client_List!$A:$A,0)),""))</f>
        <v/>
      </c>
      <c r="G3203" s="53">
        <f>IF(B3203="","",IFERROR(INDEX(Client_List!$K:$K,MATCH(VALUE(B3203),Client_List!$A:$A,0)),""))</f>
        <v/>
      </c>
      <c r="H3203" s="32">
        <f>IF(B3203="","",IFERROR(INDEX(Client_List!$J:$J,MATCH(VALUE(B3203),Client_List!$A:$A,0)),""))</f>
        <v/>
      </c>
      <c r="I3203" s="70">
        <f>IF(B3203="","",IFERROR(A3203-LOOKUP(2,1/($B$4:$B3202=B3203),$A$4:$A3202),""))</f>
        <v/>
      </c>
      <c r="J3203" s="32">
        <f>IF(B3203="","",IFERROR(D3203/I3203,""))</f>
        <v/>
      </c>
      <c r="K3203" s="71">
        <f>IF(B3203="","",IFERROR(AVERAGEIFS($J$4:$J3203,$B$4:$B3203,B3203,$J$4:$J3203,"&gt;"&amp;0),""))</f>
        <v/>
      </c>
      <c r="L3203" s="11" t="n"/>
    </row>
    <row r="3204" ht="14" customHeight="1" s="72">
      <c r="A3204" s="83" t="n"/>
      <c r="B3204" s="81" t="n"/>
      <c r="C3204" s="69">
        <f>IF(B3204="","",IFERROR(INDEX(Client_List!$B:$B,MATCH(B3204,Client_List!$A:$A,0)),"⚠ NOT FOUND"))</f>
        <v/>
      </c>
      <c r="D3204" s="45" t="n"/>
      <c r="E3204" s="32">
        <f>IF(B3204="","",IFERROR(INDEX(Client_List!$C:$C,MATCH(VALUE(B3204),Client_List!$A:$A,0)),""))</f>
        <v/>
      </c>
      <c r="F3204" s="53">
        <f>IF(B3204="","",IFERROR(INDEX(Client_List!$D:$D,MATCH(VALUE(B3204),Client_List!$A:$A,0)),""))</f>
        <v/>
      </c>
      <c r="G3204" s="53">
        <f>IF(B3204="","",IFERROR(INDEX(Client_List!$K:$K,MATCH(VALUE(B3204),Client_List!$A:$A,0)),""))</f>
        <v/>
      </c>
      <c r="H3204" s="32">
        <f>IF(B3204="","",IFERROR(INDEX(Client_List!$J:$J,MATCH(VALUE(B3204),Client_List!$A:$A,0)),""))</f>
        <v/>
      </c>
      <c r="I3204" s="70">
        <f>IF(B3204="","",IFERROR(A3204-LOOKUP(2,1/($B$4:$B3203=B3204),$A$4:$A3203),""))</f>
        <v/>
      </c>
      <c r="J3204" s="32">
        <f>IF(B3204="","",IFERROR(D3204/I3204,""))</f>
        <v/>
      </c>
      <c r="K3204" s="71">
        <f>IF(B3204="","",IFERROR(AVERAGEIFS($J$4:$J3204,$B$4:$B3204,B3204,$J$4:$J3204,"&gt;"&amp;0),""))</f>
        <v/>
      </c>
      <c r="L3204" s="12" t="n"/>
    </row>
    <row r="3205" ht="14" customHeight="1" s="72">
      <c r="A3205" s="82" t="n"/>
      <c r="B3205" s="79" t="n"/>
      <c r="C3205" s="69">
        <f>IF(B3205="","",IFERROR(INDEX(Client_List!$B:$B,MATCH(B3205,Client_List!$A:$A,0)),"⚠ NOT FOUND"))</f>
        <v/>
      </c>
      <c r="D3205" s="44" t="n"/>
      <c r="E3205" s="32">
        <f>IF(B3205="","",IFERROR(INDEX(Client_List!$C:$C,MATCH(VALUE(B3205),Client_List!$A:$A,0)),""))</f>
        <v/>
      </c>
      <c r="F3205" s="53">
        <f>IF(B3205="","",IFERROR(INDEX(Client_List!$D:$D,MATCH(VALUE(B3205),Client_List!$A:$A,0)),""))</f>
        <v/>
      </c>
      <c r="G3205" s="53">
        <f>IF(B3205="","",IFERROR(INDEX(Client_List!$K:$K,MATCH(VALUE(B3205),Client_List!$A:$A,0)),""))</f>
        <v/>
      </c>
      <c r="H3205" s="32">
        <f>IF(B3205="","",IFERROR(INDEX(Client_List!$J:$J,MATCH(VALUE(B3205),Client_List!$A:$A,0)),""))</f>
        <v/>
      </c>
      <c r="I3205" s="70">
        <f>IF(B3205="","",IFERROR(A3205-LOOKUP(2,1/($B$4:$B3204=B3205),$A$4:$A3204),""))</f>
        <v/>
      </c>
      <c r="J3205" s="32">
        <f>IF(B3205="","",IFERROR(D3205/I3205,""))</f>
        <v/>
      </c>
      <c r="K3205" s="71">
        <f>IF(B3205="","",IFERROR(AVERAGEIFS($J$4:$J3205,$B$4:$B3205,B3205,$J$4:$J3205,"&gt;"&amp;0),""))</f>
        <v/>
      </c>
      <c r="L3205" s="11" t="n"/>
    </row>
    <row r="3206" ht="14" customHeight="1" s="72">
      <c r="A3206" s="83" t="n"/>
      <c r="B3206" s="81" t="n"/>
      <c r="C3206" s="69">
        <f>IF(B3206="","",IFERROR(INDEX(Client_List!$B:$B,MATCH(B3206,Client_List!$A:$A,0)),"⚠ NOT FOUND"))</f>
        <v/>
      </c>
      <c r="D3206" s="45" t="n"/>
      <c r="E3206" s="32">
        <f>IF(B3206="","",IFERROR(INDEX(Client_List!$C:$C,MATCH(VALUE(B3206),Client_List!$A:$A,0)),""))</f>
        <v/>
      </c>
      <c r="F3206" s="53">
        <f>IF(B3206="","",IFERROR(INDEX(Client_List!$D:$D,MATCH(VALUE(B3206),Client_List!$A:$A,0)),""))</f>
        <v/>
      </c>
      <c r="G3206" s="53">
        <f>IF(B3206="","",IFERROR(INDEX(Client_List!$K:$K,MATCH(VALUE(B3206),Client_List!$A:$A,0)),""))</f>
        <v/>
      </c>
      <c r="H3206" s="32">
        <f>IF(B3206="","",IFERROR(INDEX(Client_List!$J:$J,MATCH(VALUE(B3206),Client_List!$A:$A,0)),""))</f>
        <v/>
      </c>
      <c r="I3206" s="70">
        <f>IF(B3206="","",IFERROR(A3206-LOOKUP(2,1/($B$4:$B3205=B3206),$A$4:$A3205),""))</f>
        <v/>
      </c>
      <c r="J3206" s="32">
        <f>IF(B3206="","",IFERROR(D3206/I3206,""))</f>
        <v/>
      </c>
      <c r="K3206" s="71">
        <f>IF(B3206="","",IFERROR(AVERAGEIFS($J$4:$J3206,$B$4:$B3206,B3206,$J$4:$J3206,"&gt;"&amp;0),""))</f>
        <v/>
      </c>
      <c r="L3206" s="12" t="n"/>
    </row>
    <row r="3207" ht="14" customHeight="1" s="72">
      <c r="A3207" s="82" t="n"/>
      <c r="B3207" s="79" t="n"/>
      <c r="C3207" s="69">
        <f>IF(B3207="","",IFERROR(INDEX(Client_List!$B:$B,MATCH(B3207,Client_List!$A:$A,0)),"⚠ NOT FOUND"))</f>
        <v/>
      </c>
      <c r="D3207" s="44" t="n"/>
      <c r="E3207" s="32">
        <f>IF(B3207="","",IFERROR(INDEX(Client_List!$C:$C,MATCH(VALUE(B3207),Client_List!$A:$A,0)),""))</f>
        <v/>
      </c>
      <c r="F3207" s="53">
        <f>IF(B3207="","",IFERROR(INDEX(Client_List!$D:$D,MATCH(VALUE(B3207),Client_List!$A:$A,0)),""))</f>
        <v/>
      </c>
      <c r="G3207" s="53">
        <f>IF(B3207="","",IFERROR(INDEX(Client_List!$K:$K,MATCH(VALUE(B3207),Client_List!$A:$A,0)),""))</f>
        <v/>
      </c>
      <c r="H3207" s="32">
        <f>IF(B3207="","",IFERROR(INDEX(Client_List!$J:$J,MATCH(VALUE(B3207),Client_List!$A:$A,0)),""))</f>
        <v/>
      </c>
      <c r="I3207" s="70">
        <f>IF(B3207="","",IFERROR(A3207-LOOKUP(2,1/($B$4:$B3206=B3207),$A$4:$A3206),""))</f>
        <v/>
      </c>
      <c r="J3207" s="32">
        <f>IF(B3207="","",IFERROR(D3207/I3207,""))</f>
        <v/>
      </c>
      <c r="K3207" s="71">
        <f>IF(B3207="","",IFERROR(AVERAGEIFS($J$4:$J3207,$B$4:$B3207,B3207,$J$4:$J3207,"&gt;"&amp;0),""))</f>
        <v/>
      </c>
      <c r="L3207" s="11" t="n"/>
    </row>
    <row r="3208" ht="14" customHeight="1" s="72">
      <c r="A3208" s="83" t="n"/>
      <c r="B3208" s="81" t="n"/>
      <c r="C3208" s="69">
        <f>IF(B3208="","",IFERROR(INDEX(Client_List!$B:$B,MATCH(B3208,Client_List!$A:$A,0)),"⚠ NOT FOUND"))</f>
        <v/>
      </c>
      <c r="D3208" s="45" t="n"/>
      <c r="E3208" s="32">
        <f>IF(B3208="","",IFERROR(INDEX(Client_List!$C:$C,MATCH(VALUE(B3208),Client_List!$A:$A,0)),""))</f>
        <v/>
      </c>
      <c r="F3208" s="53">
        <f>IF(B3208="","",IFERROR(INDEX(Client_List!$D:$D,MATCH(VALUE(B3208),Client_List!$A:$A,0)),""))</f>
        <v/>
      </c>
      <c r="G3208" s="53">
        <f>IF(B3208="","",IFERROR(INDEX(Client_List!$K:$K,MATCH(VALUE(B3208),Client_List!$A:$A,0)),""))</f>
        <v/>
      </c>
      <c r="H3208" s="32">
        <f>IF(B3208="","",IFERROR(INDEX(Client_List!$J:$J,MATCH(VALUE(B3208),Client_List!$A:$A,0)),""))</f>
        <v/>
      </c>
      <c r="I3208" s="70">
        <f>IF(B3208="","",IFERROR(A3208-LOOKUP(2,1/($B$4:$B3207=B3208),$A$4:$A3207),""))</f>
        <v/>
      </c>
      <c r="J3208" s="32">
        <f>IF(B3208="","",IFERROR(D3208/I3208,""))</f>
        <v/>
      </c>
      <c r="K3208" s="71">
        <f>IF(B3208="","",IFERROR(AVERAGEIFS($J$4:$J3208,$B$4:$B3208,B3208,$J$4:$J3208,"&gt;"&amp;0),""))</f>
        <v/>
      </c>
      <c r="L3208" s="12" t="n"/>
    </row>
    <row r="3209" ht="14" customHeight="1" s="72">
      <c r="A3209" s="82" t="n"/>
      <c r="B3209" s="79" t="n"/>
      <c r="C3209" s="69">
        <f>IF(B3209="","",IFERROR(INDEX(Client_List!$B:$B,MATCH(B3209,Client_List!$A:$A,0)),"⚠ NOT FOUND"))</f>
        <v/>
      </c>
      <c r="D3209" s="44" t="n"/>
      <c r="E3209" s="32">
        <f>IF(B3209="","",IFERROR(INDEX(Client_List!$C:$C,MATCH(VALUE(B3209),Client_List!$A:$A,0)),""))</f>
        <v/>
      </c>
      <c r="F3209" s="53">
        <f>IF(B3209="","",IFERROR(INDEX(Client_List!$D:$D,MATCH(VALUE(B3209),Client_List!$A:$A,0)),""))</f>
        <v/>
      </c>
      <c r="G3209" s="53">
        <f>IF(B3209="","",IFERROR(INDEX(Client_List!$K:$K,MATCH(VALUE(B3209),Client_List!$A:$A,0)),""))</f>
        <v/>
      </c>
      <c r="H3209" s="32">
        <f>IF(B3209="","",IFERROR(INDEX(Client_List!$J:$J,MATCH(VALUE(B3209),Client_List!$A:$A,0)),""))</f>
        <v/>
      </c>
      <c r="I3209" s="70">
        <f>IF(B3209="","",IFERROR(A3209-LOOKUP(2,1/($B$4:$B3208=B3209),$A$4:$A3208),""))</f>
        <v/>
      </c>
      <c r="J3209" s="32">
        <f>IF(B3209="","",IFERROR(D3209/I3209,""))</f>
        <v/>
      </c>
      <c r="K3209" s="71">
        <f>IF(B3209="","",IFERROR(AVERAGEIFS($J$4:$J3209,$B$4:$B3209,B3209,$J$4:$J3209,"&gt;"&amp;0),""))</f>
        <v/>
      </c>
      <c r="L3209" s="11" t="n"/>
    </row>
    <row r="3210" ht="14" customHeight="1" s="72">
      <c r="A3210" s="83" t="n"/>
      <c r="B3210" s="81" t="n"/>
      <c r="C3210" s="69">
        <f>IF(B3210="","",IFERROR(INDEX(Client_List!$B:$B,MATCH(B3210,Client_List!$A:$A,0)),"⚠ NOT FOUND"))</f>
        <v/>
      </c>
      <c r="D3210" s="45" t="n"/>
      <c r="E3210" s="32">
        <f>IF(B3210="","",IFERROR(INDEX(Client_List!$C:$C,MATCH(VALUE(B3210),Client_List!$A:$A,0)),""))</f>
        <v/>
      </c>
      <c r="F3210" s="53">
        <f>IF(B3210="","",IFERROR(INDEX(Client_List!$D:$D,MATCH(VALUE(B3210),Client_List!$A:$A,0)),""))</f>
        <v/>
      </c>
      <c r="G3210" s="53">
        <f>IF(B3210="","",IFERROR(INDEX(Client_List!$K:$K,MATCH(VALUE(B3210),Client_List!$A:$A,0)),""))</f>
        <v/>
      </c>
      <c r="H3210" s="32">
        <f>IF(B3210="","",IFERROR(INDEX(Client_List!$J:$J,MATCH(VALUE(B3210),Client_List!$A:$A,0)),""))</f>
        <v/>
      </c>
      <c r="I3210" s="70">
        <f>IF(B3210="","",IFERROR(A3210-LOOKUP(2,1/($B$4:$B3209=B3210),$A$4:$A3209),""))</f>
        <v/>
      </c>
      <c r="J3210" s="32">
        <f>IF(B3210="","",IFERROR(D3210/I3210,""))</f>
        <v/>
      </c>
      <c r="K3210" s="71">
        <f>IF(B3210="","",IFERROR(AVERAGEIFS($J$4:$J3210,$B$4:$B3210,B3210,$J$4:$J3210,"&gt;"&amp;0),""))</f>
        <v/>
      </c>
      <c r="L3210" s="12" t="n"/>
    </row>
    <row r="3211" ht="14" customHeight="1" s="72">
      <c r="A3211" s="82" t="n"/>
      <c r="B3211" s="79" t="n"/>
      <c r="C3211" s="69">
        <f>IF(B3211="","",IFERROR(INDEX(Client_List!$B:$B,MATCH(B3211,Client_List!$A:$A,0)),"⚠ NOT FOUND"))</f>
        <v/>
      </c>
      <c r="D3211" s="44" t="n"/>
      <c r="E3211" s="32">
        <f>IF(B3211="","",IFERROR(INDEX(Client_List!$C:$C,MATCH(VALUE(B3211),Client_List!$A:$A,0)),""))</f>
        <v/>
      </c>
      <c r="F3211" s="53">
        <f>IF(B3211="","",IFERROR(INDEX(Client_List!$D:$D,MATCH(VALUE(B3211),Client_List!$A:$A,0)),""))</f>
        <v/>
      </c>
      <c r="G3211" s="53">
        <f>IF(B3211="","",IFERROR(INDEX(Client_List!$K:$K,MATCH(VALUE(B3211),Client_List!$A:$A,0)),""))</f>
        <v/>
      </c>
      <c r="H3211" s="32">
        <f>IF(B3211="","",IFERROR(INDEX(Client_List!$J:$J,MATCH(VALUE(B3211),Client_List!$A:$A,0)),""))</f>
        <v/>
      </c>
      <c r="I3211" s="70">
        <f>IF(B3211="","",IFERROR(A3211-LOOKUP(2,1/($B$4:$B3210=B3211),$A$4:$A3210),""))</f>
        <v/>
      </c>
      <c r="J3211" s="32">
        <f>IF(B3211="","",IFERROR(D3211/I3211,""))</f>
        <v/>
      </c>
      <c r="K3211" s="71">
        <f>IF(B3211="","",IFERROR(AVERAGEIFS($J$4:$J3211,$B$4:$B3211,B3211,$J$4:$J3211,"&gt;"&amp;0),""))</f>
        <v/>
      </c>
      <c r="L3211" s="11" t="n"/>
    </row>
    <row r="3212" ht="14" customHeight="1" s="72">
      <c r="A3212" s="83" t="n"/>
      <c r="B3212" s="81" t="n"/>
      <c r="C3212" s="69">
        <f>IF(B3212="","",IFERROR(INDEX(Client_List!$B:$B,MATCH(B3212,Client_List!$A:$A,0)),"⚠ NOT FOUND"))</f>
        <v/>
      </c>
      <c r="D3212" s="45" t="n"/>
      <c r="E3212" s="32">
        <f>IF(B3212="","",IFERROR(INDEX(Client_List!$C:$C,MATCH(VALUE(B3212),Client_List!$A:$A,0)),""))</f>
        <v/>
      </c>
      <c r="F3212" s="53">
        <f>IF(B3212="","",IFERROR(INDEX(Client_List!$D:$D,MATCH(VALUE(B3212),Client_List!$A:$A,0)),""))</f>
        <v/>
      </c>
      <c r="G3212" s="53">
        <f>IF(B3212="","",IFERROR(INDEX(Client_List!$K:$K,MATCH(VALUE(B3212),Client_List!$A:$A,0)),""))</f>
        <v/>
      </c>
      <c r="H3212" s="32">
        <f>IF(B3212="","",IFERROR(INDEX(Client_List!$J:$J,MATCH(VALUE(B3212),Client_List!$A:$A,0)),""))</f>
        <v/>
      </c>
      <c r="I3212" s="70">
        <f>IF(B3212="","",IFERROR(A3212-LOOKUP(2,1/($B$4:$B3211=B3212),$A$4:$A3211),""))</f>
        <v/>
      </c>
      <c r="J3212" s="32">
        <f>IF(B3212="","",IFERROR(D3212/I3212,""))</f>
        <v/>
      </c>
      <c r="K3212" s="71">
        <f>IF(B3212="","",IFERROR(AVERAGEIFS($J$4:$J3212,$B$4:$B3212,B3212,$J$4:$J3212,"&gt;"&amp;0),""))</f>
        <v/>
      </c>
      <c r="L3212" s="12" t="n"/>
    </row>
    <row r="3213" ht="14" customHeight="1" s="72">
      <c r="A3213" s="82" t="n"/>
      <c r="B3213" s="79" t="n"/>
      <c r="C3213" s="69">
        <f>IF(B3213="","",IFERROR(INDEX(Client_List!$B:$B,MATCH(B3213,Client_List!$A:$A,0)),"⚠ NOT FOUND"))</f>
        <v/>
      </c>
      <c r="D3213" s="44" t="n"/>
      <c r="E3213" s="32">
        <f>IF(B3213="","",IFERROR(INDEX(Client_List!$C:$C,MATCH(VALUE(B3213),Client_List!$A:$A,0)),""))</f>
        <v/>
      </c>
      <c r="F3213" s="53">
        <f>IF(B3213="","",IFERROR(INDEX(Client_List!$D:$D,MATCH(VALUE(B3213),Client_List!$A:$A,0)),""))</f>
        <v/>
      </c>
      <c r="G3213" s="53">
        <f>IF(B3213="","",IFERROR(INDEX(Client_List!$K:$K,MATCH(VALUE(B3213),Client_List!$A:$A,0)),""))</f>
        <v/>
      </c>
      <c r="H3213" s="32">
        <f>IF(B3213="","",IFERROR(INDEX(Client_List!$J:$J,MATCH(VALUE(B3213),Client_List!$A:$A,0)),""))</f>
        <v/>
      </c>
      <c r="I3213" s="70">
        <f>IF(B3213="","",IFERROR(A3213-LOOKUP(2,1/($B$4:$B3212=B3213),$A$4:$A3212),""))</f>
        <v/>
      </c>
      <c r="J3213" s="32">
        <f>IF(B3213="","",IFERROR(D3213/I3213,""))</f>
        <v/>
      </c>
      <c r="K3213" s="71">
        <f>IF(B3213="","",IFERROR(AVERAGEIFS($J$4:$J3213,$B$4:$B3213,B3213,$J$4:$J3213,"&gt;"&amp;0),""))</f>
        <v/>
      </c>
      <c r="L3213" s="11" t="n"/>
    </row>
    <row r="3214" ht="14" customHeight="1" s="72">
      <c r="A3214" s="83" t="n"/>
      <c r="B3214" s="81" t="n"/>
      <c r="C3214" s="69">
        <f>IF(B3214="","",IFERROR(INDEX(Client_List!$B:$B,MATCH(B3214,Client_List!$A:$A,0)),"⚠ NOT FOUND"))</f>
        <v/>
      </c>
      <c r="D3214" s="45" t="n"/>
      <c r="E3214" s="32">
        <f>IF(B3214="","",IFERROR(INDEX(Client_List!$C:$C,MATCH(VALUE(B3214),Client_List!$A:$A,0)),""))</f>
        <v/>
      </c>
      <c r="F3214" s="53">
        <f>IF(B3214="","",IFERROR(INDEX(Client_List!$D:$D,MATCH(VALUE(B3214),Client_List!$A:$A,0)),""))</f>
        <v/>
      </c>
      <c r="G3214" s="53">
        <f>IF(B3214="","",IFERROR(INDEX(Client_List!$K:$K,MATCH(VALUE(B3214),Client_List!$A:$A,0)),""))</f>
        <v/>
      </c>
      <c r="H3214" s="32">
        <f>IF(B3214="","",IFERROR(INDEX(Client_List!$J:$J,MATCH(VALUE(B3214),Client_List!$A:$A,0)),""))</f>
        <v/>
      </c>
      <c r="I3214" s="70">
        <f>IF(B3214="","",IFERROR(A3214-LOOKUP(2,1/($B$4:$B3213=B3214),$A$4:$A3213),""))</f>
        <v/>
      </c>
      <c r="J3214" s="32">
        <f>IF(B3214="","",IFERROR(D3214/I3214,""))</f>
        <v/>
      </c>
      <c r="K3214" s="71">
        <f>IF(B3214="","",IFERROR(AVERAGEIFS($J$4:$J3214,$B$4:$B3214,B3214,$J$4:$J3214,"&gt;"&amp;0),""))</f>
        <v/>
      </c>
      <c r="L3214" s="12" t="n"/>
    </row>
    <row r="3215" ht="14" customHeight="1" s="72">
      <c r="A3215" s="82" t="n"/>
      <c r="B3215" s="79" t="n"/>
      <c r="C3215" s="69">
        <f>IF(B3215="","",IFERROR(INDEX(Client_List!$B:$B,MATCH(B3215,Client_List!$A:$A,0)),"⚠ NOT FOUND"))</f>
        <v/>
      </c>
      <c r="D3215" s="44" t="n"/>
      <c r="E3215" s="32">
        <f>IF(B3215="","",IFERROR(INDEX(Client_List!$C:$C,MATCH(VALUE(B3215),Client_List!$A:$A,0)),""))</f>
        <v/>
      </c>
      <c r="F3215" s="53">
        <f>IF(B3215="","",IFERROR(INDEX(Client_List!$D:$D,MATCH(VALUE(B3215),Client_List!$A:$A,0)),""))</f>
        <v/>
      </c>
      <c r="G3215" s="53">
        <f>IF(B3215="","",IFERROR(INDEX(Client_List!$K:$K,MATCH(VALUE(B3215),Client_List!$A:$A,0)),""))</f>
        <v/>
      </c>
      <c r="H3215" s="32">
        <f>IF(B3215="","",IFERROR(INDEX(Client_List!$J:$J,MATCH(VALUE(B3215),Client_List!$A:$A,0)),""))</f>
        <v/>
      </c>
      <c r="I3215" s="70">
        <f>IF(B3215="","",IFERROR(A3215-LOOKUP(2,1/($B$4:$B3214=B3215),$A$4:$A3214),""))</f>
        <v/>
      </c>
      <c r="J3215" s="32">
        <f>IF(B3215="","",IFERROR(D3215/I3215,""))</f>
        <v/>
      </c>
      <c r="K3215" s="71">
        <f>IF(B3215="","",IFERROR(AVERAGEIFS($J$4:$J3215,$B$4:$B3215,B3215,$J$4:$J3215,"&gt;"&amp;0),""))</f>
        <v/>
      </c>
      <c r="L3215" s="11" t="n"/>
    </row>
    <row r="3216" ht="14" customHeight="1" s="72">
      <c r="A3216" s="83" t="n"/>
      <c r="B3216" s="81" t="n"/>
      <c r="C3216" s="69">
        <f>IF(B3216="","",IFERROR(INDEX(Client_List!$B:$B,MATCH(B3216,Client_List!$A:$A,0)),"⚠ NOT FOUND"))</f>
        <v/>
      </c>
      <c r="D3216" s="45" t="n"/>
      <c r="E3216" s="32">
        <f>IF(B3216="","",IFERROR(INDEX(Client_List!$C:$C,MATCH(VALUE(B3216),Client_List!$A:$A,0)),""))</f>
        <v/>
      </c>
      <c r="F3216" s="53">
        <f>IF(B3216="","",IFERROR(INDEX(Client_List!$D:$D,MATCH(VALUE(B3216),Client_List!$A:$A,0)),""))</f>
        <v/>
      </c>
      <c r="G3216" s="53">
        <f>IF(B3216="","",IFERROR(INDEX(Client_List!$K:$K,MATCH(VALUE(B3216),Client_List!$A:$A,0)),""))</f>
        <v/>
      </c>
      <c r="H3216" s="32">
        <f>IF(B3216="","",IFERROR(INDEX(Client_List!$J:$J,MATCH(VALUE(B3216),Client_List!$A:$A,0)),""))</f>
        <v/>
      </c>
      <c r="I3216" s="70">
        <f>IF(B3216="","",IFERROR(A3216-LOOKUP(2,1/($B$4:$B3215=B3216),$A$4:$A3215),""))</f>
        <v/>
      </c>
      <c r="J3216" s="32">
        <f>IF(B3216="","",IFERROR(D3216/I3216,""))</f>
        <v/>
      </c>
      <c r="K3216" s="71">
        <f>IF(B3216="","",IFERROR(AVERAGEIFS($J$4:$J3216,$B$4:$B3216,B3216,$J$4:$J3216,"&gt;"&amp;0),""))</f>
        <v/>
      </c>
      <c r="L3216" s="12" t="n"/>
    </row>
    <row r="3217" ht="14" customHeight="1" s="72">
      <c r="A3217" s="82" t="n"/>
      <c r="B3217" s="79" t="n"/>
      <c r="C3217" s="69">
        <f>IF(B3217="","",IFERROR(INDEX(Client_List!$B:$B,MATCH(B3217,Client_List!$A:$A,0)),"⚠ NOT FOUND"))</f>
        <v/>
      </c>
      <c r="D3217" s="44" t="n"/>
      <c r="E3217" s="32">
        <f>IF(B3217="","",IFERROR(INDEX(Client_List!$C:$C,MATCH(VALUE(B3217),Client_List!$A:$A,0)),""))</f>
        <v/>
      </c>
      <c r="F3217" s="53">
        <f>IF(B3217="","",IFERROR(INDEX(Client_List!$D:$D,MATCH(VALUE(B3217),Client_List!$A:$A,0)),""))</f>
        <v/>
      </c>
      <c r="G3217" s="53">
        <f>IF(B3217="","",IFERROR(INDEX(Client_List!$K:$K,MATCH(VALUE(B3217),Client_List!$A:$A,0)),""))</f>
        <v/>
      </c>
      <c r="H3217" s="32">
        <f>IF(B3217="","",IFERROR(INDEX(Client_List!$J:$J,MATCH(VALUE(B3217),Client_List!$A:$A,0)),""))</f>
        <v/>
      </c>
      <c r="I3217" s="70">
        <f>IF(B3217="","",IFERROR(A3217-LOOKUP(2,1/($B$4:$B3216=B3217),$A$4:$A3216),""))</f>
        <v/>
      </c>
      <c r="J3217" s="32">
        <f>IF(B3217="","",IFERROR(D3217/I3217,""))</f>
        <v/>
      </c>
      <c r="K3217" s="71">
        <f>IF(B3217="","",IFERROR(AVERAGEIFS($J$4:$J3217,$B$4:$B3217,B3217,$J$4:$J3217,"&gt;"&amp;0),""))</f>
        <v/>
      </c>
      <c r="L3217" s="11" t="n"/>
    </row>
    <row r="3218" ht="14" customHeight="1" s="72">
      <c r="A3218" s="83" t="n"/>
      <c r="B3218" s="81" t="n"/>
      <c r="C3218" s="69">
        <f>IF(B3218="","",IFERROR(INDEX(Client_List!$B:$B,MATCH(B3218,Client_List!$A:$A,0)),"⚠ NOT FOUND"))</f>
        <v/>
      </c>
      <c r="D3218" s="45" t="n"/>
      <c r="E3218" s="32">
        <f>IF(B3218="","",IFERROR(INDEX(Client_List!$C:$C,MATCH(VALUE(B3218),Client_List!$A:$A,0)),""))</f>
        <v/>
      </c>
      <c r="F3218" s="53">
        <f>IF(B3218="","",IFERROR(INDEX(Client_List!$D:$D,MATCH(VALUE(B3218),Client_List!$A:$A,0)),""))</f>
        <v/>
      </c>
      <c r="G3218" s="53">
        <f>IF(B3218="","",IFERROR(INDEX(Client_List!$K:$K,MATCH(VALUE(B3218),Client_List!$A:$A,0)),""))</f>
        <v/>
      </c>
      <c r="H3218" s="32">
        <f>IF(B3218="","",IFERROR(INDEX(Client_List!$J:$J,MATCH(VALUE(B3218),Client_List!$A:$A,0)),""))</f>
        <v/>
      </c>
      <c r="I3218" s="70">
        <f>IF(B3218="","",IFERROR(A3218-LOOKUP(2,1/($B$4:$B3217=B3218),$A$4:$A3217),""))</f>
        <v/>
      </c>
      <c r="J3218" s="32">
        <f>IF(B3218="","",IFERROR(D3218/I3218,""))</f>
        <v/>
      </c>
      <c r="K3218" s="71">
        <f>IF(B3218="","",IFERROR(AVERAGEIFS($J$4:$J3218,$B$4:$B3218,B3218,$J$4:$J3218,"&gt;"&amp;0),""))</f>
        <v/>
      </c>
      <c r="L3218" s="12" t="n"/>
    </row>
    <row r="3219" ht="14" customHeight="1" s="72">
      <c r="A3219" s="82" t="n"/>
      <c r="B3219" s="79" t="n"/>
      <c r="C3219" s="69">
        <f>IF(B3219="","",IFERROR(INDEX(Client_List!$B:$B,MATCH(B3219,Client_List!$A:$A,0)),"⚠ NOT FOUND"))</f>
        <v/>
      </c>
      <c r="D3219" s="44" t="n"/>
      <c r="E3219" s="32">
        <f>IF(B3219="","",IFERROR(INDEX(Client_List!$C:$C,MATCH(VALUE(B3219),Client_List!$A:$A,0)),""))</f>
        <v/>
      </c>
      <c r="F3219" s="53">
        <f>IF(B3219="","",IFERROR(INDEX(Client_List!$D:$D,MATCH(VALUE(B3219),Client_List!$A:$A,0)),""))</f>
        <v/>
      </c>
      <c r="G3219" s="53">
        <f>IF(B3219="","",IFERROR(INDEX(Client_List!$K:$K,MATCH(VALUE(B3219),Client_List!$A:$A,0)),""))</f>
        <v/>
      </c>
      <c r="H3219" s="32">
        <f>IF(B3219="","",IFERROR(INDEX(Client_List!$J:$J,MATCH(VALUE(B3219),Client_List!$A:$A,0)),""))</f>
        <v/>
      </c>
      <c r="I3219" s="70">
        <f>IF(B3219="","",IFERROR(A3219-LOOKUP(2,1/($B$4:$B3218=B3219),$A$4:$A3218),""))</f>
        <v/>
      </c>
      <c r="J3219" s="32">
        <f>IF(B3219="","",IFERROR(D3219/I3219,""))</f>
        <v/>
      </c>
      <c r="K3219" s="71">
        <f>IF(B3219="","",IFERROR(AVERAGEIFS($J$4:$J3219,$B$4:$B3219,B3219,$J$4:$J3219,"&gt;"&amp;0),""))</f>
        <v/>
      </c>
      <c r="L3219" s="11" t="n"/>
    </row>
    <row r="3220" ht="14" customHeight="1" s="72">
      <c r="A3220" s="83" t="n"/>
      <c r="B3220" s="81" t="n"/>
      <c r="C3220" s="69">
        <f>IF(B3220="","",IFERROR(INDEX(Client_List!$B:$B,MATCH(B3220,Client_List!$A:$A,0)),"⚠ NOT FOUND"))</f>
        <v/>
      </c>
      <c r="D3220" s="45" t="n"/>
      <c r="E3220" s="32">
        <f>IF(B3220="","",IFERROR(INDEX(Client_List!$C:$C,MATCH(VALUE(B3220),Client_List!$A:$A,0)),""))</f>
        <v/>
      </c>
      <c r="F3220" s="53">
        <f>IF(B3220="","",IFERROR(INDEX(Client_List!$D:$D,MATCH(VALUE(B3220),Client_List!$A:$A,0)),""))</f>
        <v/>
      </c>
      <c r="G3220" s="53">
        <f>IF(B3220="","",IFERROR(INDEX(Client_List!$K:$K,MATCH(VALUE(B3220),Client_List!$A:$A,0)),""))</f>
        <v/>
      </c>
      <c r="H3220" s="32">
        <f>IF(B3220="","",IFERROR(INDEX(Client_List!$J:$J,MATCH(VALUE(B3220),Client_List!$A:$A,0)),""))</f>
        <v/>
      </c>
      <c r="I3220" s="70">
        <f>IF(B3220="","",IFERROR(A3220-LOOKUP(2,1/($B$4:$B3219=B3220),$A$4:$A3219),""))</f>
        <v/>
      </c>
      <c r="J3220" s="32">
        <f>IF(B3220="","",IFERROR(D3220/I3220,""))</f>
        <v/>
      </c>
      <c r="K3220" s="71">
        <f>IF(B3220="","",IFERROR(AVERAGEIFS($J$4:$J3220,$B$4:$B3220,B3220,$J$4:$J3220,"&gt;"&amp;0),""))</f>
        <v/>
      </c>
      <c r="L3220" s="12" t="n"/>
    </row>
    <row r="3221" ht="14" customHeight="1" s="72">
      <c r="A3221" s="82" t="n"/>
      <c r="B3221" s="79" t="n"/>
      <c r="C3221" s="69">
        <f>IF(B3221="","",IFERROR(INDEX(Client_List!$B:$B,MATCH(B3221,Client_List!$A:$A,0)),"⚠ NOT FOUND"))</f>
        <v/>
      </c>
      <c r="D3221" s="44" t="n"/>
      <c r="E3221" s="32">
        <f>IF(B3221="","",IFERROR(INDEX(Client_List!$C:$C,MATCH(VALUE(B3221),Client_List!$A:$A,0)),""))</f>
        <v/>
      </c>
      <c r="F3221" s="53">
        <f>IF(B3221="","",IFERROR(INDEX(Client_List!$D:$D,MATCH(VALUE(B3221),Client_List!$A:$A,0)),""))</f>
        <v/>
      </c>
      <c r="G3221" s="53">
        <f>IF(B3221="","",IFERROR(INDEX(Client_List!$K:$K,MATCH(VALUE(B3221),Client_List!$A:$A,0)),""))</f>
        <v/>
      </c>
      <c r="H3221" s="32">
        <f>IF(B3221="","",IFERROR(INDEX(Client_List!$J:$J,MATCH(VALUE(B3221),Client_List!$A:$A,0)),""))</f>
        <v/>
      </c>
      <c r="I3221" s="70">
        <f>IF(B3221="","",IFERROR(A3221-LOOKUP(2,1/($B$4:$B3220=B3221),$A$4:$A3220),""))</f>
        <v/>
      </c>
      <c r="J3221" s="32">
        <f>IF(B3221="","",IFERROR(D3221/I3221,""))</f>
        <v/>
      </c>
      <c r="K3221" s="71">
        <f>IF(B3221="","",IFERROR(AVERAGEIFS($J$4:$J3221,$B$4:$B3221,B3221,$J$4:$J3221,"&gt;"&amp;0),""))</f>
        <v/>
      </c>
      <c r="L3221" s="11" t="n"/>
    </row>
    <row r="3222" ht="14" customHeight="1" s="72">
      <c r="A3222" s="83" t="n"/>
      <c r="B3222" s="81" t="n"/>
      <c r="C3222" s="69">
        <f>IF(B3222="","",IFERROR(INDEX(Client_List!$B:$B,MATCH(B3222,Client_List!$A:$A,0)),"⚠ NOT FOUND"))</f>
        <v/>
      </c>
      <c r="D3222" s="45" t="n"/>
      <c r="E3222" s="32">
        <f>IF(B3222="","",IFERROR(INDEX(Client_List!$C:$C,MATCH(VALUE(B3222),Client_List!$A:$A,0)),""))</f>
        <v/>
      </c>
      <c r="F3222" s="53">
        <f>IF(B3222="","",IFERROR(INDEX(Client_List!$D:$D,MATCH(VALUE(B3222),Client_List!$A:$A,0)),""))</f>
        <v/>
      </c>
      <c r="G3222" s="53">
        <f>IF(B3222="","",IFERROR(INDEX(Client_List!$K:$K,MATCH(VALUE(B3222),Client_List!$A:$A,0)),""))</f>
        <v/>
      </c>
      <c r="H3222" s="32">
        <f>IF(B3222="","",IFERROR(INDEX(Client_List!$J:$J,MATCH(VALUE(B3222),Client_List!$A:$A,0)),""))</f>
        <v/>
      </c>
      <c r="I3222" s="70">
        <f>IF(B3222="","",IFERROR(A3222-LOOKUP(2,1/($B$4:$B3221=B3222),$A$4:$A3221),""))</f>
        <v/>
      </c>
      <c r="J3222" s="32">
        <f>IF(B3222="","",IFERROR(D3222/I3222,""))</f>
        <v/>
      </c>
      <c r="K3222" s="71">
        <f>IF(B3222="","",IFERROR(AVERAGEIFS($J$4:$J3222,$B$4:$B3222,B3222,$J$4:$J3222,"&gt;"&amp;0),""))</f>
        <v/>
      </c>
      <c r="L3222" s="12" t="n"/>
    </row>
    <row r="3223" ht="14" customHeight="1" s="72">
      <c r="A3223" s="82" t="n"/>
      <c r="B3223" s="79" t="n"/>
      <c r="C3223" s="69">
        <f>IF(B3223="","",IFERROR(INDEX(Client_List!$B:$B,MATCH(B3223,Client_List!$A:$A,0)),"⚠ NOT FOUND"))</f>
        <v/>
      </c>
      <c r="D3223" s="44" t="n"/>
      <c r="E3223" s="32">
        <f>IF(B3223="","",IFERROR(INDEX(Client_List!$C:$C,MATCH(VALUE(B3223),Client_List!$A:$A,0)),""))</f>
        <v/>
      </c>
      <c r="F3223" s="53">
        <f>IF(B3223="","",IFERROR(INDEX(Client_List!$D:$D,MATCH(VALUE(B3223),Client_List!$A:$A,0)),""))</f>
        <v/>
      </c>
      <c r="G3223" s="53">
        <f>IF(B3223="","",IFERROR(INDEX(Client_List!$K:$K,MATCH(VALUE(B3223),Client_List!$A:$A,0)),""))</f>
        <v/>
      </c>
      <c r="H3223" s="32">
        <f>IF(B3223="","",IFERROR(INDEX(Client_List!$J:$J,MATCH(VALUE(B3223),Client_List!$A:$A,0)),""))</f>
        <v/>
      </c>
      <c r="I3223" s="70">
        <f>IF(B3223="","",IFERROR(A3223-LOOKUP(2,1/($B$4:$B3222=B3223),$A$4:$A3222),""))</f>
        <v/>
      </c>
      <c r="J3223" s="32">
        <f>IF(B3223="","",IFERROR(D3223/I3223,""))</f>
        <v/>
      </c>
      <c r="K3223" s="71">
        <f>IF(B3223="","",IFERROR(AVERAGEIFS($J$4:$J3223,$B$4:$B3223,B3223,$J$4:$J3223,"&gt;"&amp;0),""))</f>
        <v/>
      </c>
      <c r="L3223" s="11" t="n"/>
    </row>
    <row r="3224" ht="14" customHeight="1" s="72">
      <c r="A3224" s="83" t="n"/>
      <c r="B3224" s="81" t="n"/>
      <c r="C3224" s="69">
        <f>IF(B3224="","",IFERROR(INDEX(Client_List!$B:$B,MATCH(B3224,Client_List!$A:$A,0)),"⚠ NOT FOUND"))</f>
        <v/>
      </c>
      <c r="D3224" s="45" t="n"/>
      <c r="E3224" s="32">
        <f>IF(B3224="","",IFERROR(INDEX(Client_List!$C:$C,MATCH(VALUE(B3224),Client_List!$A:$A,0)),""))</f>
        <v/>
      </c>
      <c r="F3224" s="53">
        <f>IF(B3224="","",IFERROR(INDEX(Client_List!$D:$D,MATCH(VALUE(B3224),Client_List!$A:$A,0)),""))</f>
        <v/>
      </c>
      <c r="G3224" s="53">
        <f>IF(B3224="","",IFERROR(INDEX(Client_List!$K:$K,MATCH(VALUE(B3224),Client_List!$A:$A,0)),""))</f>
        <v/>
      </c>
      <c r="H3224" s="32">
        <f>IF(B3224="","",IFERROR(INDEX(Client_List!$J:$J,MATCH(VALUE(B3224),Client_List!$A:$A,0)),""))</f>
        <v/>
      </c>
      <c r="I3224" s="70">
        <f>IF(B3224="","",IFERROR(A3224-LOOKUP(2,1/($B$4:$B3223=B3224),$A$4:$A3223),""))</f>
        <v/>
      </c>
      <c r="J3224" s="32">
        <f>IF(B3224="","",IFERROR(D3224/I3224,""))</f>
        <v/>
      </c>
      <c r="K3224" s="71">
        <f>IF(B3224="","",IFERROR(AVERAGEIFS($J$4:$J3224,$B$4:$B3224,B3224,$J$4:$J3224,"&gt;"&amp;0),""))</f>
        <v/>
      </c>
      <c r="L3224" s="12" t="n"/>
    </row>
    <row r="3225" ht="14" customHeight="1" s="72">
      <c r="A3225" s="82" t="n"/>
      <c r="B3225" s="79" t="n"/>
      <c r="C3225" s="69">
        <f>IF(B3225="","",IFERROR(INDEX(Client_List!$B:$B,MATCH(B3225,Client_List!$A:$A,0)),"⚠ NOT FOUND"))</f>
        <v/>
      </c>
      <c r="D3225" s="44" t="n"/>
      <c r="E3225" s="32">
        <f>IF(B3225="","",IFERROR(INDEX(Client_List!$C:$C,MATCH(VALUE(B3225),Client_List!$A:$A,0)),""))</f>
        <v/>
      </c>
      <c r="F3225" s="53">
        <f>IF(B3225="","",IFERROR(INDEX(Client_List!$D:$D,MATCH(VALUE(B3225),Client_List!$A:$A,0)),""))</f>
        <v/>
      </c>
      <c r="G3225" s="53">
        <f>IF(B3225="","",IFERROR(INDEX(Client_List!$K:$K,MATCH(VALUE(B3225),Client_List!$A:$A,0)),""))</f>
        <v/>
      </c>
      <c r="H3225" s="32">
        <f>IF(B3225="","",IFERROR(INDEX(Client_List!$J:$J,MATCH(VALUE(B3225),Client_List!$A:$A,0)),""))</f>
        <v/>
      </c>
      <c r="I3225" s="70">
        <f>IF(B3225="","",IFERROR(A3225-LOOKUP(2,1/($B$4:$B3224=B3225),$A$4:$A3224),""))</f>
        <v/>
      </c>
      <c r="J3225" s="32">
        <f>IF(B3225="","",IFERROR(D3225/I3225,""))</f>
        <v/>
      </c>
      <c r="K3225" s="71">
        <f>IF(B3225="","",IFERROR(AVERAGEIFS($J$4:$J3225,$B$4:$B3225,B3225,$J$4:$J3225,"&gt;"&amp;0),""))</f>
        <v/>
      </c>
      <c r="L3225" s="11" t="n"/>
    </row>
    <row r="3226" ht="14" customHeight="1" s="72">
      <c r="A3226" s="83" t="n"/>
      <c r="B3226" s="81" t="n"/>
      <c r="C3226" s="69">
        <f>IF(B3226="","",IFERROR(INDEX(Client_List!$B:$B,MATCH(B3226,Client_List!$A:$A,0)),"⚠ NOT FOUND"))</f>
        <v/>
      </c>
      <c r="D3226" s="45" t="n"/>
      <c r="E3226" s="32">
        <f>IF(B3226="","",IFERROR(INDEX(Client_List!$C:$C,MATCH(VALUE(B3226),Client_List!$A:$A,0)),""))</f>
        <v/>
      </c>
      <c r="F3226" s="53">
        <f>IF(B3226="","",IFERROR(INDEX(Client_List!$D:$D,MATCH(VALUE(B3226),Client_List!$A:$A,0)),""))</f>
        <v/>
      </c>
      <c r="G3226" s="53">
        <f>IF(B3226="","",IFERROR(INDEX(Client_List!$K:$K,MATCH(VALUE(B3226),Client_List!$A:$A,0)),""))</f>
        <v/>
      </c>
      <c r="H3226" s="32">
        <f>IF(B3226="","",IFERROR(INDEX(Client_List!$J:$J,MATCH(VALUE(B3226),Client_List!$A:$A,0)),""))</f>
        <v/>
      </c>
      <c r="I3226" s="70">
        <f>IF(B3226="","",IFERROR(A3226-LOOKUP(2,1/($B$4:$B3225=B3226),$A$4:$A3225),""))</f>
        <v/>
      </c>
      <c r="J3226" s="32">
        <f>IF(B3226="","",IFERROR(D3226/I3226,""))</f>
        <v/>
      </c>
      <c r="K3226" s="71">
        <f>IF(B3226="","",IFERROR(AVERAGEIFS($J$4:$J3226,$B$4:$B3226,B3226,$J$4:$J3226,"&gt;"&amp;0),""))</f>
        <v/>
      </c>
      <c r="L3226" s="12" t="n"/>
    </row>
    <row r="3227" ht="14" customHeight="1" s="72">
      <c r="A3227" s="82" t="n"/>
      <c r="B3227" s="79" t="n"/>
      <c r="C3227" s="69">
        <f>IF(B3227="","",IFERROR(INDEX(Client_List!$B:$B,MATCH(B3227,Client_List!$A:$A,0)),"⚠ NOT FOUND"))</f>
        <v/>
      </c>
      <c r="D3227" s="44" t="n"/>
      <c r="E3227" s="32">
        <f>IF(B3227="","",IFERROR(INDEX(Client_List!$C:$C,MATCH(VALUE(B3227),Client_List!$A:$A,0)),""))</f>
        <v/>
      </c>
      <c r="F3227" s="53">
        <f>IF(B3227="","",IFERROR(INDEX(Client_List!$D:$D,MATCH(VALUE(B3227),Client_List!$A:$A,0)),""))</f>
        <v/>
      </c>
      <c r="G3227" s="53">
        <f>IF(B3227="","",IFERROR(INDEX(Client_List!$K:$K,MATCH(VALUE(B3227),Client_List!$A:$A,0)),""))</f>
        <v/>
      </c>
      <c r="H3227" s="32">
        <f>IF(B3227="","",IFERROR(INDEX(Client_List!$J:$J,MATCH(VALUE(B3227),Client_List!$A:$A,0)),""))</f>
        <v/>
      </c>
      <c r="I3227" s="70">
        <f>IF(B3227="","",IFERROR(A3227-LOOKUP(2,1/($B$4:$B3226=B3227),$A$4:$A3226),""))</f>
        <v/>
      </c>
      <c r="J3227" s="32">
        <f>IF(B3227="","",IFERROR(D3227/I3227,""))</f>
        <v/>
      </c>
      <c r="K3227" s="71">
        <f>IF(B3227="","",IFERROR(AVERAGEIFS($J$4:$J3227,$B$4:$B3227,B3227,$J$4:$J3227,"&gt;"&amp;0),""))</f>
        <v/>
      </c>
      <c r="L3227" s="11" t="n"/>
    </row>
    <row r="3228" ht="14" customHeight="1" s="72">
      <c r="A3228" s="83" t="n"/>
      <c r="B3228" s="81" t="n"/>
      <c r="C3228" s="69">
        <f>IF(B3228="","",IFERROR(INDEX(Client_List!$B:$B,MATCH(B3228,Client_List!$A:$A,0)),"⚠ NOT FOUND"))</f>
        <v/>
      </c>
      <c r="D3228" s="45" t="n"/>
      <c r="E3228" s="32">
        <f>IF(B3228="","",IFERROR(INDEX(Client_List!$C:$C,MATCH(VALUE(B3228),Client_List!$A:$A,0)),""))</f>
        <v/>
      </c>
      <c r="F3228" s="53">
        <f>IF(B3228="","",IFERROR(INDEX(Client_List!$D:$D,MATCH(VALUE(B3228),Client_List!$A:$A,0)),""))</f>
        <v/>
      </c>
      <c r="G3228" s="53">
        <f>IF(B3228="","",IFERROR(INDEX(Client_List!$K:$K,MATCH(VALUE(B3228),Client_List!$A:$A,0)),""))</f>
        <v/>
      </c>
      <c r="H3228" s="32">
        <f>IF(B3228="","",IFERROR(INDEX(Client_List!$J:$J,MATCH(VALUE(B3228),Client_List!$A:$A,0)),""))</f>
        <v/>
      </c>
      <c r="I3228" s="70">
        <f>IF(B3228="","",IFERROR(A3228-LOOKUP(2,1/($B$4:$B3227=B3228),$A$4:$A3227),""))</f>
        <v/>
      </c>
      <c r="J3228" s="32">
        <f>IF(B3228="","",IFERROR(D3228/I3228,""))</f>
        <v/>
      </c>
      <c r="K3228" s="71">
        <f>IF(B3228="","",IFERROR(AVERAGEIFS($J$4:$J3228,$B$4:$B3228,B3228,$J$4:$J3228,"&gt;"&amp;0),""))</f>
        <v/>
      </c>
      <c r="L3228" s="12" t="n"/>
    </row>
    <row r="3229" ht="14" customHeight="1" s="72">
      <c r="A3229" s="82" t="n"/>
      <c r="B3229" s="79" t="n"/>
      <c r="C3229" s="69">
        <f>IF(B3229="","",IFERROR(INDEX(Client_List!$B:$B,MATCH(B3229,Client_List!$A:$A,0)),"⚠ NOT FOUND"))</f>
        <v/>
      </c>
      <c r="D3229" s="44" t="n"/>
      <c r="E3229" s="32">
        <f>IF(B3229="","",IFERROR(INDEX(Client_List!$C:$C,MATCH(VALUE(B3229),Client_List!$A:$A,0)),""))</f>
        <v/>
      </c>
      <c r="F3229" s="53">
        <f>IF(B3229="","",IFERROR(INDEX(Client_List!$D:$D,MATCH(VALUE(B3229),Client_List!$A:$A,0)),""))</f>
        <v/>
      </c>
      <c r="G3229" s="53">
        <f>IF(B3229="","",IFERROR(INDEX(Client_List!$K:$K,MATCH(VALUE(B3229),Client_List!$A:$A,0)),""))</f>
        <v/>
      </c>
      <c r="H3229" s="32">
        <f>IF(B3229="","",IFERROR(INDEX(Client_List!$J:$J,MATCH(VALUE(B3229),Client_List!$A:$A,0)),""))</f>
        <v/>
      </c>
      <c r="I3229" s="70">
        <f>IF(B3229="","",IFERROR(A3229-LOOKUP(2,1/($B$4:$B3228=B3229),$A$4:$A3228),""))</f>
        <v/>
      </c>
      <c r="J3229" s="32">
        <f>IF(B3229="","",IFERROR(D3229/I3229,""))</f>
        <v/>
      </c>
      <c r="K3229" s="71">
        <f>IF(B3229="","",IFERROR(AVERAGEIFS($J$4:$J3229,$B$4:$B3229,B3229,$J$4:$J3229,"&gt;"&amp;0),""))</f>
        <v/>
      </c>
      <c r="L3229" s="11" t="n"/>
    </row>
    <row r="3230" ht="14" customHeight="1" s="72">
      <c r="A3230" s="83" t="n"/>
      <c r="B3230" s="81" t="n"/>
      <c r="C3230" s="69">
        <f>IF(B3230="","",IFERROR(INDEX(Client_List!$B:$B,MATCH(B3230,Client_List!$A:$A,0)),"⚠ NOT FOUND"))</f>
        <v/>
      </c>
      <c r="D3230" s="45" t="n"/>
      <c r="E3230" s="32">
        <f>IF(B3230="","",IFERROR(INDEX(Client_List!$C:$C,MATCH(VALUE(B3230),Client_List!$A:$A,0)),""))</f>
        <v/>
      </c>
      <c r="F3230" s="53">
        <f>IF(B3230="","",IFERROR(INDEX(Client_List!$D:$D,MATCH(VALUE(B3230),Client_List!$A:$A,0)),""))</f>
        <v/>
      </c>
      <c r="G3230" s="53">
        <f>IF(B3230="","",IFERROR(INDEX(Client_List!$K:$K,MATCH(VALUE(B3230),Client_List!$A:$A,0)),""))</f>
        <v/>
      </c>
      <c r="H3230" s="32">
        <f>IF(B3230="","",IFERROR(INDEX(Client_List!$J:$J,MATCH(VALUE(B3230),Client_List!$A:$A,0)),""))</f>
        <v/>
      </c>
      <c r="I3230" s="70">
        <f>IF(B3230="","",IFERROR(A3230-LOOKUP(2,1/($B$4:$B3229=B3230),$A$4:$A3229),""))</f>
        <v/>
      </c>
      <c r="J3230" s="32">
        <f>IF(B3230="","",IFERROR(D3230/I3230,""))</f>
        <v/>
      </c>
      <c r="K3230" s="71">
        <f>IF(B3230="","",IFERROR(AVERAGEIFS($J$4:$J3230,$B$4:$B3230,B3230,$J$4:$J3230,"&gt;"&amp;0),""))</f>
        <v/>
      </c>
      <c r="L3230" s="12" t="n"/>
    </row>
    <row r="3231" ht="14" customHeight="1" s="72">
      <c r="A3231" s="82" t="n"/>
      <c r="B3231" s="79" t="n"/>
      <c r="C3231" s="69">
        <f>IF(B3231="","",IFERROR(INDEX(Client_List!$B:$B,MATCH(B3231,Client_List!$A:$A,0)),"⚠ NOT FOUND"))</f>
        <v/>
      </c>
      <c r="D3231" s="44" t="n"/>
      <c r="E3231" s="32">
        <f>IF(B3231="","",IFERROR(INDEX(Client_List!$C:$C,MATCH(VALUE(B3231),Client_List!$A:$A,0)),""))</f>
        <v/>
      </c>
      <c r="F3231" s="53">
        <f>IF(B3231="","",IFERROR(INDEX(Client_List!$D:$D,MATCH(VALUE(B3231),Client_List!$A:$A,0)),""))</f>
        <v/>
      </c>
      <c r="G3231" s="53">
        <f>IF(B3231="","",IFERROR(INDEX(Client_List!$K:$K,MATCH(VALUE(B3231),Client_List!$A:$A,0)),""))</f>
        <v/>
      </c>
      <c r="H3231" s="32">
        <f>IF(B3231="","",IFERROR(INDEX(Client_List!$J:$J,MATCH(VALUE(B3231),Client_List!$A:$A,0)),""))</f>
        <v/>
      </c>
      <c r="I3231" s="70">
        <f>IF(B3231="","",IFERROR(A3231-LOOKUP(2,1/($B$4:$B3230=B3231),$A$4:$A3230),""))</f>
        <v/>
      </c>
      <c r="J3231" s="32">
        <f>IF(B3231="","",IFERROR(D3231/I3231,""))</f>
        <v/>
      </c>
      <c r="K3231" s="71">
        <f>IF(B3231="","",IFERROR(AVERAGEIFS($J$4:$J3231,$B$4:$B3231,B3231,$J$4:$J3231,"&gt;"&amp;0),""))</f>
        <v/>
      </c>
      <c r="L3231" s="11" t="n"/>
    </row>
    <row r="3232" ht="14" customHeight="1" s="72">
      <c r="A3232" s="83" t="n"/>
      <c r="B3232" s="81" t="n"/>
      <c r="C3232" s="69">
        <f>IF(B3232="","",IFERROR(INDEX(Client_List!$B:$B,MATCH(B3232,Client_List!$A:$A,0)),"⚠ NOT FOUND"))</f>
        <v/>
      </c>
      <c r="D3232" s="45" t="n"/>
      <c r="E3232" s="32">
        <f>IF(B3232="","",IFERROR(INDEX(Client_List!$C:$C,MATCH(VALUE(B3232),Client_List!$A:$A,0)),""))</f>
        <v/>
      </c>
      <c r="F3232" s="53">
        <f>IF(B3232="","",IFERROR(INDEX(Client_List!$D:$D,MATCH(VALUE(B3232),Client_List!$A:$A,0)),""))</f>
        <v/>
      </c>
      <c r="G3232" s="53">
        <f>IF(B3232="","",IFERROR(INDEX(Client_List!$K:$K,MATCH(VALUE(B3232),Client_List!$A:$A,0)),""))</f>
        <v/>
      </c>
      <c r="H3232" s="32">
        <f>IF(B3232="","",IFERROR(INDEX(Client_List!$J:$J,MATCH(VALUE(B3232),Client_List!$A:$A,0)),""))</f>
        <v/>
      </c>
      <c r="I3232" s="70">
        <f>IF(B3232="","",IFERROR(A3232-LOOKUP(2,1/($B$4:$B3231=B3232),$A$4:$A3231),""))</f>
        <v/>
      </c>
      <c r="J3232" s="32">
        <f>IF(B3232="","",IFERROR(D3232/I3232,""))</f>
        <v/>
      </c>
      <c r="K3232" s="71">
        <f>IF(B3232="","",IFERROR(AVERAGEIFS($J$4:$J3232,$B$4:$B3232,B3232,$J$4:$J3232,"&gt;"&amp;0),""))</f>
        <v/>
      </c>
      <c r="L3232" s="12" t="n"/>
    </row>
    <row r="3233" ht="14" customHeight="1" s="72">
      <c r="A3233" s="82" t="n"/>
      <c r="B3233" s="79" t="n"/>
      <c r="C3233" s="69">
        <f>IF(B3233="","",IFERROR(INDEX(Client_List!$B:$B,MATCH(B3233,Client_List!$A:$A,0)),"⚠ NOT FOUND"))</f>
        <v/>
      </c>
      <c r="D3233" s="44" t="n"/>
      <c r="E3233" s="32">
        <f>IF(B3233="","",IFERROR(INDEX(Client_List!$C:$C,MATCH(VALUE(B3233),Client_List!$A:$A,0)),""))</f>
        <v/>
      </c>
      <c r="F3233" s="53">
        <f>IF(B3233="","",IFERROR(INDEX(Client_List!$D:$D,MATCH(VALUE(B3233),Client_List!$A:$A,0)),""))</f>
        <v/>
      </c>
      <c r="G3233" s="53">
        <f>IF(B3233="","",IFERROR(INDEX(Client_List!$K:$K,MATCH(VALUE(B3233),Client_List!$A:$A,0)),""))</f>
        <v/>
      </c>
      <c r="H3233" s="32">
        <f>IF(B3233="","",IFERROR(INDEX(Client_List!$J:$J,MATCH(VALUE(B3233),Client_List!$A:$A,0)),""))</f>
        <v/>
      </c>
      <c r="I3233" s="70">
        <f>IF(B3233="","",IFERROR(A3233-LOOKUP(2,1/($B$4:$B3232=B3233),$A$4:$A3232),""))</f>
        <v/>
      </c>
      <c r="J3233" s="32">
        <f>IF(B3233="","",IFERROR(D3233/I3233,""))</f>
        <v/>
      </c>
      <c r="K3233" s="71">
        <f>IF(B3233="","",IFERROR(AVERAGEIFS($J$4:$J3233,$B$4:$B3233,B3233,$J$4:$J3233,"&gt;"&amp;0),""))</f>
        <v/>
      </c>
      <c r="L3233" s="11" t="n"/>
    </row>
    <row r="3234" ht="14" customHeight="1" s="72">
      <c r="A3234" s="83" t="n"/>
      <c r="B3234" s="81" t="n"/>
      <c r="C3234" s="69">
        <f>IF(B3234="","",IFERROR(INDEX(Client_List!$B:$B,MATCH(B3234,Client_List!$A:$A,0)),"⚠ NOT FOUND"))</f>
        <v/>
      </c>
      <c r="D3234" s="45" t="n"/>
      <c r="E3234" s="32">
        <f>IF(B3234="","",IFERROR(INDEX(Client_List!$C:$C,MATCH(VALUE(B3234),Client_List!$A:$A,0)),""))</f>
        <v/>
      </c>
      <c r="F3234" s="53">
        <f>IF(B3234="","",IFERROR(INDEX(Client_List!$D:$D,MATCH(VALUE(B3234),Client_List!$A:$A,0)),""))</f>
        <v/>
      </c>
      <c r="G3234" s="53">
        <f>IF(B3234="","",IFERROR(INDEX(Client_List!$K:$K,MATCH(VALUE(B3234),Client_List!$A:$A,0)),""))</f>
        <v/>
      </c>
      <c r="H3234" s="32">
        <f>IF(B3234="","",IFERROR(INDEX(Client_List!$J:$J,MATCH(VALUE(B3234),Client_List!$A:$A,0)),""))</f>
        <v/>
      </c>
      <c r="I3234" s="70">
        <f>IF(B3234="","",IFERROR(A3234-LOOKUP(2,1/($B$4:$B3233=B3234),$A$4:$A3233),""))</f>
        <v/>
      </c>
      <c r="J3234" s="32">
        <f>IF(B3234="","",IFERROR(D3234/I3234,""))</f>
        <v/>
      </c>
      <c r="K3234" s="71">
        <f>IF(B3234="","",IFERROR(AVERAGEIFS($J$4:$J3234,$B$4:$B3234,B3234,$J$4:$J3234,"&gt;"&amp;0),""))</f>
        <v/>
      </c>
      <c r="L3234" s="12" t="n"/>
    </row>
    <row r="3235" ht="14" customHeight="1" s="72">
      <c r="A3235" s="82" t="n"/>
      <c r="B3235" s="79" t="n"/>
      <c r="C3235" s="69">
        <f>IF(B3235="","",IFERROR(INDEX(Client_List!$B:$B,MATCH(B3235,Client_List!$A:$A,0)),"⚠ NOT FOUND"))</f>
        <v/>
      </c>
      <c r="D3235" s="44" t="n"/>
      <c r="E3235" s="32">
        <f>IF(B3235="","",IFERROR(INDEX(Client_List!$C:$C,MATCH(VALUE(B3235),Client_List!$A:$A,0)),""))</f>
        <v/>
      </c>
      <c r="F3235" s="53">
        <f>IF(B3235="","",IFERROR(INDEX(Client_List!$D:$D,MATCH(VALUE(B3235),Client_List!$A:$A,0)),""))</f>
        <v/>
      </c>
      <c r="G3235" s="53">
        <f>IF(B3235="","",IFERROR(INDEX(Client_List!$K:$K,MATCH(VALUE(B3235),Client_List!$A:$A,0)),""))</f>
        <v/>
      </c>
      <c r="H3235" s="32">
        <f>IF(B3235="","",IFERROR(INDEX(Client_List!$J:$J,MATCH(VALUE(B3235),Client_List!$A:$A,0)),""))</f>
        <v/>
      </c>
      <c r="I3235" s="70">
        <f>IF(B3235="","",IFERROR(A3235-LOOKUP(2,1/($B$4:$B3234=B3235),$A$4:$A3234),""))</f>
        <v/>
      </c>
      <c r="J3235" s="32">
        <f>IF(B3235="","",IFERROR(D3235/I3235,""))</f>
        <v/>
      </c>
      <c r="K3235" s="71">
        <f>IF(B3235="","",IFERROR(AVERAGEIFS($J$4:$J3235,$B$4:$B3235,B3235,$J$4:$J3235,"&gt;"&amp;0),""))</f>
        <v/>
      </c>
      <c r="L3235" s="11" t="n"/>
    </row>
    <row r="3236" ht="14" customHeight="1" s="72">
      <c r="A3236" s="83" t="n"/>
      <c r="B3236" s="81" t="n"/>
      <c r="C3236" s="69">
        <f>IF(B3236="","",IFERROR(INDEX(Client_List!$B:$B,MATCH(B3236,Client_List!$A:$A,0)),"⚠ NOT FOUND"))</f>
        <v/>
      </c>
      <c r="D3236" s="45" t="n"/>
      <c r="E3236" s="32">
        <f>IF(B3236="","",IFERROR(INDEX(Client_List!$C:$C,MATCH(VALUE(B3236),Client_List!$A:$A,0)),""))</f>
        <v/>
      </c>
      <c r="F3236" s="53">
        <f>IF(B3236="","",IFERROR(INDEX(Client_List!$D:$D,MATCH(VALUE(B3236),Client_List!$A:$A,0)),""))</f>
        <v/>
      </c>
      <c r="G3236" s="53">
        <f>IF(B3236="","",IFERROR(INDEX(Client_List!$K:$K,MATCH(VALUE(B3236),Client_List!$A:$A,0)),""))</f>
        <v/>
      </c>
      <c r="H3236" s="32">
        <f>IF(B3236="","",IFERROR(INDEX(Client_List!$J:$J,MATCH(VALUE(B3236),Client_List!$A:$A,0)),""))</f>
        <v/>
      </c>
      <c r="I3236" s="70">
        <f>IF(B3236="","",IFERROR(A3236-LOOKUP(2,1/($B$4:$B3235=B3236),$A$4:$A3235),""))</f>
        <v/>
      </c>
      <c r="J3236" s="32">
        <f>IF(B3236="","",IFERROR(D3236/I3236,""))</f>
        <v/>
      </c>
      <c r="K3236" s="71">
        <f>IF(B3236="","",IFERROR(AVERAGEIFS($J$4:$J3236,$B$4:$B3236,B3236,$J$4:$J3236,"&gt;"&amp;0),""))</f>
        <v/>
      </c>
      <c r="L3236" s="12" t="n"/>
    </row>
    <row r="3237" ht="14" customHeight="1" s="72">
      <c r="A3237" s="82" t="n"/>
      <c r="B3237" s="79" t="n"/>
      <c r="C3237" s="69">
        <f>IF(B3237="","",IFERROR(INDEX(Client_List!$B:$B,MATCH(B3237,Client_List!$A:$A,0)),"⚠ NOT FOUND"))</f>
        <v/>
      </c>
      <c r="D3237" s="44" t="n"/>
      <c r="E3237" s="32">
        <f>IF(B3237="","",IFERROR(INDEX(Client_List!$C:$C,MATCH(VALUE(B3237),Client_List!$A:$A,0)),""))</f>
        <v/>
      </c>
      <c r="F3237" s="53">
        <f>IF(B3237="","",IFERROR(INDEX(Client_List!$D:$D,MATCH(VALUE(B3237),Client_List!$A:$A,0)),""))</f>
        <v/>
      </c>
      <c r="G3237" s="53">
        <f>IF(B3237="","",IFERROR(INDEX(Client_List!$K:$K,MATCH(VALUE(B3237),Client_List!$A:$A,0)),""))</f>
        <v/>
      </c>
      <c r="H3237" s="32">
        <f>IF(B3237="","",IFERROR(INDEX(Client_List!$J:$J,MATCH(VALUE(B3237),Client_List!$A:$A,0)),""))</f>
        <v/>
      </c>
      <c r="I3237" s="70">
        <f>IF(B3237="","",IFERROR(A3237-LOOKUP(2,1/($B$4:$B3236=B3237),$A$4:$A3236),""))</f>
        <v/>
      </c>
      <c r="J3237" s="32">
        <f>IF(B3237="","",IFERROR(D3237/I3237,""))</f>
        <v/>
      </c>
      <c r="K3237" s="71">
        <f>IF(B3237="","",IFERROR(AVERAGEIFS($J$4:$J3237,$B$4:$B3237,B3237,$J$4:$J3237,"&gt;"&amp;0),""))</f>
        <v/>
      </c>
      <c r="L3237" s="11" t="n"/>
    </row>
    <row r="3238" ht="14" customHeight="1" s="72">
      <c r="A3238" s="83" t="n"/>
      <c r="B3238" s="81" t="n"/>
      <c r="C3238" s="69">
        <f>IF(B3238="","",IFERROR(INDEX(Client_List!$B:$B,MATCH(B3238,Client_List!$A:$A,0)),"⚠ NOT FOUND"))</f>
        <v/>
      </c>
      <c r="D3238" s="45" t="n"/>
      <c r="E3238" s="32">
        <f>IF(B3238="","",IFERROR(INDEX(Client_List!$C:$C,MATCH(VALUE(B3238),Client_List!$A:$A,0)),""))</f>
        <v/>
      </c>
      <c r="F3238" s="53">
        <f>IF(B3238="","",IFERROR(INDEX(Client_List!$D:$D,MATCH(VALUE(B3238),Client_List!$A:$A,0)),""))</f>
        <v/>
      </c>
      <c r="G3238" s="53">
        <f>IF(B3238="","",IFERROR(INDEX(Client_List!$K:$K,MATCH(VALUE(B3238),Client_List!$A:$A,0)),""))</f>
        <v/>
      </c>
      <c r="H3238" s="32">
        <f>IF(B3238="","",IFERROR(INDEX(Client_List!$J:$J,MATCH(VALUE(B3238),Client_List!$A:$A,0)),""))</f>
        <v/>
      </c>
      <c r="I3238" s="70">
        <f>IF(B3238="","",IFERROR(A3238-LOOKUP(2,1/($B$4:$B3237=B3238),$A$4:$A3237),""))</f>
        <v/>
      </c>
      <c r="J3238" s="32">
        <f>IF(B3238="","",IFERROR(D3238/I3238,""))</f>
        <v/>
      </c>
      <c r="K3238" s="71">
        <f>IF(B3238="","",IFERROR(AVERAGEIFS($J$4:$J3238,$B$4:$B3238,B3238,$J$4:$J3238,"&gt;"&amp;0),""))</f>
        <v/>
      </c>
      <c r="L3238" s="12" t="n"/>
    </row>
    <row r="3239" ht="14" customHeight="1" s="72">
      <c r="A3239" s="82" t="n"/>
      <c r="B3239" s="79" t="n"/>
      <c r="C3239" s="69">
        <f>IF(B3239="","",IFERROR(INDEX(Client_List!$B:$B,MATCH(B3239,Client_List!$A:$A,0)),"⚠ NOT FOUND"))</f>
        <v/>
      </c>
      <c r="D3239" s="44" t="n"/>
      <c r="E3239" s="32">
        <f>IF(B3239="","",IFERROR(INDEX(Client_List!$C:$C,MATCH(VALUE(B3239),Client_List!$A:$A,0)),""))</f>
        <v/>
      </c>
      <c r="F3239" s="53">
        <f>IF(B3239="","",IFERROR(INDEX(Client_List!$D:$D,MATCH(VALUE(B3239),Client_List!$A:$A,0)),""))</f>
        <v/>
      </c>
      <c r="G3239" s="53">
        <f>IF(B3239="","",IFERROR(INDEX(Client_List!$K:$K,MATCH(VALUE(B3239),Client_List!$A:$A,0)),""))</f>
        <v/>
      </c>
      <c r="H3239" s="32">
        <f>IF(B3239="","",IFERROR(INDEX(Client_List!$J:$J,MATCH(VALUE(B3239),Client_List!$A:$A,0)),""))</f>
        <v/>
      </c>
      <c r="I3239" s="70">
        <f>IF(B3239="","",IFERROR(A3239-LOOKUP(2,1/($B$4:$B3238=B3239),$A$4:$A3238),""))</f>
        <v/>
      </c>
      <c r="J3239" s="32">
        <f>IF(B3239="","",IFERROR(D3239/I3239,""))</f>
        <v/>
      </c>
      <c r="K3239" s="71">
        <f>IF(B3239="","",IFERROR(AVERAGEIFS($J$4:$J3239,$B$4:$B3239,B3239,$J$4:$J3239,"&gt;"&amp;0),""))</f>
        <v/>
      </c>
      <c r="L3239" s="11" t="n"/>
    </row>
    <row r="3240" ht="14" customHeight="1" s="72">
      <c r="A3240" s="83" t="n"/>
      <c r="B3240" s="81" t="n"/>
      <c r="C3240" s="69">
        <f>IF(B3240="","",IFERROR(INDEX(Client_List!$B:$B,MATCH(B3240,Client_List!$A:$A,0)),"⚠ NOT FOUND"))</f>
        <v/>
      </c>
      <c r="D3240" s="45" t="n"/>
      <c r="E3240" s="32">
        <f>IF(B3240="","",IFERROR(INDEX(Client_List!$C:$C,MATCH(VALUE(B3240),Client_List!$A:$A,0)),""))</f>
        <v/>
      </c>
      <c r="F3240" s="53">
        <f>IF(B3240="","",IFERROR(INDEX(Client_List!$D:$D,MATCH(VALUE(B3240),Client_List!$A:$A,0)),""))</f>
        <v/>
      </c>
      <c r="G3240" s="53">
        <f>IF(B3240="","",IFERROR(INDEX(Client_List!$K:$K,MATCH(VALUE(B3240),Client_List!$A:$A,0)),""))</f>
        <v/>
      </c>
      <c r="H3240" s="32">
        <f>IF(B3240="","",IFERROR(INDEX(Client_List!$J:$J,MATCH(VALUE(B3240),Client_List!$A:$A,0)),""))</f>
        <v/>
      </c>
      <c r="I3240" s="70">
        <f>IF(B3240="","",IFERROR(A3240-LOOKUP(2,1/($B$4:$B3239=B3240),$A$4:$A3239),""))</f>
        <v/>
      </c>
      <c r="J3240" s="32">
        <f>IF(B3240="","",IFERROR(D3240/I3240,""))</f>
        <v/>
      </c>
      <c r="K3240" s="71">
        <f>IF(B3240="","",IFERROR(AVERAGEIFS($J$4:$J3240,$B$4:$B3240,B3240,$J$4:$J3240,"&gt;"&amp;0),""))</f>
        <v/>
      </c>
      <c r="L3240" s="12" t="n"/>
    </row>
    <row r="3241" ht="14" customHeight="1" s="72">
      <c r="A3241" s="82" t="n"/>
      <c r="B3241" s="79" t="n"/>
      <c r="C3241" s="69">
        <f>IF(B3241="","",IFERROR(INDEX(Client_List!$B:$B,MATCH(B3241,Client_List!$A:$A,0)),"⚠ NOT FOUND"))</f>
        <v/>
      </c>
      <c r="D3241" s="44" t="n"/>
      <c r="E3241" s="32">
        <f>IF(B3241="","",IFERROR(INDEX(Client_List!$C:$C,MATCH(VALUE(B3241),Client_List!$A:$A,0)),""))</f>
        <v/>
      </c>
      <c r="F3241" s="53">
        <f>IF(B3241="","",IFERROR(INDEX(Client_List!$D:$D,MATCH(VALUE(B3241),Client_List!$A:$A,0)),""))</f>
        <v/>
      </c>
      <c r="G3241" s="53">
        <f>IF(B3241="","",IFERROR(INDEX(Client_List!$K:$K,MATCH(VALUE(B3241),Client_List!$A:$A,0)),""))</f>
        <v/>
      </c>
      <c r="H3241" s="32">
        <f>IF(B3241="","",IFERROR(INDEX(Client_List!$J:$J,MATCH(VALUE(B3241),Client_List!$A:$A,0)),""))</f>
        <v/>
      </c>
      <c r="I3241" s="70">
        <f>IF(B3241="","",IFERROR(A3241-LOOKUP(2,1/($B$4:$B3240=B3241),$A$4:$A3240),""))</f>
        <v/>
      </c>
      <c r="J3241" s="32">
        <f>IF(B3241="","",IFERROR(D3241/I3241,""))</f>
        <v/>
      </c>
      <c r="K3241" s="71">
        <f>IF(B3241="","",IFERROR(AVERAGEIFS($J$4:$J3241,$B$4:$B3241,B3241,$J$4:$J3241,"&gt;"&amp;0),""))</f>
        <v/>
      </c>
      <c r="L3241" s="11" t="n"/>
    </row>
    <row r="3242" ht="14" customHeight="1" s="72">
      <c r="A3242" s="83" t="n"/>
      <c r="B3242" s="81" t="n"/>
      <c r="C3242" s="69">
        <f>IF(B3242="","",IFERROR(INDEX(Client_List!$B:$B,MATCH(B3242,Client_List!$A:$A,0)),"⚠ NOT FOUND"))</f>
        <v/>
      </c>
      <c r="D3242" s="45" t="n"/>
      <c r="E3242" s="32">
        <f>IF(B3242="","",IFERROR(INDEX(Client_List!$C:$C,MATCH(VALUE(B3242),Client_List!$A:$A,0)),""))</f>
        <v/>
      </c>
      <c r="F3242" s="53">
        <f>IF(B3242="","",IFERROR(INDEX(Client_List!$D:$D,MATCH(VALUE(B3242),Client_List!$A:$A,0)),""))</f>
        <v/>
      </c>
      <c r="G3242" s="53">
        <f>IF(B3242="","",IFERROR(INDEX(Client_List!$K:$K,MATCH(VALUE(B3242),Client_List!$A:$A,0)),""))</f>
        <v/>
      </c>
      <c r="H3242" s="32">
        <f>IF(B3242="","",IFERROR(INDEX(Client_List!$J:$J,MATCH(VALUE(B3242),Client_List!$A:$A,0)),""))</f>
        <v/>
      </c>
      <c r="I3242" s="70">
        <f>IF(B3242="","",IFERROR(A3242-LOOKUP(2,1/($B$4:$B3241=B3242),$A$4:$A3241),""))</f>
        <v/>
      </c>
      <c r="J3242" s="32">
        <f>IF(B3242="","",IFERROR(D3242/I3242,""))</f>
        <v/>
      </c>
      <c r="K3242" s="71">
        <f>IF(B3242="","",IFERROR(AVERAGEIFS($J$4:$J3242,$B$4:$B3242,B3242,$J$4:$J3242,"&gt;"&amp;0),""))</f>
        <v/>
      </c>
      <c r="L3242" s="12" t="n"/>
    </row>
    <row r="3243" ht="14" customHeight="1" s="72">
      <c r="A3243" s="82" t="n"/>
      <c r="B3243" s="79" t="n"/>
      <c r="C3243" s="69">
        <f>IF(B3243="","",IFERROR(INDEX(Client_List!$B:$B,MATCH(B3243,Client_List!$A:$A,0)),"⚠ NOT FOUND"))</f>
        <v/>
      </c>
      <c r="D3243" s="44" t="n"/>
      <c r="E3243" s="32">
        <f>IF(B3243="","",IFERROR(INDEX(Client_List!$C:$C,MATCH(VALUE(B3243),Client_List!$A:$A,0)),""))</f>
        <v/>
      </c>
      <c r="F3243" s="53">
        <f>IF(B3243="","",IFERROR(INDEX(Client_List!$D:$D,MATCH(VALUE(B3243),Client_List!$A:$A,0)),""))</f>
        <v/>
      </c>
      <c r="G3243" s="53">
        <f>IF(B3243="","",IFERROR(INDEX(Client_List!$K:$K,MATCH(VALUE(B3243),Client_List!$A:$A,0)),""))</f>
        <v/>
      </c>
      <c r="H3243" s="32">
        <f>IF(B3243="","",IFERROR(INDEX(Client_List!$J:$J,MATCH(VALUE(B3243),Client_List!$A:$A,0)),""))</f>
        <v/>
      </c>
      <c r="I3243" s="70">
        <f>IF(B3243="","",IFERROR(A3243-LOOKUP(2,1/($B$4:$B3242=B3243),$A$4:$A3242),""))</f>
        <v/>
      </c>
      <c r="J3243" s="32">
        <f>IF(B3243="","",IFERROR(D3243/I3243,""))</f>
        <v/>
      </c>
      <c r="K3243" s="71">
        <f>IF(B3243="","",IFERROR(AVERAGEIFS($J$4:$J3243,$B$4:$B3243,B3243,$J$4:$J3243,"&gt;"&amp;0),""))</f>
        <v/>
      </c>
      <c r="L3243" s="11" t="n"/>
    </row>
    <row r="3244" ht="14" customHeight="1" s="72">
      <c r="A3244" s="83" t="n"/>
      <c r="B3244" s="81" t="n"/>
      <c r="C3244" s="69">
        <f>IF(B3244="","",IFERROR(INDEX(Client_List!$B:$B,MATCH(B3244,Client_List!$A:$A,0)),"⚠ NOT FOUND"))</f>
        <v/>
      </c>
      <c r="D3244" s="45" t="n"/>
      <c r="E3244" s="32">
        <f>IF(B3244="","",IFERROR(INDEX(Client_List!$C:$C,MATCH(VALUE(B3244),Client_List!$A:$A,0)),""))</f>
        <v/>
      </c>
      <c r="F3244" s="53">
        <f>IF(B3244="","",IFERROR(INDEX(Client_List!$D:$D,MATCH(VALUE(B3244),Client_List!$A:$A,0)),""))</f>
        <v/>
      </c>
      <c r="G3244" s="53">
        <f>IF(B3244="","",IFERROR(INDEX(Client_List!$K:$K,MATCH(VALUE(B3244),Client_List!$A:$A,0)),""))</f>
        <v/>
      </c>
      <c r="H3244" s="32">
        <f>IF(B3244="","",IFERROR(INDEX(Client_List!$J:$J,MATCH(VALUE(B3244),Client_List!$A:$A,0)),""))</f>
        <v/>
      </c>
      <c r="I3244" s="70">
        <f>IF(B3244="","",IFERROR(A3244-LOOKUP(2,1/($B$4:$B3243=B3244),$A$4:$A3243),""))</f>
        <v/>
      </c>
      <c r="J3244" s="32">
        <f>IF(B3244="","",IFERROR(D3244/I3244,""))</f>
        <v/>
      </c>
      <c r="K3244" s="71">
        <f>IF(B3244="","",IFERROR(AVERAGEIFS($J$4:$J3244,$B$4:$B3244,B3244,$J$4:$J3244,"&gt;"&amp;0),""))</f>
        <v/>
      </c>
      <c r="L3244" s="12" t="n"/>
    </row>
    <row r="3245" ht="14" customHeight="1" s="72">
      <c r="A3245" s="82" t="n"/>
      <c r="B3245" s="79" t="n"/>
      <c r="C3245" s="69">
        <f>IF(B3245="","",IFERROR(INDEX(Client_List!$B:$B,MATCH(B3245,Client_List!$A:$A,0)),"⚠ NOT FOUND"))</f>
        <v/>
      </c>
      <c r="D3245" s="44" t="n"/>
      <c r="E3245" s="32">
        <f>IF(B3245="","",IFERROR(INDEX(Client_List!$C:$C,MATCH(VALUE(B3245),Client_List!$A:$A,0)),""))</f>
        <v/>
      </c>
      <c r="F3245" s="53">
        <f>IF(B3245="","",IFERROR(INDEX(Client_List!$D:$D,MATCH(VALUE(B3245),Client_List!$A:$A,0)),""))</f>
        <v/>
      </c>
      <c r="G3245" s="53">
        <f>IF(B3245="","",IFERROR(INDEX(Client_List!$K:$K,MATCH(VALUE(B3245),Client_List!$A:$A,0)),""))</f>
        <v/>
      </c>
      <c r="H3245" s="32">
        <f>IF(B3245="","",IFERROR(INDEX(Client_List!$J:$J,MATCH(VALUE(B3245),Client_List!$A:$A,0)),""))</f>
        <v/>
      </c>
      <c r="I3245" s="70">
        <f>IF(B3245="","",IFERROR(A3245-LOOKUP(2,1/($B$4:$B3244=B3245),$A$4:$A3244),""))</f>
        <v/>
      </c>
      <c r="J3245" s="32">
        <f>IF(B3245="","",IFERROR(D3245/I3245,""))</f>
        <v/>
      </c>
      <c r="K3245" s="71">
        <f>IF(B3245="","",IFERROR(AVERAGEIFS($J$4:$J3245,$B$4:$B3245,B3245,$J$4:$J3245,"&gt;"&amp;0),""))</f>
        <v/>
      </c>
      <c r="L3245" s="11" t="n"/>
    </row>
    <row r="3246" ht="14" customHeight="1" s="72">
      <c r="A3246" s="83" t="n"/>
      <c r="B3246" s="81" t="n"/>
      <c r="C3246" s="69">
        <f>IF(B3246="","",IFERROR(INDEX(Client_List!$B:$B,MATCH(B3246,Client_List!$A:$A,0)),"⚠ NOT FOUND"))</f>
        <v/>
      </c>
      <c r="D3246" s="45" t="n"/>
      <c r="E3246" s="32">
        <f>IF(B3246="","",IFERROR(INDEX(Client_List!$C:$C,MATCH(VALUE(B3246),Client_List!$A:$A,0)),""))</f>
        <v/>
      </c>
      <c r="F3246" s="53">
        <f>IF(B3246="","",IFERROR(INDEX(Client_List!$D:$D,MATCH(VALUE(B3246),Client_List!$A:$A,0)),""))</f>
        <v/>
      </c>
      <c r="G3246" s="53">
        <f>IF(B3246="","",IFERROR(INDEX(Client_List!$K:$K,MATCH(VALUE(B3246),Client_List!$A:$A,0)),""))</f>
        <v/>
      </c>
      <c r="H3246" s="32">
        <f>IF(B3246="","",IFERROR(INDEX(Client_List!$J:$J,MATCH(VALUE(B3246),Client_List!$A:$A,0)),""))</f>
        <v/>
      </c>
      <c r="I3246" s="70">
        <f>IF(B3246="","",IFERROR(A3246-LOOKUP(2,1/($B$4:$B3245=B3246),$A$4:$A3245),""))</f>
        <v/>
      </c>
      <c r="J3246" s="32">
        <f>IF(B3246="","",IFERROR(D3246/I3246,""))</f>
        <v/>
      </c>
      <c r="K3246" s="71">
        <f>IF(B3246="","",IFERROR(AVERAGEIFS($J$4:$J3246,$B$4:$B3246,B3246,$J$4:$J3246,"&gt;"&amp;0),""))</f>
        <v/>
      </c>
      <c r="L3246" s="12" t="n"/>
    </row>
    <row r="3247" ht="14" customHeight="1" s="72">
      <c r="A3247" s="82" t="n"/>
      <c r="B3247" s="79" t="n"/>
      <c r="C3247" s="69">
        <f>IF(B3247="","",IFERROR(INDEX(Client_List!$B:$B,MATCH(B3247,Client_List!$A:$A,0)),"⚠ NOT FOUND"))</f>
        <v/>
      </c>
      <c r="D3247" s="44" t="n"/>
      <c r="E3247" s="32">
        <f>IF(B3247="","",IFERROR(INDEX(Client_List!$C:$C,MATCH(VALUE(B3247),Client_List!$A:$A,0)),""))</f>
        <v/>
      </c>
      <c r="F3247" s="53">
        <f>IF(B3247="","",IFERROR(INDEX(Client_List!$D:$D,MATCH(VALUE(B3247),Client_List!$A:$A,0)),""))</f>
        <v/>
      </c>
      <c r="G3247" s="53">
        <f>IF(B3247="","",IFERROR(INDEX(Client_List!$K:$K,MATCH(VALUE(B3247),Client_List!$A:$A,0)),""))</f>
        <v/>
      </c>
      <c r="H3247" s="32">
        <f>IF(B3247="","",IFERROR(INDEX(Client_List!$J:$J,MATCH(VALUE(B3247),Client_List!$A:$A,0)),""))</f>
        <v/>
      </c>
      <c r="I3247" s="70">
        <f>IF(B3247="","",IFERROR(A3247-LOOKUP(2,1/($B$4:$B3246=B3247),$A$4:$A3246),""))</f>
        <v/>
      </c>
      <c r="J3247" s="32">
        <f>IF(B3247="","",IFERROR(D3247/I3247,""))</f>
        <v/>
      </c>
      <c r="K3247" s="71">
        <f>IF(B3247="","",IFERROR(AVERAGEIFS($J$4:$J3247,$B$4:$B3247,B3247,$J$4:$J3247,"&gt;"&amp;0),""))</f>
        <v/>
      </c>
      <c r="L3247" s="11" t="n"/>
    </row>
    <row r="3248" ht="14" customHeight="1" s="72">
      <c r="A3248" s="83" t="n"/>
      <c r="B3248" s="81" t="n"/>
      <c r="C3248" s="69">
        <f>IF(B3248="","",IFERROR(INDEX(Client_List!$B:$B,MATCH(B3248,Client_List!$A:$A,0)),"⚠ NOT FOUND"))</f>
        <v/>
      </c>
      <c r="D3248" s="45" t="n"/>
      <c r="E3248" s="32">
        <f>IF(B3248="","",IFERROR(INDEX(Client_List!$C:$C,MATCH(VALUE(B3248),Client_List!$A:$A,0)),""))</f>
        <v/>
      </c>
      <c r="F3248" s="53">
        <f>IF(B3248="","",IFERROR(INDEX(Client_List!$D:$D,MATCH(VALUE(B3248),Client_List!$A:$A,0)),""))</f>
        <v/>
      </c>
      <c r="G3248" s="53">
        <f>IF(B3248="","",IFERROR(INDEX(Client_List!$K:$K,MATCH(VALUE(B3248),Client_List!$A:$A,0)),""))</f>
        <v/>
      </c>
      <c r="H3248" s="32">
        <f>IF(B3248="","",IFERROR(INDEX(Client_List!$J:$J,MATCH(VALUE(B3248),Client_List!$A:$A,0)),""))</f>
        <v/>
      </c>
      <c r="I3248" s="70">
        <f>IF(B3248="","",IFERROR(A3248-LOOKUP(2,1/($B$4:$B3247=B3248),$A$4:$A3247),""))</f>
        <v/>
      </c>
      <c r="J3248" s="32">
        <f>IF(B3248="","",IFERROR(D3248/I3248,""))</f>
        <v/>
      </c>
      <c r="K3248" s="71">
        <f>IF(B3248="","",IFERROR(AVERAGEIFS($J$4:$J3248,$B$4:$B3248,B3248,$J$4:$J3248,"&gt;"&amp;0),""))</f>
        <v/>
      </c>
      <c r="L3248" s="12" t="n"/>
    </row>
    <row r="3249" ht="14" customHeight="1" s="72">
      <c r="A3249" s="82" t="n"/>
      <c r="B3249" s="79" t="n"/>
      <c r="C3249" s="69">
        <f>IF(B3249="","",IFERROR(INDEX(Client_List!$B:$B,MATCH(B3249,Client_List!$A:$A,0)),"⚠ NOT FOUND"))</f>
        <v/>
      </c>
      <c r="D3249" s="44" t="n"/>
      <c r="E3249" s="32">
        <f>IF(B3249="","",IFERROR(INDEX(Client_List!$C:$C,MATCH(VALUE(B3249),Client_List!$A:$A,0)),""))</f>
        <v/>
      </c>
      <c r="F3249" s="53">
        <f>IF(B3249="","",IFERROR(INDEX(Client_List!$D:$D,MATCH(VALUE(B3249),Client_List!$A:$A,0)),""))</f>
        <v/>
      </c>
      <c r="G3249" s="53">
        <f>IF(B3249="","",IFERROR(INDEX(Client_List!$K:$K,MATCH(VALUE(B3249),Client_List!$A:$A,0)),""))</f>
        <v/>
      </c>
      <c r="H3249" s="32">
        <f>IF(B3249="","",IFERROR(INDEX(Client_List!$J:$J,MATCH(VALUE(B3249),Client_List!$A:$A,0)),""))</f>
        <v/>
      </c>
      <c r="I3249" s="70">
        <f>IF(B3249="","",IFERROR(A3249-LOOKUP(2,1/($B$4:$B3248=B3249),$A$4:$A3248),""))</f>
        <v/>
      </c>
      <c r="J3249" s="32">
        <f>IF(B3249="","",IFERROR(D3249/I3249,""))</f>
        <v/>
      </c>
      <c r="K3249" s="71">
        <f>IF(B3249="","",IFERROR(AVERAGEIFS($J$4:$J3249,$B$4:$B3249,B3249,$J$4:$J3249,"&gt;"&amp;0),""))</f>
        <v/>
      </c>
      <c r="L3249" s="11" t="n"/>
    </row>
    <row r="3250" ht="14" customHeight="1" s="72">
      <c r="A3250" s="83" t="n"/>
      <c r="B3250" s="81" t="n"/>
      <c r="C3250" s="69">
        <f>IF(B3250="","",IFERROR(INDEX(Client_List!$B:$B,MATCH(B3250,Client_List!$A:$A,0)),"⚠ NOT FOUND"))</f>
        <v/>
      </c>
      <c r="D3250" s="45" t="n"/>
      <c r="E3250" s="32">
        <f>IF(B3250="","",IFERROR(INDEX(Client_List!$C:$C,MATCH(VALUE(B3250),Client_List!$A:$A,0)),""))</f>
        <v/>
      </c>
      <c r="F3250" s="53">
        <f>IF(B3250="","",IFERROR(INDEX(Client_List!$D:$D,MATCH(VALUE(B3250),Client_List!$A:$A,0)),""))</f>
        <v/>
      </c>
      <c r="G3250" s="53">
        <f>IF(B3250="","",IFERROR(INDEX(Client_List!$K:$K,MATCH(VALUE(B3250),Client_List!$A:$A,0)),""))</f>
        <v/>
      </c>
      <c r="H3250" s="32">
        <f>IF(B3250="","",IFERROR(INDEX(Client_List!$J:$J,MATCH(VALUE(B3250),Client_List!$A:$A,0)),""))</f>
        <v/>
      </c>
      <c r="I3250" s="70">
        <f>IF(B3250="","",IFERROR(A3250-LOOKUP(2,1/($B$4:$B3249=B3250),$A$4:$A3249),""))</f>
        <v/>
      </c>
      <c r="J3250" s="32">
        <f>IF(B3250="","",IFERROR(D3250/I3250,""))</f>
        <v/>
      </c>
      <c r="K3250" s="71">
        <f>IF(B3250="","",IFERROR(AVERAGEIFS($J$4:$J3250,$B$4:$B3250,B3250,$J$4:$J3250,"&gt;"&amp;0),""))</f>
        <v/>
      </c>
      <c r="L3250" s="12" t="n"/>
    </row>
    <row r="3251" ht="14" customHeight="1" s="72">
      <c r="A3251" s="82" t="n"/>
      <c r="B3251" s="79" t="n"/>
      <c r="C3251" s="69">
        <f>IF(B3251="","",IFERROR(INDEX(Client_List!$B:$B,MATCH(B3251,Client_List!$A:$A,0)),"⚠ NOT FOUND"))</f>
        <v/>
      </c>
      <c r="D3251" s="44" t="n"/>
      <c r="E3251" s="32">
        <f>IF(B3251="","",IFERROR(INDEX(Client_List!$C:$C,MATCH(VALUE(B3251),Client_List!$A:$A,0)),""))</f>
        <v/>
      </c>
      <c r="F3251" s="53">
        <f>IF(B3251="","",IFERROR(INDEX(Client_List!$D:$D,MATCH(VALUE(B3251),Client_List!$A:$A,0)),""))</f>
        <v/>
      </c>
      <c r="G3251" s="53">
        <f>IF(B3251="","",IFERROR(INDEX(Client_List!$K:$K,MATCH(VALUE(B3251),Client_List!$A:$A,0)),""))</f>
        <v/>
      </c>
      <c r="H3251" s="32">
        <f>IF(B3251="","",IFERROR(INDEX(Client_List!$J:$J,MATCH(VALUE(B3251),Client_List!$A:$A,0)),""))</f>
        <v/>
      </c>
      <c r="I3251" s="70">
        <f>IF(B3251="","",IFERROR(A3251-LOOKUP(2,1/($B$4:$B3250=B3251),$A$4:$A3250),""))</f>
        <v/>
      </c>
      <c r="J3251" s="32">
        <f>IF(B3251="","",IFERROR(D3251/I3251,""))</f>
        <v/>
      </c>
      <c r="K3251" s="71">
        <f>IF(B3251="","",IFERROR(AVERAGEIFS($J$4:$J3251,$B$4:$B3251,B3251,$J$4:$J3251,"&gt;"&amp;0),""))</f>
        <v/>
      </c>
      <c r="L3251" s="11" t="n"/>
    </row>
    <row r="3252" ht="14" customHeight="1" s="72">
      <c r="A3252" s="83" t="n"/>
      <c r="B3252" s="81" t="n"/>
      <c r="C3252" s="69">
        <f>IF(B3252="","",IFERROR(INDEX(Client_List!$B:$B,MATCH(B3252,Client_List!$A:$A,0)),"⚠ NOT FOUND"))</f>
        <v/>
      </c>
      <c r="D3252" s="45" t="n"/>
      <c r="E3252" s="32">
        <f>IF(B3252="","",IFERROR(INDEX(Client_List!$C:$C,MATCH(VALUE(B3252),Client_List!$A:$A,0)),""))</f>
        <v/>
      </c>
      <c r="F3252" s="53">
        <f>IF(B3252="","",IFERROR(INDEX(Client_List!$D:$D,MATCH(VALUE(B3252),Client_List!$A:$A,0)),""))</f>
        <v/>
      </c>
      <c r="G3252" s="53">
        <f>IF(B3252="","",IFERROR(INDEX(Client_List!$K:$K,MATCH(VALUE(B3252),Client_List!$A:$A,0)),""))</f>
        <v/>
      </c>
      <c r="H3252" s="32">
        <f>IF(B3252="","",IFERROR(INDEX(Client_List!$J:$J,MATCH(VALUE(B3252),Client_List!$A:$A,0)),""))</f>
        <v/>
      </c>
      <c r="I3252" s="70">
        <f>IF(B3252="","",IFERROR(A3252-LOOKUP(2,1/($B$4:$B3251=B3252),$A$4:$A3251),""))</f>
        <v/>
      </c>
      <c r="J3252" s="32">
        <f>IF(B3252="","",IFERROR(D3252/I3252,""))</f>
        <v/>
      </c>
      <c r="K3252" s="71">
        <f>IF(B3252="","",IFERROR(AVERAGEIFS($J$4:$J3252,$B$4:$B3252,B3252,$J$4:$J3252,"&gt;"&amp;0),""))</f>
        <v/>
      </c>
      <c r="L3252" s="12" t="n"/>
    </row>
    <row r="3253" ht="14" customHeight="1" s="72">
      <c r="A3253" s="82" t="n"/>
      <c r="B3253" s="79" t="n"/>
      <c r="C3253" s="69">
        <f>IF(B3253="","",IFERROR(INDEX(Client_List!$B:$B,MATCH(B3253,Client_List!$A:$A,0)),"⚠ NOT FOUND"))</f>
        <v/>
      </c>
      <c r="D3253" s="44" t="n"/>
      <c r="E3253" s="32">
        <f>IF(B3253="","",IFERROR(INDEX(Client_List!$C:$C,MATCH(VALUE(B3253),Client_List!$A:$A,0)),""))</f>
        <v/>
      </c>
      <c r="F3253" s="53">
        <f>IF(B3253="","",IFERROR(INDEX(Client_List!$D:$D,MATCH(VALUE(B3253),Client_List!$A:$A,0)),""))</f>
        <v/>
      </c>
      <c r="G3253" s="53">
        <f>IF(B3253="","",IFERROR(INDEX(Client_List!$K:$K,MATCH(VALUE(B3253),Client_List!$A:$A,0)),""))</f>
        <v/>
      </c>
      <c r="H3253" s="32">
        <f>IF(B3253="","",IFERROR(INDEX(Client_List!$J:$J,MATCH(VALUE(B3253),Client_List!$A:$A,0)),""))</f>
        <v/>
      </c>
      <c r="I3253" s="70">
        <f>IF(B3253="","",IFERROR(A3253-LOOKUP(2,1/($B$4:$B3252=B3253),$A$4:$A3252),""))</f>
        <v/>
      </c>
      <c r="J3253" s="32">
        <f>IF(B3253="","",IFERROR(D3253/I3253,""))</f>
        <v/>
      </c>
      <c r="K3253" s="71">
        <f>IF(B3253="","",IFERROR(AVERAGEIFS($J$4:$J3253,$B$4:$B3253,B3253,$J$4:$J3253,"&gt;"&amp;0),""))</f>
        <v/>
      </c>
      <c r="L3253" s="11" t="n"/>
    </row>
    <row r="3254" ht="14" customHeight="1" s="72">
      <c r="A3254" s="83" t="n"/>
      <c r="B3254" s="81" t="n"/>
      <c r="C3254" s="69">
        <f>IF(B3254="","",IFERROR(INDEX(Client_List!$B:$B,MATCH(B3254,Client_List!$A:$A,0)),"⚠ NOT FOUND"))</f>
        <v/>
      </c>
      <c r="D3254" s="45" t="n"/>
      <c r="E3254" s="32">
        <f>IF(B3254="","",IFERROR(INDEX(Client_List!$C:$C,MATCH(VALUE(B3254),Client_List!$A:$A,0)),""))</f>
        <v/>
      </c>
      <c r="F3254" s="53">
        <f>IF(B3254="","",IFERROR(INDEX(Client_List!$D:$D,MATCH(VALUE(B3254),Client_List!$A:$A,0)),""))</f>
        <v/>
      </c>
      <c r="G3254" s="53">
        <f>IF(B3254="","",IFERROR(INDEX(Client_List!$K:$K,MATCH(VALUE(B3254),Client_List!$A:$A,0)),""))</f>
        <v/>
      </c>
      <c r="H3254" s="32">
        <f>IF(B3254="","",IFERROR(INDEX(Client_List!$J:$J,MATCH(VALUE(B3254),Client_List!$A:$A,0)),""))</f>
        <v/>
      </c>
      <c r="I3254" s="70">
        <f>IF(B3254="","",IFERROR(A3254-LOOKUP(2,1/($B$4:$B3253=B3254),$A$4:$A3253),""))</f>
        <v/>
      </c>
      <c r="J3254" s="32">
        <f>IF(B3254="","",IFERROR(D3254/I3254,""))</f>
        <v/>
      </c>
      <c r="K3254" s="71">
        <f>IF(B3254="","",IFERROR(AVERAGEIFS($J$4:$J3254,$B$4:$B3254,B3254,$J$4:$J3254,"&gt;"&amp;0),""))</f>
        <v/>
      </c>
      <c r="L3254" s="12" t="n"/>
    </row>
    <row r="3255" ht="14" customHeight="1" s="72">
      <c r="A3255" s="82" t="n"/>
      <c r="B3255" s="79" t="n"/>
      <c r="C3255" s="69">
        <f>IF(B3255="","",IFERROR(INDEX(Client_List!$B:$B,MATCH(B3255,Client_List!$A:$A,0)),"⚠ NOT FOUND"))</f>
        <v/>
      </c>
      <c r="D3255" s="44" t="n"/>
      <c r="E3255" s="32">
        <f>IF(B3255="","",IFERROR(INDEX(Client_List!$C:$C,MATCH(VALUE(B3255),Client_List!$A:$A,0)),""))</f>
        <v/>
      </c>
      <c r="F3255" s="53">
        <f>IF(B3255="","",IFERROR(INDEX(Client_List!$D:$D,MATCH(VALUE(B3255),Client_List!$A:$A,0)),""))</f>
        <v/>
      </c>
      <c r="G3255" s="53">
        <f>IF(B3255="","",IFERROR(INDEX(Client_List!$K:$K,MATCH(VALUE(B3255),Client_List!$A:$A,0)),""))</f>
        <v/>
      </c>
      <c r="H3255" s="32">
        <f>IF(B3255="","",IFERROR(INDEX(Client_List!$J:$J,MATCH(VALUE(B3255),Client_List!$A:$A,0)),""))</f>
        <v/>
      </c>
      <c r="I3255" s="70">
        <f>IF(B3255="","",IFERROR(A3255-LOOKUP(2,1/($B$4:$B3254=B3255),$A$4:$A3254),""))</f>
        <v/>
      </c>
      <c r="J3255" s="32">
        <f>IF(B3255="","",IFERROR(D3255/I3255,""))</f>
        <v/>
      </c>
      <c r="K3255" s="71">
        <f>IF(B3255="","",IFERROR(AVERAGEIFS($J$4:$J3255,$B$4:$B3255,B3255,$J$4:$J3255,"&gt;"&amp;0),""))</f>
        <v/>
      </c>
      <c r="L3255" s="11" t="n"/>
    </row>
    <row r="3256" ht="14" customHeight="1" s="72">
      <c r="A3256" s="83" t="n"/>
      <c r="B3256" s="81" t="n"/>
      <c r="C3256" s="69">
        <f>IF(B3256="","",IFERROR(INDEX(Client_List!$B:$B,MATCH(B3256,Client_List!$A:$A,0)),"⚠ NOT FOUND"))</f>
        <v/>
      </c>
      <c r="D3256" s="45" t="n"/>
      <c r="E3256" s="32">
        <f>IF(B3256="","",IFERROR(INDEX(Client_List!$C:$C,MATCH(VALUE(B3256),Client_List!$A:$A,0)),""))</f>
        <v/>
      </c>
      <c r="F3256" s="53">
        <f>IF(B3256="","",IFERROR(INDEX(Client_List!$D:$D,MATCH(VALUE(B3256),Client_List!$A:$A,0)),""))</f>
        <v/>
      </c>
      <c r="G3256" s="53">
        <f>IF(B3256="","",IFERROR(INDEX(Client_List!$K:$K,MATCH(VALUE(B3256),Client_List!$A:$A,0)),""))</f>
        <v/>
      </c>
      <c r="H3256" s="32">
        <f>IF(B3256="","",IFERROR(INDEX(Client_List!$J:$J,MATCH(VALUE(B3256),Client_List!$A:$A,0)),""))</f>
        <v/>
      </c>
      <c r="I3256" s="70">
        <f>IF(B3256="","",IFERROR(A3256-LOOKUP(2,1/($B$4:$B3255=B3256),$A$4:$A3255),""))</f>
        <v/>
      </c>
      <c r="J3256" s="32">
        <f>IF(B3256="","",IFERROR(D3256/I3256,""))</f>
        <v/>
      </c>
      <c r="K3256" s="71">
        <f>IF(B3256="","",IFERROR(AVERAGEIFS($J$4:$J3256,$B$4:$B3256,B3256,$J$4:$J3256,"&gt;"&amp;0),""))</f>
        <v/>
      </c>
      <c r="L3256" s="12" t="n"/>
    </row>
    <row r="3257" ht="14" customHeight="1" s="72">
      <c r="A3257" s="82" t="n"/>
      <c r="B3257" s="79" t="n"/>
      <c r="C3257" s="69">
        <f>IF(B3257="","",IFERROR(INDEX(Client_List!$B:$B,MATCH(B3257,Client_List!$A:$A,0)),"⚠ NOT FOUND"))</f>
        <v/>
      </c>
      <c r="D3257" s="44" t="n"/>
      <c r="E3257" s="32">
        <f>IF(B3257="","",IFERROR(INDEX(Client_List!$C:$C,MATCH(VALUE(B3257),Client_List!$A:$A,0)),""))</f>
        <v/>
      </c>
      <c r="F3257" s="53">
        <f>IF(B3257="","",IFERROR(INDEX(Client_List!$D:$D,MATCH(VALUE(B3257),Client_List!$A:$A,0)),""))</f>
        <v/>
      </c>
      <c r="G3257" s="53">
        <f>IF(B3257="","",IFERROR(INDEX(Client_List!$K:$K,MATCH(VALUE(B3257),Client_List!$A:$A,0)),""))</f>
        <v/>
      </c>
      <c r="H3257" s="32">
        <f>IF(B3257="","",IFERROR(INDEX(Client_List!$J:$J,MATCH(VALUE(B3257),Client_List!$A:$A,0)),""))</f>
        <v/>
      </c>
      <c r="I3257" s="70">
        <f>IF(B3257="","",IFERROR(A3257-LOOKUP(2,1/($B$4:$B3256=B3257),$A$4:$A3256),""))</f>
        <v/>
      </c>
      <c r="J3257" s="32">
        <f>IF(B3257="","",IFERROR(D3257/I3257,""))</f>
        <v/>
      </c>
      <c r="K3257" s="71">
        <f>IF(B3257="","",IFERROR(AVERAGEIFS($J$4:$J3257,$B$4:$B3257,B3257,$J$4:$J3257,"&gt;"&amp;0),""))</f>
        <v/>
      </c>
      <c r="L3257" s="11" t="n"/>
    </row>
    <row r="3258" ht="14" customHeight="1" s="72">
      <c r="A3258" s="83" t="n"/>
      <c r="B3258" s="81" t="n"/>
      <c r="C3258" s="69">
        <f>IF(B3258="","",IFERROR(INDEX(Client_List!$B:$B,MATCH(B3258,Client_List!$A:$A,0)),"⚠ NOT FOUND"))</f>
        <v/>
      </c>
      <c r="D3258" s="45" t="n"/>
      <c r="E3258" s="32">
        <f>IF(B3258="","",IFERROR(INDEX(Client_List!$C:$C,MATCH(VALUE(B3258),Client_List!$A:$A,0)),""))</f>
        <v/>
      </c>
      <c r="F3258" s="53">
        <f>IF(B3258="","",IFERROR(INDEX(Client_List!$D:$D,MATCH(VALUE(B3258),Client_List!$A:$A,0)),""))</f>
        <v/>
      </c>
      <c r="G3258" s="53">
        <f>IF(B3258="","",IFERROR(INDEX(Client_List!$K:$K,MATCH(VALUE(B3258),Client_List!$A:$A,0)),""))</f>
        <v/>
      </c>
      <c r="H3258" s="32">
        <f>IF(B3258="","",IFERROR(INDEX(Client_List!$J:$J,MATCH(VALUE(B3258),Client_List!$A:$A,0)),""))</f>
        <v/>
      </c>
      <c r="I3258" s="70">
        <f>IF(B3258="","",IFERROR(A3258-LOOKUP(2,1/($B$4:$B3257=B3258),$A$4:$A3257),""))</f>
        <v/>
      </c>
      <c r="J3258" s="32">
        <f>IF(B3258="","",IFERROR(D3258/I3258,""))</f>
        <v/>
      </c>
      <c r="K3258" s="71">
        <f>IF(B3258="","",IFERROR(AVERAGEIFS($J$4:$J3258,$B$4:$B3258,B3258,$J$4:$J3258,"&gt;"&amp;0),""))</f>
        <v/>
      </c>
      <c r="L3258" s="12" t="n"/>
    </row>
    <row r="3259" ht="14" customHeight="1" s="72">
      <c r="A3259" s="82" t="n"/>
      <c r="B3259" s="79" t="n"/>
      <c r="C3259" s="69">
        <f>IF(B3259="","",IFERROR(INDEX(Client_List!$B:$B,MATCH(B3259,Client_List!$A:$A,0)),"⚠ NOT FOUND"))</f>
        <v/>
      </c>
      <c r="D3259" s="44" t="n"/>
      <c r="E3259" s="32">
        <f>IF(B3259="","",IFERROR(INDEX(Client_List!$C:$C,MATCH(VALUE(B3259),Client_List!$A:$A,0)),""))</f>
        <v/>
      </c>
      <c r="F3259" s="53">
        <f>IF(B3259="","",IFERROR(INDEX(Client_List!$D:$D,MATCH(VALUE(B3259),Client_List!$A:$A,0)),""))</f>
        <v/>
      </c>
      <c r="G3259" s="53">
        <f>IF(B3259="","",IFERROR(INDEX(Client_List!$K:$K,MATCH(VALUE(B3259),Client_List!$A:$A,0)),""))</f>
        <v/>
      </c>
      <c r="H3259" s="32">
        <f>IF(B3259="","",IFERROR(INDEX(Client_List!$J:$J,MATCH(VALUE(B3259),Client_List!$A:$A,0)),""))</f>
        <v/>
      </c>
      <c r="I3259" s="70">
        <f>IF(B3259="","",IFERROR(A3259-LOOKUP(2,1/($B$4:$B3258=B3259),$A$4:$A3258),""))</f>
        <v/>
      </c>
      <c r="J3259" s="32">
        <f>IF(B3259="","",IFERROR(D3259/I3259,""))</f>
        <v/>
      </c>
      <c r="K3259" s="71">
        <f>IF(B3259="","",IFERROR(AVERAGEIFS($J$4:$J3259,$B$4:$B3259,B3259,$J$4:$J3259,"&gt;"&amp;0),""))</f>
        <v/>
      </c>
      <c r="L3259" s="11" t="n"/>
    </row>
    <row r="3260" ht="14" customHeight="1" s="72">
      <c r="A3260" s="83" t="n"/>
      <c r="B3260" s="81" t="n"/>
      <c r="C3260" s="69">
        <f>IF(B3260="","",IFERROR(INDEX(Client_List!$B:$B,MATCH(B3260,Client_List!$A:$A,0)),"⚠ NOT FOUND"))</f>
        <v/>
      </c>
      <c r="D3260" s="45" t="n"/>
      <c r="E3260" s="32">
        <f>IF(B3260="","",IFERROR(INDEX(Client_List!$C:$C,MATCH(VALUE(B3260),Client_List!$A:$A,0)),""))</f>
        <v/>
      </c>
      <c r="F3260" s="53">
        <f>IF(B3260="","",IFERROR(INDEX(Client_List!$D:$D,MATCH(VALUE(B3260),Client_List!$A:$A,0)),""))</f>
        <v/>
      </c>
      <c r="G3260" s="53">
        <f>IF(B3260="","",IFERROR(INDEX(Client_List!$K:$K,MATCH(VALUE(B3260),Client_List!$A:$A,0)),""))</f>
        <v/>
      </c>
      <c r="H3260" s="32">
        <f>IF(B3260="","",IFERROR(INDEX(Client_List!$J:$J,MATCH(VALUE(B3260),Client_List!$A:$A,0)),""))</f>
        <v/>
      </c>
      <c r="I3260" s="70">
        <f>IF(B3260="","",IFERROR(A3260-LOOKUP(2,1/($B$4:$B3259=B3260),$A$4:$A3259),""))</f>
        <v/>
      </c>
      <c r="J3260" s="32">
        <f>IF(B3260="","",IFERROR(D3260/I3260,""))</f>
        <v/>
      </c>
      <c r="K3260" s="71">
        <f>IF(B3260="","",IFERROR(AVERAGEIFS($J$4:$J3260,$B$4:$B3260,B3260,$J$4:$J3260,"&gt;"&amp;0),""))</f>
        <v/>
      </c>
      <c r="L3260" s="12" t="n"/>
    </row>
    <row r="3261" ht="14" customHeight="1" s="72">
      <c r="A3261" s="82" t="n"/>
      <c r="B3261" s="79" t="n"/>
      <c r="C3261" s="69">
        <f>IF(B3261="","",IFERROR(INDEX(Client_List!$B:$B,MATCH(B3261,Client_List!$A:$A,0)),"⚠ NOT FOUND"))</f>
        <v/>
      </c>
      <c r="D3261" s="44" t="n"/>
      <c r="E3261" s="32">
        <f>IF(B3261="","",IFERROR(INDEX(Client_List!$C:$C,MATCH(VALUE(B3261),Client_List!$A:$A,0)),""))</f>
        <v/>
      </c>
      <c r="F3261" s="53">
        <f>IF(B3261="","",IFERROR(INDEX(Client_List!$D:$D,MATCH(VALUE(B3261),Client_List!$A:$A,0)),""))</f>
        <v/>
      </c>
      <c r="G3261" s="53">
        <f>IF(B3261="","",IFERROR(INDEX(Client_List!$K:$K,MATCH(VALUE(B3261),Client_List!$A:$A,0)),""))</f>
        <v/>
      </c>
      <c r="H3261" s="32">
        <f>IF(B3261="","",IFERROR(INDEX(Client_List!$J:$J,MATCH(VALUE(B3261),Client_List!$A:$A,0)),""))</f>
        <v/>
      </c>
      <c r="I3261" s="70">
        <f>IF(B3261="","",IFERROR(A3261-LOOKUP(2,1/($B$4:$B3260=B3261),$A$4:$A3260),""))</f>
        <v/>
      </c>
      <c r="J3261" s="32">
        <f>IF(B3261="","",IFERROR(D3261/I3261,""))</f>
        <v/>
      </c>
      <c r="K3261" s="71">
        <f>IF(B3261="","",IFERROR(AVERAGEIFS($J$4:$J3261,$B$4:$B3261,B3261,$J$4:$J3261,"&gt;"&amp;0),""))</f>
        <v/>
      </c>
      <c r="L3261" s="11" t="n"/>
    </row>
    <row r="3262" ht="14" customHeight="1" s="72">
      <c r="A3262" s="83" t="n"/>
      <c r="B3262" s="81" t="n"/>
      <c r="C3262" s="69">
        <f>IF(B3262="","",IFERROR(INDEX(Client_List!$B:$B,MATCH(B3262,Client_List!$A:$A,0)),"⚠ NOT FOUND"))</f>
        <v/>
      </c>
      <c r="D3262" s="45" t="n"/>
      <c r="E3262" s="32">
        <f>IF(B3262="","",IFERROR(INDEX(Client_List!$C:$C,MATCH(VALUE(B3262),Client_List!$A:$A,0)),""))</f>
        <v/>
      </c>
      <c r="F3262" s="53">
        <f>IF(B3262="","",IFERROR(INDEX(Client_List!$D:$D,MATCH(VALUE(B3262),Client_List!$A:$A,0)),""))</f>
        <v/>
      </c>
      <c r="G3262" s="53">
        <f>IF(B3262="","",IFERROR(INDEX(Client_List!$K:$K,MATCH(VALUE(B3262),Client_List!$A:$A,0)),""))</f>
        <v/>
      </c>
      <c r="H3262" s="32">
        <f>IF(B3262="","",IFERROR(INDEX(Client_List!$J:$J,MATCH(VALUE(B3262),Client_List!$A:$A,0)),""))</f>
        <v/>
      </c>
      <c r="I3262" s="70">
        <f>IF(B3262="","",IFERROR(A3262-LOOKUP(2,1/($B$4:$B3261=B3262),$A$4:$A3261),""))</f>
        <v/>
      </c>
      <c r="J3262" s="32">
        <f>IF(B3262="","",IFERROR(D3262/I3262,""))</f>
        <v/>
      </c>
      <c r="K3262" s="71">
        <f>IF(B3262="","",IFERROR(AVERAGEIFS($J$4:$J3262,$B$4:$B3262,B3262,$J$4:$J3262,"&gt;"&amp;0),""))</f>
        <v/>
      </c>
      <c r="L3262" s="12" t="n"/>
    </row>
    <row r="3263" ht="14" customHeight="1" s="72">
      <c r="A3263" s="82" t="n"/>
      <c r="B3263" s="79" t="n"/>
      <c r="C3263" s="69">
        <f>IF(B3263="","",IFERROR(INDEX(Client_List!$B:$B,MATCH(B3263,Client_List!$A:$A,0)),"⚠ NOT FOUND"))</f>
        <v/>
      </c>
      <c r="D3263" s="44" t="n"/>
      <c r="E3263" s="32">
        <f>IF(B3263="","",IFERROR(INDEX(Client_List!$C:$C,MATCH(VALUE(B3263),Client_List!$A:$A,0)),""))</f>
        <v/>
      </c>
      <c r="F3263" s="53">
        <f>IF(B3263="","",IFERROR(INDEX(Client_List!$D:$D,MATCH(VALUE(B3263),Client_List!$A:$A,0)),""))</f>
        <v/>
      </c>
      <c r="G3263" s="53">
        <f>IF(B3263="","",IFERROR(INDEX(Client_List!$K:$K,MATCH(VALUE(B3263),Client_List!$A:$A,0)),""))</f>
        <v/>
      </c>
      <c r="H3263" s="32">
        <f>IF(B3263="","",IFERROR(INDEX(Client_List!$J:$J,MATCH(VALUE(B3263),Client_List!$A:$A,0)),""))</f>
        <v/>
      </c>
      <c r="I3263" s="70">
        <f>IF(B3263="","",IFERROR(A3263-LOOKUP(2,1/($B$4:$B3262=B3263),$A$4:$A3262),""))</f>
        <v/>
      </c>
      <c r="J3263" s="32">
        <f>IF(B3263="","",IFERROR(D3263/I3263,""))</f>
        <v/>
      </c>
      <c r="K3263" s="71">
        <f>IF(B3263="","",IFERROR(AVERAGEIFS($J$4:$J3263,$B$4:$B3263,B3263,$J$4:$J3263,"&gt;"&amp;0),""))</f>
        <v/>
      </c>
      <c r="L3263" s="11" t="n"/>
    </row>
    <row r="3264" ht="14" customHeight="1" s="72">
      <c r="A3264" s="83" t="n"/>
      <c r="B3264" s="81" t="n"/>
      <c r="C3264" s="69">
        <f>IF(B3264="","",IFERROR(INDEX(Client_List!$B:$B,MATCH(B3264,Client_List!$A:$A,0)),"⚠ NOT FOUND"))</f>
        <v/>
      </c>
      <c r="D3264" s="45" t="n"/>
      <c r="E3264" s="32">
        <f>IF(B3264="","",IFERROR(INDEX(Client_List!$C:$C,MATCH(VALUE(B3264),Client_List!$A:$A,0)),""))</f>
        <v/>
      </c>
      <c r="F3264" s="53">
        <f>IF(B3264="","",IFERROR(INDEX(Client_List!$D:$D,MATCH(VALUE(B3264),Client_List!$A:$A,0)),""))</f>
        <v/>
      </c>
      <c r="G3264" s="53">
        <f>IF(B3264="","",IFERROR(INDEX(Client_List!$K:$K,MATCH(VALUE(B3264),Client_List!$A:$A,0)),""))</f>
        <v/>
      </c>
      <c r="H3264" s="32">
        <f>IF(B3264="","",IFERROR(INDEX(Client_List!$J:$J,MATCH(VALUE(B3264),Client_List!$A:$A,0)),""))</f>
        <v/>
      </c>
      <c r="I3264" s="70">
        <f>IF(B3264="","",IFERROR(A3264-LOOKUP(2,1/($B$4:$B3263=B3264),$A$4:$A3263),""))</f>
        <v/>
      </c>
      <c r="J3264" s="32">
        <f>IF(B3264="","",IFERROR(D3264/I3264,""))</f>
        <v/>
      </c>
      <c r="K3264" s="71">
        <f>IF(B3264="","",IFERROR(AVERAGEIFS($J$4:$J3264,$B$4:$B3264,B3264,$J$4:$J3264,"&gt;"&amp;0),""))</f>
        <v/>
      </c>
      <c r="L3264" s="12" t="n"/>
    </row>
    <row r="3265" ht="14" customHeight="1" s="72">
      <c r="A3265" s="82" t="n"/>
      <c r="B3265" s="79" t="n"/>
      <c r="C3265" s="69">
        <f>IF(B3265="","",IFERROR(INDEX(Client_List!$B:$B,MATCH(B3265,Client_List!$A:$A,0)),"⚠ NOT FOUND"))</f>
        <v/>
      </c>
      <c r="D3265" s="44" t="n"/>
      <c r="E3265" s="32">
        <f>IF(B3265="","",IFERROR(INDEX(Client_List!$C:$C,MATCH(VALUE(B3265),Client_List!$A:$A,0)),""))</f>
        <v/>
      </c>
      <c r="F3265" s="53">
        <f>IF(B3265="","",IFERROR(INDEX(Client_List!$D:$D,MATCH(VALUE(B3265),Client_List!$A:$A,0)),""))</f>
        <v/>
      </c>
      <c r="G3265" s="53">
        <f>IF(B3265="","",IFERROR(INDEX(Client_List!$K:$K,MATCH(VALUE(B3265),Client_List!$A:$A,0)),""))</f>
        <v/>
      </c>
      <c r="H3265" s="32">
        <f>IF(B3265="","",IFERROR(INDEX(Client_List!$J:$J,MATCH(VALUE(B3265),Client_List!$A:$A,0)),""))</f>
        <v/>
      </c>
      <c r="I3265" s="70">
        <f>IF(B3265="","",IFERROR(A3265-LOOKUP(2,1/($B$4:$B3264=B3265),$A$4:$A3264),""))</f>
        <v/>
      </c>
      <c r="J3265" s="32">
        <f>IF(B3265="","",IFERROR(D3265/I3265,""))</f>
        <v/>
      </c>
      <c r="K3265" s="71">
        <f>IF(B3265="","",IFERROR(AVERAGEIFS($J$4:$J3265,$B$4:$B3265,B3265,$J$4:$J3265,"&gt;"&amp;0),""))</f>
        <v/>
      </c>
      <c r="L3265" s="11" t="n"/>
    </row>
    <row r="3266" ht="14" customHeight="1" s="72">
      <c r="A3266" s="83" t="n"/>
      <c r="B3266" s="81" t="n"/>
      <c r="C3266" s="69">
        <f>IF(B3266="","",IFERROR(INDEX(Client_List!$B:$B,MATCH(B3266,Client_List!$A:$A,0)),"⚠ NOT FOUND"))</f>
        <v/>
      </c>
      <c r="D3266" s="45" t="n"/>
      <c r="E3266" s="32">
        <f>IF(B3266="","",IFERROR(INDEX(Client_List!$C:$C,MATCH(VALUE(B3266),Client_List!$A:$A,0)),""))</f>
        <v/>
      </c>
      <c r="F3266" s="53">
        <f>IF(B3266="","",IFERROR(INDEX(Client_List!$D:$D,MATCH(VALUE(B3266),Client_List!$A:$A,0)),""))</f>
        <v/>
      </c>
      <c r="G3266" s="53">
        <f>IF(B3266="","",IFERROR(INDEX(Client_List!$K:$K,MATCH(VALUE(B3266),Client_List!$A:$A,0)),""))</f>
        <v/>
      </c>
      <c r="H3266" s="32">
        <f>IF(B3266="","",IFERROR(INDEX(Client_List!$J:$J,MATCH(VALUE(B3266),Client_List!$A:$A,0)),""))</f>
        <v/>
      </c>
      <c r="I3266" s="70">
        <f>IF(B3266="","",IFERROR(A3266-LOOKUP(2,1/($B$4:$B3265=B3266),$A$4:$A3265),""))</f>
        <v/>
      </c>
      <c r="J3266" s="32">
        <f>IF(B3266="","",IFERROR(D3266/I3266,""))</f>
        <v/>
      </c>
      <c r="K3266" s="71">
        <f>IF(B3266="","",IFERROR(AVERAGEIFS($J$4:$J3266,$B$4:$B3266,B3266,$J$4:$J3266,"&gt;"&amp;0),""))</f>
        <v/>
      </c>
      <c r="L3266" s="12" t="n"/>
    </row>
    <row r="3267" ht="14" customHeight="1" s="72">
      <c r="A3267" s="82" t="n"/>
      <c r="B3267" s="79" t="n"/>
      <c r="C3267" s="69">
        <f>IF(B3267="","",IFERROR(INDEX(Client_List!$B:$B,MATCH(B3267,Client_List!$A:$A,0)),"⚠ NOT FOUND"))</f>
        <v/>
      </c>
      <c r="D3267" s="44" t="n"/>
      <c r="E3267" s="32">
        <f>IF(B3267="","",IFERROR(INDEX(Client_List!$C:$C,MATCH(VALUE(B3267),Client_List!$A:$A,0)),""))</f>
        <v/>
      </c>
      <c r="F3267" s="53">
        <f>IF(B3267="","",IFERROR(INDEX(Client_List!$D:$D,MATCH(VALUE(B3267),Client_List!$A:$A,0)),""))</f>
        <v/>
      </c>
      <c r="G3267" s="53">
        <f>IF(B3267="","",IFERROR(INDEX(Client_List!$K:$K,MATCH(VALUE(B3267),Client_List!$A:$A,0)),""))</f>
        <v/>
      </c>
      <c r="H3267" s="32">
        <f>IF(B3267="","",IFERROR(INDEX(Client_List!$J:$J,MATCH(VALUE(B3267),Client_List!$A:$A,0)),""))</f>
        <v/>
      </c>
      <c r="I3267" s="70">
        <f>IF(B3267="","",IFERROR(A3267-LOOKUP(2,1/($B$4:$B3266=B3267),$A$4:$A3266),""))</f>
        <v/>
      </c>
      <c r="J3267" s="32">
        <f>IF(B3267="","",IFERROR(D3267/I3267,""))</f>
        <v/>
      </c>
      <c r="K3267" s="71">
        <f>IF(B3267="","",IFERROR(AVERAGEIFS($J$4:$J3267,$B$4:$B3267,B3267,$J$4:$J3267,"&gt;"&amp;0),""))</f>
        <v/>
      </c>
      <c r="L3267" s="11" t="n"/>
    </row>
    <row r="3268" ht="14" customHeight="1" s="72">
      <c r="A3268" s="83" t="n"/>
      <c r="B3268" s="81" t="n"/>
      <c r="C3268" s="69">
        <f>IF(B3268="","",IFERROR(INDEX(Client_List!$B:$B,MATCH(B3268,Client_List!$A:$A,0)),"⚠ NOT FOUND"))</f>
        <v/>
      </c>
      <c r="D3268" s="45" t="n"/>
      <c r="E3268" s="32">
        <f>IF(B3268="","",IFERROR(INDEX(Client_List!$C:$C,MATCH(VALUE(B3268),Client_List!$A:$A,0)),""))</f>
        <v/>
      </c>
      <c r="F3268" s="53">
        <f>IF(B3268="","",IFERROR(INDEX(Client_List!$D:$D,MATCH(VALUE(B3268),Client_List!$A:$A,0)),""))</f>
        <v/>
      </c>
      <c r="G3268" s="53">
        <f>IF(B3268="","",IFERROR(INDEX(Client_List!$K:$K,MATCH(VALUE(B3268),Client_List!$A:$A,0)),""))</f>
        <v/>
      </c>
      <c r="H3268" s="32">
        <f>IF(B3268="","",IFERROR(INDEX(Client_List!$J:$J,MATCH(VALUE(B3268),Client_List!$A:$A,0)),""))</f>
        <v/>
      </c>
      <c r="I3268" s="70">
        <f>IF(B3268="","",IFERROR(A3268-LOOKUP(2,1/($B$4:$B3267=B3268),$A$4:$A3267),""))</f>
        <v/>
      </c>
      <c r="J3268" s="32">
        <f>IF(B3268="","",IFERROR(D3268/I3268,""))</f>
        <v/>
      </c>
      <c r="K3268" s="71">
        <f>IF(B3268="","",IFERROR(AVERAGEIFS($J$4:$J3268,$B$4:$B3268,B3268,$J$4:$J3268,"&gt;"&amp;0),""))</f>
        <v/>
      </c>
      <c r="L3268" s="12" t="n"/>
    </row>
    <row r="3269" ht="14" customHeight="1" s="72">
      <c r="A3269" s="82" t="n"/>
      <c r="B3269" s="79" t="n"/>
      <c r="C3269" s="69">
        <f>IF(B3269="","",IFERROR(INDEX(Client_List!$B:$B,MATCH(B3269,Client_List!$A:$A,0)),"⚠ NOT FOUND"))</f>
        <v/>
      </c>
      <c r="D3269" s="44" t="n"/>
      <c r="E3269" s="32">
        <f>IF(B3269="","",IFERROR(INDEX(Client_List!$C:$C,MATCH(VALUE(B3269),Client_List!$A:$A,0)),""))</f>
        <v/>
      </c>
      <c r="F3269" s="53">
        <f>IF(B3269="","",IFERROR(INDEX(Client_List!$D:$D,MATCH(VALUE(B3269),Client_List!$A:$A,0)),""))</f>
        <v/>
      </c>
      <c r="G3269" s="53">
        <f>IF(B3269="","",IFERROR(INDEX(Client_List!$K:$K,MATCH(VALUE(B3269),Client_List!$A:$A,0)),""))</f>
        <v/>
      </c>
      <c r="H3269" s="32">
        <f>IF(B3269="","",IFERROR(INDEX(Client_List!$J:$J,MATCH(VALUE(B3269),Client_List!$A:$A,0)),""))</f>
        <v/>
      </c>
      <c r="I3269" s="70">
        <f>IF(B3269="","",IFERROR(A3269-LOOKUP(2,1/($B$4:$B3268=B3269),$A$4:$A3268),""))</f>
        <v/>
      </c>
      <c r="J3269" s="32">
        <f>IF(B3269="","",IFERROR(D3269/I3269,""))</f>
        <v/>
      </c>
      <c r="K3269" s="71">
        <f>IF(B3269="","",IFERROR(AVERAGEIFS($J$4:$J3269,$B$4:$B3269,B3269,$J$4:$J3269,"&gt;"&amp;0),""))</f>
        <v/>
      </c>
      <c r="L3269" s="11" t="n"/>
    </row>
    <row r="3270" ht="14" customHeight="1" s="72">
      <c r="A3270" s="83" t="n"/>
      <c r="B3270" s="81" t="n"/>
      <c r="C3270" s="69">
        <f>IF(B3270="","",IFERROR(INDEX(Client_List!$B:$B,MATCH(B3270,Client_List!$A:$A,0)),"⚠ NOT FOUND"))</f>
        <v/>
      </c>
      <c r="D3270" s="45" t="n"/>
      <c r="E3270" s="32">
        <f>IF(B3270="","",IFERROR(INDEX(Client_List!$C:$C,MATCH(VALUE(B3270),Client_List!$A:$A,0)),""))</f>
        <v/>
      </c>
      <c r="F3270" s="53">
        <f>IF(B3270="","",IFERROR(INDEX(Client_List!$D:$D,MATCH(VALUE(B3270),Client_List!$A:$A,0)),""))</f>
        <v/>
      </c>
      <c r="G3270" s="53">
        <f>IF(B3270="","",IFERROR(INDEX(Client_List!$K:$K,MATCH(VALUE(B3270),Client_List!$A:$A,0)),""))</f>
        <v/>
      </c>
      <c r="H3270" s="32">
        <f>IF(B3270="","",IFERROR(INDEX(Client_List!$J:$J,MATCH(VALUE(B3270),Client_List!$A:$A,0)),""))</f>
        <v/>
      </c>
      <c r="I3270" s="70">
        <f>IF(B3270="","",IFERROR(A3270-LOOKUP(2,1/($B$4:$B3269=B3270),$A$4:$A3269),""))</f>
        <v/>
      </c>
      <c r="J3270" s="32">
        <f>IF(B3270="","",IFERROR(D3270/I3270,""))</f>
        <v/>
      </c>
      <c r="K3270" s="71">
        <f>IF(B3270="","",IFERROR(AVERAGEIFS($J$4:$J3270,$B$4:$B3270,B3270,$J$4:$J3270,"&gt;"&amp;0),""))</f>
        <v/>
      </c>
      <c r="L3270" s="12" t="n"/>
    </row>
    <row r="3271" ht="14" customHeight="1" s="72">
      <c r="A3271" s="82" t="n"/>
      <c r="B3271" s="79" t="n"/>
      <c r="C3271" s="69">
        <f>IF(B3271="","",IFERROR(INDEX(Client_List!$B:$B,MATCH(B3271,Client_List!$A:$A,0)),"⚠ NOT FOUND"))</f>
        <v/>
      </c>
      <c r="D3271" s="44" t="n"/>
      <c r="E3271" s="32">
        <f>IF(B3271="","",IFERROR(INDEX(Client_List!$C:$C,MATCH(VALUE(B3271),Client_List!$A:$A,0)),""))</f>
        <v/>
      </c>
      <c r="F3271" s="53">
        <f>IF(B3271="","",IFERROR(INDEX(Client_List!$D:$D,MATCH(VALUE(B3271),Client_List!$A:$A,0)),""))</f>
        <v/>
      </c>
      <c r="G3271" s="53">
        <f>IF(B3271="","",IFERROR(INDEX(Client_List!$K:$K,MATCH(VALUE(B3271),Client_List!$A:$A,0)),""))</f>
        <v/>
      </c>
      <c r="H3271" s="32">
        <f>IF(B3271="","",IFERROR(INDEX(Client_List!$J:$J,MATCH(VALUE(B3271),Client_List!$A:$A,0)),""))</f>
        <v/>
      </c>
      <c r="I3271" s="70">
        <f>IF(B3271="","",IFERROR(A3271-LOOKUP(2,1/($B$4:$B3270=B3271),$A$4:$A3270),""))</f>
        <v/>
      </c>
      <c r="J3271" s="32">
        <f>IF(B3271="","",IFERROR(D3271/I3271,""))</f>
        <v/>
      </c>
      <c r="K3271" s="71">
        <f>IF(B3271="","",IFERROR(AVERAGEIFS($J$4:$J3271,$B$4:$B3271,B3271,$J$4:$J3271,"&gt;"&amp;0),""))</f>
        <v/>
      </c>
      <c r="L3271" s="11" t="n"/>
    </row>
    <row r="3272" ht="14" customHeight="1" s="72">
      <c r="A3272" s="83" t="n"/>
      <c r="B3272" s="81" t="n"/>
      <c r="C3272" s="69">
        <f>IF(B3272="","",IFERROR(INDEX(Client_List!$B:$B,MATCH(B3272,Client_List!$A:$A,0)),"⚠ NOT FOUND"))</f>
        <v/>
      </c>
      <c r="D3272" s="45" t="n"/>
      <c r="E3272" s="32">
        <f>IF(B3272="","",IFERROR(INDEX(Client_List!$C:$C,MATCH(VALUE(B3272),Client_List!$A:$A,0)),""))</f>
        <v/>
      </c>
      <c r="F3272" s="53">
        <f>IF(B3272="","",IFERROR(INDEX(Client_List!$D:$D,MATCH(VALUE(B3272),Client_List!$A:$A,0)),""))</f>
        <v/>
      </c>
      <c r="G3272" s="53">
        <f>IF(B3272="","",IFERROR(INDEX(Client_List!$K:$K,MATCH(VALUE(B3272),Client_List!$A:$A,0)),""))</f>
        <v/>
      </c>
      <c r="H3272" s="32">
        <f>IF(B3272="","",IFERROR(INDEX(Client_List!$J:$J,MATCH(VALUE(B3272),Client_List!$A:$A,0)),""))</f>
        <v/>
      </c>
      <c r="I3272" s="70">
        <f>IF(B3272="","",IFERROR(A3272-LOOKUP(2,1/($B$4:$B3271=B3272),$A$4:$A3271),""))</f>
        <v/>
      </c>
      <c r="J3272" s="32">
        <f>IF(B3272="","",IFERROR(D3272/I3272,""))</f>
        <v/>
      </c>
      <c r="K3272" s="71">
        <f>IF(B3272="","",IFERROR(AVERAGEIFS($J$4:$J3272,$B$4:$B3272,B3272,$J$4:$J3272,"&gt;"&amp;0),""))</f>
        <v/>
      </c>
      <c r="L3272" s="12" t="n"/>
    </row>
    <row r="3273" ht="14" customHeight="1" s="72">
      <c r="A3273" s="82" t="n"/>
      <c r="B3273" s="79" t="n"/>
      <c r="C3273" s="69">
        <f>IF(B3273="","",IFERROR(INDEX(Client_List!$B:$B,MATCH(B3273,Client_List!$A:$A,0)),"⚠ NOT FOUND"))</f>
        <v/>
      </c>
      <c r="D3273" s="44" t="n"/>
      <c r="E3273" s="32">
        <f>IF(B3273="","",IFERROR(INDEX(Client_List!$C:$C,MATCH(VALUE(B3273),Client_List!$A:$A,0)),""))</f>
        <v/>
      </c>
      <c r="F3273" s="53">
        <f>IF(B3273="","",IFERROR(INDEX(Client_List!$D:$D,MATCH(VALUE(B3273),Client_List!$A:$A,0)),""))</f>
        <v/>
      </c>
      <c r="G3273" s="53">
        <f>IF(B3273="","",IFERROR(INDEX(Client_List!$K:$K,MATCH(VALUE(B3273),Client_List!$A:$A,0)),""))</f>
        <v/>
      </c>
      <c r="H3273" s="32">
        <f>IF(B3273="","",IFERROR(INDEX(Client_List!$J:$J,MATCH(VALUE(B3273),Client_List!$A:$A,0)),""))</f>
        <v/>
      </c>
      <c r="I3273" s="70">
        <f>IF(B3273="","",IFERROR(A3273-LOOKUP(2,1/($B$4:$B3272=B3273),$A$4:$A3272),""))</f>
        <v/>
      </c>
      <c r="J3273" s="32">
        <f>IF(B3273="","",IFERROR(D3273/I3273,""))</f>
        <v/>
      </c>
      <c r="K3273" s="71">
        <f>IF(B3273="","",IFERROR(AVERAGEIFS($J$4:$J3273,$B$4:$B3273,B3273,$J$4:$J3273,"&gt;"&amp;0),""))</f>
        <v/>
      </c>
      <c r="L3273" s="11" t="n"/>
    </row>
    <row r="3274" ht="14" customHeight="1" s="72">
      <c r="A3274" s="83" t="n"/>
      <c r="B3274" s="81" t="n"/>
      <c r="C3274" s="69">
        <f>IF(B3274="","",IFERROR(INDEX(Client_List!$B:$B,MATCH(B3274,Client_List!$A:$A,0)),"⚠ NOT FOUND"))</f>
        <v/>
      </c>
      <c r="D3274" s="45" t="n"/>
      <c r="E3274" s="32">
        <f>IF(B3274="","",IFERROR(INDEX(Client_List!$C:$C,MATCH(VALUE(B3274),Client_List!$A:$A,0)),""))</f>
        <v/>
      </c>
      <c r="F3274" s="53">
        <f>IF(B3274="","",IFERROR(INDEX(Client_List!$D:$D,MATCH(VALUE(B3274),Client_List!$A:$A,0)),""))</f>
        <v/>
      </c>
      <c r="G3274" s="53">
        <f>IF(B3274="","",IFERROR(INDEX(Client_List!$K:$K,MATCH(VALUE(B3274),Client_List!$A:$A,0)),""))</f>
        <v/>
      </c>
      <c r="H3274" s="32">
        <f>IF(B3274="","",IFERROR(INDEX(Client_List!$J:$J,MATCH(VALUE(B3274),Client_List!$A:$A,0)),""))</f>
        <v/>
      </c>
      <c r="I3274" s="70">
        <f>IF(B3274="","",IFERROR(A3274-LOOKUP(2,1/($B$4:$B3273=B3274),$A$4:$A3273),""))</f>
        <v/>
      </c>
      <c r="J3274" s="32">
        <f>IF(B3274="","",IFERROR(D3274/I3274,""))</f>
        <v/>
      </c>
      <c r="K3274" s="71">
        <f>IF(B3274="","",IFERROR(AVERAGEIFS($J$4:$J3274,$B$4:$B3274,B3274,$J$4:$J3274,"&gt;"&amp;0),""))</f>
        <v/>
      </c>
      <c r="L3274" s="12" t="n"/>
    </row>
    <row r="3275" ht="14" customHeight="1" s="72">
      <c r="A3275" s="82" t="n"/>
      <c r="B3275" s="79" t="n"/>
      <c r="C3275" s="69">
        <f>IF(B3275="","",IFERROR(INDEX(Client_List!$B:$B,MATCH(B3275,Client_List!$A:$A,0)),"⚠ NOT FOUND"))</f>
        <v/>
      </c>
      <c r="D3275" s="44" t="n"/>
      <c r="E3275" s="32">
        <f>IF(B3275="","",IFERROR(INDEX(Client_List!$C:$C,MATCH(VALUE(B3275),Client_List!$A:$A,0)),""))</f>
        <v/>
      </c>
      <c r="F3275" s="53">
        <f>IF(B3275="","",IFERROR(INDEX(Client_List!$D:$D,MATCH(VALUE(B3275),Client_List!$A:$A,0)),""))</f>
        <v/>
      </c>
      <c r="G3275" s="53">
        <f>IF(B3275="","",IFERROR(INDEX(Client_List!$K:$K,MATCH(VALUE(B3275),Client_List!$A:$A,0)),""))</f>
        <v/>
      </c>
      <c r="H3275" s="32">
        <f>IF(B3275="","",IFERROR(INDEX(Client_List!$J:$J,MATCH(VALUE(B3275),Client_List!$A:$A,0)),""))</f>
        <v/>
      </c>
      <c r="I3275" s="70">
        <f>IF(B3275="","",IFERROR(A3275-LOOKUP(2,1/($B$4:$B3274=B3275),$A$4:$A3274),""))</f>
        <v/>
      </c>
      <c r="J3275" s="32">
        <f>IF(B3275="","",IFERROR(D3275/I3275,""))</f>
        <v/>
      </c>
      <c r="K3275" s="71">
        <f>IF(B3275="","",IFERROR(AVERAGEIFS($J$4:$J3275,$B$4:$B3275,B3275,$J$4:$J3275,"&gt;"&amp;0),""))</f>
        <v/>
      </c>
      <c r="L3275" s="11" t="n"/>
    </row>
    <row r="3276" ht="14" customHeight="1" s="72">
      <c r="A3276" s="83" t="n"/>
      <c r="B3276" s="81" t="n"/>
      <c r="C3276" s="69">
        <f>IF(B3276="","",IFERROR(INDEX(Client_List!$B:$B,MATCH(B3276,Client_List!$A:$A,0)),"⚠ NOT FOUND"))</f>
        <v/>
      </c>
      <c r="D3276" s="45" t="n"/>
      <c r="E3276" s="32">
        <f>IF(B3276="","",IFERROR(INDEX(Client_List!$C:$C,MATCH(VALUE(B3276),Client_List!$A:$A,0)),""))</f>
        <v/>
      </c>
      <c r="F3276" s="53">
        <f>IF(B3276="","",IFERROR(INDEX(Client_List!$D:$D,MATCH(VALUE(B3276),Client_List!$A:$A,0)),""))</f>
        <v/>
      </c>
      <c r="G3276" s="53">
        <f>IF(B3276="","",IFERROR(INDEX(Client_List!$K:$K,MATCH(VALUE(B3276),Client_List!$A:$A,0)),""))</f>
        <v/>
      </c>
      <c r="H3276" s="32">
        <f>IF(B3276="","",IFERROR(INDEX(Client_List!$J:$J,MATCH(VALUE(B3276),Client_List!$A:$A,0)),""))</f>
        <v/>
      </c>
      <c r="I3276" s="70">
        <f>IF(B3276="","",IFERROR(A3276-LOOKUP(2,1/($B$4:$B3275=B3276),$A$4:$A3275),""))</f>
        <v/>
      </c>
      <c r="J3276" s="32">
        <f>IF(B3276="","",IFERROR(D3276/I3276,""))</f>
        <v/>
      </c>
      <c r="K3276" s="71">
        <f>IF(B3276="","",IFERROR(AVERAGEIFS($J$4:$J3276,$B$4:$B3276,B3276,$J$4:$J3276,"&gt;"&amp;0),""))</f>
        <v/>
      </c>
      <c r="L3276" s="12" t="n"/>
    </row>
    <row r="3277" ht="14" customHeight="1" s="72">
      <c r="A3277" s="82" t="n"/>
      <c r="B3277" s="79" t="n"/>
      <c r="C3277" s="69">
        <f>IF(B3277="","",IFERROR(INDEX(Client_List!$B:$B,MATCH(B3277,Client_List!$A:$A,0)),"⚠ NOT FOUND"))</f>
        <v/>
      </c>
      <c r="D3277" s="44" t="n"/>
      <c r="E3277" s="32">
        <f>IF(B3277="","",IFERROR(INDEX(Client_List!$C:$C,MATCH(VALUE(B3277),Client_List!$A:$A,0)),""))</f>
        <v/>
      </c>
      <c r="F3277" s="53">
        <f>IF(B3277="","",IFERROR(INDEX(Client_List!$D:$D,MATCH(VALUE(B3277),Client_List!$A:$A,0)),""))</f>
        <v/>
      </c>
      <c r="G3277" s="53">
        <f>IF(B3277="","",IFERROR(INDEX(Client_List!$K:$K,MATCH(VALUE(B3277),Client_List!$A:$A,0)),""))</f>
        <v/>
      </c>
      <c r="H3277" s="32">
        <f>IF(B3277="","",IFERROR(INDEX(Client_List!$J:$J,MATCH(VALUE(B3277),Client_List!$A:$A,0)),""))</f>
        <v/>
      </c>
      <c r="I3277" s="70">
        <f>IF(B3277="","",IFERROR(A3277-LOOKUP(2,1/($B$4:$B3276=B3277),$A$4:$A3276),""))</f>
        <v/>
      </c>
      <c r="J3277" s="32">
        <f>IF(B3277="","",IFERROR(D3277/I3277,""))</f>
        <v/>
      </c>
      <c r="K3277" s="71">
        <f>IF(B3277="","",IFERROR(AVERAGEIFS($J$4:$J3277,$B$4:$B3277,B3277,$J$4:$J3277,"&gt;"&amp;0),""))</f>
        <v/>
      </c>
      <c r="L3277" s="11" t="n"/>
    </row>
    <row r="3278" ht="14" customHeight="1" s="72">
      <c r="A3278" s="83" t="n"/>
      <c r="B3278" s="81" t="n"/>
      <c r="C3278" s="69">
        <f>IF(B3278="","",IFERROR(INDEX(Client_List!$B:$B,MATCH(B3278,Client_List!$A:$A,0)),"⚠ NOT FOUND"))</f>
        <v/>
      </c>
      <c r="D3278" s="45" t="n"/>
      <c r="E3278" s="32">
        <f>IF(B3278="","",IFERROR(INDEX(Client_List!$C:$C,MATCH(VALUE(B3278),Client_List!$A:$A,0)),""))</f>
        <v/>
      </c>
      <c r="F3278" s="53">
        <f>IF(B3278="","",IFERROR(INDEX(Client_List!$D:$D,MATCH(VALUE(B3278),Client_List!$A:$A,0)),""))</f>
        <v/>
      </c>
      <c r="G3278" s="53">
        <f>IF(B3278="","",IFERROR(INDEX(Client_List!$K:$K,MATCH(VALUE(B3278),Client_List!$A:$A,0)),""))</f>
        <v/>
      </c>
      <c r="H3278" s="32">
        <f>IF(B3278="","",IFERROR(INDEX(Client_List!$J:$J,MATCH(VALUE(B3278),Client_List!$A:$A,0)),""))</f>
        <v/>
      </c>
      <c r="I3278" s="70">
        <f>IF(B3278="","",IFERROR(A3278-LOOKUP(2,1/($B$4:$B3277=B3278),$A$4:$A3277),""))</f>
        <v/>
      </c>
      <c r="J3278" s="32">
        <f>IF(B3278="","",IFERROR(D3278/I3278,""))</f>
        <v/>
      </c>
      <c r="K3278" s="71">
        <f>IF(B3278="","",IFERROR(AVERAGEIFS($J$4:$J3278,$B$4:$B3278,B3278,$J$4:$J3278,"&gt;"&amp;0),""))</f>
        <v/>
      </c>
      <c r="L3278" s="12" t="n"/>
    </row>
    <row r="3279" ht="14" customHeight="1" s="72">
      <c r="A3279" s="82" t="n"/>
      <c r="B3279" s="79" t="n"/>
      <c r="C3279" s="69">
        <f>IF(B3279="","",IFERROR(INDEX(Client_List!$B:$B,MATCH(B3279,Client_List!$A:$A,0)),"⚠ NOT FOUND"))</f>
        <v/>
      </c>
      <c r="D3279" s="44" t="n"/>
      <c r="E3279" s="32">
        <f>IF(B3279="","",IFERROR(INDEX(Client_List!$C:$C,MATCH(VALUE(B3279),Client_List!$A:$A,0)),""))</f>
        <v/>
      </c>
      <c r="F3279" s="53">
        <f>IF(B3279="","",IFERROR(INDEX(Client_List!$D:$D,MATCH(VALUE(B3279),Client_List!$A:$A,0)),""))</f>
        <v/>
      </c>
      <c r="G3279" s="53">
        <f>IF(B3279="","",IFERROR(INDEX(Client_List!$K:$K,MATCH(VALUE(B3279),Client_List!$A:$A,0)),""))</f>
        <v/>
      </c>
      <c r="H3279" s="32">
        <f>IF(B3279="","",IFERROR(INDEX(Client_List!$J:$J,MATCH(VALUE(B3279),Client_List!$A:$A,0)),""))</f>
        <v/>
      </c>
      <c r="I3279" s="70">
        <f>IF(B3279="","",IFERROR(A3279-LOOKUP(2,1/($B$4:$B3278=B3279),$A$4:$A3278),""))</f>
        <v/>
      </c>
      <c r="J3279" s="32">
        <f>IF(B3279="","",IFERROR(D3279/I3279,""))</f>
        <v/>
      </c>
      <c r="K3279" s="71">
        <f>IF(B3279="","",IFERROR(AVERAGEIFS($J$4:$J3279,$B$4:$B3279,B3279,$J$4:$J3279,"&gt;"&amp;0),""))</f>
        <v/>
      </c>
      <c r="L3279" s="11" t="n"/>
    </row>
    <row r="3280" ht="14" customHeight="1" s="72">
      <c r="A3280" s="83" t="n"/>
      <c r="B3280" s="81" t="n"/>
      <c r="C3280" s="69">
        <f>IF(B3280="","",IFERROR(INDEX(Client_List!$B:$B,MATCH(B3280,Client_List!$A:$A,0)),"⚠ NOT FOUND"))</f>
        <v/>
      </c>
      <c r="D3280" s="45" t="n"/>
      <c r="E3280" s="32">
        <f>IF(B3280="","",IFERROR(INDEX(Client_List!$C:$C,MATCH(VALUE(B3280),Client_List!$A:$A,0)),""))</f>
        <v/>
      </c>
      <c r="F3280" s="53">
        <f>IF(B3280="","",IFERROR(INDEX(Client_List!$D:$D,MATCH(VALUE(B3280),Client_List!$A:$A,0)),""))</f>
        <v/>
      </c>
      <c r="G3280" s="53">
        <f>IF(B3280="","",IFERROR(INDEX(Client_List!$K:$K,MATCH(VALUE(B3280),Client_List!$A:$A,0)),""))</f>
        <v/>
      </c>
      <c r="H3280" s="32">
        <f>IF(B3280="","",IFERROR(INDEX(Client_List!$J:$J,MATCH(VALUE(B3280),Client_List!$A:$A,0)),""))</f>
        <v/>
      </c>
      <c r="I3280" s="70">
        <f>IF(B3280="","",IFERROR(A3280-LOOKUP(2,1/($B$4:$B3279=B3280),$A$4:$A3279),""))</f>
        <v/>
      </c>
      <c r="J3280" s="32">
        <f>IF(B3280="","",IFERROR(D3280/I3280,""))</f>
        <v/>
      </c>
      <c r="K3280" s="71">
        <f>IF(B3280="","",IFERROR(AVERAGEIFS($J$4:$J3280,$B$4:$B3280,B3280,$J$4:$J3280,"&gt;"&amp;0),""))</f>
        <v/>
      </c>
      <c r="L3280" s="12" t="n"/>
    </row>
    <row r="3281" ht="14" customHeight="1" s="72">
      <c r="A3281" s="82" t="n"/>
      <c r="B3281" s="79" t="n"/>
      <c r="C3281" s="69">
        <f>IF(B3281="","",IFERROR(INDEX(Client_List!$B:$B,MATCH(B3281,Client_List!$A:$A,0)),"⚠ NOT FOUND"))</f>
        <v/>
      </c>
      <c r="D3281" s="44" t="n"/>
      <c r="E3281" s="32">
        <f>IF(B3281="","",IFERROR(INDEX(Client_List!$C:$C,MATCH(VALUE(B3281),Client_List!$A:$A,0)),""))</f>
        <v/>
      </c>
      <c r="F3281" s="53">
        <f>IF(B3281="","",IFERROR(INDEX(Client_List!$D:$D,MATCH(VALUE(B3281),Client_List!$A:$A,0)),""))</f>
        <v/>
      </c>
      <c r="G3281" s="53">
        <f>IF(B3281="","",IFERROR(INDEX(Client_List!$K:$K,MATCH(VALUE(B3281),Client_List!$A:$A,0)),""))</f>
        <v/>
      </c>
      <c r="H3281" s="32">
        <f>IF(B3281="","",IFERROR(INDEX(Client_List!$J:$J,MATCH(VALUE(B3281),Client_List!$A:$A,0)),""))</f>
        <v/>
      </c>
      <c r="I3281" s="70">
        <f>IF(B3281="","",IFERROR(A3281-LOOKUP(2,1/($B$4:$B3280=B3281),$A$4:$A3280),""))</f>
        <v/>
      </c>
      <c r="J3281" s="32">
        <f>IF(B3281="","",IFERROR(D3281/I3281,""))</f>
        <v/>
      </c>
      <c r="K3281" s="71">
        <f>IF(B3281="","",IFERROR(AVERAGEIFS($J$4:$J3281,$B$4:$B3281,B3281,$J$4:$J3281,"&gt;"&amp;0),""))</f>
        <v/>
      </c>
      <c r="L3281" s="11" t="n"/>
    </row>
    <row r="3282" ht="14" customHeight="1" s="72">
      <c r="A3282" s="83" t="n"/>
      <c r="B3282" s="81" t="n"/>
      <c r="C3282" s="69">
        <f>IF(B3282="","",IFERROR(INDEX(Client_List!$B:$B,MATCH(B3282,Client_List!$A:$A,0)),"⚠ NOT FOUND"))</f>
        <v/>
      </c>
      <c r="D3282" s="45" t="n"/>
      <c r="E3282" s="32">
        <f>IF(B3282="","",IFERROR(INDEX(Client_List!$C:$C,MATCH(VALUE(B3282),Client_List!$A:$A,0)),""))</f>
        <v/>
      </c>
      <c r="F3282" s="53">
        <f>IF(B3282="","",IFERROR(INDEX(Client_List!$D:$D,MATCH(VALUE(B3282),Client_List!$A:$A,0)),""))</f>
        <v/>
      </c>
      <c r="G3282" s="53">
        <f>IF(B3282="","",IFERROR(INDEX(Client_List!$K:$K,MATCH(VALUE(B3282),Client_List!$A:$A,0)),""))</f>
        <v/>
      </c>
      <c r="H3282" s="32">
        <f>IF(B3282="","",IFERROR(INDEX(Client_List!$J:$J,MATCH(VALUE(B3282),Client_List!$A:$A,0)),""))</f>
        <v/>
      </c>
      <c r="I3282" s="70">
        <f>IF(B3282="","",IFERROR(A3282-LOOKUP(2,1/($B$4:$B3281=B3282),$A$4:$A3281),""))</f>
        <v/>
      </c>
      <c r="J3282" s="32">
        <f>IF(B3282="","",IFERROR(D3282/I3282,""))</f>
        <v/>
      </c>
      <c r="K3282" s="71">
        <f>IF(B3282="","",IFERROR(AVERAGEIFS($J$4:$J3282,$B$4:$B3282,B3282,$J$4:$J3282,"&gt;"&amp;0),""))</f>
        <v/>
      </c>
      <c r="L3282" s="12" t="n"/>
    </row>
    <row r="3283" ht="14" customHeight="1" s="72">
      <c r="A3283" s="82" t="n"/>
      <c r="B3283" s="79" t="n"/>
      <c r="C3283" s="69">
        <f>IF(B3283="","",IFERROR(INDEX(Client_List!$B:$B,MATCH(B3283,Client_List!$A:$A,0)),"⚠ NOT FOUND"))</f>
        <v/>
      </c>
      <c r="D3283" s="44" t="n"/>
      <c r="E3283" s="32">
        <f>IF(B3283="","",IFERROR(INDEX(Client_List!$C:$C,MATCH(VALUE(B3283),Client_List!$A:$A,0)),""))</f>
        <v/>
      </c>
      <c r="F3283" s="53">
        <f>IF(B3283="","",IFERROR(INDEX(Client_List!$D:$D,MATCH(VALUE(B3283),Client_List!$A:$A,0)),""))</f>
        <v/>
      </c>
      <c r="G3283" s="53">
        <f>IF(B3283="","",IFERROR(INDEX(Client_List!$K:$K,MATCH(VALUE(B3283),Client_List!$A:$A,0)),""))</f>
        <v/>
      </c>
      <c r="H3283" s="32">
        <f>IF(B3283="","",IFERROR(INDEX(Client_List!$J:$J,MATCH(VALUE(B3283),Client_List!$A:$A,0)),""))</f>
        <v/>
      </c>
      <c r="I3283" s="70">
        <f>IF(B3283="","",IFERROR(A3283-LOOKUP(2,1/($B$4:$B3282=B3283),$A$4:$A3282),""))</f>
        <v/>
      </c>
      <c r="J3283" s="32">
        <f>IF(B3283="","",IFERROR(D3283/I3283,""))</f>
        <v/>
      </c>
      <c r="K3283" s="71">
        <f>IF(B3283="","",IFERROR(AVERAGEIFS($J$4:$J3283,$B$4:$B3283,B3283,$J$4:$J3283,"&gt;"&amp;0),""))</f>
        <v/>
      </c>
      <c r="L3283" s="11" t="n"/>
    </row>
    <row r="3284" ht="14" customHeight="1" s="72">
      <c r="A3284" s="83" t="n"/>
      <c r="B3284" s="81" t="n"/>
      <c r="C3284" s="69">
        <f>IF(B3284="","",IFERROR(INDEX(Client_List!$B:$B,MATCH(B3284,Client_List!$A:$A,0)),"⚠ NOT FOUND"))</f>
        <v/>
      </c>
      <c r="D3284" s="45" t="n"/>
      <c r="E3284" s="32">
        <f>IF(B3284="","",IFERROR(INDEX(Client_List!$C:$C,MATCH(VALUE(B3284),Client_List!$A:$A,0)),""))</f>
        <v/>
      </c>
      <c r="F3284" s="53">
        <f>IF(B3284="","",IFERROR(INDEX(Client_List!$D:$D,MATCH(VALUE(B3284),Client_List!$A:$A,0)),""))</f>
        <v/>
      </c>
      <c r="G3284" s="53">
        <f>IF(B3284="","",IFERROR(INDEX(Client_List!$K:$K,MATCH(VALUE(B3284),Client_List!$A:$A,0)),""))</f>
        <v/>
      </c>
      <c r="H3284" s="32">
        <f>IF(B3284="","",IFERROR(INDEX(Client_List!$J:$J,MATCH(VALUE(B3284),Client_List!$A:$A,0)),""))</f>
        <v/>
      </c>
      <c r="I3284" s="70">
        <f>IF(B3284="","",IFERROR(A3284-LOOKUP(2,1/($B$4:$B3283=B3284),$A$4:$A3283),""))</f>
        <v/>
      </c>
      <c r="J3284" s="32">
        <f>IF(B3284="","",IFERROR(D3284/I3284,""))</f>
        <v/>
      </c>
      <c r="K3284" s="71">
        <f>IF(B3284="","",IFERROR(AVERAGEIFS($J$4:$J3284,$B$4:$B3284,B3284,$J$4:$J3284,"&gt;"&amp;0),""))</f>
        <v/>
      </c>
      <c r="L3284" s="12" t="n"/>
    </row>
    <row r="3285" ht="14" customHeight="1" s="72">
      <c r="A3285" s="82" t="n"/>
      <c r="B3285" s="79" t="n"/>
      <c r="C3285" s="69">
        <f>IF(B3285="","",IFERROR(INDEX(Client_List!$B:$B,MATCH(B3285,Client_List!$A:$A,0)),"⚠ NOT FOUND"))</f>
        <v/>
      </c>
      <c r="D3285" s="44" t="n"/>
      <c r="E3285" s="32">
        <f>IF(B3285="","",IFERROR(INDEX(Client_List!$C:$C,MATCH(VALUE(B3285),Client_List!$A:$A,0)),""))</f>
        <v/>
      </c>
      <c r="F3285" s="53">
        <f>IF(B3285="","",IFERROR(INDEX(Client_List!$D:$D,MATCH(VALUE(B3285),Client_List!$A:$A,0)),""))</f>
        <v/>
      </c>
      <c r="G3285" s="53">
        <f>IF(B3285="","",IFERROR(INDEX(Client_List!$K:$K,MATCH(VALUE(B3285),Client_List!$A:$A,0)),""))</f>
        <v/>
      </c>
      <c r="H3285" s="32">
        <f>IF(B3285="","",IFERROR(INDEX(Client_List!$J:$J,MATCH(VALUE(B3285),Client_List!$A:$A,0)),""))</f>
        <v/>
      </c>
      <c r="I3285" s="70">
        <f>IF(B3285="","",IFERROR(A3285-LOOKUP(2,1/($B$4:$B3284=B3285),$A$4:$A3284),""))</f>
        <v/>
      </c>
      <c r="J3285" s="32">
        <f>IF(B3285="","",IFERROR(D3285/I3285,""))</f>
        <v/>
      </c>
      <c r="K3285" s="71">
        <f>IF(B3285="","",IFERROR(AVERAGEIFS($J$4:$J3285,$B$4:$B3285,B3285,$J$4:$J3285,"&gt;"&amp;0),""))</f>
        <v/>
      </c>
      <c r="L3285" s="11" t="n"/>
    </row>
    <row r="3286" ht="14" customHeight="1" s="72">
      <c r="A3286" s="83" t="n"/>
      <c r="B3286" s="81" t="n"/>
      <c r="C3286" s="69">
        <f>IF(B3286="","",IFERROR(INDEX(Client_List!$B:$B,MATCH(B3286,Client_List!$A:$A,0)),"⚠ NOT FOUND"))</f>
        <v/>
      </c>
      <c r="D3286" s="45" t="n"/>
      <c r="E3286" s="32">
        <f>IF(B3286="","",IFERROR(INDEX(Client_List!$C:$C,MATCH(VALUE(B3286),Client_List!$A:$A,0)),""))</f>
        <v/>
      </c>
      <c r="F3286" s="53">
        <f>IF(B3286="","",IFERROR(INDEX(Client_List!$D:$D,MATCH(VALUE(B3286),Client_List!$A:$A,0)),""))</f>
        <v/>
      </c>
      <c r="G3286" s="53">
        <f>IF(B3286="","",IFERROR(INDEX(Client_List!$K:$K,MATCH(VALUE(B3286),Client_List!$A:$A,0)),""))</f>
        <v/>
      </c>
      <c r="H3286" s="32">
        <f>IF(B3286="","",IFERROR(INDEX(Client_List!$J:$J,MATCH(VALUE(B3286),Client_List!$A:$A,0)),""))</f>
        <v/>
      </c>
      <c r="I3286" s="70">
        <f>IF(B3286="","",IFERROR(A3286-LOOKUP(2,1/($B$4:$B3285=B3286),$A$4:$A3285),""))</f>
        <v/>
      </c>
      <c r="J3286" s="32">
        <f>IF(B3286="","",IFERROR(D3286/I3286,""))</f>
        <v/>
      </c>
      <c r="K3286" s="71">
        <f>IF(B3286="","",IFERROR(AVERAGEIFS($J$4:$J3286,$B$4:$B3286,B3286,$J$4:$J3286,"&gt;"&amp;0),""))</f>
        <v/>
      </c>
      <c r="L3286" s="12" t="n"/>
    </row>
    <row r="3287" ht="14" customHeight="1" s="72">
      <c r="A3287" s="82" t="n"/>
      <c r="B3287" s="79" t="n"/>
      <c r="C3287" s="69">
        <f>IF(B3287="","",IFERROR(INDEX(Client_List!$B:$B,MATCH(B3287,Client_List!$A:$A,0)),"⚠ NOT FOUND"))</f>
        <v/>
      </c>
      <c r="D3287" s="44" t="n"/>
      <c r="E3287" s="32">
        <f>IF(B3287="","",IFERROR(INDEX(Client_List!$C:$C,MATCH(VALUE(B3287),Client_List!$A:$A,0)),""))</f>
        <v/>
      </c>
      <c r="F3287" s="53">
        <f>IF(B3287="","",IFERROR(INDEX(Client_List!$D:$D,MATCH(VALUE(B3287),Client_List!$A:$A,0)),""))</f>
        <v/>
      </c>
      <c r="G3287" s="53">
        <f>IF(B3287="","",IFERROR(INDEX(Client_List!$K:$K,MATCH(VALUE(B3287),Client_List!$A:$A,0)),""))</f>
        <v/>
      </c>
      <c r="H3287" s="32">
        <f>IF(B3287="","",IFERROR(INDEX(Client_List!$J:$J,MATCH(VALUE(B3287),Client_List!$A:$A,0)),""))</f>
        <v/>
      </c>
      <c r="I3287" s="70">
        <f>IF(B3287="","",IFERROR(A3287-LOOKUP(2,1/($B$4:$B3286=B3287),$A$4:$A3286),""))</f>
        <v/>
      </c>
      <c r="J3287" s="32">
        <f>IF(B3287="","",IFERROR(D3287/I3287,""))</f>
        <v/>
      </c>
      <c r="K3287" s="71">
        <f>IF(B3287="","",IFERROR(AVERAGEIFS($J$4:$J3287,$B$4:$B3287,B3287,$J$4:$J3287,"&gt;"&amp;0),""))</f>
        <v/>
      </c>
      <c r="L3287" s="11" t="n"/>
    </row>
    <row r="3288" ht="14" customHeight="1" s="72">
      <c r="A3288" s="83" t="n"/>
      <c r="B3288" s="81" t="n"/>
      <c r="C3288" s="69">
        <f>IF(B3288="","",IFERROR(INDEX(Client_List!$B:$B,MATCH(B3288,Client_List!$A:$A,0)),"⚠ NOT FOUND"))</f>
        <v/>
      </c>
      <c r="D3288" s="45" t="n"/>
      <c r="E3288" s="32">
        <f>IF(B3288="","",IFERROR(INDEX(Client_List!$C:$C,MATCH(VALUE(B3288),Client_List!$A:$A,0)),""))</f>
        <v/>
      </c>
      <c r="F3288" s="53">
        <f>IF(B3288="","",IFERROR(INDEX(Client_List!$D:$D,MATCH(VALUE(B3288),Client_List!$A:$A,0)),""))</f>
        <v/>
      </c>
      <c r="G3288" s="53">
        <f>IF(B3288="","",IFERROR(INDEX(Client_List!$K:$K,MATCH(VALUE(B3288),Client_List!$A:$A,0)),""))</f>
        <v/>
      </c>
      <c r="H3288" s="32">
        <f>IF(B3288="","",IFERROR(INDEX(Client_List!$J:$J,MATCH(VALUE(B3288),Client_List!$A:$A,0)),""))</f>
        <v/>
      </c>
      <c r="I3288" s="70">
        <f>IF(B3288="","",IFERROR(A3288-LOOKUP(2,1/($B$4:$B3287=B3288),$A$4:$A3287),""))</f>
        <v/>
      </c>
      <c r="J3288" s="32">
        <f>IF(B3288="","",IFERROR(D3288/I3288,""))</f>
        <v/>
      </c>
      <c r="K3288" s="71">
        <f>IF(B3288="","",IFERROR(AVERAGEIFS($J$4:$J3288,$B$4:$B3288,B3288,$J$4:$J3288,"&gt;"&amp;0),""))</f>
        <v/>
      </c>
      <c r="L3288" s="12" t="n"/>
    </row>
    <row r="3289" ht="14" customHeight="1" s="72">
      <c r="A3289" s="82" t="n"/>
      <c r="B3289" s="79" t="n"/>
      <c r="C3289" s="69">
        <f>IF(B3289="","",IFERROR(INDEX(Client_List!$B:$B,MATCH(B3289,Client_List!$A:$A,0)),"⚠ NOT FOUND"))</f>
        <v/>
      </c>
      <c r="D3289" s="44" t="n"/>
      <c r="E3289" s="32">
        <f>IF(B3289="","",IFERROR(INDEX(Client_List!$C:$C,MATCH(VALUE(B3289),Client_List!$A:$A,0)),""))</f>
        <v/>
      </c>
      <c r="F3289" s="53">
        <f>IF(B3289="","",IFERROR(INDEX(Client_List!$D:$D,MATCH(VALUE(B3289),Client_List!$A:$A,0)),""))</f>
        <v/>
      </c>
      <c r="G3289" s="53">
        <f>IF(B3289="","",IFERROR(INDEX(Client_List!$K:$K,MATCH(VALUE(B3289),Client_List!$A:$A,0)),""))</f>
        <v/>
      </c>
      <c r="H3289" s="32">
        <f>IF(B3289="","",IFERROR(INDEX(Client_List!$J:$J,MATCH(VALUE(B3289),Client_List!$A:$A,0)),""))</f>
        <v/>
      </c>
      <c r="I3289" s="70">
        <f>IF(B3289="","",IFERROR(A3289-LOOKUP(2,1/($B$4:$B3288=B3289),$A$4:$A3288),""))</f>
        <v/>
      </c>
      <c r="J3289" s="32">
        <f>IF(B3289="","",IFERROR(D3289/I3289,""))</f>
        <v/>
      </c>
      <c r="K3289" s="71">
        <f>IF(B3289="","",IFERROR(AVERAGEIFS($J$4:$J3289,$B$4:$B3289,B3289,$J$4:$J3289,"&gt;"&amp;0),""))</f>
        <v/>
      </c>
      <c r="L3289" s="11" t="n"/>
    </row>
    <row r="3290" ht="14" customHeight="1" s="72">
      <c r="A3290" s="83" t="n"/>
      <c r="B3290" s="81" t="n"/>
      <c r="C3290" s="69">
        <f>IF(B3290="","",IFERROR(INDEX(Client_List!$B:$B,MATCH(B3290,Client_List!$A:$A,0)),"⚠ NOT FOUND"))</f>
        <v/>
      </c>
      <c r="D3290" s="45" t="n"/>
      <c r="E3290" s="32">
        <f>IF(B3290="","",IFERROR(INDEX(Client_List!$C:$C,MATCH(VALUE(B3290),Client_List!$A:$A,0)),""))</f>
        <v/>
      </c>
      <c r="F3290" s="53">
        <f>IF(B3290="","",IFERROR(INDEX(Client_List!$D:$D,MATCH(VALUE(B3290),Client_List!$A:$A,0)),""))</f>
        <v/>
      </c>
      <c r="G3290" s="53">
        <f>IF(B3290="","",IFERROR(INDEX(Client_List!$K:$K,MATCH(VALUE(B3290),Client_List!$A:$A,0)),""))</f>
        <v/>
      </c>
      <c r="H3290" s="32">
        <f>IF(B3290="","",IFERROR(INDEX(Client_List!$J:$J,MATCH(VALUE(B3290),Client_List!$A:$A,0)),""))</f>
        <v/>
      </c>
      <c r="I3290" s="70">
        <f>IF(B3290="","",IFERROR(A3290-LOOKUP(2,1/($B$4:$B3289=B3290),$A$4:$A3289),""))</f>
        <v/>
      </c>
      <c r="J3290" s="32">
        <f>IF(B3290="","",IFERROR(D3290/I3290,""))</f>
        <v/>
      </c>
      <c r="K3290" s="71">
        <f>IF(B3290="","",IFERROR(AVERAGEIFS($J$4:$J3290,$B$4:$B3290,B3290,$J$4:$J3290,"&gt;"&amp;0),""))</f>
        <v/>
      </c>
      <c r="L3290" s="12" t="n"/>
    </row>
    <row r="3291" ht="14" customHeight="1" s="72">
      <c r="A3291" s="82" t="n"/>
      <c r="B3291" s="79" t="n"/>
      <c r="C3291" s="69">
        <f>IF(B3291="","",IFERROR(INDEX(Client_List!$B:$B,MATCH(B3291,Client_List!$A:$A,0)),"⚠ NOT FOUND"))</f>
        <v/>
      </c>
      <c r="D3291" s="44" t="n"/>
      <c r="E3291" s="32">
        <f>IF(B3291="","",IFERROR(INDEX(Client_List!$C:$C,MATCH(VALUE(B3291),Client_List!$A:$A,0)),""))</f>
        <v/>
      </c>
      <c r="F3291" s="53">
        <f>IF(B3291="","",IFERROR(INDEX(Client_List!$D:$D,MATCH(VALUE(B3291),Client_List!$A:$A,0)),""))</f>
        <v/>
      </c>
      <c r="G3291" s="53">
        <f>IF(B3291="","",IFERROR(INDEX(Client_List!$K:$K,MATCH(VALUE(B3291),Client_List!$A:$A,0)),""))</f>
        <v/>
      </c>
      <c r="H3291" s="32">
        <f>IF(B3291="","",IFERROR(INDEX(Client_List!$J:$J,MATCH(VALUE(B3291),Client_List!$A:$A,0)),""))</f>
        <v/>
      </c>
      <c r="I3291" s="70">
        <f>IF(B3291="","",IFERROR(A3291-LOOKUP(2,1/($B$4:$B3290=B3291),$A$4:$A3290),""))</f>
        <v/>
      </c>
      <c r="J3291" s="32">
        <f>IF(B3291="","",IFERROR(D3291/I3291,""))</f>
        <v/>
      </c>
      <c r="K3291" s="71">
        <f>IF(B3291="","",IFERROR(AVERAGEIFS($J$4:$J3291,$B$4:$B3291,B3291,$J$4:$J3291,"&gt;"&amp;0),""))</f>
        <v/>
      </c>
      <c r="L3291" s="11" t="n"/>
    </row>
    <row r="3292" ht="14" customHeight="1" s="72">
      <c r="A3292" s="83" t="n"/>
      <c r="B3292" s="81" t="n"/>
      <c r="C3292" s="69">
        <f>IF(B3292="","",IFERROR(INDEX(Client_List!$B:$B,MATCH(B3292,Client_List!$A:$A,0)),"⚠ NOT FOUND"))</f>
        <v/>
      </c>
      <c r="D3292" s="45" t="n"/>
      <c r="E3292" s="32">
        <f>IF(B3292="","",IFERROR(INDEX(Client_List!$C:$C,MATCH(VALUE(B3292),Client_List!$A:$A,0)),""))</f>
        <v/>
      </c>
      <c r="F3292" s="53">
        <f>IF(B3292="","",IFERROR(INDEX(Client_List!$D:$D,MATCH(VALUE(B3292),Client_List!$A:$A,0)),""))</f>
        <v/>
      </c>
      <c r="G3292" s="53">
        <f>IF(B3292="","",IFERROR(INDEX(Client_List!$K:$K,MATCH(VALUE(B3292),Client_List!$A:$A,0)),""))</f>
        <v/>
      </c>
      <c r="H3292" s="32">
        <f>IF(B3292="","",IFERROR(INDEX(Client_List!$J:$J,MATCH(VALUE(B3292),Client_List!$A:$A,0)),""))</f>
        <v/>
      </c>
      <c r="I3292" s="70">
        <f>IF(B3292="","",IFERROR(A3292-LOOKUP(2,1/($B$4:$B3291=B3292),$A$4:$A3291),""))</f>
        <v/>
      </c>
      <c r="J3292" s="32">
        <f>IF(B3292="","",IFERROR(D3292/I3292,""))</f>
        <v/>
      </c>
      <c r="K3292" s="71">
        <f>IF(B3292="","",IFERROR(AVERAGEIFS($J$4:$J3292,$B$4:$B3292,B3292,$J$4:$J3292,"&gt;"&amp;0),""))</f>
        <v/>
      </c>
      <c r="L3292" s="12" t="n"/>
    </row>
    <row r="3293" ht="14" customHeight="1" s="72">
      <c r="A3293" s="82" t="n"/>
      <c r="B3293" s="79" t="n"/>
      <c r="C3293" s="69">
        <f>IF(B3293="","",IFERROR(INDEX(Client_List!$B:$B,MATCH(B3293,Client_List!$A:$A,0)),"⚠ NOT FOUND"))</f>
        <v/>
      </c>
      <c r="D3293" s="44" t="n"/>
      <c r="E3293" s="32">
        <f>IF(B3293="","",IFERROR(INDEX(Client_List!$C:$C,MATCH(VALUE(B3293),Client_List!$A:$A,0)),""))</f>
        <v/>
      </c>
      <c r="F3293" s="53">
        <f>IF(B3293="","",IFERROR(INDEX(Client_List!$D:$D,MATCH(VALUE(B3293),Client_List!$A:$A,0)),""))</f>
        <v/>
      </c>
      <c r="G3293" s="53">
        <f>IF(B3293="","",IFERROR(INDEX(Client_List!$K:$K,MATCH(VALUE(B3293),Client_List!$A:$A,0)),""))</f>
        <v/>
      </c>
      <c r="H3293" s="32">
        <f>IF(B3293="","",IFERROR(INDEX(Client_List!$J:$J,MATCH(VALUE(B3293),Client_List!$A:$A,0)),""))</f>
        <v/>
      </c>
      <c r="I3293" s="70">
        <f>IF(B3293="","",IFERROR(A3293-LOOKUP(2,1/($B$4:$B3292=B3293),$A$4:$A3292),""))</f>
        <v/>
      </c>
      <c r="J3293" s="32">
        <f>IF(B3293="","",IFERROR(D3293/I3293,""))</f>
        <v/>
      </c>
      <c r="K3293" s="71">
        <f>IF(B3293="","",IFERROR(AVERAGEIFS($J$4:$J3293,$B$4:$B3293,B3293,$J$4:$J3293,"&gt;"&amp;0),""))</f>
        <v/>
      </c>
      <c r="L3293" s="11" t="n"/>
    </row>
    <row r="3294" ht="14" customHeight="1" s="72">
      <c r="A3294" s="83" t="n"/>
      <c r="B3294" s="81" t="n"/>
      <c r="C3294" s="69">
        <f>IF(B3294="","",IFERROR(INDEX(Client_List!$B:$B,MATCH(B3294,Client_List!$A:$A,0)),"⚠ NOT FOUND"))</f>
        <v/>
      </c>
      <c r="D3294" s="45" t="n"/>
      <c r="E3294" s="32">
        <f>IF(B3294="","",IFERROR(INDEX(Client_List!$C:$C,MATCH(VALUE(B3294),Client_List!$A:$A,0)),""))</f>
        <v/>
      </c>
      <c r="F3294" s="53">
        <f>IF(B3294="","",IFERROR(INDEX(Client_List!$D:$D,MATCH(VALUE(B3294),Client_List!$A:$A,0)),""))</f>
        <v/>
      </c>
      <c r="G3294" s="53">
        <f>IF(B3294="","",IFERROR(INDEX(Client_List!$K:$K,MATCH(VALUE(B3294),Client_List!$A:$A,0)),""))</f>
        <v/>
      </c>
      <c r="H3294" s="32">
        <f>IF(B3294="","",IFERROR(INDEX(Client_List!$J:$J,MATCH(VALUE(B3294),Client_List!$A:$A,0)),""))</f>
        <v/>
      </c>
      <c r="I3294" s="70">
        <f>IF(B3294="","",IFERROR(A3294-LOOKUP(2,1/($B$4:$B3293=B3294),$A$4:$A3293),""))</f>
        <v/>
      </c>
      <c r="J3294" s="32">
        <f>IF(B3294="","",IFERROR(D3294/I3294,""))</f>
        <v/>
      </c>
      <c r="K3294" s="71">
        <f>IF(B3294="","",IFERROR(AVERAGEIFS($J$4:$J3294,$B$4:$B3294,B3294,$J$4:$J3294,"&gt;"&amp;0),""))</f>
        <v/>
      </c>
      <c r="L3294" s="12" t="n"/>
    </row>
    <row r="3295" ht="14" customHeight="1" s="72">
      <c r="A3295" s="82" t="n"/>
      <c r="B3295" s="79" t="n"/>
      <c r="C3295" s="69">
        <f>IF(B3295="","",IFERROR(INDEX(Client_List!$B:$B,MATCH(B3295,Client_List!$A:$A,0)),"⚠ NOT FOUND"))</f>
        <v/>
      </c>
      <c r="D3295" s="44" t="n"/>
      <c r="E3295" s="32">
        <f>IF(B3295="","",IFERROR(INDEX(Client_List!$C:$C,MATCH(VALUE(B3295),Client_List!$A:$A,0)),""))</f>
        <v/>
      </c>
      <c r="F3295" s="53">
        <f>IF(B3295="","",IFERROR(INDEX(Client_List!$D:$D,MATCH(VALUE(B3295),Client_List!$A:$A,0)),""))</f>
        <v/>
      </c>
      <c r="G3295" s="53">
        <f>IF(B3295="","",IFERROR(INDEX(Client_List!$K:$K,MATCH(VALUE(B3295),Client_List!$A:$A,0)),""))</f>
        <v/>
      </c>
      <c r="H3295" s="32">
        <f>IF(B3295="","",IFERROR(INDEX(Client_List!$J:$J,MATCH(VALUE(B3295),Client_List!$A:$A,0)),""))</f>
        <v/>
      </c>
      <c r="I3295" s="70">
        <f>IF(B3295="","",IFERROR(A3295-LOOKUP(2,1/($B$4:$B3294=B3295),$A$4:$A3294),""))</f>
        <v/>
      </c>
      <c r="J3295" s="32">
        <f>IF(B3295="","",IFERROR(D3295/I3295,""))</f>
        <v/>
      </c>
      <c r="K3295" s="71">
        <f>IF(B3295="","",IFERROR(AVERAGEIFS($J$4:$J3295,$B$4:$B3295,B3295,$J$4:$J3295,"&gt;"&amp;0),""))</f>
        <v/>
      </c>
      <c r="L3295" s="11" t="n"/>
    </row>
    <row r="3296" ht="14" customHeight="1" s="72">
      <c r="A3296" s="83" t="n"/>
      <c r="B3296" s="81" t="n"/>
      <c r="C3296" s="69">
        <f>IF(B3296="","",IFERROR(INDEX(Client_List!$B:$B,MATCH(B3296,Client_List!$A:$A,0)),"⚠ NOT FOUND"))</f>
        <v/>
      </c>
      <c r="D3296" s="45" t="n"/>
      <c r="E3296" s="32">
        <f>IF(B3296="","",IFERROR(INDEX(Client_List!$C:$C,MATCH(VALUE(B3296),Client_List!$A:$A,0)),""))</f>
        <v/>
      </c>
      <c r="F3296" s="53">
        <f>IF(B3296="","",IFERROR(INDEX(Client_List!$D:$D,MATCH(VALUE(B3296),Client_List!$A:$A,0)),""))</f>
        <v/>
      </c>
      <c r="G3296" s="53">
        <f>IF(B3296="","",IFERROR(INDEX(Client_List!$K:$K,MATCH(VALUE(B3296),Client_List!$A:$A,0)),""))</f>
        <v/>
      </c>
      <c r="H3296" s="32">
        <f>IF(B3296="","",IFERROR(INDEX(Client_List!$J:$J,MATCH(VALUE(B3296),Client_List!$A:$A,0)),""))</f>
        <v/>
      </c>
      <c r="I3296" s="70">
        <f>IF(B3296="","",IFERROR(A3296-LOOKUP(2,1/($B$4:$B3295=B3296),$A$4:$A3295),""))</f>
        <v/>
      </c>
      <c r="J3296" s="32">
        <f>IF(B3296="","",IFERROR(D3296/I3296,""))</f>
        <v/>
      </c>
      <c r="K3296" s="71">
        <f>IF(B3296="","",IFERROR(AVERAGEIFS($J$4:$J3296,$B$4:$B3296,B3296,$J$4:$J3296,"&gt;"&amp;0),""))</f>
        <v/>
      </c>
      <c r="L3296" s="12" t="n"/>
    </row>
    <row r="3297" ht="14" customHeight="1" s="72">
      <c r="A3297" s="82" t="n"/>
      <c r="B3297" s="79" t="n"/>
      <c r="C3297" s="69">
        <f>IF(B3297="","",IFERROR(INDEX(Client_List!$B:$B,MATCH(B3297,Client_List!$A:$A,0)),"⚠ NOT FOUND"))</f>
        <v/>
      </c>
      <c r="D3297" s="44" t="n"/>
      <c r="E3297" s="32">
        <f>IF(B3297="","",IFERROR(INDEX(Client_List!$C:$C,MATCH(VALUE(B3297),Client_List!$A:$A,0)),""))</f>
        <v/>
      </c>
      <c r="F3297" s="53">
        <f>IF(B3297="","",IFERROR(INDEX(Client_List!$D:$D,MATCH(VALUE(B3297),Client_List!$A:$A,0)),""))</f>
        <v/>
      </c>
      <c r="G3297" s="53">
        <f>IF(B3297="","",IFERROR(INDEX(Client_List!$K:$K,MATCH(VALUE(B3297),Client_List!$A:$A,0)),""))</f>
        <v/>
      </c>
      <c r="H3297" s="32">
        <f>IF(B3297="","",IFERROR(INDEX(Client_List!$J:$J,MATCH(VALUE(B3297),Client_List!$A:$A,0)),""))</f>
        <v/>
      </c>
      <c r="I3297" s="70">
        <f>IF(B3297="","",IFERROR(A3297-LOOKUP(2,1/($B$4:$B3296=B3297),$A$4:$A3296),""))</f>
        <v/>
      </c>
      <c r="J3297" s="32">
        <f>IF(B3297="","",IFERROR(D3297/I3297,""))</f>
        <v/>
      </c>
      <c r="K3297" s="71">
        <f>IF(B3297="","",IFERROR(AVERAGEIFS($J$4:$J3297,$B$4:$B3297,B3297,$J$4:$J3297,"&gt;"&amp;0),""))</f>
        <v/>
      </c>
      <c r="L3297" s="11" t="n"/>
    </row>
    <row r="3298" ht="14" customHeight="1" s="72">
      <c r="A3298" s="83" t="n"/>
      <c r="B3298" s="81" t="n"/>
      <c r="C3298" s="69">
        <f>IF(B3298="","",IFERROR(INDEX(Client_List!$B:$B,MATCH(B3298,Client_List!$A:$A,0)),"⚠ NOT FOUND"))</f>
        <v/>
      </c>
      <c r="D3298" s="45" t="n"/>
      <c r="E3298" s="32">
        <f>IF(B3298="","",IFERROR(INDEX(Client_List!$C:$C,MATCH(VALUE(B3298),Client_List!$A:$A,0)),""))</f>
        <v/>
      </c>
      <c r="F3298" s="53">
        <f>IF(B3298="","",IFERROR(INDEX(Client_List!$D:$D,MATCH(VALUE(B3298),Client_List!$A:$A,0)),""))</f>
        <v/>
      </c>
      <c r="G3298" s="53">
        <f>IF(B3298="","",IFERROR(INDEX(Client_List!$K:$K,MATCH(VALUE(B3298),Client_List!$A:$A,0)),""))</f>
        <v/>
      </c>
      <c r="H3298" s="32">
        <f>IF(B3298="","",IFERROR(INDEX(Client_List!$J:$J,MATCH(VALUE(B3298),Client_List!$A:$A,0)),""))</f>
        <v/>
      </c>
      <c r="I3298" s="70">
        <f>IF(B3298="","",IFERROR(A3298-LOOKUP(2,1/($B$4:$B3297=B3298),$A$4:$A3297),""))</f>
        <v/>
      </c>
      <c r="J3298" s="32">
        <f>IF(B3298="","",IFERROR(D3298/I3298,""))</f>
        <v/>
      </c>
      <c r="K3298" s="71">
        <f>IF(B3298="","",IFERROR(AVERAGEIFS($J$4:$J3298,$B$4:$B3298,B3298,$J$4:$J3298,"&gt;"&amp;0),""))</f>
        <v/>
      </c>
      <c r="L3298" s="12" t="n"/>
    </row>
    <row r="3299" ht="14" customHeight="1" s="72">
      <c r="A3299" s="82" t="n"/>
      <c r="B3299" s="79" t="n"/>
      <c r="C3299" s="69">
        <f>IF(B3299="","",IFERROR(INDEX(Client_List!$B:$B,MATCH(B3299,Client_List!$A:$A,0)),"⚠ NOT FOUND"))</f>
        <v/>
      </c>
      <c r="D3299" s="44" t="n"/>
      <c r="E3299" s="32">
        <f>IF(B3299="","",IFERROR(INDEX(Client_List!$C:$C,MATCH(VALUE(B3299),Client_List!$A:$A,0)),""))</f>
        <v/>
      </c>
      <c r="F3299" s="53">
        <f>IF(B3299="","",IFERROR(INDEX(Client_List!$D:$D,MATCH(VALUE(B3299),Client_List!$A:$A,0)),""))</f>
        <v/>
      </c>
      <c r="G3299" s="53">
        <f>IF(B3299="","",IFERROR(INDEX(Client_List!$K:$K,MATCH(VALUE(B3299),Client_List!$A:$A,0)),""))</f>
        <v/>
      </c>
      <c r="H3299" s="32">
        <f>IF(B3299="","",IFERROR(INDEX(Client_List!$J:$J,MATCH(VALUE(B3299),Client_List!$A:$A,0)),""))</f>
        <v/>
      </c>
      <c r="I3299" s="70">
        <f>IF(B3299="","",IFERROR(A3299-LOOKUP(2,1/($B$4:$B3298=B3299),$A$4:$A3298),""))</f>
        <v/>
      </c>
      <c r="J3299" s="32">
        <f>IF(B3299="","",IFERROR(D3299/I3299,""))</f>
        <v/>
      </c>
      <c r="K3299" s="71">
        <f>IF(B3299="","",IFERROR(AVERAGEIFS($J$4:$J3299,$B$4:$B3299,B3299,$J$4:$J3299,"&gt;"&amp;0),""))</f>
        <v/>
      </c>
      <c r="L3299" s="11" t="n"/>
    </row>
    <row r="3300" ht="14" customHeight="1" s="72">
      <c r="A3300" s="83" t="n"/>
      <c r="B3300" s="81" t="n"/>
      <c r="C3300" s="69">
        <f>IF(B3300="","",IFERROR(INDEX(Client_List!$B:$B,MATCH(B3300,Client_List!$A:$A,0)),"⚠ NOT FOUND"))</f>
        <v/>
      </c>
      <c r="D3300" s="45" t="n"/>
      <c r="E3300" s="32">
        <f>IF(B3300="","",IFERROR(INDEX(Client_List!$C:$C,MATCH(VALUE(B3300),Client_List!$A:$A,0)),""))</f>
        <v/>
      </c>
      <c r="F3300" s="53">
        <f>IF(B3300="","",IFERROR(INDEX(Client_List!$D:$D,MATCH(VALUE(B3300),Client_List!$A:$A,0)),""))</f>
        <v/>
      </c>
      <c r="G3300" s="53">
        <f>IF(B3300="","",IFERROR(INDEX(Client_List!$K:$K,MATCH(VALUE(B3300),Client_List!$A:$A,0)),""))</f>
        <v/>
      </c>
      <c r="H3300" s="32">
        <f>IF(B3300="","",IFERROR(INDEX(Client_List!$J:$J,MATCH(VALUE(B3300),Client_List!$A:$A,0)),""))</f>
        <v/>
      </c>
      <c r="I3300" s="70">
        <f>IF(B3300="","",IFERROR(A3300-LOOKUP(2,1/($B$4:$B3299=B3300),$A$4:$A3299),""))</f>
        <v/>
      </c>
      <c r="J3300" s="32">
        <f>IF(B3300="","",IFERROR(D3300/I3300,""))</f>
        <v/>
      </c>
      <c r="K3300" s="71">
        <f>IF(B3300="","",IFERROR(AVERAGEIFS($J$4:$J3300,$B$4:$B3300,B3300,$J$4:$J3300,"&gt;"&amp;0),""))</f>
        <v/>
      </c>
      <c r="L3300" s="12" t="n"/>
    </row>
    <row r="3301" ht="14" customHeight="1" s="72">
      <c r="A3301" s="82" t="n"/>
      <c r="B3301" s="79" t="n"/>
      <c r="C3301" s="69">
        <f>IF(B3301="","",IFERROR(INDEX(Client_List!$B:$B,MATCH(B3301,Client_List!$A:$A,0)),"⚠ NOT FOUND"))</f>
        <v/>
      </c>
      <c r="D3301" s="44" t="n"/>
      <c r="E3301" s="32">
        <f>IF(B3301="","",IFERROR(INDEX(Client_List!$C:$C,MATCH(VALUE(B3301),Client_List!$A:$A,0)),""))</f>
        <v/>
      </c>
      <c r="F3301" s="53">
        <f>IF(B3301="","",IFERROR(INDEX(Client_List!$D:$D,MATCH(VALUE(B3301),Client_List!$A:$A,0)),""))</f>
        <v/>
      </c>
      <c r="G3301" s="53">
        <f>IF(B3301="","",IFERROR(INDEX(Client_List!$K:$K,MATCH(VALUE(B3301),Client_List!$A:$A,0)),""))</f>
        <v/>
      </c>
      <c r="H3301" s="32">
        <f>IF(B3301="","",IFERROR(INDEX(Client_List!$J:$J,MATCH(VALUE(B3301),Client_List!$A:$A,0)),""))</f>
        <v/>
      </c>
      <c r="I3301" s="70">
        <f>IF(B3301="","",IFERROR(A3301-LOOKUP(2,1/($B$4:$B3300=B3301),$A$4:$A3300),""))</f>
        <v/>
      </c>
      <c r="J3301" s="32">
        <f>IF(B3301="","",IFERROR(D3301/I3301,""))</f>
        <v/>
      </c>
      <c r="K3301" s="71">
        <f>IF(B3301="","",IFERROR(AVERAGEIFS($J$4:$J3301,$B$4:$B3301,B3301,$J$4:$J3301,"&gt;"&amp;0),""))</f>
        <v/>
      </c>
      <c r="L3301" s="11" t="n"/>
    </row>
    <row r="3302" ht="14" customHeight="1" s="72">
      <c r="A3302" s="83" t="n"/>
      <c r="B3302" s="81" t="n"/>
      <c r="C3302" s="69">
        <f>IF(B3302="","",IFERROR(INDEX(Client_List!$B:$B,MATCH(B3302,Client_List!$A:$A,0)),"⚠ NOT FOUND"))</f>
        <v/>
      </c>
      <c r="D3302" s="45" t="n"/>
      <c r="E3302" s="32">
        <f>IF(B3302="","",IFERROR(INDEX(Client_List!$C:$C,MATCH(VALUE(B3302),Client_List!$A:$A,0)),""))</f>
        <v/>
      </c>
      <c r="F3302" s="53">
        <f>IF(B3302="","",IFERROR(INDEX(Client_List!$D:$D,MATCH(VALUE(B3302),Client_List!$A:$A,0)),""))</f>
        <v/>
      </c>
      <c r="G3302" s="53">
        <f>IF(B3302="","",IFERROR(INDEX(Client_List!$K:$K,MATCH(VALUE(B3302),Client_List!$A:$A,0)),""))</f>
        <v/>
      </c>
      <c r="H3302" s="32">
        <f>IF(B3302="","",IFERROR(INDEX(Client_List!$J:$J,MATCH(VALUE(B3302),Client_List!$A:$A,0)),""))</f>
        <v/>
      </c>
      <c r="I3302" s="70">
        <f>IF(B3302="","",IFERROR(A3302-LOOKUP(2,1/($B$4:$B3301=B3302),$A$4:$A3301),""))</f>
        <v/>
      </c>
      <c r="J3302" s="32">
        <f>IF(B3302="","",IFERROR(D3302/I3302,""))</f>
        <v/>
      </c>
      <c r="K3302" s="71">
        <f>IF(B3302="","",IFERROR(AVERAGEIFS($J$4:$J3302,$B$4:$B3302,B3302,$J$4:$J3302,"&gt;"&amp;0),""))</f>
        <v/>
      </c>
      <c r="L3302" s="12" t="n"/>
    </row>
    <row r="3303" ht="14" customHeight="1" s="72">
      <c r="A3303" s="82" t="n"/>
      <c r="B3303" s="79" t="n"/>
      <c r="C3303" s="69">
        <f>IF(B3303="","",IFERROR(INDEX(Client_List!$B:$B,MATCH(B3303,Client_List!$A:$A,0)),"⚠ NOT FOUND"))</f>
        <v/>
      </c>
      <c r="D3303" s="44" t="n"/>
      <c r="E3303" s="32">
        <f>IF(B3303="","",IFERROR(INDEX(Client_List!$C:$C,MATCH(VALUE(B3303),Client_List!$A:$A,0)),""))</f>
        <v/>
      </c>
      <c r="F3303" s="53">
        <f>IF(B3303="","",IFERROR(INDEX(Client_List!$D:$D,MATCH(VALUE(B3303),Client_List!$A:$A,0)),""))</f>
        <v/>
      </c>
      <c r="G3303" s="53">
        <f>IF(B3303="","",IFERROR(INDEX(Client_List!$K:$K,MATCH(VALUE(B3303),Client_List!$A:$A,0)),""))</f>
        <v/>
      </c>
      <c r="H3303" s="32">
        <f>IF(B3303="","",IFERROR(INDEX(Client_List!$J:$J,MATCH(VALUE(B3303),Client_List!$A:$A,0)),""))</f>
        <v/>
      </c>
      <c r="I3303" s="70">
        <f>IF(B3303="","",IFERROR(A3303-LOOKUP(2,1/($B$4:$B3302=B3303),$A$4:$A3302),""))</f>
        <v/>
      </c>
      <c r="J3303" s="32">
        <f>IF(B3303="","",IFERROR(D3303/I3303,""))</f>
        <v/>
      </c>
      <c r="K3303" s="71">
        <f>IF(B3303="","",IFERROR(AVERAGEIFS($J$4:$J3303,$B$4:$B3303,B3303,$J$4:$J3303,"&gt;"&amp;0),""))</f>
        <v/>
      </c>
      <c r="L3303" s="11" t="n"/>
    </row>
    <row r="3304" ht="14" customHeight="1" s="72">
      <c r="A3304" s="83" t="n"/>
      <c r="B3304" s="81" t="n"/>
      <c r="C3304" s="69">
        <f>IF(B3304="","",IFERROR(INDEX(Client_List!$B:$B,MATCH(B3304,Client_List!$A:$A,0)),"⚠ NOT FOUND"))</f>
        <v/>
      </c>
      <c r="D3304" s="45" t="n"/>
      <c r="E3304" s="32">
        <f>IF(B3304="","",IFERROR(INDEX(Client_List!$C:$C,MATCH(VALUE(B3304),Client_List!$A:$A,0)),""))</f>
        <v/>
      </c>
      <c r="F3304" s="53">
        <f>IF(B3304="","",IFERROR(INDEX(Client_List!$D:$D,MATCH(VALUE(B3304),Client_List!$A:$A,0)),""))</f>
        <v/>
      </c>
      <c r="G3304" s="53">
        <f>IF(B3304="","",IFERROR(INDEX(Client_List!$K:$K,MATCH(VALUE(B3304),Client_List!$A:$A,0)),""))</f>
        <v/>
      </c>
      <c r="H3304" s="32">
        <f>IF(B3304="","",IFERROR(INDEX(Client_List!$J:$J,MATCH(VALUE(B3304),Client_List!$A:$A,0)),""))</f>
        <v/>
      </c>
      <c r="I3304" s="70">
        <f>IF(B3304="","",IFERROR(A3304-LOOKUP(2,1/($B$4:$B3303=B3304),$A$4:$A3303),""))</f>
        <v/>
      </c>
      <c r="J3304" s="32">
        <f>IF(B3304="","",IFERROR(D3304/I3304,""))</f>
        <v/>
      </c>
      <c r="K3304" s="71">
        <f>IF(B3304="","",IFERROR(AVERAGEIFS($J$4:$J3304,$B$4:$B3304,B3304,$J$4:$J3304,"&gt;"&amp;0),""))</f>
        <v/>
      </c>
      <c r="L3304" s="12" t="n"/>
    </row>
    <row r="3305" ht="14" customHeight="1" s="72">
      <c r="A3305" s="82" t="n"/>
      <c r="B3305" s="79" t="n"/>
      <c r="C3305" s="69">
        <f>IF(B3305="","",IFERROR(INDEX(Client_List!$B:$B,MATCH(B3305,Client_List!$A:$A,0)),"⚠ NOT FOUND"))</f>
        <v/>
      </c>
      <c r="D3305" s="44" t="n"/>
      <c r="E3305" s="32">
        <f>IF(B3305="","",IFERROR(INDEX(Client_List!$C:$C,MATCH(VALUE(B3305),Client_List!$A:$A,0)),""))</f>
        <v/>
      </c>
      <c r="F3305" s="53">
        <f>IF(B3305="","",IFERROR(INDEX(Client_List!$D:$D,MATCH(VALUE(B3305),Client_List!$A:$A,0)),""))</f>
        <v/>
      </c>
      <c r="G3305" s="53">
        <f>IF(B3305="","",IFERROR(INDEX(Client_List!$K:$K,MATCH(VALUE(B3305),Client_List!$A:$A,0)),""))</f>
        <v/>
      </c>
      <c r="H3305" s="32">
        <f>IF(B3305="","",IFERROR(INDEX(Client_List!$J:$J,MATCH(VALUE(B3305),Client_List!$A:$A,0)),""))</f>
        <v/>
      </c>
      <c r="I3305" s="70">
        <f>IF(B3305="","",IFERROR(A3305-LOOKUP(2,1/($B$4:$B3304=B3305),$A$4:$A3304),""))</f>
        <v/>
      </c>
      <c r="J3305" s="32">
        <f>IF(B3305="","",IFERROR(D3305/I3305,""))</f>
        <v/>
      </c>
      <c r="K3305" s="71">
        <f>IF(B3305="","",IFERROR(AVERAGEIFS($J$4:$J3305,$B$4:$B3305,B3305,$J$4:$J3305,"&gt;"&amp;0),""))</f>
        <v/>
      </c>
      <c r="L3305" s="11" t="n"/>
    </row>
    <row r="3306" ht="14" customHeight="1" s="72">
      <c r="A3306" s="83" t="n"/>
      <c r="B3306" s="81" t="n"/>
      <c r="C3306" s="69">
        <f>IF(B3306="","",IFERROR(INDEX(Client_List!$B:$B,MATCH(B3306,Client_List!$A:$A,0)),"⚠ NOT FOUND"))</f>
        <v/>
      </c>
      <c r="D3306" s="45" t="n"/>
      <c r="E3306" s="32">
        <f>IF(B3306="","",IFERROR(INDEX(Client_List!$C:$C,MATCH(VALUE(B3306),Client_List!$A:$A,0)),""))</f>
        <v/>
      </c>
      <c r="F3306" s="53">
        <f>IF(B3306="","",IFERROR(INDEX(Client_List!$D:$D,MATCH(VALUE(B3306),Client_List!$A:$A,0)),""))</f>
        <v/>
      </c>
      <c r="G3306" s="53">
        <f>IF(B3306="","",IFERROR(INDEX(Client_List!$K:$K,MATCH(VALUE(B3306),Client_List!$A:$A,0)),""))</f>
        <v/>
      </c>
      <c r="H3306" s="32">
        <f>IF(B3306="","",IFERROR(INDEX(Client_List!$J:$J,MATCH(VALUE(B3306),Client_List!$A:$A,0)),""))</f>
        <v/>
      </c>
      <c r="I3306" s="70">
        <f>IF(B3306="","",IFERROR(A3306-LOOKUP(2,1/($B$4:$B3305=B3306),$A$4:$A3305),""))</f>
        <v/>
      </c>
      <c r="J3306" s="32">
        <f>IF(B3306="","",IFERROR(D3306/I3306,""))</f>
        <v/>
      </c>
      <c r="K3306" s="71">
        <f>IF(B3306="","",IFERROR(AVERAGEIFS($J$4:$J3306,$B$4:$B3306,B3306,$J$4:$J3306,"&gt;"&amp;0),""))</f>
        <v/>
      </c>
      <c r="L3306" s="12" t="n"/>
    </row>
    <row r="3307" ht="14" customHeight="1" s="72">
      <c r="A3307" s="82" t="n"/>
      <c r="B3307" s="79" t="n"/>
      <c r="C3307" s="69">
        <f>IF(B3307="","",IFERROR(INDEX(Client_List!$B:$B,MATCH(B3307,Client_List!$A:$A,0)),"⚠ NOT FOUND"))</f>
        <v/>
      </c>
      <c r="D3307" s="44" t="n"/>
      <c r="E3307" s="32">
        <f>IF(B3307="","",IFERROR(INDEX(Client_List!$C:$C,MATCH(VALUE(B3307),Client_List!$A:$A,0)),""))</f>
        <v/>
      </c>
      <c r="F3307" s="53">
        <f>IF(B3307="","",IFERROR(INDEX(Client_List!$D:$D,MATCH(VALUE(B3307),Client_List!$A:$A,0)),""))</f>
        <v/>
      </c>
      <c r="G3307" s="53">
        <f>IF(B3307="","",IFERROR(INDEX(Client_List!$K:$K,MATCH(VALUE(B3307),Client_List!$A:$A,0)),""))</f>
        <v/>
      </c>
      <c r="H3307" s="32">
        <f>IF(B3307="","",IFERROR(INDEX(Client_List!$J:$J,MATCH(VALUE(B3307),Client_List!$A:$A,0)),""))</f>
        <v/>
      </c>
      <c r="I3307" s="70">
        <f>IF(B3307="","",IFERROR(A3307-LOOKUP(2,1/($B$4:$B3306=B3307),$A$4:$A3306),""))</f>
        <v/>
      </c>
      <c r="J3307" s="32">
        <f>IF(B3307="","",IFERROR(D3307/I3307,""))</f>
        <v/>
      </c>
      <c r="K3307" s="71">
        <f>IF(B3307="","",IFERROR(AVERAGEIFS($J$4:$J3307,$B$4:$B3307,B3307,$J$4:$J3307,"&gt;"&amp;0),""))</f>
        <v/>
      </c>
      <c r="L3307" s="11" t="n"/>
    </row>
    <row r="3308" ht="14" customHeight="1" s="72">
      <c r="A3308" s="83" t="n"/>
      <c r="B3308" s="81" t="n"/>
      <c r="C3308" s="69">
        <f>IF(B3308="","",IFERROR(INDEX(Client_List!$B:$B,MATCH(B3308,Client_List!$A:$A,0)),"⚠ NOT FOUND"))</f>
        <v/>
      </c>
      <c r="D3308" s="45" t="n"/>
      <c r="E3308" s="32">
        <f>IF(B3308="","",IFERROR(INDEX(Client_List!$C:$C,MATCH(VALUE(B3308),Client_List!$A:$A,0)),""))</f>
        <v/>
      </c>
      <c r="F3308" s="53">
        <f>IF(B3308="","",IFERROR(INDEX(Client_List!$D:$D,MATCH(VALUE(B3308),Client_List!$A:$A,0)),""))</f>
        <v/>
      </c>
      <c r="G3308" s="53">
        <f>IF(B3308="","",IFERROR(INDEX(Client_List!$K:$K,MATCH(VALUE(B3308),Client_List!$A:$A,0)),""))</f>
        <v/>
      </c>
      <c r="H3308" s="32">
        <f>IF(B3308="","",IFERROR(INDEX(Client_List!$J:$J,MATCH(VALUE(B3308),Client_List!$A:$A,0)),""))</f>
        <v/>
      </c>
      <c r="I3308" s="70">
        <f>IF(B3308="","",IFERROR(A3308-LOOKUP(2,1/($B$4:$B3307=B3308),$A$4:$A3307),""))</f>
        <v/>
      </c>
      <c r="J3308" s="32">
        <f>IF(B3308="","",IFERROR(D3308/I3308,""))</f>
        <v/>
      </c>
      <c r="K3308" s="71">
        <f>IF(B3308="","",IFERROR(AVERAGEIFS($J$4:$J3308,$B$4:$B3308,B3308,$J$4:$J3308,"&gt;"&amp;0),""))</f>
        <v/>
      </c>
      <c r="L3308" s="12" t="n"/>
    </row>
    <row r="3309" ht="14" customHeight="1" s="72">
      <c r="A3309" s="82" t="n"/>
      <c r="B3309" s="79" t="n"/>
      <c r="C3309" s="69">
        <f>IF(B3309="","",IFERROR(INDEX(Client_List!$B:$B,MATCH(B3309,Client_List!$A:$A,0)),"⚠ NOT FOUND"))</f>
        <v/>
      </c>
      <c r="D3309" s="44" t="n"/>
      <c r="E3309" s="32">
        <f>IF(B3309="","",IFERROR(INDEX(Client_List!$C:$C,MATCH(VALUE(B3309),Client_List!$A:$A,0)),""))</f>
        <v/>
      </c>
      <c r="F3309" s="53">
        <f>IF(B3309="","",IFERROR(INDEX(Client_List!$D:$D,MATCH(VALUE(B3309),Client_List!$A:$A,0)),""))</f>
        <v/>
      </c>
      <c r="G3309" s="53">
        <f>IF(B3309="","",IFERROR(INDEX(Client_List!$K:$K,MATCH(VALUE(B3309),Client_List!$A:$A,0)),""))</f>
        <v/>
      </c>
      <c r="H3309" s="32">
        <f>IF(B3309="","",IFERROR(INDEX(Client_List!$J:$J,MATCH(VALUE(B3309),Client_List!$A:$A,0)),""))</f>
        <v/>
      </c>
      <c r="I3309" s="70">
        <f>IF(B3309="","",IFERROR(A3309-LOOKUP(2,1/($B$4:$B3308=B3309),$A$4:$A3308),""))</f>
        <v/>
      </c>
      <c r="J3309" s="32">
        <f>IF(B3309="","",IFERROR(D3309/I3309,""))</f>
        <v/>
      </c>
      <c r="K3309" s="71">
        <f>IF(B3309="","",IFERROR(AVERAGEIFS($J$4:$J3309,$B$4:$B3309,B3309,$J$4:$J3309,"&gt;"&amp;0),""))</f>
        <v/>
      </c>
      <c r="L3309" s="11" t="n"/>
    </row>
    <row r="3310" ht="14" customHeight="1" s="72">
      <c r="A3310" s="83" t="n"/>
      <c r="B3310" s="81" t="n"/>
      <c r="C3310" s="69">
        <f>IF(B3310="","",IFERROR(INDEX(Client_List!$B:$B,MATCH(B3310,Client_List!$A:$A,0)),"⚠ NOT FOUND"))</f>
        <v/>
      </c>
      <c r="D3310" s="45" t="n"/>
      <c r="E3310" s="32">
        <f>IF(B3310="","",IFERROR(INDEX(Client_List!$C:$C,MATCH(VALUE(B3310),Client_List!$A:$A,0)),""))</f>
        <v/>
      </c>
      <c r="F3310" s="53">
        <f>IF(B3310="","",IFERROR(INDEX(Client_List!$D:$D,MATCH(VALUE(B3310),Client_List!$A:$A,0)),""))</f>
        <v/>
      </c>
      <c r="G3310" s="53">
        <f>IF(B3310="","",IFERROR(INDEX(Client_List!$K:$K,MATCH(VALUE(B3310),Client_List!$A:$A,0)),""))</f>
        <v/>
      </c>
      <c r="H3310" s="32">
        <f>IF(B3310="","",IFERROR(INDEX(Client_List!$J:$J,MATCH(VALUE(B3310),Client_List!$A:$A,0)),""))</f>
        <v/>
      </c>
      <c r="I3310" s="70">
        <f>IF(B3310="","",IFERROR(A3310-LOOKUP(2,1/($B$4:$B3309=B3310),$A$4:$A3309),""))</f>
        <v/>
      </c>
      <c r="J3310" s="32">
        <f>IF(B3310="","",IFERROR(D3310/I3310,""))</f>
        <v/>
      </c>
      <c r="K3310" s="71">
        <f>IF(B3310="","",IFERROR(AVERAGEIFS($J$4:$J3310,$B$4:$B3310,B3310,$J$4:$J3310,"&gt;"&amp;0),""))</f>
        <v/>
      </c>
      <c r="L3310" s="12" t="n"/>
    </row>
    <row r="3311" ht="14" customHeight="1" s="72">
      <c r="A3311" s="82" t="n"/>
      <c r="B3311" s="79" t="n"/>
      <c r="C3311" s="69">
        <f>IF(B3311="","",IFERROR(INDEX(Client_List!$B:$B,MATCH(B3311,Client_List!$A:$A,0)),"⚠ NOT FOUND"))</f>
        <v/>
      </c>
      <c r="D3311" s="44" t="n"/>
      <c r="E3311" s="32">
        <f>IF(B3311="","",IFERROR(INDEX(Client_List!$C:$C,MATCH(VALUE(B3311),Client_List!$A:$A,0)),""))</f>
        <v/>
      </c>
      <c r="F3311" s="53">
        <f>IF(B3311="","",IFERROR(INDEX(Client_List!$D:$D,MATCH(VALUE(B3311),Client_List!$A:$A,0)),""))</f>
        <v/>
      </c>
      <c r="G3311" s="53">
        <f>IF(B3311="","",IFERROR(INDEX(Client_List!$K:$K,MATCH(VALUE(B3311),Client_List!$A:$A,0)),""))</f>
        <v/>
      </c>
      <c r="H3311" s="32">
        <f>IF(B3311="","",IFERROR(INDEX(Client_List!$J:$J,MATCH(VALUE(B3311),Client_List!$A:$A,0)),""))</f>
        <v/>
      </c>
      <c r="I3311" s="70">
        <f>IF(B3311="","",IFERROR(A3311-LOOKUP(2,1/($B$4:$B3310=B3311),$A$4:$A3310),""))</f>
        <v/>
      </c>
      <c r="J3311" s="32">
        <f>IF(B3311="","",IFERROR(D3311/I3311,""))</f>
        <v/>
      </c>
      <c r="K3311" s="71">
        <f>IF(B3311="","",IFERROR(AVERAGEIFS($J$4:$J3311,$B$4:$B3311,B3311,$J$4:$J3311,"&gt;"&amp;0),""))</f>
        <v/>
      </c>
      <c r="L3311" s="11" t="n"/>
    </row>
    <row r="3312" ht="14" customHeight="1" s="72">
      <c r="A3312" s="83" t="n"/>
      <c r="B3312" s="81" t="n"/>
      <c r="C3312" s="69">
        <f>IF(B3312="","",IFERROR(INDEX(Client_List!$B:$B,MATCH(B3312,Client_List!$A:$A,0)),"⚠ NOT FOUND"))</f>
        <v/>
      </c>
      <c r="D3312" s="45" t="n"/>
      <c r="E3312" s="32">
        <f>IF(B3312="","",IFERROR(INDEX(Client_List!$C:$C,MATCH(VALUE(B3312),Client_List!$A:$A,0)),""))</f>
        <v/>
      </c>
      <c r="F3312" s="53">
        <f>IF(B3312="","",IFERROR(INDEX(Client_List!$D:$D,MATCH(VALUE(B3312),Client_List!$A:$A,0)),""))</f>
        <v/>
      </c>
      <c r="G3312" s="53">
        <f>IF(B3312="","",IFERROR(INDEX(Client_List!$K:$K,MATCH(VALUE(B3312),Client_List!$A:$A,0)),""))</f>
        <v/>
      </c>
      <c r="H3312" s="32">
        <f>IF(B3312="","",IFERROR(INDEX(Client_List!$J:$J,MATCH(VALUE(B3312),Client_List!$A:$A,0)),""))</f>
        <v/>
      </c>
      <c r="I3312" s="70">
        <f>IF(B3312="","",IFERROR(A3312-LOOKUP(2,1/($B$4:$B3311=B3312),$A$4:$A3311),""))</f>
        <v/>
      </c>
      <c r="J3312" s="32">
        <f>IF(B3312="","",IFERROR(D3312/I3312,""))</f>
        <v/>
      </c>
      <c r="K3312" s="71">
        <f>IF(B3312="","",IFERROR(AVERAGEIFS($J$4:$J3312,$B$4:$B3312,B3312,$J$4:$J3312,"&gt;"&amp;0),""))</f>
        <v/>
      </c>
      <c r="L3312" s="12" t="n"/>
    </row>
    <row r="3313" ht="14" customHeight="1" s="72">
      <c r="A3313" s="82" t="n"/>
      <c r="B3313" s="79" t="n"/>
      <c r="C3313" s="69">
        <f>IF(B3313="","",IFERROR(INDEX(Client_List!$B:$B,MATCH(B3313,Client_List!$A:$A,0)),"⚠ NOT FOUND"))</f>
        <v/>
      </c>
      <c r="D3313" s="44" t="n"/>
      <c r="E3313" s="32">
        <f>IF(B3313="","",IFERROR(INDEX(Client_List!$C:$C,MATCH(VALUE(B3313),Client_List!$A:$A,0)),""))</f>
        <v/>
      </c>
      <c r="F3313" s="53">
        <f>IF(B3313="","",IFERROR(INDEX(Client_List!$D:$D,MATCH(VALUE(B3313),Client_List!$A:$A,0)),""))</f>
        <v/>
      </c>
      <c r="G3313" s="53">
        <f>IF(B3313="","",IFERROR(INDEX(Client_List!$K:$K,MATCH(VALUE(B3313),Client_List!$A:$A,0)),""))</f>
        <v/>
      </c>
      <c r="H3313" s="32">
        <f>IF(B3313="","",IFERROR(INDEX(Client_List!$J:$J,MATCH(VALUE(B3313),Client_List!$A:$A,0)),""))</f>
        <v/>
      </c>
      <c r="I3313" s="70">
        <f>IF(B3313="","",IFERROR(A3313-LOOKUP(2,1/($B$4:$B3312=B3313),$A$4:$A3312),""))</f>
        <v/>
      </c>
      <c r="J3313" s="32">
        <f>IF(B3313="","",IFERROR(D3313/I3313,""))</f>
        <v/>
      </c>
      <c r="K3313" s="71">
        <f>IF(B3313="","",IFERROR(AVERAGEIFS($J$4:$J3313,$B$4:$B3313,B3313,$J$4:$J3313,"&gt;"&amp;0),""))</f>
        <v/>
      </c>
      <c r="L3313" s="11" t="n"/>
    </row>
    <row r="3314" ht="14" customHeight="1" s="72">
      <c r="A3314" s="83" t="n"/>
      <c r="B3314" s="81" t="n"/>
      <c r="C3314" s="69">
        <f>IF(B3314="","",IFERROR(INDEX(Client_List!$B:$B,MATCH(B3314,Client_List!$A:$A,0)),"⚠ NOT FOUND"))</f>
        <v/>
      </c>
      <c r="D3314" s="45" t="n"/>
      <c r="E3314" s="32">
        <f>IF(B3314="","",IFERROR(INDEX(Client_List!$C:$C,MATCH(VALUE(B3314),Client_List!$A:$A,0)),""))</f>
        <v/>
      </c>
      <c r="F3314" s="53">
        <f>IF(B3314="","",IFERROR(INDEX(Client_List!$D:$D,MATCH(VALUE(B3314),Client_List!$A:$A,0)),""))</f>
        <v/>
      </c>
      <c r="G3314" s="53">
        <f>IF(B3314="","",IFERROR(INDEX(Client_List!$K:$K,MATCH(VALUE(B3314),Client_List!$A:$A,0)),""))</f>
        <v/>
      </c>
      <c r="H3314" s="32">
        <f>IF(B3314="","",IFERROR(INDEX(Client_List!$J:$J,MATCH(VALUE(B3314),Client_List!$A:$A,0)),""))</f>
        <v/>
      </c>
      <c r="I3314" s="70">
        <f>IF(B3314="","",IFERROR(A3314-LOOKUP(2,1/($B$4:$B3313=B3314),$A$4:$A3313),""))</f>
        <v/>
      </c>
      <c r="J3314" s="32">
        <f>IF(B3314="","",IFERROR(D3314/I3314,""))</f>
        <v/>
      </c>
      <c r="K3314" s="71">
        <f>IF(B3314="","",IFERROR(AVERAGEIFS($J$4:$J3314,$B$4:$B3314,B3314,$J$4:$J3314,"&gt;"&amp;0),""))</f>
        <v/>
      </c>
      <c r="L3314" s="12" t="n"/>
    </row>
    <row r="3315" ht="14" customHeight="1" s="72">
      <c r="A3315" s="82" t="n"/>
      <c r="B3315" s="79" t="n"/>
      <c r="C3315" s="69">
        <f>IF(B3315="","",IFERROR(INDEX(Client_List!$B:$B,MATCH(B3315,Client_List!$A:$A,0)),"⚠ NOT FOUND"))</f>
        <v/>
      </c>
      <c r="D3315" s="44" t="n"/>
      <c r="E3315" s="32">
        <f>IF(B3315="","",IFERROR(INDEX(Client_List!$C:$C,MATCH(VALUE(B3315),Client_List!$A:$A,0)),""))</f>
        <v/>
      </c>
      <c r="F3315" s="53">
        <f>IF(B3315="","",IFERROR(INDEX(Client_List!$D:$D,MATCH(VALUE(B3315),Client_List!$A:$A,0)),""))</f>
        <v/>
      </c>
      <c r="G3315" s="53">
        <f>IF(B3315="","",IFERROR(INDEX(Client_List!$K:$K,MATCH(VALUE(B3315),Client_List!$A:$A,0)),""))</f>
        <v/>
      </c>
      <c r="H3315" s="32">
        <f>IF(B3315="","",IFERROR(INDEX(Client_List!$J:$J,MATCH(VALUE(B3315),Client_List!$A:$A,0)),""))</f>
        <v/>
      </c>
      <c r="I3315" s="70">
        <f>IF(B3315="","",IFERROR(A3315-LOOKUP(2,1/($B$4:$B3314=B3315),$A$4:$A3314),""))</f>
        <v/>
      </c>
      <c r="J3315" s="32">
        <f>IF(B3315="","",IFERROR(D3315/I3315,""))</f>
        <v/>
      </c>
      <c r="K3315" s="71">
        <f>IF(B3315="","",IFERROR(AVERAGEIFS($J$4:$J3315,$B$4:$B3315,B3315,$J$4:$J3315,"&gt;"&amp;0),""))</f>
        <v/>
      </c>
      <c r="L3315" s="11" t="n"/>
    </row>
    <row r="3316" ht="14" customHeight="1" s="72">
      <c r="A3316" s="83" t="n"/>
      <c r="B3316" s="81" t="n"/>
      <c r="C3316" s="69">
        <f>IF(B3316="","",IFERROR(INDEX(Client_List!$B:$B,MATCH(B3316,Client_List!$A:$A,0)),"⚠ NOT FOUND"))</f>
        <v/>
      </c>
      <c r="D3316" s="45" t="n"/>
      <c r="E3316" s="32">
        <f>IF(B3316="","",IFERROR(INDEX(Client_List!$C:$C,MATCH(VALUE(B3316),Client_List!$A:$A,0)),""))</f>
        <v/>
      </c>
      <c r="F3316" s="53">
        <f>IF(B3316="","",IFERROR(INDEX(Client_List!$D:$D,MATCH(VALUE(B3316),Client_List!$A:$A,0)),""))</f>
        <v/>
      </c>
      <c r="G3316" s="53">
        <f>IF(B3316="","",IFERROR(INDEX(Client_List!$K:$K,MATCH(VALUE(B3316),Client_List!$A:$A,0)),""))</f>
        <v/>
      </c>
      <c r="H3316" s="32">
        <f>IF(B3316="","",IFERROR(INDEX(Client_List!$J:$J,MATCH(VALUE(B3316),Client_List!$A:$A,0)),""))</f>
        <v/>
      </c>
      <c r="I3316" s="70">
        <f>IF(B3316="","",IFERROR(A3316-LOOKUP(2,1/($B$4:$B3315=B3316),$A$4:$A3315),""))</f>
        <v/>
      </c>
      <c r="J3316" s="32">
        <f>IF(B3316="","",IFERROR(D3316/I3316,""))</f>
        <v/>
      </c>
      <c r="K3316" s="71">
        <f>IF(B3316="","",IFERROR(AVERAGEIFS($J$4:$J3316,$B$4:$B3316,B3316,$J$4:$J3316,"&gt;"&amp;0),""))</f>
        <v/>
      </c>
      <c r="L3316" s="12" t="n"/>
    </row>
    <row r="3317" ht="14" customHeight="1" s="72">
      <c r="A3317" s="82" t="n"/>
      <c r="B3317" s="79" t="n"/>
      <c r="C3317" s="69">
        <f>IF(B3317="","",IFERROR(INDEX(Client_List!$B:$B,MATCH(B3317,Client_List!$A:$A,0)),"⚠ NOT FOUND"))</f>
        <v/>
      </c>
      <c r="D3317" s="44" t="n"/>
      <c r="E3317" s="32">
        <f>IF(B3317="","",IFERROR(INDEX(Client_List!$C:$C,MATCH(VALUE(B3317),Client_List!$A:$A,0)),""))</f>
        <v/>
      </c>
      <c r="F3317" s="53">
        <f>IF(B3317="","",IFERROR(INDEX(Client_List!$D:$D,MATCH(VALUE(B3317),Client_List!$A:$A,0)),""))</f>
        <v/>
      </c>
      <c r="G3317" s="53">
        <f>IF(B3317="","",IFERROR(INDEX(Client_List!$K:$K,MATCH(VALUE(B3317),Client_List!$A:$A,0)),""))</f>
        <v/>
      </c>
      <c r="H3317" s="32">
        <f>IF(B3317="","",IFERROR(INDEX(Client_List!$J:$J,MATCH(VALUE(B3317),Client_List!$A:$A,0)),""))</f>
        <v/>
      </c>
      <c r="I3317" s="70">
        <f>IF(B3317="","",IFERROR(A3317-LOOKUP(2,1/($B$4:$B3316=B3317),$A$4:$A3316),""))</f>
        <v/>
      </c>
      <c r="J3317" s="32">
        <f>IF(B3317="","",IFERROR(D3317/I3317,""))</f>
        <v/>
      </c>
      <c r="K3317" s="71">
        <f>IF(B3317="","",IFERROR(AVERAGEIFS($J$4:$J3317,$B$4:$B3317,B3317,$J$4:$J3317,"&gt;"&amp;0),""))</f>
        <v/>
      </c>
      <c r="L3317" s="11" t="n"/>
    </row>
    <row r="3318" ht="14" customHeight="1" s="72">
      <c r="A3318" s="83" t="n"/>
      <c r="B3318" s="81" t="n"/>
      <c r="C3318" s="69">
        <f>IF(B3318="","",IFERROR(INDEX(Client_List!$B:$B,MATCH(B3318,Client_List!$A:$A,0)),"⚠ NOT FOUND"))</f>
        <v/>
      </c>
      <c r="D3318" s="45" t="n"/>
      <c r="E3318" s="32">
        <f>IF(B3318="","",IFERROR(INDEX(Client_List!$C:$C,MATCH(VALUE(B3318),Client_List!$A:$A,0)),""))</f>
        <v/>
      </c>
      <c r="F3318" s="53">
        <f>IF(B3318="","",IFERROR(INDEX(Client_List!$D:$D,MATCH(VALUE(B3318),Client_List!$A:$A,0)),""))</f>
        <v/>
      </c>
      <c r="G3318" s="53">
        <f>IF(B3318="","",IFERROR(INDEX(Client_List!$K:$K,MATCH(VALUE(B3318),Client_List!$A:$A,0)),""))</f>
        <v/>
      </c>
      <c r="H3318" s="32">
        <f>IF(B3318="","",IFERROR(INDEX(Client_List!$J:$J,MATCH(VALUE(B3318),Client_List!$A:$A,0)),""))</f>
        <v/>
      </c>
      <c r="I3318" s="70">
        <f>IF(B3318="","",IFERROR(A3318-LOOKUP(2,1/($B$4:$B3317=B3318),$A$4:$A3317),""))</f>
        <v/>
      </c>
      <c r="J3318" s="32">
        <f>IF(B3318="","",IFERROR(D3318/I3318,""))</f>
        <v/>
      </c>
      <c r="K3318" s="71">
        <f>IF(B3318="","",IFERROR(AVERAGEIFS($J$4:$J3318,$B$4:$B3318,B3318,$J$4:$J3318,"&gt;"&amp;0),""))</f>
        <v/>
      </c>
      <c r="L3318" s="12" t="n"/>
    </row>
    <row r="3319" ht="14" customHeight="1" s="72">
      <c r="A3319" s="82" t="n"/>
      <c r="B3319" s="79" t="n"/>
      <c r="C3319" s="69">
        <f>IF(B3319="","",IFERROR(INDEX(Client_List!$B:$B,MATCH(B3319,Client_List!$A:$A,0)),"⚠ NOT FOUND"))</f>
        <v/>
      </c>
      <c r="D3319" s="44" t="n"/>
      <c r="E3319" s="32">
        <f>IF(B3319="","",IFERROR(INDEX(Client_List!$C:$C,MATCH(VALUE(B3319),Client_List!$A:$A,0)),""))</f>
        <v/>
      </c>
      <c r="F3319" s="53">
        <f>IF(B3319="","",IFERROR(INDEX(Client_List!$D:$D,MATCH(VALUE(B3319),Client_List!$A:$A,0)),""))</f>
        <v/>
      </c>
      <c r="G3319" s="53">
        <f>IF(B3319="","",IFERROR(INDEX(Client_List!$K:$K,MATCH(VALUE(B3319),Client_List!$A:$A,0)),""))</f>
        <v/>
      </c>
      <c r="H3319" s="32">
        <f>IF(B3319="","",IFERROR(INDEX(Client_List!$J:$J,MATCH(VALUE(B3319),Client_List!$A:$A,0)),""))</f>
        <v/>
      </c>
      <c r="I3319" s="70">
        <f>IF(B3319="","",IFERROR(A3319-LOOKUP(2,1/($B$4:$B3318=B3319),$A$4:$A3318),""))</f>
        <v/>
      </c>
      <c r="J3319" s="32">
        <f>IF(B3319="","",IFERROR(D3319/I3319,""))</f>
        <v/>
      </c>
      <c r="K3319" s="71">
        <f>IF(B3319="","",IFERROR(AVERAGEIFS($J$4:$J3319,$B$4:$B3319,B3319,$J$4:$J3319,"&gt;"&amp;0),""))</f>
        <v/>
      </c>
      <c r="L3319" s="11" t="n"/>
    </row>
    <row r="3320" ht="14" customHeight="1" s="72">
      <c r="A3320" s="83" t="n"/>
      <c r="B3320" s="81" t="n"/>
      <c r="C3320" s="69">
        <f>IF(B3320="","",IFERROR(INDEX(Client_List!$B:$B,MATCH(B3320,Client_List!$A:$A,0)),"⚠ NOT FOUND"))</f>
        <v/>
      </c>
      <c r="D3320" s="45" t="n"/>
      <c r="E3320" s="32">
        <f>IF(B3320="","",IFERROR(INDEX(Client_List!$C:$C,MATCH(VALUE(B3320),Client_List!$A:$A,0)),""))</f>
        <v/>
      </c>
      <c r="F3320" s="53">
        <f>IF(B3320="","",IFERROR(INDEX(Client_List!$D:$D,MATCH(VALUE(B3320),Client_List!$A:$A,0)),""))</f>
        <v/>
      </c>
      <c r="G3320" s="53">
        <f>IF(B3320="","",IFERROR(INDEX(Client_List!$K:$K,MATCH(VALUE(B3320),Client_List!$A:$A,0)),""))</f>
        <v/>
      </c>
      <c r="H3320" s="32">
        <f>IF(B3320="","",IFERROR(INDEX(Client_List!$J:$J,MATCH(VALUE(B3320),Client_List!$A:$A,0)),""))</f>
        <v/>
      </c>
      <c r="I3320" s="70">
        <f>IF(B3320="","",IFERROR(A3320-LOOKUP(2,1/($B$4:$B3319=B3320),$A$4:$A3319),""))</f>
        <v/>
      </c>
      <c r="J3320" s="32">
        <f>IF(B3320="","",IFERROR(D3320/I3320,""))</f>
        <v/>
      </c>
      <c r="K3320" s="71">
        <f>IF(B3320="","",IFERROR(AVERAGEIFS($J$4:$J3320,$B$4:$B3320,B3320,$J$4:$J3320,"&gt;"&amp;0),""))</f>
        <v/>
      </c>
      <c r="L3320" s="12" t="n"/>
    </row>
    <row r="3321" ht="14" customHeight="1" s="72">
      <c r="A3321" s="82" t="n"/>
      <c r="B3321" s="79" t="n"/>
      <c r="C3321" s="69">
        <f>IF(B3321="","",IFERROR(INDEX(Client_List!$B:$B,MATCH(B3321,Client_List!$A:$A,0)),"⚠ NOT FOUND"))</f>
        <v/>
      </c>
      <c r="D3321" s="44" t="n"/>
      <c r="E3321" s="32">
        <f>IF(B3321="","",IFERROR(INDEX(Client_List!$C:$C,MATCH(VALUE(B3321),Client_List!$A:$A,0)),""))</f>
        <v/>
      </c>
      <c r="F3321" s="53">
        <f>IF(B3321="","",IFERROR(INDEX(Client_List!$D:$D,MATCH(VALUE(B3321),Client_List!$A:$A,0)),""))</f>
        <v/>
      </c>
      <c r="G3321" s="53">
        <f>IF(B3321="","",IFERROR(INDEX(Client_List!$K:$K,MATCH(VALUE(B3321),Client_List!$A:$A,0)),""))</f>
        <v/>
      </c>
      <c r="H3321" s="32">
        <f>IF(B3321="","",IFERROR(INDEX(Client_List!$J:$J,MATCH(VALUE(B3321),Client_List!$A:$A,0)),""))</f>
        <v/>
      </c>
      <c r="I3321" s="70">
        <f>IF(B3321="","",IFERROR(A3321-LOOKUP(2,1/($B$4:$B3320=B3321),$A$4:$A3320),""))</f>
        <v/>
      </c>
      <c r="J3321" s="32">
        <f>IF(B3321="","",IFERROR(D3321/I3321,""))</f>
        <v/>
      </c>
      <c r="K3321" s="71">
        <f>IF(B3321="","",IFERROR(AVERAGEIFS($J$4:$J3321,$B$4:$B3321,B3321,$J$4:$J3321,"&gt;"&amp;0),""))</f>
        <v/>
      </c>
      <c r="L3321" s="11" t="n"/>
    </row>
    <row r="3322" ht="14" customHeight="1" s="72">
      <c r="A3322" s="83" t="n"/>
      <c r="B3322" s="81" t="n"/>
      <c r="C3322" s="69">
        <f>IF(B3322="","",IFERROR(INDEX(Client_List!$B:$B,MATCH(B3322,Client_List!$A:$A,0)),"⚠ NOT FOUND"))</f>
        <v/>
      </c>
      <c r="D3322" s="45" t="n"/>
      <c r="E3322" s="32">
        <f>IF(B3322="","",IFERROR(INDEX(Client_List!$C:$C,MATCH(VALUE(B3322),Client_List!$A:$A,0)),""))</f>
        <v/>
      </c>
      <c r="F3322" s="53">
        <f>IF(B3322="","",IFERROR(INDEX(Client_List!$D:$D,MATCH(VALUE(B3322),Client_List!$A:$A,0)),""))</f>
        <v/>
      </c>
      <c r="G3322" s="53">
        <f>IF(B3322="","",IFERROR(INDEX(Client_List!$K:$K,MATCH(VALUE(B3322),Client_List!$A:$A,0)),""))</f>
        <v/>
      </c>
      <c r="H3322" s="32">
        <f>IF(B3322="","",IFERROR(INDEX(Client_List!$J:$J,MATCH(VALUE(B3322),Client_List!$A:$A,0)),""))</f>
        <v/>
      </c>
      <c r="I3322" s="70">
        <f>IF(B3322="","",IFERROR(A3322-LOOKUP(2,1/($B$4:$B3321=B3322),$A$4:$A3321),""))</f>
        <v/>
      </c>
      <c r="J3322" s="32">
        <f>IF(B3322="","",IFERROR(D3322/I3322,""))</f>
        <v/>
      </c>
      <c r="K3322" s="71">
        <f>IF(B3322="","",IFERROR(AVERAGEIFS($J$4:$J3322,$B$4:$B3322,B3322,$J$4:$J3322,"&gt;"&amp;0),""))</f>
        <v/>
      </c>
      <c r="L3322" s="12" t="n"/>
    </row>
    <row r="3323" ht="14" customHeight="1" s="72">
      <c r="A3323" s="82" t="n"/>
      <c r="B3323" s="79" t="n"/>
      <c r="C3323" s="69">
        <f>IF(B3323="","",IFERROR(INDEX(Client_List!$B:$B,MATCH(B3323,Client_List!$A:$A,0)),"⚠ NOT FOUND"))</f>
        <v/>
      </c>
      <c r="D3323" s="44" t="n"/>
      <c r="E3323" s="32">
        <f>IF(B3323="","",IFERROR(INDEX(Client_List!$C:$C,MATCH(VALUE(B3323),Client_List!$A:$A,0)),""))</f>
        <v/>
      </c>
      <c r="F3323" s="53">
        <f>IF(B3323="","",IFERROR(INDEX(Client_List!$D:$D,MATCH(VALUE(B3323),Client_List!$A:$A,0)),""))</f>
        <v/>
      </c>
      <c r="G3323" s="53">
        <f>IF(B3323="","",IFERROR(INDEX(Client_List!$K:$K,MATCH(VALUE(B3323),Client_List!$A:$A,0)),""))</f>
        <v/>
      </c>
      <c r="H3323" s="32">
        <f>IF(B3323="","",IFERROR(INDEX(Client_List!$J:$J,MATCH(VALUE(B3323),Client_List!$A:$A,0)),""))</f>
        <v/>
      </c>
      <c r="I3323" s="70">
        <f>IF(B3323="","",IFERROR(A3323-LOOKUP(2,1/($B$4:$B3322=B3323),$A$4:$A3322),""))</f>
        <v/>
      </c>
      <c r="J3323" s="32">
        <f>IF(B3323="","",IFERROR(D3323/I3323,""))</f>
        <v/>
      </c>
      <c r="K3323" s="71">
        <f>IF(B3323="","",IFERROR(AVERAGEIFS($J$4:$J3323,$B$4:$B3323,B3323,$J$4:$J3323,"&gt;"&amp;0),""))</f>
        <v/>
      </c>
      <c r="L3323" s="11" t="n"/>
    </row>
    <row r="3324" ht="14" customHeight="1" s="72">
      <c r="A3324" s="83" t="n"/>
      <c r="B3324" s="81" t="n"/>
      <c r="C3324" s="69">
        <f>IF(B3324="","",IFERROR(INDEX(Client_List!$B:$B,MATCH(B3324,Client_List!$A:$A,0)),"⚠ NOT FOUND"))</f>
        <v/>
      </c>
      <c r="D3324" s="45" t="n"/>
      <c r="E3324" s="32">
        <f>IF(B3324="","",IFERROR(INDEX(Client_List!$C:$C,MATCH(VALUE(B3324),Client_List!$A:$A,0)),""))</f>
        <v/>
      </c>
      <c r="F3324" s="53">
        <f>IF(B3324="","",IFERROR(INDEX(Client_List!$D:$D,MATCH(VALUE(B3324),Client_List!$A:$A,0)),""))</f>
        <v/>
      </c>
      <c r="G3324" s="53">
        <f>IF(B3324="","",IFERROR(INDEX(Client_List!$K:$K,MATCH(VALUE(B3324),Client_List!$A:$A,0)),""))</f>
        <v/>
      </c>
      <c r="H3324" s="32">
        <f>IF(B3324="","",IFERROR(INDEX(Client_List!$J:$J,MATCH(VALUE(B3324),Client_List!$A:$A,0)),""))</f>
        <v/>
      </c>
      <c r="I3324" s="70">
        <f>IF(B3324="","",IFERROR(A3324-LOOKUP(2,1/($B$4:$B3323=B3324),$A$4:$A3323),""))</f>
        <v/>
      </c>
      <c r="J3324" s="32">
        <f>IF(B3324="","",IFERROR(D3324/I3324,""))</f>
        <v/>
      </c>
      <c r="K3324" s="71">
        <f>IF(B3324="","",IFERROR(AVERAGEIFS($J$4:$J3324,$B$4:$B3324,B3324,$J$4:$J3324,"&gt;"&amp;0),""))</f>
        <v/>
      </c>
      <c r="L3324" s="12" t="n"/>
    </row>
    <row r="3325" ht="14" customHeight="1" s="72">
      <c r="A3325" s="82" t="n"/>
      <c r="B3325" s="79" t="n"/>
      <c r="C3325" s="69">
        <f>IF(B3325="","",IFERROR(INDEX(Client_List!$B:$B,MATCH(B3325,Client_List!$A:$A,0)),"⚠ NOT FOUND"))</f>
        <v/>
      </c>
      <c r="D3325" s="44" t="n"/>
      <c r="E3325" s="32">
        <f>IF(B3325="","",IFERROR(INDEX(Client_List!$C:$C,MATCH(VALUE(B3325),Client_List!$A:$A,0)),""))</f>
        <v/>
      </c>
      <c r="F3325" s="53">
        <f>IF(B3325="","",IFERROR(INDEX(Client_List!$D:$D,MATCH(VALUE(B3325),Client_List!$A:$A,0)),""))</f>
        <v/>
      </c>
      <c r="G3325" s="53">
        <f>IF(B3325="","",IFERROR(INDEX(Client_List!$K:$K,MATCH(VALUE(B3325),Client_List!$A:$A,0)),""))</f>
        <v/>
      </c>
      <c r="H3325" s="32">
        <f>IF(B3325="","",IFERROR(INDEX(Client_List!$J:$J,MATCH(VALUE(B3325),Client_List!$A:$A,0)),""))</f>
        <v/>
      </c>
      <c r="I3325" s="70">
        <f>IF(B3325="","",IFERROR(A3325-LOOKUP(2,1/($B$4:$B3324=B3325),$A$4:$A3324),""))</f>
        <v/>
      </c>
      <c r="J3325" s="32">
        <f>IF(B3325="","",IFERROR(D3325/I3325,""))</f>
        <v/>
      </c>
      <c r="K3325" s="71">
        <f>IF(B3325="","",IFERROR(AVERAGEIFS($J$4:$J3325,$B$4:$B3325,B3325,$J$4:$J3325,"&gt;"&amp;0),""))</f>
        <v/>
      </c>
      <c r="L3325" s="11" t="n"/>
    </row>
    <row r="3326" ht="14" customHeight="1" s="72">
      <c r="A3326" s="83" t="n"/>
      <c r="B3326" s="81" t="n"/>
      <c r="C3326" s="69">
        <f>IF(B3326="","",IFERROR(INDEX(Client_List!$B:$B,MATCH(B3326,Client_List!$A:$A,0)),"⚠ NOT FOUND"))</f>
        <v/>
      </c>
      <c r="D3326" s="45" t="n"/>
      <c r="E3326" s="32">
        <f>IF(B3326="","",IFERROR(INDEX(Client_List!$C:$C,MATCH(VALUE(B3326),Client_List!$A:$A,0)),""))</f>
        <v/>
      </c>
      <c r="F3326" s="53">
        <f>IF(B3326="","",IFERROR(INDEX(Client_List!$D:$D,MATCH(VALUE(B3326),Client_List!$A:$A,0)),""))</f>
        <v/>
      </c>
      <c r="G3326" s="53">
        <f>IF(B3326="","",IFERROR(INDEX(Client_List!$K:$K,MATCH(VALUE(B3326),Client_List!$A:$A,0)),""))</f>
        <v/>
      </c>
      <c r="H3326" s="32">
        <f>IF(B3326="","",IFERROR(INDEX(Client_List!$J:$J,MATCH(VALUE(B3326),Client_List!$A:$A,0)),""))</f>
        <v/>
      </c>
      <c r="I3326" s="70">
        <f>IF(B3326="","",IFERROR(A3326-LOOKUP(2,1/($B$4:$B3325=B3326),$A$4:$A3325),""))</f>
        <v/>
      </c>
      <c r="J3326" s="32">
        <f>IF(B3326="","",IFERROR(D3326/I3326,""))</f>
        <v/>
      </c>
      <c r="K3326" s="71">
        <f>IF(B3326="","",IFERROR(AVERAGEIFS($J$4:$J3326,$B$4:$B3326,B3326,$J$4:$J3326,"&gt;"&amp;0),""))</f>
        <v/>
      </c>
      <c r="L3326" s="12" t="n"/>
    </row>
    <row r="3327" ht="14" customHeight="1" s="72">
      <c r="A3327" s="82" t="n"/>
      <c r="B3327" s="79" t="n"/>
      <c r="C3327" s="69">
        <f>IF(B3327="","",IFERROR(INDEX(Client_List!$B:$B,MATCH(B3327,Client_List!$A:$A,0)),"⚠ NOT FOUND"))</f>
        <v/>
      </c>
      <c r="D3327" s="44" t="n"/>
      <c r="E3327" s="32">
        <f>IF(B3327="","",IFERROR(INDEX(Client_List!$C:$C,MATCH(VALUE(B3327),Client_List!$A:$A,0)),""))</f>
        <v/>
      </c>
      <c r="F3327" s="53">
        <f>IF(B3327="","",IFERROR(INDEX(Client_List!$D:$D,MATCH(VALUE(B3327),Client_List!$A:$A,0)),""))</f>
        <v/>
      </c>
      <c r="G3327" s="53">
        <f>IF(B3327="","",IFERROR(INDEX(Client_List!$K:$K,MATCH(VALUE(B3327),Client_List!$A:$A,0)),""))</f>
        <v/>
      </c>
      <c r="H3327" s="32">
        <f>IF(B3327="","",IFERROR(INDEX(Client_List!$J:$J,MATCH(VALUE(B3327),Client_List!$A:$A,0)),""))</f>
        <v/>
      </c>
      <c r="I3327" s="70">
        <f>IF(B3327="","",IFERROR(A3327-LOOKUP(2,1/($B$4:$B3326=B3327),$A$4:$A3326),""))</f>
        <v/>
      </c>
      <c r="J3327" s="32">
        <f>IF(B3327="","",IFERROR(D3327/I3327,""))</f>
        <v/>
      </c>
      <c r="K3327" s="71">
        <f>IF(B3327="","",IFERROR(AVERAGEIFS($J$4:$J3327,$B$4:$B3327,B3327,$J$4:$J3327,"&gt;"&amp;0),""))</f>
        <v/>
      </c>
      <c r="L3327" s="11" t="n"/>
    </row>
    <row r="3328" ht="14" customHeight="1" s="72">
      <c r="A3328" s="83" t="n"/>
      <c r="B3328" s="81" t="n"/>
      <c r="C3328" s="69">
        <f>IF(B3328="","",IFERROR(INDEX(Client_List!$B:$B,MATCH(B3328,Client_List!$A:$A,0)),"⚠ NOT FOUND"))</f>
        <v/>
      </c>
      <c r="D3328" s="45" t="n"/>
      <c r="E3328" s="32">
        <f>IF(B3328="","",IFERROR(INDEX(Client_List!$C:$C,MATCH(VALUE(B3328),Client_List!$A:$A,0)),""))</f>
        <v/>
      </c>
      <c r="F3328" s="53">
        <f>IF(B3328="","",IFERROR(INDEX(Client_List!$D:$D,MATCH(VALUE(B3328),Client_List!$A:$A,0)),""))</f>
        <v/>
      </c>
      <c r="G3328" s="53">
        <f>IF(B3328="","",IFERROR(INDEX(Client_List!$K:$K,MATCH(VALUE(B3328),Client_List!$A:$A,0)),""))</f>
        <v/>
      </c>
      <c r="H3328" s="32">
        <f>IF(B3328="","",IFERROR(INDEX(Client_List!$J:$J,MATCH(VALUE(B3328),Client_List!$A:$A,0)),""))</f>
        <v/>
      </c>
      <c r="I3328" s="70">
        <f>IF(B3328="","",IFERROR(A3328-LOOKUP(2,1/($B$4:$B3327=B3328),$A$4:$A3327),""))</f>
        <v/>
      </c>
      <c r="J3328" s="32">
        <f>IF(B3328="","",IFERROR(D3328/I3328,""))</f>
        <v/>
      </c>
      <c r="K3328" s="71">
        <f>IF(B3328="","",IFERROR(AVERAGEIFS($J$4:$J3328,$B$4:$B3328,B3328,$J$4:$J3328,"&gt;"&amp;0),""))</f>
        <v/>
      </c>
      <c r="L3328" s="12" t="n"/>
    </row>
    <row r="3329" ht="14" customHeight="1" s="72">
      <c r="A3329" s="82" t="n"/>
      <c r="B3329" s="79" t="n"/>
      <c r="C3329" s="69">
        <f>IF(B3329="","",IFERROR(INDEX(Client_List!$B:$B,MATCH(B3329,Client_List!$A:$A,0)),"⚠ NOT FOUND"))</f>
        <v/>
      </c>
      <c r="D3329" s="44" t="n"/>
      <c r="E3329" s="32">
        <f>IF(B3329="","",IFERROR(INDEX(Client_List!$C:$C,MATCH(VALUE(B3329),Client_List!$A:$A,0)),""))</f>
        <v/>
      </c>
      <c r="F3329" s="53">
        <f>IF(B3329="","",IFERROR(INDEX(Client_List!$D:$D,MATCH(VALUE(B3329),Client_List!$A:$A,0)),""))</f>
        <v/>
      </c>
      <c r="G3329" s="53">
        <f>IF(B3329="","",IFERROR(INDEX(Client_List!$K:$K,MATCH(VALUE(B3329),Client_List!$A:$A,0)),""))</f>
        <v/>
      </c>
      <c r="H3329" s="32">
        <f>IF(B3329="","",IFERROR(INDEX(Client_List!$J:$J,MATCH(VALUE(B3329),Client_List!$A:$A,0)),""))</f>
        <v/>
      </c>
      <c r="I3329" s="70">
        <f>IF(B3329="","",IFERROR(A3329-LOOKUP(2,1/($B$4:$B3328=B3329),$A$4:$A3328),""))</f>
        <v/>
      </c>
      <c r="J3329" s="32">
        <f>IF(B3329="","",IFERROR(D3329/I3329,""))</f>
        <v/>
      </c>
      <c r="K3329" s="71">
        <f>IF(B3329="","",IFERROR(AVERAGEIFS($J$4:$J3329,$B$4:$B3329,B3329,$J$4:$J3329,"&gt;"&amp;0),""))</f>
        <v/>
      </c>
      <c r="L3329" s="11" t="n"/>
    </row>
    <row r="3330" ht="14" customHeight="1" s="72">
      <c r="A3330" s="83" t="n"/>
      <c r="B3330" s="81" t="n"/>
      <c r="C3330" s="69">
        <f>IF(B3330="","",IFERROR(INDEX(Client_List!$B:$B,MATCH(B3330,Client_List!$A:$A,0)),"⚠ NOT FOUND"))</f>
        <v/>
      </c>
      <c r="D3330" s="45" t="n"/>
      <c r="E3330" s="32">
        <f>IF(B3330="","",IFERROR(INDEX(Client_List!$C:$C,MATCH(VALUE(B3330),Client_List!$A:$A,0)),""))</f>
        <v/>
      </c>
      <c r="F3330" s="53">
        <f>IF(B3330="","",IFERROR(INDEX(Client_List!$D:$D,MATCH(VALUE(B3330),Client_List!$A:$A,0)),""))</f>
        <v/>
      </c>
      <c r="G3330" s="53">
        <f>IF(B3330="","",IFERROR(INDEX(Client_List!$K:$K,MATCH(VALUE(B3330),Client_List!$A:$A,0)),""))</f>
        <v/>
      </c>
      <c r="H3330" s="32">
        <f>IF(B3330="","",IFERROR(INDEX(Client_List!$J:$J,MATCH(VALUE(B3330),Client_List!$A:$A,0)),""))</f>
        <v/>
      </c>
      <c r="I3330" s="70">
        <f>IF(B3330="","",IFERROR(A3330-LOOKUP(2,1/($B$4:$B3329=B3330),$A$4:$A3329),""))</f>
        <v/>
      </c>
      <c r="J3330" s="32">
        <f>IF(B3330="","",IFERROR(D3330/I3330,""))</f>
        <v/>
      </c>
      <c r="K3330" s="71">
        <f>IF(B3330="","",IFERROR(AVERAGEIFS($J$4:$J3330,$B$4:$B3330,B3330,$J$4:$J3330,"&gt;"&amp;0),""))</f>
        <v/>
      </c>
      <c r="L3330" s="12" t="n"/>
    </row>
    <row r="3331" ht="14" customHeight="1" s="72">
      <c r="A3331" s="82" t="n"/>
      <c r="B3331" s="79" t="n"/>
      <c r="C3331" s="69">
        <f>IF(B3331="","",IFERROR(INDEX(Client_List!$B:$B,MATCH(B3331,Client_List!$A:$A,0)),"⚠ NOT FOUND"))</f>
        <v/>
      </c>
      <c r="D3331" s="44" t="n"/>
      <c r="E3331" s="32">
        <f>IF(B3331="","",IFERROR(INDEX(Client_List!$C:$C,MATCH(VALUE(B3331),Client_List!$A:$A,0)),""))</f>
        <v/>
      </c>
      <c r="F3331" s="53">
        <f>IF(B3331="","",IFERROR(INDEX(Client_List!$D:$D,MATCH(VALUE(B3331),Client_List!$A:$A,0)),""))</f>
        <v/>
      </c>
      <c r="G3331" s="53">
        <f>IF(B3331="","",IFERROR(INDEX(Client_List!$K:$K,MATCH(VALUE(B3331),Client_List!$A:$A,0)),""))</f>
        <v/>
      </c>
      <c r="H3331" s="32">
        <f>IF(B3331="","",IFERROR(INDEX(Client_List!$J:$J,MATCH(VALUE(B3331),Client_List!$A:$A,0)),""))</f>
        <v/>
      </c>
      <c r="I3331" s="70">
        <f>IF(B3331="","",IFERROR(A3331-LOOKUP(2,1/($B$4:$B3330=B3331),$A$4:$A3330),""))</f>
        <v/>
      </c>
      <c r="J3331" s="32">
        <f>IF(B3331="","",IFERROR(D3331/I3331,""))</f>
        <v/>
      </c>
      <c r="K3331" s="71">
        <f>IF(B3331="","",IFERROR(AVERAGEIFS($J$4:$J3331,$B$4:$B3331,B3331,$J$4:$J3331,"&gt;"&amp;0),""))</f>
        <v/>
      </c>
      <c r="L3331" s="11" t="n"/>
    </row>
    <row r="3332" ht="14" customHeight="1" s="72">
      <c r="A3332" s="83" t="n"/>
      <c r="B3332" s="81" t="n"/>
      <c r="C3332" s="69">
        <f>IF(B3332="","",IFERROR(INDEX(Client_List!$B:$B,MATCH(B3332,Client_List!$A:$A,0)),"⚠ NOT FOUND"))</f>
        <v/>
      </c>
      <c r="D3332" s="45" t="n"/>
      <c r="E3332" s="32">
        <f>IF(B3332="","",IFERROR(INDEX(Client_List!$C:$C,MATCH(VALUE(B3332),Client_List!$A:$A,0)),""))</f>
        <v/>
      </c>
      <c r="F3332" s="53">
        <f>IF(B3332="","",IFERROR(INDEX(Client_List!$D:$D,MATCH(VALUE(B3332),Client_List!$A:$A,0)),""))</f>
        <v/>
      </c>
      <c r="G3332" s="53">
        <f>IF(B3332="","",IFERROR(INDEX(Client_List!$K:$K,MATCH(VALUE(B3332),Client_List!$A:$A,0)),""))</f>
        <v/>
      </c>
      <c r="H3332" s="32">
        <f>IF(B3332="","",IFERROR(INDEX(Client_List!$J:$J,MATCH(VALUE(B3332),Client_List!$A:$A,0)),""))</f>
        <v/>
      </c>
      <c r="I3332" s="70">
        <f>IF(B3332="","",IFERROR(A3332-LOOKUP(2,1/($B$4:$B3331=B3332),$A$4:$A3331),""))</f>
        <v/>
      </c>
      <c r="J3332" s="32">
        <f>IF(B3332="","",IFERROR(D3332/I3332,""))</f>
        <v/>
      </c>
      <c r="K3332" s="71">
        <f>IF(B3332="","",IFERROR(AVERAGEIFS($J$4:$J3332,$B$4:$B3332,B3332,$J$4:$J3332,"&gt;"&amp;0),""))</f>
        <v/>
      </c>
      <c r="L3332" s="12" t="n"/>
    </row>
    <row r="3333" ht="14" customHeight="1" s="72">
      <c r="A3333" s="82" t="n"/>
      <c r="B3333" s="79" t="n"/>
      <c r="C3333" s="69">
        <f>IF(B3333="","",IFERROR(INDEX(Client_List!$B:$B,MATCH(B3333,Client_List!$A:$A,0)),"⚠ NOT FOUND"))</f>
        <v/>
      </c>
      <c r="D3333" s="44" t="n"/>
      <c r="E3333" s="32">
        <f>IF(B3333="","",IFERROR(INDEX(Client_List!$C:$C,MATCH(VALUE(B3333),Client_List!$A:$A,0)),""))</f>
        <v/>
      </c>
      <c r="F3333" s="53">
        <f>IF(B3333="","",IFERROR(INDEX(Client_List!$D:$D,MATCH(VALUE(B3333),Client_List!$A:$A,0)),""))</f>
        <v/>
      </c>
      <c r="G3333" s="53">
        <f>IF(B3333="","",IFERROR(INDEX(Client_List!$K:$K,MATCH(VALUE(B3333),Client_List!$A:$A,0)),""))</f>
        <v/>
      </c>
      <c r="H3333" s="32">
        <f>IF(B3333="","",IFERROR(INDEX(Client_List!$J:$J,MATCH(VALUE(B3333),Client_List!$A:$A,0)),""))</f>
        <v/>
      </c>
      <c r="I3333" s="70">
        <f>IF(B3333="","",IFERROR(A3333-LOOKUP(2,1/($B$4:$B3332=B3333),$A$4:$A3332),""))</f>
        <v/>
      </c>
      <c r="J3333" s="32">
        <f>IF(B3333="","",IFERROR(D3333/I3333,""))</f>
        <v/>
      </c>
      <c r="K3333" s="71">
        <f>IF(B3333="","",IFERROR(AVERAGEIFS($J$4:$J3333,$B$4:$B3333,B3333,$J$4:$J3333,"&gt;"&amp;0),""))</f>
        <v/>
      </c>
      <c r="L3333" s="11" t="n"/>
    </row>
    <row r="3334" ht="14" customHeight="1" s="72">
      <c r="A3334" s="83" t="n"/>
      <c r="B3334" s="81" t="n"/>
      <c r="C3334" s="69">
        <f>IF(B3334="","",IFERROR(INDEX(Client_List!$B:$B,MATCH(B3334,Client_List!$A:$A,0)),"⚠ NOT FOUND"))</f>
        <v/>
      </c>
      <c r="D3334" s="45" t="n"/>
      <c r="E3334" s="32">
        <f>IF(B3334="","",IFERROR(INDEX(Client_List!$C:$C,MATCH(VALUE(B3334),Client_List!$A:$A,0)),""))</f>
        <v/>
      </c>
      <c r="F3334" s="53">
        <f>IF(B3334="","",IFERROR(INDEX(Client_List!$D:$D,MATCH(VALUE(B3334),Client_List!$A:$A,0)),""))</f>
        <v/>
      </c>
      <c r="G3334" s="53">
        <f>IF(B3334="","",IFERROR(INDEX(Client_List!$K:$K,MATCH(VALUE(B3334),Client_List!$A:$A,0)),""))</f>
        <v/>
      </c>
      <c r="H3334" s="32">
        <f>IF(B3334="","",IFERROR(INDEX(Client_List!$J:$J,MATCH(VALUE(B3334),Client_List!$A:$A,0)),""))</f>
        <v/>
      </c>
      <c r="I3334" s="70">
        <f>IF(B3334="","",IFERROR(A3334-LOOKUP(2,1/($B$4:$B3333=B3334),$A$4:$A3333),""))</f>
        <v/>
      </c>
      <c r="J3334" s="32">
        <f>IF(B3334="","",IFERROR(D3334/I3334,""))</f>
        <v/>
      </c>
      <c r="K3334" s="71">
        <f>IF(B3334="","",IFERROR(AVERAGEIFS($J$4:$J3334,$B$4:$B3334,B3334,$J$4:$J3334,"&gt;"&amp;0),""))</f>
        <v/>
      </c>
      <c r="L3334" s="12" t="n"/>
    </row>
    <row r="3335" ht="14" customHeight="1" s="72">
      <c r="A3335" s="82" t="n"/>
      <c r="B3335" s="79" t="n"/>
      <c r="C3335" s="69">
        <f>IF(B3335="","",IFERROR(INDEX(Client_List!$B:$B,MATCH(B3335,Client_List!$A:$A,0)),"⚠ NOT FOUND"))</f>
        <v/>
      </c>
      <c r="D3335" s="44" t="n"/>
      <c r="E3335" s="32">
        <f>IF(B3335="","",IFERROR(INDEX(Client_List!$C:$C,MATCH(VALUE(B3335),Client_List!$A:$A,0)),""))</f>
        <v/>
      </c>
      <c r="F3335" s="53">
        <f>IF(B3335="","",IFERROR(INDEX(Client_List!$D:$D,MATCH(VALUE(B3335),Client_List!$A:$A,0)),""))</f>
        <v/>
      </c>
      <c r="G3335" s="53">
        <f>IF(B3335="","",IFERROR(INDEX(Client_List!$K:$K,MATCH(VALUE(B3335),Client_List!$A:$A,0)),""))</f>
        <v/>
      </c>
      <c r="H3335" s="32">
        <f>IF(B3335="","",IFERROR(INDEX(Client_List!$J:$J,MATCH(VALUE(B3335),Client_List!$A:$A,0)),""))</f>
        <v/>
      </c>
      <c r="I3335" s="70">
        <f>IF(B3335="","",IFERROR(A3335-LOOKUP(2,1/($B$4:$B3334=B3335),$A$4:$A3334),""))</f>
        <v/>
      </c>
      <c r="J3335" s="32">
        <f>IF(B3335="","",IFERROR(D3335/I3335,""))</f>
        <v/>
      </c>
      <c r="K3335" s="71">
        <f>IF(B3335="","",IFERROR(AVERAGEIFS($J$4:$J3335,$B$4:$B3335,B3335,$J$4:$J3335,"&gt;"&amp;0),""))</f>
        <v/>
      </c>
      <c r="L3335" s="11" t="n"/>
    </row>
    <row r="3336" ht="14" customHeight="1" s="72">
      <c r="A3336" s="83" t="n"/>
      <c r="B3336" s="81" t="n"/>
      <c r="C3336" s="69">
        <f>IF(B3336="","",IFERROR(INDEX(Client_List!$B:$B,MATCH(B3336,Client_List!$A:$A,0)),"⚠ NOT FOUND"))</f>
        <v/>
      </c>
      <c r="D3336" s="45" t="n"/>
      <c r="E3336" s="32">
        <f>IF(B3336="","",IFERROR(INDEX(Client_List!$C:$C,MATCH(VALUE(B3336),Client_List!$A:$A,0)),""))</f>
        <v/>
      </c>
      <c r="F3336" s="53">
        <f>IF(B3336="","",IFERROR(INDEX(Client_List!$D:$D,MATCH(VALUE(B3336),Client_List!$A:$A,0)),""))</f>
        <v/>
      </c>
      <c r="G3336" s="53">
        <f>IF(B3336="","",IFERROR(INDEX(Client_List!$K:$K,MATCH(VALUE(B3336),Client_List!$A:$A,0)),""))</f>
        <v/>
      </c>
      <c r="H3336" s="32">
        <f>IF(B3336="","",IFERROR(INDEX(Client_List!$J:$J,MATCH(VALUE(B3336),Client_List!$A:$A,0)),""))</f>
        <v/>
      </c>
      <c r="I3336" s="70">
        <f>IF(B3336="","",IFERROR(A3336-LOOKUP(2,1/($B$4:$B3335=B3336),$A$4:$A3335),""))</f>
        <v/>
      </c>
      <c r="J3336" s="32">
        <f>IF(B3336="","",IFERROR(D3336/I3336,""))</f>
        <v/>
      </c>
      <c r="K3336" s="71">
        <f>IF(B3336="","",IFERROR(AVERAGEIFS($J$4:$J3336,$B$4:$B3336,B3336,$J$4:$J3336,"&gt;"&amp;0),""))</f>
        <v/>
      </c>
      <c r="L3336" s="12" t="n"/>
    </row>
    <row r="3337" ht="14" customHeight="1" s="72">
      <c r="A3337" s="82" t="n"/>
      <c r="B3337" s="79" t="n"/>
      <c r="C3337" s="69">
        <f>IF(B3337="","",IFERROR(INDEX(Client_List!$B:$B,MATCH(B3337,Client_List!$A:$A,0)),"⚠ NOT FOUND"))</f>
        <v/>
      </c>
      <c r="D3337" s="44" t="n"/>
      <c r="E3337" s="32">
        <f>IF(B3337="","",IFERROR(INDEX(Client_List!$C:$C,MATCH(VALUE(B3337),Client_List!$A:$A,0)),""))</f>
        <v/>
      </c>
      <c r="F3337" s="53">
        <f>IF(B3337="","",IFERROR(INDEX(Client_List!$D:$D,MATCH(VALUE(B3337),Client_List!$A:$A,0)),""))</f>
        <v/>
      </c>
      <c r="G3337" s="53">
        <f>IF(B3337="","",IFERROR(INDEX(Client_List!$K:$K,MATCH(VALUE(B3337),Client_List!$A:$A,0)),""))</f>
        <v/>
      </c>
      <c r="H3337" s="32">
        <f>IF(B3337="","",IFERROR(INDEX(Client_List!$J:$J,MATCH(VALUE(B3337),Client_List!$A:$A,0)),""))</f>
        <v/>
      </c>
      <c r="I3337" s="70">
        <f>IF(B3337="","",IFERROR(A3337-LOOKUP(2,1/($B$4:$B3336=B3337),$A$4:$A3336),""))</f>
        <v/>
      </c>
      <c r="J3337" s="32">
        <f>IF(B3337="","",IFERROR(D3337/I3337,""))</f>
        <v/>
      </c>
      <c r="K3337" s="71">
        <f>IF(B3337="","",IFERROR(AVERAGEIFS($J$4:$J3337,$B$4:$B3337,B3337,$J$4:$J3337,"&gt;"&amp;0),""))</f>
        <v/>
      </c>
      <c r="L3337" s="11" t="n"/>
    </row>
    <row r="3338" ht="14" customHeight="1" s="72">
      <c r="A3338" s="83" t="n"/>
      <c r="B3338" s="81" t="n"/>
      <c r="C3338" s="69">
        <f>IF(B3338="","",IFERROR(INDEX(Client_List!$B:$B,MATCH(B3338,Client_List!$A:$A,0)),"⚠ NOT FOUND"))</f>
        <v/>
      </c>
      <c r="D3338" s="45" t="n"/>
      <c r="E3338" s="32">
        <f>IF(B3338="","",IFERROR(INDEX(Client_List!$C:$C,MATCH(VALUE(B3338),Client_List!$A:$A,0)),""))</f>
        <v/>
      </c>
      <c r="F3338" s="53">
        <f>IF(B3338="","",IFERROR(INDEX(Client_List!$D:$D,MATCH(VALUE(B3338),Client_List!$A:$A,0)),""))</f>
        <v/>
      </c>
      <c r="G3338" s="53">
        <f>IF(B3338="","",IFERROR(INDEX(Client_List!$K:$K,MATCH(VALUE(B3338),Client_List!$A:$A,0)),""))</f>
        <v/>
      </c>
      <c r="H3338" s="32">
        <f>IF(B3338="","",IFERROR(INDEX(Client_List!$J:$J,MATCH(VALUE(B3338),Client_List!$A:$A,0)),""))</f>
        <v/>
      </c>
      <c r="I3338" s="70">
        <f>IF(B3338="","",IFERROR(A3338-LOOKUP(2,1/($B$4:$B3337=B3338),$A$4:$A3337),""))</f>
        <v/>
      </c>
      <c r="J3338" s="32">
        <f>IF(B3338="","",IFERROR(D3338/I3338,""))</f>
        <v/>
      </c>
      <c r="K3338" s="71">
        <f>IF(B3338="","",IFERROR(AVERAGEIFS($J$4:$J3338,$B$4:$B3338,B3338,$J$4:$J3338,"&gt;"&amp;0),""))</f>
        <v/>
      </c>
      <c r="L3338" s="12" t="n"/>
    </row>
    <row r="3339" ht="14" customHeight="1" s="72">
      <c r="A3339" s="82" t="n"/>
      <c r="B3339" s="79" t="n"/>
      <c r="C3339" s="69">
        <f>IF(B3339="","",IFERROR(INDEX(Client_List!$B:$B,MATCH(B3339,Client_List!$A:$A,0)),"⚠ NOT FOUND"))</f>
        <v/>
      </c>
      <c r="D3339" s="44" t="n"/>
      <c r="E3339" s="32">
        <f>IF(B3339="","",IFERROR(INDEX(Client_List!$C:$C,MATCH(VALUE(B3339),Client_List!$A:$A,0)),""))</f>
        <v/>
      </c>
      <c r="F3339" s="53">
        <f>IF(B3339="","",IFERROR(INDEX(Client_List!$D:$D,MATCH(VALUE(B3339),Client_List!$A:$A,0)),""))</f>
        <v/>
      </c>
      <c r="G3339" s="53">
        <f>IF(B3339="","",IFERROR(INDEX(Client_List!$K:$K,MATCH(VALUE(B3339),Client_List!$A:$A,0)),""))</f>
        <v/>
      </c>
      <c r="H3339" s="32">
        <f>IF(B3339="","",IFERROR(INDEX(Client_List!$J:$J,MATCH(VALUE(B3339),Client_List!$A:$A,0)),""))</f>
        <v/>
      </c>
      <c r="I3339" s="70">
        <f>IF(B3339="","",IFERROR(A3339-LOOKUP(2,1/($B$4:$B3338=B3339),$A$4:$A3338),""))</f>
        <v/>
      </c>
      <c r="J3339" s="32">
        <f>IF(B3339="","",IFERROR(D3339/I3339,""))</f>
        <v/>
      </c>
      <c r="K3339" s="71">
        <f>IF(B3339="","",IFERROR(AVERAGEIFS($J$4:$J3339,$B$4:$B3339,B3339,$J$4:$J3339,"&gt;"&amp;0),""))</f>
        <v/>
      </c>
      <c r="L3339" s="11" t="n"/>
    </row>
    <row r="3340" ht="14" customHeight="1" s="72">
      <c r="A3340" s="83" t="n"/>
      <c r="B3340" s="81" t="n"/>
      <c r="C3340" s="69">
        <f>IF(B3340="","",IFERROR(INDEX(Client_List!$B:$B,MATCH(B3340,Client_List!$A:$A,0)),"⚠ NOT FOUND"))</f>
        <v/>
      </c>
      <c r="D3340" s="45" t="n"/>
      <c r="E3340" s="32">
        <f>IF(B3340="","",IFERROR(INDEX(Client_List!$C:$C,MATCH(VALUE(B3340),Client_List!$A:$A,0)),""))</f>
        <v/>
      </c>
      <c r="F3340" s="53">
        <f>IF(B3340="","",IFERROR(INDEX(Client_List!$D:$D,MATCH(VALUE(B3340),Client_List!$A:$A,0)),""))</f>
        <v/>
      </c>
      <c r="G3340" s="53">
        <f>IF(B3340="","",IFERROR(INDEX(Client_List!$K:$K,MATCH(VALUE(B3340),Client_List!$A:$A,0)),""))</f>
        <v/>
      </c>
      <c r="H3340" s="32">
        <f>IF(B3340="","",IFERROR(INDEX(Client_List!$J:$J,MATCH(VALUE(B3340),Client_List!$A:$A,0)),""))</f>
        <v/>
      </c>
      <c r="I3340" s="70">
        <f>IF(B3340="","",IFERROR(A3340-LOOKUP(2,1/($B$4:$B3339=B3340),$A$4:$A3339),""))</f>
        <v/>
      </c>
      <c r="J3340" s="32">
        <f>IF(B3340="","",IFERROR(D3340/I3340,""))</f>
        <v/>
      </c>
      <c r="K3340" s="71">
        <f>IF(B3340="","",IFERROR(AVERAGEIFS($J$4:$J3340,$B$4:$B3340,B3340,$J$4:$J3340,"&gt;"&amp;0),""))</f>
        <v/>
      </c>
      <c r="L3340" s="12" t="n"/>
    </row>
    <row r="3341" ht="14" customHeight="1" s="72">
      <c r="A3341" s="82" t="n"/>
      <c r="B3341" s="79" t="n"/>
      <c r="C3341" s="69">
        <f>IF(B3341="","",IFERROR(INDEX(Client_List!$B:$B,MATCH(B3341,Client_List!$A:$A,0)),"⚠ NOT FOUND"))</f>
        <v/>
      </c>
      <c r="D3341" s="44" t="n"/>
      <c r="E3341" s="32">
        <f>IF(B3341="","",IFERROR(INDEX(Client_List!$C:$C,MATCH(VALUE(B3341),Client_List!$A:$A,0)),""))</f>
        <v/>
      </c>
      <c r="F3341" s="53">
        <f>IF(B3341="","",IFERROR(INDEX(Client_List!$D:$D,MATCH(VALUE(B3341),Client_List!$A:$A,0)),""))</f>
        <v/>
      </c>
      <c r="G3341" s="53">
        <f>IF(B3341="","",IFERROR(INDEX(Client_List!$K:$K,MATCH(VALUE(B3341),Client_List!$A:$A,0)),""))</f>
        <v/>
      </c>
      <c r="H3341" s="32">
        <f>IF(B3341="","",IFERROR(INDEX(Client_List!$J:$J,MATCH(VALUE(B3341),Client_List!$A:$A,0)),""))</f>
        <v/>
      </c>
      <c r="I3341" s="70">
        <f>IF(B3341="","",IFERROR(A3341-LOOKUP(2,1/($B$4:$B3340=B3341),$A$4:$A3340),""))</f>
        <v/>
      </c>
      <c r="J3341" s="32">
        <f>IF(B3341="","",IFERROR(D3341/I3341,""))</f>
        <v/>
      </c>
      <c r="K3341" s="71">
        <f>IF(B3341="","",IFERROR(AVERAGEIFS($J$4:$J3341,$B$4:$B3341,B3341,$J$4:$J3341,"&gt;"&amp;0),""))</f>
        <v/>
      </c>
      <c r="L3341" s="11" t="n"/>
    </row>
    <row r="3342" ht="14" customHeight="1" s="72">
      <c r="A3342" s="83" t="n"/>
      <c r="B3342" s="81" t="n"/>
      <c r="C3342" s="69">
        <f>IF(B3342="","",IFERROR(INDEX(Client_List!$B:$B,MATCH(B3342,Client_List!$A:$A,0)),"⚠ NOT FOUND"))</f>
        <v/>
      </c>
      <c r="D3342" s="45" t="n"/>
      <c r="E3342" s="32">
        <f>IF(B3342="","",IFERROR(INDEX(Client_List!$C:$C,MATCH(VALUE(B3342),Client_List!$A:$A,0)),""))</f>
        <v/>
      </c>
      <c r="F3342" s="53">
        <f>IF(B3342="","",IFERROR(INDEX(Client_List!$D:$D,MATCH(VALUE(B3342),Client_List!$A:$A,0)),""))</f>
        <v/>
      </c>
      <c r="G3342" s="53">
        <f>IF(B3342="","",IFERROR(INDEX(Client_List!$K:$K,MATCH(VALUE(B3342),Client_List!$A:$A,0)),""))</f>
        <v/>
      </c>
      <c r="H3342" s="32">
        <f>IF(B3342="","",IFERROR(INDEX(Client_List!$J:$J,MATCH(VALUE(B3342),Client_List!$A:$A,0)),""))</f>
        <v/>
      </c>
      <c r="I3342" s="70">
        <f>IF(B3342="","",IFERROR(A3342-LOOKUP(2,1/($B$4:$B3341=B3342),$A$4:$A3341),""))</f>
        <v/>
      </c>
      <c r="J3342" s="32">
        <f>IF(B3342="","",IFERROR(D3342/I3342,""))</f>
        <v/>
      </c>
      <c r="K3342" s="71">
        <f>IF(B3342="","",IFERROR(AVERAGEIFS($J$4:$J3342,$B$4:$B3342,B3342,$J$4:$J3342,"&gt;"&amp;0),""))</f>
        <v/>
      </c>
      <c r="L3342" s="12" t="n"/>
    </row>
    <row r="3343" ht="14" customHeight="1" s="72">
      <c r="A3343" s="82" t="n"/>
      <c r="B3343" s="79" t="n"/>
      <c r="C3343" s="69">
        <f>IF(B3343="","",IFERROR(INDEX(Client_List!$B:$B,MATCH(B3343,Client_List!$A:$A,0)),"⚠ NOT FOUND"))</f>
        <v/>
      </c>
      <c r="D3343" s="44" t="n"/>
      <c r="E3343" s="32">
        <f>IF(B3343="","",IFERROR(INDEX(Client_List!$C:$C,MATCH(VALUE(B3343),Client_List!$A:$A,0)),""))</f>
        <v/>
      </c>
      <c r="F3343" s="53">
        <f>IF(B3343="","",IFERROR(INDEX(Client_List!$D:$D,MATCH(VALUE(B3343),Client_List!$A:$A,0)),""))</f>
        <v/>
      </c>
      <c r="G3343" s="53">
        <f>IF(B3343="","",IFERROR(INDEX(Client_List!$K:$K,MATCH(VALUE(B3343),Client_List!$A:$A,0)),""))</f>
        <v/>
      </c>
      <c r="H3343" s="32">
        <f>IF(B3343="","",IFERROR(INDEX(Client_List!$J:$J,MATCH(VALUE(B3343),Client_List!$A:$A,0)),""))</f>
        <v/>
      </c>
      <c r="I3343" s="70">
        <f>IF(B3343="","",IFERROR(A3343-LOOKUP(2,1/($B$4:$B3342=B3343),$A$4:$A3342),""))</f>
        <v/>
      </c>
      <c r="J3343" s="32">
        <f>IF(B3343="","",IFERROR(D3343/I3343,""))</f>
        <v/>
      </c>
      <c r="K3343" s="71">
        <f>IF(B3343="","",IFERROR(AVERAGEIFS($J$4:$J3343,$B$4:$B3343,B3343,$J$4:$J3343,"&gt;"&amp;0),""))</f>
        <v/>
      </c>
      <c r="L3343" s="11" t="n"/>
    </row>
    <row r="3344" ht="14" customHeight="1" s="72">
      <c r="A3344" s="83" t="n"/>
      <c r="B3344" s="81" t="n"/>
      <c r="C3344" s="69">
        <f>IF(B3344="","",IFERROR(INDEX(Client_List!$B:$B,MATCH(B3344,Client_List!$A:$A,0)),"⚠ NOT FOUND"))</f>
        <v/>
      </c>
      <c r="D3344" s="45" t="n"/>
      <c r="E3344" s="32">
        <f>IF(B3344="","",IFERROR(INDEX(Client_List!$C:$C,MATCH(VALUE(B3344),Client_List!$A:$A,0)),""))</f>
        <v/>
      </c>
      <c r="F3344" s="53">
        <f>IF(B3344="","",IFERROR(INDEX(Client_List!$D:$D,MATCH(VALUE(B3344),Client_List!$A:$A,0)),""))</f>
        <v/>
      </c>
      <c r="G3344" s="53">
        <f>IF(B3344="","",IFERROR(INDEX(Client_List!$K:$K,MATCH(VALUE(B3344),Client_List!$A:$A,0)),""))</f>
        <v/>
      </c>
      <c r="H3344" s="32">
        <f>IF(B3344="","",IFERROR(INDEX(Client_List!$J:$J,MATCH(VALUE(B3344),Client_List!$A:$A,0)),""))</f>
        <v/>
      </c>
      <c r="I3344" s="70">
        <f>IF(B3344="","",IFERROR(A3344-LOOKUP(2,1/($B$4:$B3343=B3344),$A$4:$A3343),""))</f>
        <v/>
      </c>
      <c r="J3344" s="32">
        <f>IF(B3344="","",IFERROR(D3344/I3344,""))</f>
        <v/>
      </c>
      <c r="K3344" s="71">
        <f>IF(B3344="","",IFERROR(AVERAGEIFS($J$4:$J3344,$B$4:$B3344,B3344,$J$4:$J3344,"&gt;"&amp;0),""))</f>
        <v/>
      </c>
      <c r="L3344" s="12" t="n"/>
    </row>
    <row r="3345" ht="14" customHeight="1" s="72">
      <c r="A3345" s="82" t="n"/>
      <c r="B3345" s="79" t="n"/>
      <c r="C3345" s="69">
        <f>IF(B3345="","",IFERROR(INDEX(Client_List!$B:$B,MATCH(B3345,Client_List!$A:$A,0)),"⚠ NOT FOUND"))</f>
        <v/>
      </c>
      <c r="D3345" s="44" t="n"/>
      <c r="E3345" s="32">
        <f>IF(B3345="","",IFERROR(INDEX(Client_List!$C:$C,MATCH(VALUE(B3345),Client_List!$A:$A,0)),""))</f>
        <v/>
      </c>
      <c r="F3345" s="53">
        <f>IF(B3345="","",IFERROR(INDEX(Client_List!$D:$D,MATCH(VALUE(B3345),Client_List!$A:$A,0)),""))</f>
        <v/>
      </c>
      <c r="G3345" s="53">
        <f>IF(B3345="","",IFERROR(INDEX(Client_List!$K:$K,MATCH(VALUE(B3345),Client_List!$A:$A,0)),""))</f>
        <v/>
      </c>
      <c r="H3345" s="32">
        <f>IF(B3345="","",IFERROR(INDEX(Client_List!$J:$J,MATCH(VALUE(B3345),Client_List!$A:$A,0)),""))</f>
        <v/>
      </c>
      <c r="I3345" s="70">
        <f>IF(B3345="","",IFERROR(A3345-LOOKUP(2,1/($B$4:$B3344=B3345),$A$4:$A3344),""))</f>
        <v/>
      </c>
      <c r="J3345" s="32">
        <f>IF(B3345="","",IFERROR(D3345/I3345,""))</f>
        <v/>
      </c>
      <c r="K3345" s="71">
        <f>IF(B3345="","",IFERROR(AVERAGEIFS($J$4:$J3345,$B$4:$B3345,B3345,$J$4:$J3345,"&gt;"&amp;0),""))</f>
        <v/>
      </c>
      <c r="L3345" s="11" t="n"/>
    </row>
    <row r="3346" ht="14" customHeight="1" s="72">
      <c r="A3346" s="83" t="n"/>
      <c r="B3346" s="81" t="n"/>
      <c r="C3346" s="69">
        <f>IF(B3346="","",IFERROR(INDEX(Client_List!$B:$B,MATCH(B3346,Client_List!$A:$A,0)),"⚠ NOT FOUND"))</f>
        <v/>
      </c>
      <c r="D3346" s="45" t="n"/>
      <c r="E3346" s="32">
        <f>IF(B3346="","",IFERROR(INDEX(Client_List!$C:$C,MATCH(VALUE(B3346),Client_List!$A:$A,0)),""))</f>
        <v/>
      </c>
      <c r="F3346" s="53">
        <f>IF(B3346="","",IFERROR(INDEX(Client_List!$D:$D,MATCH(VALUE(B3346),Client_List!$A:$A,0)),""))</f>
        <v/>
      </c>
      <c r="G3346" s="53">
        <f>IF(B3346="","",IFERROR(INDEX(Client_List!$K:$K,MATCH(VALUE(B3346),Client_List!$A:$A,0)),""))</f>
        <v/>
      </c>
      <c r="H3346" s="32">
        <f>IF(B3346="","",IFERROR(INDEX(Client_List!$J:$J,MATCH(VALUE(B3346),Client_List!$A:$A,0)),""))</f>
        <v/>
      </c>
      <c r="I3346" s="70">
        <f>IF(B3346="","",IFERROR(A3346-LOOKUP(2,1/($B$4:$B3345=B3346),$A$4:$A3345),""))</f>
        <v/>
      </c>
      <c r="J3346" s="32">
        <f>IF(B3346="","",IFERROR(D3346/I3346,""))</f>
        <v/>
      </c>
      <c r="K3346" s="71">
        <f>IF(B3346="","",IFERROR(AVERAGEIFS($J$4:$J3346,$B$4:$B3346,B3346,$J$4:$J3346,"&gt;"&amp;0),""))</f>
        <v/>
      </c>
      <c r="L3346" s="12" t="n"/>
    </row>
    <row r="3347" ht="14" customHeight="1" s="72">
      <c r="A3347" s="82" t="n"/>
      <c r="B3347" s="79" t="n"/>
      <c r="C3347" s="69">
        <f>IF(B3347="","",IFERROR(INDEX(Client_List!$B:$B,MATCH(B3347,Client_List!$A:$A,0)),"⚠ NOT FOUND"))</f>
        <v/>
      </c>
      <c r="D3347" s="44" t="n"/>
      <c r="E3347" s="32">
        <f>IF(B3347="","",IFERROR(INDEX(Client_List!$C:$C,MATCH(VALUE(B3347),Client_List!$A:$A,0)),""))</f>
        <v/>
      </c>
      <c r="F3347" s="53">
        <f>IF(B3347="","",IFERROR(INDEX(Client_List!$D:$D,MATCH(VALUE(B3347),Client_List!$A:$A,0)),""))</f>
        <v/>
      </c>
      <c r="G3347" s="53">
        <f>IF(B3347="","",IFERROR(INDEX(Client_List!$K:$K,MATCH(VALUE(B3347),Client_List!$A:$A,0)),""))</f>
        <v/>
      </c>
      <c r="H3347" s="32">
        <f>IF(B3347="","",IFERROR(INDEX(Client_List!$J:$J,MATCH(VALUE(B3347),Client_List!$A:$A,0)),""))</f>
        <v/>
      </c>
      <c r="I3347" s="70">
        <f>IF(B3347="","",IFERROR(A3347-LOOKUP(2,1/($B$4:$B3346=B3347),$A$4:$A3346),""))</f>
        <v/>
      </c>
      <c r="J3347" s="32">
        <f>IF(B3347="","",IFERROR(D3347/I3347,""))</f>
        <v/>
      </c>
      <c r="K3347" s="71">
        <f>IF(B3347="","",IFERROR(AVERAGEIFS($J$4:$J3347,$B$4:$B3347,B3347,$J$4:$J3347,"&gt;"&amp;0),""))</f>
        <v/>
      </c>
      <c r="L3347" s="11" t="n"/>
    </row>
    <row r="3348" ht="14" customHeight="1" s="72">
      <c r="A3348" s="83" t="n"/>
      <c r="B3348" s="81" t="n"/>
      <c r="C3348" s="69">
        <f>IF(B3348="","",IFERROR(INDEX(Client_List!$B:$B,MATCH(B3348,Client_List!$A:$A,0)),"⚠ NOT FOUND"))</f>
        <v/>
      </c>
      <c r="D3348" s="45" t="n"/>
      <c r="E3348" s="32">
        <f>IF(B3348="","",IFERROR(INDEX(Client_List!$C:$C,MATCH(VALUE(B3348),Client_List!$A:$A,0)),""))</f>
        <v/>
      </c>
      <c r="F3348" s="53">
        <f>IF(B3348="","",IFERROR(INDEX(Client_List!$D:$D,MATCH(VALUE(B3348),Client_List!$A:$A,0)),""))</f>
        <v/>
      </c>
      <c r="G3348" s="53">
        <f>IF(B3348="","",IFERROR(INDEX(Client_List!$K:$K,MATCH(VALUE(B3348),Client_List!$A:$A,0)),""))</f>
        <v/>
      </c>
      <c r="H3348" s="32">
        <f>IF(B3348="","",IFERROR(INDEX(Client_List!$J:$J,MATCH(VALUE(B3348),Client_List!$A:$A,0)),""))</f>
        <v/>
      </c>
      <c r="I3348" s="70">
        <f>IF(B3348="","",IFERROR(A3348-LOOKUP(2,1/($B$4:$B3347=B3348),$A$4:$A3347),""))</f>
        <v/>
      </c>
      <c r="J3348" s="32">
        <f>IF(B3348="","",IFERROR(D3348/I3348,""))</f>
        <v/>
      </c>
      <c r="K3348" s="71">
        <f>IF(B3348="","",IFERROR(AVERAGEIFS($J$4:$J3348,$B$4:$B3348,B3348,$J$4:$J3348,"&gt;"&amp;0),""))</f>
        <v/>
      </c>
      <c r="L3348" s="12" t="n"/>
    </row>
    <row r="3349" ht="14" customHeight="1" s="72">
      <c r="A3349" s="82" t="n"/>
      <c r="B3349" s="79" t="n"/>
      <c r="C3349" s="69">
        <f>IF(B3349="","",IFERROR(INDEX(Client_List!$B:$B,MATCH(B3349,Client_List!$A:$A,0)),"⚠ NOT FOUND"))</f>
        <v/>
      </c>
      <c r="D3349" s="44" t="n"/>
      <c r="E3349" s="32">
        <f>IF(B3349="","",IFERROR(INDEX(Client_List!$C:$C,MATCH(VALUE(B3349),Client_List!$A:$A,0)),""))</f>
        <v/>
      </c>
      <c r="F3349" s="53">
        <f>IF(B3349="","",IFERROR(INDEX(Client_List!$D:$D,MATCH(VALUE(B3349),Client_List!$A:$A,0)),""))</f>
        <v/>
      </c>
      <c r="G3349" s="53">
        <f>IF(B3349="","",IFERROR(INDEX(Client_List!$K:$K,MATCH(VALUE(B3349),Client_List!$A:$A,0)),""))</f>
        <v/>
      </c>
      <c r="H3349" s="32">
        <f>IF(B3349="","",IFERROR(INDEX(Client_List!$J:$J,MATCH(VALUE(B3349),Client_List!$A:$A,0)),""))</f>
        <v/>
      </c>
      <c r="I3349" s="70">
        <f>IF(B3349="","",IFERROR(A3349-LOOKUP(2,1/($B$4:$B3348=B3349),$A$4:$A3348),""))</f>
        <v/>
      </c>
      <c r="J3349" s="32">
        <f>IF(B3349="","",IFERROR(D3349/I3349,""))</f>
        <v/>
      </c>
      <c r="K3349" s="71">
        <f>IF(B3349="","",IFERROR(AVERAGEIFS($J$4:$J3349,$B$4:$B3349,B3349,$J$4:$J3349,"&gt;"&amp;0),""))</f>
        <v/>
      </c>
      <c r="L3349" s="11" t="n"/>
    </row>
    <row r="3350" ht="14" customHeight="1" s="72">
      <c r="A3350" s="83" t="n"/>
      <c r="B3350" s="81" t="n"/>
      <c r="C3350" s="69">
        <f>IF(B3350="","",IFERROR(INDEX(Client_List!$B:$B,MATCH(B3350,Client_List!$A:$A,0)),"⚠ NOT FOUND"))</f>
        <v/>
      </c>
      <c r="D3350" s="45" t="n"/>
      <c r="E3350" s="32">
        <f>IF(B3350="","",IFERROR(INDEX(Client_List!$C:$C,MATCH(VALUE(B3350),Client_List!$A:$A,0)),""))</f>
        <v/>
      </c>
      <c r="F3350" s="53">
        <f>IF(B3350="","",IFERROR(INDEX(Client_List!$D:$D,MATCH(VALUE(B3350),Client_List!$A:$A,0)),""))</f>
        <v/>
      </c>
      <c r="G3350" s="53">
        <f>IF(B3350="","",IFERROR(INDEX(Client_List!$K:$K,MATCH(VALUE(B3350),Client_List!$A:$A,0)),""))</f>
        <v/>
      </c>
      <c r="H3350" s="32">
        <f>IF(B3350="","",IFERROR(INDEX(Client_List!$J:$J,MATCH(VALUE(B3350),Client_List!$A:$A,0)),""))</f>
        <v/>
      </c>
      <c r="I3350" s="70">
        <f>IF(B3350="","",IFERROR(A3350-LOOKUP(2,1/($B$4:$B3349=B3350),$A$4:$A3349),""))</f>
        <v/>
      </c>
      <c r="J3350" s="32">
        <f>IF(B3350="","",IFERROR(D3350/I3350,""))</f>
        <v/>
      </c>
      <c r="K3350" s="71">
        <f>IF(B3350="","",IFERROR(AVERAGEIFS($J$4:$J3350,$B$4:$B3350,B3350,$J$4:$J3350,"&gt;"&amp;0),""))</f>
        <v/>
      </c>
      <c r="L3350" s="12" t="n"/>
    </row>
    <row r="3351" ht="14" customHeight="1" s="72">
      <c r="A3351" s="82" t="n"/>
      <c r="B3351" s="79" t="n"/>
      <c r="C3351" s="69">
        <f>IF(B3351="","",IFERROR(INDEX(Client_List!$B:$B,MATCH(B3351,Client_List!$A:$A,0)),"⚠ NOT FOUND"))</f>
        <v/>
      </c>
      <c r="D3351" s="44" t="n"/>
      <c r="E3351" s="32">
        <f>IF(B3351="","",IFERROR(INDEX(Client_List!$C:$C,MATCH(VALUE(B3351),Client_List!$A:$A,0)),""))</f>
        <v/>
      </c>
      <c r="F3351" s="53">
        <f>IF(B3351="","",IFERROR(INDEX(Client_List!$D:$D,MATCH(VALUE(B3351),Client_List!$A:$A,0)),""))</f>
        <v/>
      </c>
      <c r="G3351" s="53">
        <f>IF(B3351="","",IFERROR(INDEX(Client_List!$K:$K,MATCH(VALUE(B3351),Client_List!$A:$A,0)),""))</f>
        <v/>
      </c>
      <c r="H3351" s="32">
        <f>IF(B3351="","",IFERROR(INDEX(Client_List!$J:$J,MATCH(VALUE(B3351),Client_List!$A:$A,0)),""))</f>
        <v/>
      </c>
      <c r="I3351" s="70">
        <f>IF(B3351="","",IFERROR(A3351-LOOKUP(2,1/($B$4:$B3350=B3351),$A$4:$A3350),""))</f>
        <v/>
      </c>
      <c r="J3351" s="32">
        <f>IF(B3351="","",IFERROR(D3351/I3351,""))</f>
        <v/>
      </c>
      <c r="K3351" s="71">
        <f>IF(B3351="","",IFERROR(AVERAGEIFS($J$4:$J3351,$B$4:$B3351,B3351,$J$4:$J3351,"&gt;"&amp;0),""))</f>
        <v/>
      </c>
      <c r="L3351" s="11" t="n"/>
    </row>
    <row r="3352" ht="14" customHeight="1" s="72">
      <c r="A3352" s="83" t="n"/>
      <c r="B3352" s="81" t="n"/>
      <c r="C3352" s="69">
        <f>IF(B3352="","",IFERROR(INDEX(Client_List!$B:$B,MATCH(B3352,Client_List!$A:$A,0)),"⚠ NOT FOUND"))</f>
        <v/>
      </c>
      <c r="D3352" s="45" t="n"/>
      <c r="E3352" s="32">
        <f>IF(B3352="","",IFERROR(INDEX(Client_List!$C:$C,MATCH(VALUE(B3352),Client_List!$A:$A,0)),""))</f>
        <v/>
      </c>
      <c r="F3352" s="53">
        <f>IF(B3352="","",IFERROR(INDEX(Client_List!$D:$D,MATCH(VALUE(B3352),Client_List!$A:$A,0)),""))</f>
        <v/>
      </c>
      <c r="G3352" s="53">
        <f>IF(B3352="","",IFERROR(INDEX(Client_List!$K:$K,MATCH(VALUE(B3352),Client_List!$A:$A,0)),""))</f>
        <v/>
      </c>
      <c r="H3352" s="32">
        <f>IF(B3352="","",IFERROR(INDEX(Client_List!$J:$J,MATCH(VALUE(B3352),Client_List!$A:$A,0)),""))</f>
        <v/>
      </c>
      <c r="I3352" s="70">
        <f>IF(B3352="","",IFERROR(A3352-LOOKUP(2,1/($B$4:$B3351=B3352),$A$4:$A3351),""))</f>
        <v/>
      </c>
      <c r="J3352" s="32">
        <f>IF(B3352="","",IFERROR(D3352/I3352,""))</f>
        <v/>
      </c>
      <c r="K3352" s="71">
        <f>IF(B3352="","",IFERROR(AVERAGEIFS($J$4:$J3352,$B$4:$B3352,B3352,$J$4:$J3352,"&gt;"&amp;0),""))</f>
        <v/>
      </c>
      <c r="L3352" s="12" t="n"/>
    </row>
    <row r="3353" ht="14" customHeight="1" s="72">
      <c r="A3353" s="82" t="n"/>
      <c r="B3353" s="79" t="n"/>
      <c r="C3353" s="69">
        <f>IF(B3353="","",IFERROR(INDEX(Client_List!$B:$B,MATCH(B3353,Client_List!$A:$A,0)),"⚠ NOT FOUND"))</f>
        <v/>
      </c>
      <c r="D3353" s="44" t="n"/>
      <c r="E3353" s="32">
        <f>IF(B3353="","",IFERROR(INDEX(Client_List!$C:$C,MATCH(VALUE(B3353),Client_List!$A:$A,0)),""))</f>
        <v/>
      </c>
      <c r="F3353" s="53">
        <f>IF(B3353="","",IFERROR(INDEX(Client_List!$D:$D,MATCH(VALUE(B3353),Client_List!$A:$A,0)),""))</f>
        <v/>
      </c>
      <c r="G3353" s="53">
        <f>IF(B3353="","",IFERROR(INDEX(Client_List!$K:$K,MATCH(VALUE(B3353),Client_List!$A:$A,0)),""))</f>
        <v/>
      </c>
      <c r="H3353" s="32">
        <f>IF(B3353="","",IFERROR(INDEX(Client_List!$J:$J,MATCH(VALUE(B3353),Client_List!$A:$A,0)),""))</f>
        <v/>
      </c>
      <c r="I3353" s="70">
        <f>IF(B3353="","",IFERROR(A3353-LOOKUP(2,1/($B$4:$B3352=B3353),$A$4:$A3352),""))</f>
        <v/>
      </c>
      <c r="J3353" s="32">
        <f>IF(B3353="","",IFERROR(D3353/I3353,""))</f>
        <v/>
      </c>
      <c r="K3353" s="71">
        <f>IF(B3353="","",IFERROR(AVERAGEIFS($J$4:$J3353,$B$4:$B3353,B3353,$J$4:$J3353,"&gt;"&amp;0),""))</f>
        <v/>
      </c>
      <c r="L3353" s="11" t="n"/>
    </row>
    <row r="3354" ht="14" customHeight="1" s="72">
      <c r="A3354" s="83" t="n"/>
      <c r="B3354" s="81" t="n"/>
      <c r="C3354" s="69">
        <f>IF(B3354="","",IFERROR(INDEX(Client_List!$B:$B,MATCH(B3354,Client_List!$A:$A,0)),"⚠ NOT FOUND"))</f>
        <v/>
      </c>
      <c r="D3354" s="45" t="n"/>
      <c r="E3354" s="32">
        <f>IF(B3354="","",IFERROR(INDEX(Client_List!$C:$C,MATCH(VALUE(B3354),Client_List!$A:$A,0)),""))</f>
        <v/>
      </c>
      <c r="F3354" s="53">
        <f>IF(B3354="","",IFERROR(INDEX(Client_List!$D:$D,MATCH(VALUE(B3354),Client_List!$A:$A,0)),""))</f>
        <v/>
      </c>
      <c r="G3354" s="53">
        <f>IF(B3354="","",IFERROR(INDEX(Client_List!$K:$K,MATCH(VALUE(B3354),Client_List!$A:$A,0)),""))</f>
        <v/>
      </c>
      <c r="H3354" s="32">
        <f>IF(B3354="","",IFERROR(INDEX(Client_List!$J:$J,MATCH(VALUE(B3354),Client_List!$A:$A,0)),""))</f>
        <v/>
      </c>
      <c r="I3354" s="70">
        <f>IF(B3354="","",IFERROR(A3354-LOOKUP(2,1/($B$4:$B3353=B3354),$A$4:$A3353),""))</f>
        <v/>
      </c>
      <c r="J3354" s="32">
        <f>IF(B3354="","",IFERROR(D3354/I3354,""))</f>
        <v/>
      </c>
      <c r="K3354" s="71">
        <f>IF(B3354="","",IFERROR(AVERAGEIFS($J$4:$J3354,$B$4:$B3354,B3354,$J$4:$J3354,"&gt;"&amp;0),""))</f>
        <v/>
      </c>
      <c r="L3354" s="12" t="n"/>
    </row>
    <row r="3355" ht="14" customHeight="1" s="72">
      <c r="A3355" s="82" t="n"/>
      <c r="B3355" s="79" t="n"/>
      <c r="C3355" s="69">
        <f>IF(B3355="","",IFERROR(INDEX(Client_List!$B:$B,MATCH(B3355,Client_List!$A:$A,0)),"⚠ NOT FOUND"))</f>
        <v/>
      </c>
      <c r="D3355" s="44" t="n"/>
      <c r="E3355" s="32">
        <f>IF(B3355="","",IFERROR(INDEX(Client_List!$C:$C,MATCH(VALUE(B3355),Client_List!$A:$A,0)),""))</f>
        <v/>
      </c>
      <c r="F3355" s="53">
        <f>IF(B3355="","",IFERROR(INDEX(Client_List!$D:$D,MATCH(VALUE(B3355),Client_List!$A:$A,0)),""))</f>
        <v/>
      </c>
      <c r="G3355" s="53">
        <f>IF(B3355="","",IFERROR(INDEX(Client_List!$K:$K,MATCH(VALUE(B3355),Client_List!$A:$A,0)),""))</f>
        <v/>
      </c>
      <c r="H3355" s="32">
        <f>IF(B3355="","",IFERROR(INDEX(Client_List!$J:$J,MATCH(VALUE(B3355),Client_List!$A:$A,0)),""))</f>
        <v/>
      </c>
      <c r="I3355" s="70">
        <f>IF(B3355="","",IFERROR(A3355-LOOKUP(2,1/($B$4:$B3354=B3355),$A$4:$A3354),""))</f>
        <v/>
      </c>
      <c r="J3355" s="32">
        <f>IF(B3355="","",IFERROR(D3355/I3355,""))</f>
        <v/>
      </c>
      <c r="K3355" s="71">
        <f>IF(B3355="","",IFERROR(AVERAGEIFS($J$4:$J3355,$B$4:$B3355,B3355,$J$4:$J3355,"&gt;"&amp;0),""))</f>
        <v/>
      </c>
      <c r="L3355" s="11" t="n"/>
    </row>
    <row r="3356" ht="14" customHeight="1" s="72">
      <c r="A3356" s="83" t="n"/>
      <c r="B3356" s="81" t="n"/>
      <c r="C3356" s="69">
        <f>IF(B3356="","",IFERROR(INDEX(Client_List!$B:$B,MATCH(B3356,Client_List!$A:$A,0)),"⚠ NOT FOUND"))</f>
        <v/>
      </c>
      <c r="D3356" s="45" t="n"/>
      <c r="E3356" s="32">
        <f>IF(B3356="","",IFERROR(INDEX(Client_List!$C:$C,MATCH(VALUE(B3356),Client_List!$A:$A,0)),""))</f>
        <v/>
      </c>
      <c r="F3356" s="53">
        <f>IF(B3356="","",IFERROR(INDEX(Client_List!$D:$D,MATCH(VALUE(B3356),Client_List!$A:$A,0)),""))</f>
        <v/>
      </c>
      <c r="G3356" s="53">
        <f>IF(B3356="","",IFERROR(INDEX(Client_List!$K:$K,MATCH(VALUE(B3356),Client_List!$A:$A,0)),""))</f>
        <v/>
      </c>
      <c r="H3356" s="32">
        <f>IF(B3356="","",IFERROR(INDEX(Client_List!$J:$J,MATCH(VALUE(B3356),Client_List!$A:$A,0)),""))</f>
        <v/>
      </c>
      <c r="I3356" s="70">
        <f>IF(B3356="","",IFERROR(A3356-LOOKUP(2,1/($B$4:$B3355=B3356),$A$4:$A3355),""))</f>
        <v/>
      </c>
      <c r="J3356" s="32">
        <f>IF(B3356="","",IFERROR(D3356/I3356,""))</f>
        <v/>
      </c>
      <c r="K3356" s="71">
        <f>IF(B3356="","",IFERROR(AVERAGEIFS($J$4:$J3356,$B$4:$B3356,B3356,$J$4:$J3356,"&gt;"&amp;0),""))</f>
        <v/>
      </c>
      <c r="L3356" s="12" t="n"/>
    </row>
    <row r="3357" ht="14" customHeight="1" s="72">
      <c r="A3357" s="82" t="n"/>
      <c r="B3357" s="79" t="n"/>
      <c r="C3357" s="69">
        <f>IF(B3357="","",IFERROR(INDEX(Client_List!$B:$B,MATCH(B3357,Client_List!$A:$A,0)),"⚠ NOT FOUND"))</f>
        <v/>
      </c>
      <c r="D3357" s="44" t="n"/>
      <c r="E3357" s="32">
        <f>IF(B3357="","",IFERROR(INDEX(Client_List!$C:$C,MATCH(VALUE(B3357),Client_List!$A:$A,0)),""))</f>
        <v/>
      </c>
      <c r="F3357" s="53">
        <f>IF(B3357="","",IFERROR(INDEX(Client_List!$D:$D,MATCH(VALUE(B3357),Client_List!$A:$A,0)),""))</f>
        <v/>
      </c>
      <c r="G3357" s="53">
        <f>IF(B3357="","",IFERROR(INDEX(Client_List!$K:$K,MATCH(VALUE(B3357),Client_List!$A:$A,0)),""))</f>
        <v/>
      </c>
      <c r="H3357" s="32">
        <f>IF(B3357="","",IFERROR(INDEX(Client_List!$J:$J,MATCH(VALUE(B3357),Client_List!$A:$A,0)),""))</f>
        <v/>
      </c>
      <c r="I3357" s="70">
        <f>IF(B3357="","",IFERROR(A3357-LOOKUP(2,1/($B$4:$B3356=B3357),$A$4:$A3356),""))</f>
        <v/>
      </c>
      <c r="J3357" s="32">
        <f>IF(B3357="","",IFERROR(D3357/I3357,""))</f>
        <v/>
      </c>
      <c r="K3357" s="71">
        <f>IF(B3357="","",IFERROR(AVERAGEIFS($J$4:$J3357,$B$4:$B3357,B3357,$J$4:$J3357,"&gt;"&amp;0),""))</f>
        <v/>
      </c>
      <c r="L3357" s="11" t="n"/>
    </row>
    <row r="3358" ht="14" customHeight="1" s="72">
      <c r="A3358" s="83" t="n"/>
      <c r="B3358" s="81" t="n"/>
      <c r="C3358" s="69">
        <f>IF(B3358="","",IFERROR(INDEX(Client_List!$B:$B,MATCH(B3358,Client_List!$A:$A,0)),"⚠ NOT FOUND"))</f>
        <v/>
      </c>
      <c r="D3358" s="45" t="n"/>
      <c r="E3358" s="32">
        <f>IF(B3358="","",IFERROR(INDEX(Client_List!$C:$C,MATCH(VALUE(B3358),Client_List!$A:$A,0)),""))</f>
        <v/>
      </c>
      <c r="F3358" s="53">
        <f>IF(B3358="","",IFERROR(INDEX(Client_List!$D:$D,MATCH(VALUE(B3358),Client_List!$A:$A,0)),""))</f>
        <v/>
      </c>
      <c r="G3358" s="53">
        <f>IF(B3358="","",IFERROR(INDEX(Client_List!$K:$K,MATCH(VALUE(B3358),Client_List!$A:$A,0)),""))</f>
        <v/>
      </c>
      <c r="H3358" s="32">
        <f>IF(B3358="","",IFERROR(INDEX(Client_List!$J:$J,MATCH(VALUE(B3358),Client_List!$A:$A,0)),""))</f>
        <v/>
      </c>
      <c r="I3358" s="70">
        <f>IF(B3358="","",IFERROR(A3358-LOOKUP(2,1/($B$4:$B3357=B3358),$A$4:$A3357),""))</f>
        <v/>
      </c>
      <c r="J3358" s="32">
        <f>IF(B3358="","",IFERROR(D3358/I3358,""))</f>
        <v/>
      </c>
      <c r="K3358" s="71">
        <f>IF(B3358="","",IFERROR(AVERAGEIFS($J$4:$J3358,$B$4:$B3358,B3358,$J$4:$J3358,"&gt;"&amp;0),""))</f>
        <v/>
      </c>
      <c r="L3358" s="12" t="n"/>
    </row>
    <row r="3359" ht="14" customHeight="1" s="72">
      <c r="A3359" s="82" t="n"/>
      <c r="B3359" s="79" t="n"/>
      <c r="C3359" s="69">
        <f>IF(B3359="","",IFERROR(INDEX(Client_List!$B:$B,MATCH(B3359,Client_List!$A:$A,0)),"⚠ NOT FOUND"))</f>
        <v/>
      </c>
      <c r="D3359" s="44" t="n"/>
      <c r="E3359" s="32">
        <f>IF(B3359="","",IFERROR(INDEX(Client_List!$C:$C,MATCH(VALUE(B3359),Client_List!$A:$A,0)),""))</f>
        <v/>
      </c>
      <c r="F3359" s="53">
        <f>IF(B3359="","",IFERROR(INDEX(Client_List!$D:$D,MATCH(VALUE(B3359),Client_List!$A:$A,0)),""))</f>
        <v/>
      </c>
      <c r="G3359" s="53">
        <f>IF(B3359="","",IFERROR(INDEX(Client_List!$K:$K,MATCH(VALUE(B3359),Client_List!$A:$A,0)),""))</f>
        <v/>
      </c>
      <c r="H3359" s="32">
        <f>IF(B3359="","",IFERROR(INDEX(Client_List!$J:$J,MATCH(VALUE(B3359),Client_List!$A:$A,0)),""))</f>
        <v/>
      </c>
      <c r="I3359" s="70">
        <f>IF(B3359="","",IFERROR(A3359-LOOKUP(2,1/($B$4:$B3358=B3359),$A$4:$A3358),""))</f>
        <v/>
      </c>
      <c r="J3359" s="32">
        <f>IF(B3359="","",IFERROR(D3359/I3359,""))</f>
        <v/>
      </c>
      <c r="K3359" s="71">
        <f>IF(B3359="","",IFERROR(AVERAGEIFS($J$4:$J3359,$B$4:$B3359,B3359,$J$4:$J3359,"&gt;"&amp;0),""))</f>
        <v/>
      </c>
      <c r="L3359" s="11" t="n"/>
    </row>
    <row r="3360" ht="14" customHeight="1" s="72">
      <c r="A3360" s="83" t="n"/>
      <c r="B3360" s="81" t="n"/>
      <c r="C3360" s="69">
        <f>IF(B3360="","",IFERROR(INDEX(Client_List!$B:$B,MATCH(B3360,Client_List!$A:$A,0)),"⚠ NOT FOUND"))</f>
        <v/>
      </c>
      <c r="D3360" s="45" t="n"/>
      <c r="E3360" s="32">
        <f>IF(B3360="","",IFERROR(INDEX(Client_List!$C:$C,MATCH(VALUE(B3360),Client_List!$A:$A,0)),""))</f>
        <v/>
      </c>
      <c r="F3360" s="53">
        <f>IF(B3360="","",IFERROR(INDEX(Client_List!$D:$D,MATCH(VALUE(B3360),Client_List!$A:$A,0)),""))</f>
        <v/>
      </c>
      <c r="G3360" s="53">
        <f>IF(B3360="","",IFERROR(INDEX(Client_List!$K:$K,MATCH(VALUE(B3360),Client_List!$A:$A,0)),""))</f>
        <v/>
      </c>
      <c r="H3360" s="32">
        <f>IF(B3360="","",IFERROR(INDEX(Client_List!$J:$J,MATCH(VALUE(B3360),Client_List!$A:$A,0)),""))</f>
        <v/>
      </c>
      <c r="I3360" s="70">
        <f>IF(B3360="","",IFERROR(A3360-LOOKUP(2,1/($B$4:$B3359=B3360),$A$4:$A3359),""))</f>
        <v/>
      </c>
      <c r="J3360" s="32">
        <f>IF(B3360="","",IFERROR(D3360/I3360,""))</f>
        <v/>
      </c>
      <c r="K3360" s="71">
        <f>IF(B3360="","",IFERROR(AVERAGEIFS($J$4:$J3360,$B$4:$B3360,B3360,$J$4:$J3360,"&gt;"&amp;0),""))</f>
        <v/>
      </c>
      <c r="L3360" s="12" t="n"/>
    </row>
    <row r="3361" ht="14" customHeight="1" s="72">
      <c r="A3361" s="82" t="n"/>
      <c r="B3361" s="79" t="n"/>
      <c r="C3361" s="69">
        <f>IF(B3361="","",IFERROR(INDEX(Client_List!$B:$B,MATCH(B3361,Client_List!$A:$A,0)),"⚠ NOT FOUND"))</f>
        <v/>
      </c>
      <c r="D3361" s="44" t="n"/>
      <c r="E3361" s="32">
        <f>IF(B3361="","",IFERROR(INDEX(Client_List!$C:$C,MATCH(VALUE(B3361),Client_List!$A:$A,0)),""))</f>
        <v/>
      </c>
      <c r="F3361" s="53">
        <f>IF(B3361="","",IFERROR(INDEX(Client_List!$D:$D,MATCH(VALUE(B3361),Client_List!$A:$A,0)),""))</f>
        <v/>
      </c>
      <c r="G3361" s="53">
        <f>IF(B3361="","",IFERROR(INDEX(Client_List!$K:$K,MATCH(VALUE(B3361),Client_List!$A:$A,0)),""))</f>
        <v/>
      </c>
      <c r="H3361" s="32">
        <f>IF(B3361="","",IFERROR(INDEX(Client_List!$J:$J,MATCH(VALUE(B3361),Client_List!$A:$A,0)),""))</f>
        <v/>
      </c>
      <c r="I3361" s="70">
        <f>IF(B3361="","",IFERROR(A3361-LOOKUP(2,1/($B$4:$B3360=B3361),$A$4:$A3360),""))</f>
        <v/>
      </c>
      <c r="J3361" s="32">
        <f>IF(B3361="","",IFERROR(D3361/I3361,""))</f>
        <v/>
      </c>
      <c r="K3361" s="71">
        <f>IF(B3361="","",IFERROR(AVERAGEIFS($J$4:$J3361,$B$4:$B3361,B3361,$J$4:$J3361,"&gt;"&amp;0),""))</f>
        <v/>
      </c>
      <c r="L3361" s="11" t="n"/>
    </row>
    <row r="3362" ht="14" customHeight="1" s="72">
      <c r="A3362" s="83" t="n"/>
      <c r="B3362" s="81" t="n"/>
      <c r="C3362" s="69">
        <f>IF(B3362="","",IFERROR(INDEX(Client_List!$B:$B,MATCH(B3362,Client_List!$A:$A,0)),"⚠ NOT FOUND"))</f>
        <v/>
      </c>
      <c r="D3362" s="45" t="n"/>
      <c r="E3362" s="32">
        <f>IF(B3362="","",IFERROR(INDEX(Client_List!$C:$C,MATCH(VALUE(B3362),Client_List!$A:$A,0)),""))</f>
        <v/>
      </c>
      <c r="F3362" s="53">
        <f>IF(B3362="","",IFERROR(INDEX(Client_List!$D:$D,MATCH(VALUE(B3362),Client_List!$A:$A,0)),""))</f>
        <v/>
      </c>
      <c r="G3362" s="53">
        <f>IF(B3362="","",IFERROR(INDEX(Client_List!$K:$K,MATCH(VALUE(B3362),Client_List!$A:$A,0)),""))</f>
        <v/>
      </c>
      <c r="H3362" s="32">
        <f>IF(B3362="","",IFERROR(INDEX(Client_List!$J:$J,MATCH(VALUE(B3362),Client_List!$A:$A,0)),""))</f>
        <v/>
      </c>
      <c r="I3362" s="70">
        <f>IF(B3362="","",IFERROR(A3362-LOOKUP(2,1/($B$4:$B3361=B3362),$A$4:$A3361),""))</f>
        <v/>
      </c>
      <c r="J3362" s="32">
        <f>IF(B3362="","",IFERROR(D3362/I3362,""))</f>
        <v/>
      </c>
      <c r="K3362" s="71">
        <f>IF(B3362="","",IFERROR(AVERAGEIFS($J$4:$J3362,$B$4:$B3362,B3362,$J$4:$J3362,"&gt;"&amp;0),""))</f>
        <v/>
      </c>
      <c r="L3362" s="12" t="n"/>
    </row>
    <row r="3363" ht="14" customHeight="1" s="72">
      <c r="A3363" s="82" t="n"/>
      <c r="B3363" s="79" t="n"/>
      <c r="C3363" s="69">
        <f>IF(B3363="","",IFERROR(INDEX(Client_List!$B:$B,MATCH(B3363,Client_List!$A:$A,0)),"⚠ NOT FOUND"))</f>
        <v/>
      </c>
      <c r="D3363" s="44" t="n"/>
      <c r="E3363" s="32">
        <f>IF(B3363="","",IFERROR(INDEX(Client_List!$C:$C,MATCH(VALUE(B3363),Client_List!$A:$A,0)),""))</f>
        <v/>
      </c>
      <c r="F3363" s="53">
        <f>IF(B3363="","",IFERROR(INDEX(Client_List!$D:$D,MATCH(VALUE(B3363),Client_List!$A:$A,0)),""))</f>
        <v/>
      </c>
      <c r="G3363" s="53">
        <f>IF(B3363="","",IFERROR(INDEX(Client_List!$K:$K,MATCH(VALUE(B3363),Client_List!$A:$A,0)),""))</f>
        <v/>
      </c>
      <c r="H3363" s="32">
        <f>IF(B3363="","",IFERROR(INDEX(Client_List!$J:$J,MATCH(VALUE(B3363),Client_List!$A:$A,0)),""))</f>
        <v/>
      </c>
      <c r="I3363" s="70">
        <f>IF(B3363="","",IFERROR(A3363-LOOKUP(2,1/($B$4:$B3362=B3363),$A$4:$A3362),""))</f>
        <v/>
      </c>
      <c r="J3363" s="32">
        <f>IF(B3363="","",IFERROR(D3363/I3363,""))</f>
        <v/>
      </c>
      <c r="K3363" s="71">
        <f>IF(B3363="","",IFERROR(AVERAGEIFS($J$4:$J3363,$B$4:$B3363,B3363,$J$4:$J3363,"&gt;"&amp;0),""))</f>
        <v/>
      </c>
      <c r="L3363" s="11" t="n"/>
    </row>
    <row r="3364" ht="14" customHeight="1" s="72">
      <c r="A3364" s="83" t="n"/>
      <c r="B3364" s="81" t="n"/>
      <c r="C3364" s="69">
        <f>IF(B3364="","",IFERROR(INDEX(Client_List!$B:$B,MATCH(B3364,Client_List!$A:$A,0)),"⚠ NOT FOUND"))</f>
        <v/>
      </c>
      <c r="D3364" s="45" t="n"/>
      <c r="E3364" s="32">
        <f>IF(B3364="","",IFERROR(INDEX(Client_List!$C:$C,MATCH(VALUE(B3364),Client_List!$A:$A,0)),""))</f>
        <v/>
      </c>
      <c r="F3364" s="53">
        <f>IF(B3364="","",IFERROR(INDEX(Client_List!$D:$D,MATCH(VALUE(B3364),Client_List!$A:$A,0)),""))</f>
        <v/>
      </c>
      <c r="G3364" s="53">
        <f>IF(B3364="","",IFERROR(INDEX(Client_List!$K:$K,MATCH(VALUE(B3364),Client_List!$A:$A,0)),""))</f>
        <v/>
      </c>
      <c r="H3364" s="32">
        <f>IF(B3364="","",IFERROR(INDEX(Client_List!$J:$J,MATCH(VALUE(B3364),Client_List!$A:$A,0)),""))</f>
        <v/>
      </c>
      <c r="I3364" s="70">
        <f>IF(B3364="","",IFERROR(A3364-LOOKUP(2,1/($B$4:$B3363=B3364),$A$4:$A3363),""))</f>
        <v/>
      </c>
      <c r="J3364" s="32">
        <f>IF(B3364="","",IFERROR(D3364/I3364,""))</f>
        <v/>
      </c>
      <c r="K3364" s="71">
        <f>IF(B3364="","",IFERROR(AVERAGEIFS($J$4:$J3364,$B$4:$B3364,B3364,$J$4:$J3364,"&gt;"&amp;0),""))</f>
        <v/>
      </c>
      <c r="L3364" s="12" t="n"/>
    </row>
    <row r="3365" ht="14" customHeight="1" s="72">
      <c r="A3365" s="82" t="n"/>
      <c r="B3365" s="79" t="n"/>
      <c r="C3365" s="69">
        <f>IF(B3365="","",IFERROR(INDEX(Client_List!$B:$B,MATCH(B3365,Client_List!$A:$A,0)),"⚠ NOT FOUND"))</f>
        <v/>
      </c>
      <c r="D3365" s="44" t="n"/>
      <c r="E3365" s="32">
        <f>IF(B3365="","",IFERROR(INDEX(Client_List!$C:$C,MATCH(VALUE(B3365),Client_List!$A:$A,0)),""))</f>
        <v/>
      </c>
      <c r="F3365" s="53">
        <f>IF(B3365="","",IFERROR(INDEX(Client_List!$D:$D,MATCH(VALUE(B3365),Client_List!$A:$A,0)),""))</f>
        <v/>
      </c>
      <c r="G3365" s="53">
        <f>IF(B3365="","",IFERROR(INDEX(Client_List!$K:$K,MATCH(VALUE(B3365),Client_List!$A:$A,0)),""))</f>
        <v/>
      </c>
      <c r="H3365" s="32">
        <f>IF(B3365="","",IFERROR(INDEX(Client_List!$J:$J,MATCH(VALUE(B3365),Client_List!$A:$A,0)),""))</f>
        <v/>
      </c>
      <c r="I3365" s="70">
        <f>IF(B3365="","",IFERROR(A3365-LOOKUP(2,1/($B$4:$B3364=B3365),$A$4:$A3364),""))</f>
        <v/>
      </c>
      <c r="J3365" s="32">
        <f>IF(B3365="","",IFERROR(D3365/I3365,""))</f>
        <v/>
      </c>
      <c r="K3365" s="71">
        <f>IF(B3365="","",IFERROR(AVERAGEIFS($J$4:$J3365,$B$4:$B3365,B3365,$J$4:$J3365,"&gt;"&amp;0),""))</f>
        <v/>
      </c>
      <c r="L3365" s="11" t="n"/>
    </row>
    <row r="3366" ht="14" customHeight="1" s="72">
      <c r="A3366" s="83" t="n"/>
      <c r="B3366" s="81" t="n"/>
      <c r="C3366" s="69">
        <f>IF(B3366="","",IFERROR(INDEX(Client_List!$B:$B,MATCH(B3366,Client_List!$A:$A,0)),"⚠ NOT FOUND"))</f>
        <v/>
      </c>
      <c r="D3366" s="45" t="n"/>
      <c r="E3366" s="32">
        <f>IF(B3366="","",IFERROR(INDEX(Client_List!$C:$C,MATCH(VALUE(B3366),Client_List!$A:$A,0)),""))</f>
        <v/>
      </c>
      <c r="F3366" s="53">
        <f>IF(B3366="","",IFERROR(INDEX(Client_List!$D:$D,MATCH(VALUE(B3366),Client_List!$A:$A,0)),""))</f>
        <v/>
      </c>
      <c r="G3366" s="53">
        <f>IF(B3366="","",IFERROR(INDEX(Client_List!$K:$K,MATCH(VALUE(B3366),Client_List!$A:$A,0)),""))</f>
        <v/>
      </c>
      <c r="H3366" s="32">
        <f>IF(B3366="","",IFERROR(INDEX(Client_List!$J:$J,MATCH(VALUE(B3366),Client_List!$A:$A,0)),""))</f>
        <v/>
      </c>
      <c r="I3366" s="70">
        <f>IF(B3366="","",IFERROR(A3366-LOOKUP(2,1/($B$4:$B3365=B3366),$A$4:$A3365),""))</f>
        <v/>
      </c>
      <c r="J3366" s="32">
        <f>IF(B3366="","",IFERROR(D3366/I3366,""))</f>
        <v/>
      </c>
      <c r="K3366" s="71">
        <f>IF(B3366="","",IFERROR(AVERAGEIFS($J$4:$J3366,$B$4:$B3366,B3366,$J$4:$J3366,"&gt;"&amp;0),""))</f>
        <v/>
      </c>
      <c r="L3366" s="12" t="n"/>
    </row>
    <row r="3367" ht="14" customHeight="1" s="72">
      <c r="A3367" s="82" t="n"/>
      <c r="B3367" s="79" t="n"/>
      <c r="C3367" s="69">
        <f>IF(B3367="","",IFERROR(INDEX(Client_List!$B:$B,MATCH(B3367,Client_List!$A:$A,0)),"⚠ NOT FOUND"))</f>
        <v/>
      </c>
      <c r="D3367" s="44" t="n"/>
      <c r="E3367" s="32">
        <f>IF(B3367="","",IFERROR(INDEX(Client_List!$C:$C,MATCH(VALUE(B3367),Client_List!$A:$A,0)),""))</f>
        <v/>
      </c>
      <c r="F3367" s="53">
        <f>IF(B3367="","",IFERROR(INDEX(Client_List!$D:$D,MATCH(VALUE(B3367),Client_List!$A:$A,0)),""))</f>
        <v/>
      </c>
      <c r="G3367" s="53">
        <f>IF(B3367="","",IFERROR(INDEX(Client_List!$K:$K,MATCH(VALUE(B3367),Client_List!$A:$A,0)),""))</f>
        <v/>
      </c>
      <c r="H3367" s="32">
        <f>IF(B3367="","",IFERROR(INDEX(Client_List!$J:$J,MATCH(VALUE(B3367),Client_List!$A:$A,0)),""))</f>
        <v/>
      </c>
      <c r="I3367" s="70">
        <f>IF(B3367="","",IFERROR(A3367-LOOKUP(2,1/($B$4:$B3366=B3367),$A$4:$A3366),""))</f>
        <v/>
      </c>
      <c r="J3367" s="32">
        <f>IF(B3367="","",IFERROR(D3367/I3367,""))</f>
        <v/>
      </c>
      <c r="K3367" s="71">
        <f>IF(B3367="","",IFERROR(AVERAGEIFS($J$4:$J3367,$B$4:$B3367,B3367,$J$4:$J3367,"&gt;"&amp;0),""))</f>
        <v/>
      </c>
      <c r="L3367" s="11" t="n"/>
    </row>
    <row r="3368" ht="14" customHeight="1" s="72">
      <c r="A3368" s="83" t="n"/>
      <c r="B3368" s="81" t="n"/>
      <c r="C3368" s="69">
        <f>IF(B3368="","",IFERROR(INDEX(Client_List!$B:$B,MATCH(B3368,Client_List!$A:$A,0)),"⚠ NOT FOUND"))</f>
        <v/>
      </c>
      <c r="D3368" s="45" t="n"/>
      <c r="E3368" s="32">
        <f>IF(B3368="","",IFERROR(INDEX(Client_List!$C:$C,MATCH(VALUE(B3368),Client_List!$A:$A,0)),""))</f>
        <v/>
      </c>
      <c r="F3368" s="53">
        <f>IF(B3368="","",IFERROR(INDEX(Client_List!$D:$D,MATCH(VALUE(B3368),Client_List!$A:$A,0)),""))</f>
        <v/>
      </c>
      <c r="G3368" s="53">
        <f>IF(B3368="","",IFERROR(INDEX(Client_List!$K:$K,MATCH(VALUE(B3368),Client_List!$A:$A,0)),""))</f>
        <v/>
      </c>
      <c r="H3368" s="32">
        <f>IF(B3368="","",IFERROR(INDEX(Client_List!$J:$J,MATCH(VALUE(B3368),Client_List!$A:$A,0)),""))</f>
        <v/>
      </c>
      <c r="I3368" s="70">
        <f>IF(B3368="","",IFERROR(A3368-LOOKUP(2,1/($B$4:$B3367=B3368),$A$4:$A3367),""))</f>
        <v/>
      </c>
      <c r="J3368" s="32">
        <f>IF(B3368="","",IFERROR(D3368/I3368,""))</f>
        <v/>
      </c>
      <c r="K3368" s="71">
        <f>IF(B3368="","",IFERROR(AVERAGEIFS($J$4:$J3368,$B$4:$B3368,B3368,$J$4:$J3368,"&gt;"&amp;0),""))</f>
        <v/>
      </c>
      <c r="L3368" s="12" t="n"/>
    </row>
    <row r="3369" ht="14" customHeight="1" s="72">
      <c r="A3369" s="82" t="n"/>
      <c r="B3369" s="79" t="n"/>
      <c r="C3369" s="69">
        <f>IF(B3369="","",IFERROR(INDEX(Client_List!$B:$B,MATCH(B3369,Client_List!$A:$A,0)),"⚠ NOT FOUND"))</f>
        <v/>
      </c>
      <c r="D3369" s="44" t="n"/>
      <c r="E3369" s="32">
        <f>IF(B3369="","",IFERROR(INDEX(Client_List!$C:$C,MATCH(VALUE(B3369),Client_List!$A:$A,0)),""))</f>
        <v/>
      </c>
      <c r="F3369" s="53">
        <f>IF(B3369="","",IFERROR(INDEX(Client_List!$D:$D,MATCH(VALUE(B3369),Client_List!$A:$A,0)),""))</f>
        <v/>
      </c>
      <c r="G3369" s="53">
        <f>IF(B3369="","",IFERROR(INDEX(Client_List!$K:$K,MATCH(VALUE(B3369),Client_List!$A:$A,0)),""))</f>
        <v/>
      </c>
      <c r="H3369" s="32">
        <f>IF(B3369="","",IFERROR(INDEX(Client_List!$J:$J,MATCH(VALUE(B3369),Client_List!$A:$A,0)),""))</f>
        <v/>
      </c>
      <c r="I3369" s="70">
        <f>IF(B3369="","",IFERROR(A3369-LOOKUP(2,1/($B$4:$B3368=B3369),$A$4:$A3368),""))</f>
        <v/>
      </c>
      <c r="J3369" s="32">
        <f>IF(B3369="","",IFERROR(D3369/I3369,""))</f>
        <v/>
      </c>
      <c r="K3369" s="71">
        <f>IF(B3369="","",IFERROR(AVERAGEIFS($J$4:$J3369,$B$4:$B3369,B3369,$J$4:$J3369,"&gt;"&amp;0),""))</f>
        <v/>
      </c>
      <c r="L3369" s="11" t="n"/>
    </row>
    <row r="3370" ht="14" customHeight="1" s="72">
      <c r="A3370" s="83" t="n"/>
      <c r="B3370" s="81" t="n"/>
      <c r="C3370" s="69">
        <f>IF(B3370="","",IFERROR(INDEX(Client_List!$B:$B,MATCH(B3370,Client_List!$A:$A,0)),"⚠ NOT FOUND"))</f>
        <v/>
      </c>
      <c r="D3370" s="45" t="n"/>
      <c r="E3370" s="32">
        <f>IF(B3370="","",IFERROR(INDEX(Client_List!$C:$C,MATCH(VALUE(B3370),Client_List!$A:$A,0)),""))</f>
        <v/>
      </c>
      <c r="F3370" s="53">
        <f>IF(B3370="","",IFERROR(INDEX(Client_List!$D:$D,MATCH(VALUE(B3370),Client_List!$A:$A,0)),""))</f>
        <v/>
      </c>
      <c r="G3370" s="53">
        <f>IF(B3370="","",IFERROR(INDEX(Client_List!$K:$K,MATCH(VALUE(B3370),Client_List!$A:$A,0)),""))</f>
        <v/>
      </c>
      <c r="H3370" s="32">
        <f>IF(B3370="","",IFERROR(INDEX(Client_List!$J:$J,MATCH(VALUE(B3370),Client_List!$A:$A,0)),""))</f>
        <v/>
      </c>
      <c r="I3370" s="70">
        <f>IF(B3370="","",IFERROR(A3370-LOOKUP(2,1/($B$4:$B3369=B3370),$A$4:$A3369),""))</f>
        <v/>
      </c>
      <c r="J3370" s="32">
        <f>IF(B3370="","",IFERROR(D3370/I3370,""))</f>
        <v/>
      </c>
      <c r="K3370" s="71">
        <f>IF(B3370="","",IFERROR(AVERAGEIFS($J$4:$J3370,$B$4:$B3370,B3370,$J$4:$J3370,"&gt;"&amp;0),""))</f>
        <v/>
      </c>
      <c r="L3370" s="12" t="n"/>
    </row>
    <row r="3371" ht="14" customHeight="1" s="72">
      <c r="A3371" s="82" t="n"/>
      <c r="B3371" s="79" t="n"/>
      <c r="C3371" s="69">
        <f>IF(B3371="","",IFERROR(INDEX(Client_List!$B:$B,MATCH(B3371,Client_List!$A:$A,0)),"⚠ NOT FOUND"))</f>
        <v/>
      </c>
      <c r="D3371" s="44" t="n"/>
      <c r="E3371" s="32">
        <f>IF(B3371="","",IFERROR(INDEX(Client_List!$C:$C,MATCH(VALUE(B3371),Client_List!$A:$A,0)),""))</f>
        <v/>
      </c>
      <c r="F3371" s="53">
        <f>IF(B3371="","",IFERROR(INDEX(Client_List!$D:$D,MATCH(VALUE(B3371),Client_List!$A:$A,0)),""))</f>
        <v/>
      </c>
      <c r="G3371" s="53">
        <f>IF(B3371="","",IFERROR(INDEX(Client_List!$K:$K,MATCH(VALUE(B3371),Client_List!$A:$A,0)),""))</f>
        <v/>
      </c>
      <c r="H3371" s="32">
        <f>IF(B3371="","",IFERROR(INDEX(Client_List!$J:$J,MATCH(VALUE(B3371),Client_List!$A:$A,0)),""))</f>
        <v/>
      </c>
      <c r="I3371" s="70">
        <f>IF(B3371="","",IFERROR(A3371-LOOKUP(2,1/($B$4:$B3370=B3371),$A$4:$A3370),""))</f>
        <v/>
      </c>
      <c r="J3371" s="32">
        <f>IF(B3371="","",IFERROR(D3371/I3371,""))</f>
        <v/>
      </c>
      <c r="K3371" s="71">
        <f>IF(B3371="","",IFERROR(AVERAGEIFS($J$4:$J3371,$B$4:$B3371,B3371,$J$4:$J3371,"&gt;"&amp;0),""))</f>
        <v/>
      </c>
      <c r="L3371" s="11" t="n"/>
    </row>
    <row r="3372" ht="14" customHeight="1" s="72">
      <c r="A3372" s="83" t="n"/>
      <c r="B3372" s="81" t="n"/>
      <c r="C3372" s="69">
        <f>IF(B3372="","",IFERROR(INDEX(Client_List!$B:$B,MATCH(B3372,Client_List!$A:$A,0)),"⚠ NOT FOUND"))</f>
        <v/>
      </c>
      <c r="D3372" s="45" t="n"/>
      <c r="E3372" s="32">
        <f>IF(B3372="","",IFERROR(INDEX(Client_List!$C:$C,MATCH(VALUE(B3372),Client_List!$A:$A,0)),""))</f>
        <v/>
      </c>
      <c r="F3372" s="53">
        <f>IF(B3372="","",IFERROR(INDEX(Client_List!$D:$D,MATCH(VALUE(B3372),Client_List!$A:$A,0)),""))</f>
        <v/>
      </c>
      <c r="G3372" s="53">
        <f>IF(B3372="","",IFERROR(INDEX(Client_List!$K:$K,MATCH(VALUE(B3372),Client_List!$A:$A,0)),""))</f>
        <v/>
      </c>
      <c r="H3372" s="32">
        <f>IF(B3372="","",IFERROR(INDEX(Client_List!$J:$J,MATCH(VALUE(B3372),Client_List!$A:$A,0)),""))</f>
        <v/>
      </c>
      <c r="I3372" s="70">
        <f>IF(B3372="","",IFERROR(A3372-LOOKUP(2,1/($B$4:$B3371=B3372),$A$4:$A3371),""))</f>
        <v/>
      </c>
      <c r="J3372" s="32">
        <f>IF(B3372="","",IFERROR(D3372/I3372,""))</f>
        <v/>
      </c>
      <c r="K3372" s="71">
        <f>IF(B3372="","",IFERROR(AVERAGEIFS($J$4:$J3372,$B$4:$B3372,B3372,$J$4:$J3372,"&gt;"&amp;0),""))</f>
        <v/>
      </c>
      <c r="L3372" s="12" t="n"/>
    </row>
    <row r="3373" ht="14" customHeight="1" s="72">
      <c r="A3373" s="82" t="n"/>
      <c r="B3373" s="79" t="n"/>
      <c r="C3373" s="69">
        <f>IF(B3373="","",IFERROR(INDEX(Client_List!$B:$B,MATCH(B3373,Client_List!$A:$A,0)),"⚠ NOT FOUND"))</f>
        <v/>
      </c>
      <c r="D3373" s="44" t="n"/>
      <c r="E3373" s="32">
        <f>IF(B3373="","",IFERROR(INDEX(Client_List!$C:$C,MATCH(VALUE(B3373),Client_List!$A:$A,0)),""))</f>
        <v/>
      </c>
      <c r="F3373" s="53">
        <f>IF(B3373="","",IFERROR(INDEX(Client_List!$D:$D,MATCH(VALUE(B3373),Client_List!$A:$A,0)),""))</f>
        <v/>
      </c>
      <c r="G3373" s="53">
        <f>IF(B3373="","",IFERROR(INDEX(Client_List!$K:$K,MATCH(VALUE(B3373),Client_List!$A:$A,0)),""))</f>
        <v/>
      </c>
      <c r="H3373" s="32">
        <f>IF(B3373="","",IFERROR(INDEX(Client_List!$J:$J,MATCH(VALUE(B3373),Client_List!$A:$A,0)),""))</f>
        <v/>
      </c>
      <c r="I3373" s="70">
        <f>IF(B3373="","",IFERROR(A3373-LOOKUP(2,1/($B$4:$B3372=B3373),$A$4:$A3372),""))</f>
        <v/>
      </c>
      <c r="J3373" s="32">
        <f>IF(B3373="","",IFERROR(D3373/I3373,""))</f>
        <v/>
      </c>
      <c r="K3373" s="71">
        <f>IF(B3373="","",IFERROR(AVERAGEIFS($J$4:$J3373,$B$4:$B3373,B3373,$J$4:$J3373,"&gt;"&amp;0),""))</f>
        <v/>
      </c>
      <c r="L3373" s="11" t="n"/>
    </row>
    <row r="3374" ht="14" customHeight="1" s="72">
      <c r="A3374" s="83" t="n"/>
      <c r="B3374" s="81" t="n"/>
      <c r="C3374" s="69">
        <f>IF(B3374="","",IFERROR(INDEX(Client_List!$B:$B,MATCH(B3374,Client_List!$A:$A,0)),"⚠ NOT FOUND"))</f>
        <v/>
      </c>
      <c r="D3374" s="45" t="n"/>
      <c r="E3374" s="32">
        <f>IF(B3374="","",IFERROR(INDEX(Client_List!$C:$C,MATCH(VALUE(B3374),Client_List!$A:$A,0)),""))</f>
        <v/>
      </c>
      <c r="F3374" s="53">
        <f>IF(B3374="","",IFERROR(INDEX(Client_List!$D:$D,MATCH(VALUE(B3374),Client_List!$A:$A,0)),""))</f>
        <v/>
      </c>
      <c r="G3374" s="53">
        <f>IF(B3374="","",IFERROR(INDEX(Client_List!$K:$K,MATCH(VALUE(B3374),Client_List!$A:$A,0)),""))</f>
        <v/>
      </c>
      <c r="H3374" s="32">
        <f>IF(B3374="","",IFERROR(INDEX(Client_List!$J:$J,MATCH(VALUE(B3374),Client_List!$A:$A,0)),""))</f>
        <v/>
      </c>
      <c r="I3374" s="70">
        <f>IF(B3374="","",IFERROR(A3374-LOOKUP(2,1/($B$4:$B3373=B3374),$A$4:$A3373),""))</f>
        <v/>
      </c>
      <c r="J3374" s="32">
        <f>IF(B3374="","",IFERROR(D3374/I3374,""))</f>
        <v/>
      </c>
      <c r="K3374" s="71">
        <f>IF(B3374="","",IFERROR(AVERAGEIFS($J$4:$J3374,$B$4:$B3374,B3374,$J$4:$J3374,"&gt;"&amp;0),""))</f>
        <v/>
      </c>
      <c r="L3374" s="12" t="n"/>
    </row>
    <row r="3375" ht="14" customHeight="1" s="72">
      <c r="A3375" s="82" t="n"/>
      <c r="B3375" s="79" t="n"/>
      <c r="C3375" s="69">
        <f>IF(B3375="","",IFERROR(INDEX(Client_List!$B:$B,MATCH(B3375,Client_List!$A:$A,0)),"⚠ NOT FOUND"))</f>
        <v/>
      </c>
      <c r="D3375" s="44" t="n"/>
      <c r="E3375" s="32">
        <f>IF(B3375="","",IFERROR(INDEX(Client_List!$C:$C,MATCH(VALUE(B3375),Client_List!$A:$A,0)),""))</f>
        <v/>
      </c>
      <c r="F3375" s="53">
        <f>IF(B3375="","",IFERROR(INDEX(Client_List!$D:$D,MATCH(VALUE(B3375),Client_List!$A:$A,0)),""))</f>
        <v/>
      </c>
      <c r="G3375" s="53">
        <f>IF(B3375="","",IFERROR(INDEX(Client_List!$K:$K,MATCH(VALUE(B3375),Client_List!$A:$A,0)),""))</f>
        <v/>
      </c>
      <c r="H3375" s="32">
        <f>IF(B3375="","",IFERROR(INDEX(Client_List!$J:$J,MATCH(VALUE(B3375),Client_List!$A:$A,0)),""))</f>
        <v/>
      </c>
      <c r="I3375" s="70">
        <f>IF(B3375="","",IFERROR(A3375-LOOKUP(2,1/($B$4:$B3374=B3375),$A$4:$A3374),""))</f>
        <v/>
      </c>
      <c r="J3375" s="32">
        <f>IF(B3375="","",IFERROR(D3375/I3375,""))</f>
        <v/>
      </c>
      <c r="K3375" s="71">
        <f>IF(B3375="","",IFERROR(AVERAGEIFS($J$4:$J3375,$B$4:$B3375,B3375,$J$4:$J3375,"&gt;"&amp;0),""))</f>
        <v/>
      </c>
      <c r="L3375" s="11" t="n"/>
    </row>
    <row r="3376" ht="14" customHeight="1" s="72">
      <c r="A3376" s="83" t="n"/>
      <c r="B3376" s="81" t="n"/>
      <c r="C3376" s="69">
        <f>IF(B3376="","",IFERROR(INDEX(Client_List!$B:$B,MATCH(B3376,Client_List!$A:$A,0)),"⚠ NOT FOUND"))</f>
        <v/>
      </c>
      <c r="D3376" s="45" t="n"/>
      <c r="E3376" s="32">
        <f>IF(B3376="","",IFERROR(INDEX(Client_List!$C:$C,MATCH(VALUE(B3376),Client_List!$A:$A,0)),""))</f>
        <v/>
      </c>
      <c r="F3376" s="53">
        <f>IF(B3376="","",IFERROR(INDEX(Client_List!$D:$D,MATCH(VALUE(B3376),Client_List!$A:$A,0)),""))</f>
        <v/>
      </c>
      <c r="G3376" s="53">
        <f>IF(B3376="","",IFERROR(INDEX(Client_List!$K:$K,MATCH(VALUE(B3376),Client_List!$A:$A,0)),""))</f>
        <v/>
      </c>
      <c r="H3376" s="32">
        <f>IF(B3376="","",IFERROR(INDEX(Client_List!$J:$J,MATCH(VALUE(B3376),Client_List!$A:$A,0)),""))</f>
        <v/>
      </c>
      <c r="I3376" s="70">
        <f>IF(B3376="","",IFERROR(A3376-LOOKUP(2,1/($B$4:$B3375=B3376),$A$4:$A3375),""))</f>
        <v/>
      </c>
      <c r="J3376" s="32">
        <f>IF(B3376="","",IFERROR(D3376/I3376,""))</f>
        <v/>
      </c>
      <c r="K3376" s="71">
        <f>IF(B3376="","",IFERROR(AVERAGEIFS($J$4:$J3376,$B$4:$B3376,B3376,$J$4:$J3376,"&gt;"&amp;0),""))</f>
        <v/>
      </c>
      <c r="L3376" s="12" t="n"/>
    </row>
    <row r="3377" ht="14" customHeight="1" s="72">
      <c r="A3377" s="82" t="n"/>
      <c r="B3377" s="79" t="n"/>
      <c r="C3377" s="69">
        <f>IF(B3377="","",IFERROR(INDEX(Client_List!$B:$B,MATCH(B3377,Client_List!$A:$A,0)),"⚠ NOT FOUND"))</f>
        <v/>
      </c>
      <c r="D3377" s="44" t="n"/>
      <c r="E3377" s="32">
        <f>IF(B3377="","",IFERROR(INDEX(Client_List!$C:$C,MATCH(VALUE(B3377),Client_List!$A:$A,0)),""))</f>
        <v/>
      </c>
      <c r="F3377" s="53">
        <f>IF(B3377="","",IFERROR(INDEX(Client_List!$D:$D,MATCH(VALUE(B3377),Client_List!$A:$A,0)),""))</f>
        <v/>
      </c>
      <c r="G3377" s="53">
        <f>IF(B3377="","",IFERROR(INDEX(Client_List!$K:$K,MATCH(VALUE(B3377),Client_List!$A:$A,0)),""))</f>
        <v/>
      </c>
      <c r="H3377" s="32">
        <f>IF(B3377="","",IFERROR(INDEX(Client_List!$J:$J,MATCH(VALUE(B3377),Client_List!$A:$A,0)),""))</f>
        <v/>
      </c>
      <c r="I3377" s="70">
        <f>IF(B3377="","",IFERROR(A3377-LOOKUP(2,1/($B$4:$B3376=B3377),$A$4:$A3376),""))</f>
        <v/>
      </c>
      <c r="J3377" s="32">
        <f>IF(B3377="","",IFERROR(D3377/I3377,""))</f>
        <v/>
      </c>
      <c r="K3377" s="71">
        <f>IF(B3377="","",IFERROR(AVERAGEIFS($J$4:$J3377,$B$4:$B3377,B3377,$J$4:$J3377,"&gt;"&amp;0),""))</f>
        <v/>
      </c>
      <c r="L3377" s="11" t="n"/>
    </row>
    <row r="3378" ht="14" customHeight="1" s="72">
      <c r="A3378" s="83" t="n"/>
      <c r="B3378" s="81" t="n"/>
      <c r="C3378" s="69">
        <f>IF(B3378="","",IFERROR(INDEX(Client_List!$B:$B,MATCH(B3378,Client_List!$A:$A,0)),"⚠ NOT FOUND"))</f>
        <v/>
      </c>
      <c r="D3378" s="45" t="n"/>
      <c r="E3378" s="32">
        <f>IF(B3378="","",IFERROR(INDEX(Client_List!$C:$C,MATCH(VALUE(B3378),Client_List!$A:$A,0)),""))</f>
        <v/>
      </c>
      <c r="F3378" s="53">
        <f>IF(B3378="","",IFERROR(INDEX(Client_List!$D:$D,MATCH(VALUE(B3378),Client_List!$A:$A,0)),""))</f>
        <v/>
      </c>
      <c r="G3378" s="53">
        <f>IF(B3378="","",IFERROR(INDEX(Client_List!$K:$K,MATCH(VALUE(B3378),Client_List!$A:$A,0)),""))</f>
        <v/>
      </c>
      <c r="H3378" s="32">
        <f>IF(B3378="","",IFERROR(INDEX(Client_List!$J:$J,MATCH(VALUE(B3378),Client_List!$A:$A,0)),""))</f>
        <v/>
      </c>
      <c r="I3378" s="70">
        <f>IF(B3378="","",IFERROR(A3378-LOOKUP(2,1/($B$4:$B3377=B3378),$A$4:$A3377),""))</f>
        <v/>
      </c>
      <c r="J3378" s="32">
        <f>IF(B3378="","",IFERROR(D3378/I3378,""))</f>
        <v/>
      </c>
      <c r="K3378" s="71">
        <f>IF(B3378="","",IFERROR(AVERAGEIFS($J$4:$J3378,$B$4:$B3378,B3378,$J$4:$J3378,"&gt;"&amp;0),""))</f>
        <v/>
      </c>
      <c r="L3378" s="12" t="n"/>
    </row>
    <row r="3379" ht="14" customHeight="1" s="72">
      <c r="A3379" s="82" t="n"/>
      <c r="B3379" s="79" t="n"/>
      <c r="C3379" s="69">
        <f>IF(B3379="","",IFERROR(INDEX(Client_List!$B:$B,MATCH(B3379,Client_List!$A:$A,0)),"⚠ NOT FOUND"))</f>
        <v/>
      </c>
      <c r="D3379" s="44" t="n"/>
      <c r="E3379" s="32">
        <f>IF(B3379="","",IFERROR(INDEX(Client_List!$C:$C,MATCH(VALUE(B3379),Client_List!$A:$A,0)),""))</f>
        <v/>
      </c>
      <c r="F3379" s="53">
        <f>IF(B3379="","",IFERROR(INDEX(Client_List!$D:$D,MATCH(VALUE(B3379),Client_List!$A:$A,0)),""))</f>
        <v/>
      </c>
      <c r="G3379" s="53">
        <f>IF(B3379="","",IFERROR(INDEX(Client_List!$K:$K,MATCH(VALUE(B3379),Client_List!$A:$A,0)),""))</f>
        <v/>
      </c>
      <c r="H3379" s="32">
        <f>IF(B3379="","",IFERROR(INDEX(Client_List!$J:$J,MATCH(VALUE(B3379),Client_List!$A:$A,0)),""))</f>
        <v/>
      </c>
      <c r="I3379" s="70">
        <f>IF(B3379="","",IFERROR(A3379-LOOKUP(2,1/($B$4:$B3378=B3379),$A$4:$A3378),""))</f>
        <v/>
      </c>
      <c r="J3379" s="32">
        <f>IF(B3379="","",IFERROR(D3379/I3379,""))</f>
        <v/>
      </c>
      <c r="K3379" s="71">
        <f>IF(B3379="","",IFERROR(AVERAGEIFS($J$4:$J3379,$B$4:$B3379,B3379,$J$4:$J3379,"&gt;"&amp;0),""))</f>
        <v/>
      </c>
      <c r="L3379" s="11" t="n"/>
    </row>
    <row r="3380" ht="14" customHeight="1" s="72">
      <c r="A3380" s="83" t="n"/>
      <c r="B3380" s="81" t="n"/>
      <c r="C3380" s="69">
        <f>IF(B3380="","",IFERROR(INDEX(Client_List!$B:$B,MATCH(B3380,Client_List!$A:$A,0)),"⚠ NOT FOUND"))</f>
        <v/>
      </c>
      <c r="D3380" s="45" t="n"/>
      <c r="E3380" s="32">
        <f>IF(B3380="","",IFERROR(INDEX(Client_List!$C:$C,MATCH(VALUE(B3380),Client_List!$A:$A,0)),""))</f>
        <v/>
      </c>
      <c r="F3380" s="53">
        <f>IF(B3380="","",IFERROR(INDEX(Client_List!$D:$D,MATCH(VALUE(B3380),Client_List!$A:$A,0)),""))</f>
        <v/>
      </c>
      <c r="G3380" s="53">
        <f>IF(B3380="","",IFERROR(INDEX(Client_List!$K:$K,MATCH(VALUE(B3380),Client_List!$A:$A,0)),""))</f>
        <v/>
      </c>
      <c r="H3380" s="32">
        <f>IF(B3380="","",IFERROR(INDEX(Client_List!$J:$J,MATCH(VALUE(B3380),Client_List!$A:$A,0)),""))</f>
        <v/>
      </c>
      <c r="I3380" s="70">
        <f>IF(B3380="","",IFERROR(A3380-LOOKUP(2,1/($B$4:$B3379=B3380),$A$4:$A3379),""))</f>
        <v/>
      </c>
      <c r="J3380" s="32">
        <f>IF(B3380="","",IFERROR(D3380/I3380,""))</f>
        <v/>
      </c>
      <c r="K3380" s="71">
        <f>IF(B3380="","",IFERROR(AVERAGEIFS($J$4:$J3380,$B$4:$B3380,B3380,$J$4:$J3380,"&gt;"&amp;0),""))</f>
        <v/>
      </c>
      <c r="L3380" s="12" t="n"/>
    </row>
    <row r="3381" ht="14" customHeight="1" s="72">
      <c r="A3381" s="82" t="n"/>
      <c r="B3381" s="79" t="n"/>
      <c r="C3381" s="69">
        <f>IF(B3381="","",IFERROR(INDEX(Client_List!$B:$B,MATCH(B3381,Client_List!$A:$A,0)),"⚠ NOT FOUND"))</f>
        <v/>
      </c>
      <c r="D3381" s="44" t="n"/>
      <c r="E3381" s="32">
        <f>IF(B3381="","",IFERROR(INDEX(Client_List!$C:$C,MATCH(VALUE(B3381),Client_List!$A:$A,0)),""))</f>
        <v/>
      </c>
      <c r="F3381" s="53">
        <f>IF(B3381="","",IFERROR(INDEX(Client_List!$D:$D,MATCH(VALUE(B3381),Client_List!$A:$A,0)),""))</f>
        <v/>
      </c>
      <c r="G3381" s="53">
        <f>IF(B3381="","",IFERROR(INDEX(Client_List!$K:$K,MATCH(VALUE(B3381),Client_List!$A:$A,0)),""))</f>
        <v/>
      </c>
      <c r="H3381" s="32">
        <f>IF(B3381="","",IFERROR(INDEX(Client_List!$J:$J,MATCH(VALUE(B3381),Client_List!$A:$A,0)),""))</f>
        <v/>
      </c>
      <c r="I3381" s="70">
        <f>IF(B3381="","",IFERROR(A3381-LOOKUP(2,1/($B$4:$B3380=B3381),$A$4:$A3380),""))</f>
        <v/>
      </c>
      <c r="J3381" s="32">
        <f>IF(B3381="","",IFERROR(D3381/I3381,""))</f>
        <v/>
      </c>
      <c r="K3381" s="71">
        <f>IF(B3381="","",IFERROR(AVERAGEIFS($J$4:$J3381,$B$4:$B3381,B3381,$J$4:$J3381,"&gt;"&amp;0),""))</f>
        <v/>
      </c>
      <c r="L3381" s="11" t="n"/>
    </row>
    <row r="3382" ht="14" customHeight="1" s="72">
      <c r="A3382" s="83" t="n"/>
      <c r="B3382" s="81" t="n"/>
      <c r="C3382" s="69">
        <f>IF(B3382="","",IFERROR(INDEX(Client_List!$B:$B,MATCH(B3382,Client_List!$A:$A,0)),"⚠ NOT FOUND"))</f>
        <v/>
      </c>
      <c r="D3382" s="45" t="n"/>
      <c r="E3382" s="32">
        <f>IF(B3382="","",IFERROR(INDEX(Client_List!$C:$C,MATCH(VALUE(B3382),Client_List!$A:$A,0)),""))</f>
        <v/>
      </c>
      <c r="F3382" s="53">
        <f>IF(B3382="","",IFERROR(INDEX(Client_List!$D:$D,MATCH(VALUE(B3382),Client_List!$A:$A,0)),""))</f>
        <v/>
      </c>
      <c r="G3382" s="53">
        <f>IF(B3382="","",IFERROR(INDEX(Client_List!$K:$K,MATCH(VALUE(B3382),Client_List!$A:$A,0)),""))</f>
        <v/>
      </c>
      <c r="H3382" s="32">
        <f>IF(B3382="","",IFERROR(INDEX(Client_List!$J:$J,MATCH(VALUE(B3382),Client_List!$A:$A,0)),""))</f>
        <v/>
      </c>
      <c r="I3382" s="70">
        <f>IF(B3382="","",IFERROR(A3382-LOOKUP(2,1/($B$4:$B3381=B3382),$A$4:$A3381),""))</f>
        <v/>
      </c>
      <c r="J3382" s="32">
        <f>IF(B3382="","",IFERROR(D3382/I3382,""))</f>
        <v/>
      </c>
      <c r="K3382" s="71">
        <f>IF(B3382="","",IFERROR(AVERAGEIFS($J$4:$J3382,$B$4:$B3382,B3382,$J$4:$J3382,"&gt;"&amp;0),""))</f>
        <v/>
      </c>
      <c r="L3382" s="12" t="n"/>
    </row>
    <row r="3383" ht="14" customHeight="1" s="72">
      <c r="A3383" s="82" t="n"/>
      <c r="B3383" s="79" t="n"/>
      <c r="C3383" s="69">
        <f>IF(B3383="","",IFERROR(INDEX(Client_List!$B:$B,MATCH(B3383,Client_List!$A:$A,0)),"⚠ NOT FOUND"))</f>
        <v/>
      </c>
      <c r="D3383" s="44" t="n"/>
      <c r="E3383" s="32">
        <f>IF(B3383="","",IFERROR(INDEX(Client_List!$C:$C,MATCH(VALUE(B3383),Client_List!$A:$A,0)),""))</f>
        <v/>
      </c>
      <c r="F3383" s="53">
        <f>IF(B3383="","",IFERROR(INDEX(Client_List!$D:$D,MATCH(VALUE(B3383),Client_List!$A:$A,0)),""))</f>
        <v/>
      </c>
      <c r="G3383" s="53">
        <f>IF(B3383="","",IFERROR(INDEX(Client_List!$K:$K,MATCH(VALUE(B3383),Client_List!$A:$A,0)),""))</f>
        <v/>
      </c>
      <c r="H3383" s="32">
        <f>IF(B3383="","",IFERROR(INDEX(Client_List!$J:$J,MATCH(VALUE(B3383),Client_List!$A:$A,0)),""))</f>
        <v/>
      </c>
      <c r="I3383" s="70">
        <f>IF(B3383="","",IFERROR(A3383-LOOKUP(2,1/($B$4:$B3382=B3383),$A$4:$A3382),""))</f>
        <v/>
      </c>
      <c r="J3383" s="32">
        <f>IF(B3383="","",IFERROR(D3383/I3383,""))</f>
        <v/>
      </c>
      <c r="K3383" s="71">
        <f>IF(B3383="","",IFERROR(AVERAGEIFS($J$4:$J3383,$B$4:$B3383,B3383,$J$4:$J3383,"&gt;"&amp;0),""))</f>
        <v/>
      </c>
      <c r="L3383" s="11" t="n"/>
    </row>
    <row r="3384" ht="14" customHeight="1" s="72">
      <c r="A3384" s="83" t="n"/>
      <c r="B3384" s="81" t="n"/>
      <c r="C3384" s="69">
        <f>IF(B3384="","",IFERROR(INDEX(Client_List!$B:$B,MATCH(B3384,Client_List!$A:$A,0)),"⚠ NOT FOUND"))</f>
        <v/>
      </c>
      <c r="D3384" s="45" t="n"/>
      <c r="E3384" s="32">
        <f>IF(B3384="","",IFERROR(INDEX(Client_List!$C:$C,MATCH(VALUE(B3384),Client_List!$A:$A,0)),""))</f>
        <v/>
      </c>
      <c r="F3384" s="53">
        <f>IF(B3384="","",IFERROR(INDEX(Client_List!$D:$D,MATCH(VALUE(B3384),Client_List!$A:$A,0)),""))</f>
        <v/>
      </c>
      <c r="G3384" s="53">
        <f>IF(B3384="","",IFERROR(INDEX(Client_List!$K:$K,MATCH(VALUE(B3384),Client_List!$A:$A,0)),""))</f>
        <v/>
      </c>
      <c r="H3384" s="32">
        <f>IF(B3384="","",IFERROR(INDEX(Client_List!$J:$J,MATCH(VALUE(B3384),Client_List!$A:$A,0)),""))</f>
        <v/>
      </c>
      <c r="I3384" s="70">
        <f>IF(B3384="","",IFERROR(A3384-LOOKUP(2,1/($B$4:$B3383=B3384),$A$4:$A3383),""))</f>
        <v/>
      </c>
      <c r="J3384" s="32">
        <f>IF(B3384="","",IFERROR(D3384/I3384,""))</f>
        <v/>
      </c>
      <c r="K3384" s="71">
        <f>IF(B3384="","",IFERROR(AVERAGEIFS($J$4:$J3384,$B$4:$B3384,B3384,$J$4:$J3384,"&gt;"&amp;0),""))</f>
        <v/>
      </c>
      <c r="L3384" s="12" t="n"/>
    </row>
    <row r="3385" ht="14" customHeight="1" s="72">
      <c r="A3385" s="82" t="n"/>
      <c r="B3385" s="79" t="n"/>
      <c r="C3385" s="69">
        <f>IF(B3385="","",IFERROR(INDEX(Client_List!$B:$B,MATCH(B3385,Client_List!$A:$A,0)),"⚠ NOT FOUND"))</f>
        <v/>
      </c>
      <c r="D3385" s="44" t="n"/>
      <c r="E3385" s="32">
        <f>IF(B3385="","",IFERROR(INDEX(Client_List!$C:$C,MATCH(VALUE(B3385),Client_List!$A:$A,0)),""))</f>
        <v/>
      </c>
      <c r="F3385" s="53">
        <f>IF(B3385="","",IFERROR(INDEX(Client_List!$D:$D,MATCH(VALUE(B3385),Client_List!$A:$A,0)),""))</f>
        <v/>
      </c>
      <c r="G3385" s="53">
        <f>IF(B3385="","",IFERROR(INDEX(Client_List!$K:$K,MATCH(VALUE(B3385),Client_List!$A:$A,0)),""))</f>
        <v/>
      </c>
      <c r="H3385" s="32">
        <f>IF(B3385="","",IFERROR(INDEX(Client_List!$J:$J,MATCH(VALUE(B3385),Client_List!$A:$A,0)),""))</f>
        <v/>
      </c>
      <c r="I3385" s="70">
        <f>IF(B3385="","",IFERROR(A3385-LOOKUP(2,1/($B$4:$B3384=B3385),$A$4:$A3384),""))</f>
        <v/>
      </c>
      <c r="J3385" s="32">
        <f>IF(B3385="","",IFERROR(D3385/I3385,""))</f>
        <v/>
      </c>
      <c r="K3385" s="71">
        <f>IF(B3385="","",IFERROR(AVERAGEIFS($J$4:$J3385,$B$4:$B3385,B3385,$J$4:$J3385,"&gt;"&amp;0),""))</f>
        <v/>
      </c>
      <c r="L3385" s="11" t="n"/>
    </row>
    <row r="3386" ht="14" customHeight="1" s="72">
      <c r="A3386" s="83" t="n"/>
      <c r="B3386" s="81" t="n"/>
      <c r="C3386" s="69">
        <f>IF(B3386="","",IFERROR(INDEX(Client_List!$B:$B,MATCH(B3386,Client_List!$A:$A,0)),"⚠ NOT FOUND"))</f>
        <v/>
      </c>
      <c r="D3386" s="45" t="n"/>
      <c r="E3386" s="32">
        <f>IF(B3386="","",IFERROR(INDEX(Client_List!$C:$C,MATCH(VALUE(B3386),Client_List!$A:$A,0)),""))</f>
        <v/>
      </c>
      <c r="F3386" s="53">
        <f>IF(B3386="","",IFERROR(INDEX(Client_List!$D:$D,MATCH(VALUE(B3386),Client_List!$A:$A,0)),""))</f>
        <v/>
      </c>
      <c r="G3386" s="53">
        <f>IF(B3386="","",IFERROR(INDEX(Client_List!$K:$K,MATCH(VALUE(B3386),Client_List!$A:$A,0)),""))</f>
        <v/>
      </c>
      <c r="H3386" s="32">
        <f>IF(B3386="","",IFERROR(INDEX(Client_List!$J:$J,MATCH(VALUE(B3386),Client_List!$A:$A,0)),""))</f>
        <v/>
      </c>
      <c r="I3386" s="70">
        <f>IF(B3386="","",IFERROR(A3386-LOOKUP(2,1/($B$4:$B3385=B3386),$A$4:$A3385),""))</f>
        <v/>
      </c>
      <c r="J3386" s="32">
        <f>IF(B3386="","",IFERROR(D3386/I3386,""))</f>
        <v/>
      </c>
      <c r="K3386" s="71">
        <f>IF(B3386="","",IFERROR(AVERAGEIFS($J$4:$J3386,$B$4:$B3386,B3386,$J$4:$J3386,"&gt;"&amp;0),""))</f>
        <v/>
      </c>
      <c r="L3386" s="12" t="n"/>
    </row>
    <row r="3387" ht="14" customHeight="1" s="72">
      <c r="A3387" s="82" t="n"/>
      <c r="B3387" s="79" t="n"/>
      <c r="C3387" s="69">
        <f>IF(B3387="","",IFERROR(INDEX(Client_List!$B:$B,MATCH(B3387,Client_List!$A:$A,0)),"⚠ NOT FOUND"))</f>
        <v/>
      </c>
      <c r="D3387" s="44" t="n"/>
      <c r="E3387" s="32">
        <f>IF(B3387="","",IFERROR(INDEX(Client_List!$C:$C,MATCH(VALUE(B3387),Client_List!$A:$A,0)),""))</f>
        <v/>
      </c>
      <c r="F3387" s="53">
        <f>IF(B3387="","",IFERROR(INDEX(Client_List!$D:$D,MATCH(VALUE(B3387),Client_List!$A:$A,0)),""))</f>
        <v/>
      </c>
      <c r="G3387" s="53">
        <f>IF(B3387="","",IFERROR(INDEX(Client_List!$K:$K,MATCH(VALUE(B3387),Client_List!$A:$A,0)),""))</f>
        <v/>
      </c>
      <c r="H3387" s="32">
        <f>IF(B3387="","",IFERROR(INDEX(Client_List!$J:$J,MATCH(VALUE(B3387),Client_List!$A:$A,0)),""))</f>
        <v/>
      </c>
      <c r="I3387" s="70">
        <f>IF(B3387="","",IFERROR(A3387-LOOKUP(2,1/($B$4:$B3386=B3387),$A$4:$A3386),""))</f>
        <v/>
      </c>
      <c r="J3387" s="32">
        <f>IF(B3387="","",IFERROR(D3387/I3387,""))</f>
        <v/>
      </c>
      <c r="K3387" s="71">
        <f>IF(B3387="","",IFERROR(AVERAGEIFS($J$4:$J3387,$B$4:$B3387,B3387,$J$4:$J3387,"&gt;"&amp;0),""))</f>
        <v/>
      </c>
      <c r="L3387" s="11" t="n"/>
    </row>
    <row r="3388" ht="14" customHeight="1" s="72">
      <c r="A3388" s="83" t="n"/>
      <c r="B3388" s="81" t="n"/>
      <c r="C3388" s="69">
        <f>IF(B3388="","",IFERROR(INDEX(Client_List!$B:$B,MATCH(B3388,Client_List!$A:$A,0)),"⚠ NOT FOUND"))</f>
        <v/>
      </c>
      <c r="D3388" s="45" t="n"/>
      <c r="E3388" s="32">
        <f>IF(B3388="","",IFERROR(INDEX(Client_List!$C:$C,MATCH(VALUE(B3388),Client_List!$A:$A,0)),""))</f>
        <v/>
      </c>
      <c r="F3388" s="53">
        <f>IF(B3388="","",IFERROR(INDEX(Client_List!$D:$D,MATCH(VALUE(B3388),Client_List!$A:$A,0)),""))</f>
        <v/>
      </c>
      <c r="G3388" s="53">
        <f>IF(B3388="","",IFERROR(INDEX(Client_List!$K:$K,MATCH(VALUE(B3388),Client_List!$A:$A,0)),""))</f>
        <v/>
      </c>
      <c r="H3388" s="32">
        <f>IF(B3388="","",IFERROR(INDEX(Client_List!$J:$J,MATCH(VALUE(B3388),Client_List!$A:$A,0)),""))</f>
        <v/>
      </c>
      <c r="I3388" s="70">
        <f>IF(B3388="","",IFERROR(A3388-LOOKUP(2,1/($B$4:$B3387=B3388),$A$4:$A3387),""))</f>
        <v/>
      </c>
      <c r="J3388" s="32">
        <f>IF(B3388="","",IFERROR(D3388/I3388,""))</f>
        <v/>
      </c>
      <c r="K3388" s="71">
        <f>IF(B3388="","",IFERROR(AVERAGEIFS($J$4:$J3388,$B$4:$B3388,B3388,$J$4:$J3388,"&gt;"&amp;0),""))</f>
        <v/>
      </c>
      <c r="L3388" s="12" t="n"/>
    </row>
    <row r="3389" ht="14" customHeight="1" s="72">
      <c r="A3389" s="82" t="n"/>
      <c r="B3389" s="79" t="n"/>
      <c r="C3389" s="69">
        <f>IF(B3389="","",IFERROR(INDEX(Client_List!$B:$B,MATCH(B3389,Client_List!$A:$A,0)),"⚠ NOT FOUND"))</f>
        <v/>
      </c>
      <c r="D3389" s="44" t="n"/>
      <c r="E3389" s="32">
        <f>IF(B3389="","",IFERROR(INDEX(Client_List!$C:$C,MATCH(VALUE(B3389),Client_List!$A:$A,0)),""))</f>
        <v/>
      </c>
      <c r="F3389" s="53">
        <f>IF(B3389="","",IFERROR(INDEX(Client_List!$D:$D,MATCH(VALUE(B3389),Client_List!$A:$A,0)),""))</f>
        <v/>
      </c>
      <c r="G3389" s="53">
        <f>IF(B3389="","",IFERROR(INDEX(Client_List!$K:$K,MATCH(VALUE(B3389),Client_List!$A:$A,0)),""))</f>
        <v/>
      </c>
      <c r="H3389" s="32">
        <f>IF(B3389="","",IFERROR(INDEX(Client_List!$J:$J,MATCH(VALUE(B3389),Client_List!$A:$A,0)),""))</f>
        <v/>
      </c>
      <c r="I3389" s="70">
        <f>IF(B3389="","",IFERROR(A3389-LOOKUP(2,1/($B$4:$B3388=B3389),$A$4:$A3388),""))</f>
        <v/>
      </c>
      <c r="J3389" s="32">
        <f>IF(B3389="","",IFERROR(D3389/I3389,""))</f>
        <v/>
      </c>
      <c r="K3389" s="71">
        <f>IF(B3389="","",IFERROR(AVERAGEIFS($J$4:$J3389,$B$4:$B3389,B3389,$J$4:$J3389,"&gt;"&amp;0),""))</f>
        <v/>
      </c>
      <c r="L3389" s="11" t="n"/>
    </row>
    <row r="3390" ht="14" customHeight="1" s="72">
      <c r="A3390" s="83" t="n"/>
      <c r="B3390" s="81" t="n"/>
      <c r="C3390" s="69">
        <f>IF(B3390="","",IFERROR(INDEX(Client_List!$B:$B,MATCH(B3390,Client_List!$A:$A,0)),"⚠ NOT FOUND"))</f>
        <v/>
      </c>
      <c r="D3390" s="45" t="n"/>
      <c r="E3390" s="32">
        <f>IF(B3390="","",IFERROR(INDEX(Client_List!$C:$C,MATCH(VALUE(B3390),Client_List!$A:$A,0)),""))</f>
        <v/>
      </c>
      <c r="F3390" s="53">
        <f>IF(B3390="","",IFERROR(INDEX(Client_List!$D:$D,MATCH(VALUE(B3390),Client_List!$A:$A,0)),""))</f>
        <v/>
      </c>
      <c r="G3390" s="53">
        <f>IF(B3390="","",IFERROR(INDEX(Client_List!$K:$K,MATCH(VALUE(B3390),Client_List!$A:$A,0)),""))</f>
        <v/>
      </c>
      <c r="H3390" s="32">
        <f>IF(B3390="","",IFERROR(INDEX(Client_List!$J:$J,MATCH(VALUE(B3390),Client_List!$A:$A,0)),""))</f>
        <v/>
      </c>
      <c r="I3390" s="70">
        <f>IF(B3390="","",IFERROR(A3390-LOOKUP(2,1/($B$4:$B3389=B3390),$A$4:$A3389),""))</f>
        <v/>
      </c>
      <c r="J3390" s="32">
        <f>IF(B3390="","",IFERROR(D3390/I3390,""))</f>
        <v/>
      </c>
      <c r="K3390" s="71">
        <f>IF(B3390="","",IFERROR(AVERAGEIFS($J$4:$J3390,$B$4:$B3390,B3390,$J$4:$J3390,"&gt;"&amp;0),""))</f>
        <v/>
      </c>
      <c r="L3390" s="12" t="n"/>
    </row>
    <row r="3391" ht="14" customHeight="1" s="72">
      <c r="A3391" s="82" t="n"/>
      <c r="B3391" s="79" t="n"/>
      <c r="C3391" s="69">
        <f>IF(B3391="","",IFERROR(INDEX(Client_List!$B:$B,MATCH(B3391,Client_List!$A:$A,0)),"⚠ NOT FOUND"))</f>
        <v/>
      </c>
      <c r="D3391" s="44" t="n"/>
      <c r="E3391" s="32">
        <f>IF(B3391="","",IFERROR(INDEX(Client_List!$C:$C,MATCH(VALUE(B3391),Client_List!$A:$A,0)),""))</f>
        <v/>
      </c>
      <c r="F3391" s="53">
        <f>IF(B3391="","",IFERROR(INDEX(Client_List!$D:$D,MATCH(VALUE(B3391),Client_List!$A:$A,0)),""))</f>
        <v/>
      </c>
      <c r="G3391" s="53">
        <f>IF(B3391="","",IFERROR(INDEX(Client_List!$K:$K,MATCH(VALUE(B3391),Client_List!$A:$A,0)),""))</f>
        <v/>
      </c>
      <c r="H3391" s="32">
        <f>IF(B3391="","",IFERROR(INDEX(Client_List!$J:$J,MATCH(VALUE(B3391),Client_List!$A:$A,0)),""))</f>
        <v/>
      </c>
      <c r="I3391" s="70">
        <f>IF(B3391="","",IFERROR(A3391-LOOKUP(2,1/($B$4:$B3390=B3391),$A$4:$A3390),""))</f>
        <v/>
      </c>
      <c r="J3391" s="32">
        <f>IF(B3391="","",IFERROR(D3391/I3391,""))</f>
        <v/>
      </c>
      <c r="K3391" s="71">
        <f>IF(B3391="","",IFERROR(AVERAGEIFS($J$4:$J3391,$B$4:$B3391,B3391,$J$4:$J3391,"&gt;"&amp;0),""))</f>
        <v/>
      </c>
      <c r="L3391" s="11" t="n"/>
    </row>
    <row r="3392" ht="14" customHeight="1" s="72">
      <c r="A3392" s="83" t="n"/>
      <c r="B3392" s="81" t="n"/>
      <c r="C3392" s="69">
        <f>IF(B3392="","",IFERROR(INDEX(Client_List!$B:$B,MATCH(B3392,Client_List!$A:$A,0)),"⚠ NOT FOUND"))</f>
        <v/>
      </c>
      <c r="D3392" s="45" t="n"/>
      <c r="E3392" s="32">
        <f>IF(B3392="","",IFERROR(INDEX(Client_List!$C:$C,MATCH(VALUE(B3392),Client_List!$A:$A,0)),""))</f>
        <v/>
      </c>
      <c r="F3392" s="53">
        <f>IF(B3392="","",IFERROR(INDEX(Client_List!$D:$D,MATCH(VALUE(B3392),Client_List!$A:$A,0)),""))</f>
        <v/>
      </c>
      <c r="G3392" s="53">
        <f>IF(B3392="","",IFERROR(INDEX(Client_List!$K:$K,MATCH(VALUE(B3392),Client_List!$A:$A,0)),""))</f>
        <v/>
      </c>
      <c r="H3392" s="32">
        <f>IF(B3392="","",IFERROR(INDEX(Client_List!$J:$J,MATCH(VALUE(B3392),Client_List!$A:$A,0)),""))</f>
        <v/>
      </c>
      <c r="I3392" s="70">
        <f>IF(B3392="","",IFERROR(A3392-LOOKUP(2,1/($B$4:$B3391=B3392),$A$4:$A3391),""))</f>
        <v/>
      </c>
      <c r="J3392" s="32">
        <f>IF(B3392="","",IFERROR(D3392/I3392,""))</f>
        <v/>
      </c>
      <c r="K3392" s="71">
        <f>IF(B3392="","",IFERROR(AVERAGEIFS($J$4:$J3392,$B$4:$B3392,B3392,$J$4:$J3392,"&gt;"&amp;0),""))</f>
        <v/>
      </c>
      <c r="L3392" s="12" t="n"/>
    </row>
    <row r="3393" ht="14" customHeight="1" s="72">
      <c r="A3393" s="82" t="n"/>
      <c r="B3393" s="79" t="n"/>
      <c r="C3393" s="69">
        <f>IF(B3393="","",IFERROR(INDEX(Client_List!$B:$B,MATCH(B3393,Client_List!$A:$A,0)),"⚠ NOT FOUND"))</f>
        <v/>
      </c>
      <c r="D3393" s="44" t="n"/>
      <c r="E3393" s="32">
        <f>IF(B3393="","",IFERROR(INDEX(Client_List!$C:$C,MATCH(VALUE(B3393),Client_List!$A:$A,0)),""))</f>
        <v/>
      </c>
      <c r="F3393" s="53">
        <f>IF(B3393="","",IFERROR(INDEX(Client_List!$D:$D,MATCH(VALUE(B3393),Client_List!$A:$A,0)),""))</f>
        <v/>
      </c>
      <c r="G3393" s="53">
        <f>IF(B3393="","",IFERROR(INDEX(Client_List!$K:$K,MATCH(VALUE(B3393),Client_List!$A:$A,0)),""))</f>
        <v/>
      </c>
      <c r="H3393" s="32">
        <f>IF(B3393="","",IFERROR(INDEX(Client_List!$J:$J,MATCH(VALUE(B3393),Client_List!$A:$A,0)),""))</f>
        <v/>
      </c>
      <c r="I3393" s="70">
        <f>IF(B3393="","",IFERROR(A3393-LOOKUP(2,1/($B$4:$B3392=B3393),$A$4:$A3392),""))</f>
        <v/>
      </c>
      <c r="J3393" s="32">
        <f>IF(B3393="","",IFERROR(D3393/I3393,""))</f>
        <v/>
      </c>
      <c r="K3393" s="71">
        <f>IF(B3393="","",IFERROR(AVERAGEIFS($J$4:$J3393,$B$4:$B3393,B3393,$J$4:$J3393,"&gt;"&amp;0),""))</f>
        <v/>
      </c>
      <c r="L3393" s="11" t="n"/>
    </row>
    <row r="3394" ht="14" customHeight="1" s="72">
      <c r="A3394" s="83" t="n"/>
      <c r="B3394" s="81" t="n"/>
      <c r="C3394" s="69">
        <f>IF(B3394="","",IFERROR(INDEX(Client_List!$B:$B,MATCH(B3394,Client_List!$A:$A,0)),"⚠ NOT FOUND"))</f>
        <v/>
      </c>
      <c r="D3394" s="45" t="n"/>
      <c r="E3394" s="32">
        <f>IF(B3394="","",IFERROR(INDEX(Client_List!$C:$C,MATCH(VALUE(B3394),Client_List!$A:$A,0)),""))</f>
        <v/>
      </c>
      <c r="F3394" s="53">
        <f>IF(B3394="","",IFERROR(INDEX(Client_List!$D:$D,MATCH(VALUE(B3394),Client_List!$A:$A,0)),""))</f>
        <v/>
      </c>
      <c r="G3394" s="53">
        <f>IF(B3394="","",IFERROR(INDEX(Client_List!$K:$K,MATCH(VALUE(B3394),Client_List!$A:$A,0)),""))</f>
        <v/>
      </c>
      <c r="H3394" s="32">
        <f>IF(B3394="","",IFERROR(INDEX(Client_List!$J:$J,MATCH(VALUE(B3394),Client_List!$A:$A,0)),""))</f>
        <v/>
      </c>
      <c r="I3394" s="70">
        <f>IF(B3394="","",IFERROR(A3394-LOOKUP(2,1/($B$4:$B3393=B3394),$A$4:$A3393),""))</f>
        <v/>
      </c>
      <c r="J3394" s="32">
        <f>IF(B3394="","",IFERROR(D3394/I3394,""))</f>
        <v/>
      </c>
      <c r="K3394" s="71">
        <f>IF(B3394="","",IFERROR(AVERAGEIFS($J$4:$J3394,$B$4:$B3394,B3394,$J$4:$J3394,"&gt;"&amp;0),""))</f>
        <v/>
      </c>
      <c r="L3394" s="12" t="n"/>
    </row>
    <row r="3395" ht="14" customHeight="1" s="72">
      <c r="A3395" s="82" t="n"/>
      <c r="B3395" s="79" t="n"/>
      <c r="C3395" s="69">
        <f>IF(B3395="","",IFERROR(INDEX(Client_List!$B:$B,MATCH(B3395,Client_List!$A:$A,0)),"⚠ NOT FOUND"))</f>
        <v/>
      </c>
      <c r="D3395" s="44" t="n"/>
      <c r="E3395" s="32">
        <f>IF(B3395="","",IFERROR(INDEX(Client_List!$C:$C,MATCH(VALUE(B3395),Client_List!$A:$A,0)),""))</f>
        <v/>
      </c>
      <c r="F3395" s="53">
        <f>IF(B3395="","",IFERROR(INDEX(Client_List!$D:$D,MATCH(VALUE(B3395),Client_List!$A:$A,0)),""))</f>
        <v/>
      </c>
      <c r="G3395" s="53">
        <f>IF(B3395="","",IFERROR(INDEX(Client_List!$K:$K,MATCH(VALUE(B3395),Client_List!$A:$A,0)),""))</f>
        <v/>
      </c>
      <c r="H3395" s="32">
        <f>IF(B3395="","",IFERROR(INDEX(Client_List!$J:$J,MATCH(VALUE(B3395),Client_List!$A:$A,0)),""))</f>
        <v/>
      </c>
      <c r="I3395" s="70">
        <f>IF(B3395="","",IFERROR(A3395-LOOKUP(2,1/($B$4:$B3394=B3395),$A$4:$A3394),""))</f>
        <v/>
      </c>
      <c r="J3395" s="32">
        <f>IF(B3395="","",IFERROR(D3395/I3395,""))</f>
        <v/>
      </c>
      <c r="K3395" s="71">
        <f>IF(B3395="","",IFERROR(AVERAGEIFS($J$4:$J3395,$B$4:$B3395,B3395,$J$4:$J3395,"&gt;"&amp;0),""))</f>
        <v/>
      </c>
      <c r="L3395" s="11" t="n"/>
    </row>
    <row r="3396" ht="14" customHeight="1" s="72">
      <c r="A3396" s="83" t="n"/>
      <c r="B3396" s="81" t="n"/>
      <c r="C3396" s="69">
        <f>IF(B3396="","",IFERROR(INDEX(Client_List!$B:$B,MATCH(B3396,Client_List!$A:$A,0)),"⚠ NOT FOUND"))</f>
        <v/>
      </c>
      <c r="D3396" s="45" t="n"/>
      <c r="E3396" s="32">
        <f>IF(B3396="","",IFERROR(INDEX(Client_List!$C:$C,MATCH(VALUE(B3396),Client_List!$A:$A,0)),""))</f>
        <v/>
      </c>
      <c r="F3396" s="53">
        <f>IF(B3396="","",IFERROR(INDEX(Client_List!$D:$D,MATCH(VALUE(B3396),Client_List!$A:$A,0)),""))</f>
        <v/>
      </c>
      <c r="G3396" s="53">
        <f>IF(B3396="","",IFERROR(INDEX(Client_List!$K:$K,MATCH(VALUE(B3396),Client_List!$A:$A,0)),""))</f>
        <v/>
      </c>
      <c r="H3396" s="32">
        <f>IF(B3396="","",IFERROR(INDEX(Client_List!$J:$J,MATCH(VALUE(B3396),Client_List!$A:$A,0)),""))</f>
        <v/>
      </c>
      <c r="I3396" s="70">
        <f>IF(B3396="","",IFERROR(A3396-LOOKUP(2,1/($B$4:$B3395=B3396),$A$4:$A3395),""))</f>
        <v/>
      </c>
      <c r="J3396" s="32">
        <f>IF(B3396="","",IFERROR(D3396/I3396,""))</f>
        <v/>
      </c>
      <c r="K3396" s="71">
        <f>IF(B3396="","",IFERROR(AVERAGEIFS($J$4:$J3396,$B$4:$B3396,B3396,$J$4:$J3396,"&gt;"&amp;0),""))</f>
        <v/>
      </c>
      <c r="L3396" s="12" t="n"/>
    </row>
    <row r="3397" ht="14" customHeight="1" s="72">
      <c r="A3397" s="82" t="n"/>
      <c r="B3397" s="79" t="n"/>
      <c r="C3397" s="69">
        <f>IF(B3397="","",IFERROR(INDEX(Client_List!$B:$B,MATCH(B3397,Client_List!$A:$A,0)),"⚠ NOT FOUND"))</f>
        <v/>
      </c>
      <c r="D3397" s="44" t="n"/>
      <c r="E3397" s="32">
        <f>IF(B3397="","",IFERROR(INDEX(Client_List!$C:$C,MATCH(VALUE(B3397),Client_List!$A:$A,0)),""))</f>
        <v/>
      </c>
      <c r="F3397" s="53">
        <f>IF(B3397="","",IFERROR(INDEX(Client_List!$D:$D,MATCH(VALUE(B3397),Client_List!$A:$A,0)),""))</f>
        <v/>
      </c>
      <c r="G3397" s="53">
        <f>IF(B3397="","",IFERROR(INDEX(Client_List!$K:$K,MATCH(VALUE(B3397),Client_List!$A:$A,0)),""))</f>
        <v/>
      </c>
      <c r="H3397" s="32">
        <f>IF(B3397="","",IFERROR(INDEX(Client_List!$J:$J,MATCH(VALUE(B3397),Client_List!$A:$A,0)),""))</f>
        <v/>
      </c>
      <c r="I3397" s="70">
        <f>IF(B3397="","",IFERROR(A3397-LOOKUP(2,1/($B$4:$B3396=B3397),$A$4:$A3396),""))</f>
        <v/>
      </c>
      <c r="J3397" s="32">
        <f>IF(B3397="","",IFERROR(D3397/I3397,""))</f>
        <v/>
      </c>
      <c r="K3397" s="71">
        <f>IF(B3397="","",IFERROR(AVERAGEIFS($J$4:$J3397,$B$4:$B3397,B3397,$J$4:$J3397,"&gt;"&amp;0),""))</f>
        <v/>
      </c>
      <c r="L3397" s="11" t="n"/>
    </row>
    <row r="3398" ht="14" customHeight="1" s="72">
      <c r="A3398" s="83" t="n"/>
      <c r="B3398" s="81" t="n"/>
      <c r="C3398" s="69">
        <f>IF(B3398="","",IFERROR(INDEX(Client_List!$B:$B,MATCH(B3398,Client_List!$A:$A,0)),"⚠ NOT FOUND"))</f>
        <v/>
      </c>
      <c r="D3398" s="45" t="n"/>
      <c r="E3398" s="32">
        <f>IF(B3398="","",IFERROR(INDEX(Client_List!$C:$C,MATCH(VALUE(B3398),Client_List!$A:$A,0)),""))</f>
        <v/>
      </c>
      <c r="F3398" s="53">
        <f>IF(B3398="","",IFERROR(INDEX(Client_List!$D:$D,MATCH(VALUE(B3398),Client_List!$A:$A,0)),""))</f>
        <v/>
      </c>
      <c r="G3398" s="53">
        <f>IF(B3398="","",IFERROR(INDEX(Client_List!$K:$K,MATCH(VALUE(B3398),Client_List!$A:$A,0)),""))</f>
        <v/>
      </c>
      <c r="H3398" s="32">
        <f>IF(B3398="","",IFERROR(INDEX(Client_List!$J:$J,MATCH(VALUE(B3398),Client_List!$A:$A,0)),""))</f>
        <v/>
      </c>
      <c r="I3398" s="70">
        <f>IF(B3398="","",IFERROR(A3398-LOOKUP(2,1/($B$4:$B3397=B3398),$A$4:$A3397),""))</f>
        <v/>
      </c>
      <c r="J3398" s="32">
        <f>IF(B3398="","",IFERROR(D3398/I3398,""))</f>
        <v/>
      </c>
      <c r="K3398" s="71">
        <f>IF(B3398="","",IFERROR(AVERAGEIFS($J$4:$J3398,$B$4:$B3398,B3398,$J$4:$J3398,"&gt;"&amp;0),""))</f>
        <v/>
      </c>
      <c r="L3398" s="12" t="n"/>
    </row>
    <row r="3399" ht="14" customHeight="1" s="72">
      <c r="A3399" s="82" t="n"/>
      <c r="B3399" s="79" t="n"/>
      <c r="C3399" s="69">
        <f>IF(B3399="","",IFERROR(INDEX(Client_List!$B:$B,MATCH(B3399,Client_List!$A:$A,0)),"⚠ NOT FOUND"))</f>
        <v/>
      </c>
      <c r="D3399" s="44" t="n"/>
      <c r="E3399" s="32">
        <f>IF(B3399="","",IFERROR(INDEX(Client_List!$C:$C,MATCH(VALUE(B3399),Client_List!$A:$A,0)),""))</f>
        <v/>
      </c>
      <c r="F3399" s="53">
        <f>IF(B3399="","",IFERROR(INDEX(Client_List!$D:$D,MATCH(VALUE(B3399),Client_List!$A:$A,0)),""))</f>
        <v/>
      </c>
      <c r="G3399" s="53">
        <f>IF(B3399="","",IFERROR(INDEX(Client_List!$K:$K,MATCH(VALUE(B3399),Client_List!$A:$A,0)),""))</f>
        <v/>
      </c>
      <c r="H3399" s="32">
        <f>IF(B3399="","",IFERROR(INDEX(Client_List!$J:$J,MATCH(VALUE(B3399),Client_List!$A:$A,0)),""))</f>
        <v/>
      </c>
      <c r="I3399" s="70">
        <f>IF(B3399="","",IFERROR(A3399-LOOKUP(2,1/($B$4:$B3398=B3399),$A$4:$A3398),""))</f>
        <v/>
      </c>
      <c r="J3399" s="32">
        <f>IF(B3399="","",IFERROR(D3399/I3399,""))</f>
        <v/>
      </c>
      <c r="K3399" s="71">
        <f>IF(B3399="","",IFERROR(AVERAGEIFS($J$4:$J3399,$B$4:$B3399,B3399,$J$4:$J3399,"&gt;"&amp;0),""))</f>
        <v/>
      </c>
      <c r="L3399" s="11" t="n"/>
    </row>
    <row r="3400" ht="14" customHeight="1" s="72">
      <c r="A3400" s="83" t="n"/>
      <c r="B3400" s="81" t="n"/>
      <c r="C3400" s="69">
        <f>IF(B3400="","",IFERROR(INDEX(Client_List!$B:$B,MATCH(B3400,Client_List!$A:$A,0)),"⚠ NOT FOUND"))</f>
        <v/>
      </c>
      <c r="D3400" s="45" t="n"/>
      <c r="E3400" s="32">
        <f>IF(B3400="","",IFERROR(INDEX(Client_List!$C:$C,MATCH(VALUE(B3400),Client_List!$A:$A,0)),""))</f>
        <v/>
      </c>
      <c r="F3400" s="53">
        <f>IF(B3400="","",IFERROR(INDEX(Client_List!$D:$D,MATCH(VALUE(B3400),Client_List!$A:$A,0)),""))</f>
        <v/>
      </c>
      <c r="G3400" s="53">
        <f>IF(B3400="","",IFERROR(INDEX(Client_List!$K:$K,MATCH(VALUE(B3400),Client_List!$A:$A,0)),""))</f>
        <v/>
      </c>
      <c r="H3400" s="32">
        <f>IF(B3400="","",IFERROR(INDEX(Client_List!$J:$J,MATCH(VALUE(B3400),Client_List!$A:$A,0)),""))</f>
        <v/>
      </c>
      <c r="I3400" s="70">
        <f>IF(B3400="","",IFERROR(A3400-LOOKUP(2,1/($B$4:$B3399=B3400),$A$4:$A3399),""))</f>
        <v/>
      </c>
      <c r="J3400" s="32">
        <f>IF(B3400="","",IFERROR(D3400/I3400,""))</f>
        <v/>
      </c>
      <c r="K3400" s="71">
        <f>IF(B3400="","",IFERROR(AVERAGEIFS($J$4:$J3400,$B$4:$B3400,B3400,$J$4:$J3400,"&gt;"&amp;0),""))</f>
        <v/>
      </c>
      <c r="L3400" s="12" t="n"/>
    </row>
    <row r="3401" ht="14" customHeight="1" s="72">
      <c r="A3401" s="82" t="n"/>
      <c r="B3401" s="79" t="n"/>
      <c r="C3401" s="69">
        <f>IF(B3401="","",IFERROR(INDEX(Client_List!$B:$B,MATCH(B3401,Client_List!$A:$A,0)),"⚠ NOT FOUND"))</f>
        <v/>
      </c>
      <c r="D3401" s="44" t="n"/>
      <c r="E3401" s="32">
        <f>IF(B3401="","",IFERROR(INDEX(Client_List!$C:$C,MATCH(VALUE(B3401),Client_List!$A:$A,0)),""))</f>
        <v/>
      </c>
      <c r="F3401" s="53">
        <f>IF(B3401="","",IFERROR(INDEX(Client_List!$D:$D,MATCH(VALUE(B3401),Client_List!$A:$A,0)),""))</f>
        <v/>
      </c>
      <c r="G3401" s="53">
        <f>IF(B3401="","",IFERROR(INDEX(Client_List!$K:$K,MATCH(VALUE(B3401),Client_List!$A:$A,0)),""))</f>
        <v/>
      </c>
      <c r="H3401" s="32">
        <f>IF(B3401="","",IFERROR(INDEX(Client_List!$J:$J,MATCH(VALUE(B3401),Client_List!$A:$A,0)),""))</f>
        <v/>
      </c>
      <c r="I3401" s="70">
        <f>IF(B3401="","",IFERROR(A3401-LOOKUP(2,1/($B$4:$B3400=B3401),$A$4:$A3400),""))</f>
        <v/>
      </c>
      <c r="J3401" s="32">
        <f>IF(B3401="","",IFERROR(D3401/I3401,""))</f>
        <v/>
      </c>
      <c r="K3401" s="71">
        <f>IF(B3401="","",IFERROR(AVERAGEIFS($J$4:$J3401,$B$4:$B3401,B3401,$J$4:$J3401,"&gt;"&amp;0),""))</f>
        <v/>
      </c>
      <c r="L3401" s="11" t="n"/>
    </row>
    <row r="3402" ht="14" customHeight="1" s="72">
      <c r="A3402" s="83" t="n"/>
      <c r="B3402" s="81" t="n"/>
      <c r="C3402" s="69">
        <f>IF(B3402="","",IFERROR(INDEX(Client_List!$B:$B,MATCH(B3402,Client_List!$A:$A,0)),"⚠ NOT FOUND"))</f>
        <v/>
      </c>
      <c r="D3402" s="45" t="n"/>
      <c r="E3402" s="32">
        <f>IF(B3402="","",IFERROR(INDEX(Client_List!$C:$C,MATCH(VALUE(B3402),Client_List!$A:$A,0)),""))</f>
        <v/>
      </c>
      <c r="F3402" s="53">
        <f>IF(B3402="","",IFERROR(INDEX(Client_List!$D:$D,MATCH(VALUE(B3402),Client_List!$A:$A,0)),""))</f>
        <v/>
      </c>
      <c r="G3402" s="53">
        <f>IF(B3402="","",IFERROR(INDEX(Client_List!$K:$K,MATCH(VALUE(B3402),Client_List!$A:$A,0)),""))</f>
        <v/>
      </c>
      <c r="H3402" s="32">
        <f>IF(B3402="","",IFERROR(INDEX(Client_List!$J:$J,MATCH(VALUE(B3402),Client_List!$A:$A,0)),""))</f>
        <v/>
      </c>
      <c r="I3402" s="70">
        <f>IF(B3402="","",IFERROR(A3402-LOOKUP(2,1/($B$4:$B3401=B3402),$A$4:$A3401),""))</f>
        <v/>
      </c>
      <c r="J3402" s="32">
        <f>IF(B3402="","",IFERROR(D3402/I3402,""))</f>
        <v/>
      </c>
      <c r="K3402" s="71">
        <f>IF(B3402="","",IFERROR(AVERAGEIFS($J$4:$J3402,$B$4:$B3402,B3402,$J$4:$J3402,"&gt;"&amp;0),""))</f>
        <v/>
      </c>
      <c r="L3402" s="12" t="n"/>
    </row>
    <row r="3403" ht="14" customHeight="1" s="72">
      <c r="A3403" s="82" t="n"/>
      <c r="B3403" s="79" t="n"/>
      <c r="C3403" s="69">
        <f>IF(B3403="","",IFERROR(INDEX(Client_List!$B:$B,MATCH(B3403,Client_List!$A:$A,0)),"⚠ NOT FOUND"))</f>
        <v/>
      </c>
      <c r="D3403" s="44" t="n"/>
      <c r="E3403" s="32">
        <f>IF(B3403="","",IFERROR(INDEX(Client_List!$C:$C,MATCH(VALUE(B3403),Client_List!$A:$A,0)),""))</f>
        <v/>
      </c>
      <c r="F3403" s="53">
        <f>IF(B3403="","",IFERROR(INDEX(Client_List!$D:$D,MATCH(VALUE(B3403),Client_List!$A:$A,0)),""))</f>
        <v/>
      </c>
      <c r="G3403" s="53">
        <f>IF(B3403="","",IFERROR(INDEX(Client_List!$K:$K,MATCH(VALUE(B3403),Client_List!$A:$A,0)),""))</f>
        <v/>
      </c>
      <c r="H3403" s="32">
        <f>IF(B3403="","",IFERROR(INDEX(Client_List!$J:$J,MATCH(VALUE(B3403),Client_List!$A:$A,0)),""))</f>
        <v/>
      </c>
      <c r="I3403" s="70">
        <f>IF(B3403="","",IFERROR(A3403-LOOKUP(2,1/($B$4:$B3402=B3403),$A$4:$A3402),""))</f>
        <v/>
      </c>
      <c r="J3403" s="32">
        <f>IF(B3403="","",IFERROR(D3403/I3403,""))</f>
        <v/>
      </c>
      <c r="K3403" s="71">
        <f>IF(B3403="","",IFERROR(AVERAGEIFS($J$4:$J3403,$B$4:$B3403,B3403,$J$4:$J3403,"&gt;"&amp;0),""))</f>
        <v/>
      </c>
      <c r="L3403" s="11" t="n"/>
    </row>
    <row r="3404" ht="14" customHeight="1" s="72">
      <c r="A3404" s="83" t="n"/>
      <c r="B3404" s="81" t="n"/>
      <c r="C3404" s="69">
        <f>IF(B3404="","",IFERROR(INDEX(Client_List!$B:$B,MATCH(B3404,Client_List!$A:$A,0)),"⚠ NOT FOUND"))</f>
        <v/>
      </c>
      <c r="D3404" s="45" t="n"/>
      <c r="E3404" s="32">
        <f>IF(B3404="","",IFERROR(INDEX(Client_List!$C:$C,MATCH(VALUE(B3404),Client_List!$A:$A,0)),""))</f>
        <v/>
      </c>
      <c r="F3404" s="53">
        <f>IF(B3404="","",IFERROR(INDEX(Client_List!$D:$D,MATCH(VALUE(B3404),Client_List!$A:$A,0)),""))</f>
        <v/>
      </c>
      <c r="G3404" s="53">
        <f>IF(B3404="","",IFERROR(INDEX(Client_List!$K:$K,MATCH(VALUE(B3404),Client_List!$A:$A,0)),""))</f>
        <v/>
      </c>
      <c r="H3404" s="32">
        <f>IF(B3404="","",IFERROR(INDEX(Client_List!$J:$J,MATCH(VALUE(B3404),Client_List!$A:$A,0)),""))</f>
        <v/>
      </c>
      <c r="I3404" s="70">
        <f>IF(B3404="","",IFERROR(A3404-LOOKUP(2,1/($B$4:$B3403=B3404),$A$4:$A3403),""))</f>
        <v/>
      </c>
      <c r="J3404" s="32">
        <f>IF(B3404="","",IFERROR(D3404/I3404,""))</f>
        <v/>
      </c>
      <c r="K3404" s="71">
        <f>IF(B3404="","",IFERROR(AVERAGEIFS($J$4:$J3404,$B$4:$B3404,B3404,$J$4:$J3404,"&gt;"&amp;0),""))</f>
        <v/>
      </c>
      <c r="L3404" s="12" t="n"/>
    </row>
    <row r="3405" ht="14" customHeight="1" s="72">
      <c r="A3405" s="82" t="n"/>
      <c r="B3405" s="79" t="n"/>
      <c r="C3405" s="69">
        <f>IF(B3405="","",IFERROR(INDEX(Client_List!$B:$B,MATCH(B3405,Client_List!$A:$A,0)),"⚠ NOT FOUND"))</f>
        <v/>
      </c>
      <c r="D3405" s="44" t="n"/>
      <c r="E3405" s="32">
        <f>IF(B3405="","",IFERROR(INDEX(Client_List!$C:$C,MATCH(VALUE(B3405),Client_List!$A:$A,0)),""))</f>
        <v/>
      </c>
      <c r="F3405" s="53">
        <f>IF(B3405="","",IFERROR(INDEX(Client_List!$D:$D,MATCH(VALUE(B3405),Client_List!$A:$A,0)),""))</f>
        <v/>
      </c>
      <c r="G3405" s="53">
        <f>IF(B3405="","",IFERROR(INDEX(Client_List!$K:$K,MATCH(VALUE(B3405),Client_List!$A:$A,0)),""))</f>
        <v/>
      </c>
      <c r="H3405" s="32">
        <f>IF(B3405="","",IFERROR(INDEX(Client_List!$J:$J,MATCH(VALUE(B3405),Client_List!$A:$A,0)),""))</f>
        <v/>
      </c>
      <c r="I3405" s="70">
        <f>IF(B3405="","",IFERROR(A3405-LOOKUP(2,1/($B$4:$B3404=B3405),$A$4:$A3404),""))</f>
        <v/>
      </c>
      <c r="J3405" s="32">
        <f>IF(B3405="","",IFERROR(D3405/I3405,""))</f>
        <v/>
      </c>
      <c r="K3405" s="71">
        <f>IF(B3405="","",IFERROR(AVERAGEIFS($J$4:$J3405,$B$4:$B3405,B3405,$J$4:$J3405,"&gt;"&amp;0),""))</f>
        <v/>
      </c>
      <c r="L3405" s="11" t="n"/>
    </row>
    <row r="3406" ht="14" customHeight="1" s="72">
      <c r="A3406" s="83" t="n"/>
      <c r="B3406" s="81" t="n"/>
      <c r="C3406" s="69">
        <f>IF(B3406="","",IFERROR(INDEX(Client_List!$B:$B,MATCH(B3406,Client_List!$A:$A,0)),"⚠ NOT FOUND"))</f>
        <v/>
      </c>
      <c r="D3406" s="45" t="n"/>
      <c r="E3406" s="32">
        <f>IF(B3406="","",IFERROR(INDEX(Client_List!$C:$C,MATCH(VALUE(B3406),Client_List!$A:$A,0)),""))</f>
        <v/>
      </c>
      <c r="F3406" s="53">
        <f>IF(B3406="","",IFERROR(INDEX(Client_List!$D:$D,MATCH(VALUE(B3406),Client_List!$A:$A,0)),""))</f>
        <v/>
      </c>
      <c r="G3406" s="53">
        <f>IF(B3406="","",IFERROR(INDEX(Client_List!$K:$K,MATCH(VALUE(B3406),Client_List!$A:$A,0)),""))</f>
        <v/>
      </c>
      <c r="H3406" s="32">
        <f>IF(B3406="","",IFERROR(INDEX(Client_List!$J:$J,MATCH(VALUE(B3406),Client_List!$A:$A,0)),""))</f>
        <v/>
      </c>
      <c r="I3406" s="70">
        <f>IF(B3406="","",IFERROR(A3406-LOOKUP(2,1/($B$4:$B3405=B3406),$A$4:$A3405),""))</f>
        <v/>
      </c>
      <c r="J3406" s="32">
        <f>IF(B3406="","",IFERROR(D3406/I3406,""))</f>
        <v/>
      </c>
      <c r="K3406" s="71">
        <f>IF(B3406="","",IFERROR(AVERAGEIFS($J$4:$J3406,$B$4:$B3406,B3406,$J$4:$J3406,"&gt;"&amp;0),""))</f>
        <v/>
      </c>
      <c r="L3406" s="12" t="n"/>
    </row>
    <row r="3407" ht="14" customHeight="1" s="72">
      <c r="A3407" s="82" t="n"/>
      <c r="B3407" s="79" t="n"/>
      <c r="C3407" s="69">
        <f>IF(B3407="","",IFERROR(INDEX(Client_List!$B:$B,MATCH(B3407,Client_List!$A:$A,0)),"⚠ NOT FOUND"))</f>
        <v/>
      </c>
      <c r="D3407" s="44" t="n"/>
      <c r="E3407" s="32">
        <f>IF(B3407="","",IFERROR(INDEX(Client_List!$C:$C,MATCH(VALUE(B3407),Client_List!$A:$A,0)),""))</f>
        <v/>
      </c>
      <c r="F3407" s="53">
        <f>IF(B3407="","",IFERROR(INDEX(Client_List!$D:$D,MATCH(VALUE(B3407),Client_List!$A:$A,0)),""))</f>
        <v/>
      </c>
      <c r="G3407" s="53">
        <f>IF(B3407="","",IFERROR(INDEX(Client_List!$K:$K,MATCH(VALUE(B3407),Client_List!$A:$A,0)),""))</f>
        <v/>
      </c>
      <c r="H3407" s="32">
        <f>IF(B3407="","",IFERROR(INDEX(Client_List!$J:$J,MATCH(VALUE(B3407),Client_List!$A:$A,0)),""))</f>
        <v/>
      </c>
      <c r="I3407" s="70">
        <f>IF(B3407="","",IFERROR(A3407-LOOKUP(2,1/($B$4:$B3406=B3407),$A$4:$A3406),""))</f>
        <v/>
      </c>
      <c r="J3407" s="32">
        <f>IF(B3407="","",IFERROR(D3407/I3407,""))</f>
        <v/>
      </c>
      <c r="K3407" s="71">
        <f>IF(B3407="","",IFERROR(AVERAGEIFS($J$4:$J3407,$B$4:$B3407,B3407,$J$4:$J3407,"&gt;"&amp;0),""))</f>
        <v/>
      </c>
      <c r="L3407" s="11" t="n"/>
    </row>
    <row r="3408" ht="14" customHeight="1" s="72">
      <c r="A3408" s="83" t="n"/>
      <c r="B3408" s="81" t="n"/>
      <c r="C3408" s="69">
        <f>IF(B3408="","",IFERROR(INDEX(Client_List!$B:$B,MATCH(B3408,Client_List!$A:$A,0)),"⚠ NOT FOUND"))</f>
        <v/>
      </c>
      <c r="D3408" s="45" t="n"/>
      <c r="E3408" s="32">
        <f>IF(B3408="","",IFERROR(INDEX(Client_List!$C:$C,MATCH(VALUE(B3408),Client_List!$A:$A,0)),""))</f>
        <v/>
      </c>
      <c r="F3408" s="53">
        <f>IF(B3408="","",IFERROR(INDEX(Client_List!$D:$D,MATCH(VALUE(B3408),Client_List!$A:$A,0)),""))</f>
        <v/>
      </c>
      <c r="G3408" s="53">
        <f>IF(B3408="","",IFERROR(INDEX(Client_List!$K:$K,MATCH(VALUE(B3408),Client_List!$A:$A,0)),""))</f>
        <v/>
      </c>
      <c r="H3408" s="32">
        <f>IF(B3408="","",IFERROR(INDEX(Client_List!$J:$J,MATCH(VALUE(B3408),Client_List!$A:$A,0)),""))</f>
        <v/>
      </c>
      <c r="I3408" s="70">
        <f>IF(B3408="","",IFERROR(A3408-LOOKUP(2,1/($B$4:$B3407=B3408),$A$4:$A3407),""))</f>
        <v/>
      </c>
      <c r="J3408" s="32">
        <f>IF(B3408="","",IFERROR(D3408/I3408,""))</f>
        <v/>
      </c>
      <c r="K3408" s="71">
        <f>IF(B3408="","",IFERROR(AVERAGEIFS($J$4:$J3408,$B$4:$B3408,B3408,$J$4:$J3408,"&gt;"&amp;0),""))</f>
        <v/>
      </c>
      <c r="L3408" s="12" t="n"/>
    </row>
    <row r="3409" ht="14" customHeight="1" s="72">
      <c r="A3409" s="82" t="n"/>
      <c r="B3409" s="79" t="n"/>
      <c r="C3409" s="69">
        <f>IF(B3409="","",IFERROR(INDEX(Client_List!$B:$B,MATCH(B3409,Client_List!$A:$A,0)),"⚠ NOT FOUND"))</f>
        <v/>
      </c>
      <c r="D3409" s="44" t="n"/>
      <c r="E3409" s="32">
        <f>IF(B3409="","",IFERROR(INDEX(Client_List!$C:$C,MATCH(VALUE(B3409),Client_List!$A:$A,0)),""))</f>
        <v/>
      </c>
      <c r="F3409" s="53">
        <f>IF(B3409="","",IFERROR(INDEX(Client_List!$D:$D,MATCH(VALUE(B3409),Client_List!$A:$A,0)),""))</f>
        <v/>
      </c>
      <c r="G3409" s="53">
        <f>IF(B3409="","",IFERROR(INDEX(Client_List!$K:$K,MATCH(VALUE(B3409),Client_List!$A:$A,0)),""))</f>
        <v/>
      </c>
      <c r="H3409" s="32">
        <f>IF(B3409="","",IFERROR(INDEX(Client_List!$J:$J,MATCH(VALUE(B3409),Client_List!$A:$A,0)),""))</f>
        <v/>
      </c>
      <c r="I3409" s="70">
        <f>IF(B3409="","",IFERROR(A3409-LOOKUP(2,1/($B$4:$B3408=B3409),$A$4:$A3408),""))</f>
        <v/>
      </c>
      <c r="J3409" s="32">
        <f>IF(B3409="","",IFERROR(D3409/I3409,""))</f>
        <v/>
      </c>
      <c r="K3409" s="71">
        <f>IF(B3409="","",IFERROR(AVERAGEIFS($J$4:$J3409,$B$4:$B3409,B3409,$J$4:$J3409,"&gt;"&amp;0),""))</f>
        <v/>
      </c>
      <c r="L3409" s="11" t="n"/>
    </row>
    <row r="3410" ht="14" customHeight="1" s="72">
      <c r="A3410" s="83" t="n"/>
      <c r="B3410" s="81" t="n"/>
      <c r="C3410" s="69">
        <f>IF(B3410="","",IFERROR(INDEX(Client_List!$B:$B,MATCH(B3410,Client_List!$A:$A,0)),"⚠ NOT FOUND"))</f>
        <v/>
      </c>
      <c r="D3410" s="45" t="n"/>
      <c r="E3410" s="32">
        <f>IF(B3410="","",IFERROR(INDEX(Client_List!$C:$C,MATCH(VALUE(B3410),Client_List!$A:$A,0)),""))</f>
        <v/>
      </c>
      <c r="F3410" s="53">
        <f>IF(B3410="","",IFERROR(INDEX(Client_List!$D:$D,MATCH(VALUE(B3410),Client_List!$A:$A,0)),""))</f>
        <v/>
      </c>
      <c r="G3410" s="53">
        <f>IF(B3410="","",IFERROR(INDEX(Client_List!$K:$K,MATCH(VALUE(B3410),Client_List!$A:$A,0)),""))</f>
        <v/>
      </c>
      <c r="H3410" s="32">
        <f>IF(B3410="","",IFERROR(INDEX(Client_List!$J:$J,MATCH(VALUE(B3410),Client_List!$A:$A,0)),""))</f>
        <v/>
      </c>
      <c r="I3410" s="70">
        <f>IF(B3410="","",IFERROR(A3410-LOOKUP(2,1/($B$4:$B3409=B3410),$A$4:$A3409),""))</f>
        <v/>
      </c>
      <c r="J3410" s="32">
        <f>IF(B3410="","",IFERROR(D3410/I3410,""))</f>
        <v/>
      </c>
      <c r="K3410" s="71">
        <f>IF(B3410="","",IFERROR(AVERAGEIFS($J$4:$J3410,$B$4:$B3410,B3410,$J$4:$J3410,"&gt;"&amp;0),""))</f>
        <v/>
      </c>
      <c r="L3410" s="12" t="n"/>
    </row>
    <row r="3411" ht="14" customHeight="1" s="72">
      <c r="A3411" s="82" t="n"/>
      <c r="B3411" s="79" t="n"/>
      <c r="C3411" s="69">
        <f>IF(B3411="","",IFERROR(INDEX(Client_List!$B:$B,MATCH(B3411,Client_List!$A:$A,0)),"⚠ NOT FOUND"))</f>
        <v/>
      </c>
      <c r="D3411" s="44" t="n"/>
      <c r="E3411" s="32">
        <f>IF(B3411="","",IFERROR(INDEX(Client_List!$C:$C,MATCH(VALUE(B3411),Client_List!$A:$A,0)),""))</f>
        <v/>
      </c>
      <c r="F3411" s="53">
        <f>IF(B3411="","",IFERROR(INDEX(Client_List!$D:$D,MATCH(VALUE(B3411),Client_List!$A:$A,0)),""))</f>
        <v/>
      </c>
      <c r="G3411" s="53">
        <f>IF(B3411="","",IFERROR(INDEX(Client_List!$K:$K,MATCH(VALUE(B3411),Client_List!$A:$A,0)),""))</f>
        <v/>
      </c>
      <c r="H3411" s="32">
        <f>IF(B3411="","",IFERROR(INDEX(Client_List!$J:$J,MATCH(VALUE(B3411),Client_List!$A:$A,0)),""))</f>
        <v/>
      </c>
      <c r="I3411" s="70">
        <f>IF(B3411="","",IFERROR(A3411-LOOKUP(2,1/($B$4:$B3410=B3411),$A$4:$A3410),""))</f>
        <v/>
      </c>
      <c r="J3411" s="32">
        <f>IF(B3411="","",IFERROR(D3411/I3411,""))</f>
        <v/>
      </c>
      <c r="K3411" s="71">
        <f>IF(B3411="","",IFERROR(AVERAGEIFS($J$4:$J3411,$B$4:$B3411,B3411,$J$4:$J3411,"&gt;"&amp;0),""))</f>
        <v/>
      </c>
      <c r="L3411" s="11" t="n"/>
    </row>
    <row r="3412" ht="14" customHeight="1" s="72">
      <c r="A3412" s="83" t="n"/>
      <c r="B3412" s="81" t="n"/>
      <c r="C3412" s="69">
        <f>IF(B3412="","",IFERROR(INDEX(Client_List!$B:$B,MATCH(B3412,Client_List!$A:$A,0)),"⚠ NOT FOUND"))</f>
        <v/>
      </c>
      <c r="D3412" s="45" t="n"/>
      <c r="E3412" s="32">
        <f>IF(B3412="","",IFERROR(INDEX(Client_List!$C:$C,MATCH(VALUE(B3412),Client_List!$A:$A,0)),""))</f>
        <v/>
      </c>
      <c r="F3412" s="53">
        <f>IF(B3412="","",IFERROR(INDEX(Client_List!$D:$D,MATCH(VALUE(B3412),Client_List!$A:$A,0)),""))</f>
        <v/>
      </c>
      <c r="G3412" s="53">
        <f>IF(B3412="","",IFERROR(INDEX(Client_List!$K:$K,MATCH(VALUE(B3412),Client_List!$A:$A,0)),""))</f>
        <v/>
      </c>
      <c r="H3412" s="32">
        <f>IF(B3412="","",IFERROR(INDEX(Client_List!$J:$J,MATCH(VALUE(B3412),Client_List!$A:$A,0)),""))</f>
        <v/>
      </c>
      <c r="I3412" s="70">
        <f>IF(B3412="","",IFERROR(A3412-LOOKUP(2,1/($B$4:$B3411=B3412),$A$4:$A3411),""))</f>
        <v/>
      </c>
      <c r="J3412" s="32">
        <f>IF(B3412="","",IFERROR(D3412/I3412,""))</f>
        <v/>
      </c>
      <c r="K3412" s="71">
        <f>IF(B3412="","",IFERROR(AVERAGEIFS($J$4:$J3412,$B$4:$B3412,B3412,$J$4:$J3412,"&gt;"&amp;0),""))</f>
        <v/>
      </c>
      <c r="L3412" s="12" t="n"/>
    </row>
    <row r="3413" ht="14" customHeight="1" s="72">
      <c r="A3413" s="82" t="n"/>
      <c r="B3413" s="79" t="n"/>
      <c r="C3413" s="69">
        <f>IF(B3413="","",IFERROR(INDEX(Client_List!$B:$B,MATCH(B3413,Client_List!$A:$A,0)),"⚠ NOT FOUND"))</f>
        <v/>
      </c>
      <c r="D3413" s="44" t="n"/>
      <c r="E3413" s="32">
        <f>IF(B3413="","",IFERROR(INDEX(Client_List!$C:$C,MATCH(VALUE(B3413),Client_List!$A:$A,0)),""))</f>
        <v/>
      </c>
      <c r="F3413" s="53">
        <f>IF(B3413="","",IFERROR(INDEX(Client_List!$D:$D,MATCH(VALUE(B3413),Client_List!$A:$A,0)),""))</f>
        <v/>
      </c>
      <c r="G3413" s="53">
        <f>IF(B3413="","",IFERROR(INDEX(Client_List!$K:$K,MATCH(VALUE(B3413),Client_List!$A:$A,0)),""))</f>
        <v/>
      </c>
      <c r="H3413" s="32">
        <f>IF(B3413="","",IFERROR(INDEX(Client_List!$J:$J,MATCH(VALUE(B3413),Client_List!$A:$A,0)),""))</f>
        <v/>
      </c>
      <c r="I3413" s="70">
        <f>IF(B3413="","",IFERROR(A3413-LOOKUP(2,1/($B$4:$B3412=B3413),$A$4:$A3412),""))</f>
        <v/>
      </c>
      <c r="J3413" s="32">
        <f>IF(B3413="","",IFERROR(D3413/I3413,""))</f>
        <v/>
      </c>
      <c r="K3413" s="71">
        <f>IF(B3413="","",IFERROR(AVERAGEIFS($J$4:$J3413,$B$4:$B3413,B3413,$J$4:$J3413,"&gt;"&amp;0),""))</f>
        <v/>
      </c>
      <c r="L3413" s="11" t="n"/>
    </row>
    <row r="3414" ht="14" customHeight="1" s="72">
      <c r="A3414" s="83" t="n"/>
      <c r="B3414" s="81" t="n"/>
      <c r="C3414" s="69">
        <f>IF(B3414="","",IFERROR(INDEX(Client_List!$B:$B,MATCH(B3414,Client_List!$A:$A,0)),"⚠ NOT FOUND"))</f>
        <v/>
      </c>
      <c r="D3414" s="45" t="n"/>
      <c r="E3414" s="32">
        <f>IF(B3414="","",IFERROR(INDEX(Client_List!$C:$C,MATCH(VALUE(B3414),Client_List!$A:$A,0)),""))</f>
        <v/>
      </c>
      <c r="F3414" s="53">
        <f>IF(B3414="","",IFERROR(INDEX(Client_List!$D:$D,MATCH(VALUE(B3414),Client_List!$A:$A,0)),""))</f>
        <v/>
      </c>
      <c r="G3414" s="53">
        <f>IF(B3414="","",IFERROR(INDEX(Client_List!$K:$K,MATCH(VALUE(B3414),Client_List!$A:$A,0)),""))</f>
        <v/>
      </c>
      <c r="H3414" s="32">
        <f>IF(B3414="","",IFERROR(INDEX(Client_List!$J:$J,MATCH(VALUE(B3414),Client_List!$A:$A,0)),""))</f>
        <v/>
      </c>
      <c r="I3414" s="70">
        <f>IF(B3414="","",IFERROR(A3414-LOOKUP(2,1/($B$4:$B3413=B3414),$A$4:$A3413),""))</f>
        <v/>
      </c>
      <c r="J3414" s="32">
        <f>IF(B3414="","",IFERROR(D3414/I3414,""))</f>
        <v/>
      </c>
      <c r="K3414" s="71">
        <f>IF(B3414="","",IFERROR(AVERAGEIFS($J$4:$J3414,$B$4:$B3414,B3414,$J$4:$J3414,"&gt;"&amp;0),""))</f>
        <v/>
      </c>
      <c r="L3414" s="12" t="n"/>
    </row>
    <row r="3415" ht="14" customHeight="1" s="72">
      <c r="A3415" s="82" t="n"/>
      <c r="B3415" s="79" t="n"/>
      <c r="C3415" s="69">
        <f>IF(B3415="","",IFERROR(INDEX(Client_List!$B:$B,MATCH(B3415,Client_List!$A:$A,0)),"⚠ NOT FOUND"))</f>
        <v/>
      </c>
      <c r="D3415" s="44" t="n"/>
      <c r="E3415" s="32">
        <f>IF(B3415="","",IFERROR(INDEX(Client_List!$C:$C,MATCH(VALUE(B3415),Client_List!$A:$A,0)),""))</f>
        <v/>
      </c>
      <c r="F3415" s="53">
        <f>IF(B3415="","",IFERROR(INDEX(Client_List!$D:$D,MATCH(VALUE(B3415),Client_List!$A:$A,0)),""))</f>
        <v/>
      </c>
      <c r="G3415" s="53">
        <f>IF(B3415="","",IFERROR(INDEX(Client_List!$K:$K,MATCH(VALUE(B3415),Client_List!$A:$A,0)),""))</f>
        <v/>
      </c>
      <c r="H3415" s="32">
        <f>IF(B3415="","",IFERROR(INDEX(Client_List!$J:$J,MATCH(VALUE(B3415),Client_List!$A:$A,0)),""))</f>
        <v/>
      </c>
      <c r="I3415" s="70">
        <f>IF(B3415="","",IFERROR(A3415-LOOKUP(2,1/($B$4:$B3414=B3415),$A$4:$A3414),""))</f>
        <v/>
      </c>
      <c r="J3415" s="32">
        <f>IF(B3415="","",IFERROR(D3415/I3415,""))</f>
        <v/>
      </c>
      <c r="K3415" s="71">
        <f>IF(B3415="","",IFERROR(AVERAGEIFS($J$4:$J3415,$B$4:$B3415,B3415,$J$4:$J3415,"&gt;"&amp;0),""))</f>
        <v/>
      </c>
      <c r="L3415" s="11" t="n"/>
    </row>
    <row r="3416" ht="14" customHeight="1" s="72">
      <c r="A3416" s="83" t="n"/>
      <c r="B3416" s="81" t="n"/>
      <c r="C3416" s="69">
        <f>IF(B3416="","",IFERROR(INDEX(Client_List!$B:$B,MATCH(B3416,Client_List!$A:$A,0)),"⚠ NOT FOUND"))</f>
        <v/>
      </c>
      <c r="D3416" s="45" t="n"/>
      <c r="E3416" s="32">
        <f>IF(B3416="","",IFERROR(INDEX(Client_List!$C:$C,MATCH(VALUE(B3416),Client_List!$A:$A,0)),""))</f>
        <v/>
      </c>
      <c r="F3416" s="53">
        <f>IF(B3416="","",IFERROR(INDEX(Client_List!$D:$D,MATCH(VALUE(B3416),Client_List!$A:$A,0)),""))</f>
        <v/>
      </c>
      <c r="G3416" s="53">
        <f>IF(B3416="","",IFERROR(INDEX(Client_List!$K:$K,MATCH(VALUE(B3416),Client_List!$A:$A,0)),""))</f>
        <v/>
      </c>
      <c r="H3416" s="32">
        <f>IF(B3416="","",IFERROR(INDEX(Client_List!$J:$J,MATCH(VALUE(B3416),Client_List!$A:$A,0)),""))</f>
        <v/>
      </c>
      <c r="I3416" s="70">
        <f>IF(B3416="","",IFERROR(A3416-LOOKUP(2,1/($B$4:$B3415=B3416),$A$4:$A3415),""))</f>
        <v/>
      </c>
      <c r="J3416" s="32">
        <f>IF(B3416="","",IFERROR(D3416/I3416,""))</f>
        <v/>
      </c>
      <c r="K3416" s="71">
        <f>IF(B3416="","",IFERROR(AVERAGEIFS($J$4:$J3416,$B$4:$B3416,B3416,$J$4:$J3416,"&gt;"&amp;0),""))</f>
        <v/>
      </c>
      <c r="L3416" s="12" t="n"/>
    </row>
    <row r="3417" ht="14" customHeight="1" s="72">
      <c r="A3417" s="82" t="n"/>
      <c r="B3417" s="79" t="n"/>
      <c r="C3417" s="69">
        <f>IF(B3417="","",IFERROR(INDEX(Client_List!$B:$B,MATCH(B3417,Client_List!$A:$A,0)),"⚠ NOT FOUND"))</f>
        <v/>
      </c>
      <c r="D3417" s="44" t="n"/>
      <c r="E3417" s="32">
        <f>IF(B3417="","",IFERROR(INDEX(Client_List!$C:$C,MATCH(VALUE(B3417),Client_List!$A:$A,0)),""))</f>
        <v/>
      </c>
      <c r="F3417" s="53">
        <f>IF(B3417="","",IFERROR(INDEX(Client_List!$D:$D,MATCH(VALUE(B3417),Client_List!$A:$A,0)),""))</f>
        <v/>
      </c>
      <c r="G3417" s="53">
        <f>IF(B3417="","",IFERROR(INDEX(Client_List!$K:$K,MATCH(VALUE(B3417),Client_List!$A:$A,0)),""))</f>
        <v/>
      </c>
      <c r="H3417" s="32">
        <f>IF(B3417="","",IFERROR(INDEX(Client_List!$J:$J,MATCH(VALUE(B3417),Client_List!$A:$A,0)),""))</f>
        <v/>
      </c>
      <c r="I3417" s="70">
        <f>IF(B3417="","",IFERROR(A3417-LOOKUP(2,1/($B$4:$B3416=B3417),$A$4:$A3416),""))</f>
        <v/>
      </c>
      <c r="J3417" s="32">
        <f>IF(B3417="","",IFERROR(D3417/I3417,""))</f>
        <v/>
      </c>
      <c r="K3417" s="71">
        <f>IF(B3417="","",IFERROR(AVERAGEIFS($J$4:$J3417,$B$4:$B3417,B3417,$J$4:$J3417,"&gt;"&amp;0),""))</f>
        <v/>
      </c>
      <c r="L3417" s="11" t="n"/>
    </row>
    <row r="3418" ht="14" customHeight="1" s="72">
      <c r="A3418" s="83" t="n"/>
      <c r="B3418" s="81" t="n"/>
      <c r="C3418" s="69">
        <f>IF(B3418="","",IFERROR(INDEX(Client_List!$B:$B,MATCH(B3418,Client_List!$A:$A,0)),"⚠ NOT FOUND"))</f>
        <v/>
      </c>
      <c r="D3418" s="45" t="n"/>
      <c r="E3418" s="32">
        <f>IF(B3418="","",IFERROR(INDEX(Client_List!$C:$C,MATCH(VALUE(B3418),Client_List!$A:$A,0)),""))</f>
        <v/>
      </c>
      <c r="F3418" s="53">
        <f>IF(B3418="","",IFERROR(INDEX(Client_List!$D:$D,MATCH(VALUE(B3418),Client_List!$A:$A,0)),""))</f>
        <v/>
      </c>
      <c r="G3418" s="53">
        <f>IF(B3418="","",IFERROR(INDEX(Client_List!$K:$K,MATCH(VALUE(B3418),Client_List!$A:$A,0)),""))</f>
        <v/>
      </c>
      <c r="H3418" s="32">
        <f>IF(B3418="","",IFERROR(INDEX(Client_List!$J:$J,MATCH(VALUE(B3418),Client_List!$A:$A,0)),""))</f>
        <v/>
      </c>
      <c r="I3418" s="70">
        <f>IF(B3418="","",IFERROR(A3418-LOOKUP(2,1/($B$4:$B3417=B3418),$A$4:$A3417),""))</f>
        <v/>
      </c>
      <c r="J3418" s="32">
        <f>IF(B3418="","",IFERROR(D3418/I3418,""))</f>
        <v/>
      </c>
      <c r="K3418" s="71">
        <f>IF(B3418="","",IFERROR(AVERAGEIFS($J$4:$J3418,$B$4:$B3418,B3418,$J$4:$J3418,"&gt;"&amp;0),""))</f>
        <v/>
      </c>
      <c r="L3418" s="12" t="n"/>
    </row>
    <row r="3419" ht="14" customHeight="1" s="72">
      <c r="A3419" s="82" t="n"/>
      <c r="B3419" s="79" t="n"/>
      <c r="C3419" s="69">
        <f>IF(B3419="","",IFERROR(INDEX(Client_List!$B:$B,MATCH(B3419,Client_List!$A:$A,0)),"⚠ NOT FOUND"))</f>
        <v/>
      </c>
      <c r="D3419" s="44" t="n"/>
      <c r="E3419" s="32">
        <f>IF(B3419="","",IFERROR(INDEX(Client_List!$C:$C,MATCH(VALUE(B3419),Client_List!$A:$A,0)),""))</f>
        <v/>
      </c>
      <c r="F3419" s="53">
        <f>IF(B3419="","",IFERROR(INDEX(Client_List!$D:$D,MATCH(VALUE(B3419),Client_List!$A:$A,0)),""))</f>
        <v/>
      </c>
      <c r="G3419" s="53">
        <f>IF(B3419="","",IFERROR(INDEX(Client_List!$K:$K,MATCH(VALUE(B3419),Client_List!$A:$A,0)),""))</f>
        <v/>
      </c>
      <c r="H3419" s="32">
        <f>IF(B3419="","",IFERROR(INDEX(Client_List!$J:$J,MATCH(VALUE(B3419),Client_List!$A:$A,0)),""))</f>
        <v/>
      </c>
      <c r="I3419" s="70">
        <f>IF(B3419="","",IFERROR(A3419-LOOKUP(2,1/($B$4:$B3418=B3419),$A$4:$A3418),""))</f>
        <v/>
      </c>
      <c r="J3419" s="32">
        <f>IF(B3419="","",IFERROR(D3419/I3419,""))</f>
        <v/>
      </c>
      <c r="K3419" s="71">
        <f>IF(B3419="","",IFERROR(AVERAGEIFS($J$4:$J3419,$B$4:$B3419,B3419,$J$4:$J3419,"&gt;"&amp;0),""))</f>
        <v/>
      </c>
      <c r="L3419" s="11" t="n"/>
    </row>
    <row r="3420" ht="14" customHeight="1" s="72">
      <c r="A3420" s="83" t="n"/>
      <c r="B3420" s="81" t="n"/>
      <c r="C3420" s="69">
        <f>IF(B3420="","",IFERROR(INDEX(Client_List!$B:$B,MATCH(B3420,Client_List!$A:$A,0)),"⚠ NOT FOUND"))</f>
        <v/>
      </c>
      <c r="D3420" s="45" t="n"/>
      <c r="E3420" s="32">
        <f>IF(B3420="","",IFERROR(INDEX(Client_List!$C:$C,MATCH(VALUE(B3420),Client_List!$A:$A,0)),""))</f>
        <v/>
      </c>
      <c r="F3420" s="53">
        <f>IF(B3420="","",IFERROR(INDEX(Client_List!$D:$D,MATCH(VALUE(B3420),Client_List!$A:$A,0)),""))</f>
        <v/>
      </c>
      <c r="G3420" s="53">
        <f>IF(B3420="","",IFERROR(INDEX(Client_List!$K:$K,MATCH(VALUE(B3420),Client_List!$A:$A,0)),""))</f>
        <v/>
      </c>
      <c r="H3420" s="32">
        <f>IF(B3420="","",IFERROR(INDEX(Client_List!$J:$J,MATCH(VALUE(B3420),Client_List!$A:$A,0)),""))</f>
        <v/>
      </c>
      <c r="I3420" s="70">
        <f>IF(B3420="","",IFERROR(A3420-LOOKUP(2,1/($B$4:$B3419=B3420),$A$4:$A3419),""))</f>
        <v/>
      </c>
      <c r="J3420" s="32">
        <f>IF(B3420="","",IFERROR(D3420/I3420,""))</f>
        <v/>
      </c>
      <c r="K3420" s="71">
        <f>IF(B3420="","",IFERROR(AVERAGEIFS($J$4:$J3420,$B$4:$B3420,B3420,$J$4:$J3420,"&gt;"&amp;0),""))</f>
        <v/>
      </c>
      <c r="L3420" s="12" t="n"/>
    </row>
    <row r="3421" ht="14" customHeight="1" s="72">
      <c r="A3421" s="82" t="n"/>
      <c r="B3421" s="79" t="n"/>
      <c r="C3421" s="69">
        <f>IF(B3421="","",IFERROR(INDEX(Client_List!$B:$B,MATCH(B3421,Client_List!$A:$A,0)),"⚠ NOT FOUND"))</f>
        <v/>
      </c>
      <c r="D3421" s="44" t="n"/>
      <c r="E3421" s="32">
        <f>IF(B3421="","",IFERROR(INDEX(Client_List!$C:$C,MATCH(VALUE(B3421),Client_List!$A:$A,0)),""))</f>
        <v/>
      </c>
      <c r="F3421" s="53">
        <f>IF(B3421="","",IFERROR(INDEX(Client_List!$D:$D,MATCH(VALUE(B3421),Client_List!$A:$A,0)),""))</f>
        <v/>
      </c>
      <c r="G3421" s="53">
        <f>IF(B3421="","",IFERROR(INDEX(Client_List!$K:$K,MATCH(VALUE(B3421),Client_List!$A:$A,0)),""))</f>
        <v/>
      </c>
      <c r="H3421" s="32">
        <f>IF(B3421="","",IFERROR(INDEX(Client_List!$J:$J,MATCH(VALUE(B3421),Client_List!$A:$A,0)),""))</f>
        <v/>
      </c>
      <c r="I3421" s="70">
        <f>IF(B3421="","",IFERROR(A3421-LOOKUP(2,1/($B$4:$B3420=B3421),$A$4:$A3420),""))</f>
        <v/>
      </c>
      <c r="J3421" s="32">
        <f>IF(B3421="","",IFERROR(D3421/I3421,""))</f>
        <v/>
      </c>
      <c r="K3421" s="71">
        <f>IF(B3421="","",IFERROR(AVERAGEIFS($J$4:$J3421,$B$4:$B3421,B3421,$J$4:$J3421,"&gt;"&amp;0),""))</f>
        <v/>
      </c>
      <c r="L3421" s="11" t="n"/>
    </row>
    <row r="3422" ht="14" customHeight="1" s="72">
      <c r="A3422" s="83" t="n"/>
      <c r="B3422" s="81" t="n"/>
      <c r="C3422" s="69">
        <f>IF(B3422="","",IFERROR(INDEX(Client_List!$B:$B,MATCH(B3422,Client_List!$A:$A,0)),"⚠ NOT FOUND"))</f>
        <v/>
      </c>
      <c r="D3422" s="45" t="n"/>
      <c r="E3422" s="32">
        <f>IF(B3422="","",IFERROR(INDEX(Client_List!$C:$C,MATCH(VALUE(B3422),Client_List!$A:$A,0)),""))</f>
        <v/>
      </c>
      <c r="F3422" s="53">
        <f>IF(B3422="","",IFERROR(INDEX(Client_List!$D:$D,MATCH(VALUE(B3422),Client_List!$A:$A,0)),""))</f>
        <v/>
      </c>
      <c r="G3422" s="53">
        <f>IF(B3422="","",IFERROR(INDEX(Client_List!$K:$K,MATCH(VALUE(B3422),Client_List!$A:$A,0)),""))</f>
        <v/>
      </c>
      <c r="H3422" s="32">
        <f>IF(B3422="","",IFERROR(INDEX(Client_List!$J:$J,MATCH(VALUE(B3422),Client_List!$A:$A,0)),""))</f>
        <v/>
      </c>
      <c r="I3422" s="70">
        <f>IF(B3422="","",IFERROR(A3422-LOOKUP(2,1/($B$4:$B3421=B3422),$A$4:$A3421),""))</f>
        <v/>
      </c>
      <c r="J3422" s="32">
        <f>IF(B3422="","",IFERROR(D3422/I3422,""))</f>
        <v/>
      </c>
      <c r="K3422" s="71">
        <f>IF(B3422="","",IFERROR(AVERAGEIFS($J$4:$J3422,$B$4:$B3422,B3422,$J$4:$J3422,"&gt;"&amp;0),""))</f>
        <v/>
      </c>
      <c r="L3422" s="12" t="n"/>
    </row>
    <row r="3423" ht="14" customHeight="1" s="72">
      <c r="A3423" s="82" t="n"/>
      <c r="B3423" s="79" t="n"/>
      <c r="C3423" s="69">
        <f>IF(B3423="","",IFERROR(INDEX(Client_List!$B:$B,MATCH(B3423,Client_List!$A:$A,0)),"⚠ NOT FOUND"))</f>
        <v/>
      </c>
      <c r="D3423" s="44" t="n"/>
      <c r="E3423" s="32">
        <f>IF(B3423="","",IFERROR(INDEX(Client_List!$C:$C,MATCH(VALUE(B3423),Client_List!$A:$A,0)),""))</f>
        <v/>
      </c>
      <c r="F3423" s="53">
        <f>IF(B3423="","",IFERROR(INDEX(Client_List!$D:$D,MATCH(VALUE(B3423),Client_List!$A:$A,0)),""))</f>
        <v/>
      </c>
      <c r="G3423" s="53">
        <f>IF(B3423="","",IFERROR(INDEX(Client_List!$K:$K,MATCH(VALUE(B3423),Client_List!$A:$A,0)),""))</f>
        <v/>
      </c>
      <c r="H3423" s="32">
        <f>IF(B3423="","",IFERROR(INDEX(Client_List!$J:$J,MATCH(VALUE(B3423),Client_List!$A:$A,0)),""))</f>
        <v/>
      </c>
      <c r="I3423" s="70">
        <f>IF(B3423="","",IFERROR(A3423-LOOKUP(2,1/($B$4:$B3422=B3423),$A$4:$A3422),""))</f>
        <v/>
      </c>
      <c r="J3423" s="32">
        <f>IF(B3423="","",IFERROR(D3423/I3423,""))</f>
        <v/>
      </c>
      <c r="K3423" s="71">
        <f>IF(B3423="","",IFERROR(AVERAGEIFS($J$4:$J3423,$B$4:$B3423,B3423,$J$4:$J3423,"&gt;"&amp;0),""))</f>
        <v/>
      </c>
      <c r="L3423" s="11" t="n"/>
    </row>
    <row r="3424" ht="14" customHeight="1" s="72">
      <c r="A3424" s="83" t="n"/>
      <c r="B3424" s="81" t="n"/>
      <c r="C3424" s="69">
        <f>IF(B3424="","",IFERROR(INDEX(Client_List!$B:$B,MATCH(B3424,Client_List!$A:$A,0)),"⚠ NOT FOUND"))</f>
        <v/>
      </c>
      <c r="D3424" s="45" t="n"/>
      <c r="E3424" s="32">
        <f>IF(B3424="","",IFERROR(INDEX(Client_List!$C:$C,MATCH(VALUE(B3424),Client_List!$A:$A,0)),""))</f>
        <v/>
      </c>
      <c r="F3424" s="53">
        <f>IF(B3424="","",IFERROR(INDEX(Client_List!$D:$D,MATCH(VALUE(B3424),Client_List!$A:$A,0)),""))</f>
        <v/>
      </c>
      <c r="G3424" s="53">
        <f>IF(B3424="","",IFERROR(INDEX(Client_List!$K:$K,MATCH(VALUE(B3424),Client_List!$A:$A,0)),""))</f>
        <v/>
      </c>
      <c r="H3424" s="32">
        <f>IF(B3424="","",IFERROR(INDEX(Client_List!$J:$J,MATCH(VALUE(B3424),Client_List!$A:$A,0)),""))</f>
        <v/>
      </c>
      <c r="I3424" s="70">
        <f>IF(B3424="","",IFERROR(A3424-LOOKUP(2,1/($B$4:$B3423=B3424),$A$4:$A3423),""))</f>
        <v/>
      </c>
      <c r="J3424" s="32">
        <f>IF(B3424="","",IFERROR(D3424/I3424,""))</f>
        <v/>
      </c>
      <c r="K3424" s="71">
        <f>IF(B3424="","",IFERROR(AVERAGEIFS($J$4:$J3424,$B$4:$B3424,B3424,$J$4:$J3424,"&gt;"&amp;0),""))</f>
        <v/>
      </c>
      <c r="L3424" s="12" t="n"/>
    </row>
    <row r="3425" ht="14" customHeight="1" s="72">
      <c r="A3425" s="82" t="n"/>
      <c r="B3425" s="79" t="n"/>
      <c r="C3425" s="69">
        <f>IF(B3425="","",IFERROR(INDEX(Client_List!$B:$B,MATCH(B3425,Client_List!$A:$A,0)),"⚠ NOT FOUND"))</f>
        <v/>
      </c>
      <c r="D3425" s="44" t="n"/>
      <c r="E3425" s="32">
        <f>IF(B3425="","",IFERROR(INDEX(Client_List!$C:$C,MATCH(VALUE(B3425),Client_List!$A:$A,0)),""))</f>
        <v/>
      </c>
      <c r="F3425" s="53">
        <f>IF(B3425="","",IFERROR(INDEX(Client_List!$D:$D,MATCH(VALUE(B3425),Client_List!$A:$A,0)),""))</f>
        <v/>
      </c>
      <c r="G3425" s="53">
        <f>IF(B3425="","",IFERROR(INDEX(Client_List!$K:$K,MATCH(VALUE(B3425),Client_List!$A:$A,0)),""))</f>
        <v/>
      </c>
      <c r="H3425" s="32">
        <f>IF(B3425="","",IFERROR(INDEX(Client_List!$J:$J,MATCH(VALUE(B3425),Client_List!$A:$A,0)),""))</f>
        <v/>
      </c>
      <c r="I3425" s="70">
        <f>IF(B3425="","",IFERROR(A3425-LOOKUP(2,1/($B$4:$B3424=B3425),$A$4:$A3424),""))</f>
        <v/>
      </c>
      <c r="J3425" s="32">
        <f>IF(B3425="","",IFERROR(D3425/I3425,""))</f>
        <v/>
      </c>
      <c r="K3425" s="71">
        <f>IF(B3425="","",IFERROR(AVERAGEIFS($J$4:$J3425,$B$4:$B3425,B3425,$J$4:$J3425,"&gt;"&amp;0),""))</f>
        <v/>
      </c>
      <c r="L3425" s="11" t="n"/>
    </row>
    <row r="3426" ht="14" customHeight="1" s="72">
      <c r="A3426" s="83" t="n"/>
      <c r="B3426" s="81" t="n"/>
      <c r="C3426" s="69">
        <f>IF(B3426="","",IFERROR(INDEX(Client_List!$B:$B,MATCH(B3426,Client_List!$A:$A,0)),"⚠ NOT FOUND"))</f>
        <v/>
      </c>
      <c r="D3426" s="45" t="n"/>
      <c r="E3426" s="32">
        <f>IF(B3426="","",IFERROR(INDEX(Client_List!$C:$C,MATCH(VALUE(B3426),Client_List!$A:$A,0)),""))</f>
        <v/>
      </c>
      <c r="F3426" s="53">
        <f>IF(B3426="","",IFERROR(INDEX(Client_List!$D:$D,MATCH(VALUE(B3426),Client_List!$A:$A,0)),""))</f>
        <v/>
      </c>
      <c r="G3426" s="53">
        <f>IF(B3426="","",IFERROR(INDEX(Client_List!$K:$K,MATCH(VALUE(B3426),Client_List!$A:$A,0)),""))</f>
        <v/>
      </c>
      <c r="H3426" s="32">
        <f>IF(B3426="","",IFERROR(INDEX(Client_List!$J:$J,MATCH(VALUE(B3426),Client_List!$A:$A,0)),""))</f>
        <v/>
      </c>
      <c r="I3426" s="70">
        <f>IF(B3426="","",IFERROR(A3426-LOOKUP(2,1/($B$4:$B3425=B3426),$A$4:$A3425),""))</f>
        <v/>
      </c>
      <c r="J3426" s="32">
        <f>IF(B3426="","",IFERROR(D3426/I3426,""))</f>
        <v/>
      </c>
      <c r="K3426" s="71">
        <f>IF(B3426="","",IFERROR(AVERAGEIFS($J$4:$J3426,$B$4:$B3426,B3426,$J$4:$J3426,"&gt;"&amp;0),""))</f>
        <v/>
      </c>
      <c r="L3426" s="12" t="n"/>
    </row>
    <row r="3427" ht="14" customHeight="1" s="72">
      <c r="A3427" s="82" t="n"/>
      <c r="B3427" s="79" t="n"/>
      <c r="C3427" s="69">
        <f>IF(B3427="","",IFERROR(INDEX(Client_List!$B:$B,MATCH(B3427,Client_List!$A:$A,0)),"⚠ NOT FOUND"))</f>
        <v/>
      </c>
      <c r="D3427" s="44" t="n"/>
      <c r="E3427" s="32">
        <f>IF(B3427="","",IFERROR(INDEX(Client_List!$C:$C,MATCH(VALUE(B3427),Client_List!$A:$A,0)),""))</f>
        <v/>
      </c>
      <c r="F3427" s="53">
        <f>IF(B3427="","",IFERROR(INDEX(Client_List!$D:$D,MATCH(VALUE(B3427),Client_List!$A:$A,0)),""))</f>
        <v/>
      </c>
      <c r="G3427" s="53">
        <f>IF(B3427="","",IFERROR(INDEX(Client_List!$K:$K,MATCH(VALUE(B3427),Client_List!$A:$A,0)),""))</f>
        <v/>
      </c>
      <c r="H3427" s="32">
        <f>IF(B3427="","",IFERROR(INDEX(Client_List!$J:$J,MATCH(VALUE(B3427),Client_List!$A:$A,0)),""))</f>
        <v/>
      </c>
      <c r="I3427" s="70">
        <f>IF(B3427="","",IFERROR(A3427-LOOKUP(2,1/($B$4:$B3426=B3427),$A$4:$A3426),""))</f>
        <v/>
      </c>
      <c r="J3427" s="32">
        <f>IF(B3427="","",IFERROR(D3427/I3427,""))</f>
        <v/>
      </c>
      <c r="K3427" s="71">
        <f>IF(B3427="","",IFERROR(AVERAGEIFS($J$4:$J3427,$B$4:$B3427,B3427,$J$4:$J3427,"&gt;"&amp;0),""))</f>
        <v/>
      </c>
      <c r="L3427" s="11" t="n"/>
    </row>
    <row r="3428" ht="14" customHeight="1" s="72">
      <c r="A3428" s="83" t="n"/>
      <c r="B3428" s="81" t="n"/>
      <c r="C3428" s="69">
        <f>IF(B3428="","",IFERROR(INDEX(Client_List!$B:$B,MATCH(B3428,Client_List!$A:$A,0)),"⚠ NOT FOUND"))</f>
        <v/>
      </c>
      <c r="D3428" s="45" t="n"/>
      <c r="E3428" s="32">
        <f>IF(B3428="","",IFERROR(INDEX(Client_List!$C:$C,MATCH(VALUE(B3428),Client_List!$A:$A,0)),""))</f>
        <v/>
      </c>
      <c r="F3428" s="53">
        <f>IF(B3428="","",IFERROR(INDEX(Client_List!$D:$D,MATCH(VALUE(B3428),Client_List!$A:$A,0)),""))</f>
        <v/>
      </c>
      <c r="G3428" s="53">
        <f>IF(B3428="","",IFERROR(INDEX(Client_List!$K:$K,MATCH(VALUE(B3428),Client_List!$A:$A,0)),""))</f>
        <v/>
      </c>
      <c r="H3428" s="32">
        <f>IF(B3428="","",IFERROR(INDEX(Client_List!$J:$J,MATCH(VALUE(B3428),Client_List!$A:$A,0)),""))</f>
        <v/>
      </c>
      <c r="I3428" s="70">
        <f>IF(B3428="","",IFERROR(A3428-LOOKUP(2,1/($B$4:$B3427=B3428),$A$4:$A3427),""))</f>
        <v/>
      </c>
      <c r="J3428" s="32">
        <f>IF(B3428="","",IFERROR(D3428/I3428,""))</f>
        <v/>
      </c>
      <c r="K3428" s="71">
        <f>IF(B3428="","",IFERROR(AVERAGEIFS($J$4:$J3428,$B$4:$B3428,B3428,$J$4:$J3428,"&gt;"&amp;0),""))</f>
        <v/>
      </c>
      <c r="L3428" s="12" t="n"/>
    </row>
    <row r="3429" ht="14" customHeight="1" s="72">
      <c r="A3429" s="82" t="n"/>
      <c r="B3429" s="79" t="n"/>
      <c r="C3429" s="69">
        <f>IF(B3429="","",IFERROR(INDEX(Client_List!$B:$B,MATCH(B3429,Client_List!$A:$A,0)),"⚠ NOT FOUND"))</f>
        <v/>
      </c>
      <c r="D3429" s="44" t="n"/>
      <c r="E3429" s="32">
        <f>IF(B3429="","",IFERROR(INDEX(Client_List!$C:$C,MATCH(VALUE(B3429),Client_List!$A:$A,0)),""))</f>
        <v/>
      </c>
      <c r="F3429" s="53">
        <f>IF(B3429="","",IFERROR(INDEX(Client_List!$D:$D,MATCH(VALUE(B3429),Client_List!$A:$A,0)),""))</f>
        <v/>
      </c>
      <c r="G3429" s="53">
        <f>IF(B3429="","",IFERROR(INDEX(Client_List!$K:$K,MATCH(VALUE(B3429),Client_List!$A:$A,0)),""))</f>
        <v/>
      </c>
      <c r="H3429" s="32">
        <f>IF(B3429="","",IFERROR(INDEX(Client_List!$J:$J,MATCH(VALUE(B3429),Client_List!$A:$A,0)),""))</f>
        <v/>
      </c>
      <c r="I3429" s="70">
        <f>IF(B3429="","",IFERROR(A3429-LOOKUP(2,1/($B$4:$B3428=B3429),$A$4:$A3428),""))</f>
        <v/>
      </c>
      <c r="J3429" s="32">
        <f>IF(B3429="","",IFERROR(D3429/I3429,""))</f>
        <v/>
      </c>
      <c r="K3429" s="71">
        <f>IF(B3429="","",IFERROR(AVERAGEIFS($J$4:$J3429,$B$4:$B3429,B3429,$J$4:$J3429,"&gt;"&amp;0),""))</f>
        <v/>
      </c>
      <c r="L3429" s="11" t="n"/>
    </row>
    <row r="3430" ht="14" customHeight="1" s="72">
      <c r="A3430" s="83" t="n"/>
      <c r="B3430" s="81" t="n"/>
      <c r="C3430" s="69">
        <f>IF(B3430="","",IFERROR(INDEX(Client_List!$B:$B,MATCH(B3430,Client_List!$A:$A,0)),"⚠ NOT FOUND"))</f>
        <v/>
      </c>
      <c r="D3430" s="45" t="n"/>
      <c r="E3430" s="32">
        <f>IF(B3430="","",IFERROR(INDEX(Client_List!$C:$C,MATCH(VALUE(B3430),Client_List!$A:$A,0)),""))</f>
        <v/>
      </c>
      <c r="F3430" s="53">
        <f>IF(B3430="","",IFERROR(INDEX(Client_List!$D:$D,MATCH(VALUE(B3430),Client_List!$A:$A,0)),""))</f>
        <v/>
      </c>
      <c r="G3430" s="53">
        <f>IF(B3430="","",IFERROR(INDEX(Client_List!$K:$K,MATCH(VALUE(B3430),Client_List!$A:$A,0)),""))</f>
        <v/>
      </c>
      <c r="H3430" s="32">
        <f>IF(B3430="","",IFERROR(INDEX(Client_List!$J:$J,MATCH(VALUE(B3430),Client_List!$A:$A,0)),""))</f>
        <v/>
      </c>
      <c r="I3430" s="70">
        <f>IF(B3430="","",IFERROR(A3430-LOOKUP(2,1/($B$4:$B3429=B3430),$A$4:$A3429),""))</f>
        <v/>
      </c>
      <c r="J3430" s="32">
        <f>IF(B3430="","",IFERROR(D3430/I3430,""))</f>
        <v/>
      </c>
      <c r="K3430" s="71">
        <f>IF(B3430="","",IFERROR(AVERAGEIFS($J$4:$J3430,$B$4:$B3430,B3430,$J$4:$J3430,"&gt;"&amp;0),""))</f>
        <v/>
      </c>
      <c r="L3430" s="12" t="n"/>
    </row>
    <row r="3431" ht="14" customHeight="1" s="72">
      <c r="A3431" s="82" t="n"/>
      <c r="B3431" s="79" t="n"/>
      <c r="C3431" s="69">
        <f>IF(B3431="","",IFERROR(INDEX(Client_List!$B:$B,MATCH(B3431,Client_List!$A:$A,0)),"⚠ NOT FOUND"))</f>
        <v/>
      </c>
      <c r="D3431" s="44" t="n"/>
      <c r="E3431" s="32">
        <f>IF(B3431="","",IFERROR(INDEX(Client_List!$C:$C,MATCH(VALUE(B3431),Client_List!$A:$A,0)),""))</f>
        <v/>
      </c>
      <c r="F3431" s="53">
        <f>IF(B3431="","",IFERROR(INDEX(Client_List!$D:$D,MATCH(VALUE(B3431),Client_List!$A:$A,0)),""))</f>
        <v/>
      </c>
      <c r="G3431" s="53">
        <f>IF(B3431="","",IFERROR(INDEX(Client_List!$K:$K,MATCH(VALUE(B3431),Client_List!$A:$A,0)),""))</f>
        <v/>
      </c>
      <c r="H3431" s="32">
        <f>IF(B3431="","",IFERROR(INDEX(Client_List!$J:$J,MATCH(VALUE(B3431),Client_List!$A:$A,0)),""))</f>
        <v/>
      </c>
      <c r="I3431" s="70">
        <f>IF(B3431="","",IFERROR(A3431-LOOKUP(2,1/($B$4:$B3430=B3431),$A$4:$A3430),""))</f>
        <v/>
      </c>
      <c r="J3431" s="32">
        <f>IF(B3431="","",IFERROR(D3431/I3431,""))</f>
        <v/>
      </c>
      <c r="K3431" s="71">
        <f>IF(B3431="","",IFERROR(AVERAGEIFS($J$4:$J3431,$B$4:$B3431,B3431,$J$4:$J3431,"&gt;"&amp;0),""))</f>
        <v/>
      </c>
      <c r="L3431" s="11" t="n"/>
    </row>
    <row r="3432" ht="14" customHeight="1" s="72">
      <c r="A3432" s="83" t="n"/>
      <c r="B3432" s="81" t="n"/>
      <c r="C3432" s="69">
        <f>IF(B3432="","",IFERROR(INDEX(Client_List!$B:$B,MATCH(B3432,Client_List!$A:$A,0)),"⚠ NOT FOUND"))</f>
        <v/>
      </c>
      <c r="D3432" s="45" t="n"/>
      <c r="E3432" s="32">
        <f>IF(B3432="","",IFERROR(INDEX(Client_List!$C:$C,MATCH(VALUE(B3432),Client_List!$A:$A,0)),""))</f>
        <v/>
      </c>
      <c r="F3432" s="53">
        <f>IF(B3432="","",IFERROR(INDEX(Client_List!$D:$D,MATCH(VALUE(B3432),Client_List!$A:$A,0)),""))</f>
        <v/>
      </c>
      <c r="G3432" s="53">
        <f>IF(B3432="","",IFERROR(INDEX(Client_List!$K:$K,MATCH(VALUE(B3432),Client_List!$A:$A,0)),""))</f>
        <v/>
      </c>
      <c r="H3432" s="32">
        <f>IF(B3432="","",IFERROR(INDEX(Client_List!$J:$J,MATCH(VALUE(B3432),Client_List!$A:$A,0)),""))</f>
        <v/>
      </c>
      <c r="I3432" s="70">
        <f>IF(B3432="","",IFERROR(A3432-LOOKUP(2,1/($B$4:$B3431=B3432),$A$4:$A3431),""))</f>
        <v/>
      </c>
      <c r="J3432" s="32">
        <f>IF(B3432="","",IFERROR(D3432/I3432,""))</f>
        <v/>
      </c>
      <c r="K3432" s="71">
        <f>IF(B3432="","",IFERROR(AVERAGEIFS($J$4:$J3432,$B$4:$B3432,B3432,$J$4:$J3432,"&gt;"&amp;0),""))</f>
        <v/>
      </c>
      <c r="L3432" s="12" t="n"/>
    </row>
    <row r="3433" ht="14" customHeight="1" s="72">
      <c r="A3433" s="82" t="n"/>
      <c r="B3433" s="79" t="n"/>
      <c r="C3433" s="69">
        <f>IF(B3433="","",IFERROR(INDEX(Client_List!$B:$B,MATCH(B3433,Client_List!$A:$A,0)),"⚠ NOT FOUND"))</f>
        <v/>
      </c>
      <c r="D3433" s="44" t="n"/>
      <c r="E3433" s="32">
        <f>IF(B3433="","",IFERROR(INDEX(Client_List!$C:$C,MATCH(VALUE(B3433),Client_List!$A:$A,0)),""))</f>
        <v/>
      </c>
      <c r="F3433" s="53">
        <f>IF(B3433="","",IFERROR(INDEX(Client_List!$D:$D,MATCH(VALUE(B3433),Client_List!$A:$A,0)),""))</f>
        <v/>
      </c>
      <c r="G3433" s="53">
        <f>IF(B3433="","",IFERROR(INDEX(Client_List!$K:$K,MATCH(VALUE(B3433),Client_List!$A:$A,0)),""))</f>
        <v/>
      </c>
      <c r="H3433" s="32">
        <f>IF(B3433="","",IFERROR(INDEX(Client_List!$J:$J,MATCH(VALUE(B3433),Client_List!$A:$A,0)),""))</f>
        <v/>
      </c>
      <c r="I3433" s="70">
        <f>IF(B3433="","",IFERROR(A3433-LOOKUP(2,1/($B$4:$B3432=B3433),$A$4:$A3432),""))</f>
        <v/>
      </c>
      <c r="J3433" s="32">
        <f>IF(B3433="","",IFERROR(D3433/I3433,""))</f>
        <v/>
      </c>
      <c r="K3433" s="71">
        <f>IF(B3433="","",IFERROR(AVERAGEIFS($J$4:$J3433,$B$4:$B3433,B3433,$J$4:$J3433,"&gt;"&amp;0),""))</f>
        <v/>
      </c>
      <c r="L3433" s="11" t="n"/>
    </row>
    <row r="3434" ht="14" customHeight="1" s="72">
      <c r="A3434" s="83" t="n"/>
      <c r="B3434" s="81" t="n"/>
      <c r="C3434" s="69">
        <f>IF(B3434="","",IFERROR(INDEX(Client_List!$B:$B,MATCH(B3434,Client_List!$A:$A,0)),"⚠ NOT FOUND"))</f>
        <v/>
      </c>
      <c r="D3434" s="45" t="n"/>
      <c r="E3434" s="32">
        <f>IF(B3434="","",IFERROR(INDEX(Client_List!$C:$C,MATCH(VALUE(B3434),Client_List!$A:$A,0)),""))</f>
        <v/>
      </c>
      <c r="F3434" s="53">
        <f>IF(B3434="","",IFERROR(INDEX(Client_List!$D:$D,MATCH(VALUE(B3434),Client_List!$A:$A,0)),""))</f>
        <v/>
      </c>
      <c r="G3434" s="53">
        <f>IF(B3434="","",IFERROR(INDEX(Client_List!$K:$K,MATCH(VALUE(B3434),Client_List!$A:$A,0)),""))</f>
        <v/>
      </c>
      <c r="H3434" s="32">
        <f>IF(B3434="","",IFERROR(INDEX(Client_List!$J:$J,MATCH(VALUE(B3434),Client_List!$A:$A,0)),""))</f>
        <v/>
      </c>
      <c r="I3434" s="70">
        <f>IF(B3434="","",IFERROR(A3434-LOOKUP(2,1/($B$4:$B3433=B3434),$A$4:$A3433),""))</f>
        <v/>
      </c>
      <c r="J3434" s="32">
        <f>IF(B3434="","",IFERROR(D3434/I3434,""))</f>
        <v/>
      </c>
      <c r="K3434" s="71">
        <f>IF(B3434="","",IFERROR(AVERAGEIFS($J$4:$J3434,$B$4:$B3434,B3434,$J$4:$J3434,"&gt;"&amp;0),""))</f>
        <v/>
      </c>
      <c r="L3434" s="12" t="n"/>
    </row>
    <row r="3435" ht="14" customHeight="1" s="72">
      <c r="A3435" s="82" t="n"/>
      <c r="B3435" s="79" t="n"/>
      <c r="C3435" s="69">
        <f>IF(B3435="","",IFERROR(INDEX(Client_List!$B:$B,MATCH(B3435,Client_List!$A:$A,0)),"⚠ NOT FOUND"))</f>
        <v/>
      </c>
      <c r="D3435" s="44" t="n"/>
      <c r="E3435" s="32">
        <f>IF(B3435="","",IFERROR(INDEX(Client_List!$C:$C,MATCH(VALUE(B3435),Client_List!$A:$A,0)),""))</f>
        <v/>
      </c>
      <c r="F3435" s="53">
        <f>IF(B3435="","",IFERROR(INDEX(Client_List!$D:$D,MATCH(VALUE(B3435),Client_List!$A:$A,0)),""))</f>
        <v/>
      </c>
      <c r="G3435" s="53">
        <f>IF(B3435="","",IFERROR(INDEX(Client_List!$K:$K,MATCH(VALUE(B3435),Client_List!$A:$A,0)),""))</f>
        <v/>
      </c>
      <c r="H3435" s="32">
        <f>IF(B3435="","",IFERROR(INDEX(Client_List!$J:$J,MATCH(VALUE(B3435),Client_List!$A:$A,0)),""))</f>
        <v/>
      </c>
      <c r="I3435" s="70">
        <f>IF(B3435="","",IFERROR(A3435-LOOKUP(2,1/($B$4:$B3434=B3435),$A$4:$A3434),""))</f>
        <v/>
      </c>
      <c r="J3435" s="32">
        <f>IF(B3435="","",IFERROR(D3435/I3435,""))</f>
        <v/>
      </c>
      <c r="K3435" s="71">
        <f>IF(B3435="","",IFERROR(AVERAGEIFS($J$4:$J3435,$B$4:$B3435,B3435,$J$4:$J3435,"&gt;"&amp;0),""))</f>
        <v/>
      </c>
      <c r="L3435" s="11" t="n"/>
    </row>
    <row r="3436" ht="14" customHeight="1" s="72">
      <c r="A3436" s="83" t="n"/>
      <c r="B3436" s="81" t="n"/>
      <c r="C3436" s="69">
        <f>IF(B3436="","",IFERROR(INDEX(Client_List!$B:$B,MATCH(B3436,Client_List!$A:$A,0)),"⚠ NOT FOUND"))</f>
        <v/>
      </c>
      <c r="D3436" s="45" t="n"/>
      <c r="E3436" s="32">
        <f>IF(B3436="","",IFERROR(INDEX(Client_List!$C:$C,MATCH(VALUE(B3436),Client_List!$A:$A,0)),""))</f>
        <v/>
      </c>
      <c r="F3436" s="53">
        <f>IF(B3436="","",IFERROR(INDEX(Client_List!$D:$D,MATCH(VALUE(B3436),Client_List!$A:$A,0)),""))</f>
        <v/>
      </c>
      <c r="G3436" s="53">
        <f>IF(B3436="","",IFERROR(INDEX(Client_List!$K:$K,MATCH(VALUE(B3436),Client_List!$A:$A,0)),""))</f>
        <v/>
      </c>
      <c r="H3436" s="32">
        <f>IF(B3436="","",IFERROR(INDEX(Client_List!$J:$J,MATCH(VALUE(B3436),Client_List!$A:$A,0)),""))</f>
        <v/>
      </c>
      <c r="I3436" s="70">
        <f>IF(B3436="","",IFERROR(A3436-LOOKUP(2,1/($B$4:$B3435=B3436),$A$4:$A3435),""))</f>
        <v/>
      </c>
      <c r="J3436" s="32">
        <f>IF(B3436="","",IFERROR(D3436/I3436,""))</f>
        <v/>
      </c>
      <c r="K3436" s="71">
        <f>IF(B3436="","",IFERROR(AVERAGEIFS($J$4:$J3436,$B$4:$B3436,B3436,$J$4:$J3436,"&gt;"&amp;0),""))</f>
        <v/>
      </c>
      <c r="L3436" s="12" t="n"/>
    </row>
    <row r="3437" ht="14" customHeight="1" s="72">
      <c r="A3437" s="82" t="n"/>
      <c r="B3437" s="79" t="n"/>
      <c r="C3437" s="69">
        <f>IF(B3437="","",IFERROR(INDEX(Client_List!$B:$B,MATCH(B3437,Client_List!$A:$A,0)),"⚠ NOT FOUND"))</f>
        <v/>
      </c>
      <c r="D3437" s="44" t="n"/>
      <c r="E3437" s="32">
        <f>IF(B3437="","",IFERROR(INDEX(Client_List!$C:$C,MATCH(VALUE(B3437),Client_List!$A:$A,0)),""))</f>
        <v/>
      </c>
      <c r="F3437" s="53">
        <f>IF(B3437="","",IFERROR(INDEX(Client_List!$D:$D,MATCH(VALUE(B3437),Client_List!$A:$A,0)),""))</f>
        <v/>
      </c>
      <c r="G3437" s="53">
        <f>IF(B3437="","",IFERROR(INDEX(Client_List!$K:$K,MATCH(VALUE(B3437),Client_List!$A:$A,0)),""))</f>
        <v/>
      </c>
      <c r="H3437" s="32">
        <f>IF(B3437="","",IFERROR(INDEX(Client_List!$J:$J,MATCH(VALUE(B3437),Client_List!$A:$A,0)),""))</f>
        <v/>
      </c>
      <c r="I3437" s="70">
        <f>IF(B3437="","",IFERROR(A3437-LOOKUP(2,1/($B$4:$B3436=B3437),$A$4:$A3436),""))</f>
        <v/>
      </c>
      <c r="J3437" s="32">
        <f>IF(B3437="","",IFERROR(D3437/I3437,""))</f>
        <v/>
      </c>
      <c r="K3437" s="71">
        <f>IF(B3437="","",IFERROR(AVERAGEIFS($J$4:$J3437,$B$4:$B3437,B3437,$J$4:$J3437,"&gt;"&amp;0),""))</f>
        <v/>
      </c>
      <c r="L3437" s="11" t="n"/>
    </row>
    <row r="3438" ht="14" customHeight="1" s="72">
      <c r="A3438" s="83" t="n"/>
      <c r="B3438" s="81" t="n"/>
      <c r="C3438" s="69">
        <f>IF(B3438="","",IFERROR(INDEX(Client_List!$B:$B,MATCH(B3438,Client_List!$A:$A,0)),"⚠ NOT FOUND"))</f>
        <v/>
      </c>
      <c r="D3438" s="45" t="n"/>
      <c r="E3438" s="32">
        <f>IF(B3438="","",IFERROR(INDEX(Client_List!$C:$C,MATCH(VALUE(B3438),Client_List!$A:$A,0)),""))</f>
        <v/>
      </c>
      <c r="F3438" s="53">
        <f>IF(B3438="","",IFERROR(INDEX(Client_List!$D:$D,MATCH(VALUE(B3438),Client_List!$A:$A,0)),""))</f>
        <v/>
      </c>
      <c r="G3438" s="53">
        <f>IF(B3438="","",IFERROR(INDEX(Client_List!$K:$K,MATCH(VALUE(B3438),Client_List!$A:$A,0)),""))</f>
        <v/>
      </c>
      <c r="H3438" s="32">
        <f>IF(B3438="","",IFERROR(INDEX(Client_List!$J:$J,MATCH(VALUE(B3438),Client_List!$A:$A,0)),""))</f>
        <v/>
      </c>
      <c r="I3438" s="70">
        <f>IF(B3438="","",IFERROR(A3438-LOOKUP(2,1/($B$4:$B3437=B3438),$A$4:$A3437),""))</f>
        <v/>
      </c>
      <c r="J3438" s="32">
        <f>IF(B3438="","",IFERROR(D3438/I3438,""))</f>
        <v/>
      </c>
      <c r="K3438" s="71">
        <f>IF(B3438="","",IFERROR(AVERAGEIFS($J$4:$J3438,$B$4:$B3438,B3438,$J$4:$J3438,"&gt;"&amp;0),""))</f>
        <v/>
      </c>
      <c r="L3438" s="12" t="n"/>
    </row>
    <row r="3439" ht="14" customHeight="1" s="72">
      <c r="A3439" s="82" t="n"/>
      <c r="B3439" s="79" t="n"/>
      <c r="C3439" s="69">
        <f>IF(B3439="","",IFERROR(INDEX(Client_List!$B:$B,MATCH(B3439,Client_List!$A:$A,0)),"⚠ NOT FOUND"))</f>
        <v/>
      </c>
      <c r="D3439" s="44" t="n"/>
      <c r="E3439" s="32">
        <f>IF(B3439="","",IFERROR(INDEX(Client_List!$C:$C,MATCH(VALUE(B3439),Client_List!$A:$A,0)),""))</f>
        <v/>
      </c>
      <c r="F3439" s="53">
        <f>IF(B3439="","",IFERROR(INDEX(Client_List!$D:$D,MATCH(VALUE(B3439),Client_List!$A:$A,0)),""))</f>
        <v/>
      </c>
      <c r="G3439" s="53">
        <f>IF(B3439="","",IFERROR(INDEX(Client_List!$K:$K,MATCH(VALUE(B3439),Client_List!$A:$A,0)),""))</f>
        <v/>
      </c>
      <c r="H3439" s="32">
        <f>IF(B3439="","",IFERROR(INDEX(Client_List!$J:$J,MATCH(VALUE(B3439),Client_List!$A:$A,0)),""))</f>
        <v/>
      </c>
      <c r="I3439" s="70">
        <f>IF(B3439="","",IFERROR(A3439-LOOKUP(2,1/($B$4:$B3438=B3439),$A$4:$A3438),""))</f>
        <v/>
      </c>
      <c r="J3439" s="32">
        <f>IF(B3439="","",IFERROR(D3439/I3439,""))</f>
        <v/>
      </c>
      <c r="K3439" s="71">
        <f>IF(B3439="","",IFERROR(AVERAGEIFS($J$4:$J3439,$B$4:$B3439,B3439,$J$4:$J3439,"&gt;"&amp;0),""))</f>
        <v/>
      </c>
      <c r="L3439" s="11" t="n"/>
    </row>
    <row r="3440" ht="14" customHeight="1" s="72">
      <c r="A3440" s="83" t="n"/>
      <c r="B3440" s="81" t="n"/>
      <c r="C3440" s="69">
        <f>IF(B3440="","",IFERROR(INDEX(Client_List!$B:$B,MATCH(B3440,Client_List!$A:$A,0)),"⚠ NOT FOUND"))</f>
        <v/>
      </c>
      <c r="D3440" s="45" t="n"/>
      <c r="E3440" s="32">
        <f>IF(B3440="","",IFERROR(INDEX(Client_List!$C:$C,MATCH(VALUE(B3440),Client_List!$A:$A,0)),""))</f>
        <v/>
      </c>
      <c r="F3440" s="53">
        <f>IF(B3440="","",IFERROR(INDEX(Client_List!$D:$D,MATCH(VALUE(B3440),Client_List!$A:$A,0)),""))</f>
        <v/>
      </c>
      <c r="G3440" s="53">
        <f>IF(B3440="","",IFERROR(INDEX(Client_List!$K:$K,MATCH(VALUE(B3440),Client_List!$A:$A,0)),""))</f>
        <v/>
      </c>
      <c r="H3440" s="32">
        <f>IF(B3440="","",IFERROR(INDEX(Client_List!$J:$J,MATCH(VALUE(B3440),Client_List!$A:$A,0)),""))</f>
        <v/>
      </c>
      <c r="I3440" s="70">
        <f>IF(B3440="","",IFERROR(A3440-LOOKUP(2,1/($B$4:$B3439=B3440),$A$4:$A3439),""))</f>
        <v/>
      </c>
      <c r="J3440" s="32">
        <f>IF(B3440="","",IFERROR(D3440/I3440,""))</f>
        <v/>
      </c>
      <c r="K3440" s="71">
        <f>IF(B3440="","",IFERROR(AVERAGEIFS($J$4:$J3440,$B$4:$B3440,B3440,$J$4:$J3440,"&gt;"&amp;0),""))</f>
        <v/>
      </c>
      <c r="L3440" s="12" t="n"/>
    </row>
    <row r="3441" ht="14" customHeight="1" s="72">
      <c r="A3441" s="82" t="n"/>
      <c r="B3441" s="79" t="n"/>
      <c r="C3441" s="69">
        <f>IF(B3441="","",IFERROR(INDEX(Client_List!$B:$B,MATCH(B3441,Client_List!$A:$A,0)),"⚠ NOT FOUND"))</f>
        <v/>
      </c>
      <c r="D3441" s="44" t="n"/>
      <c r="E3441" s="32">
        <f>IF(B3441="","",IFERROR(INDEX(Client_List!$C:$C,MATCH(VALUE(B3441),Client_List!$A:$A,0)),""))</f>
        <v/>
      </c>
      <c r="F3441" s="53">
        <f>IF(B3441="","",IFERROR(INDEX(Client_List!$D:$D,MATCH(VALUE(B3441),Client_List!$A:$A,0)),""))</f>
        <v/>
      </c>
      <c r="G3441" s="53">
        <f>IF(B3441="","",IFERROR(INDEX(Client_List!$K:$K,MATCH(VALUE(B3441),Client_List!$A:$A,0)),""))</f>
        <v/>
      </c>
      <c r="H3441" s="32">
        <f>IF(B3441="","",IFERROR(INDEX(Client_List!$J:$J,MATCH(VALUE(B3441),Client_List!$A:$A,0)),""))</f>
        <v/>
      </c>
      <c r="I3441" s="70">
        <f>IF(B3441="","",IFERROR(A3441-LOOKUP(2,1/($B$4:$B3440=B3441),$A$4:$A3440),""))</f>
        <v/>
      </c>
      <c r="J3441" s="32">
        <f>IF(B3441="","",IFERROR(D3441/I3441,""))</f>
        <v/>
      </c>
      <c r="K3441" s="71">
        <f>IF(B3441="","",IFERROR(AVERAGEIFS($J$4:$J3441,$B$4:$B3441,B3441,$J$4:$J3441,"&gt;"&amp;0),""))</f>
        <v/>
      </c>
      <c r="L3441" s="11" t="n"/>
    </row>
    <row r="3442" ht="14" customHeight="1" s="72">
      <c r="A3442" s="83" t="n"/>
      <c r="B3442" s="81" t="n"/>
      <c r="C3442" s="69">
        <f>IF(B3442="","",IFERROR(INDEX(Client_List!$B:$B,MATCH(B3442,Client_List!$A:$A,0)),"⚠ NOT FOUND"))</f>
        <v/>
      </c>
      <c r="D3442" s="45" t="n"/>
      <c r="E3442" s="32">
        <f>IF(B3442="","",IFERROR(INDEX(Client_List!$C:$C,MATCH(VALUE(B3442),Client_List!$A:$A,0)),""))</f>
        <v/>
      </c>
      <c r="F3442" s="53">
        <f>IF(B3442="","",IFERROR(INDEX(Client_List!$D:$D,MATCH(VALUE(B3442),Client_List!$A:$A,0)),""))</f>
        <v/>
      </c>
      <c r="G3442" s="53">
        <f>IF(B3442="","",IFERROR(INDEX(Client_List!$K:$K,MATCH(VALUE(B3442),Client_List!$A:$A,0)),""))</f>
        <v/>
      </c>
      <c r="H3442" s="32">
        <f>IF(B3442="","",IFERROR(INDEX(Client_List!$J:$J,MATCH(VALUE(B3442),Client_List!$A:$A,0)),""))</f>
        <v/>
      </c>
      <c r="I3442" s="70">
        <f>IF(B3442="","",IFERROR(A3442-LOOKUP(2,1/($B$4:$B3441=B3442),$A$4:$A3441),""))</f>
        <v/>
      </c>
      <c r="J3442" s="32">
        <f>IF(B3442="","",IFERROR(D3442/I3442,""))</f>
        <v/>
      </c>
      <c r="K3442" s="71">
        <f>IF(B3442="","",IFERROR(AVERAGEIFS($J$4:$J3442,$B$4:$B3442,B3442,$J$4:$J3442,"&gt;"&amp;0),""))</f>
        <v/>
      </c>
      <c r="L3442" s="12" t="n"/>
    </row>
    <row r="3443" ht="14" customHeight="1" s="72">
      <c r="A3443" s="82" t="n"/>
      <c r="B3443" s="79" t="n"/>
      <c r="C3443" s="69">
        <f>IF(B3443="","",IFERROR(INDEX(Client_List!$B:$B,MATCH(B3443,Client_List!$A:$A,0)),"⚠ NOT FOUND"))</f>
        <v/>
      </c>
      <c r="D3443" s="44" t="n"/>
      <c r="E3443" s="32">
        <f>IF(B3443="","",IFERROR(INDEX(Client_List!$C:$C,MATCH(VALUE(B3443),Client_List!$A:$A,0)),""))</f>
        <v/>
      </c>
      <c r="F3443" s="53">
        <f>IF(B3443="","",IFERROR(INDEX(Client_List!$D:$D,MATCH(VALUE(B3443),Client_List!$A:$A,0)),""))</f>
        <v/>
      </c>
      <c r="G3443" s="53">
        <f>IF(B3443="","",IFERROR(INDEX(Client_List!$K:$K,MATCH(VALUE(B3443),Client_List!$A:$A,0)),""))</f>
        <v/>
      </c>
      <c r="H3443" s="32">
        <f>IF(B3443="","",IFERROR(INDEX(Client_List!$J:$J,MATCH(VALUE(B3443),Client_List!$A:$A,0)),""))</f>
        <v/>
      </c>
      <c r="I3443" s="70">
        <f>IF(B3443="","",IFERROR(A3443-LOOKUP(2,1/($B$4:$B3442=B3443),$A$4:$A3442),""))</f>
        <v/>
      </c>
      <c r="J3443" s="32">
        <f>IF(B3443="","",IFERROR(D3443/I3443,""))</f>
        <v/>
      </c>
      <c r="K3443" s="71">
        <f>IF(B3443="","",IFERROR(AVERAGEIFS($J$4:$J3443,$B$4:$B3443,B3443,$J$4:$J3443,"&gt;"&amp;0),""))</f>
        <v/>
      </c>
      <c r="L3443" s="11" t="n"/>
    </row>
    <row r="3444" ht="14" customHeight="1" s="72">
      <c r="A3444" s="83" t="n"/>
      <c r="B3444" s="81" t="n"/>
      <c r="C3444" s="69">
        <f>IF(B3444="","",IFERROR(INDEX(Client_List!$B:$B,MATCH(B3444,Client_List!$A:$A,0)),"⚠ NOT FOUND"))</f>
        <v/>
      </c>
      <c r="D3444" s="45" t="n"/>
      <c r="E3444" s="32">
        <f>IF(B3444="","",IFERROR(INDEX(Client_List!$C:$C,MATCH(VALUE(B3444),Client_List!$A:$A,0)),""))</f>
        <v/>
      </c>
      <c r="F3444" s="53">
        <f>IF(B3444="","",IFERROR(INDEX(Client_List!$D:$D,MATCH(VALUE(B3444),Client_List!$A:$A,0)),""))</f>
        <v/>
      </c>
      <c r="G3444" s="53">
        <f>IF(B3444="","",IFERROR(INDEX(Client_List!$K:$K,MATCH(VALUE(B3444),Client_List!$A:$A,0)),""))</f>
        <v/>
      </c>
      <c r="H3444" s="32">
        <f>IF(B3444="","",IFERROR(INDEX(Client_List!$J:$J,MATCH(VALUE(B3444),Client_List!$A:$A,0)),""))</f>
        <v/>
      </c>
      <c r="I3444" s="70">
        <f>IF(B3444="","",IFERROR(A3444-LOOKUP(2,1/($B$4:$B3443=B3444),$A$4:$A3443),""))</f>
        <v/>
      </c>
      <c r="J3444" s="32">
        <f>IF(B3444="","",IFERROR(D3444/I3444,""))</f>
        <v/>
      </c>
      <c r="K3444" s="71">
        <f>IF(B3444="","",IFERROR(AVERAGEIFS($J$4:$J3444,$B$4:$B3444,B3444,$J$4:$J3444,"&gt;"&amp;0),""))</f>
        <v/>
      </c>
      <c r="L3444" s="12" t="n"/>
    </row>
    <row r="3445" ht="14" customHeight="1" s="72">
      <c r="A3445" s="82" t="n"/>
      <c r="B3445" s="79" t="n"/>
      <c r="C3445" s="69">
        <f>IF(B3445="","",IFERROR(INDEX(Client_List!$B:$B,MATCH(B3445,Client_List!$A:$A,0)),"⚠ NOT FOUND"))</f>
        <v/>
      </c>
      <c r="D3445" s="44" t="n"/>
      <c r="E3445" s="32">
        <f>IF(B3445="","",IFERROR(INDEX(Client_List!$C:$C,MATCH(VALUE(B3445),Client_List!$A:$A,0)),""))</f>
        <v/>
      </c>
      <c r="F3445" s="53">
        <f>IF(B3445="","",IFERROR(INDEX(Client_List!$D:$D,MATCH(VALUE(B3445),Client_List!$A:$A,0)),""))</f>
        <v/>
      </c>
      <c r="G3445" s="53">
        <f>IF(B3445="","",IFERROR(INDEX(Client_List!$K:$K,MATCH(VALUE(B3445),Client_List!$A:$A,0)),""))</f>
        <v/>
      </c>
      <c r="H3445" s="32">
        <f>IF(B3445="","",IFERROR(INDEX(Client_List!$J:$J,MATCH(VALUE(B3445),Client_List!$A:$A,0)),""))</f>
        <v/>
      </c>
      <c r="I3445" s="70">
        <f>IF(B3445="","",IFERROR(A3445-LOOKUP(2,1/($B$4:$B3444=B3445),$A$4:$A3444),""))</f>
        <v/>
      </c>
      <c r="J3445" s="32">
        <f>IF(B3445="","",IFERROR(D3445/I3445,""))</f>
        <v/>
      </c>
      <c r="K3445" s="71">
        <f>IF(B3445="","",IFERROR(AVERAGEIFS($J$4:$J3445,$B$4:$B3445,B3445,$J$4:$J3445,"&gt;"&amp;0),""))</f>
        <v/>
      </c>
      <c r="L3445" s="11" t="n"/>
    </row>
    <row r="3446" ht="14" customHeight="1" s="72">
      <c r="A3446" s="83" t="n"/>
      <c r="B3446" s="81" t="n"/>
      <c r="C3446" s="69">
        <f>IF(B3446="","",IFERROR(INDEX(Client_List!$B:$B,MATCH(B3446,Client_List!$A:$A,0)),"⚠ NOT FOUND"))</f>
        <v/>
      </c>
      <c r="D3446" s="45" t="n"/>
      <c r="E3446" s="32">
        <f>IF(B3446="","",IFERROR(INDEX(Client_List!$C:$C,MATCH(VALUE(B3446),Client_List!$A:$A,0)),""))</f>
        <v/>
      </c>
      <c r="F3446" s="53">
        <f>IF(B3446="","",IFERROR(INDEX(Client_List!$D:$D,MATCH(VALUE(B3446),Client_List!$A:$A,0)),""))</f>
        <v/>
      </c>
      <c r="G3446" s="53">
        <f>IF(B3446="","",IFERROR(INDEX(Client_List!$K:$K,MATCH(VALUE(B3446),Client_List!$A:$A,0)),""))</f>
        <v/>
      </c>
      <c r="H3446" s="32">
        <f>IF(B3446="","",IFERROR(INDEX(Client_List!$J:$J,MATCH(VALUE(B3446),Client_List!$A:$A,0)),""))</f>
        <v/>
      </c>
      <c r="I3446" s="70">
        <f>IF(B3446="","",IFERROR(A3446-LOOKUP(2,1/($B$4:$B3445=B3446),$A$4:$A3445),""))</f>
        <v/>
      </c>
      <c r="J3446" s="32">
        <f>IF(B3446="","",IFERROR(D3446/I3446,""))</f>
        <v/>
      </c>
      <c r="K3446" s="71">
        <f>IF(B3446="","",IFERROR(AVERAGEIFS($J$4:$J3446,$B$4:$B3446,B3446,$J$4:$J3446,"&gt;"&amp;0),""))</f>
        <v/>
      </c>
      <c r="L3446" s="12" t="n"/>
    </row>
    <row r="3447" ht="14" customHeight="1" s="72">
      <c r="A3447" s="82" t="n"/>
      <c r="B3447" s="79" t="n"/>
      <c r="C3447" s="69">
        <f>IF(B3447="","",IFERROR(INDEX(Client_List!$B:$B,MATCH(B3447,Client_List!$A:$A,0)),"⚠ NOT FOUND"))</f>
        <v/>
      </c>
      <c r="D3447" s="44" t="n"/>
      <c r="E3447" s="32">
        <f>IF(B3447="","",IFERROR(INDEX(Client_List!$C:$C,MATCH(VALUE(B3447),Client_List!$A:$A,0)),""))</f>
        <v/>
      </c>
      <c r="F3447" s="53">
        <f>IF(B3447="","",IFERROR(INDEX(Client_List!$D:$D,MATCH(VALUE(B3447),Client_List!$A:$A,0)),""))</f>
        <v/>
      </c>
      <c r="G3447" s="53">
        <f>IF(B3447="","",IFERROR(INDEX(Client_List!$K:$K,MATCH(VALUE(B3447),Client_List!$A:$A,0)),""))</f>
        <v/>
      </c>
      <c r="H3447" s="32">
        <f>IF(B3447="","",IFERROR(INDEX(Client_List!$J:$J,MATCH(VALUE(B3447),Client_List!$A:$A,0)),""))</f>
        <v/>
      </c>
      <c r="I3447" s="70">
        <f>IF(B3447="","",IFERROR(A3447-LOOKUP(2,1/($B$4:$B3446=B3447),$A$4:$A3446),""))</f>
        <v/>
      </c>
      <c r="J3447" s="32">
        <f>IF(B3447="","",IFERROR(D3447/I3447,""))</f>
        <v/>
      </c>
      <c r="K3447" s="71">
        <f>IF(B3447="","",IFERROR(AVERAGEIFS($J$4:$J3447,$B$4:$B3447,B3447,$J$4:$J3447,"&gt;"&amp;0),""))</f>
        <v/>
      </c>
      <c r="L3447" s="11" t="n"/>
    </row>
    <row r="3448" ht="14" customHeight="1" s="72">
      <c r="A3448" s="83" t="n"/>
      <c r="B3448" s="81" t="n"/>
      <c r="C3448" s="69">
        <f>IF(B3448="","",IFERROR(INDEX(Client_List!$B:$B,MATCH(B3448,Client_List!$A:$A,0)),"⚠ NOT FOUND"))</f>
        <v/>
      </c>
      <c r="D3448" s="45" t="n"/>
      <c r="E3448" s="32">
        <f>IF(B3448="","",IFERROR(INDEX(Client_List!$C:$C,MATCH(VALUE(B3448),Client_List!$A:$A,0)),""))</f>
        <v/>
      </c>
      <c r="F3448" s="53">
        <f>IF(B3448="","",IFERROR(INDEX(Client_List!$D:$D,MATCH(VALUE(B3448),Client_List!$A:$A,0)),""))</f>
        <v/>
      </c>
      <c r="G3448" s="53">
        <f>IF(B3448="","",IFERROR(INDEX(Client_List!$K:$K,MATCH(VALUE(B3448),Client_List!$A:$A,0)),""))</f>
        <v/>
      </c>
      <c r="H3448" s="32">
        <f>IF(B3448="","",IFERROR(INDEX(Client_List!$J:$J,MATCH(VALUE(B3448),Client_List!$A:$A,0)),""))</f>
        <v/>
      </c>
      <c r="I3448" s="70">
        <f>IF(B3448="","",IFERROR(A3448-LOOKUP(2,1/($B$4:$B3447=B3448),$A$4:$A3447),""))</f>
        <v/>
      </c>
      <c r="J3448" s="32">
        <f>IF(B3448="","",IFERROR(D3448/I3448,""))</f>
        <v/>
      </c>
      <c r="K3448" s="71">
        <f>IF(B3448="","",IFERROR(AVERAGEIFS($J$4:$J3448,$B$4:$B3448,B3448,$J$4:$J3448,"&gt;"&amp;0),""))</f>
        <v/>
      </c>
      <c r="L3448" s="12" t="n"/>
    </row>
    <row r="3449" ht="14" customHeight="1" s="72">
      <c r="A3449" s="82" t="n"/>
      <c r="B3449" s="79" t="n"/>
      <c r="C3449" s="69">
        <f>IF(B3449="","",IFERROR(INDEX(Client_List!$B:$B,MATCH(B3449,Client_List!$A:$A,0)),"⚠ NOT FOUND"))</f>
        <v/>
      </c>
      <c r="D3449" s="44" t="n"/>
      <c r="E3449" s="32">
        <f>IF(B3449="","",IFERROR(INDEX(Client_List!$C:$C,MATCH(VALUE(B3449),Client_List!$A:$A,0)),""))</f>
        <v/>
      </c>
      <c r="F3449" s="53">
        <f>IF(B3449="","",IFERROR(INDEX(Client_List!$D:$D,MATCH(VALUE(B3449),Client_List!$A:$A,0)),""))</f>
        <v/>
      </c>
      <c r="G3449" s="53">
        <f>IF(B3449="","",IFERROR(INDEX(Client_List!$K:$K,MATCH(VALUE(B3449),Client_List!$A:$A,0)),""))</f>
        <v/>
      </c>
      <c r="H3449" s="32">
        <f>IF(B3449="","",IFERROR(INDEX(Client_List!$J:$J,MATCH(VALUE(B3449),Client_List!$A:$A,0)),""))</f>
        <v/>
      </c>
      <c r="I3449" s="70">
        <f>IF(B3449="","",IFERROR(A3449-LOOKUP(2,1/($B$4:$B3448=B3449),$A$4:$A3448),""))</f>
        <v/>
      </c>
      <c r="J3449" s="32">
        <f>IF(B3449="","",IFERROR(D3449/I3449,""))</f>
        <v/>
      </c>
      <c r="K3449" s="71">
        <f>IF(B3449="","",IFERROR(AVERAGEIFS($J$4:$J3449,$B$4:$B3449,B3449,$J$4:$J3449,"&gt;"&amp;0),""))</f>
        <v/>
      </c>
      <c r="L3449" s="11" t="n"/>
    </row>
    <row r="3450" ht="14" customHeight="1" s="72">
      <c r="A3450" s="83" t="n"/>
      <c r="B3450" s="81" t="n"/>
      <c r="C3450" s="69">
        <f>IF(B3450="","",IFERROR(INDEX(Client_List!$B:$B,MATCH(B3450,Client_List!$A:$A,0)),"⚠ NOT FOUND"))</f>
        <v/>
      </c>
      <c r="D3450" s="45" t="n"/>
      <c r="E3450" s="32">
        <f>IF(B3450="","",IFERROR(INDEX(Client_List!$C:$C,MATCH(VALUE(B3450),Client_List!$A:$A,0)),""))</f>
        <v/>
      </c>
      <c r="F3450" s="53">
        <f>IF(B3450="","",IFERROR(INDEX(Client_List!$D:$D,MATCH(VALUE(B3450),Client_List!$A:$A,0)),""))</f>
        <v/>
      </c>
      <c r="G3450" s="53">
        <f>IF(B3450="","",IFERROR(INDEX(Client_List!$K:$K,MATCH(VALUE(B3450),Client_List!$A:$A,0)),""))</f>
        <v/>
      </c>
      <c r="H3450" s="32">
        <f>IF(B3450="","",IFERROR(INDEX(Client_List!$J:$J,MATCH(VALUE(B3450),Client_List!$A:$A,0)),""))</f>
        <v/>
      </c>
      <c r="I3450" s="70">
        <f>IF(B3450="","",IFERROR(A3450-LOOKUP(2,1/($B$4:$B3449=B3450),$A$4:$A3449),""))</f>
        <v/>
      </c>
      <c r="J3450" s="32">
        <f>IF(B3450="","",IFERROR(D3450/I3450,""))</f>
        <v/>
      </c>
      <c r="K3450" s="71">
        <f>IF(B3450="","",IFERROR(AVERAGEIFS($J$4:$J3450,$B$4:$B3450,B3450,$J$4:$J3450,"&gt;"&amp;0),""))</f>
        <v/>
      </c>
      <c r="L3450" s="12" t="n"/>
    </row>
    <row r="3451" ht="14" customHeight="1" s="72">
      <c r="A3451" s="82" t="n"/>
      <c r="B3451" s="79" t="n"/>
      <c r="C3451" s="69">
        <f>IF(B3451="","",IFERROR(INDEX(Client_List!$B:$B,MATCH(B3451,Client_List!$A:$A,0)),"⚠ NOT FOUND"))</f>
        <v/>
      </c>
      <c r="D3451" s="44" t="n"/>
      <c r="E3451" s="32">
        <f>IF(B3451="","",IFERROR(INDEX(Client_List!$C:$C,MATCH(VALUE(B3451),Client_List!$A:$A,0)),""))</f>
        <v/>
      </c>
      <c r="F3451" s="53">
        <f>IF(B3451="","",IFERROR(INDEX(Client_List!$D:$D,MATCH(VALUE(B3451),Client_List!$A:$A,0)),""))</f>
        <v/>
      </c>
      <c r="G3451" s="53">
        <f>IF(B3451="","",IFERROR(INDEX(Client_List!$K:$K,MATCH(VALUE(B3451),Client_List!$A:$A,0)),""))</f>
        <v/>
      </c>
      <c r="H3451" s="32">
        <f>IF(B3451="","",IFERROR(INDEX(Client_List!$J:$J,MATCH(VALUE(B3451),Client_List!$A:$A,0)),""))</f>
        <v/>
      </c>
      <c r="I3451" s="70">
        <f>IF(B3451="","",IFERROR(A3451-LOOKUP(2,1/($B$4:$B3450=B3451),$A$4:$A3450),""))</f>
        <v/>
      </c>
      <c r="J3451" s="32">
        <f>IF(B3451="","",IFERROR(D3451/I3451,""))</f>
        <v/>
      </c>
      <c r="K3451" s="71">
        <f>IF(B3451="","",IFERROR(AVERAGEIFS($J$4:$J3451,$B$4:$B3451,B3451,$J$4:$J3451,"&gt;"&amp;0),""))</f>
        <v/>
      </c>
      <c r="L3451" s="11" t="n"/>
    </row>
    <row r="3452" ht="14" customHeight="1" s="72">
      <c r="A3452" s="83" t="n"/>
      <c r="B3452" s="81" t="n"/>
      <c r="C3452" s="69">
        <f>IF(B3452="","",IFERROR(INDEX(Client_List!$B:$B,MATCH(B3452,Client_List!$A:$A,0)),"⚠ NOT FOUND"))</f>
        <v/>
      </c>
      <c r="D3452" s="45" t="n"/>
      <c r="E3452" s="32">
        <f>IF(B3452="","",IFERROR(INDEX(Client_List!$C:$C,MATCH(VALUE(B3452),Client_List!$A:$A,0)),""))</f>
        <v/>
      </c>
      <c r="F3452" s="53">
        <f>IF(B3452="","",IFERROR(INDEX(Client_List!$D:$D,MATCH(VALUE(B3452),Client_List!$A:$A,0)),""))</f>
        <v/>
      </c>
      <c r="G3452" s="53">
        <f>IF(B3452="","",IFERROR(INDEX(Client_List!$K:$K,MATCH(VALUE(B3452),Client_List!$A:$A,0)),""))</f>
        <v/>
      </c>
      <c r="H3452" s="32">
        <f>IF(B3452="","",IFERROR(INDEX(Client_List!$J:$J,MATCH(VALUE(B3452),Client_List!$A:$A,0)),""))</f>
        <v/>
      </c>
      <c r="I3452" s="70">
        <f>IF(B3452="","",IFERROR(A3452-LOOKUP(2,1/($B$4:$B3451=B3452),$A$4:$A3451),""))</f>
        <v/>
      </c>
      <c r="J3452" s="32">
        <f>IF(B3452="","",IFERROR(D3452/I3452,""))</f>
        <v/>
      </c>
      <c r="K3452" s="71">
        <f>IF(B3452="","",IFERROR(AVERAGEIFS($J$4:$J3452,$B$4:$B3452,B3452,$J$4:$J3452,"&gt;"&amp;0),""))</f>
        <v/>
      </c>
      <c r="L3452" s="12" t="n"/>
    </row>
    <row r="3453" ht="14" customHeight="1" s="72">
      <c r="A3453" s="82" t="n"/>
      <c r="B3453" s="79" t="n"/>
      <c r="C3453" s="69">
        <f>IF(B3453="","",IFERROR(INDEX(Client_List!$B:$B,MATCH(B3453,Client_List!$A:$A,0)),"⚠ NOT FOUND"))</f>
        <v/>
      </c>
      <c r="D3453" s="44" t="n"/>
      <c r="E3453" s="32">
        <f>IF(B3453="","",IFERROR(INDEX(Client_List!$C:$C,MATCH(VALUE(B3453),Client_List!$A:$A,0)),""))</f>
        <v/>
      </c>
      <c r="F3453" s="53">
        <f>IF(B3453="","",IFERROR(INDEX(Client_List!$D:$D,MATCH(VALUE(B3453),Client_List!$A:$A,0)),""))</f>
        <v/>
      </c>
      <c r="G3453" s="53">
        <f>IF(B3453="","",IFERROR(INDEX(Client_List!$K:$K,MATCH(VALUE(B3453),Client_List!$A:$A,0)),""))</f>
        <v/>
      </c>
      <c r="H3453" s="32">
        <f>IF(B3453="","",IFERROR(INDEX(Client_List!$J:$J,MATCH(VALUE(B3453),Client_List!$A:$A,0)),""))</f>
        <v/>
      </c>
      <c r="I3453" s="70">
        <f>IF(B3453="","",IFERROR(A3453-LOOKUP(2,1/($B$4:$B3452=B3453),$A$4:$A3452),""))</f>
        <v/>
      </c>
      <c r="J3453" s="32">
        <f>IF(B3453="","",IFERROR(D3453/I3453,""))</f>
        <v/>
      </c>
      <c r="K3453" s="71">
        <f>IF(B3453="","",IFERROR(AVERAGEIFS($J$4:$J3453,$B$4:$B3453,B3453,$J$4:$J3453,"&gt;"&amp;0),""))</f>
        <v/>
      </c>
      <c r="L3453" s="11" t="n"/>
    </row>
    <row r="3454" ht="14" customHeight="1" s="72">
      <c r="A3454" s="83" t="n"/>
      <c r="B3454" s="81" t="n"/>
      <c r="C3454" s="69">
        <f>IF(B3454="","",IFERROR(INDEX(Client_List!$B:$B,MATCH(B3454,Client_List!$A:$A,0)),"⚠ NOT FOUND"))</f>
        <v/>
      </c>
      <c r="D3454" s="45" t="n"/>
      <c r="E3454" s="32">
        <f>IF(B3454="","",IFERROR(INDEX(Client_List!$C:$C,MATCH(VALUE(B3454),Client_List!$A:$A,0)),""))</f>
        <v/>
      </c>
      <c r="F3454" s="53">
        <f>IF(B3454="","",IFERROR(INDEX(Client_List!$D:$D,MATCH(VALUE(B3454),Client_List!$A:$A,0)),""))</f>
        <v/>
      </c>
      <c r="G3454" s="53">
        <f>IF(B3454="","",IFERROR(INDEX(Client_List!$K:$K,MATCH(VALUE(B3454),Client_List!$A:$A,0)),""))</f>
        <v/>
      </c>
      <c r="H3454" s="32">
        <f>IF(B3454="","",IFERROR(INDEX(Client_List!$J:$J,MATCH(VALUE(B3454),Client_List!$A:$A,0)),""))</f>
        <v/>
      </c>
      <c r="I3454" s="70">
        <f>IF(B3454="","",IFERROR(A3454-LOOKUP(2,1/($B$4:$B3453=B3454),$A$4:$A3453),""))</f>
        <v/>
      </c>
      <c r="J3454" s="32">
        <f>IF(B3454="","",IFERROR(D3454/I3454,""))</f>
        <v/>
      </c>
      <c r="K3454" s="71">
        <f>IF(B3454="","",IFERROR(AVERAGEIFS($J$4:$J3454,$B$4:$B3454,B3454,$J$4:$J3454,"&gt;"&amp;0),""))</f>
        <v/>
      </c>
      <c r="L3454" s="12" t="n"/>
    </row>
    <row r="3455" ht="14" customHeight="1" s="72">
      <c r="A3455" s="82" t="n"/>
      <c r="B3455" s="79" t="n"/>
      <c r="C3455" s="69">
        <f>IF(B3455="","",IFERROR(INDEX(Client_List!$B:$B,MATCH(B3455,Client_List!$A:$A,0)),"⚠ NOT FOUND"))</f>
        <v/>
      </c>
      <c r="D3455" s="44" t="n"/>
      <c r="E3455" s="32">
        <f>IF(B3455="","",IFERROR(INDEX(Client_List!$C:$C,MATCH(VALUE(B3455),Client_List!$A:$A,0)),""))</f>
        <v/>
      </c>
      <c r="F3455" s="53">
        <f>IF(B3455="","",IFERROR(INDEX(Client_List!$D:$D,MATCH(VALUE(B3455),Client_List!$A:$A,0)),""))</f>
        <v/>
      </c>
      <c r="G3455" s="53">
        <f>IF(B3455="","",IFERROR(INDEX(Client_List!$K:$K,MATCH(VALUE(B3455),Client_List!$A:$A,0)),""))</f>
        <v/>
      </c>
      <c r="H3455" s="32">
        <f>IF(B3455="","",IFERROR(INDEX(Client_List!$J:$J,MATCH(VALUE(B3455),Client_List!$A:$A,0)),""))</f>
        <v/>
      </c>
      <c r="I3455" s="70">
        <f>IF(B3455="","",IFERROR(A3455-LOOKUP(2,1/($B$4:$B3454=B3455),$A$4:$A3454),""))</f>
        <v/>
      </c>
      <c r="J3455" s="32">
        <f>IF(B3455="","",IFERROR(D3455/I3455,""))</f>
        <v/>
      </c>
      <c r="K3455" s="71">
        <f>IF(B3455="","",IFERROR(AVERAGEIFS($J$4:$J3455,$B$4:$B3455,B3455,$J$4:$J3455,"&gt;"&amp;0),""))</f>
        <v/>
      </c>
      <c r="L3455" s="11" t="n"/>
    </row>
    <row r="3456" ht="14" customHeight="1" s="72">
      <c r="A3456" s="83" t="n"/>
      <c r="B3456" s="81" t="n"/>
      <c r="C3456" s="69">
        <f>IF(B3456="","",IFERROR(INDEX(Client_List!$B:$B,MATCH(B3456,Client_List!$A:$A,0)),"⚠ NOT FOUND"))</f>
        <v/>
      </c>
      <c r="D3456" s="45" t="n"/>
      <c r="E3456" s="32">
        <f>IF(B3456="","",IFERROR(INDEX(Client_List!$C:$C,MATCH(VALUE(B3456),Client_List!$A:$A,0)),""))</f>
        <v/>
      </c>
      <c r="F3456" s="53">
        <f>IF(B3456="","",IFERROR(INDEX(Client_List!$D:$D,MATCH(VALUE(B3456),Client_List!$A:$A,0)),""))</f>
        <v/>
      </c>
      <c r="G3456" s="53">
        <f>IF(B3456="","",IFERROR(INDEX(Client_List!$K:$K,MATCH(VALUE(B3456),Client_List!$A:$A,0)),""))</f>
        <v/>
      </c>
      <c r="H3456" s="32">
        <f>IF(B3456="","",IFERROR(INDEX(Client_List!$J:$J,MATCH(VALUE(B3456),Client_List!$A:$A,0)),""))</f>
        <v/>
      </c>
      <c r="I3456" s="70">
        <f>IF(B3456="","",IFERROR(A3456-LOOKUP(2,1/($B$4:$B3455=B3456),$A$4:$A3455),""))</f>
        <v/>
      </c>
      <c r="J3456" s="32">
        <f>IF(B3456="","",IFERROR(D3456/I3456,""))</f>
        <v/>
      </c>
      <c r="K3456" s="71">
        <f>IF(B3456="","",IFERROR(AVERAGEIFS($J$4:$J3456,$B$4:$B3456,B3456,$J$4:$J3456,"&gt;"&amp;0),""))</f>
        <v/>
      </c>
      <c r="L3456" s="12" t="n"/>
    </row>
    <row r="3457" ht="14" customHeight="1" s="72">
      <c r="A3457" s="82" t="n"/>
      <c r="B3457" s="79" t="n"/>
      <c r="C3457" s="69">
        <f>IF(B3457="","",IFERROR(INDEX(Client_List!$B:$B,MATCH(B3457,Client_List!$A:$A,0)),"⚠ NOT FOUND"))</f>
        <v/>
      </c>
      <c r="D3457" s="44" t="n"/>
      <c r="E3457" s="32">
        <f>IF(B3457="","",IFERROR(INDEX(Client_List!$C:$C,MATCH(VALUE(B3457),Client_List!$A:$A,0)),""))</f>
        <v/>
      </c>
      <c r="F3457" s="53">
        <f>IF(B3457="","",IFERROR(INDEX(Client_List!$D:$D,MATCH(VALUE(B3457),Client_List!$A:$A,0)),""))</f>
        <v/>
      </c>
      <c r="G3457" s="53">
        <f>IF(B3457="","",IFERROR(INDEX(Client_List!$K:$K,MATCH(VALUE(B3457),Client_List!$A:$A,0)),""))</f>
        <v/>
      </c>
      <c r="H3457" s="32">
        <f>IF(B3457="","",IFERROR(INDEX(Client_List!$J:$J,MATCH(VALUE(B3457),Client_List!$A:$A,0)),""))</f>
        <v/>
      </c>
      <c r="I3457" s="70">
        <f>IF(B3457="","",IFERROR(A3457-LOOKUP(2,1/($B$4:$B3456=B3457),$A$4:$A3456),""))</f>
        <v/>
      </c>
      <c r="J3457" s="32">
        <f>IF(B3457="","",IFERROR(D3457/I3457,""))</f>
        <v/>
      </c>
      <c r="K3457" s="71">
        <f>IF(B3457="","",IFERROR(AVERAGEIFS($J$4:$J3457,$B$4:$B3457,B3457,$J$4:$J3457,"&gt;"&amp;0),""))</f>
        <v/>
      </c>
      <c r="L3457" s="11" t="n"/>
    </row>
    <row r="3458" ht="14" customHeight="1" s="72">
      <c r="A3458" s="83" t="n"/>
      <c r="B3458" s="81" t="n"/>
      <c r="C3458" s="69">
        <f>IF(B3458="","",IFERROR(INDEX(Client_List!$B:$B,MATCH(B3458,Client_List!$A:$A,0)),"⚠ NOT FOUND"))</f>
        <v/>
      </c>
      <c r="D3458" s="45" t="n"/>
      <c r="E3458" s="32">
        <f>IF(B3458="","",IFERROR(INDEX(Client_List!$C:$C,MATCH(VALUE(B3458),Client_List!$A:$A,0)),""))</f>
        <v/>
      </c>
      <c r="F3458" s="53">
        <f>IF(B3458="","",IFERROR(INDEX(Client_List!$D:$D,MATCH(VALUE(B3458),Client_List!$A:$A,0)),""))</f>
        <v/>
      </c>
      <c r="G3458" s="53">
        <f>IF(B3458="","",IFERROR(INDEX(Client_List!$K:$K,MATCH(VALUE(B3458),Client_List!$A:$A,0)),""))</f>
        <v/>
      </c>
      <c r="H3458" s="32">
        <f>IF(B3458="","",IFERROR(INDEX(Client_List!$J:$J,MATCH(VALUE(B3458),Client_List!$A:$A,0)),""))</f>
        <v/>
      </c>
      <c r="I3458" s="70">
        <f>IF(B3458="","",IFERROR(A3458-LOOKUP(2,1/($B$4:$B3457=B3458),$A$4:$A3457),""))</f>
        <v/>
      </c>
      <c r="J3458" s="32">
        <f>IF(B3458="","",IFERROR(D3458/I3458,""))</f>
        <v/>
      </c>
      <c r="K3458" s="71">
        <f>IF(B3458="","",IFERROR(AVERAGEIFS($J$4:$J3458,$B$4:$B3458,B3458,$J$4:$J3458,"&gt;"&amp;0),""))</f>
        <v/>
      </c>
      <c r="L3458" s="12" t="n"/>
    </row>
    <row r="3459" ht="14" customHeight="1" s="72">
      <c r="A3459" s="82" t="n"/>
      <c r="B3459" s="79" t="n"/>
      <c r="C3459" s="69">
        <f>IF(B3459="","",IFERROR(INDEX(Client_List!$B:$B,MATCH(B3459,Client_List!$A:$A,0)),"⚠ NOT FOUND"))</f>
        <v/>
      </c>
      <c r="D3459" s="44" t="n"/>
      <c r="E3459" s="32">
        <f>IF(B3459="","",IFERROR(INDEX(Client_List!$C:$C,MATCH(VALUE(B3459),Client_List!$A:$A,0)),""))</f>
        <v/>
      </c>
      <c r="F3459" s="53">
        <f>IF(B3459="","",IFERROR(INDEX(Client_List!$D:$D,MATCH(VALUE(B3459),Client_List!$A:$A,0)),""))</f>
        <v/>
      </c>
      <c r="G3459" s="53">
        <f>IF(B3459="","",IFERROR(INDEX(Client_List!$K:$K,MATCH(VALUE(B3459),Client_List!$A:$A,0)),""))</f>
        <v/>
      </c>
      <c r="H3459" s="32">
        <f>IF(B3459="","",IFERROR(INDEX(Client_List!$J:$J,MATCH(VALUE(B3459),Client_List!$A:$A,0)),""))</f>
        <v/>
      </c>
      <c r="I3459" s="70">
        <f>IF(B3459="","",IFERROR(A3459-LOOKUP(2,1/($B$4:$B3458=B3459),$A$4:$A3458),""))</f>
        <v/>
      </c>
      <c r="J3459" s="32">
        <f>IF(B3459="","",IFERROR(D3459/I3459,""))</f>
        <v/>
      </c>
      <c r="K3459" s="71">
        <f>IF(B3459="","",IFERROR(AVERAGEIFS($J$4:$J3459,$B$4:$B3459,B3459,$J$4:$J3459,"&gt;"&amp;0),""))</f>
        <v/>
      </c>
      <c r="L3459" s="11" t="n"/>
    </row>
    <row r="3460" ht="14" customHeight="1" s="72">
      <c r="A3460" s="83" t="n"/>
      <c r="B3460" s="81" t="n"/>
      <c r="C3460" s="69">
        <f>IF(B3460="","",IFERROR(INDEX(Client_List!$B:$B,MATCH(B3460,Client_List!$A:$A,0)),"⚠ NOT FOUND"))</f>
        <v/>
      </c>
      <c r="D3460" s="45" t="n"/>
      <c r="E3460" s="32">
        <f>IF(B3460="","",IFERROR(INDEX(Client_List!$C:$C,MATCH(VALUE(B3460),Client_List!$A:$A,0)),""))</f>
        <v/>
      </c>
      <c r="F3460" s="53">
        <f>IF(B3460="","",IFERROR(INDEX(Client_List!$D:$D,MATCH(VALUE(B3460),Client_List!$A:$A,0)),""))</f>
        <v/>
      </c>
      <c r="G3460" s="53">
        <f>IF(B3460="","",IFERROR(INDEX(Client_List!$K:$K,MATCH(VALUE(B3460),Client_List!$A:$A,0)),""))</f>
        <v/>
      </c>
      <c r="H3460" s="32">
        <f>IF(B3460="","",IFERROR(INDEX(Client_List!$J:$J,MATCH(VALUE(B3460),Client_List!$A:$A,0)),""))</f>
        <v/>
      </c>
      <c r="I3460" s="70">
        <f>IF(B3460="","",IFERROR(A3460-LOOKUP(2,1/($B$4:$B3459=B3460),$A$4:$A3459),""))</f>
        <v/>
      </c>
      <c r="J3460" s="32">
        <f>IF(B3460="","",IFERROR(D3460/I3460,""))</f>
        <v/>
      </c>
      <c r="K3460" s="71">
        <f>IF(B3460="","",IFERROR(AVERAGEIFS($J$4:$J3460,$B$4:$B3460,B3460,$J$4:$J3460,"&gt;"&amp;0),""))</f>
        <v/>
      </c>
      <c r="L3460" s="12" t="n"/>
    </row>
    <row r="3461" ht="14" customHeight="1" s="72">
      <c r="A3461" s="82" t="n"/>
      <c r="B3461" s="79" t="n"/>
      <c r="C3461" s="69">
        <f>IF(B3461="","",IFERROR(INDEX(Client_List!$B:$B,MATCH(B3461,Client_List!$A:$A,0)),"⚠ NOT FOUND"))</f>
        <v/>
      </c>
      <c r="D3461" s="44" t="n"/>
      <c r="E3461" s="32">
        <f>IF(B3461="","",IFERROR(INDEX(Client_List!$C:$C,MATCH(VALUE(B3461),Client_List!$A:$A,0)),""))</f>
        <v/>
      </c>
      <c r="F3461" s="53">
        <f>IF(B3461="","",IFERROR(INDEX(Client_List!$D:$D,MATCH(VALUE(B3461),Client_List!$A:$A,0)),""))</f>
        <v/>
      </c>
      <c r="G3461" s="53">
        <f>IF(B3461="","",IFERROR(INDEX(Client_List!$K:$K,MATCH(VALUE(B3461),Client_List!$A:$A,0)),""))</f>
        <v/>
      </c>
      <c r="H3461" s="32">
        <f>IF(B3461="","",IFERROR(INDEX(Client_List!$J:$J,MATCH(VALUE(B3461),Client_List!$A:$A,0)),""))</f>
        <v/>
      </c>
      <c r="I3461" s="70">
        <f>IF(B3461="","",IFERROR(A3461-LOOKUP(2,1/($B$4:$B3460=B3461),$A$4:$A3460),""))</f>
        <v/>
      </c>
      <c r="J3461" s="32">
        <f>IF(B3461="","",IFERROR(D3461/I3461,""))</f>
        <v/>
      </c>
      <c r="K3461" s="71">
        <f>IF(B3461="","",IFERROR(AVERAGEIFS($J$4:$J3461,$B$4:$B3461,B3461,$J$4:$J3461,"&gt;"&amp;0),""))</f>
        <v/>
      </c>
      <c r="L3461" s="11" t="n"/>
    </row>
    <row r="3462" ht="14" customHeight="1" s="72">
      <c r="A3462" s="83" t="n"/>
      <c r="B3462" s="81" t="n"/>
      <c r="C3462" s="69">
        <f>IF(B3462="","",IFERROR(INDEX(Client_List!$B:$B,MATCH(B3462,Client_List!$A:$A,0)),"⚠ NOT FOUND"))</f>
        <v/>
      </c>
      <c r="D3462" s="45" t="n"/>
      <c r="E3462" s="32">
        <f>IF(B3462="","",IFERROR(INDEX(Client_List!$C:$C,MATCH(VALUE(B3462),Client_List!$A:$A,0)),""))</f>
        <v/>
      </c>
      <c r="F3462" s="53">
        <f>IF(B3462="","",IFERROR(INDEX(Client_List!$D:$D,MATCH(VALUE(B3462),Client_List!$A:$A,0)),""))</f>
        <v/>
      </c>
      <c r="G3462" s="53">
        <f>IF(B3462="","",IFERROR(INDEX(Client_List!$K:$K,MATCH(VALUE(B3462),Client_List!$A:$A,0)),""))</f>
        <v/>
      </c>
      <c r="H3462" s="32">
        <f>IF(B3462="","",IFERROR(INDEX(Client_List!$J:$J,MATCH(VALUE(B3462),Client_List!$A:$A,0)),""))</f>
        <v/>
      </c>
      <c r="I3462" s="70">
        <f>IF(B3462="","",IFERROR(A3462-LOOKUP(2,1/($B$4:$B3461=B3462),$A$4:$A3461),""))</f>
        <v/>
      </c>
      <c r="J3462" s="32">
        <f>IF(B3462="","",IFERROR(D3462/I3462,""))</f>
        <v/>
      </c>
      <c r="K3462" s="71">
        <f>IF(B3462="","",IFERROR(AVERAGEIFS($J$4:$J3462,$B$4:$B3462,B3462,$J$4:$J3462,"&gt;"&amp;0),""))</f>
        <v/>
      </c>
      <c r="L3462" s="12" t="n"/>
    </row>
    <row r="3463" ht="14" customHeight="1" s="72">
      <c r="A3463" s="82" t="n"/>
      <c r="B3463" s="79" t="n"/>
      <c r="C3463" s="69">
        <f>IF(B3463="","",IFERROR(INDEX(Client_List!$B:$B,MATCH(B3463,Client_List!$A:$A,0)),"⚠ NOT FOUND"))</f>
        <v/>
      </c>
      <c r="D3463" s="44" t="n"/>
      <c r="E3463" s="32">
        <f>IF(B3463="","",IFERROR(INDEX(Client_List!$C:$C,MATCH(VALUE(B3463),Client_List!$A:$A,0)),""))</f>
        <v/>
      </c>
      <c r="F3463" s="53">
        <f>IF(B3463="","",IFERROR(INDEX(Client_List!$D:$D,MATCH(VALUE(B3463),Client_List!$A:$A,0)),""))</f>
        <v/>
      </c>
      <c r="G3463" s="53">
        <f>IF(B3463="","",IFERROR(INDEX(Client_List!$K:$K,MATCH(VALUE(B3463),Client_List!$A:$A,0)),""))</f>
        <v/>
      </c>
      <c r="H3463" s="32">
        <f>IF(B3463="","",IFERROR(INDEX(Client_List!$J:$J,MATCH(VALUE(B3463),Client_List!$A:$A,0)),""))</f>
        <v/>
      </c>
      <c r="I3463" s="70">
        <f>IF(B3463="","",IFERROR(A3463-LOOKUP(2,1/($B$4:$B3462=B3463),$A$4:$A3462),""))</f>
        <v/>
      </c>
      <c r="J3463" s="32">
        <f>IF(B3463="","",IFERROR(D3463/I3463,""))</f>
        <v/>
      </c>
      <c r="K3463" s="71">
        <f>IF(B3463="","",IFERROR(AVERAGEIFS($J$4:$J3463,$B$4:$B3463,B3463,$J$4:$J3463,"&gt;"&amp;0),""))</f>
        <v/>
      </c>
      <c r="L3463" s="11" t="n"/>
    </row>
    <row r="3464" ht="14" customHeight="1" s="72">
      <c r="A3464" s="83" t="n"/>
      <c r="B3464" s="81" t="n"/>
      <c r="C3464" s="69">
        <f>IF(B3464="","",IFERROR(INDEX(Client_List!$B:$B,MATCH(B3464,Client_List!$A:$A,0)),"⚠ NOT FOUND"))</f>
        <v/>
      </c>
      <c r="D3464" s="45" t="n"/>
      <c r="E3464" s="32">
        <f>IF(B3464="","",IFERROR(INDEX(Client_List!$C:$C,MATCH(VALUE(B3464),Client_List!$A:$A,0)),""))</f>
        <v/>
      </c>
      <c r="F3464" s="53">
        <f>IF(B3464="","",IFERROR(INDEX(Client_List!$D:$D,MATCH(VALUE(B3464),Client_List!$A:$A,0)),""))</f>
        <v/>
      </c>
      <c r="G3464" s="53">
        <f>IF(B3464="","",IFERROR(INDEX(Client_List!$K:$K,MATCH(VALUE(B3464),Client_List!$A:$A,0)),""))</f>
        <v/>
      </c>
      <c r="H3464" s="32">
        <f>IF(B3464="","",IFERROR(INDEX(Client_List!$J:$J,MATCH(VALUE(B3464),Client_List!$A:$A,0)),""))</f>
        <v/>
      </c>
      <c r="I3464" s="70">
        <f>IF(B3464="","",IFERROR(A3464-LOOKUP(2,1/($B$4:$B3463=B3464),$A$4:$A3463),""))</f>
        <v/>
      </c>
      <c r="J3464" s="32">
        <f>IF(B3464="","",IFERROR(D3464/I3464,""))</f>
        <v/>
      </c>
      <c r="K3464" s="71">
        <f>IF(B3464="","",IFERROR(AVERAGEIFS($J$4:$J3464,$B$4:$B3464,B3464,$J$4:$J3464,"&gt;"&amp;0),""))</f>
        <v/>
      </c>
      <c r="L3464" s="12" t="n"/>
    </row>
    <row r="3465" ht="14" customHeight="1" s="72">
      <c r="A3465" s="82" t="n"/>
      <c r="B3465" s="79" t="n"/>
      <c r="C3465" s="69">
        <f>IF(B3465="","",IFERROR(INDEX(Client_List!$B:$B,MATCH(B3465,Client_List!$A:$A,0)),"⚠ NOT FOUND"))</f>
        <v/>
      </c>
      <c r="D3465" s="44" t="n"/>
      <c r="E3465" s="32">
        <f>IF(B3465="","",IFERROR(INDEX(Client_List!$C:$C,MATCH(VALUE(B3465),Client_List!$A:$A,0)),""))</f>
        <v/>
      </c>
      <c r="F3465" s="53">
        <f>IF(B3465="","",IFERROR(INDEX(Client_List!$D:$D,MATCH(VALUE(B3465),Client_List!$A:$A,0)),""))</f>
        <v/>
      </c>
      <c r="G3465" s="53">
        <f>IF(B3465="","",IFERROR(INDEX(Client_List!$K:$K,MATCH(VALUE(B3465),Client_List!$A:$A,0)),""))</f>
        <v/>
      </c>
      <c r="H3465" s="32">
        <f>IF(B3465="","",IFERROR(INDEX(Client_List!$J:$J,MATCH(VALUE(B3465),Client_List!$A:$A,0)),""))</f>
        <v/>
      </c>
      <c r="I3465" s="70">
        <f>IF(B3465="","",IFERROR(A3465-LOOKUP(2,1/($B$4:$B3464=B3465),$A$4:$A3464),""))</f>
        <v/>
      </c>
      <c r="J3465" s="32">
        <f>IF(B3465="","",IFERROR(D3465/I3465,""))</f>
        <v/>
      </c>
      <c r="K3465" s="71">
        <f>IF(B3465="","",IFERROR(AVERAGEIFS($J$4:$J3465,$B$4:$B3465,B3465,$J$4:$J3465,"&gt;"&amp;0),""))</f>
        <v/>
      </c>
      <c r="L3465" s="11" t="n"/>
    </row>
    <row r="3466" ht="14" customHeight="1" s="72">
      <c r="A3466" s="83" t="n"/>
      <c r="B3466" s="81" t="n"/>
      <c r="C3466" s="69">
        <f>IF(B3466="","",IFERROR(INDEX(Client_List!$B:$B,MATCH(B3466,Client_List!$A:$A,0)),"⚠ NOT FOUND"))</f>
        <v/>
      </c>
      <c r="D3466" s="45" t="n"/>
      <c r="E3466" s="32">
        <f>IF(B3466="","",IFERROR(INDEX(Client_List!$C:$C,MATCH(VALUE(B3466),Client_List!$A:$A,0)),""))</f>
        <v/>
      </c>
      <c r="F3466" s="53">
        <f>IF(B3466="","",IFERROR(INDEX(Client_List!$D:$D,MATCH(VALUE(B3466),Client_List!$A:$A,0)),""))</f>
        <v/>
      </c>
      <c r="G3466" s="53">
        <f>IF(B3466="","",IFERROR(INDEX(Client_List!$K:$K,MATCH(VALUE(B3466),Client_List!$A:$A,0)),""))</f>
        <v/>
      </c>
      <c r="H3466" s="32">
        <f>IF(B3466="","",IFERROR(INDEX(Client_List!$J:$J,MATCH(VALUE(B3466),Client_List!$A:$A,0)),""))</f>
        <v/>
      </c>
      <c r="I3466" s="70">
        <f>IF(B3466="","",IFERROR(A3466-LOOKUP(2,1/($B$4:$B3465=B3466),$A$4:$A3465),""))</f>
        <v/>
      </c>
      <c r="J3466" s="32">
        <f>IF(B3466="","",IFERROR(D3466/I3466,""))</f>
        <v/>
      </c>
      <c r="K3466" s="71">
        <f>IF(B3466="","",IFERROR(AVERAGEIFS($J$4:$J3466,$B$4:$B3466,B3466,$J$4:$J3466,"&gt;"&amp;0),""))</f>
        <v/>
      </c>
      <c r="L3466" s="12" t="n"/>
    </row>
    <row r="3467" ht="14" customHeight="1" s="72">
      <c r="A3467" s="82" t="n"/>
      <c r="B3467" s="79" t="n"/>
      <c r="C3467" s="69">
        <f>IF(B3467="","",IFERROR(INDEX(Client_List!$B:$B,MATCH(B3467,Client_List!$A:$A,0)),"⚠ NOT FOUND"))</f>
        <v/>
      </c>
      <c r="D3467" s="44" t="n"/>
      <c r="E3467" s="32">
        <f>IF(B3467="","",IFERROR(INDEX(Client_List!$C:$C,MATCH(VALUE(B3467),Client_List!$A:$A,0)),""))</f>
        <v/>
      </c>
      <c r="F3467" s="53">
        <f>IF(B3467="","",IFERROR(INDEX(Client_List!$D:$D,MATCH(VALUE(B3467),Client_List!$A:$A,0)),""))</f>
        <v/>
      </c>
      <c r="G3467" s="53">
        <f>IF(B3467="","",IFERROR(INDEX(Client_List!$K:$K,MATCH(VALUE(B3467),Client_List!$A:$A,0)),""))</f>
        <v/>
      </c>
      <c r="H3467" s="32">
        <f>IF(B3467="","",IFERROR(INDEX(Client_List!$J:$J,MATCH(VALUE(B3467),Client_List!$A:$A,0)),""))</f>
        <v/>
      </c>
      <c r="I3467" s="70">
        <f>IF(B3467="","",IFERROR(A3467-LOOKUP(2,1/($B$4:$B3466=B3467),$A$4:$A3466),""))</f>
        <v/>
      </c>
      <c r="J3467" s="32">
        <f>IF(B3467="","",IFERROR(D3467/I3467,""))</f>
        <v/>
      </c>
      <c r="K3467" s="71">
        <f>IF(B3467="","",IFERROR(AVERAGEIFS($J$4:$J3467,$B$4:$B3467,B3467,$J$4:$J3467,"&gt;"&amp;0),""))</f>
        <v/>
      </c>
      <c r="L3467" s="11" t="n"/>
    </row>
    <row r="3468" ht="14" customHeight="1" s="72">
      <c r="A3468" s="83" t="n"/>
      <c r="B3468" s="81" t="n"/>
      <c r="C3468" s="69">
        <f>IF(B3468="","",IFERROR(INDEX(Client_List!$B:$B,MATCH(B3468,Client_List!$A:$A,0)),"⚠ NOT FOUND"))</f>
        <v/>
      </c>
      <c r="D3468" s="45" t="n"/>
      <c r="E3468" s="32">
        <f>IF(B3468="","",IFERROR(INDEX(Client_List!$C:$C,MATCH(VALUE(B3468),Client_List!$A:$A,0)),""))</f>
        <v/>
      </c>
      <c r="F3468" s="53">
        <f>IF(B3468="","",IFERROR(INDEX(Client_List!$D:$D,MATCH(VALUE(B3468),Client_List!$A:$A,0)),""))</f>
        <v/>
      </c>
      <c r="G3468" s="53">
        <f>IF(B3468="","",IFERROR(INDEX(Client_List!$K:$K,MATCH(VALUE(B3468),Client_List!$A:$A,0)),""))</f>
        <v/>
      </c>
      <c r="H3468" s="32">
        <f>IF(B3468="","",IFERROR(INDEX(Client_List!$J:$J,MATCH(VALUE(B3468),Client_List!$A:$A,0)),""))</f>
        <v/>
      </c>
      <c r="I3468" s="70">
        <f>IF(B3468="","",IFERROR(A3468-LOOKUP(2,1/($B$4:$B3467=B3468),$A$4:$A3467),""))</f>
        <v/>
      </c>
      <c r="J3468" s="32">
        <f>IF(B3468="","",IFERROR(D3468/I3468,""))</f>
        <v/>
      </c>
      <c r="K3468" s="71">
        <f>IF(B3468="","",IFERROR(AVERAGEIFS($J$4:$J3468,$B$4:$B3468,B3468,$J$4:$J3468,"&gt;"&amp;0),""))</f>
        <v/>
      </c>
      <c r="L3468" s="12" t="n"/>
    </row>
    <row r="3469" ht="14" customHeight="1" s="72">
      <c r="A3469" s="82" t="n"/>
      <c r="B3469" s="79" t="n"/>
      <c r="C3469" s="69">
        <f>IF(B3469="","",IFERROR(INDEX(Client_List!$B:$B,MATCH(B3469,Client_List!$A:$A,0)),"⚠ NOT FOUND"))</f>
        <v/>
      </c>
      <c r="D3469" s="44" t="n"/>
      <c r="E3469" s="32">
        <f>IF(B3469="","",IFERROR(INDEX(Client_List!$C:$C,MATCH(VALUE(B3469),Client_List!$A:$A,0)),""))</f>
        <v/>
      </c>
      <c r="F3469" s="53">
        <f>IF(B3469="","",IFERROR(INDEX(Client_List!$D:$D,MATCH(VALUE(B3469),Client_List!$A:$A,0)),""))</f>
        <v/>
      </c>
      <c r="G3469" s="53">
        <f>IF(B3469="","",IFERROR(INDEX(Client_List!$K:$K,MATCH(VALUE(B3469),Client_List!$A:$A,0)),""))</f>
        <v/>
      </c>
      <c r="H3469" s="32">
        <f>IF(B3469="","",IFERROR(INDEX(Client_List!$J:$J,MATCH(VALUE(B3469),Client_List!$A:$A,0)),""))</f>
        <v/>
      </c>
      <c r="I3469" s="70">
        <f>IF(B3469="","",IFERROR(A3469-LOOKUP(2,1/($B$4:$B3468=B3469),$A$4:$A3468),""))</f>
        <v/>
      </c>
      <c r="J3469" s="32">
        <f>IF(B3469="","",IFERROR(D3469/I3469,""))</f>
        <v/>
      </c>
      <c r="K3469" s="71">
        <f>IF(B3469="","",IFERROR(AVERAGEIFS($J$4:$J3469,$B$4:$B3469,B3469,$J$4:$J3469,"&gt;"&amp;0),""))</f>
        <v/>
      </c>
      <c r="L3469" s="11" t="n"/>
    </row>
    <row r="3470" ht="14" customHeight="1" s="72">
      <c r="A3470" s="83" t="n"/>
      <c r="B3470" s="81" t="n"/>
      <c r="C3470" s="69">
        <f>IF(B3470="","",IFERROR(INDEX(Client_List!$B:$B,MATCH(B3470,Client_List!$A:$A,0)),"⚠ NOT FOUND"))</f>
        <v/>
      </c>
      <c r="D3470" s="45" t="n"/>
      <c r="E3470" s="32">
        <f>IF(B3470="","",IFERROR(INDEX(Client_List!$C:$C,MATCH(VALUE(B3470),Client_List!$A:$A,0)),""))</f>
        <v/>
      </c>
      <c r="F3470" s="53">
        <f>IF(B3470="","",IFERROR(INDEX(Client_List!$D:$D,MATCH(VALUE(B3470),Client_List!$A:$A,0)),""))</f>
        <v/>
      </c>
      <c r="G3470" s="53">
        <f>IF(B3470="","",IFERROR(INDEX(Client_List!$K:$K,MATCH(VALUE(B3470),Client_List!$A:$A,0)),""))</f>
        <v/>
      </c>
      <c r="H3470" s="32">
        <f>IF(B3470="","",IFERROR(INDEX(Client_List!$J:$J,MATCH(VALUE(B3470),Client_List!$A:$A,0)),""))</f>
        <v/>
      </c>
      <c r="I3470" s="70">
        <f>IF(B3470="","",IFERROR(A3470-LOOKUP(2,1/($B$4:$B3469=B3470),$A$4:$A3469),""))</f>
        <v/>
      </c>
      <c r="J3470" s="32">
        <f>IF(B3470="","",IFERROR(D3470/I3470,""))</f>
        <v/>
      </c>
      <c r="K3470" s="71">
        <f>IF(B3470="","",IFERROR(AVERAGEIFS($J$4:$J3470,$B$4:$B3470,B3470,$J$4:$J3470,"&gt;"&amp;0),""))</f>
        <v/>
      </c>
      <c r="L3470" s="12" t="n"/>
    </row>
    <row r="3471" ht="14" customHeight="1" s="72">
      <c r="A3471" s="82" t="n"/>
      <c r="B3471" s="79" t="n"/>
      <c r="C3471" s="69">
        <f>IF(B3471="","",IFERROR(INDEX(Client_List!$B:$B,MATCH(B3471,Client_List!$A:$A,0)),"⚠ NOT FOUND"))</f>
        <v/>
      </c>
      <c r="D3471" s="44" t="n"/>
      <c r="E3471" s="32">
        <f>IF(B3471="","",IFERROR(INDEX(Client_List!$C:$C,MATCH(VALUE(B3471),Client_List!$A:$A,0)),""))</f>
        <v/>
      </c>
      <c r="F3471" s="53">
        <f>IF(B3471="","",IFERROR(INDEX(Client_List!$D:$D,MATCH(VALUE(B3471),Client_List!$A:$A,0)),""))</f>
        <v/>
      </c>
      <c r="G3471" s="53">
        <f>IF(B3471="","",IFERROR(INDEX(Client_List!$K:$K,MATCH(VALUE(B3471),Client_List!$A:$A,0)),""))</f>
        <v/>
      </c>
      <c r="H3471" s="32">
        <f>IF(B3471="","",IFERROR(INDEX(Client_List!$J:$J,MATCH(VALUE(B3471),Client_List!$A:$A,0)),""))</f>
        <v/>
      </c>
      <c r="I3471" s="70">
        <f>IF(B3471="","",IFERROR(A3471-LOOKUP(2,1/($B$4:$B3470=B3471),$A$4:$A3470),""))</f>
        <v/>
      </c>
      <c r="J3471" s="32">
        <f>IF(B3471="","",IFERROR(D3471/I3471,""))</f>
        <v/>
      </c>
      <c r="K3471" s="71">
        <f>IF(B3471="","",IFERROR(AVERAGEIFS($J$4:$J3471,$B$4:$B3471,B3471,$J$4:$J3471,"&gt;"&amp;0),""))</f>
        <v/>
      </c>
      <c r="L3471" s="11" t="n"/>
    </row>
    <row r="3472" ht="14" customHeight="1" s="72">
      <c r="A3472" s="83" t="n"/>
      <c r="B3472" s="81" t="n"/>
      <c r="C3472" s="69">
        <f>IF(B3472="","",IFERROR(INDEX(Client_List!$B:$B,MATCH(B3472,Client_List!$A:$A,0)),"⚠ NOT FOUND"))</f>
        <v/>
      </c>
      <c r="D3472" s="45" t="n"/>
      <c r="E3472" s="32">
        <f>IF(B3472="","",IFERROR(INDEX(Client_List!$C:$C,MATCH(VALUE(B3472),Client_List!$A:$A,0)),""))</f>
        <v/>
      </c>
      <c r="F3472" s="53">
        <f>IF(B3472="","",IFERROR(INDEX(Client_List!$D:$D,MATCH(VALUE(B3472),Client_List!$A:$A,0)),""))</f>
        <v/>
      </c>
      <c r="G3472" s="53">
        <f>IF(B3472="","",IFERROR(INDEX(Client_List!$K:$K,MATCH(VALUE(B3472),Client_List!$A:$A,0)),""))</f>
        <v/>
      </c>
      <c r="H3472" s="32">
        <f>IF(B3472="","",IFERROR(INDEX(Client_List!$J:$J,MATCH(VALUE(B3472),Client_List!$A:$A,0)),""))</f>
        <v/>
      </c>
      <c r="I3472" s="70">
        <f>IF(B3472="","",IFERROR(A3472-LOOKUP(2,1/($B$4:$B3471=B3472),$A$4:$A3471),""))</f>
        <v/>
      </c>
      <c r="J3472" s="32">
        <f>IF(B3472="","",IFERROR(D3472/I3472,""))</f>
        <v/>
      </c>
      <c r="K3472" s="71">
        <f>IF(B3472="","",IFERROR(AVERAGEIFS($J$4:$J3472,$B$4:$B3472,B3472,$J$4:$J3472,"&gt;"&amp;0),""))</f>
        <v/>
      </c>
      <c r="L3472" s="12" t="n"/>
    </row>
    <row r="3473" ht="14" customHeight="1" s="72">
      <c r="A3473" s="82" t="n"/>
      <c r="B3473" s="79" t="n"/>
      <c r="C3473" s="69">
        <f>IF(B3473="","",IFERROR(INDEX(Client_List!$B:$B,MATCH(B3473,Client_List!$A:$A,0)),"⚠ NOT FOUND"))</f>
        <v/>
      </c>
      <c r="D3473" s="44" t="n"/>
      <c r="E3473" s="32">
        <f>IF(B3473="","",IFERROR(INDEX(Client_List!$C:$C,MATCH(VALUE(B3473),Client_List!$A:$A,0)),""))</f>
        <v/>
      </c>
      <c r="F3473" s="53">
        <f>IF(B3473="","",IFERROR(INDEX(Client_List!$D:$D,MATCH(VALUE(B3473),Client_List!$A:$A,0)),""))</f>
        <v/>
      </c>
      <c r="G3473" s="53">
        <f>IF(B3473="","",IFERROR(INDEX(Client_List!$K:$K,MATCH(VALUE(B3473),Client_List!$A:$A,0)),""))</f>
        <v/>
      </c>
      <c r="H3473" s="32">
        <f>IF(B3473="","",IFERROR(INDEX(Client_List!$J:$J,MATCH(VALUE(B3473),Client_List!$A:$A,0)),""))</f>
        <v/>
      </c>
      <c r="I3473" s="70">
        <f>IF(B3473="","",IFERROR(A3473-LOOKUP(2,1/($B$4:$B3472=B3473),$A$4:$A3472),""))</f>
        <v/>
      </c>
      <c r="J3473" s="32">
        <f>IF(B3473="","",IFERROR(D3473/I3473,""))</f>
        <v/>
      </c>
      <c r="K3473" s="71">
        <f>IF(B3473="","",IFERROR(AVERAGEIFS($J$4:$J3473,$B$4:$B3473,B3473,$J$4:$J3473,"&gt;"&amp;0),""))</f>
        <v/>
      </c>
      <c r="L3473" s="11" t="n"/>
    </row>
    <row r="3474" ht="14" customHeight="1" s="72">
      <c r="A3474" s="83" t="n"/>
      <c r="B3474" s="81" t="n"/>
      <c r="C3474" s="69">
        <f>IF(B3474="","",IFERROR(INDEX(Client_List!$B:$B,MATCH(B3474,Client_List!$A:$A,0)),"⚠ NOT FOUND"))</f>
        <v/>
      </c>
      <c r="D3474" s="45" t="n"/>
      <c r="E3474" s="32">
        <f>IF(B3474="","",IFERROR(INDEX(Client_List!$C:$C,MATCH(VALUE(B3474),Client_List!$A:$A,0)),""))</f>
        <v/>
      </c>
      <c r="F3474" s="53">
        <f>IF(B3474="","",IFERROR(INDEX(Client_List!$D:$D,MATCH(VALUE(B3474),Client_List!$A:$A,0)),""))</f>
        <v/>
      </c>
      <c r="G3474" s="53">
        <f>IF(B3474="","",IFERROR(INDEX(Client_List!$K:$K,MATCH(VALUE(B3474),Client_List!$A:$A,0)),""))</f>
        <v/>
      </c>
      <c r="H3474" s="32">
        <f>IF(B3474="","",IFERROR(INDEX(Client_List!$J:$J,MATCH(VALUE(B3474),Client_List!$A:$A,0)),""))</f>
        <v/>
      </c>
      <c r="I3474" s="70">
        <f>IF(B3474="","",IFERROR(A3474-LOOKUP(2,1/($B$4:$B3473=B3474),$A$4:$A3473),""))</f>
        <v/>
      </c>
      <c r="J3474" s="32">
        <f>IF(B3474="","",IFERROR(D3474/I3474,""))</f>
        <v/>
      </c>
      <c r="K3474" s="71">
        <f>IF(B3474="","",IFERROR(AVERAGEIFS($J$4:$J3474,$B$4:$B3474,B3474,$J$4:$J3474,"&gt;"&amp;0),""))</f>
        <v/>
      </c>
      <c r="L3474" s="12" t="n"/>
    </row>
    <row r="3475" ht="14" customHeight="1" s="72">
      <c r="A3475" s="82" t="n"/>
      <c r="B3475" s="79" t="n"/>
      <c r="C3475" s="69">
        <f>IF(B3475="","",IFERROR(INDEX(Client_List!$B:$B,MATCH(B3475,Client_List!$A:$A,0)),"⚠ NOT FOUND"))</f>
        <v/>
      </c>
      <c r="D3475" s="44" t="n"/>
      <c r="E3475" s="32">
        <f>IF(B3475="","",IFERROR(INDEX(Client_List!$C:$C,MATCH(VALUE(B3475),Client_List!$A:$A,0)),""))</f>
        <v/>
      </c>
      <c r="F3475" s="53">
        <f>IF(B3475="","",IFERROR(INDEX(Client_List!$D:$D,MATCH(VALUE(B3475),Client_List!$A:$A,0)),""))</f>
        <v/>
      </c>
      <c r="G3475" s="53">
        <f>IF(B3475="","",IFERROR(INDEX(Client_List!$K:$K,MATCH(VALUE(B3475),Client_List!$A:$A,0)),""))</f>
        <v/>
      </c>
      <c r="H3475" s="32">
        <f>IF(B3475="","",IFERROR(INDEX(Client_List!$J:$J,MATCH(VALUE(B3475),Client_List!$A:$A,0)),""))</f>
        <v/>
      </c>
      <c r="I3475" s="70">
        <f>IF(B3475="","",IFERROR(A3475-LOOKUP(2,1/($B$4:$B3474=B3475),$A$4:$A3474),""))</f>
        <v/>
      </c>
      <c r="J3475" s="32">
        <f>IF(B3475="","",IFERROR(D3475/I3475,""))</f>
        <v/>
      </c>
      <c r="K3475" s="71">
        <f>IF(B3475="","",IFERROR(AVERAGEIFS($J$4:$J3475,$B$4:$B3475,B3475,$J$4:$J3475,"&gt;"&amp;0),""))</f>
        <v/>
      </c>
      <c r="L3475" s="11" t="n"/>
    </row>
    <row r="3476" ht="14" customHeight="1" s="72">
      <c r="A3476" s="83" t="n"/>
      <c r="B3476" s="81" t="n"/>
      <c r="C3476" s="69">
        <f>IF(B3476="","",IFERROR(INDEX(Client_List!$B:$B,MATCH(B3476,Client_List!$A:$A,0)),"⚠ NOT FOUND"))</f>
        <v/>
      </c>
      <c r="D3476" s="45" t="n"/>
      <c r="E3476" s="32">
        <f>IF(B3476="","",IFERROR(INDEX(Client_List!$C:$C,MATCH(VALUE(B3476),Client_List!$A:$A,0)),""))</f>
        <v/>
      </c>
      <c r="F3476" s="53">
        <f>IF(B3476="","",IFERROR(INDEX(Client_List!$D:$D,MATCH(VALUE(B3476),Client_List!$A:$A,0)),""))</f>
        <v/>
      </c>
      <c r="G3476" s="53">
        <f>IF(B3476="","",IFERROR(INDEX(Client_List!$K:$K,MATCH(VALUE(B3476),Client_List!$A:$A,0)),""))</f>
        <v/>
      </c>
      <c r="H3476" s="32">
        <f>IF(B3476="","",IFERROR(INDEX(Client_List!$J:$J,MATCH(VALUE(B3476),Client_List!$A:$A,0)),""))</f>
        <v/>
      </c>
      <c r="I3476" s="70">
        <f>IF(B3476="","",IFERROR(A3476-LOOKUP(2,1/($B$4:$B3475=B3476),$A$4:$A3475),""))</f>
        <v/>
      </c>
      <c r="J3476" s="32">
        <f>IF(B3476="","",IFERROR(D3476/I3476,""))</f>
        <v/>
      </c>
      <c r="K3476" s="71">
        <f>IF(B3476="","",IFERROR(AVERAGEIFS($J$4:$J3476,$B$4:$B3476,B3476,$J$4:$J3476,"&gt;"&amp;0),""))</f>
        <v/>
      </c>
      <c r="L3476" s="12" t="n"/>
    </row>
    <row r="3477" ht="14" customHeight="1" s="72">
      <c r="A3477" s="82" t="n"/>
      <c r="B3477" s="79" t="n"/>
      <c r="C3477" s="69">
        <f>IF(B3477="","",IFERROR(INDEX(Client_List!$B:$B,MATCH(B3477,Client_List!$A:$A,0)),"⚠ NOT FOUND"))</f>
        <v/>
      </c>
      <c r="D3477" s="44" t="n"/>
      <c r="E3477" s="32">
        <f>IF(B3477="","",IFERROR(INDEX(Client_List!$C:$C,MATCH(VALUE(B3477),Client_List!$A:$A,0)),""))</f>
        <v/>
      </c>
      <c r="F3477" s="53">
        <f>IF(B3477="","",IFERROR(INDEX(Client_List!$D:$D,MATCH(VALUE(B3477),Client_List!$A:$A,0)),""))</f>
        <v/>
      </c>
      <c r="G3477" s="53">
        <f>IF(B3477="","",IFERROR(INDEX(Client_List!$K:$K,MATCH(VALUE(B3477),Client_List!$A:$A,0)),""))</f>
        <v/>
      </c>
      <c r="H3477" s="32">
        <f>IF(B3477="","",IFERROR(INDEX(Client_List!$J:$J,MATCH(VALUE(B3477),Client_List!$A:$A,0)),""))</f>
        <v/>
      </c>
      <c r="I3477" s="70">
        <f>IF(B3477="","",IFERROR(A3477-LOOKUP(2,1/($B$4:$B3476=B3477),$A$4:$A3476),""))</f>
        <v/>
      </c>
      <c r="J3477" s="32">
        <f>IF(B3477="","",IFERROR(D3477/I3477,""))</f>
        <v/>
      </c>
      <c r="K3477" s="71">
        <f>IF(B3477="","",IFERROR(AVERAGEIFS($J$4:$J3477,$B$4:$B3477,B3477,$J$4:$J3477,"&gt;"&amp;0),""))</f>
        <v/>
      </c>
      <c r="L3477" s="11" t="n"/>
    </row>
    <row r="3478" ht="14" customHeight="1" s="72">
      <c r="A3478" s="83" t="n"/>
      <c r="B3478" s="81" t="n"/>
      <c r="C3478" s="69">
        <f>IF(B3478="","",IFERROR(INDEX(Client_List!$B:$B,MATCH(B3478,Client_List!$A:$A,0)),"⚠ NOT FOUND"))</f>
        <v/>
      </c>
      <c r="D3478" s="45" t="n"/>
      <c r="E3478" s="32">
        <f>IF(B3478="","",IFERROR(INDEX(Client_List!$C:$C,MATCH(VALUE(B3478),Client_List!$A:$A,0)),""))</f>
        <v/>
      </c>
      <c r="F3478" s="53">
        <f>IF(B3478="","",IFERROR(INDEX(Client_List!$D:$D,MATCH(VALUE(B3478),Client_List!$A:$A,0)),""))</f>
        <v/>
      </c>
      <c r="G3478" s="53">
        <f>IF(B3478="","",IFERROR(INDEX(Client_List!$K:$K,MATCH(VALUE(B3478),Client_List!$A:$A,0)),""))</f>
        <v/>
      </c>
      <c r="H3478" s="32">
        <f>IF(B3478="","",IFERROR(INDEX(Client_List!$J:$J,MATCH(VALUE(B3478),Client_List!$A:$A,0)),""))</f>
        <v/>
      </c>
      <c r="I3478" s="70">
        <f>IF(B3478="","",IFERROR(A3478-LOOKUP(2,1/($B$4:$B3477=B3478),$A$4:$A3477),""))</f>
        <v/>
      </c>
      <c r="J3478" s="32">
        <f>IF(B3478="","",IFERROR(D3478/I3478,""))</f>
        <v/>
      </c>
      <c r="K3478" s="71">
        <f>IF(B3478="","",IFERROR(AVERAGEIFS($J$4:$J3478,$B$4:$B3478,B3478,$J$4:$J3478,"&gt;"&amp;0),""))</f>
        <v/>
      </c>
      <c r="L3478" s="12" t="n"/>
    </row>
    <row r="3479" ht="14" customHeight="1" s="72">
      <c r="A3479" s="82" t="n"/>
      <c r="B3479" s="79" t="n"/>
      <c r="C3479" s="69">
        <f>IF(B3479="","",IFERROR(INDEX(Client_List!$B:$B,MATCH(B3479,Client_List!$A:$A,0)),"⚠ NOT FOUND"))</f>
        <v/>
      </c>
      <c r="D3479" s="44" t="n"/>
      <c r="E3479" s="32">
        <f>IF(B3479="","",IFERROR(INDEX(Client_List!$C:$C,MATCH(VALUE(B3479),Client_List!$A:$A,0)),""))</f>
        <v/>
      </c>
      <c r="F3479" s="53">
        <f>IF(B3479="","",IFERROR(INDEX(Client_List!$D:$D,MATCH(VALUE(B3479),Client_List!$A:$A,0)),""))</f>
        <v/>
      </c>
      <c r="G3479" s="53">
        <f>IF(B3479="","",IFERROR(INDEX(Client_List!$K:$K,MATCH(VALUE(B3479),Client_List!$A:$A,0)),""))</f>
        <v/>
      </c>
      <c r="H3479" s="32">
        <f>IF(B3479="","",IFERROR(INDEX(Client_List!$J:$J,MATCH(VALUE(B3479),Client_List!$A:$A,0)),""))</f>
        <v/>
      </c>
      <c r="I3479" s="70">
        <f>IF(B3479="","",IFERROR(A3479-LOOKUP(2,1/($B$4:$B3478=B3479),$A$4:$A3478),""))</f>
        <v/>
      </c>
      <c r="J3479" s="32">
        <f>IF(B3479="","",IFERROR(D3479/I3479,""))</f>
        <v/>
      </c>
      <c r="K3479" s="71">
        <f>IF(B3479="","",IFERROR(AVERAGEIFS($J$4:$J3479,$B$4:$B3479,B3479,$J$4:$J3479,"&gt;"&amp;0),""))</f>
        <v/>
      </c>
      <c r="L3479" s="11" t="n"/>
    </row>
    <row r="3480" ht="14" customHeight="1" s="72">
      <c r="A3480" s="83" t="n"/>
      <c r="B3480" s="81" t="n"/>
      <c r="C3480" s="69">
        <f>IF(B3480="","",IFERROR(INDEX(Client_List!$B:$B,MATCH(B3480,Client_List!$A:$A,0)),"⚠ NOT FOUND"))</f>
        <v/>
      </c>
      <c r="D3480" s="45" t="n"/>
      <c r="E3480" s="32">
        <f>IF(B3480="","",IFERROR(INDEX(Client_List!$C:$C,MATCH(VALUE(B3480),Client_List!$A:$A,0)),""))</f>
        <v/>
      </c>
      <c r="F3480" s="53">
        <f>IF(B3480="","",IFERROR(INDEX(Client_List!$D:$D,MATCH(VALUE(B3480),Client_List!$A:$A,0)),""))</f>
        <v/>
      </c>
      <c r="G3480" s="53">
        <f>IF(B3480="","",IFERROR(INDEX(Client_List!$K:$K,MATCH(VALUE(B3480),Client_List!$A:$A,0)),""))</f>
        <v/>
      </c>
      <c r="H3480" s="32">
        <f>IF(B3480="","",IFERROR(INDEX(Client_List!$J:$J,MATCH(VALUE(B3480),Client_List!$A:$A,0)),""))</f>
        <v/>
      </c>
      <c r="I3480" s="70">
        <f>IF(B3480="","",IFERROR(A3480-LOOKUP(2,1/($B$4:$B3479=B3480),$A$4:$A3479),""))</f>
        <v/>
      </c>
      <c r="J3480" s="32">
        <f>IF(B3480="","",IFERROR(D3480/I3480,""))</f>
        <v/>
      </c>
      <c r="K3480" s="71">
        <f>IF(B3480="","",IFERROR(AVERAGEIFS($J$4:$J3480,$B$4:$B3480,B3480,$J$4:$J3480,"&gt;"&amp;0),""))</f>
        <v/>
      </c>
      <c r="L3480" s="12" t="n"/>
    </row>
    <row r="3481" ht="14" customHeight="1" s="72">
      <c r="A3481" s="82" t="n"/>
      <c r="B3481" s="79" t="n"/>
      <c r="C3481" s="69">
        <f>IF(B3481="","",IFERROR(INDEX(Client_List!$B:$B,MATCH(B3481,Client_List!$A:$A,0)),"⚠ NOT FOUND"))</f>
        <v/>
      </c>
      <c r="D3481" s="44" t="n"/>
      <c r="E3481" s="32">
        <f>IF(B3481="","",IFERROR(INDEX(Client_List!$C:$C,MATCH(VALUE(B3481),Client_List!$A:$A,0)),""))</f>
        <v/>
      </c>
      <c r="F3481" s="53">
        <f>IF(B3481="","",IFERROR(INDEX(Client_List!$D:$D,MATCH(VALUE(B3481),Client_List!$A:$A,0)),""))</f>
        <v/>
      </c>
      <c r="G3481" s="53">
        <f>IF(B3481="","",IFERROR(INDEX(Client_List!$K:$K,MATCH(VALUE(B3481),Client_List!$A:$A,0)),""))</f>
        <v/>
      </c>
      <c r="H3481" s="32">
        <f>IF(B3481="","",IFERROR(INDEX(Client_List!$J:$J,MATCH(VALUE(B3481),Client_List!$A:$A,0)),""))</f>
        <v/>
      </c>
      <c r="I3481" s="70">
        <f>IF(B3481="","",IFERROR(A3481-LOOKUP(2,1/($B$4:$B3480=B3481),$A$4:$A3480),""))</f>
        <v/>
      </c>
      <c r="J3481" s="32">
        <f>IF(B3481="","",IFERROR(D3481/I3481,""))</f>
        <v/>
      </c>
      <c r="K3481" s="71">
        <f>IF(B3481="","",IFERROR(AVERAGEIFS($J$4:$J3481,$B$4:$B3481,B3481,$J$4:$J3481,"&gt;"&amp;0),""))</f>
        <v/>
      </c>
      <c r="L3481" s="11" t="n"/>
    </row>
    <row r="3482" ht="14" customHeight="1" s="72">
      <c r="A3482" s="83" t="n"/>
      <c r="B3482" s="81" t="n"/>
      <c r="C3482" s="69">
        <f>IF(B3482="","",IFERROR(INDEX(Client_List!$B:$B,MATCH(B3482,Client_List!$A:$A,0)),"⚠ NOT FOUND"))</f>
        <v/>
      </c>
      <c r="D3482" s="45" t="n"/>
      <c r="E3482" s="32">
        <f>IF(B3482="","",IFERROR(INDEX(Client_List!$C:$C,MATCH(VALUE(B3482),Client_List!$A:$A,0)),""))</f>
        <v/>
      </c>
      <c r="F3482" s="53">
        <f>IF(B3482="","",IFERROR(INDEX(Client_List!$D:$D,MATCH(VALUE(B3482),Client_List!$A:$A,0)),""))</f>
        <v/>
      </c>
      <c r="G3482" s="53">
        <f>IF(B3482="","",IFERROR(INDEX(Client_List!$K:$K,MATCH(VALUE(B3482),Client_List!$A:$A,0)),""))</f>
        <v/>
      </c>
      <c r="H3482" s="32">
        <f>IF(B3482="","",IFERROR(INDEX(Client_List!$J:$J,MATCH(VALUE(B3482),Client_List!$A:$A,0)),""))</f>
        <v/>
      </c>
      <c r="I3482" s="70">
        <f>IF(B3482="","",IFERROR(A3482-LOOKUP(2,1/($B$4:$B3481=B3482),$A$4:$A3481),""))</f>
        <v/>
      </c>
      <c r="J3482" s="32">
        <f>IF(B3482="","",IFERROR(D3482/I3482,""))</f>
        <v/>
      </c>
      <c r="K3482" s="71">
        <f>IF(B3482="","",IFERROR(AVERAGEIFS($J$4:$J3482,$B$4:$B3482,B3482,$J$4:$J3482,"&gt;"&amp;0),""))</f>
        <v/>
      </c>
      <c r="L3482" s="12" t="n"/>
    </row>
    <row r="3483" ht="14" customHeight="1" s="72">
      <c r="A3483" s="82" t="n"/>
      <c r="B3483" s="79" t="n"/>
      <c r="C3483" s="69">
        <f>IF(B3483="","",IFERROR(INDEX(Client_List!$B:$B,MATCH(B3483,Client_List!$A:$A,0)),"⚠ NOT FOUND"))</f>
        <v/>
      </c>
      <c r="D3483" s="44" t="n"/>
      <c r="E3483" s="32">
        <f>IF(B3483="","",IFERROR(INDEX(Client_List!$C:$C,MATCH(VALUE(B3483),Client_List!$A:$A,0)),""))</f>
        <v/>
      </c>
      <c r="F3483" s="53">
        <f>IF(B3483="","",IFERROR(INDEX(Client_List!$D:$D,MATCH(VALUE(B3483),Client_List!$A:$A,0)),""))</f>
        <v/>
      </c>
      <c r="G3483" s="53">
        <f>IF(B3483="","",IFERROR(INDEX(Client_List!$K:$K,MATCH(VALUE(B3483),Client_List!$A:$A,0)),""))</f>
        <v/>
      </c>
      <c r="H3483" s="32">
        <f>IF(B3483="","",IFERROR(INDEX(Client_List!$J:$J,MATCH(VALUE(B3483),Client_List!$A:$A,0)),""))</f>
        <v/>
      </c>
      <c r="I3483" s="70">
        <f>IF(B3483="","",IFERROR(A3483-LOOKUP(2,1/($B$4:$B3482=B3483),$A$4:$A3482),""))</f>
        <v/>
      </c>
      <c r="J3483" s="32">
        <f>IF(B3483="","",IFERROR(D3483/I3483,""))</f>
        <v/>
      </c>
      <c r="K3483" s="71">
        <f>IF(B3483="","",IFERROR(AVERAGEIFS($J$4:$J3483,$B$4:$B3483,B3483,$J$4:$J3483,"&gt;"&amp;0),""))</f>
        <v/>
      </c>
      <c r="L3483" s="11" t="n"/>
    </row>
    <row r="3484" ht="14" customHeight="1" s="72">
      <c r="A3484" s="83" t="n"/>
      <c r="B3484" s="81" t="n"/>
      <c r="C3484" s="69">
        <f>IF(B3484="","",IFERROR(INDEX(Client_List!$B:$B,MATCH(B3484,Client_List!$A:$A,0)),"⚠ NOT FOUND"))</f>
        <v/>
      </c>
      <c r="D3484" s="45" t="n"/>
      <c r="E3484" s="32">
        <f>IF(B3484="","",IFERROR(INDEX(Client_List!$C:$C,MATCH(VALUE(B3484),Client_List!$A:$A,0)),""))</f>
        <v/>
      </c>
      <c r="F3484" s="53">
        <f>IF(B3484="","",IFERROR(INDEX(Client_List!$D:$D,MATCH(VALUE(B3484),Client_List!$A:$A,0)),""))</f>
        <v/>
      </c>
      <c r="G3484" s="53">
        <f>IF(B3484="","",IFERROR(INDEX(Client_List!$K:$K,MATCH(VALUE(B3484),Client_List!$A:$A,0)),""))</f>
        <v/>
      </c>
      <c r="H3484" s="32">
        <f>IF(B3484="","",IFERROR(INDEX(Client_List!$J:$J,MATCH(VALUE(B3484),Client_List!$A:$A,0)),""))</f>
        <v/>
      </c>
      <c r="I3484" s="70">
        <f>IF(B3484="","",IFERROR(A3484-LOOKUP(2,1/($B$4:$B3483=B3484),$A$4:$A3483),""))</f>
        <v/>
      </c>
      <c r="J3484" s="32">
        <f>IF(B3484="","",IFERROR(D3484/I3484,""))</f>
        <v/>
      </c>
      <c r="K3484" s="71">
        <f>IF(B3484="","",IFERROR(AVERAGEIFS($J$4:$J3484,$B$4:$B3484,B3484,$J$4:$J3484,"&gt;"&amp;0),""))</f>
        <v/>
      </c>
      <c r="L3484" s="12" t="n"/>
    </row>
    <row r="3485" ht="14" customHeight="1" s="72">
      <c r="A3485" s="82" t="n"/>
      <c r="B3485" s="79" t="n"/>
      <c r="C3485" s="69">
        <f>IF(B3485="","",IFERROR(INDEX(Client_List!$B:$B,MATCH(B3485,Client_List!$A:$A,0)),"⚠ NOT FOUND"))</f>
        <v/>
      </c>
      <c r="D3485" s="44" t="n"/>
      <c r="E3485" s="32">
        <f>IF(B3485="","",IFERROR(INDEX(Client_List!$C:$C,MATCH(VALUE(B3485),Client_List!$A:$A,0)),""))</f>
        <v/>
      </c>
      <c r="F3485" s="53">
        <f>IF(B3485="","",IFERROR(INDEX(Client_List!$D:$D,MATCH(VALUE(B3485),Client_List!$A:$A,0)),""))</f>
        <v/>
      </c>
      <c r="G3485" s="53">
        <f>IF(B3485="","",IFERROR(INDEX(Client_List!$K:$K,MATCH(VALUE(B3485),Client_List!$A:$A,0)),""))</f>
        <v/>
      </c>
      <c r="H3485" s="32">
        <f>IF(B3485="","",IFERROR(INDEX(Client_List!$J:$J,MATCH(VALUE(B3485),Client_List!$A:$A,0)),""))</f>
        <v/>
      </c>
      <c r="I3485" s="70">
        <f>IF(B3485="","",IFERROR(A3485-LOOKUP(2,1/($B$4:$B3484=B3485),$A$4:$A3484),""))</f>
        <v/>
      </c>
      <c r="J3485" s="32">
        <f>IF(B3485="","",IFERROR(D3485/I3485,""))</f>
        <v/>
      </c>
      <c r="K3485" s="71">
        <f>IF(B3485="","",IFERROR(AVERAGEIFS($J$4:$J3485,$B$4:$B3485,B3485,$J$4:$J3485,"&gt;"&amp;0),""))</f>
        <v/>
      </c>
      <c r="L3485" s="11" t="n"/>
    </row>
    <row r="3486" ht="14" customHeight="1" s="72">
      <c r="A3486" s="83" t="n"/>
      <c r="B3486" s="81" t="n"/>
      <c r="C3486" s="69">
        <f>IF(B3486="","",IFERROR(INDEX(Client_List!$B:$B,MATCH(B3486,Client_List!$A:$A,0)),"⚠ NOT FOUND"))</f>
        <v/>
      </c>
      <c r="D3486" s="45" t="n"/>
      <c r="E3486" s="32">
        <f>IF(B3486="","",IFERROR(INDEX(Client_List!$C:$C,MATCH(VALUE(B3486),Client_List!$A:$A,0)),""))</f>
        <v/>
      </c>
      <c r="F3486" s="53">
        <f>IF(B3486="","",IFERROR(INDEX(Client_List!$D:$D,MATCH(VALUE(B3486),Client_List!$A:$A,0)),""))</f>
        <v/>
      </c>
      <c r="G3486" s="53">
        <f>IF(B3486="","",IFERROR(INDEX(Client_List!$K:$K,MATCH(VALUE(B3486),Client_List!$A:$A,0)),""))</f>
        <v/>
      </c>
      <c r="H3486" s="32">
        <f>IF(B3486="","",IFERROR(INDEX(Client_List!$J:$J,MATCH(VALUE(B3486),Client_List!$A:$A,0)),""))</f>
        <v/>
      </c>
      <c r="I3486" s="70">
        <f>IF(B3486="","",IFERROR(A3486-LOOKUP(2,1/($B$4:$B3485=B3486),$A$4:$A3485),""))</f>
        <v/>
      </c>
      <c r="J3486" s="32">
        <f>IF(B3486="","",IFERROR(D3486/I3486,""))</f>
        <v/>
      </c>
      <c r="K3486" s="71">
        <f>IF(B3486="","",IFERROR(AVERAGEIFS($J$4:$J3486,$B$4:$B3486,B3486,$J$4:$J3486,"&gt;"&amp;0),""))</f>
        <v/>
      </c>
      <c r="L3486" s="12" t="n"/>
    </row>
    <row r="3487" ht="14" customHeight="1" s="72">
      <c r="A3487" s="82" t="n"/>
      <c r="B3487" s="79" t="n"/>
      <c r="C3487" s="69">
        <f>IF(B3487="","",IFERROR(INDEX(Client_List!$B:$B,MATCH(B3487,Client_List!$A:$A,0)),"⚠ NOT FOUND"))</f>
        <v/>
      </c>
      <c r="D3487" s="44" t="n"/>
      <c r="E3487" s="32">
        <f>IF(B3487="","",IFERROR(INDEX(Client_List!$C:$C,MATCH(VALUE(B3487),Client_List!$A:$A,0)),""))</f>
        <v/>
      </c>
      <c r="F3487" s="53">
        <f>IF(B3487="","",IFERROR(INDEX(Client_List!$D:$D,MATCH(VALUE(B3487),Client_List!$A:$A,0)),""))</f>
        <v/>
      </c>
      <c r="G3487" s="53">
        <f>IF(B3487="","",IFERROR(INDEX(Client_List!$K:$K,MATCH(VALUE(B3487),Client_List!$A:$A,0)),""))</f>
        <v/>
      </c>
      <c r="H3487" s="32">
        <f>IF(B3487="","",IFERROR(INDEX(Client_List!$J:$J,MATCH(VALUE(B3487),Client_List!$A:$A,0)),""))</f>
        <v/>
      </c>
      <c r="I3487" s="70">
        <f>IF(B3487="","",IFERROR(A3487-LOOKUP(2,1/($B$4:$B3486=B3487),$A$4:$A3486),""))</f>
        <v/>
      </c>
      <c r="J3487" s="32">
        <f>IF(B3487="","",IFERROR(D3487/I3487,""))</f>
        <v/>
      </c>
      <c r="K3487" s="71">
        <f>IF(B3487="","",IFERROR(AVERAGEIFS($J$4:$J3487,$B$4:$B3487,B3487,$J$4:$J3487,"&gt;"&amp;0),""))</f>
        <v/>
      </c>
      <c r="L3487" s="11" t="n"/>
    </row>
    <row r="3488" ht="14" customHeight="1" s="72">
      <c r="A3488" s="83" t="n"/>
      <c r="B3488" s="81" t="n"/>
      <c r="C3488" s="69">
        <f>IF(B3488="","",IFERROR(INDEX(Client_List!$B:$B,MATCH(B3488,Client_List!$A:$A,0)),"⚠ NOT FOUND"))</f>
        <v/>
      </c>
      <c r="D3488" s="45" t="n"/>
      <c r="E3488" s="32">
        <f>IF(B3488="","",IFERROR(INDEX(Client_List!$C:$C,MATCH(VALUE(B3488),Client_List!$A:$A,0)),""))</f>
        <v/>
      </c>
      <c r="F3488" s="53">
        <f>IF(B3488="","",IFERROR(INDEX(Client_List!$D:$D,MATCH(VALUE(B3488),Client_List!$A:$A,0)),""))</f>
        <v/>
      </c>
      <c r="G3488" s="53">
        <f>IF(B3488="","",IFERROR(INDEX(Client_List!$K:$K,MATCH(VALUE(B3488),Client_List!$A:$A,0)),""))</f>
        <v/>
      </c>
      <c r="H3488" s="32">
        <f>IF(B3488="","",IFERROR(INDEX(Client_List!$J:$J,MATCH(VALUE(B3488),Client_List!$A:$A,0)),""))</f>
        <v/>
      </c>
      <c r="I3488" s="70">
        <f>IF(B3488="","",IFERROR(A3488-LOOKUP(2,1/($B$4:$B3487=B3488),$A$4:$A3487),""))</f>
        <v/>
      </c>
      <c r="J3488" s="32">
        <f>IF(B3488="","",IFERROR(D3488/I3488,""))</f>
        <v/>
      </c>
      <c r="K3488" s="71">
        <f>IF(B3488="","",IFERROR(AVERAGEIFS($J$4:$J3488,$B$4:$B3488,B3488,$J$4:$J3488,"&gt;"&amp;0),""))</f>
        <v/>
      </c>
      <c r="L3488" s="12" t="n"/>
    </row>
    <row r="3489" ht="14" customHeight="1" s="72">
      <c r="A3489" s="82" t="n"/>
      <c r="B3489" s="79" t="n"/>
      <c r="C3489" s="69">
        <f>IF(B3489="","",IFERROR(INDEX(Client_List!$B:$B,MATCH(B3489,Client_List!$A:$A,0)),"⚠ NOT FOUND"))</f>
        <v/>
      </c>
      <c r="D3489" s="44" t="n"/>
      <c r="E3489" s="32">
        <f>IF(B3489="","",IFERROR(INDEX(Client_List!$C:$C,MATCH(VALUE(B3489),Client_List!$A:$A,0)),""))</f>
        <v/>
      </c>
      <c r="F3489" s="53">
        <f>IF(B3489="","",IFERROR(INDEX(Client_List!$D:$D,MATCH(VALUE(B3489),Client_List!$A:$A,0)),""))</f>
        <v/>
      </c>
      <c r="G3489" s="53">
        <f>IF(B3489="","",IFERROR(INDEX(Client_List!$K:$K,MATCH(VALUE(B3489),Client_List!$A:$A,0)),""))</f>
        <v/>
      </c>
      <c r="H3489" s="32">
        <f>IF(B3489="","",IFERROR(INDEX(Client_List!$J:$J,MATCH(VALUE(B3489),Client_List!$A:$A,0)),""))</f>
        <v/>
      </c>
      <c r="I3489" s="70">
        <f>IF(B3489="","",IFERROR(A3489-LOOKUP(2,1/($B$4:$B3488=B3489),$A$4:$A3488),""))</f>
        <v/>
      </c>
      <c r="J3489" s="32">
        <f>IF(B3489="","",IFERROR(D3489/I3489,""))</f>
        <v/>
      </c>
      <c r="K3489" s="71">
        <f>IF(B3489="","",IFERROR(AVERAGEIFS($J$4:$J3489,$B$4:$B3489,B3489,$J$4:$J3489,"&gt;"&amp;0),""))</f>
        <v/>
      </c>
      <c r="L3489" s="11" t="n"/>
    </row>
    <row r="3490" ht="14" customHeight="1" s="72">
      <c r="A3490" s="83" t="n"/>
      <c r="B3490" s="81" t="n"/>
      <c r="C3490" s="69">
        <f>IF(B3490="","",IFERROR(INDEX(Client_List!$B:$B,MATCH(B3490,Client_List!$A:$A,0)),"⚠ NOT FOUND"))</f>
        <v/>
      </c>
      <c r="D3490" s="45" t="n"/>
      <c r="E3490" s="32">
        <f>IF(B3490="","",IFERROR(INDEX(Client_List!$C:$C,MATCH(VALUE(B3490),Client_List!$A:$A,0)),""))</f>
        <v/>
      </c>
      <c r="F3490" s="53">
        <f>IF(B3490="","",IFERROR(INDEX(Client_List!$D:$D,MATCH(VALUE(B3490),Client_List!$A:$A,0)),""))</f>
        <v/>
      </c>
      <c r="G3490" s="53">
        <f>IF(B3490="","",IFERROR(INDEX(Client_List!$K:$K,MATCH(VALUE(B3490),Client_List!$A:$A,0)),""))</f>
        <v/>
      </c>
      <c r="H3490" s="32">
        <f>IF(B3490="","",IFERROR(INDEX(Client_List!$J:$J,MATCH(VALUE(B3490),Client_List!$A:$A,0)),""))</f>
        <v/>
      </c>
      <c r="I3490" s="70">
        <f>IF(B3490="","",IFERROR(A3490-LOOKUP(2,1/($B$4:$B3489=B3490),$A$4:$A3489),""))</f>
        <v/>
      </c>
      <c r="J3490" s="32">
        <f>IF(B3490="","",IFERROR(D3490/I3490,""))</f>
        <v/>
      </c>
      <c r="K3490" s="71">
        <f>IF(B3490="","",IFERROR(AVERAGEIFS($J$4:$J3490,$B$4:$B3490,B3490,$J$4:$J3490,"&gt;"&amp;0),""))</f>
        <v/>
      </c>
      <c r="L3490" s="12" t="n"/>
    </row>
    <row r="3491" ht="14" customHeight="1" s="72">
      <c r="A3491" s="82" t="n"/>
      <c r="B3491" s="79" t="n"/>
      <c r="C3491" s="69">
        <f>IF(B3491="","",IFERROR(INDEX(Client_List!$B:$B,MATCH(B3491,Client_List!$A:$A,0)),"⚠ NOT FOUND"))</f>
        <v/>
      </c>
      <c r="D3491" s="44" t="n"/>
      <c r="E3491" s="32">
        <f>IF(B3491="","",IFERROR(INDEX(Client_List!$C:$C,MATCH(VALUE(B3491),Client_List!$A:$A,0)),""))</f>
        <v/>
      </c>
      <c r="F3491" s="53">
        <f>IF(B3491="","",IFERROR(INDEX(Client_List!$D:$D,MATCH(VALUE(B3491),Client_List!$A:$A,0)),""))</f>
        <v/>
      </c>
      <c r="G3491" s="53">
        <f>IF(B3491="","",IFERROR(INDEX(Client_List!$K:$K,MATCH(VALUE(B3491),Client_List!$A:$A,0)),""))</f>
        <v/>
      </c>
      <c r="H3491" s="32">
        <f>IF(B3491="","",IFERROR(INDEX(Client_List!$J:$J,MATCH(VALUE(B3491),Client_List!$A:$A,0)),""))</f>
        <v/>
      </c>
      <c r="I3491" s="70">
        <f>IF(B3491="","",IFERROR(A3491-LOOKUP(2,1/($B$4:$B3490=B3491),$A$4:$A3490),""))</f>
        <v/>
      </c>
      <c r="J3491" s="32">
        <f>IF(B3491="","",IFERROR(D3491/I3491,""))</f>
        <v/>
      </c>
      <c r="K3491" s="71">
        <f>IF(B3491="","",IFERROR(AVERAGEIFS($J$4:$J3491,$B$4:$B3491,B3491,$J$4:$J3491,"&gt;"&amp;0),""))</f>
        <v/>
      </c>
      <c r="L3491" s="11" t="n"/>
    </row>
    <row r="3492" ht="14" customHeight="1" s="72">
      <c r="A3492" s="83" t="n"/>
      <c r="B3492" s="81" t="n"/>
      <c r="C3492" s="69">
        <f>IF(B3492="","",IFERROR(INDEX(Client_List!$B:$B,MATCH(B3492,Client_List!$A:$A,0)),"⚠ NOT FOUND"))</f>
        <v/>
      </c>
      <c r="D3492" s="45" t="n"/>
      <c r="E3492" s="32">
        <f>IF(B3492="","",IFERROR(INDEX(Client_List!$C:$C,MATCH(VALUE(B3492),Client_List!$A:$A,0)),""))</f>
        <v/>
      </c>
      <c r="F3492" s="53">
        <f>IF(B3492="","",IFERROR(INDEX(Client_List!$D:$D,MATCH(VALUE(B3492),Client_List!$A:$A,0)),""))</f>
        <v/>
      </c>
      <c r="G3492" s="53">
        <f>IF(B3492="","",IFERROR(INDEX(Client_List!$K:$K,MATCH(VALUE(B3492),Client_List!$A:$A,0)),""))</f>
        <v/>
      </c>
      <c r="H3492" s="32">
        <f>IF(B3492="","",IFERROR(INDEX(Client_List!$J:$J,MATCH(VALUE(B3492),Client_List!$A:$A,0)),""))</f>
        <v/>
      </c>
      <c r="I3492" s="70">
        <f>IF(B3492="","",IFERROR(A3492-LOOKUP(2,1/($B$4:$B3491=B3492),$A$4:$A3491),""))</f>
        <v/>
      </c>
      <c r="J3492" s="32">
        <f>IF(B3492="","",IFERROR(D3492/I3492,""))</f>
        <v/>
      </c>
      <c r="K3492" s="71">
        <f>IF(B3492="","",IFERROR(AVERAGEIFS($J$4:$J3492,$B$4:$B3492,B3492,$J$4:$J3492,"&gt;"&amp;0),""))</f>
        <v/>
      </c>
      <c r="L3492" s="12" t="n"/>
    </row>
    <row r="3493" ht="14" customHeight="1" s="72">
      <c r="A3493" s="82" t="n"/>
      <c r="B3493" s="79" t="n"/>
      <c r="C3493" s="69">
        <f>IF(B3493="","",IFERROR(INDEX(Client_List!$B:$B,MATCH(B3493,Client_List!$A:$A,0)),"⚠ NOT FOUND"))</f>
        <v/>
      </c>
      <c r="D3493" s="44" t="n"/>
      <c r="E3493" s="32">
        <f>IF(B3493="","",IFERROR(INDEX(Client_List!$C:$C,MATCH(VALUE(B3493),Client_List!$A:$A,0)),""))</f>
        <v/>
      </c>
      <c r="F3493" s="53">
        <f>IF(B3493="","",IFERROR(INDEX(Client_List!$D:$D,MATCH(VALUE(B3493),Client_List!$A:$A,0)),""))</f>
        <v/>
      </c>
      <c r="G3493" s="53">
        <f>IF(B3493="","",IFERROR(INDEX(Client_List!$K:$K,MATCH(VALUE(B3493),Client_List!$A:$A,0)),""))</f>
        <v/>
      </c>
      <c r="H3493" s="32">
        <f>IF(B3493="","",IFERROR(INDEX(Client_List!$J:$J,MATCH(VALUE(B3493),Client_List!$A:$A,0)),""))</f>
        <v/>
      </c>
      <c r="I3493" s="70">
        <f>IF(B3493="","",IFERROR(A3493-LOOKUP(2,1/($B$4:$B3492=B3493),$A$4:$A3492),""))</f>
        <v/>
      </c>
      <c r="J3493" s="32">
        <f>IF(B3493="","",IFERROR(D3493/I3493,""))</f>
        <v/>
      </c>
      <c r="K3493" s="71">
        <f>IF(B3493="","",IFERROR(AVERAGEIFS($J$4:$J3493,$B$4:$B3493,B3493,$J$4:$J3493,"&gt;"&amp;0),""))</f>
        <v/>
      </c>
      <c r="L3493" s="11" t="n"/>
    </row>
    <row r="3494" ht="14" customHeight="1" s="72">
      <c r="A3494" s="83" t="n"/>
      <c r="B3494" s="81" t="n"/>
      <c r="C3494" s="69">
        <f>IF(B3494="","",IFERROR(INDEX(Client_List!$B:$B,MATCH(B3494,Client_List!$A:$A,0)),"⚠ NOT FOUND"))</f>
        <v/>
      </c>
      <c r="D3494" s="45" t="n"/>
      <c r="E3494" s="32">
        <f>IF(B3494="","",IFERROR(INDEX(Client_List!$C:$C,MATCH(VALUE(B3494),Client_List!$A:$A,0)),""))</f>
        <v/>
      </c>
      <c r="F3494" s="53">
        <f>IF(B3494="","",IFERROR(INDEX(Client_List!$D:$D,MATCH(VALUE(B3494),Client_List!$A:$A,0)),""))</f>
        <v/>
      </c>
      <c r="G3494" s="53">
        <f>IF(B3494="","",IFERROR(INDEX(Client_List!$K:$K,MATCH(VALUE(B3494),Client_List!$A:$A,0)),""))</f>
        <v/>
      </c>
      <c r="H3494" s="32">
        <f>IF(B3494="","",IFERROR(INDEX(Client_List!$J:$J,MATCH(VALUE(B3494),Client_List!$A:$A,0)),""))</f>
        <v/>
      </c>
      <c r="I3494" s="70">
        <f>IF(B3494="","",IFERROR(A3494-LOOKUP(2,1/($B$4:$B3493=B3494),$A$4:$A3493),""))</f>
        <v/>
      </c>
      <c r="J3494" s="32">
        <f>IF(B3494="","",IFERROR(D3494/I3494,""))</f>
        <v/>
      </c>
      <c r="K3494" s="71">
        <f>IF(B3494="","",IFERROR(AVERAGEIFS($J$4:$J3494,$B$4:$B3494,B3494,$J$4:$J3494,"&gt;"&amp;0),""))</f>
        <v/>
      </c>
      <c r="L3494" s="12" t="n"/>
    </row>
    <row r="3495" ht="14" customHeight="1" s="72">
      <c r="A3495" s="82" t="n"/>
      <c r="B3495" s="79" t="n"/>
      <c r="C3495" s="69">
        <f>IF(B3495="","",IFERROR(INDEX(Client_List!$B:$B,MATCH(B3495,Client_List!$A:$A,0)),"⚠ NOT FOUND"))</f>
        <v/>
      </c>
      <c r="D3495" s="44" t="n"/>
      <c r="E3495" s="32">
        <f>IF(B3495="","",IFERROR(INDEX(Client_List!$C:$C,MATCH(VALUE(B3495),Client_List!$A:$A,0)),""))</f>
        <v/>
      </c>
      <c r="F3495" s="53">
        <f>IF(B3495="","",IFERROR(INDEX(Client_List!$D:$D,MATCH(VALUE(B3495),Client_List!$A:$A,0)),""))</f>
        <v/>
      </c>
      <c r="G3495" s="53">
        <f>IF(B3495="","",IFERROR(INDEX(Client_List!$K:$K,MATCH(VALUE(B3495),Client_List!$A:$A,0)),""))</f>
        <v/>
      </c>
      <c r="H3495" s="32">
        <f>IF(B3495="","",IFERROR(INDEX(Client_List!$J:$J,MATCH(VALUE(B3495),Client_List!$A:$A,0)),""))</f>
        <v/>
      </c>
      <c r="I3495" s="70">
        <f>IF(B3495="","",IFERROR(A3495-LOOKUP(2,1/($B$4:$B3494=B3495),$A$4:$A3494),""))</f>
        <v/>
      </c>
      <c r="J3495" s="32">
        <f>IF(B3495="","",IFERROR(D3495/I3495,""))</f>
        <v/>
      </c>
      <c r="K3495" s="71">
        <f>IF(B3495="","",IFERROR(AVERAGEIFS($J$4:$J3495,$B$4:$B3495,B3495,$J$4:$J3495,"&gt;"&amp;0),""))</f>
        <v/>
      </c>
      <c r="L3495" s="11" t="n"/>
    </row>
    <row r="3496" ht="14" customHeight="1" s="72">
      <c r="A3496" s="83" t="n"/>
      <c r="B3496" s="81" t="n"/>
      <c r="C3496" s="69">
        <f>IF(B3496="","",IFERROR(INDEX(Client_List!$B:$B,MATCH(B3496,Client_List!$A:$A,0)),"⚠ NOT FOUND"))</f>
        <v/>
      </c>
      <c r="D3496" s="45" t="n"/>
      <c r="E3496" s="32">
        <f>IF(B3496="","",IFERROR(INDEX(Client_List!$C:$C,MATCH(VALUE(B3496),Client_List!$A:$A,0)),""))</f>
        <v/>
      </c>
      <c r="F3496" s="53">
        <f>IF(B3496="","",IFERROR(INDEX(Client_List!$D:$D,MATCH(VALUE(B3496),Client_List!$A:$A,0)),""))</f>
        <v/>
      </c>
      <c r="G3496" s="53">
        <f>IF(B3496="","",IFERROR(INDEX(Client_List!$K:$K,MATCH(VALUE(B3496),Client_List!$A:$A,0)),""))</f>
        <v/>
      </c>
      <c r="H3496" s="32">
        <f>IF(B3496="","",IFERROR(INDEX(Client_List!$J:$J,MATCH(VALUE(B3496),Client_List!$A:$A,0)),""))</f>
        <v/>
      </c>
      <c r="I3496" s="70">
        <f>IF(B3496="","",IFERROR(A3496-LOOKUP(2,1/($B$4:$B3495=B3496),$A$4:$A3495),""))</f>
        <v/>
      </c>
      <c r="J3496" s="32">
        <f>IF(B3496="","",IFERROR(D3496/I3496,""))</f>
        <v/>
      </c>
      <c r="K3496" s="71">
        <f>IF(B3496="","",IFERROR(AVERAGEIFS($J$4:$J3496,$B$4:$B3496,B3496,$J$4:$J3496,"&gt;"&amp;0),""))</f>
        <v/>
      </c>
      <c r="L3496" s="12" t="n"/>
    </row>
    <row r="3497" ht="14" customHeight="1" s="72">
      <c r="A3497" s="82" t="n"/>
      <c r="B3497" s="79" t="n"/>
      <c r="C3497" s="69">
        <f>IF(B3497="","",IFERROR(INDEX(Client_List!$B:$B,MATCH(B3497,Client_List!$A:$A,0)),"⚠ NOT FOUND"))</f>
        <v/>
      </c>
      <c r="D3497" s="44" t="n"/>
      <c r="E3497" s="32">
        <f>IF(B3497="","",IFERROR(INDEX(Client_List!$C:$C,MATCH(VALUE(B3497),Client_List!$A:$A,0)),""))</f>
        <v/>
      </c>
      <c r="F3497" s="53">
        <f>IF(B3497="","",IFERROR(INDEX(Client_List!$D:$D,MATCH(VALUE(B3497),Client_List!$A:$A,0)),""))</f>
        <v/>
      </c>
      <c r="G3497" s="53">
        <f>IF(B3497="","",IFERROR(INDEX(Client_List!$K:$K,MATCH(VALUE(B3497),Client_List!$A:$A,0)),""))</f>
        <v/>
      </c>
      <c r="H3497" s="32">
        <f>IF(B3497="","",IFERROR(INDEX(Client_List!$J:$J,MATCH(VALUE(B3497),Client_List!$A:$A,0)),""))</f>
        <v/>
      </c>
      <c r="I3497" s="70">
        <f>IF(B3497="","",IFERROR(A3497-LOOKUP(2,1/($B$4:$B3496=B3497),$A$4:$A3496),""))</f>
        <v/>
      </c>
      <c r="J3497" s="32">
        <f>IF(B3497="","",IFERROR(D3497/I3497,""))</f>
        <v/>
      </c>
      <c r="K3497" s="71">
        <f>IF(B3497="","",IFERROR(AVERAGEIFS($J$4:$J3497,$B$4:$B3497,B3497,$J$4:$J3497,"&gt;"&amp;0),""))</f>
        <v/>
      </c>
      <c r="L3497" s="11" t="n"/>
    </row>
    <row r="3498" ht="14" customHeight="1" s="72">
      <c r="A3498" s="83" t="n"/>
      <c r="B3498" s="81" t="n"/>
      <c r="C3498" s="69">
        <f>IF(B3498="","",IFERROR(INDEX(Client_List!$B:$B,MATCH(B3498,Client_List!$A:$A,0)),"⚠ NOT FOUND"))</f>
        <v/>
      </c>
      <c r="D3498" s="45" t="n"/>
      <c r="E3498" s="32">
        <f>IF(B3498="","",IFERROR(INDEX(Client_List!$C:$C,MATCH(VALUE(B3498),Client_List!$A:$A,0)),""))</f>
        <v/>
      </c>
      <c r="F3498" s="53">
        <f>IF(B3498="","",IFERROR(INDEX(Client_List!$D:$D,MATCH(VALUE(B3498),Client_List!$A:$A,0)),""))</f>
        <v/>
      </c>
      <c r="G3498" s="53">
        <f>IF(B3498="","",IFERROR(INDEX(Client_List!$K:$K,MATCH(VALUE(B3498),Client_List!$A:$A,0)),""))</f>
        <v/>
      </c>
      <c r="H3498" s="32">
        <f>IF(B3498="","",IFERROR(INDEX(Client_List!$J:$J,MATCH(VALUE(B3498),Client_List!$A:$A,0)),""))</f>
        <v/>
      </c>
      <c r="I3498" s="70">
        <f>IF(B3498="","",IFERROR(A3498-LOOKUP(2,1/($B$4:$B3497=B3498),$A$4:$A3497),""))</f>
        <v/>
      </c>
      <c r="J3498" s="32">
        <f>IF(B3498="","",IFERROR(D3498/I3498,""))</f>
        <v/>
      </c>
      <c r="K3498" s="71">
        <f>IF(B3498="","",IFERROR(AVERAGEIFS($J$4:$J3498,$B$4:$B3498,B3498,$J$4:$J3498,"&gt;"&amp;0),""))</f>
        <v/>
      </c>
      <c r="L3498" s="12" t="n"/>
    </row>
    <row r="3499" ht="14" customHeight="1" s="72">
      <c r="A3499" s="82" t="n"/>
      <c r="B3499" s="79" t="n"/>
      <c r="C3499" s="69">
        <f>IF(B3499="","",IFERROR(INDEX(Client_List!$B:$B,MATCH(B3499,Client_List!$A:$A,0)),"⚠ NOT FOUND"))</f>
        <v/>
      </c>
      <c r="D3499" s="44" t="n"/>
      <c r="E3499" s="32">
        <f>IF(B3499="","",IFERROR(INDEX(Client_List!$C:$C,MATCH(VALUE(B3499),Client_List!$A:$A,0)),""))</f>
        <v/>
      </c>
      <c r="F3499" s="53">
        <f>IF(B3499="","",IFERROR(INDEX(Client_List!$D:$D,MATCH(VALUE(B3499),Client_List!$A:$A,0)),""))</f>
        <v/>
      </c>
      <c r="G3499" s="53">
        <f>IF(B3499="","",IFERROR(INDEX(Client_List!$K:$K,MATCH(VALUE(B3499),Client_List!$A:$A,0)),""))</f>
        <v/>
      </c>
      <c r="H3499" s="32">
        <f>IF(B3499="","",IFERROR(INDEX(Client_List!$J:$J,MATCH(VALUE(B3499),Client_List!$A:$A,0)),""))</f>
        <v/>
      </c>
      <c r="I3499" s="70">
        <f>IF(B3499="","",IFERROR(A3499-LOOKUP(2,1/($B$4:$B3498=B3499),$A$4:$A3498),""))</f>
        <v/>
      </c>
      <c r="J3499" s="32">
        <f>IF(B3499="","",IFERROR(D3499/I3499,""))</f>
        <v/>
      </c>
      <c r="K3499" s="71">
        <f>IF(B3499="","",IFERROR(AVERAGEIFS($J$4:$J3499,$B$4:$B3499,B3499,$J$4:$J3499,"&gt;"&amp;0),""))</f>
        <v/>
      </c>
      <c r="L3499" s="11" t="n"/>
    </row>
    <row r="3500" ht="14" customHeight="1" s="72">
      <c r="A3500" s="83" t="n"/>
      <c r="B3500" s="81" t="n"/>
      <c r="C3500" s="69">
        <f>IF(B3500="","",IFERROR(INDEX(Client_List!$B:$B,MATCH(B3500,Client_List!$A:$A,0)),"⚠ NOT FOUND"))</f>
        <v/>
      </c>
      <c r="D3500" s="45" t="n"/>
      <c r="E3500" s="32">
        <f>IF(B3500="","",IFERROR(INDEX(Client_List!$C:$C,MATCH(VALUE(B3500),Client_List!$A:$A,0)),""))</f>
        <v/>
      </c>
      <c r="F3500" s="53">
        <f>IF(B3500="","",IFERROR(INDEX(Client_List!$D:$D,MATCH(VALUE(B3500),Client_List!$A:$A,0)),""))</f>
        <v/>
      </c>
      <c r="G3500" s="53">
        <f>IF(B3500="","",IFERROR(INDEX(Client_List!$K:$K,MATCH(VALUE(B3500),Client_List!$A:$A,0)),""))</f>
        <v/>
      </c>
      <c r="H3500" s="32">
        <f>IF(B3500="","",IFERROR(INDEX(Client_List!$J:$J,MATCH(VALUE(B3500),Client_List!$A:$A,0)),""))</f>
        <v/>
      </c>
      <c r="I3500" s="70">
        <f>IF(B3500="","",IFERROR(A3500-LOOKUP(2,1/($B$4:$B3499=B3500),$A$4:$A3499),""))</f>
        <v/>
      </c>
      <c r="J3500" s="32">
        <f>IF(B3500="","",IFERROR(D3500/I3500,""))</f>
        <v/>
      </c>
      <c r="K3500" s="71">
        <f>IF(B3500="","",IFERROR(AVERAGEIFS($J$4:$J3500,$B$4:$B3500,B3500,$J$4:$J3500,"&gt;"&amp;0),""))</f>
        <v/>
      </c>
      <c r="L3500" s="12" t="n"/>
    </row>
    <row r="3501" ht="14" customHeight="1" s="72">
      <c r="A3501" s="82" t="n"/>
      <c r="B3501" s="79" t="n"/>
      <c r="C3501" s="69">
        <f>IF(B3501="","",IFERROR(INDEX(Client_List!$B:$B,MATCH(B3501,Client_List!$A:$A,0)),"⚠ NOT FOUND"))</f>
        <v/>
      </c>
      <c r="D3501" s="44" t="n"/>
      <c r="E3501" s="32">
        <f>IF(B3501="","",IFERROR(INDEX(Client_List!$C:$C,MATCH(VALUE(B3501),Client_List!$A:$A,0)),""))</f>
        <v/>
      </c>
      <c r="F3501" s="53">
        <f>IF(B3501="","",IFERROR(INDEX(Client_List!$D:$D,MATCH(VALUE(B3501),Client_List!$A:$A,0)),""))</f>
        <v/>
      </c>
      <c r="G3501" s="53">
        <f>IF(B3501="","",IFERROR(INDEX(Client_List!$K:$K,MATCH(VALUE(B3501),Client_List!$A:$A,0)),""))</f>
        <v/>
      </c>
      <c r="H3501" s="32">
        <f>IF(B3501="","",IFERROR(INDEX(Client_List!$J:$J,MATCH(VALUE(B3501),Client_List!$A:$A,0)),""))</f>
        <v/>
      </c>
      <c r="I3501" s="70">
        <f>IF(B3501="","",IFERROR(A3501-LOOKUP(2,1/($B$4:$B3500=B3501),$A$4:$A3500),""))</f>
        <v/>
      </c>
      <c r="J3501" s="32">
        <f>IF(B3501="","",IFERROR(D3501/I3501,""))</f>
        <v/>
      </c>
      <c r="K3501" s="71">
        <f>IF(B3501="","",IFERROR(AVERAGEIFS($J$4:$J3501,$B$4:$B3501,B3501,$J$4:$J3501,"&gt;"&amp;0),""))</f>
        <v/>
      </c>
      <c r="L3501" s="11" t="n"/>
    </row>
    <row r="3502" ht="14" customHeight="1" s="72">
      <c r="A3502" s="83" t="n"/>
      <c r="B3502" s="81" t="n"/>
      <c r="C3502" s="69">
        <f>IF(B3502="","",IFERROR(INDEX(Client_List!$B:$B,MATCH(B3502,Client_List!$A:$A,0)),"⚠ NOT FOUND"))</f>
        <v/>
      </c>
      <c r="D3502" s="45" t="n"/>
      <c r="E3502" s="32">
        <f>IF(B3502="","",IFERROR(INDEX(Client_List!$C:$C,MATCH(VALUE(B3502),Client_List!$A:$A,0)),""))</f>
        <v/>
      </c>
      <c r="F3502" s="53">
        <f>IF(B3502="","",IFERROR(INDEX(Client_List!$D:$D,MATCH(VALUE(B3502),Client_List!$A:$A,0)),""))</f>
        <v/>
      </c>
      <c r="G3502" s="53">
        <f>IF(B3502="","",IFERROR(INDEX(Client_List!$K:$K,MATCH(VALUE(B3502),Client_List!$A:$A,0)),""))</f>
        <v/>
      </c>
      <c r="H3502" s="32">
        <f>IF(B3502="","",IFERROR(INDEX(Client_List!$J:$J,MATCH(VALUE(B3502),Client_List!$A:$A,0)),""))</f>
        <v/>
      </c>
      <c r="I3502" s="70">
        <f>IF(B3502="","",IFERROR(A3502-LOOKUP(2,1/($B$4:$B3501=B3502),$A$4:$A3501),""))</f>
        <v/>
      </c>
      <c r="J3502" s="32">
        <f>IF(B3502="","",IFERROR(D3502/I3502,""))</f>
        <v/>
      </c>
      <c r="K3502" s="71">
        <f>IF(B3502="","",IFERROR(AVERAGEIFS($J$4:$J3502,$B$4:$B3502,B3502,$J$4:$J3502,"&gt;"&amp;0),""))</f>
        <v/>
      </c>
      <c r="L3502" s="12" t="n"/>
    </row>
    <row r="3503" ht="14" customHeight="1" s="72">
      <c r="A3503" s="82" t="n"/>
      <c r="B3503" s="79" t="n"/>
      <c r="C3503" s="69">
        <f>IF(B3503="","",IFERROR(INDEX(Client_List!$B:$B,MATCH(B3503,Client_List!$A:$A,0)),"⚠ NOT FOUND"))</f>
        <v/>
      </c>
      <c r="D3503" s="44" t="n"/>
      <c r="E3503" s="32">
        <f>IF(B3503="","",IFERROR(INDEX(Client_List!$C:$C,MATCH(VALUE(B3503),Client_List!$A:$A,0)),""))</f>
        <v/>
      </c>
      <c r="F3503" s="53">
        <f>IF(B3503="","",IFERROR(INDEX(Client_List!$D:$D,MATCH(VALUE(B3503),Client_List!$A:$A,0)),""))</f>
        <v/>
      </c>
      <c r="G3503" s="53">
        <f>IF(B3503="","",IFERROR(INDEX(Client_List!$K:$K,MATCH(VALUE(B3503),Client_List!$A:$A,0)),""))</f>
        <v/>
      </c>
      <c r="H3503" s="32">
        <f>IF(B3503="","",IFERROR(INDEX(Client_List!$J:$J,MATCH(VALUE(B3503),Client_List!$A:$A,0)),""))</f>
        <v/>
      </c>
      <c r="I3503" s="70">
        <f>IF(B3503="","",IFERROR(A3503-LOOKUP(2,1/($B$4:$B3502=B3503),$A$4:$A3502),""))</f>
        <v/>
      </c>
      <c r="J3503" s="32">
        <f>IF(B3503="","",IFERROR(D3503/I3503,""))</f>
        <v/>
      </c>
      <c r="K3503" s="71">
        <f>IF(B3503="","",IFERROR(AVERAGEIFS($J$4:$J3503,$B$4:$B3503,B3503,$J$4:$J3503,"&gt;"&amp;0),""))</f>
        <v/>
      </c>
      <c r="L3503" s="11" t="n"/>
    </row>
    <row r="3504" ht="14" customHeight="1" s="72">
      <c r="A3504" s="83" t="n"/>
      <c r="B3504" s="81" t="n"/>
      <c r="C3504" s="69">
        <f>IF(B3504="","",IFERROR(INDEX(Client_List!$B:$B,MATCH(B3504,Client_List!$A:$A,0)),"⚠ NOT FOUND"))</f>
        <v/>
      </c>
      <c r="D3504" s="45" t="n"/>
      <c r="E3504" s="32">
        <f>IF(B3504="","",IFERROR(INDEX(Client_List!$C:$C,MATCH(VALUE(B3504),Client_List!$A:$A,0)),""))</f>
        <v/>
      </c>
      <c r="F3504" s="53">
        <f>IF(B3504="","",IFERROR(INDEX(Client_List!$D:$D,MATCH(VALUE(B3504),Client_List!$A:$A,0)),""))</f>
        <v/>
      </c>
      <c r="G3504" s="53">
        <f>IF(B3504="","",IFERROR(INDEX(Client_List!$K:$K,MATCH(VALUE(B3504),Client_List!$A:$A,0)),""))</f>
        <v/>
      </c>
      <c r="H3504" s="32">
        <f>IF(B3504="","",IFERROR(INDEX(Client_List!$J:$J,MATCH(VALUE(B3504),Client_List!$A:$A,0)),""))</f>
        <v/>
      </c>
      <c r="I3504" s="70">
        <f>IF(B3504="","",IFERROR(A3504-LOOKUP(2,1/($B$4:$B3503=B3504),$A$4:$A3503),""))</f>
        <v/>
      </c>
      <c r="J3504" s="32">
        <f>IF(B3504="","",IFERROR(D3504/I3504,""))</f>
        <v/>
      </c>
      <c r="K3504" s="71">
        <f>IF(B3504="","",IFERROR(AVERAGEIFS($J$4:$J3504,$B$4:$B3504,B3504,$J$4:$J3504,"&gt;"&amp;0),""))</f>
        <v/>
      </c>
      <c r="L3504" s="12" t="n"/>
    </row>
    <row r="3505" ht="14" customHeight="1" s="72">
      <c r="A3505" s="82" t="n"/>
      <c r="B3505" s="79" t="n"/>
      <c r="C3505" s="69">
        <f>IF(B3505="","",IFERROR(INDEX(Client_List!$B:$B,MATCH(B3505,Client_List!$A:$A,0)),"⚠ NOT FOUND"))</f>
        <v/>
      </c>
      <c r="D3505" s="44" t="n"/>
      <c r="E3505" s="32">
        <f>IF(B3505="","",IFERROR(INDEX(Client_List!$C:$C,MATCH(VALUE(B3505),Client_List!$A:$A,0)),""))</f>
        <v/>
      </c>
      <c r="F3505" s="53">
        <f>IF(B3505="","",IFERROR(INDEX(Client_List!$D:$D,MATCH(VALUE(B3505),Client_List!$A:$A,0)),""))</f>
        <v/>
      </c>
      <c r="G3505" s="53">
        <f>IF(B3505="","",IFERROR(INDEX(Client_List!$K:$K,MATCH(VALUE(B3505),Client_List!$A:$A,0)),""))</f>
        <v/>
      </c>
      <c r="H3505" s="32">
        <f>IF(B3505="","",IFERROR(INDEX(Client_List!$J:$J,MATCH(VALUE(B3505),Client_List!$A:$A,0)),""))</f>
        <v/>
      </c>
      <c r="I3505" s="70">
        <f>IF(B3505="","",IFERROR(A3505-LOOKUP(2,1/($B$4:$B3504=B3505),$A$4:$A3504),""))</f>
        <v/>
      </c>
      <c r="J3505" s="32">
        <f>IF(B3505="","",IFERROR(D3505/I3505,""))</f>
        <v/>
      </c>
      <c r="K3505" s="71">
        <f>IF(B3505="","",IFERROR(AVERAGEIFS($J$4:$J3505,$B$4:$B3505,B3505,$J$4:$J3505,"&gt;"&amp;0),""))</f>
        <v/>
      </c>
      <c r="L3505" s="11" t="n"/>
    </row>
    <row r="3506" ht="14" customHeight="1" s="72">
      <c r="A3506" s="83" t="n"/>
      <c r="B3506" s="81" t="n"/>
      <c r="C3506" s="69">
        <f>IF(B3506="","",IFERROR(INDEX(Client_List!$B:$B,MATCH(B3506,Client_List!$A:$A,0)),"⚠ NOT FOUND"))</f>
        <v/>
      </c>
      <c r="D3506" s="45" t="n"/>
      <c r="E3506" s="32">
        <f>IF(B3506="","",IFERROR(INDEX(Client_List!$C:$C,MATCH(VALUE(B3506),Client_List!$A:$A,0)),""))</f>
        <v/>
      </c>
      <c r="F3506" s="53">
        <f>IF(B3506="","",IFERROR(INDEX(Client_List!$D:$D,MATCH(VALUE(B3506),Client_List!$A:$A,0)),""))</f>
        <v/>
      </c>
      <c r="G3506" s="53">
        <f>IF(B3506="","",IFERROR(INDEX(Client_List!$K:$K,MATCH(VALUE(B3506),Client_List!$A:$A,0)),""))</f>
        <v/>
      </c>
      <c r="H3506" s="32">
        <f>IF(B3506="","",IFERROR(INDEX(Client_List!$J:$J,MATCH(VALUE(B3506),Client_List!$A:$A,0)),""))</f>
        <v/>
      </c>
      <c r="I3506" s="70">
        <f>IF(B3506="","",IFERROR(A3506-LOOKUP(2,1/($B$4:$B3505=B3506),$A$4:$A3505),""))</f>
        <v/>
      </c>
      <c r="J3506" s="32">
        <f>IF(B3506="","",IFERROR(D3506/I3506,""))</f>
        <v/>
      </c>
      <c r="K3506" s="71">
        <f>IF(B3506="","",IFERROR(AVERAGEIFS($J$4:$J3506,$B$4:$B3506,B3506,$J$4:$J3506,"&gt;"&amp;0),""))</f>
        <v/>
      </c>
      <c r="L3506" s="12" t="n"/>
    </row>
    <row r="3507" ht="14" customHeight="1" s="72">
      <c r="A3507" s="82" t="n"/>
      <c r="B3507" s="79" t="n"/>
      <c r="C3507" s="69">
        <f>IF(B3507="","",IFERROR(INDEX(Client_List!$B:$B,MATCH(B3507,Client_List!$A:$A,0)),"⚠ NOT FOUND"))</f>
        <v/>
      </c>
      <c r="D3507" s="44" t="n"/>
      <c r="E3507" s="32">
        <f>IF(B3507="","",IFERROR(INDEX(Client_List!$C:$C,MATCH(VALUE(B3507),Client_List!$A:$A,0)),""))</f>
        <v/>
      </c>
      <c r="F3507" s="53">
        <f>IF(B3507="","",IFERROR(INDEX(Client_List!$D:$D,MATCH(VALUE(B3507),Client_List!$A:$A,0)),""))</f>
        <v/>
      </c>
      <c r="G3507" s="53">
        <f>IF(B3507="","",IFERROR(INDEX(Client_List!$K:$K,MATCH(VALUE(B3507),Client_List!$A:$A,0)),""))</f>
        <v/>
      </c>
      <c r="H3507" s="32">
        <f>IF(B3507="","",IFERROR(INDEX(Client_List!$J:$J,MATCH(VALUE(B3507),Client_List!$A:$A,0)),""))</f>
        <v/>
      </c>
      <c r="I3507" s="70">
        <f>IF(B3507="","",IFERROR(A3507-LOOKUP(2,1/($B$4:$B3506=B3507),$A$4:$A3506),""))</f>
        <v/>
      </c>
      <c r="J3507" s="32">
        <f>IF(B3507="","",IFERROR(D3507/I3507,""))</f>
        <v/>
      </c>
      <c r="K3507" s="71">
        <f>IF(B3507="","",IFERROR(AVERAGEIFS($J$4:$J3507,$B$4:$B3507,B3507,$J$4:$J3507,"&gt;"&amp;0),""))</f>
        <v/>
      </c>
      <c r="L3507" s="11" t="n"/>
    </row>
    <row r="3508" ht="14" customHeight="1" s="72">
      <c r="A3508" s="83" t="n"/>
      <c r="B3508" s="81" t="n"/>
      <c r="C3508" s="69">
        <f>IF(B3508="","",IFERROR(INDEX(Client_List!$B:$B,MATCH(B3508,Client_List!$A:$A,0)),"⚠ NOT FOUND"))</f>
        <v/>
      </c>
      <c r="D3508" s="45" t="n"/>
      <c r="E3508" s="32">
        <f>IF(B3508="","",IFERROR(INDEX(Client_List!$C:$C,MATCH(VALUE(B3508),Client_List!$A:$A,0)),""))</f>
        <v/>
      </c>
      <c r="F3508" s="53">
        <f>IF(B3508="","",IFERROR(INDEX(Client_List!$D:$D,MATCH(VALUE(B3508),Client_List!$A:$A,0)),""))</f>
        <v/>
      </c>
      <c r="G3508" s="53">
        <f>IF(B3508="","",IFERROR(INDEX(Client_List!$K:$K,MATCH(VALUE(B3508),Client_List!$A:$A,0)),""))</f>
        <v/>
      </c>
      <c r="H3508" s="32">
        <f>IF(B3508="","",IFERROR(INDEX(Client_List!$J:$J,MATCH(VALUE(B3508),Client_List!$A:$A,0)),""))</f>
        <v/>
      </c>
      <c r="I3508" s="70">
        <f>IF(B3508="","",IFERROR(A3508-LOOKUP(2,1/($B$4:$B3507=B3508),$A$4:$A3507),""))</f>
        <v/>
      </c>
      <c r="J3508" s="32">
        <f>IF(B3508="","",IFERROR(D3508/I3508,""))</f>
        <v/>
      </c>
      <c r="K3508" s="71">
        <f>IF(B3508="","",IFERROR(AVERAGEIFS($J$4:$J3508,$B$4:$B3508,B3508,$J$4:$J3508,"&gt;"&amp;0),""))</f>
        <v/>
      </c>
      <c r="L3508" s="12" t="n"/>
    </row>
    <row r="3509" ht="14" customHeight="1" s="72">
      <c r="A3509" s="82" t="n"/>
      <c r="B3509" s="79" t="n"/>
      <c r="C3509" s="69">
        <f>IF(B3509="","",IFERROR(INDEX(Client_List!$B:$B,MATCH(B3509,Client_List!$A:$A,0)),"⚠ NOT FOUND"))</f>
        <v/>
      </c>
      <c r="D3509" s="44" t="n"/>
      <c r="E3509" s="32">
        <f>IF(B3509="","",IFERROR(INDEX(Client_List!$C:$C,MATCH(VALUE(B3509),Client_List!$A:$A,0)),""))</f>
        <v/>
      </c>
      <c r="F3509" s="53">
        <f>IF(B3509="","",IFERROR(INDEX(Client_List!$D:$D,MATCH(VALUE(B3509),Client_List!$A:$A,0)),""))</f>
        <v/>
      </c>
      <c r="G3509" s="53">
        <f>IF(B3509="","",IFERROR(INDEX(Client_List!$K:$K,MATCH(VALUE(B3509),Client_List!$A:$A,0)),""))</f>
        <v/>
      </c>
      <c r="H3509" s="32">
        <f>IF(B3509="","",IFERROR(INDEX(Client_List!$J:$J,MATCH(VALUE(B3509),Client_List!$A:$A,0)),""))</f>
        <v/>
      </c>
      <c r="I3509" s="70">
        <f>IF(B3509="","",IFERROR(A3509-LOOKUP(2,1/($B$4:$B3508=B3509),$A$4:$A3508),""))</f>
        <v/>
      </c>
      <c r="J3509" s="32">
        <f>IF(B3509="","",IFERROR(D3509/I3509,""))</f>
        <v/>
      </c>
      <c r="K3509" s="71">
        <f>IF(B3509="","",IFERROR(AVERAGEIFS($J$4:$J3509,$B$4:$B3509,B3509,$J$4:$J3509,"&gt;"&amp;0),""))</f>
        <v/>
      </c>
      <c r="L3509" s="11" t="n"/>
    </row>
    <row r="3510" ht="14" customHeight="1" s="72">
      <c r="A3510" s="83" t="n"/>
      <c r="B3510" s="81" t="n"/>
      <c r="C3510" s="69">
        <f>IF(B3510="","",IFERROR(INDEX(Client_List!$B:$B,MATCH(B3510,Client_List!$A:$A,0)),"⚠ NOT FOUND"))</f>
        <v/>
      </c>
      <c r="D3510" s="45" t="n"/>
      <c r="E3510" s="32">
        <f>IF(B3510="","",IFERROR(INDEX(Client_List!$C:$C,MATCH(VALUE(B3510),Client_List!$A:$A,0)),""))</f>
        <v/>
      </c>
      <c r="F3510" s="53">
        <f>IF(B3510="","",IFERROR(INDEX(Client_List!$D:$D,MATCH(VALUE(B3510),Client_List!$A:$A,0)),""))</f>
        <v/>
      </c>
      <c r="G3510" s="53">
        <f>IF(B3510="","",IFERROR(INDEX(Client_List!$K:$K,MATCH(VALUE(B3510),Client_List!$A:$A,0)),""))</f>
        <v/>
      </c>
      <c r="H3510" s="32">
        <f>IF(B3510="","",IFERROR(INDEX(Client_List!$J:$J,MATCH(VALUE(B3510),Client_List!$A:$A,0)),""))</f>
        <v/>
      </c>
      <c r="I3510" s="70">
        <f>IF(B3510="","",IFERROR(A3510-LOOKUP(2,1/($B$4:$B3509=B3510),$A$4:$A3509),""))</f>
        <v/>
      </c>
      <c r="J3510" s="32">
        <f>IF(B3510="","",IFERROR(D3510/I3510,""))</f>
        <v/>
      </c>
      <c r="K3510" s="71">
        <f>IF(B3510="","",IFERROR(AVERAGEIFS($J$4:$J3510,$B$4:$B3510,B3510,$J$4:$J3510,"&gt;"&amp;0),""))</f>
        <v/>
      </c>
      <c r="L3510" s="12" t="n"/>
    </row>
    <row r="3511" ht="14" customHeight="1" s="72">
      <c r="A3511" s="82" t="n"/>
      <c r="B3511" s="79" t="n"/>
      <c r="C3511" s="69">
        <f>IF(B3511="","",IFERROR(INDEX(Client_List!$B:$B,MATCH(B3511,Client_List!$A:$A,0)),"⚠ NOT FOUND"))</f>
        <v/>
      </c>
      <c r="D3511" s="44" t="n"/>
      <c r="E3511" s="32">
        <f>IF(B3511="","",IFERROR(INDEX(Client_List!$C:$C,MATCH(VALUE(B3511),Client_List!$A:$A,0)),""))</f>
        <v/>
      </c>
      <c r="F3511" s="53">
        <f>IF(B3511="","",IFERROR(INDEX(Client_List!$D:$D,MATCH(VALUE(B3511),Client_List!$A:$A,0)),""))</f>
        <v/>
      </c>
      <c r="G3511" s="53">
        <f>IF(B3511="","",IFERROR(INDEX(Client_List!$K:$K,MATCH(VALUE(B3511),Client_List!$A:$A,0)),""))</f>
        <v/>
      </c>
      <c r="H3511" s="32">
        <f>IF(B3511="","",IFERROR(INDEX(Client_List!$J:$J,MATCH(VALUE(B3511),Client_List!$A:$A,0)),""))</f>
        <v/>
      </c>
      <c r="I3511" s="70">
        <f>IF(B3511="","",IFERROR(A3511-LOOKUP(2,1/($B$4:$B3510=B3511),$A$4:$A3510),""))</f>
        <v/>
      </c>
      <c r="J3511" s="32">
        <f>IF(B3511="","",IFERROR(D3511/I3511,""))</f>
        <v/>
      </c>
      <c r="K3511" s="71">
        <f>IF(B3511="","",IFERROR(AVERAGEIFS($J$4:$J3511,$B$4:$B3511,B3511,$J$4:$J3511,"&gt;"&amp;0),""))</f>
        <v/>
      </c>
      <c r="L3511" s="11" t="n"/>
    </row>
    <row r="3512" ht="14" customHeight="1" s="72">
      <c r="A3512" s="83" t="n"/>
      <c r="B3512" s="81" t="n"/>
      <c r="C3512" s="69">
        <f>IF(B3512="","",IFERROR(INDEX(Client_List!$B:$B,MATCH(B3512,Client_List!$A:$A,0)),"⚠ NOT FOUND"))</f>
        <v/>
      </c>
      <c r="D3512" s="45" t="n"/>
      <c r="E3512" s="32">
        <f>IF(B3512="","",IFERROR(INDEX(Client_List!$C:$C,MATCH(VALUE(B3512),Client_List!$A:$A,0)),""))</f>
        <v/>
      </c>
      <c r="F3512" s="53">
        <f>IF(B3512="","",IFERROR(INDEX(Client_List!$D:$D,MATCH(VALUE(B3512),Client_List!$A:$A,0)),""))</f>
        <v/>
      </c>
      <c r="G3512" s="53">
        <f>IF(B3512="","",IFERROR(INDEX(Client_List!$K:$K,MATCH(VALUE(B3512),Client_List!$A:$A,0)),""))</f>
        <v/>
      </c>
      <c r="H3512" s="32">
        <f>IF(B3512="","",IFERROR(INDEX(Client_List!$J:$J,MATCH(VALUE(B3512),Client_List!$A:$A,0)),""))</f>
        <v/>
      </c>
      <c r="I3512" s="70">
        <f>IF(B3512="","",IFERROR(A3512-LOOKUP(2,1/($B$4:$B3511=B3512),$A$4:$A3511),""))</f>
        <v/>
      </c>
      <c r="J3512" s="32">
        <f>IF(B3512="","",IFERROR(D3512/I3512,""))</f>
        <v/>
      </c>
      <c r="K3512" s="71">
        <f>IF(B3512="","",IFERROR(AVERAGEIFS($J$4:$J3512,$B$4:$B3512,B3512,$J$4:$J3512,"&gt;"&amp;0),""))</f>
        <v/>
      </c>
      <c r="L3512" s="12" t="n"/>
    </row>
    <row r="3513" ht="14" customHeight="1" s="72">
      <c r="A3513" s="82" t="n"/>
      <c r="B3513" s="79" t="n"/>
      <c r="C3513" s="69">
        <f>IF(B3513="","",IFERROR(INDEX(Client_List!$B:$B,MATCH(B3513,Client_List!$A:$A,0)),"⚠ NOT FOUND"))</f>
        <v/>
      </c>
      <c r="D3513" s="44" t="n"/>
      <c r="E3513" s="32">
        <f>IF(B3513="","",IFERROR(INDEX(Client_List!$C:$C,MATCH(VALUE(B3513),Client_List!$A:$A,0)),""))</f>
        <v/>
      </c>
      <c r="F3513" s="53">
        <f>IF(B3513="","",IFERROR(INDEX(Client_List!$D:$D,MATCH(VALUE(B3513),Client_List!$A:$A,0)),""))</f>
        <v/>
      </c>
      <c r="G3513" s="53">
        <f>IF(B3513="","",IFERROR(INDEX(Client_List!$K:$K,MATCH(VALUE(B3513),Client_List!$A:$A,0)),""))</f>
        <v/>
      </c>
      <c r="H3513" s="32">
        <f>IF(B3513="","",IFERROR(INDEX(Client_List!$J:$J,MATCH(VALUE(B3513),Client_List!$A:$A,0)),""))</f>
        <v/>
      </c>
      <c r="I3513" s="70">
        <f>IF(B3513="","",IFERROR(A3513-LOOKUP(2,1/($B$4:$B3512=B3513),$A$4:$A3512),""))</f>
        <v/>
      </c>
      <c r="J3513" s="32">
        <f>IF(B3513="","",IFERROR(D3513/I3513,""))</f>
        <v/>
      </c>
      <c r="K3513" s="71">
        <f>IF(B3513="","",IFERROR(AVERAGEIFS($J$4:$J3513,$B$4:$B3513,B3513,$J$4:$J3513,"&gt;"&amp;0),""))</f>
        <v/>
      </c>
      <c r="L3513" s="11" t="n"/>
    </row>
    <row r="3514" ht="14" customHeight="1" s="72">
      <c r="A3514" s="83" t="n"/>
      <c r="B3514" s="81" t="n"/>
      <c r="C3514" s="69">
        <f>IF(B3514="","",IFERROR(INDEX(Client_List!$B:$B,MATCH(B3514,Client_List!$A:$A,0)),"⚠ NOT FOUND"))</f>
        <v/>
      </c>
      <c r="D3514" s="45" t="n"/>
      <c r="E3514" s="32">
        <f>IF(B3514="","",IFERROR(INDEX(Client_List!$C:$C,MATCH(VALUE(B3514),Client_List!$A:$A,0)),""))</f>
        <v/>
      </c>
      <c r="F3514" s="53">
        <f>IF(B3514="","",IFERROR(INDEX(Client_List!$D:$D,MATCH(VALUE(B3514),Client_List!$A:$A,0)),""))</f>
        <v/>
      </c>
      <c r="G3514" s="53">
        <f>IF(B3514="","",IFERROR(INDEX(Client_List!$K:$K,MATCH(VALUE(B3514),Client_List!$A:$A,0)),""))</f>
        <v/>
      </c>
      <c r="H3514" s="32">
        <f>IF(B3514="","",IFERROR(INDEX(Client_List!$J:$J,MATCH(VALUE(B3514),Client_List!$A:$A,0)),""))</f>
        <v/>
      </c>
      <c r="I3514" s="70">
        <f>IF(B3514="","",IFERROR(A3514-LOOKUP(2,1/($B$4:$B3513=B3514),$A$4:$A3513),""))</f>
        <v/>
      </c>
      <c r="J3514" s="32">
        <f>IF(B3514="","",IFERROR(D3514/I3514,""))</f>
        <v/>
      </c>
      <c r="K3514" s="71">
        <f>IF(B3514="","",IFERROR(AVERAGEIFS($J$4:$J3514,$B$4:$B3514,B3514,$J$4:$J3514,"&gt;"&amp;0),""))</f>
        <v/>
      </c>
      <c r="L3514" s="12" t="n"/>
    </row>
    <row r="3515" ht="14" customHeight="1" s="72">
      <c r="A3515" s="82" t="n"/>
      <c r="B3515" s="79" t="n"/>
      <c r="C3515" s="69">
        <f>IF(B3515="","",IFERROR(INDEX(Client_List!$B:$B,MATCH(B3515,Client_List!$A:$A,0)),"⚠ NOT FOUND"))</f>
        <v/>
      </c>
      <c r="D3515" s="44" t="n"/>
      <c r="E3515" s="32">
        <f>IF(B3515="","",IFERROR(INDEX(Client_List!$C:$C,MATCH(VALUE(B3515),Client_List!$A:$A,0)),""))</f>
        <v/>
      </c>
      <c r="F3515" s="53">
        <f>IF(B3515="","",IFERROR(INDEX(Client_List!$D:$D,MATCH(VALUE(B3515),Client_List!$A:$A,0)),""))</f>
        <v/>
      </c>
      <c r="G3515" s="53">
        <f>IF(B3515="","",IFERROR(INDEX(Client_List!$K:$K,MATCH(VALUE(B3515),Client_List!$A:$A,0)),""))</f>
        <v/>
      </c>
      <c r="H3515" s="32">
        <f>IF(B3515="","",IFERROR(INDEX(Client_List!$J:$J,MATCH(VALUE(B3515),Client_List!$A:$A,0)),""))</f>
        <v/>
      </c>
      <c r="I3515" s="70">
        <f>IF(B3515="","",IFERROR(A3515-LOOKUP(2,1/($B$4:$B3514=B3515),$A$4:$A3514),""))</f>
        <v/>
      </c>
      <c r="J3515" s="32">
        <f>IF(B3515="","",IFERROR(D3515/I3515,""))</f>
        <v/>
      </c>
      <c r="K3515" s="71">
        <f>IF(B3515="","",IFERROR(AVERAGEIFS($J$4:$J3515,$B$4:$B3515,B3515,$J$4:$J3515,"&gt;"&amp;0),""))</f>
        <v/>
      </c>
      <c r="L3515" s="11" t="n"/>
    </row>
    <row r="3516" ht="14" customHeight="1" s="72">
      <c r="A3516" s="83" t="n"/>
      <c r="B3516" s="81" t="n"/>
      <c r="C3516" s="69">
        <f>IF(B3516="","",IFERROR(INDEX(Client_List!$B:$B,MATCH(B3516,Client_List!$A:$A,0)),"⚠ NOT FOUND"))</f>
        <v/>
      </c>
      <c r="D3516" s="45" t="n"/>
      <c r="E3516" s="32">
        <f>IF(B3516="","",IFERROR(INDEX(Client_List!$C:$C,MATCH(VALUE(B3516),Client_List!$A:$A,0)),""))</f>
        <v/>
      </c>
      <c r="F3516" s="53">
        <f>IF(B3516="","",IFERROR(INDEX(Client_List!$D:$D,MATCH(VALUE(B3516),Client_List!$A:$A,0)),""))</f>
        <v/>
      </c>
      <c r="G3516" s="53">
        <f>IF(B3516="","",IFERROR(INDEX(Client_List!$K:$K,MATCH(VALUE(B3516),Client_List!$A:$A,0)),""))</f>
        <v/>
      </c>
      <c r="H3516" s="32">
        <f>IF(B3516="","",IFERROR(INDEX(Client_List!$J:$J,MATCH(VALUE(B3516),Client_List!$A:$A,0)),""))</f>
        <v/>
      </c>
      <c r="I3516" s="70">
        <f>IF(B3516="","",IFERROR(A3516-LOOKUP(2,1/($B$4:$B3515=B3516),$A$4:$A3515),""))</f>
        <v/>
      </c>
      <c r="J3516" s="32">
        <f>IF(B3516="","",IFERROR(D3516/I3516,""))</f>
        <v/>
      </c>
      <c r="K3516" s="71">
        <f>IF(B3516="","",IFERROR(AVERAGEIFS($J$4:$J3516,$B$4:$B3516,B3516,$J$4:$J3516,"&gt;"&amp;0),""))</f>
        <v/>
      </c>
      <c r="L3516" s="12" t="n"/>
    </row>
    <row r="3517" ht="14" customHeight="1" s="72">
      <c r="A3517" s="82" t="n"/>
      <c r="B3517" s="79" t="n"/>
      <c r="C3517" s="69">
        <f>IF(B3517="","",IFERROR(INDEX(Client_List!$B:$B,MATCH(B3517,Client_List!$A:$A,0)),"⚠ NOT FOUND"))</f>
        <v/>
      </c>
      <c r="D3517" s="44" t="n"/>
      <c r="E3517" s="32">
        <f>IF(B3517="","",IFERROR(INDEX(Client_List!$C:$C,MATCH(VALUE(B3517),Client_List!$A:$A,0)),""))</f>
        <v/>
      </c>
      <c r="F3517" s="53">
        <f>IF(B3517="","",IFERROR(INDEX(Client_List!$D:$D,MATCH(VALUE(B3517),Client_List!$A:$A,0)),""))</f>
        <v/>
      </c>
      <c r="G3517" s="53">
        <f>IF(B3517="","",IFERROR(INDEX(Client_List!$K:$K,MATCH(VALUE(B3517),Client_List!$A:$A,0)),""))</f>
        <v/>
      </c>
      <c r="H3517" s="32">
        <f>IF(B3517="","",IFERROR(INDEX(Client_List!$J:$J,MATCH(VALUE(B3517),Client_List!$A:$A,0)),""))</f>
        <v/>
      </c>
      <c r="I3517" s="70">
        <f>IF(B3517="","",IFERROR(A3517-LOOKUP(2,1/($B$4:$B3516=B3517),$A$4:$A3516),""))</f>
        <v/>
      </c>
      <c r="J3517" s="32">
        <f>IF(B3517="","",IFERROR(D3517/I3517,""))</f>
        <v/>
      </c>
      <c r="K3517" s="71">
        <f>IF(B3517="","",IFERROR(AVERAGEIFS($J$4:$J3517,$B$4:$B3517,B3517,$J$4:$J3517,"&gt;"&amp;0),""))</f>
        <v/>
      </c>
      <c r="L3517" s="11" t="n"/>
    </row>
    <row r="3518" ht="14" customHeight="1" s="72">
      <c r="A3518" s="83" t="n"/>
      <c r="B3518" s="81" t="n"/>
      <c r="C3518" s="69">
        <f>IF(B3518="","",IFERROR(INDEX(Client_List!$B:$B,MATCH(B3518,Client_List!$A:$A,0)),"⚠ NOT FOUND"))</f>
        <v/>
      </c>
      <c r="D3518" s="45" t="n"/>
      <c r="E3518" s="32">
        <f>IF(B3518="","",IFERROR(INDEX(Client_List!$C:$C,MATCH(VALUE(B3518),Client_List!$A:$A,0)),""))</f>
        <v/>
      </c>
      <c r="F3518" s="53">
        <f>IF(B3518="","",IFERROR(INDEX(Client_List!$D:$D,MATCH(VALUE(B3518),Client_List!$A:$A,0)),""))</f>
        <v/>
      </c>
      <c r="G3518" s="53">
        <f>IF(B3518="","",IFERROR(INDEX(Client_List!$K:$K,MATCH(VALUE(B3518),Client_List!$A:$A,0)),""))</f>
        <v/>
      </c>
      <c r="H3518" s="32">
        <f>IF(B3518="","",IFERROR(INDEX(Client_List!$J:$J,MATCH(VALUE(B3518),Client_List!$A:$A,0)),""))</f>
        <v/>
      </c>
      <c r="I3518" s="70">
        <f>IF(B3518="","",IFERROR(A3518-LOOKUP(2,1/($B$4:$B3517=B3518),$A$4:$A3517),""))</f>
        <v/>
      </c>
      <c r="J3518" s="32">
        <f>IF(B3518="","",IFERROR(D3518/I3518,""))</f>
        <v/>
      </c>
      <c r="K3518" s="71">
        <f>IF(B3518="","",IFERROR(AVERAGEIFS($J$4:$J3518,$B$4:$B3518,B3518,$J$4:$J3518,"&gt;"&amp;0),""))</f>
        <v/>
      </c>
      <c r="L3518" s="12" t="n"/>
    </row>
    <row r="3519" ht="14" customHeight="1" s="72">
      <c r="A3519" s="82" t="n"/>
      <c r="B3519" s="79" t="n"/>
      <c r="C3519" s="69">
        <f>IF(B3519="","",IFERROR(INDEX(Client_List!$B:$B,MATCH(B3519,Client_List!$A:$A,0)),"⚠ NOT FOUND"))</f>
        <v/>
      </c>
      <c r="D3519" s="44" t="n"/>
      <c r="E3519" s="32">
        <f>IF(B3519="","",IFERROR(INDEX(Client_List!$C:$C,MATCH(VALUE(B3519),Client_List!$A:$A,0)),""))</f>
        <v/>
      </c>
      <c r="F3519" s="53">
        <f>IF(B3519="","",IFERROR(INDEX(Client_List!$D:$D,MATCH(VALUE(B3519),Client_List!$A:$A,0)),""))</f>
        <v/>
      </c>
      <c r="G3519" s="53">
        <f>IF(B3519="","",IFERROR(INDEX(Client_List!$K:$K,MATCH(VALUE(B3519),Client_List!$A:$A,0)),""))</f>
        <v/>
      </c>
      <c r="H3519" s="32">
        <f>IF(B3519="","",IFERROR(INDEX(Client_List!$J:$J,MATCH(VALUE(B3519),Client_List!$A:$A,0)),""))</f>
        <v/>
      </c>
      <c r="I3519" s="70">
        <f>IF(B3519="","",IFERROR(A3519-LOOKUP(2,1/($B$4:$B3518=B3519),$A$4:$A3518),""))</f>
        <v/>
      </c>
      <c r="J3519" s="32">
        <f>IF(B3519="","",IFERROR(D3519/I3519,""))</f>
        <v/>
      </c>
      <c r="K3519" s="71">
        <f>IF(B3519="","",IFERROR(AVERAGEIFS($J$4:$J3519,$B$4:$B3519,B3519,$J$4:$J3519,"&gt;"&amp;0),""))</f>
        <v/>
      </c>
      <c r="L3519" s="11" t="n"/>
    </row>
    <row r="3520" ht="14" customHeight="1" s="72">
      <c r="A3520" s="83" t="n"/>
      <c r="B3520" s="81" t="n"/>
      <c r="C3520" s="69">
        <f>IF(B3520="","",IFERROR(INDEX(Client_List!$B:$B,MATCH(B3520,Client_List!$A:$A,0)),"⚠ NOT FOUND"))</f>
        <v/>
      </c>
      <c r="D3520" s="45" t="n"/>
      <c r="E3520" s="32">
        <f>IF(B3520="","",IFERROR(INDEX(Client_List!$C:$C,MATCH(VALUE(B3520),Client_List!$A:$A,0)),""))</f>
        <v/>
      </c>
      <c r="F3520" s="53">
        <f>IF(B3520="","",IFERROR(INDEX(Client_List!$D:$D,MATCH(VALUE(B3520),Client_List!$A:$A,0)),""))</f>
        <v/>
      </c>
      <c r="G3520" s="53">
        <f>IF(B3520="","",IFERROR(INDEX(Client_List!$K:$K,MATCH(VALUE(B3520),Client_List!$A:$A,0)),""))</f>
        <v/>
      </c>
      <c r="H3520" s="32">
        <f>IF(B3520="","",IFERROR(INDEX(Client_List!$J:$J,MATCH(VALUE(B3520),Client_List!$A:$A,0)),""))</f>
        <v/>
      </c>
      <c r="I3520" s="70">
        <f>IF(B3520="","",IFERROR(A3520-LOOKUP(2,1/($B$4:$B3519=B3520),$A$4:$A3519),""))</f>
        <v/>
      </c>
      <c r="J3520" s="32">
        <f>IF(B3520="","",IFERROR(D3520/I3520,""))</f>
        <v/>
      </c>
      <c r="K3520" s="71">
        <f>IF(B3520="","",IFERROR(AVERAGEIFS($J$4:$J3520,$B$4:$B3520,B3520,$J$4:$J3520,"&gt;"&amp;0),""))</f>
        <v/>
      </c>
      <c r="L3520" s="12" t="n"/>
    </row>
    <row r="3521" ht="14" customHeight="1" s="72">
      <c r="A3521" s="82" t="n"/>
      <c r="B3521" s="79" t="n"/>
      <c r="C3521" s="69">
        <f>IF(B3521="","",IFERROR(INDEX(Client_List!$B:$B,MATCH(B3521,Client_List!$A:$A,0)),"⚠ NOT FOUND"))</f>
        <v/>
      </c>
      <c r="D3521" s="44" t="n"/>
      <c r="E3521" s="32">
        <f>IF(B3521="","",IFERROR(INDEX(Client_List!$C:$C,MATCH(VALUE(B3521),Client_List!$A:$A,0)),""))</f>
        <v/>
      </c>
      <c r="F3521" s="53">
        <f>IF(B3521="","",IFERROR(INDEX(Client_List!$D:$D,MATCH(VALUE(B3521),Client_List!$A:$A,0)),""))</f>
        <v/>
      </c>
      <c r="G3521" s="53">
        <f>IF(B3521="","",IFERROR(INDEX(Client_List!$K:$K,MATCH(VALUE(B3521),Client_List!$A:$A,0)),""))</f>
        <v/>
      </c>
      <c r="H3521" s="32">
        <f>IF(B3521="","",IFERROR(INDEX(Client_List!$J:$J,MATCH(VALUE(B3521),Client_List!$A:$A,0)),""))</f>
        <v/>
      </c>
      <c r="I3521" s="70">
        <f>IF(B3521="","",IFERROR(A3521-LOOKUP(2,1/($B$4:$B3520=B3521),$A$4:$A3520),""))</f>
        <v/>
      </c>
      <c r="J3521" s="32">
        <f>IF(B3521="","",IFERROR(D3521/I3521,""))</f>
        <v/>
      </c>
      <c r="K3521" s="71">
        <f>IF(B3521="","",IFERROR(AVERAGEIFS($J$4:$J3521,$B$4:$B3521,B3521,$J$4:$J3521,"&gt;"&amp;0),""))</f>
        <v/>
      </c>
      <c r="L3521" s="11" t="n"/>
    </row>
    <row r="3522" ht="14" customHeight="1" s="72">
      <c r="A3522" s="83" t="n"/>
      <c r="B3522" s="81" t="n"/>
      <c r="C3522" s="69">
        <f>IF(B3522="","",IFERROR(INDEX(Client_List!$B:$B,MATCH(B3522,Client_List!$A:$A,0)),"⚠ NOT FOUND"))</f>
        <v/>
      </c>
      <c r="D3522" s="45" t="n"/>
      <c r="E3522" s="32">
        <f>IF(B3522="","",IFERROR(INDEX(Client_List!$C:$C,MATCH(VALUE(B3522),Client_List!$A:$A,0)),""))</f>
        <v/>
      </c>
      <c r="F3522" s="53">
        <f>IF(B3522="","",IFERROR(INDEX(Client_List!$D:$D,MATCH(VALUE(B3522),Client_List!$A:$A,0)),""))</f>
        <v/>
      </c>
      <c r="G3522" s="53">
        <f>IF(B3522="","",IFERROR(INDEX(Client_List!$K:$K,MATCH(VALUE(B3522),Client_List!$A:$A,0)),""))</f>
        <v/>
      </c>
      <c r="H3522" s="32">
        <f>IF(B3522="","",IFERROR(INDEX(Client_List!$J:$J,MATCH(VALUE(B3522),Client_List!$A:$A,0)),""))</f>
        <v/>
      </c>
      <c r="I3522" s="70">
        <f>IF(B3522="","",IFERROR(A3522-LOOKUP(2,1/($B$4:$B3521=B3522),$A$4:$A3521),""))</f>
        <v/>
      </c>
      <c r="J3522" s="32">
        <f>IF(B3522="","",IFERROR(D3522/I3522,""))</f>
        <v/>
      </c>
      <c r="K3522" s="71">
        <f>IF(B3522="","",IFERROR(AVERAGEIFS($J$4:$J3522,$B$4:$B3522,B3522,$J$4:$J3522,"&gt;"&amp;0),""))</f>
        <v/>
      </c>
      <c r="L3522" s="12" t="n"/>
    </row>
    <row r="3523" ht="14" customHeight="1" s="72">
      <c r="A3523" s="82" t="n"/>
      <c r="B3523" s="79" t="n"/>
      <c r="C3523" s="69">
        <f>IF(B3523="","",IFERROR(INDEX(Client_List!$B:$B,MATCH(B3523,Client_List!$A:$A,0)),"⚠ NOT FOUND"))</f>
        <v/>
      </c>
      <c r="D3523" s="44" t="n"/>
      <c r="E3523" s="32">
        <f>IF(B3523="","",IFERROR(INDEX(Client_List!$C:$C,MATCH(VALUE(B3523),Client_List!$A:$A,0)),""))</f>
        <v/>
      </c>
      <c r="F3523" s="53">
        <f>IF(B3523="","",IFERROR(INDEX(Client_List!$D:$D,MATCH(VALUE(B3523),Client_List!$A:$A,0)),""))</f>
        <v/>
      </c>
      <c r="G3523" s="53">
        <f>IF(B3523="","",IFERROR(INDEX(Client_List!$K:$K,MATCH(VALUE(B3523),Client_List!$A:$A,0)),""))</f>
        <v/>
      </c>
      <c r="H3523" s="32">
        <f>IF(B3523="","",IFERROR(INDEX(Client_List!$J:$J,MATCH(VALUE(B3523),Client_List!$A:$A,0)),""))</f>
        <v/>
      </c>
      <c r="I3523" s="70">
        <f>IF(B3523="","",IFERROR(A3523-LOOKUP(2,1/($B$4:$B3522=B3523),$A$4:$A3522),""))</f>
        <v/>
      </c>
      <c r="J3523" s="32">
        <f>IF(B3523="","",IFERROR(D3523/I3523,""))</f>
        <v/>
      </c>
      <c r="K3523" s="71">
        <f>IF(B3523="","",IFERROR(AVERAGEIFS($J$4:$J3523,$B$4:$B3523,B3523,$J$4:$J3523,"&gt;"&amp;0),""))</f>
        <v/>
      </c>
      <c r="L3523" s="11" t="n"/>
    </row>
    <row r="3524" ht="14" customHeight="1" s="72">
      <c r="A3524" s="83" t="n"/>
      <c r="B3524" s="81" t="n"/>
      <c r="C3524" s="69">
        <f>IF(B3524="","",IFERROR(INDEX(Client_List!$B:$B,MATCH(B3524,Client_List!$A:$A,0)),"⚠ NOT FOUND"))</f>
        <v/>
      </c>
      <c r="D3524" s="45" t="n"/>
      <c r="E3524" s="32">
        <f>IF(B3524="","",IFERROR(INDEX(Client_List!$C:$C,MATCH(VALUE(B3524),Client_List!$A:$A,0)),""))</f>
        <v/>
      </c>
      <c r="F3524" s="53">
        <f>IF(B3524="","",IFERROR(INDEX(Client_List!$D:$D,MATCH(VALUE(B3524),Client_List!$A:$A,0)),""))</f>
        <v/>
      </c>
      <c r="G3524" s="53">
        <f>IF(B3524="","",IFERROR(INDEX(Client_List!$K:$K,MATCH(VALUE(B3524),Client_List!$A:$A,0)),""))</f>
        <v/>
      </c>
      <c r="H3524" s="32">
        <f>IF(B3524="","",IFERROR(INDEX(Client_List!$J:$J,MATCH(VALUE(B3524),Client_List!$A:$A,0)),""))</f>
        <v/>
      </c>
      <c r="I3524" s="70">
        <f>IF(B3524="","",IFERROR(A3524-LOOKUP(2,1/($B$4:$B3523=B3524),$A$4:$A3523),""))</f>
        <v/>
      </c>
      <c r="J3524" s="32">
        <f>IF(B3524="","",IFERROR(D3524/I3524,""))</f>
        <v/>
      </c>
      <c r="K3524" s="71">
        <f>IF(B3524="","",IFERROR(AVERAGEIFS($J$4:$J3524,$B$4:$B3524,B3524,$J$4:$J3524,"&gt;"&amp;0),""))</f>
        <v/>
      </c>
      <c r="L3524" s="12" t="n"/>
    </row>
    <row r="3525" ht="14" customHeight="1" s="72">
      <c r="A3525" s="82" t="n"/>
      <c r="B3525" s="79" t="n"/>
      <c r="C3525" s="69">
        <f>IF(B3525="","",IFERROR(INDEX(Client_List!$B:$B,MATCH(B3525,Client_List!$A:$A,0)),"⚠ NOT FOUND"))</f>
        <v/>
      </c>
      <c r="D3525" s="44" t="n"/>
      <c r="E3525" s="32">
        <f>IF(B3525="","",IFERROR(INDEX(Client_List!$C:$C,MATCH(VALUE(B3525),Client_List!$A:$A,0)),""))</f>
        <v/>
      </c>
      <c r="F3525" s="53">
        <f>IF(B3525="","",IFERROR(INDEX(Client_List!$D:$D,MATCH(VALUE(B3525),Client_List!$A:$A,0)),""))</f>
        <v/>
      </c>
      <c r="G3525" s="53">
        <f>IF(B3525="","",IFERROR(INDEX(Client_List!$K:$K,MATCH(VALUE(B3525),Client_List!$A:$A,0)),""))</f>
        <v/>
      </c>
      <c r="H3525" s="32">
        <f>IF(B3525="","",IFERROR(INDEX(Client_List!$J:$J,MATCH(VALUE(B3525),Client_List!$A:$A,0)),""))</f>
        <v/>
      </c>
      <c r="I3525" s="70">
        <f>IF(B3525="","",IFERROR(A3525-LOOKUP(2,1/($B$4:$B3524=B3525),$A$4:$A3524),""))</f>
        <v/>
      </c>
      <c r="J3525" s="32">
        <f>IF(B3525="","",IFERROR(D3525/I3525,""))</f>
        <v/>
      </c>
      <c r="K3525" s="71">
        <f>IF(B3525="","",IFERROR(AVERAGEIFS($J$4:$J3525,$B$4:$B3525,B3525,$J$4:$J3525,"&gt;"&amp;0),""))</f>
        <v/>
      </c>
      <c r="L3525" s="11" t="n"/>
    </row>
    <row r="3526" ht="14" customHeight="1" s="72">
      <c r="A3526" s="83" t="n"/>
      <c r="B3526" s="81" t="n"/>
      <c r="C3526" s="69">
        <f>IF(B3526="","",IFERROR(INDEX(Client_List!$B:$B,MATCH(B3526,Client_List!$A:$A,0)),"⚠ NOT FOUND"))</f>
        <v/>
      </c>
      <c r="D3526" s="45" t="n"/>
      <c r="E3526" s="32">
        <f>IF(B3526="","",IFERROR(INDEX(Client_List!$C:$C,MATCH(VALUE(B3526),Client_List!$A:$A,0)),""))</f>
        <v/>
      </c>
      <c r="F3526" s="53">
        <f>IF(B3526="","",IFERROR(INDEX(Client_List!$D:$D,MATCH(VALUE(B3526),Client_List!$A:$A,0)),""))</f>
        <v/>
      </c>
      <c r="G3526" s="53">
        <f>IF(B3526="","",IFERROR(INDEX(Client_List!$K:$K,MATCH(VALUE(B3526),Client_List!$A:$A,0)),""))</f>
        <v/>
      </c>
      <c r="H3526" s="32">
        <f>IF(B3526="","",IFERROR(INDEX(Client_List!$J:$J,MATCH(VALUE(B3526),Client_List!$A:$A,0)),""))</f>
        <v/>
      </c>
      <c r="I3526" s="70">
        <f>IF(B3526="","",IFERROR(A3526-LOOKUP(2,1/($B$4:$B3525=B3526),$A$4:$A3525),""))</f>
        <v/>
      </c>
      <c r="J3526" s="32">
        <f>IF(B3526="","",IFERROR(D3526/I3526,""))</f>
        <v/>
      </c>
      <c r="K3526" s="71">
        <f>IF(B3526="","",IFERROR(AVERAGEIFS($J$4:$J3526,$B$4:$B3526,B3526,$J$4:$J3526,"&gt;"&amp;0),""))</f>
        <v/>
      </c>
      <c r="L3526" s="12" t="n"/>
    </row>
    <row r="3527" ht="14" customHeight="1" s="72">
      <c r="A3527" s="82" t="n"/>
      <c r="B3527" s="79" t="n"/>
      <c r="C3527" s="69">
        <f>IF(B3527="","",IFERROR(INDEX(Client_List!$B:$B,MATCH(B3527,Client_List!$A:$A,0)),"⚠ NOT FOUND"))</f>
        <v/>
      </c>
      <c r="D3527" s="44" t="n"/>
      <c r="E3527" s="32">
        <f>IF(B3527="","",IFERROR(INDEX(Client_List!$C:$C,MATCH(VALUE(B3527),Client_List!$A:$A,0)),""))</f>
        <v/>
      </c>
      <c r="F3527" s="53">
        <f>IF(B3527="","",IFERROR(INDEX(Client_List!$D:$D,MATCH(VALUE(B3527),Client_List!$A:$A,0)),""))</f>
        <v/>
      </c>
      <c r="G3527" s="53">
        <f>IF(B3527="","",IFERROR(INDEX(Client_List!$K:$K,MATCH(VALUE(B3527),Client_List!$A:$A,0)),""))</f>
        <v/>
      </c>
      <c r="H3527" s="32">
        <f>IF(B3527="","",IFERROR(INDEX(Client_List!$J:$J,MATCH(VALUE(B3527),Client_List!$A:$A,0)),""))</f>
        <v/>
      </c>
      <c r="I3527" s="70">
        <f>IF(B3527="","",IFERROR(A3527-LOOKUP(2,1/($B$4:$B3526=B3527),$A$4:$A3526),""))</f>
        <v/>
      </c>
      <c r="J3527" s="32">
        <f>IF(B3527="","",IFERROR(D3527/I3527,""))</f>
        <v/>
      </c>
      <c r="K3527" s="71">
        <f>IF(B3527="","",IFERROR(AVERAGEIFS($J$4:$J3527,$B$4:$B3527,B3527,$J$4:$J3527,"&gt;"&amp;0),""))</f>
        <v/>
      </c>
      <c r="L3527" s="11" t="n"/>
    </row>
    <row r="3528" ht="14" customHeight="1" s="72">
      <c r="A3528" s="83" t="n"/>
      <c r="B3528" s="81" t="n"/>
      <c r="C3528" s="69">
        <f>IF(B3528="","",IFERROR(INDEX(Client_List!$B:$B,MATCH(B3528,Client_List!$A:$A,0)),"⚠ NOT FOUND"))</f>
        <v/>
      </c>
      <c r="D3528" s="45" t="n"/>
      <c r="E3528" s="32">
        <f>IF(B3528="","",IFERROR(INDEX(Client_List!$C:$C,MATCH(VALUE(B3528),Client_List!$A:$A,0)),""))</f>
        <v/>
      </c>
      <c r="F3528" s="53">
        <f>IF(B3528="","",IFERROR(INDEX(Client_List!$D:$D,MATCH(VALUE(B3528),Client_List!$A:$A,0)),""))</f>
        <v/>
      </c>
      <c r="G3528" s="53">
        <f>IF(B3528="","",IFERROR(INDEX(Client_List!$K:$K,MATCH(VALUE(B3528),Client_List!$A:$A,0)),""))</f>
        <v/>
      </c>
      <c r="H3528" s="32">
        <f>IF(B3528="","",IFERROR(INDEX(Client_List!$J:$J,MATCH(VALUE(B3528),Client_List!$A:$A,0)),""))</f>
        <v/>
      </c>
      <c r="I3528" s="70">
        <f>IF(B3528="","",IFERROR(A3528-LOOKUP(2,1/($B$4:$B3527=B3528),$A$4:$A3527),""))</f>
        <v/>
      </c>
      <c r="J3528" s="32">
        <f>IF(B3528="","",IFERROR(D3528/I3528,""))</f>
        <v/>
      </c>
      <c r="K3528" s="71">
        <f>IF(B3528="","",IFERROR(AVERAGEIFS($J$4:$J3528,$B$4:$B3528,B3528,$J$4:$J3528,"&gt;"&amp;0),""))</f>
        <v/>
      </c>
      <c r="L3528" s="12" t="n"/>
    </row>
    <row r="3529" ht="14" customHeight="1" s="72">
      <c r="A3529" s="82" t="n"/>
      <c r="B3529" s="79" t="n"/>
      <c r="C3529" s="69">
        <f>IF(B3529="","",IFERROR(INDEX(Client_List!$B:$B,MATCH(B3529,Client_List!$A:$A,0)),"⚠ NOT FOUND"))</f>
        <v/>
      </c>
      <c r="D3529" s="44" t="n"/>
      <c r="E3529" s="32">
        <f>IF(B3529="","",IFERROR(INDEX(Client_List!$C:$C,MATCH(VALUE(B3529),Client_List!$A:$A,0)),""))</f>
        <v/>
      </c>
      <c r="F3529" s="53">
        <f>IF(B3529="","",IFERROR(INDEX(Client_List!$D:$D,MATCH(VALUE(B3529),Client_List!$A:$A,0)),""))</f>
        <v/>
      </c>
      <c r="G3529" s="53">
        <f>IF(B3529="","",IFERROR(INDEX(Client_List!$K:$K,MATCH(VALUE(B3529),Client_List!$A:$A,0)),""))</f>
        <v/>
      </c>
      <c r="H3529" s="32">
        <f>IF(B3529="","",IFERROR(INDEX(Client_List!$J:$J,MATCH(VALUE(B3529),Client_List!$A:$A,0)),""))</f>
        <v/>
      </c>
      <c r="I3529" s="70">
        <f>IF(B3529="","",IFERROR(A3529-LOOKUP(2,1/($B$4:$B3528=B3529),$A$4:$A3528),""))</f>
        <v/>
      </c>
      <c r="J3529" s="32">
        <f>IF(B3529="","",IFERROR(D3529/I3529,""))</f>
        <v/>
      </c>
      <c r="K3529" s="71">
        <f>IF(B3529="","",IFERROR(AVERAGEIFS($J$4:$J3529,$B$4:$B3529,B3529,$J$4:$J3529,"&gt;"&amp;0),""))</f>
        <v/>
      </c>
      <c r="L3529" s="11" t="n"/>
    </row>
    <row r="3530" ht="14" customHeight="1" s="72">
      <c r="A3530" s="83" t="n"/>
      <c r="B3530" s="81" t="n"/>
      <c r="C3530" s="69">
        <f>IF(B3530="","",IFERROR(INDEX(Client_List!$B:$B,MATCH(B3530,Client_List!$A:$A,0)),"⚠ NOT FOUND"))</f>
        <v/>
      </c>
      <c r="D3530" s="45" t="n"/>
      <c r="E3530" s="32">
        <f>IF(B3530="","",IFERROR(INDEX(Client_List!$C:$C,MATCH(VALUE(B3530),Client_List!$A:$A,0)),""))</f>
        <v/>
      </c>
      <c r="F3530" s="53">
        <f>IF(B3530="","",IFERROR(INDEX(Client_List!$D:$D,MATCH(VALUE(B3530),Client_List!$A:$A,0)),""))</f>
        <v/>
      </c>
      <c r="G3530" s="53">
        <f>IF(B3530="","",IFERROR(INDEX(Client_List!$K:$K,MATCH(VALUE(B3530),Client_List!$A:$A,0)),""))</f>
        <v/>
      </c>
      <c r="H3530" s="32">
        <f>IF(B3530="","",IFERROR(INDEX(Client_List!$J:$J,MATCH(VALUE(B3530),Client_List!$A:$A,0)),""))</f>
        <v/>
      </c>
      <c r="I3530" s="70">
        <f>IF(B3530="","",IFERROR(A3530-LOOKUP(2,1/($B$4:$B3529=B3530),$A$4:$A3529),""))</f>
        <v/>
      </c>
      <c r="J3530" s="32">
        <f>IF(B3530="","",IFERROR(D3530/I3530,""))</f>
        <v/>
      </c>
      <c r="K3530" s="71">
        <f>IF(B3530="","",IFERROR(AVERAGEIFS($J$4:$J3530,$B$4:$B3530,B3530,$J$4:$J3530,"&gt;"&amp;0),""))</f>
        <v/>
      </c>
      <c r="L3530" s="12" t="n"/>
    </row>
    <row r="3531" ht="14" customHeight="1" s="72">
      <c r="A3531" s="82" t="n"/>
      <c r="B3531" s="79" t="n"/>
      <c r="C3531" s="69">
        <f>IF(B3531="","",IFERROR(INDEX(Client_List!$B:$B,MATCH(B3531,Client_List!$A:$A,0)),"⚠ NOT FOUND"))</f>
        <v/>
      </c>
      <c r="D3531" s="44" t="n"/>
      <c r="E3531" s="32">
        <f>IF(B3531="","",IFERROR(INDEX(Client_List!$C:$C,MATCH(VALUE(B3531),Client_List!$A:$A,0)),""))</f>
        <v/>
      </c>
      <c r="F3531" s="53">
        <f>IF(B3531="","",IFERROR(INDEX(Client_List!$D:$D,MATCH(VALUE(B3531),Client_List!$A:$A,0)),""))</f>
        <v/>
      </c>
      <c r="G3531" s="53">
        <f>IF(B3531="","",IFERROR(INDEX(Client_List!$K:$K,MATCH(VALUE(B3531),Client_List!$A:$A,0)),""))</f>
        <v/>
      </c>
      <c r="H3531" s="32">
        <f>IF(B3531="","",IFERROR(INDEX(Client_List!$J:$J,MATCH(VALUE(B3531),Client_List!$A:$A,0)),""))</f>
        <v/>
      </c>
      <c r="I3531" s="70">
        <f>IF(B3531="","",IFERROR(A3531-LOOKUP(2,1/($B$4:$B3530=B3531),$A$4:$A3530),""))</f>
        <v/>
      </c>
      <c r="J3531" s="32">
        <f>IF(B3531="","",IFERROR(D3531/I3531,""))</f>
        <v/>
      </c>
      <c r="K3531" s="71">
        <f>IF(B3531="","",IFERROR(AVERAGEIFS($J$4:$J3531,$B$4:$B3531,B3531,$J$4:$J3531,"&gt;"&amp;0),""))</f>
        <v/>
      </c>
      <c r="L3531" s="11" t="n"/>
    </row>
    <row r="3532" ht="14" customHeight="1" s="72">
      <c r="A3532" s="83" t="n"/>
      <c r="B3532" s="81" t="n"/>
      <c r="C3532" s="69">
        <f>IF(B3532="","",IFERROR(INDEX(Client_List!$B:$B,MATCH(B3532,Client_List!$A:$A,0)),"⚠ NOT FOUND"))</f>
        <v/>
      </c>
      <c r="D3532" s="45" t="n"/>
      <c r="E3532" s="32">
        <f>IF(B3532="","",IFERROR(INDEX(Client_List!$C:$C,MATCH(VALUE(B3532),Client_List!$A:$A,0)),""))</f>
        <v/>
      </c>
      <c r="F3532" s="53">
        <f>IF(B3532="","",IFERROR(INDEX(Client_List!$D:$D,MATCH(VALUE(B3532),Client_List!$A:$A,0)),""))</f>
        <v/>
      </c>
      <c r="G3532" s="53">
        <f>IF(B3532="","",IFERROR(INDEX(Client_List!$K:$K,MATCH(VALUE(B3532),Client_List!$A:$A,0)),""))</f>
        <v/>
      </c>
      <c r="H3532" s="32">
        <f>IF(B3532="","",IFERROR(INDEX(Client_List!$J:$J,MATCH(VALUE(B3532),Client_List!$A:$A,0)),""))</f>
        <v/>
      </c>
      <c r="I3532" s="70">
        <f>IF(B3532="","",IFERROR(A3532-LOOKUP(2,1/($B$4:$B3531=B3532),$A$4:$A3531),""))</f>
        <v/>
      </c>
      <c r="J3532" s="32">
        <f>IF(B3532="","",IFERROR(D3532/I3532,""))</f>
        <v/>
      </c>
      <c r="K3532" s="71">
        <f>IF(B3532="","",IFERROR(AVERAGEIFS($J$4:$J3532,$B$4:$B3532,B3532,$J$4:$J3532,"&gt;"&amp;0),""))</f>
        <v/>
      </c>
      <c r="L3532" s="12" t="n"/>
    </row>
    <row r="3533" ht="14" customHeight="1" s="72">
      <c r="A3533" s="82" t="n"/>
      <c r="B3533" s="79" t="n"/>
      <c r="C3533" s="69">
        <f>IF(B3533="","",IFERROR(INDEX(Client_List!$B:$B,MATCH(B3533,Client_List!$A:$A,0)),"⚠ NOT FOUND"))</f>
        <v/>
      </c>
      <c r="D3533" s="44" t="n"/>
      <c r="E3533" s="32">
        <f>IF(B3533="","",IFERROR(INDEX(Client_List!$C:$C,MATCH(VALUE(B3533),Client_List!$A:$A,0)),""))</f>
        <v/>
      </c>
      <c r="F3533" s="53">
        <f>IF(B3533="","",IFERROR(INDEX(Client_List!$D:$D,MATCH(VALUE(B3533),Client_List!$A:$A,0)),""))</f>
        <v/>
      </c>
      <c r="G3533" s="53">
        <f>IF(B3533="","",IFERROR(INDEX(Client_List!$K:$K,MATCH(VALUE(B3533),Client_List!$A:$A,0)),""))</f>
        <v/>
      </c>
      <c r="H3533" s="32">
        <f>IF(B3533="","",IFERROR(INDEX(Client_List!$J:$J,MATCH(VALUE(B3533),Client_List!$A:$A,0)),""))</f>
        <v/>
      </c>
      <c r="I3533" s="70">
        <f>IF(B3533="","",IFERROR(A3533-LOOKUP(2,1/($B$4:$B3532=B3533),$A$4:$A3532),""))</f>
        <v/>
      </c>
      <c r="J3533" s="32">
        <f>IF(B3533="","",IFERROR(D3533/I3533,""))</f>
        <v/>
      </c>
      <c r="K3533" s="71">
        <f>IF(B3533="","",IFERROR(AVERAGEIFS($J$4:$J3533,$B$4:$B3533,B3533,$J$4:$J3533,"&gt;"&amp;0),""))</f>
        <v/>
      </c>
      <c r="L3533" s="11" t="n"/>
    </row>
    <row r="3534" ht="14" customHeight="1" s="72">
      <c r="A3534" s="83" t="n"/>
      <c r="B3534" s="81" t="n"/>
      <c r="C3534" s="69">
        <f>IF(B3534="","",IFERROR(INDEX(Client_List!$B:$B,MATCH(B3534,Client_List!$A:$A,0)),"⚠ NOT FOUND"))</f>
        <v/>
      </c>
      <c r="D3534" s="45" t="n"/>
      <c r="E3534" s="32">
        <f>IF(B3534="","",IFERROR(INDEX(Client_List!$C:$C,MATCH(VALUE(B3534),Client_List!$A:$A,0)),""))</f>
        <v/>
      </c>
      <c r="F3534" s="53">
        <f>IF(B3534="","",IFERROR(INDEX(Client_List!$D:$D,MATCH(VALUE(B3534),Client_List!$A:$A,0)),""))</f>
        <v/>
      </c>
      <c r="G3534" s="53">
        <f>IF(B3534="","",IFERROR(INDEX(Client_List!$K:$K,MATCH(VALUE(B3534),Client_List!$A:$A,0)),""))</f>
        <v/>
      </c>
      <c r="H3534" s="32">
        <f>IF(B3534="","",IFERROR(INDEX(Client_List!$J:$J,MATCH(VALUE(B3534),Client_List!$A:$A,0)),""))</f>
        <v/>
      </c>
      <c r="I3534" s="70">
        <f>IF(B3534="","",IFERROR(A3534-LOOKUP(2,1/($B$4:$B3533=B3534),$A$4:$A3533),""))</f>
        <v/>
      </c>
      <c r="J3534" s="32">
        <f>IF(B3534="","",IFERROR(D3534/I3534,""))</f>
        <v/>
      </c>
      <c r="K3534" s="71">
        <f>IF(B3534="","",IFERROR(AVERAGEIFS($J$4:$J3534,$B$4:$B3534,B3534,$J$4:$J3534,"&gt;"&amp;0),""))</f>
        <v/>
      </c>
      <c r="L3534" s="12" t="n"/>
    </row>
    <row r="3535" ht="14" customHeight="1" s="72">
      <c r="A3535" s="82" t="n"/>
      <c r="B3535" s="79" t="n"/>
      <c r="C3535" s="69">
        <f>IF(B3535="","",IFERROR(INDEX(Client_List!$B:$B,MATCH(B3535,Client_List!$A:$A,0)),"⚠ NOT FOUND"))</f>
        <v/>
      </c>
      <c r="D3535" s="44" t="n"/>
      <c r="E3535" s="32">
        <f>IF(B3535="","",IFERROR(INDEX(Client_List!$C:$C,MATCH(VALUE(B3535),Client_List!$A:$A,0)),""))</f>
        <v/>
      </c>
      <c r="F3535" s="53">
        <f>IF(B3535="","",IFERROR(INDEX(Client_List!$D:$D,MATCH(VALUE(B3535),Client_List!$A:$A,0)),""))</f>
        <v/>
      </c>
      <c r="G3535" s="53">
        <f>IF(B3535="","",IFERROR(INDEX(Client_List!$K:$K,MATCH(VALUE(B3535),Client_List!$A:$A,0)),""))</f>
        <v/>
      </c>
      <c r="H3535" s="32">
        <f>IF(B3535="","",IFERROR(INDEX(Client_List!$J:$J,MATCH(VALUE(B3535),Client_List!$A:$A,0)),""))</f>
        <v/>
      </c>
      <c r="I3535" s="70">
        <f>IF(B3535="","",IFERROR(A3535-LOOKUP(2,1/($B$4:$B3534=B3535),$A$4:$A3534),""))</f>
        <v/>
      </c>
      <c r="J3535" s="32">
        <f>IF(B3535="","",IFERROR(D3535/I3535,""))</f>
        <v/>
      </c>
      <c r="K3535" s="71">
        <f>IF(B3535="","",IFERROR(AVERAGEIFS($J$4:$J3535,$B$4:$B3535,B3535,$J$4:$J3535,"&gt;"&amp;0),""))</f>
        <v/>
      </c>
      <c r="L3535" s="11" t="n"/>
    </row>
    <row r="3536" ht="14" customHeight="1" s="72">
      <c r="A3536" s="83" t="n"/>
      <c r="B3536" s="81" t="n"/>
      <c r="C3536" s="69">
        <f>IF(B3536="","",IFERROR(INDEX(Client_List!$B:$B,MATCH(B3536,Client_List!$A:$A,0)),"⚠ NOT FOUND"))</f>
        <v/>
      </c>
      <c r="D3536" s="45" t="n"/>
      <c r="E3536" s="32">
        <f>IF(B3536="","",IFERROR(INDEX(Client_List!$C:$C,MATCH(VALUE(B3536),Client_List!$A:$A,0)),""))</f>
        <v/>
      </c>
      <c r="F3536" s="53">
        <f>IF(B3536="","",IFERROR(INDEX(Client_List!$D:$D,MATCH(VALUE(B3536),Client_List!$A:$A,0)),""))</f>
        <v/>
      </c>
      <c r="G3536" s="53">
        <f>IF(B3536="","",IFERROR(INDEX(Client_List!$K:$K,MATCH(VALUE(B3536),Client_List!$A:$A,0)),""))</f>
        <v/>
      </c>
      <c r="H3536" s="32">
        <f>IF(B3536="","",IFERROR(INDEX(Client_List!$J:$J,MATCH(VALUE(B3536),Client_List!$A:$A,0)),""))</f>
        <v/>
      </c>
      <c r="I3536" s="70">
        <f>IF(B3536="","",IFERROR(A3536-LOOKUP(2,1/($B$4:$B3535=B3536),$A$4:$A3535),""))</f>
        <v/>
      </c>
      <c r="J3536" s="32">
        <f>IF(B3536="","",IFERROR(D3536/I3536,""))</f>
        <v/>
      </c>
      <c r="K3536" s="71">
        <f>IF(B3536="","",IFERROR(AVERAGEIFS($J$4:$J3536,$B$4:$B3536,B3536,$J$4:$J3536,"&gt;"&amp;0),""))</f>
        <v/>
      </c>
      <c r="L3536" s="12" t="n"/>
    </row>
    <row r="3537" ht="14" customHeight="1" s="72">
      <c r="A3537" s="82" t="n"/>
      <c r="B3537" s="79" t="n"/>
      <c r="C3537" s="69">
        <f>IF(B3537="","",IFERROR(INDEX(Client_List!$B:$B,MATCH(B3537,Client_List!$A:$A,0)),"⚠ NOT FOUND"))</f>
        <v/>
      </c>
      <c r="D3537" s="44" t="n"/>
      <c r="E3537" s="32">
        <f>IF(B3537="","",IFERROR(INDEX(Client_List!$C:$C,MATCH(VALUE(B3537),Client_List!$A:$A,0)),""))</f>
        <v/>
      </c>
      <c r="F3537" s="53">
        <f>IF(B3537="","",IFERROR(INDEX(Client_List!$D:$D,MATCH(VALUE(B3537),Client_List!$A:$A,0)),""))</f>
        <v/>
      </c>
      <c r="G3537" s="53">
        <f>IF(B3537="","",IFERROR(INDEX(Client_List!$K:$K,MATCH(VALUE(B3537),Client_List!$A:$A,0)),""))</f>
        <v/>
      </c>
      <c r="H3537" s="32">
        <f>IF(B3537="","",IFERROR(INDEX(Client_List!$J:$J,MATCH(VALUE(B3537),Client_List!$A:$A,0)),""))</f>
        <v/>
      </c>
      <c r="I3537" s="70">
        <f>IF(B3537="","",IFERROR(A3537-LOOKUP(2,1/($B$4:$B3536=B3537),$A$4:$A3536),""))</f>
        <v/>
      </c>
      <c r="J3537" s="32">
        <f>IF(B3537="","",IFERROR(D3537/I3537,""))</f>
        <v/>
      </c>
      <c r="K3537" s="71">
        <f>IF(B3537="","",IFERROR(AVERAGEIFS($J$4:$J3537,$B$4:$B3537,B3537,$J$4:$J3537,"&gt;"&amp;0),""))</f>
        <v/>
      </c>
      <c r="L3537" s="11" t="n"/>
    </row>
    <row r="3538" ht="14" customHeight="1" s="72">
      <c r="A3538" s="83" t="n"/>
      <c r="B3538" s="81" t="n"/>
      <c r="C3538" s="69">
        <f>IF(B3538="","",IFERROR(INDEX(Client_List!$B:$B,MATCH(B3538,Client_List!$A:$A,0)),"⚠ NOT FOUND"))</f>
        <v/>
      </c>
      <c r="D3538" s="45" t="n"/>
      <c r="E3538" s="32">
        <f>IF(B3538="","",IFERROR(INDEX(Client_List!$C:$C,MATCH(VALUE(B3538),Client_List!$A:$A,0)),""))</f>
        <v/>
      </c>
      <c r="F3538" s="53">
        <f>IF(B3538="","",IFERROR(INDEX(Client_List!$D:$D,MATCH(VALUE(B3538),Client_List!$A:$A,0)),""))</f>
        <v/>
      </c>
      <c r="G3538" s="53">
        <f>IF(B3538="","",IFERROR(INDEX(Client_List!$K:$K,MATCH(VALUE(B3538),Client_List!$A:$A,0)),""))</f>
        <v/>
      </c>
      <c r="H3538" s="32">
        <f>IF(B3538="","",IFERROR(INDEX(Client_List!$J:$J,MATCH(VALUE(B3538),Client_List!$A:$A,0)),""))</f>
        <v/>
      </c>
      <c r="I3538" s="70">
        <f>IF(B3538="","",IFERROR(A3538-LOOKUP(2,1/($B$4:$B3537=B3538),$A$4:$A3537),""))</f>
        <v/>
      </c>
      <c r="J3538" s="32">
        <f>IF(B3538="","",IFERROR(D3538/I3538,""))</f>
        <v/>
      </c>
      <c r="K3538" s="71">
        <f>IF(B3538="","",IFERROR(AVERAGEIFS($J$4:$J3538,$B$4:$B3538,B3538,$J$4:$J3538,"&gt;"&amp;0),""))</f>
        <v/>
      </c>
      <c r="L3538" s="12" t="n"/>
    </row>
    <row r="3539" ht="14" customHeight="1" s="72">
      <c r="A3539" s="82" t="n"/>
      <c r="B3539" s="79" t="n"/>
      <c r="C3539" s="69">
        <f>IF(B3539="","",IFERROR(INDEX(Client_List!$B:$B,MATCH(B3539,Client_List!$A:$A,0)),"⚠ NOT FOUND"))</f>
        <v/>
      </c>
      <c r="D3539" s="44" t="n"/>
      <c r="E3539" s="32">
        <f>IF(B3539="","",IFERROR(INDEX(Client_List!$C:$C,MATCH(VALUE(B3539),Client_List!$A:$A,0)),""))</f>
        <v/>
      </c>
      <c r="F3539" s="53">
        <f>IF(B3539="","",IFERROR(INDEX(Client_List!$D:$D,MATCH(VALUE(B3539),Client_List!$A:$A,0)),""))</f>
        <v/>
      </c>
      <c r="G3539" s="53">
        <f>IF(B3539="","",IFERROR(INDEX(Client_List!$K:$K,MATCH(VALUE(B3539),Client_List!$A:$A,0)),""))</f>
        <v/>
      </c>
      <c r="H3539" s="32">
        <f>IF(B3539="","",IFERROR(INDEX(Client_List!$J:$J,MATCH(VALUE(B3539),Client_List!$A:$A,0)),""))</f>
        <v/>
      </c>
      <c r="I3539" s="70">
        <f>IF(B3539="","",IFERROR(A3539-LOOKUP(2,1/($B$4:$B3538=B3539),$A$4:$A3538),""))</f>
        <v/>
      </c>
      <c r="J3539" s="32">
        <f>IF(B3539="","",IFERROR(D3539/I3539,""))</f>
        <v/>
      </c>
      <c r="K3539" s="71">
        <f>IF(B3539="","",IFERROR(AVERAGEIFS($J$4:$J3539,$B$4:$B3539,B3539,$J$4:$J3539,"&gt;"&amp;0),""))</f>
        <v/>
      </c>
      <c r="L3539" s="11" t="n"/>
    </row>
    <row r="3540" ht="14" customHeight="1" s="72">
      <c r="A3540" s="83" t="n"/>
      <c r="B3540" s="81" t="n"/>
      <c r="C3540" s="69">
        <f>IF(B3540="","",IFERROR(INDEX(Client_List!$B:$B,MATCH(B3540,Client_List!$A:$A,0)),"⚠ NOT FOUND"))</f>
        <v/>
      </c>
      <c r="D3540" s="45" t="n"/>
      <c r="E3540" s="32">
        <f>IF(B3540="","",IFERROR(INDEX(Client_List!$C:$C,MATCH(VALUE(B3540),Client_List!$A:$A,0)),""))</f>
        <v/>
      </c>
      <c r="F3540" s="53">
        <f>IF(B3540="","",IFERROR(INDEX(Client_List!$D:$D,MATCH(VALUE(B3540),Client_List!$A:$A,0)),""))</f>
        <v/>
      </c>
      <c r="G3540" s="53">
        <f>IF(B3540="","",IFERROR(INDEX(Client_List!$K:$K,MATCH(VALUE(B3540),Client_List!$A:$A,0)),""))</f>
        <v/>
      </c>
      <c r="H3540" s="32">
        <f>IF(B3540="","",IFERROR(INDEX(Client_List!$J:$J,MATCH(VALUE(B3540),Client_List!$A:$A,0)),""))</f>
        <v/>
      </c>
      <c r="I3540" s="70">
        <f>IF(B3540="","",IFERROR(A3540-LOOKUP(2,1/($B$4:$B3539=B3540),$A$4:$A3539),""))</f>
        <v/>
      </c>
      <c r="J3540" s="32">
        <f>IF(B3540="","",IFERROR(D3540/I3540,""))</f>
        <v/>
      </c>
      <c r="K3540" s="71">
        <f>IF(B3540="","",IFERROR(AVERAGEIFS($J$4:$J3540,$B$4:$B3540,B3540,$J$4:$J3540,"&gt;"&amp;0),""))</f>
        <v/>
      </c>
      <c r="L3540" s="12" t="n"/>
    </row>
    <row r="3541" ht="14" customHeight="1" s="72">
      <c r="A3541" s="82" t="n"/>
      <c r="B3541" s="79" t="n"/>
      <c r="C3541" s="69">
        <f>IF(B3541="","",IFERROR(INDEX(Client_List!$B:$B,MATCH(B3541,Client_List!$A:$A,0)),"⚠ NOT FOUND"))</f>
        <v/>
      </c>
      <c r="D3541" s="44" t="n"/>
      <c r="E3541" s="32">
        <f>IF(B3541="","",IFERROR(INDEX(Client_List!$C:$C,MATCH(VALUE(B3541),Client_List!$A:$A,0)),""))</f>
        <v/>
      </c>
      <c r="F3541" s="53">
        <f>IF(B3541="","",IFERROR(INDEX(Client_List!$D:$D,MATCH(VALUE(B3541),Client_List!$A:$A,0)),""))</f>
        <v/>
      </c>
      <c r="G3541" s="53">
        <f>IF(B3541="","",IFERROR(INDEX(Client_List!$K:$K,MATCH(VALUE(B3541),Client_List!$A:$A,0)),""))</f>
        <v/>
      </c>
      <c r="H3541" s="32">
        <f>IF(B3541="","",IFERROR(INDEX(Client_List!$J:$J,MATCH(VALUE(B3541),Client_List!$A:$A,0)),""))</f>
        <v/>
      </c>
      <c r="I3541" s="70">
        <f>IF(B3541="","",IFERROR(A3541-LOOKUP(2,1/($B$4:$B3540=B3541),$A$4:$A3540),""))</f>
        <v/>
      </c>
      <c r="J3541" s="32">
        <f>IF(B3541="","",IFERROR(D3541/I3541,""))</f>
        <v/>
      </c>
      <c r="K3541" s="71">
        <f>IF(B3541="","",IFERROR(AVERAGEIFS($J$4:$J3541,$B$4:$B3541,B3541,$J$4:$J3541,"&gt;"&amp;0),""))</f>
        <v/>
      </c>
      <c r="L3541" s="11" t="n"/>
    </row>
    <row r="3542" ht="14" customHeight="1" s="72">
      <c r="A3542" s="83" t="n"/>
      <c r="B3542" s="81" t="n"/>
      <c r="C3542" s="69">
        <f>IF(B3542="","",IFERROR(INDEX(Client_List!$B:$B,MATCH(B3542,Client_List!$A:$A,0)),"⚠ NOT FOUND"))</f>
        <v/>
      </c>
      <c r="D3542" s="45" t="n"/>
      <c r="E3542" s="32">
        <f>IF(B3542="","",IFERROR(INDEX(Client_List!$C:$C,MATCH(VALUE(B3542),Client_List!$A:$A,0)),""))</f>
        <v/>
      </c>
      <c r="F3542" s="53">
        <f>IF(B3542="","",IFERROR(INDEX(Client_List!$D:$D,MATCH(VALUE(B3542),Client_List!$A:$A,0)),""))</f>
        <v/>
      </c>
      <c r="G3542" s="53">
        <f>IF(B3542="","",IFERROR(INDEX(Client_List!$K:$K,MATCH(VALUE(B3542),Client_List!$A:$A,0)),""))</f>
        <v/>
      </c>
      <c r="H3542" s="32">
        <f>IF(B3542="","",IFERROR(INDEX(Client_List!$J:$J,MATCH(VALUE(B3542),Client_List!$A:$A,0)),""))</f>
        <v/>
      </c>
      <c r="I3542" s="70">
        <f>IF(B3542="","",IFERROR(A3542-LOOKUP(2,1/($B$4:$B3541=B3542),$A$4:$A3541),""))</f>
        <v/>
      </c>
      <c r="J3542" s="32">
        <f>IF(B3542="","",IFERROR(D3542/I3542,""))</f>
        <v/>
      </c>
      <c r="K3542" s="71">
        <f>IF(B3542="","",IFERROR(AVERAGEIFS($J$4:$J3542,$B$4:$B3542,B3542,$J$4:$J3542,"&gt;"&amp;0),""))</f>
        <v/>
      </c>
      <c r="L3542" s="12" t="n"/>
    </row>
    <row r="3543" ht="14" customHeight="1" s="72">
      <c r="A3543" s="82" t="n"/>
      <c r="B3543" s="79" t="n"/>
      <c r="C3543" s="69">
        <f>IF(B3543="","",IFERROR(INDEX(Client_List!$B:$B,MATCH(B3543,Client_List!$A:$A,0)),"⚠ NOT FOUND"))</f>
        <v/>
      </c>
      <c r="D3543" s="44" t="n"/>
      <c r="E3543" s="32">
        <f>IF(B3543="","",IFERROR(INDEX(Client_List!$C:$C,MATCH(VALUE(B3543),Client_List!$A:$A,0)),""))</f>
        <v/>
      </c>
      <c r="F3543" s="53">
        <f>IF(B3543="","",IFERROR(INDEX(Client_List!$D:$D,MATCH(VALUE(B3543),Client_List!$A:$A,0)),""))</f>
        <v/>
      </c>
      <c r="G3543" s="53">
        <f>IF(B3543="","",IFERROR(INDEX(Client_List!$K:$K,MATCH(VALUE(B3543),Client_List!$A:$A,0)),""))</f>
        <v/>
      </c>
      <c r="H3543" s="32">
        <f>IF(B3543="","",IFERROR(INDEX(Client_List!$J:$J,MATCH(VALUE(B3543),Client_List!$A:$A,0)),""))</f>
        <v/>
      </c>
      <c r="I3543" s="70">
        <f>IF(B3543="","",IFERROR(A3543-LOOKUP(2,1/($B$4:$B3542=B3543),$A$4:$A3542),""))</f>
        <v/>
      </c>
      <c r="J3543" s="32">
        <f>IF(B3543="","",IFERROR(D3543/I3543,""))</f>
        <v/>
      </c>
      <c r="K3543" s="71">
        <f>IF(B3543="","",IFERROR(AVERAGEIFS($J$4:$J3543,$B$4:$B3543,B3543,$J$4:$J3543,"&gt;"&amp;0),""))</f>
        <v/>
      </c>
      <c r="L3543" s="11" t="n"/>
    </row>
    <row r="3544" ht="14" customHeight="1" s="72">
      <c r="A3544" s="83" t="n"/>
      <c r="B3544" s="81" t="n"/>
      <c r="C3544" s="69">
        <f>IF(B3544="","",IFERROR(INDEX(Client_List!$B:$B,MATCH(B3544,Client_List!$A:$A,0)),"⚠ NOT FOUND"))</f>
        <v/>
      </c>
      <c r="D3544" s="45" t="n"/>
      <c r="E3544" s="32">
        <f>IF(B3544="","",IFERROR(INDEX(Client_List!$C:$C,MATCH(VALUE(B3544),Client_List!$A:$A,0)),""))</f>
        <v/>
      </c>
      <c r="F3544" s="53">
        <f>IF(B3544="","",IFERROR(INDEX(Client_List!$D:$D,MATCH(VALUE(B3544),Client_List!$A:$A,0)),""))</f>
        <v/>
      </c>
      <c r="G3544" s="53">
        <f>IF(B3544="","",IFERROR(INDEX(Client_List!$K:$K,MATCH(VALUE(B3544),Client_List!$A:$A,0)),""))</f>
        <v/>
      </c>
      <c r="H3544" s="32">
        <f>IF(B3544="","",IFERROR(INDEX(Client_List!$J:$J,MATCH(VALUE(B3544),Client_List!$A:$A,0)),""))</f>
        <v/>
      </c>
      <c r="I3544" s="70">
        <f>IF(B3544="","",IFERROR(A3544-LOOKUP(2,1/($B$4:$B3543=B3544),$A$4:$A3543),""))</f>
        <v/>
      </c>
      <c r="J3544" s="32">
        <f>IF(B3544="","",IFERROR(D3544/I3544,""))</f>
        <v/>
      </c>
      <c r="K3544" s="71">
        <f>IF(B3544="","",IFERROR(AVERAGEIFS($J$4:$J3544,$B$4:$B3544,B3544,$J$4:$J3544,"&gt;"&amp;0),""))</f>
        <v/>
      </c>
      <c r="L3544" s="12" t="n"/>
    </row>
    <row r="3545" ht="14" customHeight="1" s="72">
      <c r="A3545" s="82" t="n"/>
      <c r="B3545" s="79" t="n"/>
      <c r="C3545" s="69">
        <f>IF(B3545="","",IFERROR(INDEX(Client_List!$B:$B,MATCH(B3545,Client_List!$A:$A,0)),"⚠ NOT FOUND"))</f>
        <v/>
      </c>
      <c r="D3545" s="44" t="n"/>
      <c r="E3545" s="32">
        <f>IF(B3545="","",IFERROR(INDEX(Client_List!$C:$C,MATCH(VALUE(B3545),Client_List!$A:$A,0)),""))</f>
        <v/>
      </c>
      <c r="F3545" s="53">
        <f>IF(B3545="","",IFERROR(INDEX(Client_List!$D:$D,MATCH(VALUE(B3545),Client_List!$A:$A,0)),""))</f>
        <v/>
      </c>
      <c r="G3545" s="53">
        <f>IF(B3545="","",IFERROR(INDEX(Client_List!$K:$K,MATCH(VALUE(B3545),Client_List!$A:$A,0)),""))</f>
        <v/>
      </c>
      <c r="H3545" s="32">
        <f>IF(B3545="","",IFERROR(INDEX(Client_List!$J:$J,MATCH(VALUE(B3545),Client_List!$A:$A,0)),""))</f>
        <v/>
      </c>
      <c r="I3545" s="70">
        <f>IF(B3545="","",IFERROR(A3545-LOOKUP(2,1/($B$4:$B3544=B3545),$A$4:$A3544),""))</f>
        <v/>
      </c>
      <c r="J3545" s="32">
        <f>IF(B3545="","",IFERROR(D3545/I3545,""))</f>
        <v/>
      </c>
      <c r="K3545" s="71">
        <f>IF(B3545="","",IFERROR(AVERAGEIFS($J$4:$J3545,$B$4:$B3545,B3545,$J$4:$J3545,"&gt;"&amp;0),""))</f>
        <v/>
      </c>
      <c r="L3545" s="11" t="n"/>
    </row>
    <row r="3546" ht="14" customHeight="1" s="72">
      <c r="A3546" s="83" t="n"/>
      <c r="B3546" s="81" t="n"/>
      <c r="C3546" s="69">
        <f>IF(B3546="","",IFERROR(INDEX(Client_List!$B:$B,MATCH(B3546,Client_List!$A:$A,0)),"⚠ NOT FOUND"))</f>
        <v/>
      </c>
      <c r="D3546" s="45" t="n"/>
      <c r="E3546" s="32">
        <f>IF(B3546="","",IFERROR(INDEX(Client_List!$C:$C,MATCH(VALUE(B3546),Client_List!$A:$A,0)),""))</f>
        <v/>
      </c>
      <c r="F3546" s="53">
        <f>IF(B3546="","",IFERROR(INDEX(Client_List!$D:$D,MATCH(VALUE(B3546),Client_List!$A:$A,0)),""))</f>
        <v/>
      </c>
      <c r="G3546" s="53">
        <f>IF(B3546="","",IFERROR(INDEX(Client_List!$K:$K,MATCH(VALUE(B3546),Client_List!$A:$A,0)),""))</f>
        <v/>
      </c>
      <c r="H3546" s="32">
        <f>IF(B3546="","",IFERROR(INDEX(Client_List!$J:$J,MATCH(VALUE(B3546),Client_List!$A:$A,0)),""))</f>
        <v/>
      </c>
      <c r="I3546" s="70">
        <f>IF(B3546="","",IFERROR(A3546-LOOKUP(2,1/($B$4:$B3545=B3546),$A$4:$A3545),""))</f>
        <v/>
      </c>
      <c r="J3546" s="32">
        <f>IF(B3546="","",IFERROR(D3546/I3546,""))</f>
        <v/>
      </c>
      <c r="K3546" s="71">
        <f>IF(B3546="","",IFERROR(AVERAGEIFS($J$4:$J3546,$B$4:$B3546,B3546,$J$4:$J3546,"&gt;"&amp;0),""))</f>
        <v/>
      </c>
      <c r="L3546" s="12" t="n"/>
    </row>
    <row r="3547" ht="14" customHeight="1" s="72">
      <c r="A3547" s="82" t="n"/>
      <c r="B3547" s="79" t="n"/>
      <c r="C3547" s="69">
        <f>IF(B3547="","",IFERROR(INDEX(Client_List!$B:$B,MATCH(B3547,Client_List!$A:$A,0)),"⚠ NOT FOUND"))</f>
        <v/>
      </c>
      <c r="D3547" s="44" t="n"/>
      <c r="E3547" s="32">
        <f>IF(B3547="","",IFERROR(INDEX(Client_List!$C:$C,MATCH(VALUE(B3547),Client_List!$A:$A,0)),""))</f>
        <v/>
      </c>
      <c r="F3547" s="53">
        <f>IF(B3547="","",IFERROR(INDEX(Client_List!$D:$D,MATCH(VALUE(B3547),Client_List!$A:$A,0)),""))</f>
        <v/>
      </c>
      <c r="G3547" s="53">
        <f>IF(B3547="","",IFERROR(INDEX(Client_List!$K:$K,MATCH(VALUE(B3547),Client_List!$A:$A,0)),""))</f>
        <v/>
      </c>
      <c r="H3547" s="32">
        <f>IF(B3547="","",IFERROR(INDEX(Client_List!$J:$J,MATCH(VALUE(B3547),Client_List!$A:$A,0)),""))</f>
        <v/>
      </c>
      <c r="I3547" s="70">
        <f>IF(B3547="","",IFERROR(A3547-LOOKUP(2,1/($B$4:$B3546=B3547),$A$4:$A3546),""))</f>
        <v/>
      </c>
      <c r="J3547" s="32">
        <f>IF(B3547="","",IFERROR(D3547/I3547,""))</f>
        <v/>
      </c>
      <c r="K3547" s="71">
        <f>IF(B3547="","",IFERROR(AVERAGEIFS($J$4:$J3547,$B$4:$B3547,B3547,$J$4:$J3547,"&gt;"&amp;0),""))</f>
        <v/>
      </c>
      <c r="L3547" s="11" t="n"/>
    </row>
    <row r="3548" ht="14" customHeight="1" s="72">
      <c r="A3548" s="83" t="n"/>
      <c r="B3548" s="81" t="n"/>
      <c r="C3548" s="69">
        <f>IF(B3548="","",IFERROR(INDEX(Client_List!$B:$B,MATCH(B3548,Client_List!$A:$A,0)),"⚠ NOT FOUND"))</f>
        <v/>
      </c>
      <c r="D3548" s="45" t="n"/>
      <c r="E3548" s="32">
        <f>IF(B3548="","",IFERROR(INDEX(Client_List!$C:$C,MATCH(VALUE(B3548),Client_List!$A:$A,0)),""))</f>
        <v/>
      </c>
      <c r="F3548" s="53">
        <f>IF(B3548="","",IFERROR(INDEX(Client_List!$D:$D,MATCH(VALUE(B3548),Client_List!$A:$A,0)),""))</f>
        <v/>
      </c>
      <c r="G3548" s="53">
        <f>IF(B3548="","",IFERROR(INDEX(Client_List!$K:$K,MATCH(VALUE(B3548),Client_List!$A:$A,0)),""))</f>
        <v/>
      </c>
      <c r="H3548" s="32">
        <f>IF(B3548="","",IFERROR(INDEX(Client_List!$J:$J,MATCH(VALUE(B3548),Client_List!$A:$A,0)),""))</f>
        <v/>
      </c>
      <c r="I3548" s="70">
        <f>IF(B3548="","",IFERROR(A3548-LOOKUP(2,1/($B$4:$B3547=B3548),$A$4:$A3547),""))</f>
        <v/>
      </c>
      <c r="J3548" s="32">
        <f>IF(B3548="","",IFERROR(D3548/I3548,""))</f>
        <v/>
      </c>
      <c r="K3548" s="71">
        <f>IF(B3548="","",IFERROR(AVERAGEIFS($J$4:$J3548,$B$4:$B3548,B3548,$J$4:$J3548,"&gt;"&amp;0),""))</f>
        <v/>
      </c>
      <c r="L3548" s="12" t="n"/>
    </row>
    <row r="3549" ht="14" customHeight="1" s="72">
      <c r="A3549" s="82" t="n"/>
      <c r="B3549" s="79" t="n"/>
      <c r="C3549" s="69">
        <f>IF(B3549="","",IFERROR(INDEX(Client_List!$B:$B,MATCH(B3549,Client_List!$A:$A,0)),"⚠ NOT FOUND"))</f>
        <v/>
      </c>
      <c r="D3549" s="44" t="n"/>
      <c r="E3549" s="32">
        <f>IF(B3549="","",IFERROR(INDEX(Client_List!$C:$C,MATCH(VALUE(B3549),Client_List!$A:$A,0)),""))</f>
        <v/>
      </c>
      <c r="F3549" s="53">
        <f>IF(B3549="","",IFERROR(INDEX(Client_List!$D:$D,MATCH(VALUE(B3549),Client_List!$A:$A,0)),""))</f>
        <v/>
      </c>
      <c r="G3549" s="53">
        <f>IF(B3549="","",IFERROR(INDEX(Client_List!$K:$K,MATCH(VALUE(B3549),Client_List!$A:$A,0)),""))</f>
        <v/>
      </c>
      <c r="H3549" s="32">
        <f>IF(B3549="","",IFERROR(INDEX(Client_List!$J:$J,MATCH(VALUE(B3549),Client_List!$A:$A,0)),""))</f>
        <v/>
      </c>
      <c r="I3549" s="70">
        <f>IF(B3549="","",IFERROR(A3549-LOOKUP(2,1/($B$4:$B3548=B3549),$A$4:$A3548),""))</f>
        <v/>
      </c>
      <c r="J3549" s="32">
        <f>IF(B3549="","",IFERROR(D3549/I3549,""))</f>
        <v/>
      </c>
      <c r="K3549" s="71">
        <f>IF(B3549="","",IFERROR(AVERAGEIFS($J$4:$J3549,$B$4:$B3549,B3549,$J$4:$J3549,"&gt;"&amp;0),""))</f>
        <v/>
      </c>
      <c r="L3549" s="11" t="n"/>
    </row>
    <row r="3550" ht="14" customHeight="1" s="72">
      <c r="A3550" s="83" t="n"/>
      <c r="B3550" s="81" t="n"/>
      <c r="C3550" s="69">
        <f>IF(B3550="","",IFERROR(INDEX(Client_List!$B:$B,MATCH(B3550,Client_List!$A:$A,0)),"⚠ NOT FOUND"))</f>
        <v/>
      </c>
      <c r="D3550" s="45" t="n"/>
      <c r="E3550" s="32">
        <f>IF(B3550="","",IFERROR(INDEX(Client_List!$C:$C,MATCH(VALUE(B3550),Client_List!$A:$A,0)),""))</f>
        <v/>
      </c>
      <c r="F3550" s="53">
        <f>IF(B3550="","",IFERROR(INDEX(Client_List!$D:$D,MATCH(VALUE(B3550),Client_List!$A:$A,0)),""))</f>
        <v/>
      </c>
      <c r="G3550" s="53">
        <f>IF(B3550="","",IFERROR(INDEX(Client_List!$K:$K,MATCH(VALUE(B3550),Client_List!$A:$A,0)),""))</f>
        <v/>
      </c>
      <c r="H3550" s="32">
        <f>IF(B3550="","",IFERROR(INDEX(Client_List!$J:$J,MATCH(VALUE(B3550),Client_List!$A:$A,0)),""))</f>
        <v/>
      </c>
      <c r="I3550" s="70">
        <f>IF(B3550="","",IFERROR(A3550-LOOKUP(2,1/($B$4:$B3549=B3550),$A$4:$A3549),""))</f>
        <v/>
      </c>
      <c r="J3550" s="32">
        <f>IF(B3550="","",IFERROR(D3550/I3550,""))</f>
        <v/>
      </c>
      <c r="K3550" s="71">
        <f>IF(B3550="","",IFERROR(AVERAGEIFS($J$4:$J3550,$B$4:$B3550,B3550,$J$4:$J3550,"&gt;"&amp;0),""))</f>
        <v/>
      </c>
      <c r="L3550" s="12" t="n"/>
    </row>
    <row r="3551" ht="14" customHeight="1" s="72">
      <c r="A3551" s="82" t="n"/>
      <c r="B3551" s="79" t="n"/>
      <c r="C3551" s="69">
        <f>IF(B3551="","",IFERROR(INDEX(Client_List!$B:$B,MATCH(B3551,Client_List!$A:$A,0)),"⚠ NOT FOUND"))</f>
        <v/>
      </c>
      <c r="D3551" s="44" t="n"/>
      <c r="E3551" s="32">
        <f>IF(B3551="","",IFERROR(INDEX(Client_List!$C:$C,MATCH(VALUE(B3551),Client_List!$A:$A,0)),""))</f>
        <v/>
      </c>
      <c r="F3551" s="53">
        <f>IF(B3551="","",IFERROR(INDEX(Client_List!$D:$D,MATCH(VALUE(B3551),Client_List!$A:$A,0)),""))</f>
        <v/>
      </c>
      <c r="G3551" s="53">
        <f>IF(B3551="","",IFERROR(INDEX(Client_List!$K:$K,MATCH(VALUE(B3551),Client_List!$A:$A,0)),""))</f>
        <v/>
      </c>
      <c r="H3551" s="32">
        <f>IF(B3551="","",IFERROR(INDEX(Client_List!$J:$J,MATCH(VALUE(B3551),Client_List!$A:$A,0)),""))</f>
        <v/>
      </c>
      <c r="I3551" s="70">
        <f>IF(B3551="","",IFERROR(A3551-LOOKUP(2,1/($B$4:$B3550=B3551),$A$4:$A3550),""))</f>
        <v/>
      </c>
      <c r="J3551" s="32">
        <f>IF(B3551="","",IFERROR(D3551/I3551,""))</f>
        <v/>
      </c>
      <c r="K3551" s="71">
        <f>IF(B3551="","",IFERROR(AVERAGEIFS($J$4:$J3551,$B$4:$B3551,B3551,$J$4:$J3551,"&gt;"&amp;0),""))</f>
        <v/>
      </c>
      <c r="L3551" s="11" t="n"/>
    </row>
    <row r="3552" ht="14" customHeight="1" s="72">
      <c r="A3552" s="83" t="n"/>
      <c r="B3552" s="81" t="n"/>
      <c r="C3552" s="69">
        <f>IF(B3552="","",IFERROR(INDEX(Client_List!$B:$B,MATCH(B3552,Client_List!$A:$A,0)),"⚠ NOT FOUND"))</f>
        <v/>
      </c>
      <c r="D3552" s="45" t="n"/>
      <c r="E3552" s="32">
        <f>IF(B3552="","",IFERROR(INDEX(Client_List!$C:$C,MATCH(VALUE(B3552),Client_List!$A:$A,0)),""))</f>
        <v/>
      </c>
      <c r="F3552" s="53">
        <f>IF(B3552="","",IFERROR(INDEX(Client_List!$D:$D,MATCH(VALUE(B3552),Client_List!$A:$A,0)),""))</f>
        <v/>
      </c>
      <c r="G3552" s="53">
        <f>IF(B3552="","",IFERROR(INDEX(Client_List!$K:$K,MATCH(VALUE(B3552),Client_List!$A:$A,0)),""))</f>
        <v/>
      </c>
      <c r="H3552" s="32">
        <f>IF(B3552="","",IFERROR(INDEX(Client_List!$J:$J,MATCH(VALUE(B3552),Client_List!$A:$A,0)),""))</f>
        <v/>
      </c>
      <c r="I3552" s="70">
        <f>IF(B3552="","",IFERROR(A3552-LOOKUP(2,1/($B$4:$B3551=B3552),$A$4:$A3551),""))</f>
        <v/>
      </c>
      <c r="J3552" s="32">
        <f>IF(B3552="","",IFERROR(D3552/I3552,""))</f>
        <v/>
      </c>
      <c r="K3552" s="71">
        <f>IF(B3552="","",IFERROR(AVERAGEIFS($J$4:$J3552,$B$4:$B3552,B3552,$J$4:$J3552,"&gt;"&amp;0),""))</f>
        <v/>
      </c>
      <c r="L3552" s="12" t="n"/>
    </row>
    <row r="3553" ht="14" customHeight="1" s="72">
      <c r="A3553" s="82" t="n"/>
      <c r="B3553" s="79" t="n"/>
      <c r="C3553" s="69">
        <f>IF(B3553="","",IFERROR(INDEX(Client_List!$B:$B,MATCH(B3553,Client_List!$A:$A,0)),"⚠ NOT FOUND"))</f>
        <v/>
      </c>
      <c r="D3553" s="44" t="n"/>
      <c r="E3553" s="32">
        <f>IF(B3553="","",IFERROR(INDEX(Client_List!$C:$C,MATCH(VALUE(B3553),Client_List!$A:$A,0)),""))</f>
        <v/>
      </c>
      <c r="F3553" s="53">
        <f>IF(B3553="","",IFERROR(INDEX(Client_List!$D:$D,MATCH(VALUE(B3553),Client_List!$A:$A,0)),""))</f>
        <v/>
      </c>
      <c r="G3553" s="53">
        <f>IF(B3553="","",IFERROR(INDEX(Client_List!$K:$K,MATCH(VALUE(B3553),Client_List!$A:$A,0)),""))</f>
        <v/>
      </c>
      <c r="H3553" s="32">
        <f>IF(B3553="","",IFERROR(INDEX(Client_List!$J:$J,MATCH(VALUE(B3553),Client_List!$A:$A,0)),""))</f>
        <v/>
      </c>
      <c r="I3553" s="70">
        <f>IF(B3553="","",IFERROR(A3553-LOOKUP(2,1/($B$4:$B3552=B3553),$A$4:$A3552),""))</f>
        <v/>
      </c>
      <c r="J3553" s="32">
        <f>IF(B3553="","",IFERROR(D3553/I3553,""))</f>
        <v/>
      </c>
      <c r="K3553" s="71">
        <f>IF(B3553="","",IFERROR(AVERAGEIFS($J$4:$J3553,$B$4:$B3553,B3553,$J$4:$J3553,"&gt;"&amp;0),""))</f>
        <v/>
      </c>
      <c r="L3553" s="11" t="n"/>
    </row>
    <row r="3554" ht="14" customHeight="1" s="72">
      <c r="A3554" s="83" t="n"/>
      <c r="B3554" s="81" t="n"/>
      <c r="C3554" s="69">
        <f>IF(B3554="","",IFERROR(INDEX(Client_List!$B:$B,MATCH(B3554,Client_List!$A:$A,0)),"⚠ NOT FOUND"))</f>
        <v/>
      </c>
      <c r="D3554" s="45" t="n"/>
      <c r="E3554" s="32">
        <f>IF(B3554="","",IFERROR(INDEX(Client_List!$C:$C,MATCH(VALUE(B3554),Client_List!$A:$A,0)),""))</f>
        <v/>
      </c>
      <c r="F3554" s="53">
        <f>IF(B3554="","",IFERROR(INDEX(Client_List!$D:$D,MATCH(VALUE(B3554),Client_List!$A:$A,0)),""))</f>
        <v/>
      </c>
      <c r="G3554" s="53">
        <f>IF(B3554="","",IFERROR(INDEX(Client_List!$K:$K,MATCH(VALUE(B3554),Client_List!$A:$A,0)),""))</f>
        <v/>
      </c>
      <c r="H3554" s="32">
        <f>IF(B3554="","",IFERROR(INDEX(Client_List!$J:$J,MATCH(VALUE(B3554),Client_List!$A:$A,0)),""))</f>
        <v/>
      </c>
      <c r="I3554" s="70">
        <f>IF(B3554="","",IFERROR(A3554-LOOKUP(2,1/($B$4:$B3553=B3554),$A$4:$A3553),""))</f>
        <v/>
      </c>
      <c r="J3554" s="32">
        <f>IF(B3554="","",IFERROR(D3554/I3554,""))</f>
        <v/>
      </c>
      <c r="K3554" s="71">
        <f>IF(B3554="","",IFERROR(AVERAGEIFS($J$4:$J3554,$B$4:$B3554,B3554,$J$4:$J3554,"&gt;"&amp;0),""))</f>
        <v/>
      </c>
      <c r="L3554" s="12" t="n"/>
    </row>
    <row r="3555" ht="14" customHeight="1" s="72">
      <c r="A3555" s="82" t="n"/>
      <c r="B3555" s="79" t="n"/>
      <c r="C3555" s="69">
        <f>IF(B3555="","",IFERROR(INDEX(Client_List!$B:$B,MATCH(B3555,Client_List!$A:$A,0)),"⚠ NOT FOUND"))</f>
        <v/>
      </c>
      <c r="D3555" s="44" t="n"/>
      <c r="E3555" s="32">
        <f>IF(B3555="","",IFERROR(INDEX(Client_List!$C:$C,MATCH(VALUE(B3555),Client_List!$A:$A,0)),""))</f>
        <v/>
      </c>
      <c r="F3555" s="53">
        <f>IF(B3555="","",IFERROR(INDEX(Client_List!$D:$D,MATCH(VALUE(B3555),Client_List!$A:$A,0)),""))</f>
        <v/>
      </c>
      <c r="G3555" s="53">
        <f>IF(B3555="","",IFERROR(INDEX(Client_List!$K:$K,MATCH(VALUE(B3555),Client_List!$A:$A,0)),""))</f>
        <v/>
      </c>
      <c r="H3555" s="32">
        <f>IF(B3555="","",IFERROR(INDEX(Client_List!$J:$J,MATCH(VALUE(B3555),Client_List!$A:$A,0)),""))</f>
        <v/>
      </c>
      <c r="I3555" s="70">
        <f>IF(B3555="","",IFERROR(A3555-LOOKUP(2,1/($B$4:$B3554=B3555),$A$4:$A3554),""))</f>
        <v/>
      </c>
      <c r="J3555" s="32">
        <f>IF(B3555="","",IFERROR(D3555/I3555,""))</f>
        <v/>
      </c>
      <c r="K3555" s="71">
        <f>IF(B3555="","",IFERROR(AVERAGEIFS($J$4:$J3555,$B$4:$B3555,B3555,$J$4:$J3555,"&gt;"&amp;0),""))</f>
        <v/>
      </c>
      <c r="L3555" s="11" t="n"/>
    </row>
    <row r="3556" ht="14" customHeight="1" s="72">
      <c r="A3556" s="83" t="n"/>
      <c r="B3556" s="81" t="n"/>
      <c r="C3556" s="69">
        <f>IF(B3556="","",IFERROR(INDEX(Client_List!$B:$B,MATCH(B3556,Client_List!$A:$A,0)),"⚠ NOT FOUND"))</f>
        <v/>
      </c>
      <c r="D3556" s="45" t="n"/>
      <c r="E3556" s="32">
        <f>IF(B3556="","",IFERROR(INDEX(Client_List!$C:$C,MATCH(VALUE(B3556),Client_List!$A:$A,0)),""))</f>
        <v/>
      </c>
      <c r="F3556" s="53">
        <f>IF(B3556="","",IFERROR(INDEX(Client_List!$D:$D,MATCH(VALUE(B3556),Client_List!$A:$A,0)),""))</f>
        <v/>
      </c>
      <c r="G3556" s="53">
        <f>IF(B3556="","",IFERROR(INDEX(Client_List!$K:$K,MATCH(VALUE(B3556),Client_List!$A:$A,0)),""))</f>
        <v/>
      </c>
      <c r="H3556" s="32">
        <f>IF(B3556="","",IFERROR(INDEX(Client_List!$J:$J,MATCH(VALUE(B3556),Client_List!$A:$A,0)),""))</f>
        <v/>
      </c>
      <c r="I3556" s="70">
        <f>IF(B3556="","",IFERROR(A3556-LOOKUP(2,1/($B$4:$B3555=B3556),$A$4:$A3555),""))</f>
        <v/>
      </c>
      <c r="J3556" s="32">
        <f>IF(B3556="","",IFERROR(D3556/I3556,""))</f>
        <v/>
      </c>
      <c r="K3556" s="71">
        <f>IF(B3556="","",IFERROR(AVERAGEIFS($J$4:$J3556,$B$4:$B3556,B3556,$J$4:$J3556,"&gt;"&amp;0),""))</f>
        <v/>
      </c>
      <c r="L3556" s="12" t="n"/>
    </row>
    <row r="3557" ht="14" customHeight="1" s="72">
      <c r="A3557" s="82" t="n"/>
      <c r="B3557" s="79" t="n"/>
      <c r="C3557" s="69">
        <f>IF(B3557="","",IFERROR(INDEX(Client_List!$B:$B,MATCH(B3557,Client_List!$A:$A,0)),"⚠ NOT FOUND"))</f>
        <v/>
      </c>
      <c r="D3557" s="44" t="n"/>
      <c r="E3557" s="32">
        <f>IF(B3557="","",IFERROR(INDEX(Client_List!$C:$C,MATCH(VALUE(B3557),Client_List!$A:$A,0)),""))</f>
        <v/>
      </c>
      <c r="F3557" s="53">
        <f>IF(B3557="","",IFERROR(INDEX(Client_List!$D:$D,MATCH(VALUE(B3557),Client_List!$A:$A,0)),""))</f>
        <v/>
      </c>
      <c r="G3557" s="53">
        <f>IF(B3557="","",IFERROR(INDEX(Client_List!$K:$K,MATCH(VALUE(B3557),Client_List!$A:$A,0)),""))</f>
        <v/>
      </c>
      <c r="H3557" s="32">
        <f>IF(B3557="","",IFERROR(INDEX(Client_List!$J:$J,MATCH(VALUE(B3557),Client_List!$A:$A,0)),""))</f>
        <v/>
      </c>
      <c r="I3557" s="70">
        <f>IF(B3557="","",IFERROR(A3557-LOOKUP(2,1/($B$4:$B3556=B3557),$A$4:$A3556),""))</f>
        <v/>
      </c>
      <c r="J3557" s="32">
        <f>IF(B3557="","",IFERROR(D3557/I3557,""))</f>
        <v/>
      </c>
      <c r="K3557" s="71">
        <f>IF(B3557="","",IFERROR(AVERAGEIFS($J$4:$J3557,$B$4:$B3557,B3557,$J$4:$J3557,"&gt;"&amp;0),""))</f>
        <v/>
      </c>
      <c r="L3557" s="11" t="n"/>
    </row>
    <row r="3558" ht="14" customHeight="1" s="72">
      <c r="A3558" s="83" t="n"/>
      <c r="B3558" s="81" t="n"/>
      <c r="C3558" s="69">
        <f>IF(B3558="","",IFERROR(INDEX(Client_List!$B:$B,MATCH(B3558,Client_List!$A:$A,0)),"⚠ NOT FOUND"))</f>
        <v/>
      </c>
      <c r="D3558" s="45" t="n"/>
      <c r="E3558" s="32">
        <f>IF(B3558="","",IFERROR(INDEX(Client_List!$C:$C,MATCH(VALUE(B3558),Client_List!$A:$A,0)),""))</f>
        <v/>
      </c>
      <c r="F3558" s="53">
        <f>IF(B3558="","",IFERROR(INDEX(Client_List!$D:$D,MATCH(VALUE(B3558),Client_List!$A:$A,0)),""))</f>
        <v/>
      </c>
      <c r="G3558" s="53">
        <f>IF(B3558="","",IFERROR(INDEX(Client_List!$K:$K,MATCH(VALUE(B3558),Client_List!$A:$A,0)),""))</f>
        <v/>
      </c>
      <c r="H3558" s="32">
        <f>IF(B3558="","",IFERROR(INDEX(Client_List!$J:$J,MATCH(VALUE(B3558),Client_List!$A:$A,0)),""))</f>
        <v/>
      </c>
      <c r="I3558" s="70">
        <f>IF(B3558="","",IFERROR(A3558-LOOKUP(2,1/($B$4:$B3557=B3558),$A$4:$A3557),""))</f>
        <v/>
      </c>
      <c r="J3558" s="32">
        <f>IF(B3558="","",IFERROR(D3558/I3558,""))</f>
        <v/>
      </c>
      <c r="K3558" s="71">
        <f>IF(B3558="","",IFERROR(AVERAGEIFS($J$4:$J3558,$B$4:$B3558,B3558,$J$4:$J3558,"&gt;"&amp;0),""))</f>
        <v/>
      </c>
      <c r="L3558" s="12" t="n"/>
    </row>
    <row r="3559" ht="14" customHeight="1" s="72">
      <c r="A3559" s="82" t="n"/>
      <c r="B3559" s="79" t="n"/>
      <c r="C3559" s="69">
        <f>IF(B3559="","",IFERROR(INDEX(Client_List!$B:$B,MATCH(B3559,Client_List!$A:$A,0)),"⚠ NOT FOUND"))</f>
        <v/>
      </c>
      <c r="D3559" s="44" t="n"/>
      <c r="E3559" s="32">
        <f>IF(B3559="","",IFERROR(INDEX(Client_List!$C:$C,MATCH(VALUE(B3559),Client_List!$A:$A,0)),""))</f>
        <v/>
      </c>
      <c r="F3559" s="53">
        <f>IF(B3559="","",IFERROR(INDEX(Client_List!$D:$D,MATCH(VALUE(B3559),Client_List!$A:$A,0)),""))</f>
        <v/>
      </c>
      <c r="G3559" s="53">
        <f>IF(B3559="","",IFERROR(INDEX(Client_List!$K:$K,MATCH(VALUE(B3559),Client_List!$A:$A,0)),""))</f>
        <v/>
      </c>
      <c r="H3559" s="32">
        <f>IF(B3559="","",IFERROR(INDEX(Client_List!$J:$J,MATCH(VALUE(B3559),Client_List!$A:$A,0)),""))</f>
        <v/>
      </c>
      <c r="I3559" s="70">
        <f>IF(B3559="","",IFERROR(A3559-LOOKUP(2,1/($B$4:$B3558=B3559),$A$4:$A3558),""))</f>
        <v/>
      </c>
      <c r="J3559" s="32">
        <f>IF(B3559="","",IFERROR(D3559/I3559,""))</f>
        <v/>
      </c>
      <c r="K3559" s="71">
        <f>IF(B3559="","",IFERROR(AVERAGEIFS($J$4:$J3559,$B$4:$B3559,B3559,$J$4:$J3559,"&gt;"&amp;0),""))</f>
        <v/>
      </c>
      <c r="L3559" s="11" t="n"/>
    </row>
    <row r="3560" ht="14" customHeight="1" s="72">
      <c r="A3560" s="83" t="n"/>
      <c r="B3560" s="81" t="n"/>
      <c r="C3560" s="69">
        <f>IF(B3560="","",IFERROR(INDEX(Client_List!$B:$B,MATCH(B3560,Client_List!$A:$A,0)),"⚠ NOT FOUND"))</f>
        <v/>
      </c>
      <c r="D3560" s="45" t="n"/>
      <c r="E3560" s="32">
        <f>IF(B3560="","",IFERROR(INDEX(Client_List!$C:$C,MATCH(VALUE(B3560),Client_List!$A:$A,0)),""))</f>
        <v/>
      </c>
      <c r="F3560" s="53">
        <f>IF(B3560="","",IFERROR(INDEX(Client_List!$D:$D,MATCH(VALUE(B3560),Client_List!$A:$A,0)),""))</f>
        <v/>
      </c>
      <c r="G3560" s="53">
        <f>IF(B3560="","",IFERROR(INDEX(Client_List!$K:$K,MATCH(VALUE(B3560),Client_List!$A:$A,0)),""))</f>
        <v/>
      </c>
      <c r="H3560" s="32">
        <f>IF(B3560="","",IFERROR(INDEX(Client_List!$J:$J,MATCH(VALUE(B3560),Client_List!$A:$A,0)),""))</f>
        <v/>
      </c>
      <c r="I3560" s="70">
        <f>IF(B3560="","",IFERROR(A3560-LOOKUP(2,1/($B$4:$B3559=B3560),$A$4:$A3559),""))</f>
        <v/>
      </c>
      <c r="J3560" s="32">
        <f>IF(B3560="","",IFERROR(D3560/I3560,""))</f>
        <v/>
      </c>
      <c r="K3560" s="71">
        <f>IF(B3560="","",IFERROR(AVERAGEIFS($J$4:$J3560,$B$4:$B3560,B3560,$J$4:$J3560,"&gt;"&amp;0),""))</f>
        <v/>
      </c>
      <c r="L3560" s="12" t="n"/>
    </row>
    <row r="3561" ht="14" customHeight="1" s="72">
      <c r="A3561" s="82" t="n"/>
      <c r="B3561" s="79" t="n"/>
      <c r="C3561" s="69">
        <f>IF(B3561="","",IFERROR(INDEX(Client_List!$B:$B,MATCH(B3561,Client_List!$A:$A,0)),"⚠ NOT FOUND"))</f>
        <v/>
      </c>
      <c r="D3561" s="44" t="n"/>
      <c r="E3561" s="32">
        <f>IF(B3561="","",IFERROR(INDEX(Client_List!$C:$C,MATCH(VALUE(B3561),Client_List!$A:$A,0)),""))</f>
        <v/>
      </c>
      <c r="F3561" s="53">
        <f>IF(B3561="","",IFERROR(INDEX(Client_List!$D:$D,MATCH(VALUE(B3561),Client_List!$A:$A,0)),""))</f>
        <v/>
      </c>
      <c r="G3561" s="53">
        <f>IF(B3561="","",IFERROR(INDEX(Client_List!$K:$K,MATCH(VALUE(B3561),Client_List!$A:$A,0)),""))</f>
        <v/>
      </c>
      <c r="H3561" s="32">
        <f>IF(B3561="","",IFERROR(INDEX(Client_List!$J:$J,MATCH(VALUE(B3561),Client_List!$A:$A,0)),""))</f>
        <v/>
      </c>
      <c r="I3561" s="70">
        <f>IF(B3561="","",IFERROR(A3561-LOOKUP(2,1/($B$4:$B3560=B3561),$A$4:$A3560),""))</f>
        <v/>
      </c>
      <c r="J3561" s="32">
        <f>IF(B3561="","",IFERROR(D3561/I3561,""))</f>
        <v/>
      </c>
      <c r="K3561" s="71">
        <f>IF(B3561="","",IFERROR(AVERAGEIFS($J$4:$J3561,$B$4:$B3561,B3561,$J$4:$J3561,"&gt;"&amp;0),""))</f>
        <v/>
      </c>
      <c r="L3561" s="11" t="n"/>
    </row>
    <row r="3562" ht="14" customHeight="1" s="72">
      <c r="A3562" s="83" t="n"/>
      <c r="B3562" s="81" t="n"/>
      <c r="C3562" s="69">
        <f>IF(B3562="","",IFERROR(INDEX(Client_List!$B:$B,MATCH(B3562,Client_List!$A:$A,0)),"⚠ NOT FOUND"))</f>
        <v/>
      </c>
      <c r="D3562" s="45" t="n"/>
      <c r="E3562" s="32">
        <f>IF(B3562="","",IFERROR(INDEX(Client_List!$C:$C,MATCH(VALUE(B3562),Client_List!$A:$A,0)),""))</f>
        <v/>
      </c>
      <c r="F3562" s="53">
        <f>IF(B3562="","",IFERROR(INDEX(Client_List!$D:$D,MATCH(VALUE(B3562),Client_List!$A:$A,0)),""))</f>
        <v/>
      </c>
      <c r="G3562" s="53">
        <f>IF(B3562="","",IFERROR(INDEX(Client_List!$K:$K,MATCH(VALUE(B3562),Client_List!$A:$A,0)),""))</f>
        <v/>
      </c>
      <c r="H3562" s="32">
        <f>IF(B3562="","",IFERROR(INDEX(Client_List!$J:$J,MATCH(VALUE(B3562),Client_List!$A:$A,0)),""))</f>
        <v/>
      </c>
      <c r="I3562" s="70">
        <f>IF(B3562="","",IFERROR(A3562-LOOKUP(2,1/($B$4:$B3561=B3562),$A$4:$A3561),""))</f>
        <v/>
      </c>
      <c r="J3562" s="32">
        <f>IF(B3562="","",IFERROR(D3562/I3562,""))</f>
        <v/>
      </c>
      <c r="K3562" s="71">
        <f>IF(B3562="","",IFERROR(AVERAGEIFS($J$4:$J3562,$B$4:$B3562,B3562,$J$4:$J3562,"&gt;"&amp;0),""))</f>
        <v/>
      </c>
      <c r="L3562" s="12" t="n"/>
    </row>
    <row r="3563" ht="14" customHeight="1" s="72">
      <c r="A3563" s="82" t="n"/>
      <c r="B3563" s="79" t="n"/>
      <c r="C3563" s="69">
        <f>IF(B3563="","",IFERROR(INDEX(Client_List!$B:$B,MATCH(B3563,Client_List!$A:$A,0)),"⚠ NOT FOUND"))</f>
        <v/>
      </c>
      <c r="D3563" s="44" t="n"/>
      <c r="E3563" s="32">
        <f>IF(B3563="","",IFERROR(INDEX(Client_List!$C:$C,MATCH(VALUE(B3563),Client_List!$A:$A,0)),""))</f>
        <v/>
      </c>
      <c r="F3563" s="53">
        <f>IF(B3563="","",IFERROR(INDEX(Client_List!$D:$D,MATCH(VALUE(B3563),Client_List!$A:$A,0)),""))</f>
        <v/>
      </c>
      <c r="G3563" s="53">
        <f>IF(B3563="","",IFERROR(INDEX(Client_List!$K:$K,MATCH(VALUE(B3563),Client_List!$A:$A,0)),""))</f>
        <v/>
      </c>
      <c r="H3563" s="32">
        <f>IF(B3563="","",IFERROR(INDEX(Client_List!$J:$J,MATCH(VALUE(B3563),Client_List!$A:$A,0)),""))</f>
        <v/>
      </c>
      <c r="I3563" s="70">
        <f>IF(B3563="","",IFERROR(A3563-LOOKUP(2,1/($B$4:$B3562=B3563),$A$4:$A3562),""))</f>
        <v/>
      </c>
      <c r="J3563" s="32">
        <f>IF(B3563="","",IFERROR(D3563/I3563,""))</f>
        <v/>
      </c>
      <c r="K3563" s="71">
        <f>IF(B3563="","",IFERROR(AVERAGEIFS($J$4:$J3563,$B$4:$B3563,B3563,$J$4:$J3563,"&gt;"&amp;0),""))</f>
        <v/>
      </c>
      <c r="L3563" s="11" t="n"/>
    </row>
    <row r="3564" ht="14" customHeight="1" s="72">
      <c r="A3564" s="83" t="n"/>
      <c r="B3564" s="81" t="n"/>
      <c r="C3564" s="69">
        <f>IF(B3564="","",IFERROR(INDEX(Client_List!$B:$B,MATCH(B3564,Client_List!$A:$A,0)),"⚠ NOT FOUND"))</f>
        <v/>
      </c>
      <c r="D3564" s="45" t="n"/>
      <c r="E3564" s="32">
        <f>IF(B3564="","",IFERROR(INDEX(Client_List!$C:$C,MATCH(VALUE(B3564),Client_List!$A:$A,0)),""))</f>
        <v/>
      </c>
      <c r="F3564" s="53">
        <f>IF(B3564="","",IFERROR(INDEX(Client_List!$D:$D,MATCH(VALUE(B3564),Client_List!$A:$A,0)),""))</f>
        <v/>
      </c>
      <c r="G3564" s="53">
        <f>IF(B3564="","",IFERROR(INDEX(Client_List!$K:$K,MATCH(VALUE(B3564),Client_List!$A:$A,0)),""))</f>
        <v/>
      </c>
      <c r="H3564" s="32">
        <f>IF(B3564="","",IFERROR(INDEX(Client_List!$J:$J,MATCH(VALUE(B3564),Client_List!$A:$A,0)),""))</f>
        <v/>
      </c>
      <c r="I3564" s="70">
        <f>IF(B3564="","",IFERROR(A3564-LOOKUP(2,1/($B$4:$B3563=B3564),$A$4:$A3563),""))</f>
        <v/>
      </c>
      <c r="J3564" s="32">
        <f>IF(B3564="","",IFERROR(D3564/I3564,""))</f>
        <v/>
      </c>
      <c r="K3564" s="71">
        <f>IF(B3564="","",IFERROR(AVERAGEIFS($J$4:$J3564,$B$4:$B3564,B3564,$J$4:$J3564,"&gt;"&amp;0),""))</f>
        <v/>
      </c>
      <c r="L3564" s="12" t="n"/>
    </row>
    <row r="3565" ht="14" customHeight="1" s="72">
      <c r="A3565" s="82" t="n"/>
      <c r="B3565" s="79" t="n"/>
      <c r="C3565" s="69">
        <f>IF(B3565="","",IFERROR(INDEX(Client_List!$B:$B,MATCH(B3565,Client_List!$A:$A,0)),"⚠ NOT FOUND"))</f>
        <v/>
      </c>
      <c r="D3565" s="44" t="n"/>
      <c r="E3565" s="32">
        <f>IF(B3565="","",IFERROR(INDEX(Client_List!$C:$C,MATCH(VALUE(B3565),Client_List!$A:$A,0)),""))</f>
        <v/>
      </c>
      <c r="F3565" s="53">
        <f>IF(B3565="","",IFERROR(INDEX(Client_List!$D:$D,MATCH(VALUE(B3565),Client_List!$A:$A,0)),""))</f>
        <v/>
      </c>
      <c r="G3565" s="53">
        <f>IF(B3565="","",IFERROR(INDEX(Client_List!$K:$K,MATCH(VALUE(B3565),Client_List!$A:$A,0)),""))</f>
        <v/>
      </c>
      <c r="H3565" s="32">
        <f>IF(B3565="","",IFERROR(INDEX(Client_List!$J:$J,MATCH(VALUE(B3565),Client_List!$A:$A,0)),""))</f>
        <v/>
      </c>
      <c r="I3565" s="70">
        <f>IF(B3565="","",IFERROR(A3565-LOOKUP(2,1/($B$4:$B3564=B3565),$A$4:$A3564),""))</f>
        <v/>
      </c>
      <c r="J3565" s="32">
        <f>IF(B3565="","",IFERROR(D3565/I3565,""))</f>
        <v/>
      </c>
      <c r="K3565" s="71">
        <f>IF(B3565="","",IFERROR(AVERAGEIFS($J$4:$J3565,$B$4:$B3565,B3565,$J$4:$J3565,"&gt;"&amp;0),""))</f>
        <v/>
      </c>
      <c r="L3565" s="11" t="n"/>
    </row>
    <row r="3566" ht="14" customHeight="1" s="72">
      <c r="A3566" s="83" t="n"/>
      <c r="B3566" s="81" t="n"/>
      <c r="C3566" s="69">
        <f>IF(B3566="","",IFERROR(INDEX(Client_List!$B:$B,MATCH(B3566,Client_List!$A:$A,0)),"⚠ NOT FOUND"))</f>
        <v/>
      </c>
      <c r="D3566" s="45" t="n"/>
      <c r="E3566" s="32">
        <f>IF(B3566="","",IFERROR(INDEX(Client_List!$C:$C,MATCH(VALUE(B3566),Client_List!$A:$A,0)),""))</f>
        <v/>
      </c>
      <c r="F3566" s="53">
        <f>IF(B3566="","",IFERROR(INDEX(Client_List!$D:$D,MATCH(VALUE(B3566),Client_List!$A:$A,0)),""))</f>
        <v/>
      </c>
      <c r="G3566" s="53">
        <f>IF(B3566="","",IFERROR(INDEX(Client_List!$K:$K,MATCH(VALUE(B3566),Client_List!$A:$A,0)),""))</f>
        <v/>
      </c>
      <c r="H3566" s="32">
        <f>IF(B3566="","",IFERROR(INDEX(Client_List!$J:$J,MATCH(VALUE(B3566),Client_List!$A:$A,0)),""))</f>
        <v/>
      </c>
      <c r="I3566" s="70">
        <f>IF(B3566="","",IFERROR(A3566-LOOKUP(2,1/($B$4:$B3565=B3566),$A$4:$A3565),""))</f>
        <v/>
      </c>
      <c r="J3566" s="32">
        <f>IF(B3566="","",IFERROR(D3566/I3566,""))</f>
        <v/>
      </c>
      <c r="K3566" s="71">
        <f>IF(B3566="","",IFERROR(AVERAGEIFS($J$4:$J3566,$B$4:$B3566,B3566,$J$4:$J3566,"&gt;"&amp;0),""))</f>
        <v/>
      </c>
      <c r="L3566" s="12" t="n"/>
    </row>
    <row r="3567" ht="14" customHeight="1" s="72">
      <c r="A3567" s="82" t="n"/>
      <c r="B3567" s="79" t="n"/>
      <c r="C3567" s="69">
        <f>IF(B3567="","",IFERROR(INDEX(Client_List!$B:$B,MATCH(B3567,Client_List!$A:$A,0)),"⚠ NOT FOUND"))</f>
        <v/>
      </c>
      <c r="D3567" s="44" t="n"/>
      <c r="E3567" s="32">
        <f>IF(B3567="","",IFERROR(INDEX(Client_List!$C:$C,MATCH(VALUE(B3567),Client_List!$A:$A,0)),""))</f>
        <v/>
      </c>
      <c r="F3567" s="53">
        <f>IF(B3567="","",IFERROR(INDEX(Client_List!$D:$D,MATCH(VALUE(B3567),Client_List!$A:$A,0)),""))</f>
        <v/>
      </c>
      <c r="G3567" s="53">
        <f>IF(B3567="","",IFERROR(INDEX(Client_List!$K:$K,MATCH(VALUE(B3567),Client_List!$A:$A,0)),""))</f>
        <v/>
      </c>
      <c r="H3567" s="32">
        <f>IF(B3567="","",IFERROR(INDEX(Client_List!$J:$J,MATCH(VALUE(B3567),Client_List!$A:$A,0)),""))</f>
        <v/>
      </c>
      <c r="I3567" s="70">
        <f>IF(B3567="","",IFERROR(A3567-LOOKUP(2,1/($B$4:$B3566=B3567),$A$4:$A3566),""))</f>
        <v/>
      </c>
      <c r="J3567" s="32">
        <f>IF(B3567="","",IFERROR(D3567/I3567,""))</f>
        <v/>
      </c>
      <c r="K3567" s="71">
        <f>IF(B3567="","",IFERROR(AVERAGEIFS($J$4:$J3567,$B$4:$B3567,B3567,$J$4:$J3567,"&gt;"&amp;0),""))</f>
        <v/>
      </c>
      <c r="L3567" s="11" t="n"/>
    </row>
    <row r="3568" ht="14" customHeight="1" s="72">
      <c r="A3568" s="83" t="n"/>
      <c r="B3568" s="81" t="n"/>
      <c r="C3568" s="69">
        <f>IF(B3568="","",IFERROR(INDEX(Client_List!$B:$B,MATCH(B3568,Client_List!$A:$A,0)),"⚠ NOT FOUND"))</f>
        <v/>
      </c>
      <c r="D3568" s="45" t="n"/>
      <c r="E3568" s="32">
        <f>IF(B3568="","",IFERROR(INDEX(Client_List!$C:$C,MATCH(VALUE(B3568),Client_List!$A:$A,0)),""))</f>
        <v/>
      </c>
      <c r="F3568" s="53">
        <f>IF(B3568="","",IFERROR(INDEX(Client_List!$D:$D,MATCH(VALUE(B3568),Client_List!$A:$A,0)),""))</f>
        <v/>
      </c>
      <c r="G3568" s="53">
        <f>IF(B3568="","",IFERROR(INDEX(Client_List!$K:$K,MATCH(VALUE(B3568),Client_List!$A:$A,0)),""))</f>
        <v/>
      </c>
      <c r="H3568" s="32">
        <f>IF(B3568="","",IFERROR(INDEX(Client_List!$J:$J,MATCH(VALUE(B3568),Client_List!$A:$A,0)),""))</f>
        <v/>
      </c>
      <c r="I3568" s="70">
        <f>IF(B3568="","",IFERROR(A3568-LOOKUP(2,1/($B$4:$B3567=B3568),$A$4:$A3567),""))</f>
        <v/>
      </c>
      <c r="J3568" s="32">
        <f>IF(B3568="","",IFERROR(D3568/I3568,""))</f>
        <v/>
      </c>
      <c r="K3568" s="71">
        <f>IF(B3568="","",IFERROR(AVERAGEIFS($J$4:$J3568,$B$4:$B3568,B3568,$J$4:$J3568,"&gt;"&amp;0),""))</f>
        <v/>
      </c>
      <c r="L3568" s="12" t="n"/>
    </row>
    <row r="3569" ht="14" customHeight="1" s="72">
      <c r="A3569" s="82" t="n"/>
      <c r="B3569" s="79" t="n"/>
      <c r="C3569" s="69">
        <f>IF(B3569="","",IFERROR(INDEX(Client_List!$B:$B,MATCH(B3569,Client_List!$A:$A,0)),"⚠ NOT FOUND"))</f>
        <v/>
      </c>
      <c r="D3569" s="44" t="n"/>
      <c r="E3569" s="32">
        <f>IF(B3569="","",IFERROR(INDEX(Client_List!$C:$C,MATCH(VALUE(B3569),Client_List!$A:$A,0)),""))</f>
        <v/>
      </c>
      <c r="F3569" s="53">
        <f>IF(B3569="","",IFERROR(INDEX(Client_List!$D:$D,MATCH(VALUE(B3569),Client_List!$A:$A,0)),""))</f>
        <v/>
      </c>
      <c r="G3569" s="53">
        <f>IF(B3569="","",IFERROR(INDEX(Client_List!$K:$K,MATCH(VALUE(B3569),Client_List!$A:$A,0)),""))</f>
        <v/>
      </c>
      <c r="H3569" s="32">
        <f>IF(B3569="","",IFERROR(INDEX(Client_List!$J:$J,MATCH(VALUE(B3569),Client_List!$A:$A,0)),""))</f>
        <v/>
      </c>
      <c r="I3569" s="70">
        <f>IF(B3569="","",IFERROR(A3569-LOOKUP(2,1/($B$4:$B3568=B3569),$A$4:$A3568),""))</f>
        <v/>
      </c>
      <c r="J3569" s="32">
        <f>IF(B3569="","",IFERROR(D3569/I3569,""))</f>
        <v/>
      </c>
      <c r="K3569" s="71">
        <f>IF(B3569="","",IFERROR(AVERAGEIFS($J$4:$J3569,$B$4:$B3569,B3569,$J$4:$J3569,"&gt;"&amp;0),""))</f>
        <v/>
      </c>
      <c r="L3569" s="11" t="n"/>
    </row>
    <row r="3570" ht="14" customHeight="1" s="72">
      <c r="A3570" s="83" t="n"/>
      <c r="B3570" s="81" t="n"/>
      <c r="C3570" s="69">
        <f>IF(B3570="","",IFERROR(INDEX(Client_List!$B:$B,MATCH(B3570,Client_List!$A:$A,0)),"⚠ NOT FOUND"))</f>
        <v/>
      </c>
      <c r="D3570" s="45" t="n"/>
      <c r="E3570" s="32">
        <f>IF(B3570="","",IFERROR(INDEX(Client_List!$C:$C,MATCH(VALUE(B3570),Client_List!$A:$A,0)),""))</f>
        <v/>
      </c>
      <c r="F3570" s="53">
        <f>IF(B3570="","",IFERROR(INDEX(Client_List!$D:$D,MATCH(VALUE(B3570),Client_List!$A:$A,0)),""))</f>
        <v/>
      </c>
      <c r="G3570" s="53">
        <f>IF(B3570="","",IFERROR(INDEX(Client_List!$K:$K,MATCH(VALUE(B3570),Client_List!$A:$A,0)),""))</f>
        <v/>
      </c>
      <c r="H3570" s="32">
        <f>IF(B3570="","",IFERROR(INDEX(Client_List!$J:$J,MATCH(VALUE(B3570),Client_List!$A:$A,0)),""))</f>
        <v/>
      </c>
      <c r="I3570" s="70">
        <f>IF(B3570="","",IFERROR(A3570-LOOKUP(2,1/($B$4:$B3569=B3570),$A$4:$A3569),""))</f>
        <v/>
      </c>
      <c r="J3570" s="32">
        <f>IF(B3570="","",IFERROR(D3570/I3570,""))</f>
        <v/>
      </c>
      <c r="K3570" s="71">
        <f>IF(B3570="","",IFERROR(AVERAGEIFS($J$4:$J3570,$B$4:$B3570,B3570,$J$4:$J3570,"&gt;"&amp;0),""))</f>
        <v/>
      </c>
      <c r="L3570" s="12" t="n"/>
    </row>
    <row r="3571" ht="14" customHeight="1" s="72">
      <c r="A3571" s="82" t="n"/>
      <c r="B3571" s="79" t="n"/>
      <c r="C3571" s="69">
        <f>IF(B3571="","",IFERROR(INDEX(Client_List!$B:$B,MATCH(B3571,Client_List!$A:$A,0)),"⚠ NOT FOUND"))</f>
        <v/>
      </c>
      <c r="D3571" s="44" t="n"/>
      <c r="E3571" s="32">
        <f>IF(B3571="","",IFERROR(INDEX(Client_List!$C:$C,MATCH(VALUE(B3571),Client_List!$A:$A,0)),""))</f>
        <v/>
      </c>
      <c r="F3571" s="53">
        <f>IF(B3571="","",IFERROR(INDEX(Client_List!$D:$D,MATCH(VALUE(B3571),Client_List!$A:$A,0)),""))</f>
        <v/>
      </c>
      <c r="G3571" s="53">
        <f>IF(B3571="","",IFERROR(INDEX(Client_List!$K:$K,MATCH(VALUE(B3571),Client_List!$A:$A,0)),""))</f>
        <v/>
      </c>
      <c r="H3571" s="32">
        <f>IF(B3571="","",IFERROR(INDEX(Client_List!$J:$J,MATCH(VALUE(B3571),Client_List!$A:$A,0)),""))</f>
        <v/>
      </c>
      <c r="I3571" s="70">
        <f>IF(B3571="","",IFERROR(A3571-LOOKUP(2,1/($B$4:$B3570=B3571),$A$4:$A3570),""))</f>
        <v/>
      </c>
      <c r="J3571" s="32">
        <f>IF(B3571="","",IFERROR(D3571/I3571,""))</f>
        <v/>
      </c>
      <c r="K3571" s="71">
        <f>IF(B3571="","",IFERROR(AVERAGEIFS($J$4:$J3571,$B$4:$B3571,B3571,$J$4:$J3571,"&gt;"&amp;0),""))</f>
        <v/>
      </c>
      <c r="L3571" s="11" t="n"/>
    </row>
    <row r="3572" ht="14" customHeight="1" s="72">
      <c r="A3572" s="83" t="n"/>
      <c r="B3572" s="81" t="n"/>
      <c r="C3572" s="69">
        <f>IF(B3572="","",IFERROR(INDEX(Client_List!$B:$B,MATCH(B3572,Client_List!$A:$A,0)),"⚠ NOT FOUND"))</f>
        <v/>
      </c>
      <c r="D3572" s="45" t="n"/>
      <c r="E3572" s="32">
        <f>IF(B3572="","",IFERROR(INDEX(Client_List!$C:$C,MATCH(VALUE(B3572),Client_List!$A:$A,0)),""))</f>
        <v/>
      </c>
      <c r="F3572" s="53">
        <f>IF(B3572="","",IFERROR(INDEX(Client_List!$D:$D,MATCH(VALUE(B3572),Client_List!$A:$A,0)),""))</f>
        <v/>
      </c>
      <c r="G3572" s="53">
        <f>IF(B3572="","",IFERROR(INDEX(Client_List!$K:$K,MATCH(VALUE(B3572),Client_List!$A:$A,0)),""))</f>
        <v/>
      </c>
      <c r="H3572" s="32">
        <f>IF(B3572="","",IFERROR(INDEX(Client_List!$J:$J,MATCH(VALUE(B3572),Client_List!$A:$A,0)),""))</f>
        <v/>
      </c>
      <c r="I3572" s="70">
        <f>IF(B3572="","",IFERROR(A3572-LOOKUP(2,1/($B$4:$B3571=B3572),$A$4:$A3571),""))</f>
        <v/>
      </c>
      <c r="J3572" s="32">
        <f>IF(B3572="","",IFERROR(D3572/I3572,""))</f>
        <v/>
      </c>
      <c r="K3572" s="71">
        <f>IF(B3572="","",IFERROR(AVERAGEIFS($J$4:$J3572,$B$4:$B3572,B3572,$J$4:$J3572,"&gt;"&amp;0),""))</f>
        <v/>
      </c>
      <c r="L3572" s="12" t="n"/>
    </row>
    <row r="3573" ht="14" customHeight="1" s="72">
      <c r="A3573" s="82" t="n"/>
      <c r="B3573" s="79" t="n"/>
      <c r="C3573" s="69">
        <f>IF(B3573="","",IFERROR(INDEX(Client_List!$B:$B,MATCH(B3573,Client_List!$A:$A,0)),"⚠ NOT FOUND"))</f>
        <v/>
      </c>
      <c r="D3573" s="44" t="n"/>
      <c r="E3573" s="32">
        <f>IF(B3573="","",IFERROR(INDEX(Client_List!$C:$C,MATCH(VALUE(B3573),Client_List!$A:$A,0)),""))</f>
        <v/>
      </c>
      <c r="F3573" s="53">
        <f>IF(B3573="","",IFERROR(INDEX(Client_List!$D:$D,MATCH(VALUE(B3573),Client_List!$A:$A,0)),""))</f>
        <v/>
      </c>
      <c r="G3573" s="53">
        <f>IF(B3573="","",IFERROR(INDEX(Client_List!$K:$K,MATCH(VALUE(B3573),Client_List!$A:$A,0)),""))</f>
        <v/>
      </c>
      <c r="H3573" s="32">
        <f>IF(B3573="","",IFERROR(INDEX(Client_List!$J:$J,MATCH(VALUE(B3573),Client_List!$A:$A,0)),""))</f>
        <v/>
      </c>
      <c r="I3573" s="70">
        <f>IF(B3573="","",IFERROR(A3573-LOOKUP(2,1/($B$4:$B3572=B3573),$A$4:$A3572),""))</f>
        <v/>
      </c>
      <c r="J3573" s="32">
        <f>IF(B3573="","",IFERROR(D3573/I3573,""))</f>
        <v/>
      </c>
      <c r="K3573" s="71">
        <f>IF(B3573="","",IFERROR(AVERAGEIFS($J$4:$J3573,$B$4:$B3573,B3573,$J$4:$J3573,"&gt;"&amp;0),""))</f>
        <v/>
      </c>
      <c r="L3573" s="11" t="n"/>
    </row>
    <row r="3574" ht="14" customHeight="1" s="72">
      <c r="A3574" s="83" t="n"/>
      <c r="B3574" s="81" t="n"/>
      <c r="C3574" s="69">
        <f>IF(B3574="","",IFERROR(INDEX(Client_List!$B:$B,MATCH(B3574,Client_List!$A:$A,0)),"⚠ NOT FOUND"))</f>
        <v/>
      </c>
      <c r="D3574" s="45" t="n"/>
      <c r="E3574" s="32">
        <f>IF(B3574="","",IFERROR(INDEX(Client_List!$C:$C,MATCH(VALUE(B3574),Client_List!$A:$A,0)),""))</f>
        <v/>
      </c>
      <c r="F3574" s="53">
        <f>IF(B3574="","",IFERROR(INDEX(Client_List!$D:$D,MATCH(VALUE(B3574),Client_List!$A:$A,0)),""))</f>
        <v/>
      </c>
      <c r="G3574" s="53">
        <f>IF(B3574="","",IFERROR(INDEX(Client_List!$K:$K,MATCH(VALUE(B3574),Client_List!$A:$A,0)),""))</f>
        <v/>
      </c>
      <c r="H3574" s="32">
        <f>IF(B3574="","",IFERROR(INDEX(Client_List!$J:$J,MATCH(VALUE(B3574),Client_List!$A:$A,0)),""))</f>
        <v/>
      </c>
      <c r="I3574" s="70">
        <f>IF(B3574="","",IFERROR(A3574-LOOKUP(2,1/($B$4:$B3573=B3574),$A$4:$A3573),""))</f>
        <v/>
      </c>
      <c r="J3574" s="32">
        <f>IF(B3574="","",IFERROR(D3574/I3574,""))</f>
        <v/>
      </c>
      <c r="K3574" s="71">
        <f>IF(B3574="","",IFERROR(AVERAGEIFS($J$4:$J3574,$B$4:$B3574,B3574,$J$4:$J3574,"&gt;"&amp;0),""))</f>
        <v/>
      </c>
      <c r="L3574" s="12" t="n"/>
    </row>
    <row r="3575" ht="14" customHeight="1" s="72">
      <c r="A3575" s="82" t="n"/>
      <c r="B3575" s="79" t="n"/>
      <c r="C3575" s="69">
        <f>IF(B3575="","",IFERROR(INDEX(Client_List!$B:$B,MATCH(B3575,Client_List!$A:$A,0)),"⚠ NOT FOUND"))</f>
        <v/>
      </c>
      <c r="D3575" s="44" t="n"/>
      <c r="E3575" s="32">
        <f>IF(B3575="","",IFERROR(INDEX(Client_List!$C:$C,MATCH(VALUE(B3575),Client_List!$A:$A,0)),""))</f>
        <v/>
      </c>
      <c r="F3575" s="53">
        <f>IF(B3575="","",IFERROR(INDEX(Client_List!$D:$D,MATCH(VALUE(B3575),Client_List!$A:$A,0)),""))</f>
        <v/>
      </c>
      <c r="G3575" s="53">
        <f>IF(B3575="","",IFERROR(INDEX(Client_List!$K:$K,MATCH(VALUE(B3575),Client_List!$A:$A,0)),""))</f>
        <v/>
      </c>
      <c r="H3575" s="32">
        <f>IF(B3575="","",IFERROR(INDEX(Client_List!$J:$J,MATCH(VALUE(B3575),Client_List!$A:$A,0)),""))</f>
        <v/>
      </c>
      <c r="I3575" s="70">
        <f>IF(B3575="","",IFERROR(A3575-LOOKUP(2,1/($B$4:$B3574=B3575),$A$4:$A3574),""))</f>
        <v/>
      </c>
      <c r="J3575" s="32">
        <f>IF(B3575="","",IFERROR(D3575/I3575,""))</f>
        <v/>
      </c>
      <c r="K3575" s="71">
        <f>IF(B3575="","",IFERROR(AVERAGEIFS($J$4:$J3575,$B$4:$B3575,B3575,$J$4:$J3575,"&gt;"&amp;0),""))</f>
        <v/>
      </c>
      <c r="L3575" s="11" t="n"/>
    </row>
    <row r="3576" ht="14" customHeight="1" s="72">
      <c r="A3576" s="83" t="n"/>
      <c r="B3576" s="81" t="n"/>
      <c r="C3576" s="69">
        <f>IF(B3576="","",IFERROR(INDEX(Client_List!$B:$B,MATCH(B3576,Client_List!$A:$A,0)),"⚠ NOT FOUND"))</f>
        <v/>
      </c>
      <c r="D3576" s="45" t="n"/>
      <c r="E3576" s="32">
        <f>IF(B3576="","",IFERROR(INDEX(Client_List!$C:$C,MATCH(VALUE(B3576),Client_List!$A:$A,0)),""))</f>
        <v/>
      </c>
      <c r="F3576" s="53">
        <f>IF(B3576="","",IFERROR(INDEX(Client_List!$D:$D,MATCH(VALUE(B3576),Client_List!$A:$A,0)),""))</f>
        <v/>
      </c>
      <c r="G3576" s="53">
        <f>IF(B3576="","",IFERROR(INDEX(Client_List!$K:$K,MATCH(VALUE(B3576),Client_List!$A:$A,0)),""))</f>
        <v/>
      </c>
      <c r="H3576" s="32">
        <f>IF(B3576="","",IFERROR(INDEX(Client_List!$J:$J,MATCH(VALUE(B3576),Client_List!$A:$A,0)),""))</f>
        <v/>
      </c>
      <c r="I3576" s="70">
        <f>IF(B3576="","",IFERROR(A3576-LOOKUP(2,1/($B$4:$B3575=B3576),$A$4:$A3575),""))</f>
        <v/>
      </c>
      <c r="J3576" s="32">
        <f>IF(B3576="","",IFERROR(D3576/I3576,""))</f>
        <v/>
      </c>
      <c r="K3576" s="71">
        <f>IF(B3576="","",IFERROR(AVERAGEIFS($J$4:$J3576,$B$4:$B3576,B3576,$J$4:$J3576,"&gt;"&amp;0),""))</f>
        <v/>
      </c>
      <c r="L3576" s="12" t="n"/>
    </row>
    <row r="3577" ht="14" customHeight="1" s="72">
      <c r="A3577" s="82" t="n"/>
      <c r="B3577" s="79" t="n"/>
      <c r="C3577" s="69">
        <f>IF(B3577="","",IFERROR(INDEX(Client_List!$B:$B,MATCH(B3577,Client_List!$A:$A,0)),"⚠ NOT FOUND"))</f>
        <v/>
      </c>
      <c r="D3577" s="44" t="n"/>
      <c r="E3577" s="32">
        <f>IF(B3577="","",IFERROR(INDEX(Client_List!$C:$C,MATCH(VALUE(B3577),Client_List!$A:$A,0)),""))</f>
        <v/>
      </c>
      <c r="F3577" s="53">
        <f>IF(B3577="","",IFERROR(INDEX(Client_List!$D:$D,MATCH(VALUE(B3577),Client_List!$A:$A,0)),""))</f>
        <v/>
      </c>
      <c r="G3577" s="53">
        <f>IF(B3577="","",IFERROR(INDEX(Client_List!$K:$K,MATCH(VALUE(B3577),Client_List!$A:$A,0)),""))</f>
        <v/>
      </c>
      <c r="H3577" s="32">
        <f>IF(B3577="","",IFERROR(INDEX(Client_List!$J:$J,MATCH(VALUE(B3577),Client_List!$A:$A,0)),""))</f>
        <v/>
      </c>
      <c r="I3577" s="70">
        <f>IF(B3577="","",IFERROR(A3577-LOOKUP(2,1/($B$4:$B3576=B3577),$A$4:$A3576),""))</f>
        <v/>
      </c>
      <c r="J3577" s="32">
        <f>IF(B3577="","",IFERROR(D3577/I3577,""))</f>
        <v/>
      </c>
      <c r="K3577" s="71">
        <f>IF(B3577="","",IFERROR(AVERAGEIFS($J$4:$J3577,$B$4:$B3577,B3577,$J$4:$J3577,"&gt;"&amp;0),""))</f>
        <v/>
      </c>
      <c r="L3577" s="11" t="n"/>
    </row>
    <row r="3578" ht="14" customHeight="1" s="72">
      <c r="A3578" s="83" t="n"/>
      <c r="B3578" s="81" t="n"/>
      <c r="C3578" s="69">
        <f>IF(B3578="","",IFERROR(INDEX(Client_List!$B:$B,MATCH(B3578,Client_List!$A:$A,0)),"⚠ NOT FOUND"))</f>
        <v/>
      </c>
      <c r="D3578" s="45" t="n"/>
      <c r="E3578" s="32">
        <f>IF(B3578="","",IFERROR(INDEX(Client_List!$C:$C,MATCH(VALUE(B3578),Client_List!$A:$A,0)),""))</f>
        <v/>
      </c>
      <c r="F3578" s="53">
        <f>IF(B3578="","",IFERROR(INDEX(Client_List!$D:$D,MATCH(VALUE(B3578),Client_List!$A:$A,0)),""))</f>
        <v/>
      </c>
      <c r="G3578" s="53">
        <f>IF(B3578="","",IFERROR(INDEX(Client_List!$K:$K,MATCH(VALUE(B3578),Client_List!$A:$A,0)),""))</f>
        <v/>
      </c>
      <c r="H3578" s="32">
        <f>IF(B3578="","",IFERROR(INDEX(Client_List!$J:$J,MATCH(VALUE(B3578),Client_List!$A:$A,0)),""))</f>
        <v/>
      </c>
      <c r="I3578" s="70">
        <f>IF(B3578="","",IFERROR(A3578-LOOKUP(2,1/($B$4:$B3577=B3578),$A$4:$A3577),""))</f>
        <v/>
      </c>
      <c r="J3578" s="32">
        <f>IF(B3578="","",IFERROR(D3578/I3578,""))</f>
        <v/>
      </c>
      <c r="K3578" s="71">
        <f>IF(B3578="","",IFERROR(AVERAGEIFS($J$4:$J3578,$B$4:$B3578,B3578,$J$4:$J3578,"&gt;"&amp;0),""))</f>
        <v/>
      </c>
      <c r="L3578" s="12" t="n"/>
    </row>
    <row r="3579" ht="14" customHeight="1" s="72">
      <c r="A3579" s="82" t="n"/>
      <c r="B3579" s="79" t="n"/>
      <c r="C3579" s="69">
        <f>IF(B3579="","",IFERROR(INDEX(Client_List!$B:$B,MATCH(B3579,Client_List!$A:$A,0)),"⚠ NOT FOUND"))</f>
        <v/>
      </c>
      <c r="D3579" s="44" t="n"/>
      <c r="E3579" s="32">
        <f>IF(B3579="","",IFERROR(INDEX(Client_List!$C:$C,MATCH(VALUE(B3579),Client_List!$A:$A,0)),""))</f>
        <v/>
      </c>
      <c r="F3579" s="53">
        <f>IF(B3579="","",IFERROR(INDEX(Client_List!$D:$D,MATCH(VALUE(B3579),Client_List!$A:$A,0)),""))</f>
        <v/>
      </c>
      <c r="G3579" s="53">
        <f>IF(B3579="","",IFERROR(INDEX(Client_List!$K:$K,MATCH(VALUE(B3579),Client_List!$A:$A,0)),""))</f>
        <v/>
      </c>
      <c r="H3579" s="32">
        <f>IF(B3579="","",IFERROR(INDEX(Client_List!$J:$J,MATCH(VALUE(B3579),Client_List!$A:$A,0)),""))</f>
        <v/>
      </c>
      <c r="I3579" s="70">
        <f>IF(B3579="","",IFERROR(A3579-LOOKUP(2,1/($B$4:$B3578=B3579),$A$4:$A3578),""))</f>
        <v/>
      </c>
      <c r="J3579" s="32">
        <f>IF(B3579="","",IFERROR(D3579/I3579,""))</f>
        <v/>
      </c>
      <c r="K3579" s="71">
        <f>IF(B3579="","",IFERROR(AVERAGEIFS($J$4:$J3579,$B$4:$B3579,B3579,$J$4:$J3579,"&gt;"&amp;0),""))</f>
        <v/>
      </c>
      <c r="L3579" s="11" t="n"/>
    </row>
    <row r="3580" ht="14" customHeight="1" s="72">
      <c r="A3580" s="83" t="n"/>
      <c r="B3580" s="81" t="n"/>
      <c r="C3580" s="69">
        <f>IF(B3580="","",IFERROR(INDEX(Client_List!$B:$B,MATCH(B3580,Client_List!$A:$A,0)),"⚠ NOT FOUND"))</f>
        <v/>
      </c>
      <c r="D3580" s="45" t="n"/>
      <c r="E3580" s="32">
        <f>IF(B3580="","",IFERROR(INDEX(Client_List!$C:$C,MATCH(VALUE(B3580),Client_List!$A:$A,0)),""))</f>
        <v/>
      </c>
      <c r="F3580" s="53">
        <f>IF(B3580="","",IFERROR(INDEX(Client_List!$D:$D,MATCH(VALUE(B3580),Client_List!$A:$A,0)),""))</f>
        <v/>
      </c>
      <c r="G3580" s="53">
        <f>IF(B3580="","",IFERROR(INDEX(Client_List!$K:$K,MATCH(VALUE(B3580),Client_List!$A:$A,0)),""))</f>
        <v/>
      </c>
      <c r="H3580" s="32">
        <f>IF(B3580="","",IFERROR(INDEX(Client_List!$J:$J,MATCH(VALUE(B3580),Client_List!$A:$A,0)),""))</f>
        <v/>
      </c>
      <c r="I3580" s="70">
        <f>IF(B3580="","",IFERROR(A3580-LOOKUP(2,1/($B$4:$B3579=B3580),$A$4:$A3579),""))</f>
        <v/>
      </c>
      <c r="J3580" s="32">
        <f>IF(B3580="","",IFERROR(D3580/I3580,""))</f>
        <v/>
      </c>
      <c r="K3580" s="71">
        <f>IF(B3580="","",IFERROR(AVERAGEIFS($J$4:$J3580,$B$4:$B3580,B3580,$J$4:$J3580,"&gt;"&amp;0),""))</f>
        <v/>
      </c>
      <c r="L3580" s="12" t="n"/>
    </row>
    <row r="3581" ht="14" customHeight="1" s="72">
      <c r="A3581" s="82" t="n"/>
      <c r="B3581" s="79" t="n"/>
      <c r="C3581" s="69">
        <f>IF(B3581="","",IFERROR(INDEX(Client_List!$B:$B,MATCH(B3581,Client_List!$A:$A,0)),"⚠ NOT FOUND"))</f>
        <v/>
      </c>
      <c r="D3581" s="44" t="n"/>
      <c r="E3581" s="32">
        <f>IF(B3581="","",IFERROR(INDEX(Client_List!$C:$C,MATCH(VALUE(B3581),Client_List!$A:$A,0)),""))</f>
        <v/>
      </c>
      <c r="F3581" s="53">
        <f>IF(B3581="","",IFERROR(INDEX(Client_List!$D:$D,MATCH(VALUE(B3581),Client_List!$A:$A,0)),""))</f>
        <v/>
      </c>
      <c r="G3581" s="53">
        <f>IF(B3581="","",IFERROR(INDEX(Client_List!$K:$K,MATCH(VALUE(B3581),Client_List!$A:$A,0)),""))</f>
        <v/>
      </c>
      <c r="H3581" s="32">
        <f>IF(B3581="","",IFERROR(INDEX(Client_List!$J:$J,MATCH(VALUE(B3581),Client_List!$A:$A,0)),""))</f>
        <v/>
      </c>
      <c r="I3581" s="70">
        <f>IF(B3581="","",IFERROR(A3581-LOOKUP(2,1/($B$4:$B3580=B3581),$A$4:$A3580),""))</f>
        <v/>
      </c>
      <c r="J3581" s="32">
        <f>IF(B3581="","",IFERROR(D3581/I3581,""))</f>
        <v/>
      </c>
      <c r="K3581" s="71">
        <f>IF(B3581="","",IFERROR(AVERAGEIFS($J$4:$J3581,$B$4:$B3581,B3581,$J$4:$J3581,"&gt;"&amp;0),""))</f>
        <v/>
      </c>
      <c r="L3581" s="11" t="n"/>
    </row>
    <row r="3582" ht="14" customHeight="1" s="72">
      <c r="A3582" s="83" t="n"/>
      <c r="B3582" s="81" t="n"/>
      <c r="C3582" s="69">
        <f>IF(B3582="","",IFERROR(INDEX(Client_List!$B:$B,MATCH(B3582,Client_List!$A:$A,0)),"⚠ NOT FOUND"))</f>
        <v/>
      </c>
      <c r="D3582" s="45" t="n"/>
      <c r="E3582" s="32">
        <f>IF(B3582="","",IFERROR(INDEX(Client_List!$C:$C,MATCH(VALUE(B3582),Client_List!$A:$A,0)),""))</f>
        <v/>
      </c>
      <c r="F3582" s="53">
        <f>IF(B3582="","",IFERROR(INDEX(Client_List!$D:$D,MATCH(VALUE(B3582),Client_List!$A:$A,0)),""))</f>
        <v/>
      </c>
      <c r="G3582" s="53">
        <f>IF(B3582="","",IFERROR(INDEX(Client_List!$K:$K,MATCH(VALUE(B3582),Client_List!$A:$A,0)),""))</f>
        <v/>
      </c>
      <c r="H3582" s="32">
        <f>IF(B3582="","",IFERROR(INDEX(Client_List!$J:$J,MATCH(VALUE(B3582),Client_List!$A:$A,0)),""))</f>
        <v/>
      </c>
      <c r="I3582" s="70">
        <f>IF(B3582="","",IFERROR(A3582-LOOKUP(2,1/($B$4:$B3581=B3582),$A$4:$A3581),""))</f>
        <v/>
      </c>
      <c r="J3582" s="32">
        <f>IF(B3582="","",IFERROR(D3582/I3582,""))</f>
        <v/>
      </c>
      <c r="K3582" s="71">
        <f>IF(B3582="","",IFERROR(AVERAGEIFS($J$4:$J3582,$B$4:$B3582,B3582,$J$4:$J3582,"&gt;"&amp;0),""))</f>
        <v/>
      </c>
      <c r="L3582" s="12" t="n"/>
    </row>
    <row r="3583" ht="14" customHeight="1" s="72">
      <c r="A3583" s="82" t="n"/>
      <c r="B3583" s="79" t="n"/>
      <c r="C3583" s="69">
        <f>IF(B3583="","",IFERROR(INDEX(Client_List!$B:$B,MATCH(B3583,Client_List!$A:$A,0)),"⚠ NOT FOUND"))</f>
        <v/>
      </c>
      <c r="D3583" s="44" t="n"/>
      <c r="E3583" s="32">
        <f>IF(B3583="","",IFERROR(INDEX(Client_List!$C:$C,MATCH(VALUE(B3583),Client_List!$A:$A,0)),""))</f>
        <v/>
      </c>
      <c r="F3583" s="53">
        <f>IF(B3583="","",IFERROR(INDEX(Client_List!$D:$D,MATCH(VALUE(B3583),Client_List!$A:$A,0)),""))</f>
        <v/>
      </c>
      <c r="G3583" s="53">
        <f>IF(B3583="","",IFERROR(INDEX(Client_List!$K:$K,MATCH(VALUE(B3583),Client_List!$A:$A,0)),""))</f>
        <v/>
      </c>
      <c r="H3583" s="32">
        <f>IF(B3583="","",IFERROR(INDEX(Client_List!$J:$J,MATCH(VALUE(B3583),Client_List!$A:$A,0)),""))</f>
        <v/>
      </c>
      <c r="I3583" s="70">
        <f>IF(B3583="","",IFERROR(A3583-LOOKUP(2,1/($B$4:$B3582=B3583),$A$4:$A3582),""))</f>
        <v/>
      </c>
      <c r="J3583" s="32">
        <f>IF(B3583="","",IFERROR(D3583/I3583,""))</f>
        <v/>
      </c>
      <c r="K3583" s="71">
        <f>IF(B3583="","",IFERROR(AVERAGEIFS($J$4:$J3583,$B$4:$B3583,B3583,$J$4:$J3583,"&gt;"&amp;0),""))</f>
        <v/>
      </c>
      <c r="L3583" s="11" t="n"/>
    </row>
    <row r="3584" ht="14" customHeight="1" s="72">
      <c r="A3584" s="83" t="n"/>
      <c r="B3584" s="81" t="n"/>
      <c r="C3584" s="69">
        <f>IF(B3584="","",IFERROR(INDEX(Client_List!$B:$B,MATCH(B3584,Client_List!$A:$A,0)),"⚠ NOT FOUND"))</f>
        <v/>
      </c>
      <c r="D3584" s="45" t="n"/>
      <c r="E3584" s="32">
        <f>IF(B3584="","",IFERROR(INDEX(Client_List!$C:$C,MATCH(VALUE(B3584),Client_List!$A:$A,0)),""))</f>
        <v/>
      </c>
      <c r="F3584" s="53">
        <f>IF(B3584="","",IFERROR(INDEX(Client_List!$D:$D,MATCH(VALUE(B3584),Client_List!$A:$A,0)),""))</f>
        <v/>
      </c>
      <c r="G3584" s="53">
        <f>IF(B3584="","",IFERROR(INDEX(Client_List!$K:$K,MATCH(VALUE(B3584),Client_List!$A:$A,0)),""))</f>
        <v/>
      </c>
      <c r="H3584" s="32">
        <f>IF(B3584="","",IFERROR(INDEX(Client_List!$J:$J,MATCH(VALUE(B3584),Client_List!$A:$A,0)),""))</f>
        <v/>
      </c>
      <c r="I3584" s="70">
        <f>IF(B3584="","",IFERROR(A3584-LOOKUP(2,1/($B$4:$B3583=B3584),$A$4:$A3583),""))</f>
        <v/>
      </c>
      <c r="J3584" s="32">
        <f>IF(B3584="","",IFERROR(D3584/I3584,""))</f>
        <v/>
      </c>
      <c r="K3584" s="71">
        <f>IF(B3584="","",IFERROR(AVERAGEIFS($J$4:$J3584,$B$4:$B3584,B3584,$J$4:$J3584,"&gt;"&amp;0),""))</f>
        <v/>
      </c>
      <c r="L3584" s="12" t="n"/>
    </row>
    <row r="3585" ht="14" customHeight="1" s="72">
      <c r="A3585" s="82" t="n"/>
      <c r="B3585" s="79" t="n"/>
      <c r="C3585" s="69">
        <f>IF(B3585="","",IFERROR(INDEX(Client_List!$B:$B,MATCH(B3585,Client_List!$A:$A,0)),"⚠ NOT FOUND"))</f>
        <v/>
      </c>
      <c r="D3585" s="44" t="n"/>
      <c r="E3585" s="32">
        <f>IF(B3585="","",IFERROR(INDEX(Client_List!$C:$C,MATCH(VALUE(B3585),Client_List!$A:$A,0)),""))</f>
        <v/>
      </c>
      <c r="F3585" s="53">
        <f>IF(B3585="","",IFERROR(INDEX(Client_List!$D:$D,MATCH(VALUE(B3585),Client_List!$A:$A,0)),""))</f>
        <v/>
      </c>
      <c r="G3585" s="53">
        <f>IF(B3585="","",IFERROR(INDEX(Client_List!$K:$K,MATCH(VALUE(B3585),Client_List!$A:$A,0)),""))</f>
        <v/>
      </c>
      <c r="H3585" s="32">
        <f>IF(B3585="","",IFERROR(INDEX(Client_List!$J:$J,MATCH(VALUE(B3585),Client_List!$A:$A,0)),""))</f>
        <v/>
      </c>
      <c r="I3585" s="70">
        <f>IF(B3585="","",IFERROR(A3585-LOOKUP(2,1/($B$4:$B3584=B3585),$A$4:$A3584),""))</f>
        <v/>
      </c>
      <c r="J3585" s="32">
        <f>IF(B3585="","",IFERROR(D3585/I3585,""))</f>
        <v/>
      </c>
      <c r="K3585" s="71">
        <f>IF(B3585="","",IFERROR(AVERAGEIFS($J$4:$J3585,$B$4:$B3585,B3585,$J$4:$J3585,"&gt;"&amp;0),""))</f>
        <v/>
      </c>
      <c r="L3585" s="11" t="n"/>
    </row>
    <row r="3586" ht="14" customHeight="1" s="72">
      <c r="A3586" s="83" t="n"/>
      <c r="B3586" s="81" t="n"/>
      <c r="C3586" s="69">
        <f>IF(B3586="","",IFERROR(INDEX(Client_List!$B:$B,MATCH(B3586,Client_List!$A:$A,0)),"⚠ NOT FOUND"))</f>
        <v/>
      </c>
      <c r="D3586" s="45" t="n"/>
      <c r="E3586" s="32">
        <f>IF(B3586="","",IFERROR(INDEX(Client_List!$C:$C,MATCH(VALUE(B3586),Client_List!$A:$A,0)),""))</f>
        <v/>
      </c>
      <c r="F3586" s="53">
        <f>IF(B3586="","",IFERROR(INDEX(Client_List!$D:$D,MATCH(VALUE(B3586),Client_List!$A:$A,0)),""))</f>
        <v/>
      </c>
      <c r="G3586" s="53">
        <f>IF(B3586="","",IFERROR(INDEX(Client_List!$K:$K,MATCH(VALUE(B3586),Client_List!$A:$A,0)),""))</f>
        <v/>
      </c>
      <c r="H3586" s="32">
        <f>IF(B3586="","",IFERROR(INDEX(Client_List!$J:$J,MATCH(VALUE(B3586),Client_List!$A:$A,0)),""))</f>
        <v/>
      </c>
      <c r="I3586" s="70">
        <f>IF(B3586="","",IFERROR(A3586-LOOKUP(2,1/($B$4:$B3585=B3586),$A$4:$A3585),""))</f>
        <v/>
      </c>
      <c r="J3586" s="32">
        <f>IF(B3586="","",IFERROR(D3586/I3586,""))</f>
        <v/>
      </c>
      <c r="K3586" s="71">
        <f>IF(B3586="","",IFERROR(AVERAGEIFS($J$4:$J3586,$B$4:$B3586,B3586,$J$4:$J3586,"&gt;"&amp;0),""))</f>
        <v/>
      </c>
      <c r="L3586" s="12" t="n"/>
    </row>
    <row r="3587" ht="14" customHeight="1" s="72">
      <c r="A3587" s="82" t="n"/>
      <c r="B3587" s="79" t="n"/>
      <c r="C3587" s="69">
        <f>IF(B3587="","",IFERROR(INDEX(Client_List!$B:$B,MATCH(B3587,Client_List!$A:$A,0)),"⚠ NOT FOUND"))</f>
        <v/>
      </c>
      <c r="D3587" s="44" t="n"/>
      <c r="E3587" s="32">
        <f>IF(B3587="","",IFERROR(INDEX(Client_List!$C:$C,MATCH(VALUE(B3587),Client_List!$A:$A,0)),""))</f>
        <v/>
      </c>
      <c r="F3587" s="53">
        <f>IF(B3587="","",IFERROR(INDEX(Client_List!$D:$D,MATCH(VALUE(B3587),Client_List!$A:$A,0)),""))</f>
        <v/>
      </c>
      <c r="G3587" s="53">
        <f>IF(B3587="","",IFERROR(INDEX(Client_List!$K:$K,MATCH(VALUE(B3587),Client_List!$A:$A,0)),""))</f>
        <v/>
      </c>
      <c r="H3587" s="32">
        <f>IF(B3587="","",IFERROR(INDEX(Client_List!$J:$J,MATCH(VALUE(B3587),Client_List!$A:$A,0)),""))</f>
        <v/>
      </c>
      <c r="I3587" s="70">
        <f>IF(B3587="","",IFERROR(A3587-LOOKUP(2,1/($B$4:$B3586=B3587),$A$4:$A3586),""))</f>
        <v/>
      </c>
      <c r="J3587" s="32">
        <f>IF(B3587="","",IFERROR(D3587/I3587,""))</f>
        <v/>
      </c>
      <c r="K3587" s="71">
        <f>IF(B3587="","",IFERROR(AVERAGEIFS($J$4:$J3587,$B$4:$B3587,B3587,$J$4:$J3587,"&gt;"&amp;0),""))</f>
        <v/>
      </c>
      <c r="L3587" s="11" t="n"/>
    </row>
    <row r="3588" ht="14" customHeight="1" s="72">
      <c r="A3588" s="83" t="n"/>
      <c r="B3588" s="81" t="n"/>
      <c r="C3588" s="69">
        <f>IF(B3588="","",IFERROR(INDEX(Client_List!$B:$B,MATCH(B3588,Client_List!$A:$A,0)),"⚠ NOT FOUND"))</f>
        <v/>
      </c>
      <c r="D3588" s="45" t="n"/>
      <c r="E3588" s="32">
        <f>IF(B3588="","",IFERROR(INDEX(Client_List!$C:$C,MATCH(VALUE(B3588),Client_List!$A:$A,0)),""))</f>
        <v/>
      </c>
      <c r="F3588" s="53">
        <f>IF(B3588="","",IFERROR(INDEX(Client_List!$D:$D,MATCH(VALUE(B3588),Client_List!$A:$A,0)),""))</f>
        <v/>
      </c>
      <c r="G3588" s="53">
        <f>IF(B3588="","",IFERROR(INDEX(Client_List!$K:$K,MATCH(VALUE(B3588),Client_List!$A:$A,0)),""))</f>
        <v/>
      </c>
      <c r="H3588" s="32">
        <f>IF(B3588="","",IFERROR(INDEX(Client_List!$J:$J,MATCH(VALUE(B3588),Client_List!$A:$A,0)),""))</f>
        <v/>
      </c>
      <c r="I3588" s="70">
        <f>IF(B3588="","",IFERROR(A3588-LOOKUP(2,1/($B$4:$B3587=B3588),$A$4:$A3587),""))</f>
        <v/>
      </c>
      <c r="J3588" s="32">
        <f>IF(B3588="","",IFERROR(D3588/I3588,""))</f>
        <v/>
      </c>
      <c r="K3588" s="71">
        <f>IF(B3588="","",IFERROR(AVERAGEIFS($J$4:$J3588,$B$4:$B3588,B3588,$J$4:$J3588,"&gt;"&amp;0),""))</f>
        <v/>
      </c>
      <c r="L3588" s="12" t="n"/>
    </row>
    <row r="3589" ht="14" customHeight="1" s="72">
      <c r="A3589" s="82" t="n"/>
      <c r="B3589" s="79" t="n"/>
      <c r="C3589" s="69">
        <f>IF(B3589="","",IFERROR(INDEX(Client_List!$B:$B,MATCH(B3589,Client_List!$A:$A,0)),"⚠ NOT FOUND"))</f>
        <v/>
      </c>
      <c r="D3589" s="44" t="n"/>
      <c r="E3589" s="32">
        <f>IF(B3589="","",IFERROR(INDEX(Client_List!$C:$C,MATCH(VALUE(B3589),Client_List!$A:$A,0)),""))</f>
        <v/>
      </c>
      <c r="F3589" s="53">
        <f>IF(B3589="","",IFERROR(INDEX(Client_List!$D:$D,MATCH(VALUE(B3589),Client_List!$A:$A,0)),""))</f>
        <v/>
      </c>
      <c r="G3589" s="53">
        <f>IF(B3589="","",IFERROR(INDEX(Client_List!$K:$K,MATCH(VALUE(B3589),Client_List!$A:$A,0)),""))</f>
        <v/>
      </c>
      <c r="H3589" s="32">
        <f>IF(B3589="","",IFERROR(INDEX(Client_List!$J:$J,MATCH(VALUE(B3589),Client_List!$A:$A,0)),""))</f>
        <v/>
      </c>
      <c r="I3589" s="70">
        <f>IF(B3589="","",IFERROR(A3589-LOOKUP(2,1/($B$4:$B3588=B3589),$A$4:$A3588),""))</f>
        <v/>
      </c>
      <c r="J3589" s="32">
        <f>IF(B3589="","",IFERROR(D3589/I3589,""))</f>
        <v/>
      </c>
      <c r="K3589" s="71">
        <f>IF(B3589="","",IFERROR(AVERAGEIFS($J$4:$J3589,$B$4:$B3589,B3589,$J$4:$J3589,"&gt;"&amp;0),""))</f>
        <v/>
      </c>
      <c r="L3589" s="11" t="n"/>
    </row>
    <row r="3590" ht="14" customHeight="1" s="72">
      <c r="A3590" s="83" t="n"/>
      <c r="B3590" s="81" t="n"/>
      <c r="C3590" s="69">
        <f>IF(B3590="","",IFERROR(INDEX(Client_List!$B:$B,MATCH(B3590,Client_List!$A:$A,0)),"⚠ NOT FOUND"))</f>
        <v/>
      </c>
      <c r="D3590" s="45" t="n"/>
      <c r="E3590" s="32">
        <f>IF(B3590="","",IFERROR(INDEX(Client_List!$C:$C,MATCH(VALUE(B3590),Client_List!$A:$A,0)),""))</f>
        <v/>
      </c>
      <c r="F3590" s="53">
        <f>IF(B3590="","",IFERROR(INDEX(Client_List!$D:$D,MATCH(VALUE(B3590),Client_List!$A:$A,0)),""))</f>
        <v/>
      </c>
      <c r="G3590" s="53">
        <f>IF(B3590="","",IFERROR(INDEX(Client_List!$K:$K,MATCH(VALUE(B3590),Client_List!$A:$A,0)),""))</f>
        <v/>
      </c>
      <c r="H3590" s="32">
        <f>IF(B3590="","",IFERROR(INDEX(Client_List!$J:$J,MATCH(VALUE(B3590),Client_List!$A:$A,0)),""))</f>
        <v/>
      </c>
      <c r="I3590" s="70">
        <f>IF(B3590="","",IFERROR(A3590-LOOKUP(2,1/($B$4:$B3589=B3590),$A$4:$A3589),""))</f>
        <v/>
      </c>
      <c r="J3590" s="32">
        <f>IF(B3590="","",IFERROR(D3590/I3590,""))</f>
        <v/>
      </c>
      <c r="K3590" s="71">
        <f>IF(B3590="","",IFERROR(AVERAGEIFS($J$4:$J3590,$B$4:$B3590,B3590,$J$4:$J3590,"&gt;"&amp;0),""))</f>
        <v/>
      </c>
      <c r="L3590" s="12" t="n"/>
    </row>
    <row r="3591" ht="14" customHeight="1" s="72">
      <c r="A3591" s="82" t="n"/>
      <c r="B3591" s="79" t="n"/>
      <c r="C3591" s="69">
        <f>IF(B3591="","",IFERROR(INDEX(Client_List!$B:$B,MATCH(B3591,Client_List!$A:$A,0)),"⚠ NOT FOUND"))</f>
        <v/>
      </c>
      <c r="D3591" s="44" t="n"/>
      <c r="E3591" s="32">
        <f>IF(B3591="","",IFERROR(INDEX(Client_List!$C:$C,MATCH(VALUE(B3591),Client_List!$A:$A,0)),""))</f>
        <v/>
      </c>
      <c r="F3591" s="53">
        <f>IF(B3591="","",IFERROR(INDEX(Client_List!$D:$D,MATCH(VALUE(B3591),Client_List!$A:$A,0)),""))</f>
        <v/>
      </c>
      <c r="G3591" s="53">
        <f>IF(B3591="","",IFERROR(INDEX(Client_List!$K:$K,MATCH(VALUE(B3591),Client_List!$A:$A,0)),""))</f>
        <v/>
      </c>
      <c r="H3591" s="32">
        <f>IF(B3591="","",IFERROR(INDEX(Client_List!$J:$J,MATCH(VALUE(B3591),Client_List!$A:$A,0)),""))</f>
        <v/>
      </c>
      <c r="I3591" s="70">
        <f>IF(B3591="","",IFERROR(A3591-LOOKUP(2,1/($B$4:$B3590=B3591),$A$4:$A3590),""))</f>
        <v/>
      </c>
      <c r="J3591" s="32">
        <f>IF(B3591="","",IFERROR(D3591/I3591,""))</f>
        <v/>
      </c>
      <c r="K3591" s="71">
        <f>IF(B3591="","",IFERROR(AVERAGEIFS($J$4:$J3591,$B$4:$B3591,B3591,$J$4:$J3591,"&gt;"&amp;0),""))</f>
        <v/>
      </c>
      <c r="L3591" s="11" t="n"/>
    </row>
    <row r="3592" ht="14" customHeight="1" s="72">
      <c r="A3592" s="83" t="n"/>
      <c r="B3592" s="81" t="n"/>
      <c r="C3592" s="69">
        <f>IF(B3592="","",IFERROR(INDEX(Client_List!$B:$B,MATCH(B3592,Client_List!$A:$A,0)),"⚠ NOT FOUND"))</f>
        <v/>
      </c>
      <c r="D3592" s="45" t="n"/>
      <c r="E3592" s="32">
        <f>IF(B3592="","",IFERROR(INDEX(Client_List!$C:$C,MATCH(VALUE(B3592),Client_List!$A:$A,0)),""))</f>
        <v/>
      </c>
      <c r="F3592" s="53">
        <f>IF(B3592="","",IFERROR(INDEX(Client_List!$D:$D,MATCH(VALUE(B3592),Client_List!$A:$A,0)),""))</f>
        <v/>
      </c>
      <c r="G3592" s="53">
        <f>IF(B3592="","",IFERROR(INDEX(Client_List!$K:$K,MATCH(VALUE(B3592),Client_List!$A:$A,0)),""))</f>
        <v/>
      </c>
      <c r="H3592" s="32">
        <f>IF(B3592="","",IFERROR(INDEX(Client_List!$J:$J,MATCH(VALUE(B3592),Client_List!$A:$A,0)),""))</f>
        <v/>
      </c>
      <c r="I3592" s="70">
        <f>IF(B3592="","",IFERROR(A3592-LOOKUP(2,1/($B$4:$B3591=B3592),$A$4:$A3591),""))</f>
        <v/>
      </c>
      <c r="J3592" s="32">
        <f>IF(B3592="","",IFERROR(D3592/I3592,""))</f>
        <v/>
      </c>
      <c r="K3592" s="71">
        <f>IF(B3592="","",IFERROR(AVERAGEIFS($J$4:$J3592,$B$4:$B3592,B3592,$J$4:$J3592,"&gt;"&amp;0),""))</f>
        <v/>
      </c>
      <c r="L3592" s="12" t="n"/>
    </row>
    <row r="3593" ht="14" customHeight="1" s="72">
      <c r="A3593" s="82" t="n"/>
      <c r="B3593" s="79" t="n"/>
      <c r="C3593" s="69">
        <f>IF(B3593="","",IFERROR(INDEX(Client_List!$B:$B,MATCH(B3593,Client_List!$A:$A,0)),"⚠ NOT FOUND"))</f>
        <v/>
      </c>
      <c r="D3593" s="44" t="n"/>
      <c r="E3593" s="32">
        <f>IF(B3593="","",IFERROR(INDEX(Client_List!$C:$C,MATCH(VALUE(B3593),Client_List!$A:$A,0)),""))</f>
        <v/>
      </c>
      <c r="F3593" s="53">
        <f>IF(B3593="","",IFERROR(INDEX(Client_List!$D:$D,MATCH(VALUE(B3593),Client_List!$A:$A,0)),""))</f>
        <v/>
      </c>
      <c r="G3593" s="53">
        <f>IF(B3593="","",IFERROR(INDEX(Client_List!$K:$K,MATCH(VALUE(B3593),Client_List!$A:$A,0)),""))</f>
        <v/>
      </c>
      <c r="H3593" s="32">
        <f>IF(B3593="","",IFERROR(INDEX(Client_List!$J:$J,MATCH(VALUE(B3593),Client_List!$A:$A,0)),""))</f>
        <v/>
      </c>
      <c r="I3593" s="70">
        <f>IF(B3593="","",IFERROR(A3593-LOOKUP(2,1/($B$4:$B3592=B3593),$A$4:$A3592),""))</f>
        <v/>
      </c>
      <c r="J3593" s="32">
        <f>IF(B3593="","",IFERROR(D3593/I3593,""))</f>
        <v/>
      </c>
      <c r="K3593" s="71">
        <f>IF(B3593="","",IFERROR(AVERAGEIFS($J$4:$J3593,$B$4:$B3593,B3593,$J$4:$J3593,"&gt;"&amp;0),""))</f>
        <v/>
      </c>
      <c r="L3593" s="11" t="n"/>
    </row>
    <row r="3594" ht="14" customHeight="1" s="72">
      <c r="A3594" s="83" t="n"/>
      <c r="B3594" s="81" t="n"/>
      <c r="C3594" s="69">
        <f>IF(B3594="","",IFERROR(INDEX(Client_List!$B:$B,MATCH(B3594,Client_List!$A:$A,0)),"⚠ NOT FOUND"))</f>
        <v/>
      </c>
      <c r="D3594" s="45" t="n"/>
      <c r="E3594" s="32">
        <f>IF(B3594="","",IFERROR(INDEX(Client_List!$C:$C,MATCH(VALUE(B3594),Client_List!$A:$A,0)),""))</f>
        <v/>
      </c>
      <c r="F3594" s="53">
        <f>IF(B3594="","",IFERROR(INDEX(Client_List!$D:$D,MATCH(VALUE(B3594),Client_List!$A:$A,0)),""))</f>
        <v/>
      </c>
      <c r="G3594" s="53">
        <f>IF(B3594="","",IFERROR(INDEX(Client_List!$K:$K,MATCH(VALUE(B3594),Client_List!$A:$A,0)),""))</f>
        <v/>
      </c>
      <c r="H3594" s="32">
        <f>IF(B3594="","",IFERROR(INDEX(Client_List!$J:$J,MATCH(VALUE(B3594),Client_List!$A:$A,0)),""))</f>
        <v/>
      </c>
      <c r="I3594" s="70">
        <f>IF(B3594="","",IFERROR(A3594-LOOKUP(2,1/($B$4:$B3593=B3594),$A$4:$A3593),""))</f>
        <v/>
      </c>
      <c r="J3594" s="32">
        <f>IF(B3594="","",IFERROR(D3594/I3594,""))</f>
        <v/>
      </c>
      <c r="K3594" s="71">
        <f>IF(B3594="","",IFERROR(AVERAGEIFS($J$4:$J3594,$B$4:$B3594,B3594,$J$4:$J3594,"&gt;"&amp;0),""))</f>
        <v/>
      </c>
      <c r="L3594" s="12" t="n"/>
    </row>
    <row r="3595" ht="14" customHeight="1" s="72">
      <c r="A3595" s="82" t="n"/>
      <c r="B3595" s="79" t="n"/>
      <c r="C3595" s="69">
        <f>IF(B3595="","",IFERROR(INDEX(Client_List!$B:$B,MATCH(B3595,Client_List!$A:$A,0)),"⚠ NOT FOUND"))</f>
        <v/>
      </c>
      <c r="D3595" s="44" t="n"/>
      <c r="E3595" s="32">
        <f>IF(B3595="","",IFERROR(INDEX(Client_List!$C:$C,MATCH(VALUE(B3595),Client_List!$A:$A,0)),""))</f>
        <v/>
      </c>
      <c r="F3595" s="53">
        <f>IF(B3595="","",IFERROR(INDEX(Client_List!$D:$D,MATCH(VALUE(B3595),Client_List!$A:$A,0)),""))</f>
        <v/>
      </c>
      <c r="G3595" s="53">
        <f>IF(B3595="","",IFERROR(INDEX(Client_List!$K:$K,MATCH(VALUE(B3595),Client_List!$A:$A,0)),""))</f>
        <v/>
      </c>
      <c r="H3595" s="32">
        <f>IF(B3595="","",IFERROR(INDEX(Client_List!$J:$J,MATCH(VALUE(B3595),Client_List!$A:$A,0)),""))</f>
        <v/>
      </c>
      <c r="I3595" s="70">
        <f>IF(B3595="","",IFERROR(A3595-LOOKUP(2,1/($B$4:$B3594=B3595),$A$4:$A3594),""))</f>
        <v/>
      </c>
      <c r="J3595" s="32">
        <f>IF(B3595="","",IFERROR(D3595/I3595,""))</f>
        <v/>
      </c>
      <c r="K3595" s="71">
        <f>IF(B3595="","",IFERROR(AVERAGEIFS($J$4:$J3595,$B$4:$B3595,B3595,$J$4:$J3595,"&gt;"&amp;0),""))</f>
        <v/>
      </c>
      <c r="L3595" s="11" t="n"/>
    </row>
    <row r="3596" ht="14" customHeight="1" s="72">
      <c r="A3596" s="83" t="n"/>
      <c r="B3596" s="81" t="n"/>
      <c r="C3596" s="69">
        <f>IF(B3596="","",IFERROR(INDEX(Client_List!$B:$B,MATCH(B3596,Client_List!$A:$A,0)),"⚠ NOT FOUND"))</f>
        <v/>
      </c>
      <c r="D3596" s="45" t="n"/>
      <c r="E3596" s="32">
        <f>IF(B3596="","",IFERROR(INDEX(Client_List!$C:$C,MATCH(VALUE(B3596),Client_List!$A:$A,0)),""))</f>
        <v/>
      </c>
      <c r="F3596" s="53">
        <f>IF(B3596="","",IFERROR(INDEX(Client_List!$D:$D,MATCH(VALUE(B3596),Client_List!$A:$A,0)),""))</f>
        <v/>
      </c>
      <c r="G3596" s="53">
        <f>IF(B3596="","",IFERROR(INDEX(Client_List!$K:$K,MATCH(VALUE(B3596),Client_List!$A:$A,0)),""))</f>
        <v/>
      </c>
      <c r="H3596" s="32">
        <f>IF(B3596="","",IFERROR(INDEX(Client_List!$J:$J,MATCH(VALUE(B3596),Client_List!$A:$A,0)),""))</f>
        <v/>
      </c>
      <c r="I3596" s="70">
        <f>IF(B3596="","",IFERROR(A3596-LOOKUP(2,1/($B$4:$B3595=B3596),$A$4:$A3595),""))</f>
        <v/>
      </c>
      <c r="J3596" s="32">
        <f>IF(B3596="","",IFERROR(D3596/I3596,""))</f>
        <v/>
      </c>
      <c r="K3596" s="71">
        <f>IF(B3596="","",IFERROR(AVERAGEIFS($J$4:$J3596,$B$4:$B3596,B3596,$J$4:$J3596,"&gt;"&amp;0),""))</f>
        <v/>
      </c>
      <c r="L3596" s="12" t="n"/>
    </row>
    <row r="3597" ht="14" customHeight="1" s="72">
      <c r="A3597" s="82" t="n"/>
      <c r="B3597" s="79" t="n"/>
      <c r="C3597" s="69">
        <f>IF(B3597="","",IFERROR(INDEX(Client_List!$B:$B,MATCH(B3597,Client_List!$A:$A,0)),"⚠ NOT FOUND"))</f>
        <v/>
      </c>
      <c r="D3597" s="44" t="n"/>
      <c r="E3597" s="32">
        <f>IF(B3597="","",IFERROR(INDEX(Client_List!$C:$C,MATCH(VALUE(B3597),Client_List!$A:$A,0)),""))</f>
        <v/>
      </c>
      <c r="F3597" s="53">
        <f>IF(B3597="","",IFERROR(INDEX(Client_List!$D:$D,MATCH(VALUE(B3597),Client_List!$A:$A,0)),""))</f>
        <v/>
      </c>
      <c r="G3597" s="53">
        <f>IF(B3597="","",IFERROR(INDEX(Client_List!$K:$K,MATCH(VALUE(B3597),Client_List!$A:$A,0)),""))</f>
        <v/>
      </c>
      <c r="H3597" s="32">
        <f>IF(B3597="","",IFERROR(INDEX(Client_List!$J:$J,MATCH(VALUE(B3597),Client_List!$A:$A,0)),""))</f>
        <v/>
      </c>
      <c r="I3597" s="70">
        <f>IF(B3597="","",IFERROR(A3597-LOOKUP(2,1/($B$4:$B3596=B3597),$A$4:$A3596),""))</f>
        <v/>
      </c>
      <c r="J3597" s="32">
        <f>IF(B3597="","",IFERROR(D3597/I3597,""))</f>
        <v/>
      </c>
      <c r="K3597" s="71">
        <f>IF(B3597="","",IFERROR(AVERAGEIFS($J$4:$J3597,$B$4:$B3597,B3597,$J$4:$J3597,"&gt;"&amp;0),""))</f>
        <v/>
      </c>
      <c r="L3597" s="11" t="n"/>
    </row>
    <row r="3598" ht="14" customHeight="1" s="72">
      <c r="A3598" s="83" t="n"/>
      <c r="B3598" s="81" t="n"/>
      <c r="C3598" s="69">
        <f>IF(B3598="","",IFERROR(INDEX(Client_List!$B:$B,MATCH(B3598,Client_List!$A:$A,0)),"⚠ NOT FOUND"))</f>
        <v/>
      </c>
      <c r="D3598" s="45" t="n"/>
      <c r="E3598" s="32">
        <f>IF(B3598="","",IFERROR(INDEX(Client_List!$C:$C,MATCH(VALUE(B3598),Client_List!$A:$A,0)),""))</f>
        <v/>
      </c>
      <c r="F3598" s="53">
        <f>IF(B3598="","",IFERROR(INDEX(Client_List!$D:$D,MATCH(VALUE(B3598),Client_List!$A:$A,0)),""))</f>
        <v/>
      </c>
      <c r="G3598" s="53">
        <f>IF(B3598="","",IFERROR(INDEX(Client_List!$K:$K,MATCH(VALUE(B3598),Client_List!$A:$A,0)),""))</f>
        <v/>
      </c>
      <c r="H3598" s="32">
        <f>IF(B3598="","",IFERROR(INDEX(Client_List!$J:$J,MATCH(VALUE(B3598),Client_List!$A:$A,0)),""))</f>
        <v/>
      </c>
      <c r="I3598" s="70">
        <f>IF(B3598="","",IFERROR(A3598-LOOKUP(2,1/($B$4:$B3597=B3598),$A$4:$A3597),""))</f>
        <v/>
      </c>
      <c r="J3598" s="32">
        <f>IF(B3598="","",IFERROR(D3598/I3598,""))</f>
        <v/>
      </c>
      <c r="K3598" s="71">
        <f>IF(B3598="","",IFERROR(AVERAGEIFS($J$4:$J3598,$B$4:$B3598,B3598,$J$4:$J3598,"&gt;"&amp;0),""))</f>
        <v/>
      </c>
      <c r="L3598" s="12" t="n"/>
    </row>
    <row r="3599" ht="14" customHeight="1" s="72">
      <c r="A3599" s="82" t="n"/>
      <c r="B3599" s="79" t="n"/>
      <c r="C3599" s="69">
        <f>IF(B3599="","",IFERROR(INDEX(Client_List!$B:$B,MATCH(B3599,Client_List!$A:$A,0)),"⚠ NOT FOUND"))</f>
        <v/>
      </c>
      <c r="D3599" s="44" t="n"/>
      <c r="E3599" s="32">
        <f>IF(B3599="","",IFERROR(INDEX(Client_List!$C:$C,MATCH(VALUE(B3599),Client_List!$A:$A,0)),""))</f>
        <v/>
      </c>
      <c r="F3599" s="53">
        <f>IF(B3599="","",IFERROR(INDEX(Client_List!$D:$D,MATCH(VALUE(B3599),Client_List!$A:$A,0)),""))</f>
        <v/>
      </c>
      <c r="G3599" s="53">
        <f>IF(B3599="","",IFERROR(INDEX(Client_List!$K:$K,MATCH(VALUE(B3599),Client_List!$A:$A,0)),""))</f>
        <v/>
      </c>
      <c r="H3599" s="32">
        <f>IF(B3599="","",IFERROR(INDEX(Client_List!$J:$J,MATCH(VALUE(B3599),Client_List!$A:$A,0)),""))</f>
        <v/>
      </c>
      <c r="I3599" s="70">
        <f>IF(B3599="","",IFERROR(A3599-LOOKUP(2,1/($B$4:$B3598=B3599),$A$4:$A3598),""))</f>
        <v/>
      </c>
      <c r="J3599" s="32">
        <f>IF(B3599="","",IFERROR(D3599/I3599,""))</f>
        <v/>
      </c>
      <c r="K3599" s="71">
        <f>IF(B3599="","",IFERROR(AVERAGEIFS($J$4:$J3599,$B$4:$B3599,B3599,$J$4:$J3599,"&gt;"&amp;0),""))</f>
        <v/>
      </c>
      <c r="L3599" s="11" t="n"/>
    </row>
    <row r="3600" ht="14" customHeight="1" s="72">
      <c r="A3600" s="83" t="n"/>
      <c r="B3600" s="81" t="n"/>
      <c r="C3600" s="69">
        <f>IF(B3600="","",IFERROR(INDEX(Client_List!$B:$B,MATCH(B3600,Client_List!$A:$A,0)),"⚠ NOT FOUND"))</f>
        <v/>
      </c>
      <c r="D3600" s="45" t="n"/>
      <c r="E3600" s="32">
        <f>IF(B3600="","",IFERROR(INDEX(Client_List!$C:$C,MATCH(VALUE(B3600),Client_List!$A:$A,0)),""))</f>
        <v/>
      </c>
      <c r="F3600" s="53">
        <f>IF(B3600="","",IFERROR(INDEX(Client_List!$D:$D,MATCH(VALUE(B3600),Client_List!$A:$A,0)),""))</f>
        <v/>
      </c>
      <c r="G3600" s="53">
        <f>IF(B3600="","",IFERROR(INDEX(Client_List!$K:$K,MATCH(VALUE(B3600),Client_List!$A:$A,0)),""))</f>
        <v/>
      </c>
      <c r="H3600" s="32">
        <f>IF(B3600="","",IFERROR(INDEX(Client_List!$J:$J,MATCH(VALUE(B3600),Client_List!$A:$A,0)),""))</f>
        <v/>
      </c>
      <c r="I3600" s="70">
        <f>IF(B3600="","",IFERROR(A3600-LOOKUP(2,1/($B$4:$B3599=B3600),$A$4:$A3599),""))</f>
        <v/>
      </c>
      <c r="J3600" s="32">
        <f>IF(B3600="","",IFERROR(D3600/I3600,""))</f>
        <v/>
      </c>
      <c r="K3600" s="71">
        <f>IF(B3600="","",IFERROR(AVERAGEIFS($J$4:$J3600,$B$4:$B3600,B3600,$J$4:$J3600,"&gt;"&amp;0),""))</f>
        <v/>
      </c>
      <c r="L3600" s="12" t="n"/>
    </row>
    <row r="3601" ht="14" customHeight="1" s="72">
      <c r="A3601" s="82" t="n"/>
      <c r="B3601" s="79" t="n"/>
      <c r="C3601" s="69">
        <f>IF(B3601="","",IFERROR(INDEX(Client_List!$B:$B,MATCH(B3601,Client_List!$A:$A,0)),"⚠ NOT FOUND"))</f>
        <v/>
      </c>
      <c r="D3601" s="44" t="n"/>
      <c r="E3601" s="32">
        <f>IF(B3601="","",IFERROR(INDEX(Client_List!$C:$C,MATCH(VALUE(B3601),Client_List!$A:$A,0)),""))</f>
        <v/>
      </c>
      <c r="F3601" s="53">
        <f>IF(B3601="","",IFERROR(INDEX(Client_List!$D:$D,MATCH(VALUE(B3601),Client_List!$A:$A,0)),""))</f>
        <v/>
      </c>
      <c r="G3601" s="53">
        <f>IF(B3601="","",IFERROR(INDEX(Client_List!$K:$K,MATCH(VALUE(B3601),Client_List!$A:$A,0)),""))</f>
        <v/>
      </c>
      <c r="H3601" s="32">
        <f>IF(B3601="","",IFERROR(INDEX(Client_List!$J:$J,MATCH(VALUE(B3601),Client_List!$A:$A,0)),""))</f>
        <v/>
      </c>
      <c r="I3601" s="70">
        <f>IF(B3601="","",IFERROR(A3601-LOOKUP(2,1/($B$4:$B3600=B3601),$A$4:$A3600),""))</f>
        <v/>
      </c>
      <c r="J3601" s="32">
        <f>IF(B3601="","",IFERROR(D3601/I3601,""))</f>
        <v/>
      </c>
      <c r="K3601" s="71">
        <f>IF(B3601="","",IFERROR(AVERAGEIFS($J$4:$J3601,$B$4:$B3601,B3601,$J$4:$J3601,"&gt;"&amp;0),""))</f>
        <v/>
      </c>
      <c r="L3601" s="11" t="n"/>
    </row>
    <row r="3602" ht="14" customHeight="1" s="72">
      <c r="A3602" s="83" t="n"/>
      <c r="B3602" s="81" t="n"/>
      <c r="C3602" s="69">
        <f>IF(B3602="","",IFERROR(INDEX(Client_List!$B:$B,MATCH(B3602,Client_List!$A:$A,0)),"⚠ NOT FOUND"))</f>
        <v/>
      </c>
      <c r="D3602" s="45" t="n"/>
      <c r="E3602" s="32">
        <f>IF(B3602="","",IFERROR(INDEX(Client_List!$C:$C,MATCH(VALUE(B3602),Client_List!$A:$A,0)),""))</f>
        <v/>
      </c>
      <c r="F3602" s="53">
        <f>IF(B3602="","",IFERROR(INDEX(Client_List!$D:$D,MATCH(VALUE(B3602),Client_List!$A:$A,0)),""))</f>
        <v/>
      </c>
      <c r="G3602" s="53">
        <f>IF(B3602="","",IFERROR(INDEX(Client_List!$K:$K,MATCH(VALUE(B3602),Client_List!$A:$A,0)),""))</f>
        <v/>
      </c>
      <c r="H3602" s="32">
        <f>IF(B3602="","",IFERROR(INDEX(Client_List!$J:$J,MATCH(VALUE(B3602),Client_List!$A:$A,0)),""))</f>
        <v/>
      </c>
      <c r="I3602" s="70">
        <f>IF(B3602="","",IFERROR(A3602-LOOKUP(2,1/($B$4:$B3601=B3602),$A$4:$A3601),""))</f>
        <v/>
      </c>
      <c r="J3602" s="32">
        <f>IF(B3602="","",IFERROR(D3602/I3602,""))</f>
        <v/>
      </c>
      <c r="K3602" s="71">
        <f>IF(B3602="","",IFERROR(AVERAGEIFS($J$4:$J3602,$B$4:$B3602,B3602,$J$4:$J3602,"&gt;"&amp;0),""))</f>
        <v/>
      </c>
      <c r="L3602" s="12" t="n"/>
    </row>
    <row r="3603" ht="14" customHeight="1" s="72">
      <c r="A3603" s="82" t="n"/>
      <c r="B3603" s="79" t="n"/>
      <c r="C3603" s="69">
        <f>IF(B3603="","",IFERROR(INDEX(Client_List!$B:$B,MATCH(B3603,Client_List!$A:$A,0)),"⚠ NOT FOUND"))</f>
        <v/>
      </c>
      <c r="D3603" s="44" t="n"/>
      <c r="E3603" s="32">
        <f>IF(B3603="","",IFERROR(INDEX(Client_List!$C:$C,MATCH(VALUE(B3603),Client_List!$A:$A,0)),""))</f>
        <v/>
      </c>
      <c r="F3603" s="53">
        <f>IF(B3603="","",IFERROR(INDEX(Client_List!$D:$D,MATCH(VALUE(B3603),Client_List!$A:$A,0)),""))</f>
        <v/>
      </c>
      <c r="G3603" s="53">
        <f>IF(B3603="","",IFERROR(INDEX(Client_List!$K:$K,MATCH(VALUE(B3603),Client_List!$A:$A,0)),""))</f>
        <v/>
      </c>
      <c r="H3603" s="32">
        <f>IF(B3603="","",IFERROR(INDEX(Client_List!$J:$J,MATCH(VALUE(B3603),Client_List!$A:$A,0)),""))</f>
        <v/>
      </c>
      <c r="I3603" s="70">
        <f>IF(B3603="","",IFERROR(A3603-LOOKUP(2,1/($B$4:$B3602=B3603),$A$4:$A3602),""))</f>
        <v/>
      </c>
      <c r="J3603" s="32">
        <f>IF(B3603="","",IFERROR(D3603/I3603,""))</f>
        <v/>
      </c>
      <c r="K3603" s="71">
        <f>IF(B3603="","",IFERROR(AVERAGEIFS($J$4:$J3603,$B$4:$B3603,B3603,$J$4:$J3603,"&gt;"&amp;0),""))</f>
        <v/>
      </c>
      <c r="L3603" s="11" t="n"/>
    </row>
    <row r="3604" ht="14" customHeight="1" s="72">
      <c r="A3604" s="83" t="n"/>
      <c r="B3604" s="81" t="n"/>
      <c r="C3604" s="69">
        <f>IF(B3604="","",IFERROR(INDEX(Client_List!$B:$B,MATCH(B3604,Client_List!$A:$A,0)),"⚠ NOT FOUND"))</f>
        <v/>
      </c>
      <c r="D3604" s="45" t="n"/>
      <c r="E3604" s="32">
        <f>IF(B3604="","",IFERROR(INDEX(Client_List!$C:$C,MATCH(VALUE(B3604),Client_List!$A:$A,0)),""))</f>
        <v/>
      </c>
      <c r="F3604" s="53">
        <f>IF(B3604="","",IFERROR(INDEX(Client_List!$D:$D,MATCH(VALUE(B3604),Client_List!$A:$A,0)),""))</f>
        <v/>
      </c>
      <c r="G3604" s="53">
        <f>IF(B3604="","",IFERROR(INDEX(Client_List!$K:$K,MATCH(VALUE(B3604),Client_List!$A:$A,0)),""))</f>
        <v/>
      </c>
      <c r="H3604" s="32">
        <f>IF(B3604="","",IFERROR(INDEX(Client_List!$J:$J,MATCH(VALUE(B3604),Client_List!$A:$A,0)),""))</f>
        <v/>
      </c>
      <c r="I3604" s="70">
        <f>IF(B3604="","",IFERROR(A3604-LOOKUP(2,1/($B$4:$B3603=B3604),$A$4:$A3603),""))</f>
        <v/>
      </c>
      <c r="J3604" s="32">
        <f>IF(B3604="","",IFERROR(D3604/I3604,""))</f>
        <v/>
      </c>
      <c r="K3604" s="71">
        <f>IF(B3604="","",IFERROR(AVERAGEIFS($J$4:$J3604,$B$4:$B3604,B3604,$J$4:$J3604,"&gt;"&amp;0),""))</f>
        <v/>
      </c>
      <c r="L3604" s="12" t="n"/>
    </row>
    <row r="3605" ht="14" customHeight="1" s="72">
      <c r="A3605" s="82" t="n"/>
      <c r="B3605" s="79" t="n"/>
      <c r="C3605" s="69">
        <f>IF(B3605="","",IFERROR(INDEX(Client_List!$B:$B,MATCH(B3605,Client_List!$A:$A,0)),"⚠ NOT FOUND"))</f>
        <v/>
      </c>
      <c r="D3605" s="44" t="n"/>
      <c r="E3605" s="32">
        <f>IF(B3605="","",IFERROR(INDEX(Client_List!$C:$C,MATCH(VALUE(B3605),Client_List!$A:$A,0)),""))</f>
        <v/>
      </c>
      <c r="F3605" s="53">
        <f>IF(B3605="","",IFERROR(INDEX(Client_List!$D:$D,MATCH(VALUE(B3605),Client_List!$A:$A,0)),""))</f>
        <v/>
      </c>
      <c r="G3605" s="53">
        <f>IF(B3605="","",IFERROR(INDEX(Client_List!$K:$K,MATCH(VALUE(B3605),Client_List!$A:$A,0)),""))</f>
        <v/>
      </c>
      <c r="H3605" s="32">
        <f>IF(B3605="","",IFERROR(INDEX(Client_List!$J:$J,MATCH(VALUE(B3605),Client_List!$A:$A,0)),""))</f>
        <v/>
      </c>
      <c r="I3605" s="70">
        <f>IF(B3605="","",IFERROR(A3605-LOOKUP(2,1/($B$4:$B3604=B3605),$A$4:$A3604),""))</f>
        <v/>
      </c>
      <c r="J3605" s="32">
        <f>IF(B3605="","",IFERROR(D3605/I3605,""))</f>
        <v/>
      </c>
      <c r="K3605" s="71">
        <f>IF(B3605="","",IFERROR(AVERAGEIFS($J$4:$J3605,$B$4:$B3605,B3605,$J$4:$J3605,"&gt;"&amp;0),""))</f>
        <v/>
      </c>
      <c r="L3605" s="11" t="n"/>
    </row>
    <row r="3606" ht="14" customHeight="1" s="72">
      <c r="A3606" s="83" t="n"/>
      <c r="B3606" s="81" t="n"/>
      <c r="C3606" s="69">
        <f>IF(B3606="","",IFERROR(INDEX(Client_List!$B:$B,MATCH(B3606,Client_List!$A:$A,0)),"⚠ NOT FOUND"))</f>
        <v/>
      </c>
      <c r="D3606" s="45" t="n"/>
      <c r="E3606" s="32">
        <f>IF(B3606="","",IFERROR(INDEX(Client_List!$C:$C,MATCH(VALUE(B3606),Client_List!$A:$A,0)),""))</f>
        <v/>
      </c>
      <c r="F3606" s="53">
        <f>IF(B3606="","",IFERROR(INDEX(Client_List!$D:$D,MATCH(VALUE(B3606),Client_List!$A:$A,0)),""))</f>
        <v/>
      </c>
      <c r="G3606" s="53">
        <f>IF(B3606="","",IFERROR(INDEX(Client_List!$K:$K,MATCH(VALUE(B3606),Client_List!$A:$A,0)),""))</f>
        <v/>
      </c>
      <c r="H3606" s="32">
        <f>IF(B3606="","",IFERROR(INDEX(Client_List!$J:$J,MATCH(VALUE(B3606),Client_List!$A:$A,0)),""))</f>
        <v/>
      </c>
      <c r="I3606" s="70">
        <f>IF(B3606="","",IFERROR(A3606-LOOKUP(2,1/($B$4:$B3605=B3606),$A$4:$A3605),""))</f>
        <v/>
      </c>
      <c r="J3606" s="32">
        <f>IF(B3606="","",IFERROR(D3606/I3606,""))</f>
        <v/>
      </c>
      <c r="K3606" s="71">
        <f>IF(B3606="","",IFERROR(AVERAGEIFS($J$4:$J3606,$B$4:$B3606,B3606,$J$4:$J3606,"&gt;"&amp;0),""))</f>
        <v/>
      </c>
      <c r="L3606" s="12" t="n"/>
    </row>
    <row r="3607" ht="14" customHeight="1" s="72">
      <c r="A3607" s="82" t="n"/>
      <c r="B3607" s="79" t="n"/>
      <c r="C3607" s="69">
        <f>IF(B3607="","",IFERROR(INDEX(Client_List!$B:$B,MATCH(B3607,Client_List!$A:$A,0)),"⚠ NOT FOUND"))</f>
        <v/>
      </c>
      <c r="D3607" s="44" t="n"/>
      <c r="E3607" s="32">
        <f>IF(B3607="","",IFERROR(INDEX(Client_List!$C:$C,MATCH(VALUE(B3607),Client_List!$A:$A,0)),""))</f>
        <v/>
      </c>
      <c r="F3607" s="53">
        <f>IF(B3607="","",IFERROR(INDEX(Client_List!$D:$D,MATCH(VALUE(B3607),Client_List!$A:$A,0)),""))</f>
        <v/>
      </c>
      <c r="G3607" s="53">
        <f>IF(B3607="","",IFERROR(INDEX(Client_List!$K:$K,MATCH(VALUE(B3607),Client_List!$A:$A,0)),""))</f>
        <v/>
      </c>
      <c r="H3607" s="32">
        <f>IF(B3607="","",IFERROR(INDEX(Client_List!$J:$J,MATCH(VALUE(B3607),Client_List!$A:$A,0)),""))</f>
        <v/>
      </c>
      <c r="I3607" s="70">
        <f>IF(B3607="","",IFERROR(A3607-LOOKUP(2,1/($B$4:$B3606=B3607),$A$4:$A3606),""))</f>
        <v/>
      </c>
      <c r="J3607" s="32">
        <f>IF(B3607="","",IFERROR(D3607/I3607,""))</f>
        <v/>
      </c>
      <c r="K3607" s="71">
        <f>IF(B3607="","",IFERROR(AVERAGEIFS($J$4:$J3607,$B$4:$B3607,B3607,$J$4:$J3607,"&gt;"&amp;0),""))</f>
        <v/>
      </c>
      <c r="L3607" s="11" t="n"/>
    </row>
    <row r="3608" ht="14" customHeight="1" s="72">
      <c r="A3608" s="83" t="n"/>
      <c r="B3608" s="81" t="n"/>
      <c r="C3608" s="69">
        <f>IF(B3608="","",IFERROR(INDEX(Client_List!$B:$B,MATCH(B3608,Client_List!$A:$A,0)),"⚠ NOT FOUND"))</f>
        <v/>
      </c>
      <c r="D3608" s="45" t="n"/>
      <c r="E3608" s="32">
        <f>IF(B3608="","",IFERROR(INDEX(Client_List!$C:$C,MATCH(VALUE(B3608),Client_List!$A:$A,0)),""))</f>
        <v/>
      </c>
      <c r="F3608" s="53">
        <f>IF(B3608="","",IFERROR(INDEX(Client_List!$D:$D,MATCH(VALUE(B3608),Client_List!$A:$A,0)),""))</f>
        <v/>
      </c>
      <c r="G3608" s="53">
        <f>IF(B3608="","",IFERROR(INDEX(Client_List!$K:$K,MATCH(VALUE(B3608),Client_List!$A:$A,0)),""))</f>
        <v/>
      </c>
      <c r="H3608" s="32">
        <f>IF(B3608="","",IFERROR(INDEX(Client_List!$J:$J,MATCH(VALUE(B3608),Client_List!$A:$A,0)),""))</f>
        <v/>
      </c>
      <c r="I3608" s="70">
        <f>IF(B3608="","",IFERROR(A3608-LOOKUP(2,1/($B$4:$B3607=B3608),$A$4:$A3607),""))</f>
        <v/>
      </c>
      <c r="J3608" s="32">
        <f>IF(B3608="","",IFERROR(D3608/I3608,""))</f>
        <v/>
      </c>
      <c r="K3608" s="71">
        <f>IF(B3608="","",IFERROR(AVERAGEIFS($J$4:$J3608,$B$4:$B3608,B3608,$J$4:$J3608,"&gt;"&amp;0),""))</f>
        <v/>
      </c>
      <c r="L3608" s="12" t="n"/>
    </row>
    <row r="3609" ht="14" customHeight="1" s="72">
      <c r="A3609" s="82" t="n"/>
      <c r="B3609" s="79" t="n"/>
      <c r="C3609" s="69">
        <f>IF(B3609="","",IFERROR(INDEX(Client_List!$B:$B,MATCH(B3609,Client_List!$A:$A,0)),"⚠ NOT FOUND"))</f>
        <v/>
      </c>
      <c r="D3609" s="44" t="n"/>
      <c r="E3609" s="32">
        <f>IF(B3609="","",IFERROR(INDEX(Client_List!$C:$C,MATCH(VALUE(B3609),Client_List!$A:$A,0)),""))</f>
        <v/>
      </c>
      <c r="F3609" s="53">
        <f>IF(B3609="","",IFERROR(INDEX(Client_List!$D:$D,MATCH(VALUE(B3609),Client_List!$A:$A,0)),""))</f>
        <v/>
      </c>
      <c r="G3609" s="53">
        <f>IF(B3609="","",IFERROR(INDEX(Client_List!$K:$K,MATCH(VALUE(B3609),Client_List!$A:$A,0)),""))</f>
        <v/>
      </c>
      <c r="H3609" s="32">
        <f>IF(B3609="","",IFERROR(INDEX(Client_List!$J:$J,MATCH(VALUE(B3609),Client_List!$A:$A,0)),""))</f>
        <v/>
      </c>
      <c r="I3609" s="70">
        <f>IF(B3609="","",IFERROR(A3609-LOOKUP(2,1/($B$4:$B3608=B3609),$A$4:$A3608),""))</f>
        <v/>
      </c>
      <c r="J3609" s="32">
        <f>IF(B3609="","",IFERROR(D3609/I3609,""))</f>
        <v/>
      </c>
      <c r="K3609" s="71">
        <f>IF(B3609="","",IFERROR(AVERAGEIFS($J$4:$J3609,$B$4:$B3609,B3609,$J$4:$J3609,"&gt;"&amp;0),""))</f>
        <v/>
      </c>
      <c r="L3609" s="11" t="n"/>
    </row>
    <row r="3610" ht="14" customHeight="1" s="72">
      <c r="A3610" s="83" t="n"/>
      <c r="B3610" s="81" t="n"/>
      <c r="C3610" s="69">
        <f>IF(B3610="","",IFERROR(INDEX(Client_List!$B:$B,MATCH(B3610,Client_List!$A:$A,0)),"⚠ NOT FOUND"))</f>
        <v/>
      </c>
      <c r="D3610" s="45" t="n"/>
      <c r="E3610" s="32">
        <f>IF(B3610="","",IFERROR(INDEX(Client_List!$C:$C,MATCH(VALUE(B3610),Client_List!$A:$A,0)),""))</f>
        <v/>
      </c>
      <c r="F3610" s="53">
        <f>IF(B3610="","",IFERROR(INDEX(Client_List!$D:$D,MATCH(VALUE(B3610),Client_List!$A:$A,0)),""))</f>
        <v/>
      </c>
      <c r="G3610" s="53">
        <f>IF(B3610="","",IFERROR(INDEX(Client_List!$K:$K,MATCH(VALUE(B3610),Client_List!$A:$A,0)),""))</f>
        <v/>
      </c>
      <c r="H3610" s="32">
        <f>IF(B3610="","",IFERROR(INDEX(Client_List!$J:$J,MATCH(VALUE(B3610),Client_List!$A:$A,0)),""))</f>
        <v/>
      </c>
      <c r="I3610" s="70">
        <f>IF(B3610="","",IFERROR(A3610-LOOKUP(2,1/($B$4:$B3609=B3610),$A$4:$A3609),""))</f>
        <v/>
      </c>
      <c r="J3610" s="32">
        <f>IF(B3610="","",IFERROR(D3610/I3610,""))</f>
        <v/>
      </c>
      <c r="K3610" s="71">
        <f>IF(B3610="","",IFERROR(AVERAGEIFS($J$4:$J3610,$B$4:$B3610,B3610,$J$4:$J3610,"&gt;"&amp;0),""))</f>
        <v/>
      </c>
      <c r="L3610" s="12" t="n"/>
    </row>
    <row r="3611" ht="14" customHeight="1" s="72">
      <c r="A3611" s="82" t="n"/>
      <c r="B3611" s="79" t="n"/>
      <c r="C3611" s="69">
        <f>IF(B3611="","",IFERROR(INDEX(Client_List!$B:$B,MATCH(B3611,Client_List!$A:$A,0)),"⚠ NOT FOUND"))</f>
        <v/>
      </c>
      <c r="D3611" s="44" t="n"/>
      <c r="E3611" s="32">
        <f>IF(B3611="","",IFERROR(INDEX(Client_List!$C:$C,MATCH(VALUE(B3611),Client_List!$A:$A,0)),""))</f>
        <v/>
      </c>
      <c r="F3611" s="53">
        <f>IF(B3611="","",IFERROR(INDEX(Client_List!$D:$D,MATCH(VALUE(B3611),Client_List!$A:$A,0)),""))</f>
        <v/>
      </c>
      <c r="G3611" s="53">
        <f>IF(B3611="","",IFERROR(INDEX(Client_List!$K:$K,MATCH(VALUE(B3611),Client_List!$A:$A,0)),""))</f>
        <v/>
      </c>
      <c r="H3611" s="32">
        <f>IF(B3611="","",IFERROR(INDEX(Client_List!$J:$J,MATCH(VALUE(B3611),Client_List!$A:$A,0)),""))</f>
        <v/>
      </c>
      <c r="I3611" s="70">
        <f>IF(B3611="","",IFERROR(A3611-LOOKUP(2,1/($B$4:$B3610=B3611),$A$4:$A3610),""))</f>
        <v/>
      </c>
      <c r="J3611" s="32">
        <f>IF(B3611="","",IFERROR(D3611/I3611,""))</f>
        <v/>
      </c>
      <c r="K3611" s="71">
        <f>IF(B3611="","",IFERROR(AVERAGEIFS($J$4:$J3611,$B$4:$B3611,B3611,$J$4:$J3611,"&gt;"&amp;0),""))</f>
        <v/>
      </c>
      <c r="L3611" s="11" t="n"/>
    </row>
    <row r="3612" ht="14" customHeight="1" s="72">
      <c r="A3612" s="83" t="n"/>
      <c r="B3612" s="81" t="n"/>
      <c r="C3612" s="69">
        <f>IF(B3612="","",IFERROR(INDEX(Client_List!$B:$B,MATCH(B3612,Client_List!$A:$A,0)),"⚠ NOT FOUND"))</f>
        <v/>
      </c>
      <c r="D3612" s="45" t="n"/>
      <c r="E3612" s="32">
        <f>IF(B3612="","",IFERROR(INDEX(Client_List!$C:$C,MATCH(VALUE(B3612),Client_List!$A:$A,0)),""))</f>
        <v/>
      </c>
      <c r="F3612" s="53">
        <f>IF(B3612="","",IFERROR(INDEX(Client_List!$D:$D,MATCH(VALUE(B3612),Client_List!$A:$A,0)),""))</f>
        <v/>
      </c>
      <c r="G3612" s="53">
        <f>IF(B3612="","",IFERROR(INDEX(Client_List!$K:$K,MATCH(VALUE(B3612),Client_List!$A:$A,0)),""))</f>
        <v/>
      </c>
      <c r="H3612" s="32">
        <f>IF(B3612="","",IFERROR(INDEX(Client_List!$J:$J,MATCH(VALUE(B3612),Client_List!$A:$A,0)),""))</f>
        <v/>
      </c>
      <c r="I3612" s="70">
        <f>IF(B3612="","",IFERROR(A3612-LOOKUP(2,1/($B$4:$B3611=B3612),$A$4:$A3611),""))</f>
        <v/>
      </c>
      <c r="J3612" s="32">
        <f>IF(B3612="","",IFERROR(D3612/I3612,""))</f>
        <v/>
      </c>
      <c r="K3612" s="71">
        <f>IF(B3612="","",IFERROR(AVERAGEIFS($J$4:$J3612,$B$4:$B3612,B3612,$J$4:$J3612,"&gt;"&amp;0),""))</f>
        <v/>
      </c>
      <c r="L3612" s="12" t="n"/>
    </row>
    <row r="3613" ht="14" customHeight="1" s="72">
      <c r="A3613" s="82" t="n"/>
      <c r="B3613" s="79" t="n"/>
      <c r="C3613" s="69">
        <f>IF(B3613="","",IFERROR(INDEX(Client_List!$B:$B,MATCH(B3613,Client_List!$A:$A,0)),"⚠ NOT FOUND"))</f>
        <v/>
      </c>
      <c r="D3613" s="44" t="n"/>
      <c r="E3613" s="32">
        <f>IF(B3613="","",IFERROR(INDEX(Client_List!$C:$C,MATCH(VALUE(B3613),Client_List!$A:$A,0)),""))</f>
        <v/>
      </c>
      <c r="F3613" s="53">
        <f>IF(B3613="","",IFERROR(INDEX(Client_List!$D:$D,MATCH(VALUE(B3613),Client_List!$A:$A,0)),""))</f>
        <v/>
      </c>
      <c r="G3613" s="53">
        <f>IF(B3613="","",IFERROR(INDEX(Client_List!$K:$K,MATCH(VALUE(B3613),Client_List!$A:$A,0)),""))</f>
        <v/>
      </c>
      <c r="H3613" s="32">
        <f>IF(B3613="","",IFERROR(INDEX(Client_List!$J:$J,MATCH(VALUE(B3613),Client_List!$A:$A,0)),""))</f>
        <v/>
      </c>
      <c r="I3613" s="70">
        <f>IF(B3613="","",IFERROR(A3613-LOOKUP(2,1/($B$4:$B3612=B3613),$A$4:$A3612),""))</f>
        <v/>
      </c>
      <c r="J3613" s="32">
        <f>IF(B3613="","",IFERROR(D3613/I3613,""))</f>
        <v/>
      </c>
      <c r="K3613" s="71">
        <f>IF(B3613="","",IFERROR(AVERAGEIFS($J$4:$J3613,$B$4:$B3613,B3613,$J$4:$J3613,"&gt;"&amp;0),""))</f>
        <v/>
      </c>
      <c r="L3613" s="11" t="n"/>
    </row>
    <row r="3614" ht="14" customHeight="1" s="72">
      <c r="A3614" s="83" t="n"/>
      <c r="B3614" s="81" t="n"/>
      <c r="C3614" s="69">
        <f>IF(B3614="","",IFERROR(INDEX(Client_List!$B:$B,MATCH(B3614,Client_List!$A:$A,0)),"⚠ NOT FOUND"))</f>
        <v/>
      </c>
      <c r="D3614" s="45" t="n"/>
      <c r="E3614" s="32">
        <f>IF(B3614="","",IFERROR(INDEX(Client_List!$C:$C,MATCH(VALUE(B3614),Client_List!$A:$A,0)),""))</f>
        <v/>
      </c>
      <c r="F3614" s="53">
        <f>IF(B3614="","",IFERROR(INDEX(Client_List!$D:$D,MATCH(VALUE(B3614),Client_List!$A:$A,0)),""))</f>
        <v/>
      </c>
      <c r="G3614" s="53">
        <f>IF(B3614="","",IFERROR(INDEX(Client_List!$K:$K,MATCH(VALUE(B3614),Client_List!$A:$A,0)),""))</f>
        <v/>
      </c>
      <c r="H3614" s="32">
        <f>IF(B3614="","",IFERROR(INDEX(Client_List!$J:$J,MATCH(VALUE(B3614),Client_List!$A:$A,0)),""))</f>
        <v/>
      </c>
      <c r="I3614" s="70">
        <f>IF(B3614="","",IFERROR(A3614-LOOKUP(2,1/($B$4:$B3613=B3614),$A$4:$A3613),""))</f>
        <v/>
      </c>
      <c r="J3614" s="32">
        <f>IF(B3614="","",IFERROR(D3614/I3614,""))</f>
        <v/>
      </c>
      <c r="K3614" s="71">
        <f>IF(B3614="","",IFERROR(AVERAGEIFS($J$4:$J3614,$B$4:$B3614,B3614,$J$4:$J3614,"&gt;"&amp;0),""))</f>
        <v/>
      </c>
      <c r="L3614" s="12" t="n"/>
    </row>
    <row r="3615" ht="14" customHeight="1" s="72">
      <c r="A3615" s="82" t="n"/>
      <c r="B3615" s="79" t="n"/>
      <c r="C3615" s="69">
        <f>IF(B3615="","",IFERROR(INDEX(Client_List!$B:$B,MATCH(B3615,Client_List!$A:$A,0)),"⚠ NOT FOUND"))</f>
        <v/>
      </c>
      <c r="D3615" s="44" t="n"/>
      <c r="E3615" s="32">
        <f>IF(B3615="","",IFERROR(INDEX(Client_List!$C:$C,MATCH(VALUE(B3615),Client_List!$A:$A,0)),""))</f>
        <v/>
      </c>
      <c r="F3615" s="53">
        <f>IF(B3615="","",IFERROR(INDEX(Client_List!$D:$D,MATCH(VALUE(B3615),Client_List!$A:$A,0)),""))</f>
        <v/>
      </c>
      <c r="G3615" s="53">
        <f>IF(B3615="","",IFERROR(INDEX(Client_List!$K:$K,MATCH(VALUE(B3615),Client_List!$A:$A,0)),""))</f>
        <v/>
      </c>
      <c r="H3615" s="32">
        <f>IF(B3615="","",IFERROR(INDEX(Client_List!$J:$J,MATCH(VALUE(B3615),Client_List!$A:$A,0)),""))</f>
        <v/>
      </c>
      <c r="I3615" s="70">
        <f>IF(B3615="","",IFERROR(A3615-LOOKUP(2,1/($B$4:$B3614=B3615),$A$4:$A3614),""))</f>
        <v/>
      </c>
      <c r="J3615" s="32">
        <f>IF(B3615="","",IFERROR(D3615/I3615,""))</f>
        <v/>
      </c>
      <c r="K3615" s="71">
        <f>IF(B3615="","",IFERROR(AVERAGEIFS($J$4:$J3615,$B$4:$B3615,B3615,$J$4:$J3615,"&gt;"&amp;0),""))</f>
        <v/>
      </c>
      <c r="L3615" s="11" t="n"/>
    </row>
    <row r="3616" ht="14" customHeight="1" s="72">
      <c r="A3616" s="83" t="n"/>
      <c r="B3616" s="81" t="n"/>
      <c r="C3616" s="69">
        <f>IF(B3616="","",IFERROR(INDEX(Client_List!$B:$B,MATCH(B3616,Client_List!$A:$A,0)),"⚠ NOT FOUND"))</f>
        <v/>
      </c>
      <c r="D3616" s="45" t="n"/>
      <c r="E3616" s="32">
        <f>IF(B3616="","",IFERROR(INDEX(Client_List!$C:$C,MATCH(VALUE(B3616),Client_List!$A:$A,0)),""))</f>
        <v/>
      </c>
      <c r="F3616" s="53">
        <f>IF(B3616="","",IFERROR(INDEX(Client_List!$D:$D,MATCH(VALUE(B3616),Client_List!$A:$A,0)),""))</f>
        <v/>
      </c>
      <c r="G3616" s="53">
        <f>IF(B3616="","",IFERROR(INDEX(Client_List!$K:$K,MATCH(VALUE(B3616),Client_List!$A:$A,0)),""))</f>
        <v/>
      </c>
      <c r="H3616" s="32">
        <f>IF(B3616="","",IFERROR(INDEX(Client_List!$J:$J,MATCH(VALUE(B3616),Client_List!$A:$A,0)),""))</f>
        <v/>
      </c>
      <c r="I3616" s="70">
        <f>IF(B3616="","",IFERROR(A3616-LOOKUP(2,1/($B$4:$B3615=B3616),$A$4:$A3615),""))</f>
        <v/>
      </c>
      <c r="J3616" s="32">
        <f>IF(B3616="","",IFERROR(D3616/I3616,""))</f>
        <v/>
      </c>
      <c r="K3616" s="71">
        <f>IF(B3616="","",IFERROR(AVERAGEIFS($J$4:$J3616,$B$4:$B3616,B3616,$J$4:$J3616,"&gt;"&amp;0),""))</f>
        <v/>
      </c>
      <c r="L3616" s="12" t="n"/>
    </row>
    <row r="3617" ht="14" customHeight="1" s="72">
      <c r="A3617" s="82" t="n"/>
      <c r="B3617" s="79" t="n"/>
      <c r="C3617" s="69">
        <f>IF(B3617="","",IFERROR(INDEX(Client_List!$B:$B,MATCH(B3617,Client_List!$A:$A,0)),"⚠ NOT FOUND"))</f>
        <v/>
      </c>
      <c r="D3617" s="44" t="n"/>
      <c r="E3617" s="32">
        <f>IF(B3617="","",IFERROR(INDEX(Client_List!$C:$C,MATCH(VALUE(B3617),Client_List!$A:$A,0)),""))</f>
        <v/>
      </c>
      <c r="F3617" s="53">
        <f>IF(B3617="","",IFERROR(INDEX(Client_List!$D:$D,MATCH(VALUE(B3617),Client_List!$A:$A,0)),""))</f>
        <v/>
      </c>
      <c r="G3617" s="53">
        <f>IF(B3617="","",IFERROR(INDEX(Client_List!$K:$K,MATCH(VALUE(B3617),Client_List!$A:$A,0)),""))</f>
        <v/>
      </c>
      <c r="H3617" s="32">
        <f>IF(B3617="","",IFERROR(INDEX(Client_List!$J:$J,MATCH(VALUE(B3617),Client_List!$A:$A,0)),""))</f>
        <v/>
      </c>
      <c r="I3617" s="70">
        <f>IF(B3617="","",IFERROR(A3617-LOOKUP(2,1/($B$4:$B3616=B3617),$A$4:$A3616),""))</f>
        <v/>
      </c>
      <c r="J3617" s="32">
        <f>IF(B3617="","",IFERROR(D3617/I3617,""))</f>
        <v/>
      </c>
      <c r="K3617" s="71">
        <f>IF(B3617="","",IFERROR(AVERAGEIFS($J$4:$J3617,$B$4:$B3617,B3617,$J$4:$J3617,"&gt;"&amp;0),""))</f>
        <v/>
      </c>
      <c r="L3617" s="11" t="n"/>
    </row>
    <row r="3618" ht="14" customHeight="1" s="72">
      <c r="A3618" s="83" t="n"/>
      <c r="B3618" s="81" t="n"/>
      <c r="C3618" s="69">
        <f>IF(B3618="","",IFERROR(INDEX(Client_List!$B:$B,MATCH(B3618,Client_List!$A:$A,0)),"⚠ NOT FOUND"))</f>
        <v/>
      </c>
      <c r="D3618" s="45" t="n"/>
      <c r="E3618" s="32">
        <f>IF(B3618="","",IFERROR(INDEX(Client_List!$C:$C,MATCH(VALUE(B3618),Client_List!$A:$A,0)),""))</f>
        <v/>
      </c>
      <c r="F3618" s="53">
        <f>IF(B3618="","",IFERROR(INDEX(Client_List!$D:$D,MATCH(VALUE(B3618),Client_List!$A:$A,0)),""))</f>
        <v/>
      </c>
      <c r="G3618" s="53">
        <f>IF(B3618="","",IFERROR(INDEX(Client_List!$K:$K,MATCH(VALUE(B3618),Client_List!$A:$A,0)),""))</f>
        <v/>
      </c>
      <c r="H3618" s="32">
        <f>IF(B3618="","",IFERROR(INDEX(Client_List!$J:$J,MATCH(VALUE(B3618),Client_List!$A:$A,0)),""))</f>
        <v/>
      </c>
      <c r="I3618" s="70">
        <f>IF(B3618="","",IFERROR(A3618-LOOKUP(2,1/($B$4:$B3617=B3618),$A$4:$A3617),""))</f>
        <v/>
      </c>
      <c r="J3618" s="32">
        <f>IF(B3618="","",IFERROR(D3618/I3618,""))</f>
        <v/>
      </c>
      <c r="K3618" s="71">
        <f>IF(B3618="","",IFERROR(AVERAGEIFS($J$4:$J3618,$B$4:$B3618,B3618,$J$4:$J3618,"&gt;"&amp;0),""))</f>
        <v/>
      </c>
      <c r="L3618" s="12" t="n"/>
    </row>
    <row r="3619" ht="14" customHeight="1" s="72">
      <c r="A3619" s="82" t="n"/>
      <c r="B3619" s="79" t="n"/>
      <c r="C3619" s="69">
        <f>IF(B3619="","",IFERROR(INDEX(Client_List!$B:$B,MATCH(B3619,Client_List!$A:$A,0)),"⚠ NOT FOUND"))</f>
        <v/>
      </c>
      <c r="D3619" s="44" t="n"/>
      <c r="E3619" s="32">
        <f>IF(B3619="","",IFERROR(INDEX(Client_List!$C:$C,MATCH(VALUE(B3619),Client_List!$A:$A,0)),""))</f>
        <v/>
      </c>
      <c r="F3619" s="53">
        <f>IF(B3619="","",IFERROR(INDEX(Client_List!$D:$D,MATCH(VALUE(B3619),Client_List!$A:$A,0)),""))</f>
        <v/>
      </c>
      <c r="G3619" s="53">
        <f>IF(B3619="","",IFERROR(INDEX(Client_List!$K:$K,MATCH(VALUE(B3619),Client_List!$A:$A,0)),""))</f>
        <v/>
      </c>
      <c r="H3619" s="32">
        <f>IF(B3619="","",IFERROR(INDEX(Client_List!$J:$J,MATCH(VALUE(B3619),Client_List!$A:$A,0)),""))</f>
        <v/>
      </c>
      <c r="I3619" s="70">
        <f>IF(B3619="","",IFERROR(A3619-LOOKUP(2,1/($B$4:$B3618=B3619),$A$4:$A3618),""))</f>
        <v/>
      </c>
      <c r="J3619" s="32">
        <f>IF(B3619="","",IFERROR(D3619/I3619,""))</f>
        <v/>
      </c>
      <c r="K3619" s="71">
        <f>IF(B3619="","",IFERROR(AVERAGEIFS($J$4:$J3619,$B$4:$B3619,B3619,$J$4:$J3619,"&gt;"&amp;0),""))</f>
        <v/>
      </c>
      <c r="L3619" s="11" t="n"/>
    </row>
    <row r="3620" ht="14" customHeight="1" s="72">
      <c r="A3620" s="83" t="n"/>
      <c r="B3620" s="81" t="n"/>
      <c r="C3620" s="69">
        <f>IF(B3620="","",IFERROR(INDEX(Client_List!$B:$B,MATCH(B3620,Client_List!$A:$A,0)),"⚠ NOT FOUND"))</f>
        <v/>
      </c>
      <c r="D3620" s="45" t="n"/>
      <c r="E3620" s="32">
        <f>IF(B3620="","",IFERROR(INDEX(Client_List!$C:$C,MATCH(VALUE(B3620),Client_List!$A:$A,0)),""))</f>
        <v/>
      </c>
      <c r="F3620" s="53">
        <f>IF(B3620="","",IFERROR(INDEX(Client_List!$D:$D,MATCH(VALUE(B3620),Client_List!$A:$A,0)),""))</f>
        <v/>
      </c>
      <c r="G3620" s="53">
        <f>IF(B3620="","",IFERROR(INDEX(Client_List!$K:$K,MATCH(VALUE(B3620),Client_List!$A:$A,0)),""))</f>
        <v/>
      </c>
      <c r="H3620" s="32">
        <f>IF(B3620="","",IFERROR(INDEX(Client_List!$J:$J,MATCH(VALUE(B3620),Client_List!$A:$A,0)),""))</f>
        <v/>
      </c>
      <c r="I3620" s="70">
        <f>IF(B3620="","",IFERROR(A3620-LOOKUP(2,1/($B$4:$B3619=B3620),$A$4:$A3619),""))</f>
        <v/>
      </c>
      <c r="J3620" s="32">
        <f>IF(B3620="","",IFERROR(D3620/I3620,""))</f>
        <v/>
      </c>
      <c r="K3620" s="71">
        <f>IF(B3620="","",IFERROR(AVERAGEIFS($J$4:$J3620,$B$4:$B3620,B3620,$J$4:$J3620,"&gt;"&amp;0),""))</f>
        <v/>
      </c>
      <c r="L3620" s="12" t="n"/>
    </row>
    <row r="3621" ht="14" customHeight="1" s="72">
      <c r="A3621" s="82" t="n"/>
      <c r="B3621" s="79" t="n"/>
      <c r="C3621" s="69">
        <f>IF(B3621="","",IFERROR(INDEX(Client_List!$B:$B,MATCH(B3621,Client_List!$A:$A,0)),"⚠ NOT FOUND"))</f>
        <v/>
      </c>
      <c r="D3621" s="44" t="n"/>
      <c r="E3621" s="32">
        <f>IF(B3621="","",IFERROR(INDEX(Client_List!$C:$C,MATCH(VALUE(B3621),Client_List!$A:$A,0)),""))</f>
        <v/>
      </c>
      <c r="F3621" s="53">
        <f>IF(B3621="","",IFERROR(INDEX(Client_List!$D:$D,MATCH(VALUE(B3621),Client_List!$A:$A,0)),""))</f>
        <v/>
      </c>
      <c r="G3621" s="53">
        <f>IF(B3621="","",IFERROR(INDEX(Client_List!$K:$K,MATCH(VALUE(B3621),Client_List!$A:$A,0)),""))</f>
        <v/>
      </c>
      <c r="H3621" s="32">
        <f>IF(B3621="","",IFERROR(INDEX(Client_List!$J:$J,MATCH(VALUE(B3621),Client_List!$A:$A,0)),""))</f>
        <v/>
      </c>
      <c r="I3621" s="70">
        <f>IF(B3621="","",IFERROR(A3621-LOOKUP(2,1/($B$4:$B3620=B3621),$A$4:$A3620),""))</f>
        <v/>
      </c>
      <c r="J3621" s="32">
        <f>IF(B3621="","",IFERROR(D3621/I3621,""))</f>
        <v/>
      </c>
      <c r="K3621" s="71">
        <f>IF(B3621="","",IFERROR(AVERAGEIFS($J$4:$J3621,$B$4:$B3621,B3621,$J$4:$J3621,"&gt;"&amp;0),""))</f>
        <v/>
      </c>
      <c r="L3621" s="11" t="n"/>
    </row>
    <row r="3622" ht="14" customHeight="1" s="72">
      <c r="A3622" s="83" t="n"/>
      <c r="B3622" s="81" t="n"/>
      <c r="C3622" s="69">
        <f>IF(B3622="","",IFERROR(INDEX(Client_List!$B:$B,MATCH(B3622,Client_List!$A:$A,0)),"⚠ NOT FOUND"))</f>
        <v/>
      </c>
      <c r="D3622" s="45" t="n"/>
      <c r="E3622" s="32">
        <f>IF(B3622="","",IFERROR(INDEX(Client_List!$C:$C,MATCH(VALUE(B3622),Client_List!$A:$A,0)),""))</f>
        <v/>
      </c>
      <c r="F3622" s="53">
        <f>IF(B3622="","",IFERROR(INDEX(Client_List!$D:$D,MATCH(VALUE(B3622),Client_List!$A:$A,0)),""))</f>
        <v/>
      </c>
      <c r="G3622" s="53">
        <f>IF(B3622="","",IFERROR(INDEX(Client_List!$K:$K,MATCH(VALUE(B3622),Client_List!$A:$A,0)),""))</f>
        <v/>
      </c>
      <c r="H3622" s="32">
        <f>IF(B3622="","",IFERROR(INDEX(Client_List!$J:$J,MATCH(VALUE(B3622),Client_List!$A:$A,0)),""))</f>
        <v/>
      </c>
      <c r="I3622" s="70">
        <f>IF(B3622="","",IFERROR(A3622-LOOKUP(2,1/($B$4:$B3621=B3622),$A$4:$A3621),""))</f>
        <v/>
      </c>
      <c r="J3622" s="32">
        <f>IF(B3622="","",IFERROR(D3622/I3622,""))</f>
        <v/>
      </c>
      <c r="K3622" s="71">
        <f>IF(B3622="","",IFERROR(AVERAGEIFS($J$4:$J3622,$B$4:$B3622,B3622,$J$4:$J3622,"&gt;"&amp;0),""))</f>
        <v/>
      </c>
      <c r="L3622" s="12" t="n"/>
    </row>
    <row r="3623" ht="14" customHeight="1" s="72">
      <c r="A3623" s="82" t="n"/>
      <c r="B3623" s="79" t="n"/>
      <c r="C3623" s="69">
        <f>IF(B3623="","",IFERROR(INDEX(Client_List!$B:$B,MATCH(B3623,Client_List!$A:$A,0)),"⚠ NOT FOUND"))</f>
        <v/>
      </c>
      <c r="D3623" s="44" t="n"/>
      <c r="E3623" s="32">
        <f>IF(B3623="","",IFERROR(INDEX(Client_List!$C:$C,MATCH(VALUE(B3623),Client_List!$A:$A,0)),""))</f>
        <v/>
      </c>
      <c r="F3623" s="53">
        <f>IF(B3623="","",IFERROR(INDEX(Client_List!$D:$D,MATCH(VALUE(B3623),Client_List!$A:$A,0)),""))</f>
        <v/>
      </c>
      <c r="G3623" s="53">
        <f>IF(B3623="","",IFERROR(INDEX(Client_List!$K:$K,MATCH(VALUE(B3623),Client_List!$A:$A,0)),""))</f>
        <v/>
      </c>
      <c r="H3623" s="32">
        <f>IF(B3623="","",IFERROR(INDEX(Client_List!$J:$J,MATCH(VALUE(B3623),Client_List!$A:$A,0)),""))</f>
        <v/>
      </c>
      <c r="I3623" s="70">
        <f>IF(B3623="","",IFERROR(A3623-LOOKUP(2,1/($B$4:$B3622=B3623),$A$4:$A3622),""))</f>
        <v/>
      </c>
      <c r="J3623" s="32">
        <f>IF(B3623="","",IFERROR(D3623/I3623,""))</f>
        <v/>
      </c>
      <c r="K3623" s="71">
        <f>IF(B3623="","",IFERROR(AVERAGEIFS($J$4:$J3623,$B$4:$B3623,B3623,$J$4:$J3623,"&gt;"&amp;0),""))</f>
        <v/>
      </c>
      <c r="L3623" s="11" t="n"/>
    </row>
    <row r="3624" ht="14" customHeight="1" s="72">
      <c r="A3624" s="83" t="n"/>
      <c r="B3624" s="81" t="n"/>
      <c r="C3624" s="69">
        <f>IF(B3624="","",IFERROR(INDEX(Client_List!$B:$B,MATCH(B3624,Client_List!$A:$A,0)),"⚠ NOT FOUND"))</f>
        <v/>
      </c>
      <c r="D3624" s="45" t="n"/>
      <c r="E3624" s="32">
        <f>IF(B3624="","",IFERROR(INDEX(Client_List!$C:$C,MATCH(VALUE(B3624),Client_List!$A:$A,0)),""))</f>
        <v/>
      </c>
      <c r="F3624" s="53">
        <f>IF(B3624="","",IFERROR(INDEX(Client_List!$D:$D,MATCH(VALUE(B3624),Client_List!$A:$A,0)),""))</f>
        <v/>
      </c>
      <c r="G3624" s="53">
        <f>IF(B3624="","",IFERROR(INDEX(Client_List!$K:$K,MATCH(VALUE(B3624),Client_List!$A:$A,0)),""))</f>
        <v/>
      </c>
      <c r="H3624" s="32">
        <f>IF(B3624="","",IFERROR(INDEX(Client_List!$J:$J,MATCH(VALUE(B3624),Client_List!$A:$A,0)),""))</f>
        <v/>
      </c>
      <c r="I3624" s="70">
        <f>IF(B3624="","",IFERROR(A3624-LOOKUP(2,1/($B$4:$B3623=B3624),$A$4:$A3623),""))</f>
        <v/>
      </c>
      <c r="J3624" s="32">
        <f>IF(B3624="","",IFERROR(D3624/I3624,""))</f>
        <v/>
      </c>
      <c r="K3624" s="71">
        <f>IF(B3624="","",IFERROR(AVERAGEIFS($J$4:$J3624,$B$4:$B3624,B3624,$J$4:$J3624,"&gt;"&amp;0),""))</f>
        <v/>
      </c>
      <c r="L3624" s="12" t="n"/>
    </row>
    <row r="3625" ht="14" customHeight="1" s="72">
      <c r="A3625" s="82" t="n"/>
      <c r="B3625" s="79" t="n"/>
      <c r="C3625" s="69">
        <f>IF(B3625="","",IFERROR(INDEX(Client_List!$B:$B,MATCH(B3625,Client_List!$A:$A,0)),"⚠ NOT FOUND"))</f>
        <v/>
      </c>
      <c r="D3625" s="44" t="n"/>
      <c r="E3625" s="32">
        <f>IF(B3625="","",IFERROR(INDEX(Client_List!$C:$C,MATCH(VALUE(B3625),Client_List!$A:$A,0)),""))</f>
        <v/>
      </c>
      <c r="F3625" s="53">
        <f>IF(B3625="","",IFERROR(INDEX(Client_List!$D:$D,MATCH(VALUE(B3625),Client_List!$A:$A,0)),""))</f>
        <v/>
      </c>
      <c r="G3625" s="53">
        <f>IF(B3625="","",IFERROR(INDEX(Client_List!$K:$K,MATCH(VALUE(B3625),Client_List!$A:$A,0)),""))</f>
        <v/>
      </c>
      <c r="H3625" s="32">
        <f>IF(B3625="","",IFERROR(INDEX(Client_List!$J:$J,MATCH(VALUE(B3625),Client_List!$A:$A,0)),""))</f>
        <v/>
      </c>
      <c r="I3625" s="70">
        <f>IF(B3625="","",IFERROR(A3625-LOOKUP(2,1/($B$4:$B3624=B3625),$A$4:$A3624),""))</f>
        <v/>
      </c>
      <c r="J3625" s="32">
        <f>IF(B3625="","",IFERROR(D3625/I3625,""))</f>
        <v/>
      </c>
      <c r="K3625" s="71">
        <f>IF(B3625="","",IFERROR(AVERAGEIFS($J$4:$J3625,$B$4:$B3625,B3625,$J$4:$J3625,"&gt;"&amp;0),""))</f>
        <v/>
      </c>
      <c r="L3625" s="11" t="n"/>
    </row>
    <row r="3626" ht="14" customHeight="1" s="72">
      <c r="A3626" s="83" t="n"/>
      <c r="B3626" s="81" t="n"/>
      <c r="C3626" s="69">
        <f>IF(B3626="","",IFERROR(INDEX(Client_List!$B:$B,MATCH(B3626,Client_List!$A:$A,0)),"⚠ NOT FOUND"))</f>
        <v/>
      </c>
      <c r="D3626" s="45" t="n"/>
      <c r="E3626" s="32">
        <f>IF(B3626="","",IFERROR(INDEX(Client_List!$C:$C,MATCH(VALUE(B3626),Client_List!$A:$A,0)),""))</f>
        <v/>
      </c>
      <c r="F3626" s="53">
        <f>IF(B3626="","",IFERROR(INDEX(Client_List!$D:$D,MATCH(VALUE(B3626),Client_List!$A:$A,0)),""))</f>
        <v/>
      </c>
      <c r="G3626" s="53">
        <f>IF(B3626="","",IFERROR(INDEX(Client_List!$K:$K,MATCH(VALUE(B3626),Client_List!$A:$A,0)),""))</f>
        <v/>
      </c>
      <c r="H3626" s="32">
        <f>IF(B3626="","",IFERROR(INDEX(Client_List!$J:$J,MATCH(VALUE(B3626),Client_List!$A:$A,0)),""))</f>
        <v/>
      </c>
      <c r="I3626" s="70">
        <f>IF(B3626="","",IFERROR(A3626-LOOKUP(2,1/($B$4:$B3625=B3626),$A$4:$A3625),""))</f>
        <v/>
      </c>
      <c r="J3626" s="32">
        <f>IF(B3626="","",IFERROR(D3626/I3626,""))</f>
        <v/>
      </c>
      <c r="K3626" s="71">
        <f>IF(B3626="","",IFERROR(AVERAGEIFS($J$4:$J3626,$B$4:$B3626,B3626,$J$4:$J3626,"&gt;"&amp;0),""))</f>
        <v/>
      </c>
      <c r="L3626" s="12" t="n"/>
    </row>
    <row r="3627" ht="14" customHeight="1" s="72">
      <c r="A3627" s="82" t="n"/>
      <c r="B3627" s="79" t="n"/>
      <c r="C3627" s="69">
        <f>IF(B3627="","",IFERROR(INDEX(Client_List!$B:$B,MATCH(B3627,Client_List!$A:$A,0)),"⚠ NOT FOUND"))</f>
        <v/>
      </c>
      <c r="D3627" s="44" t="n"/>
      <c r="E3627" s="32">
        <f>IF(B3627="","",IFERROR(INDEX(Client_List!$C:$C,MATCH(VALUE(B3627),Client_List!$A:$A,0)),""))</f>
        <v/>
      </c>
      <c r="F3627" s="53">
        <f>IF(B3627="","",IFERROR(INDEX(Client_List!$D:$D,MATCH(VALUE(B3627),Client_List!$A:$A,0)),""))</f>
        <v/>
      </c>
      <c r="G3627" s="53">
        <f>IF(B3627="","",IFERROR(INDEX(Client_List!$K:$K,MATCH(VALUE(B3627),Client_List!$A:$A,0)),""))</f>
        <v/>
      </c>
      <c r="H3627" s="32">
        <f>IF(B3627="","",IFERROR(INDEX(Client_List!$J:$J,MATCH(VALUE(B3627),Client_List!$A:$A,0)),""))</f>
        <v/>
      </c>
      <c r="I3627" s="70">
        <f>IF(B3627="","",IFERROR(A3627-LOOKUP(2,1/($B$4:$B3626=B3627),$A$4:$A3626),""))</f>
        <v/>
      </c>
      <c r="J3627" s="32">
        <f>IF(B3627="","",IFERROR(D3627/I3627,""))</f>
        <v/>
      </c>
      <c r="K3627" s="71">
        <f>IF(B3627="","",IFERROR(AVERAGEIFS($J$4:$J3627,$B$4:$B3627,B3627,$J$4:$J3627,"&gt;"&amp;0),""))</f>
        <v/>
      </c>
      <c r="L3627" s="11" t="n"/>
    </row>
    <row r="3628" ht="14" customHeight="1" s="72">
      <c r="A3628" s="83" t="n"/>
      <c r="B3628" s="81" t="n"/>
      <c r="C3628" s="69">
        <f>IF(B3628="","",IFERROR(INDEX(Client_List!$B:$B,MATCH(B3628,Client_List!$A:$A,0)),"⚠ NOT FOUND"))</f>
        <v/>
      </c>
      <c r="D3628" s="45" t="n"/>
      <c r="E3628" s="32">
        <f>IF(B3628="","",IFERROR(INDEX(Client_List!$C:$C,MATCH(VALUE(B3628),Client_List!$A:$A,0)),""))</f>
        <v/>
      </c>
      <c r="F3628" s="53">
        <f>IF(B3628="","",IFERROR(INDEX(Client_List!$D:$D,MATCH(VALUE(B3628),Client_List!$A:$A,0)),""))</f>
        <v/>
      </c>
      <c r="G3628" s="53">
        <f>IF(B3628="","",IFERROR(INDEX(Client_List!$K:$K,MATCH(VALUE(B3628),Client_List!$A:$A,0)),""))</f>
        <v/>
      </c>
      <c r="H3628" s="32">
        <f>IF(B3628="","",IFERROR(INDEX(Client_List!$J:$J,MATCH(VALUE(B3628),Client_List!$A:$A,0)),""))</f>
        <v/>
      </c>
      <c r="I3628" s="70">
        <f>IF(B3628="","",IFERROR(A3628-LOOKUP(2,1/($B$4:$B3627=B3628),$A$4:$A3627),""))</f>
        <v/>
      </c>
      <c r="J3628" s="32">
        <f>IF(B3628="","",IFERROR(D3628/I3628,""))</f>
        <v/>
      </c>
      <c r="K3628" s="71">
        <f>IF(B3628="","",IFERROR(AVERAGEIFS($J$4:$J3628,$B$4:$B3628,B3628,$J$4:$J3628,"&gt;"&amp;0),""))</f>
        <v/>
      </c>
      <c r="L3628" s="12" t="n"/>
    </row>
    <row r="3629" ht="14" customHeight="1" s="72">
      <c r="A3629" s="82" t="n"/>
      <c r="B3629" s="79" t="n"/>
      <c r="C3629" s="69">
        <f>IF(B3629="","",IFERROR(INDEX(Client_List!$B:$B,MATCH(B3629,Client_List!$A:$A,0)),"⚠ NOT FOUND"))</f>
        <v/>
      </c>
      <c r="D3629" s="44" t="n"/>
      <c r="E3629" s="32">
        <f>IF(B3629="","",IFERROR(INDEX(Client_List!$C:$C,MATCH(VALUE(B3629),Client_List!$A:$A,0)),""))</f>
        <v/>
      </c>
      <c r="F3629" s="53">
        <f>IF(B3629="","",IFERROR(INDEX(Client_List!$D:$D,MATCH(VALUE(B3629),Client_List!$A:$A,0)),""))</f>
        <v/>
      </c>
      <c r="G3629" s="53">
        <f>IF(B3629="","",IFERROR(INDEX(Client_List!$K:$K,MATCH(VALUE(B3629),Client_List!$A:$A,0)),""))</f>
        <v/>
      </c>
      <c r="H3629" s="32">
        <f>IF(B3629="","",IFERROR(INDEX(Client_List!$J:$J,MATCH(VALUE(B3629),Client_List!$A:$A,0)),""))</f>
        <v/>
      </c>
      <c r="I3629" s="70">
        <f>IF(B3629="","",IFERROR(A3629-LOOKUP(2,1/($B$4:$B3628=B3629),$A$4:$A3628),""))</f>
        <v/>
      </c>
      <c r="J3629" s="32">
        <f>IF(B3629="","",IFERROR(D3629/I3629,""))</f>
        <v/>
      </c>
      <c r="K3629" s="71">
        <f>IF(B3629="","",IFERROR(AVERAGEIFS($J$4:$J3629,$B$4:$B3629,B3629,$J$4:$J3629,"&gt;"&amp;0),""))</f>
        <v/>
      </c>
      <c r="L3629" s="11" t="n"/>
    </row>
    <row r="3630" ht="14" customHeight="1" s="72">
      <c r="A3630" s="83" t="n"/>
      <c r="B3630" s="81" t="n"/>
      <c r="C3630" s="69">
        <f>IF(B3630="","",IFERROR(INDEX(Client_List!$B:$B,MATCH(B3630,Client_List!$A:$A,0)),"⚠ NOT FOUND"))</f>
        <v/>
      </c>
      <c r="D3630" s="45" t="n"/>
      <c r="E3630" s="32">
        <f>IF(B3630="","",IFERROR(INDEX(Client_List!$C:$C,MATCH(VALUE(B3630),Client_List!$A:$A,0)),""))</f>
        <v/>
      </c>
      <c r="F3630" s="53">
        <f>IF(B3630="","",IFERROR(INDEX(Client_List!$D:$D,MATCH(VALUE(B3630),Client_List!$A:$A,0)),""))</f>
        <v/>
      </c>
      <c r="G3630" s="53">
        <f>IF(B3630="","",IFERROR(INDEX(Client_List!$K:$K,MATCH(VALUE(B3630),Client_List!$A:$A,0)),""))</f>
        <v/>
      </c>
      <c r="H3630" s="32">
        <f>IF(B3630="","",IFERROR(INDEX(Client_List!$J:$J,MATCH(VALUE(B3630),Client_List!$A:$A,0)),""))</f>
        <v/>
      </c>
      <c r="I3630" s="70">
        <f>IF(B3630="","",IFERROR(A3630-LOOKUP(2,1/($B$4:$B3629=B3630),$A$4:$A3629),""))</f>
        <v/>
      </c>
      <c r="J3630" s="32">
        <f>IF(B3630="","",IFERROR(D3630/I3630,""))</f>
        <v/>
      </c>
      <c r="K3630" s="71">
        <f>IF(B3630="","",IFERROR(AVERAGEIFS($J$4:$J3630,$B$4:$B3630,B3630,$J$4:$J3630,"&gt;"&amp;0),""))</f>
        <v/>
      </c>
      <c r="L3630" s="12" t="n"/>
    </row>
    <row r="3631" ht="14" customHeight="1" s="72">
      <c r="A3631" s="82" t="n"/>
      <c r="B3631" s="79" t="n"/>
      <c r="C3631" s="69">
        <f>IF(B3631="","",IFERROR(INDEX(Client_List!$B:$B,MATCH(B3631,Client_List!$A:$A,0)),"⚠ NOT FOUND"))</f>
        <v/>
      </c>
      <c r="D3631" s="44" t="n"/>
      <c r="E3631" s="32">
        <f>IF(B3631="","",IFERROR(INDEX(Client_List!$C:$C,MATCH(VALUE(B3631),Client_List!$A:$A,0)),""))</f>
        <v/>
      </c>
      <c r="F3631" s="53">
        <f>IF(B3631="","",IFERROR(INDEX(Client_List!$D:$D,MATCH(VALUE(B3631),Client_List!$A:$A,0)),""))</f>
        <v/>
      </c>
      <c r="G3631" s="53">
        <f>IF(B3631="","",IFERROR(INDEX(Client_List!$K:$K,MATCH(VALUE(B3631),Client_List!$A:$A,0)),""))</f>
        <v/>
      </c>
      <c r="H3631" s="32">
        <f>IF(B3631="","",IFERROR(INDEX(Client_List!$J:$J,MATCH(VALUE(B3631),Client_List!$A:$A,0)),""))</f>
        <v/>
      </c>
      <c r="I3631" s="70">
        <f>IF(B3631="","",IFERROR(A3631-LOOKUP(2,1/($B$4:$B3630=B3631),$A$4:$A3630),""))</f>
        <v/>
      </c>
      <c r="J3631" s="32">
        <f>IF(B3631="","",IFERROR(D3631/I3631,""))</f>
        <v/>
      </c>
      <c r="K3631" s="71">
        <f>IF(B3631="","",IFERROR(AVERAGEIFS($J$4:$J3631,$B$4:$B3631,B3631,$J$4:$J3631,"&gt;"&amp;0),""))</f>
        <v/>
      </c>
      <c r="L3631" s="11" t="n"/>
    </row>
    <row r="3632" ht="14" customHeight="1" s="72">
      <c r="A3632" s="83" t="n"/>
      <c r="B3632" s="81" t="n"/>
      <c r="C3632" s="69">
        <f>IF(B3632="","",IFERROR(INDEX(Client_List!$B:$B,MATCH(B3632,Client_List!$A:$A,0)),"⚠ NOT FOUND"))</f>
        <v/>
      </c>
      <c r="D3632" s="45" t="n"/>
      <c r="E3632" s="32">
        <f>IF(B3632="","",IFERROR(INDEX(Client_List!$C:$C,MATCH(VALUE(B3632),Client_List!$A:$A,0)),""))</f>
        <v/>
      </c>
      <c r="F3632" s="53">
        <f>IF(B3632="","",IFERROR(INDEX(Client_List!$D:$D,MATCH(VALUE(B3632),Client_List!$A:$A,0)),""))</f>
        <v/>
      </c>
      <c r="G3632" s="53">
        <f>IF(B3632="","",IFERROR(INDEX(Client_List!$K:$K,MATCH(VALUE(B3632),Client_List!$A:$A,0)),""))</f>
        <v/>
      </c>
      <c r="H3632" s="32">
        <f>IF(B3632="","",IFERROR(INDEX(Client_List!$J:$J,MATCH(VALUE(B3632),Client_List!$A:$A,0)),""))</f>
        <v/>
      </c>
      <c r="I3632" s="70">
        <f>IF(B3632="","",IFERROR(A3632-LOOKUP(2,1/($B$4:$B3631=B3632),$A$4:$A3631),""))</f>
        <v/>
      </c>
      <c r="J3632" s="32">
        <f>IF(B3632="","",IFERROR(D3632/I3632,""))</f>
        <v/>
      </c>
      <c r="K3632" s="71">
        <f>IF(B3632="","",IFERROR(AVERAGEIFS($J$4:$J3632,$B$4:$B3632,B3632,$J$4:$J3632,"&gt;"&amp;0),""))</f>
        <v/>
      </c>
      <c r="L3632" s="12" t="n"/>
    </row>
    <row r="3633" ht="14" customHeight="1" s="72">
      <c r="A3633" s="82" t="n"/>
      <c r="B3633" s="79" t="n"/>
      <c r="C3633" s="69">
        <f>IF(B3633="","",IFERROR(INDEX(Client_List!$B:$B,MATCH(B3633,Client_List!$A:$A,0)),"⚠ NOT FOUND"))</f>
        <v/>
      </c>
      <c r="D3633" s="44" t="n"/>
      <c r="E3633" s="32">
        <f>IF(B3633="","",IFERROR(INDEX(Client_List!$C:$C,MATCH(VALUE(B3633),Client_List!$A:$A,0)),""))</f>
        <v/>
      </c>
      <c r="F3633" s="53">
        <f>IF(B3633="","",IFERROR(INDEX(Client_List!$D:$D,MATCH(VALUE(B3633),Client_List!$A:$A,0)),""))</f>
        <v/>
      </c>
      <c r="G3633" s="53">
        <f>IF(B3633="","",IFERROR(INDEX(Client_List!$K:$K,MATCH(VALUE(B3633),Client_List!$A:$A,0)),""))</f>
        <v/>
      </c>
      <c r="H3633" s="32">
        <f>IF(B3633="","",IFERROR(INDEX(Client_List!$J:$J,MATCH(VALUE(B3633),Client_List!$A:$A,0)),""))</f>
        <v/>
      </c>
      <c r="I3633" s="70">
        <f>IF(B3633="","",IFERROR(A3633-LOOKUP(2,1/($B$4:$B3632=B3633),$A$4:$A3632),""))</f>
        <v/>
      </c>
      <c r="J3633" s="32">
        <f>IF(B3633="","",IFERROR(D3633/I3633,""))</f>
        <v/>
      </c>
      <c r="K3633" s="71">
        <f>IF(B3633="","",IFERROR(AVERAGEIFS($J$4:$J3633,$B$4:$B3633,B3633,$J$4:$J3633,"&gt;"&amp;0),""))</f>
        <v/>
      </c>
      <c r="L3633" s="11" t="n"/>
    </row>
    <row r="3634" ht="14" customHeight="1" s="72">
      <c r="A3634" s="83" t="n"/>
      <c r="B3634" s="81" t="n"/>
      <c r="C3634" s="69">
        <f>IF(B3634="","",IFERROR(INDEX(Client_List!$B:$B,MATCH(B3634,Client_List!$A:$A,0)),"⚠ NOT FOUND"))</f>
        <v/>
      </c>
      <c r="D3634" s="45" t="n"/>
      <c r="E3634" s="32">
        <f>IF(B3634="","",IFERROR(INDEX(Client_List!$C:$C,MATCH(VALUE(B3634),Client_List!$A:$A,0)),""))</f>
        <v/>
      </c>
      <c r="F3634" s="53">
        <f>IF(B3634="","",IFERROR(INDEX(Client_List!$D:$D,MATCH(VALUE(B3634),Client_List!$A:$A,0)),""))</f>
        <v/>
      </c>
      <c r="G3634" s="53">
        <f>IF(B3634="","",IFERROR(INDEX(Client_List!$K:$K,MATCH(VALUE(B3634),Client_List!$A:$A,0)),""))</f>
        <v/>
      </c>
      <c r="H3634" s="32">
        <f>IF(B3634="","",IFERROR(INDEX(Client_List!$J:$J,MATCH(VALUE(B3634),Client_List!$A:$A,0)),""))</f>
        <v/>
      </c>
      <c r="I3634" s="70">
        <f>IF(B3634="","",IFERROR(A3634-LOOKUP(2,1/($B$4:$B3633=B3634),$A$4:$A3633),""))</f>
        <v/>
      </c>
      <c r="J3634" s="32">
        <f>IF(B3634="","",IFERROR(D3634/I3634,""))</f>
        <v/>
      </c>
      <c r="K3634" s="71">
        <f>IF(B3634="","",IFERROR(AVERAGEIFS($J$4:$J3634,$B$4:$B3634,B3634,$J$4:$J3634,"&gt;"&amp;0),""))</f>
        <v/>
      </c>
      <c r="L3634" s="12" t="n"/>
    </row>
    <row r="3635" ht="14" customHeight="1" s="72">
      <c r="A3635" s="82" t="n"/>
      <c r="B3635" s="79" t="n"/>
      <c r="C3635" s="69">
        <f>IF(B3635="","",IFERROR(INDEX(Client_List!$B:$B,MATCH(B3635,Client_List!$A:$A,0)),"⚠ NOT FOUND"))</f>
        <v/>
      </c>
      <c r="D3635" s="44" t="n"/>
      <c r="E3635" s="32">
        <f>IF(B3635="","",IFERROR(INDEX(Client_List!$C:$C,MATCH(VALUE(B3635),Client_List!$A:$A,0)),""))</f>
        <v/>
      </c>
      <c r="F3635" s="53">
        <f>IF(B3635="","",IFERROR(INDEX(Client_List!$D:$D,MATCH(VALUE(B3635),Client_List!$A:$A,0)),""))</f>
        <v/>
      </c>
      <c r="G3635" s="53">
        <f>IF(B3635="","",IFERROR(INDEX(Client_List!$K:$K,MATCH(VALUE(B3635),Client_List!$A:$A,0)),""))</f>
        <v/>
      </c>
      <c r="H3635" s="32">
        <f>IF(B3635="","",IFERROR(INDEX(Client_List!$J:$J,MATCH(VALUE(B3635),Client_List!$A:$A,0)),""))</f>
        <v/>
      </c>
      <c r="I3635" s="70">
        <f>IF(B3635="","",IFERROR(A3635-LOOKUP(2,1/($B$4:$B3634=B3635),$A$4:$A3634),""))</f>
        <v/>
      </c>
      <c r="J3635" s="32">
        <f>IF(B3635="","",IFERROR(D3635/I3635,""))</f>
        <v/>
      </c>
      <c r="K3635" s="71">
        <f>IF(B3635="","",IFERROR(AVERAGEIFS($J$4:$J3635,$B$4:$B3635,B3635,$J$4:$J3635,"&gt;"&amp;0),""))</f>
        <v/>
      </c>
      <c r="L3635" s="11" t="n"/>
    </row>
    <row r="3636" ht="14" customHeight="1" s="72">
      <c r="A3636" s="83" t="n"/>
      <c r="B3636" s="81" t="n"/>
      <c r="C3636" s="69">
        <f>IF(B3636="","",IFERROR(INDEX(Client_List!$B:$B,MATCH(B3636,Client_List!$A:$A,0)),"⚠ NOT FOUND"))</f>
        <v/>
      </c>
      <c r="D3636" s="45" t="n"/>
      <c r="E3636" s="32">
        <f>IF(B3636="","",IFERROR(INDEX(Client_List!$C:$C,MATCH(VALUE(B3636),Client_List!$A:$A,0)),""))</f>
        <v/>
      </c>
      <c r="F3636" s="53">
        <f>IF(B3636="","",IFERROR(INDEX(Client_List!$D:$D,MATCH(VALUE(B3636),Client_List!$A:$A,0)),""))</f>
        <v/>
      </c>
      <c r="G3636" s="53">
        <f>IF(B3636="","",IFERROR(INDEX(Client_List!$K:$K,MATCH(VALUE(B3636),Client_List!$A:$A,0)),""))</f>
        <v/>
      </c>
      <c r="H3636" s="32">
        <f>IF(B3636="","",IFERROR(INDEX(Client_List!$J:$J,MATCH(VALUE(B3636),Client_List!$A:$A,0)),""))</f>
        <v/>
      </c>
      <c r="I3636" s="70">
        <f>IF(B3636="","",IFERROR(A3636-LOOKUP(2,1/($B$4:$B3635=B3636),$A$4:$A3635),""))</f>
        <v/>
      </c>
      <c r="J3636" s="32">
        <f>IF(B3636="","",IFERROR(D3636/I3636,""))</f>
        <v/>
      </c>
      <c r="K3636" s="71">
        <f>IF(B3636="","",IFERROR(AVERAGEIFS($J$4:$J3636,$B$4:$B3636,B3636,$J$4:$J3636,"&gt;"&amp;0),""))</f>
        <v/>
      </c>
      <c r="L3636" s="12" t="n"/>
    </row>
    <row r="3637" ht="14" customHeight="1" s="72">
      <c r="A3637" s="82" t="n"/>
      <c r="B3637" s="79" t="n"/>
      <c r="C3637" s="69">
        <f>IF(B3637="","",IFERROR(INDEX(Client_List!$B:$B,MATCH(B3637,Client_List!$A:$A,0)),"⚠ NOT FOUND"))</f>
        <v/>
      </c>
      <c r="D3637" s="44" t="n"/>
      <c r="E3637" s="32">
        <f>IF(B3637="","",IFERROR(INDEX(Client_List!$C:$C,MATCH(VALUE(B3637),Client_List!$A:$A,0)),""))</f>
        <v/>
      </c>
      <c r="F3637" s="53">
        <f>IF(B3637="","",IFERROR(INDEX(Client_List!$D:$D,MATCH(VALUE(B3637),Client_List!$A:$A,0)),""))</f>
        <v/>
      </c>
      <c r="G3637" s="53">
        <f>IF(B3637="","",IFERROR(INDEX(Client_List!$K:$K,MATCH(VALUE(B3637),Client_List!$A:$A,0)),""))</f>
        <v/>
      </c>
      <c r="H3637" s="32">
        <f>IF(B3637="","",IFERROR(INDEX(Client_List!$J:$J,MATCH(VALUE(B3637),Client_List!$A:$A,0)),""))</f>
        <v/>
      </c>
      <c r="I3637" s="70">
        <f>IF(B3637="","",IFERROR(A3637-LOOKUP(2,1/($B$4:$B3636=B3637),$A$4:$A3636),""))</f>
        <v/>
      </c>
      <c r="J3637" s="32">
        <f>IF(B3637="","",IFERROR(D3637/I3637,""))</f>
        <v/>
      </c>
      <c r="K3637" s="71">
        <f>IF(B3637="","",IFERROR(AVERAGEIFS($J$4:$J3637,$B$4:$B3637,B3637,$J$4:$J3637,"&gt;"&amp;0),""))</f>
        <v/>
      </c>
      <c r="L3637" s="11" t="n"/>
    </row>
    <row r="3638" ht="14" customHeight="1" s="72">
      <c r="A3638" s="83" t="n"/>
      <c r="B3638" s="81" t="n"/>
      <c r="C3638" s="69">
        <f>IF(B3638="","",IFERROR(INDEX(Client_List!$B:$B,MATCH(B3638,Client_List!$A:$A,0)),"⚠ NOT FOUND"))</f>
        <v/>
      </c>
      <c r="D3638" s="45" t="n"/>
      <c r="E3638" s="32">
        <f>IF(B3638="","",IFERROR(INDEX(Client_List!$C:$C,MATCH(VALUE(B3638),Client_List!$A:$A,0)),""))</f>
        <v/>
      </c>
      <c r="F3638" s="53">
        <f>IF(B3638="","",IFERROR(INDEX(Client_List!$D:$D,MATCH(VALUE(B3638),Client_List!$A:$A,0)),""))</f>
        <v/>
      </c>
      <c r="G3638" s="53">
        <f>IF(B3638="","",IFERROR(INDEX(Client_List!$K:$K,MATCH(VALUE(B3638),Client_List!$A:$A,0)),""))</f>
        <v/>
      </c>
      <c r="H3638" s="32">
        <f>IF(B3638="","",IFERROR(INDEX(Client_List!$J:$J,MATCH(VALUE(B3638),Client_List!$A:$A,0)),""))</f>
        <v/>
      </c>
      <c r="I3638" s="70">
        <f>IF(B3638="","",IFERROR(A3638-LOOKUP(2,1/($B$4:$B3637=B3638),$A$4:$A3637),""))</f>
        <v/>
      </c>
      <c r="J3638" s="32">
        <f>IF(B3638="","",IFERROR(D3638/I3638,""))</f>
        <v/>
      </c>
      <c r="K3638" s="71">
        <f>IF(B3638="","",IFERROR(AVERAGEIFS($J$4:$J3638,$B$4:$B3638,B3638,$J$4:$J3638,"&gt;"&amp;0),""))</f>
        <v/>
      </c>
      <c r="L3638" s="12" t="n"/>
    </row>
    <row r="3639" ht="14" customHeight="1" s="72">
      <c r="A3639" s="82" t="n"/>
      <c r="B3639" s="79" t="n"/>
      <c r="C3639" s="69">
        <f>IF(B3639="","",IFERROR(INDEX(Client_List!$B:$B,MATCH(B3639,Client_List!$A:$A,0)),"⚠ NOT FOUND"))</f>
        <v/>
      </c>
      <c r="D3639" s="44" t="n"/>
      <c r="E3639" s="32">
        <f>IF(B3639="","",IFERROR(INDEX(Client_List!$C:$C,MATCH(VALUE(B3639),Client_List!$A:$A,0)),""))</f>
        <v/>
      </c>
      <c r="F3639" s="53">
        <f>IF(B3639="","",IFERROR(INDEX(Client_List!$D:$D,MATCH(VALUE(B3639),Client_List!$A:$A,0)),""))</f>
        <v/>
      </c>
      <c r="G3639" s="53">
        <f>IF(B3639="","",IFERROR(INDEX(Client_List!$K:$K,MATCH(VALUE(B3639),Client_List!$A:$A,0)),""))</f>
        <v/>
      </c>
      <c r="H3639" s="32">
        <f>IF(B3639="","",IFERROR(INDEX(Client_List!$J:$J,MATCH(VALUE(B3639),Client_List!$A:$A,0)),""))</f>
        <v/>
      </c>
      <c r="I3639" s="70">
        <f>IF(B3639="","",IFERROR(A3639-LOOKUP(2,1/($B$4:$B3638=B3639),$A$4:$A3638),""))</f>
        <v/>
      </c>
      <c r="J3639" s="32">
        <f>IF(B3639="","",IFERROR(D3639/I3639,""))</f>
        <v/>
      </c>
      <c r="K3639" s="71">
        <f>IF(B3639="","",IFERROR(AVERAGEIFS($J$4:$J3639,$B$4:$B3639,B3639,$J$4:$J3639,"&gt;"&amp;0),""))</f>
        <v/>
      </c>
      <c r="L3639" s="11" t="n"/>
    </row>
    <row r="3640" ht="14" customHeight="1" s="72">
      <c r="A3640" s="83" t="n"/>
      <c r="B3640" s="81" t="n"/>
      <c r="C3640" s="69">
        <f>IF(B3640="","",IFERROR(INDEX(Client_List!$B:$B,MATCH(B3640,Client_List!$A:$A,0)),"⚠ NOT FOUND"))</f>
        <v/>
      </c>
      <c r="D3640" s="45" t="n"/>
      <c r="E3640" s="32">
        <f>IF(B3640="","",IFERROR(INDEX(Client_List!$C:$C,MATCH(VALUE(B3640),Client_List!$A:$A,0)),""))</f>
        <v/>
      </c>
      <c r="F3640" s="53">
        <f>IF(B3640="","",IFERROR(INDEX(Client_List!$D:$D,MATCH(VALUE(B3640),Client_List!$A:$A,0)),""))</f>
        <v/>
      </c>
      <c r="G3640" s="53">
        <f>IF(B3640="","",IFERROR(INDEX(Client_List!$K:$K,MATCH(VALUE(B3640),Client_List!$A:$A,0)),""))</f>
        <v/>
      </c>
      <c r="H3640" s="32">
        <f>IF(B3640="","",IFERROR(INDEX(Client_List!$J:$J,MATCH(VALUE(B3640),Client_List!$A:$A,0)),""))</f>
        <v/>
      </c>
      <c r="I3640" s="70">
        <f>IF(B3640="","",IFERROR(A3640-LOOKUP(2,1/($B$4:$B3639=B3640),$A$4:$A3639),""))</f>
        <v/>
      </c>
      <c r="J3640" s="32">
        <f>IF(B3640="","",IFERROR(D3640/I3640,""))</f>
        <v/>
      </c>
      <c r="K3640" s="71">
        <f>IF(B3640="","",IFERROR(AVERAGEIFS($J$4:$J3640,$B$4:$B3640,B3640,$J$4:$J3640,"&gt;"&amp;0),""))</f>
        <v/>
      </c>
      <c r="L3640" s="12" t="n"/>
    </row>
    <row r="3641" ht="14" customHeight="1" s="72">
      <c r="A3641" s="82" t="n"/>
      <c r="B3641" s="79" t="n"/>
      <c r="C3641" s="69">
        <f>IF(B3641="","",IFERROR(INDEX(Client_List!$B:$B,MATCH(B3641,Client_List!$A:$A,0)),"⚠ NOT FOUND"))</f>
        <v/>
      </c>
      <c r="D3641" s="44" t="n"/>
      <c r="E3641" s="32">
        <f>IF(B3641="","",IFERROR(INDEX(Client_List!$C:$C,MATCH(VALUE(B3641),Client_List!$A:$A,0)),""))</f>
        <v/>
      </c>
      <c r="F3641" s="53">
        <f>IF(B3641="","",IFERROR(INDEX(Client_List!$D:$D,MATCH(VALUE(B3641),Client_List!$A:$A,0)),""))</f>
        <v/>
      </c>
      <c r="G3641" s="53">
        <f>IF(B3641="","",IFERROR(INDEX(Client_List!$K:$K,MATCH(VALUE(B3641),Client_List!$A:$A,0)),""))</f>
        <v/>
      </c>
      <c r="H3641" s="32">
        <f>IF(B3641="","",IFERROR(INDEX(Client_List!$J:$J,MATCH(VALUE(B3641),Client_List!$A:$A,0)),""))</f>
        <v/>
      </c>
      <c r="I3641" s="70">
        <f>IF(B3641="","",IFERROR(A3641-LOOKUP(2,1/($B$4:$B3640=B3641),$A$4:$A3640),""))</f>
        <v/>
      </c>
      <c r="J3641" s="32">
        <f>IF(B3641="","",IFERROR(D3641/I3641,""))</f>
        <v/>
      </c>
      <c r="K3641" s="71">
        <f>IF(B3641="","",IFERROR(AVERAGEIFS($J$4:$J3641,$B$4:$B3641,B3641,$J$4:$J3641,"&gt;"&amp;0),""))</f>
        <v/>
      </c>
      <c r="L3641" s="11" t="n"/>
    </row>
    <row r="3642" ht="14" customHeight="1" s="72">
      <c r="A3642" s="83" t="n"/>
      <c r="B3642" s="81" t="n"/>
      <c r="C3642" s="69">
        <f>IF(B3642="","",IFERROR(INDEX(Client_List!$B:$B,MATCH(B3642,Client_List!$A:$A,0)),"⚠ NOT FOUND"))</f>
        <v/>
      </c>
      <c r="D3642" s="45" t="n"/>
      <c r="E3642" s="32">
        <f>IF(B3642="","",IFERROR(INDEX(Client_List!$C:$C,MATCH(VALUE(B3642),Client_List!$A:$A,0)),""))</f>
        <v/>
      </c>
      <c r="F3642" s="53">
        <f>IF(B3642="","",IFERROR(INDEX(Client_List!$D:$D,MATCH(VALUE(B3642),Client_List!$A:$A,0)),""))</f>
        <v/>
      </c>
      <c r="G3642" s="53">
        <f>IF(B3642="","",IFERROR(INDEX(Client_List!$K:$K,MATCH(VALUE(B3642),Client_List!$A:$A,0)),""))</f>
        <v/>
      </c>
      <c r="H3642" s="32">
        <f>IF(B3642="","",IFERROR(INDEX(Client_List!$J:$J,MATCH(VALUE(B3642),Client_List!$A:$A,0)),""))</f>
        <v/>
      </c>
      <c r="I3642" s="70">
        <f>IF(B3642="","",IFERROR(A3642-LOOKUP(2,1/($B$4:$B3641=B3642),$A$4:$A3641),""))</f>
        <v/>
      </c>
      <c r="J3642" s="32">
        <f>IF(B3642="","",IFERROR(D3642/I3642,""))</f>
        <v/>
      </c>
      <c r="K3642" s="71">
        <f>IF(B3642="","",IFERROR(AVERAGEIFS($J$4:$J3642,$B$4:$B3642,B3642,$J$4:$J3642,"&gt;"&amp;0),""))</f>
        <v/>
      </c>
      <c r="L3642" s="12" t="n"/>
    </row>
    <row r="3643" ht="14" customHeight="1" s="72">
      <c r="A3643" s="82" t="n"/>
      <c r="B3643" s="79" t="n"/>
      <c r="C3643" s="69">
        <f>IF(B3643="","",IFERROR(INDEX(Client_List!$B:$B,MATCH(B3643,Client_List!$A:$A,0)),"⚠ NOT FOUND"))</f>
        <v/>
      </c>
      <c r="D3643" s="44" t="n"/>
      <c r="E3643" s="32">
        <f>IF(B3643="","",IFERROR(INDEX(Client_List!$C:$C,MATCH(VALUE(B3643),Client_List!$A:$A,0)),""))</f>
        <v/>
      </c>
      <c r="F3643" s="53">
        <f>IF(B3643="","",IFERROR(INDEX(Client_List!$D:$D,MATCH(VALUE(B3643),Client_List!$A:$A,0)),""))</f>
        <v/>
      </c>
      <c r="G3643" s="53">
        <f>IF(B3643="","",IFERROR(INDEX(Client_List!$K:$K,MATCH(VALUE(B3643),Client_List!$A:$A,0)),""))</f>
        <v/>
      </c>
      <c r="H3643" s="32">
        <f>IF(B3643="","",IFERROR(INDEX(Client_List!$J:$J,MATCH(VALUE(B3643),Client_List!$A:$A,0)),""))</f>
        <v/>
      </c>
      <c r="I3643" s="70">
        <f>IF(B3643="","",IFERROR(A3643-LOOKUP(2,1/($B$4:$B3642=B3643),$A$4:$A3642),""))</f>
        <v/>
      </c>
      <c r="J3643" s="32">
        <f>IF(B3643="","",IFERROR(D3643/I3643,""))</f>
        <v/>
      </c>
      <c r="K3643" s="71">
        <f>IF(B3643="","",IFERROR(AVERAGEIFS($J$4:$J3643,$B$4:$B3643,B3643,$J$4:$J3643,"&gt;"&amp;0),""))</f>
        <v/>
      </c>
      <c r="L3643" s="11" t="n"/>
    </row>
    <row r="3644" ht="14" customHeight="1" s="72">
      <c r="A3644" s="83" t="n"/>
      <c r="B3644" s="81" t="n"/>
      <c r="C3644" s="69">
        <f>IF(B3644="","",IFERROR(INDEX(Client_List!$B:$B,MATCH(B3644,Client_List!$A:$A,0)),"⚠ NOT FOUND"))</f>
        <v/>
      </c>
      <c r="D3644" s="45" t="n"/>
      <c r="E3644" s="32">
        <f>IF(B3644="","",IFERROR(INDEX(Client_List!$C:$C,MATCH(VALUE(B3644),Client_List!$A:$A,0)),""))</f>
        <v/>
      </c>
      <c r="F3644" s="53">
        <f>IF(B3644="","",IFERROR(INDEX(Client_List!$D:$D,MATCH(VALUE(B3644),Client_List!$A:$A,0)),""))</f>
        <v/>
      </c>
      <c r="G3644" s="53">
        <f>IF(B3644="","",IFERROR(INDEX(Client_List!$K:$K,MATCH(VALUE(B3644),Client_List!$A:$A,0)),""))</f>
        <v/>
      </c>
      <c r="H3644" s="32">
        <f>IF(B3644="","",IFERROR(INDEX(Client_List!$J:$J,MATCH(VALUE(B3644),Client_List!$A:$A,0)),""))</f>
        <v/>
      </c>
      <c r="I3644" s="70">
        <f>IF(B3644="","",IFERROR(A3644-LOOKUP(2,1/($B$4:$B3643=B3644),$A$4:$A3643),""))</f>
        <v/>
      </c>
      <c r="J3644" s="32">
        <f>IF(B3644="","",IFERROR(D3644/I3644,""))</f>
        <v/>
      </c>
      <c r="K3644" s="71">
        <f>IF(B3644="","",IFERROR(AVERAGEIFS($J$4:$J3644,$B$4:$B3644,B3644,$J$4:$J3644,"&gt;"&amp;0),""))</f>
        <v/>
      </c>
      <c r="L3644" s="12" t="n"/>
    </row>
    <row r="3645" ht="14" customHeight="1" s="72">
      <c r="A3645" s="82" t="n"/>
      <c r="B3645" s="79" t="n"/>
      <c r="C3645" s="69">
        <f>IF(B3645="","",IFERROR(INDEX(Client_List!$B:$B,MATCH(B3645,Client_List!$A:$A,0)),"⚠ NOT FOUND"))</f>
        <v/>
      </c>
      <c r="D3645" s="44" t="n"/>
      <c r="E3645" s="32">
        <f>IF(B3645="","",IFERROR(INDEX(Client_List!$C:$C,MATCH(VALUE(B3645),Client_List!$A:$A,0)),""))</f>
        <v/>
      </c>
      <c r="F3645" s="53">
        <f>IF(B3645="","",IFERROR(INDEX(Client_List!$D:$D,MATCH(VALUE(B3645),Client_List!$A:$A,0)),""))</f>
        <v/>
      </c>
      <c r="G3645" s="53">
        <f>IF(B3645="","",IFERROR(INDEX(Client_List!$K:$K,MATCH(VALUE(B3645),Client_List!$A:$A,0)),""))</f>
        <v/>
      </c>
      <c r="H3645" s="32">
        <f>IF(B3645="","",IFERROR(INDEX(Client_List!$J:$J,MATCH(VALUE(B3645),Client_List!$A:$A,0)),""))</f>
        <v/>
      </c>
      <c r="I3645" s="70">
        <f>IF(B3645="","",IFERROR(A3645-LOOKUP(2,1/($B$4:$B3644=B3645),$A$4:$A3644),""))</f>
        <v/>
      </c>
      <c r="J3645" s="32">
        <f>IF(B3645="","",IFERROR(D3645/I3645,""))</f>
        <v/>
      </c>
      <c r="K3645" s="71">
        <f>IF(B3645="","",IFERROR(AVERAGEIFS($J$4:$J3645,$B$4:$B3645,B3645,$J$4:$J3645,"&gt;"&amp;0),""))</f>
        <v/>
      </c>
      <c r="L3645" s="11" t="n"/>
    </row>
    <row r="3646" ht="14" customHeight="1" s="72">
      <c r="A3646" s="83" t="n"/>
      <c r="B3646" s="81" t="n"/>
      <c r="C3646" s="69">
        <f>IF(B3646="","",IFERROR(INDEX(Client_List!$B:$B,MATCH(B3646,Client_List!$A:$A,0)),"⚠ NOT FOUND"))</f>
        <v/>
      </c>
      <c r="D3646" s="45" t="n"/>
      <c r="E3646" s="32">
        <f>IF(B3646="","",IFERROR(INDEX(Client_List!$C:$C,MATCH(VALUE(B3646),Client_List!$A:$A,0)),""))</f>
        <v/>
      </c>
      <c r="F3646" s="53">
        <f>IF(B3646="","",IFERROR(INDEX(Client_List!$D:$D,MATCH(VALUE(B3646),Client_List!$A:$A,0)),""))</f>
        <v/>
      </c>
      <c r="G3646" s="53">
        <f>IF(B3646="","",IFERROR(INDEX(Client_List!$K:$K,MATCH(VALUE(B3646),Client_List!$A:$A,0)),""))</f>
        <v/>
      </c>
      <c r="H3646" s="32">
        <f>IF(B3646="","",IFERROR(INDEX(Client_List!$J:$J,MATCH(VALUE(B3646),Client_List!$A:$A,0)),""))</f>
        <v/>
      </c>
      <c r="I3646" s="70">
        <f>IF(B3646="","",IFERROR(A3646-LOOKUP(2,1/($B$4:$B3645=B3646),$A$4:$A3645),""))</f>
        <v/>
      </c>
      <c r="J3646" s="32">
        <f>IF(B3646="","",IFERROR(D3646/I3646,""))</f>
        <v/>
      </c>
      <c r="K3646" s="71">
        <f>IF(B3646="","",IFERROR(AVERAGEIFS($J$4:$J3646,$B$4:$B3646,B3646,$J$4:$J3646,"&gt;"&amp;0),""))</f>
        <v/>
      </c>
      <c r="L3646" s="12" t="n"/>
    </row>
    <row r="3647" ht="14" customHeight="1" s="72">
      <c r="A3647" s="82" t="n"/>
      <c r="B3647" s="79" t="n"/>
      <c r="C3647" s="69">
        <f>IF(B3647="","",IFERROR(INDEX(Client_List!$B:$B,MATCH(B3647,Client_List!$A:$A,0)),"⚠ NOT FOUND"))</f>
        <v/>
      </c>
      <c r="D3647" s="44" t="n"/>
      <c r="E3647" s="32">
        <f>IF(B3647="","",IFERROR(INDEX(Client_List!$C:$C,MATCH(VALUE(B3647),Client_List!$A:$A,0)),""))</f>
        <v/>
      </c>
      <c r="F3647" s="53">
        <f>IF(B3647="","",IFERROR(INDEX(Client_List!$D:$D,MATCH(VALUE(B3647),Client_List!$A:$A,0)),""))</f>
        <v/>
      </c>
      <c r="G3647" s="53">
        <f>IF(B3647="","",IFERROR(INDEX(Client_List!$K:$K,MATCH(VALUE(B3647),Client_List!$A:$A,0)),""))</f>
        <v/>
      </c>
      <c r="H3647" s="32">
        <f>IF(B3647="","",IFERROR(INDEX(Client_List!$J:$J,MATCH(VALUE(B3647),Client_List!$A:$A,0)),""))</f>
        <v/>
      </c>
      <c r="I3647" s="70">
        <f>IF(B3647="","",IFERROR(A3647-LOOKUP(2,1/($B$4:$B3646=B3647),$A$4:$A3646),""))</f>
        <v/>
      </c>
      <c r="J3647" s="32">
        <f>IF(B3647="","",IFERROR(D3647/I3647,""))</f>
        <v/>
      </c>
      <c r="K3647" s="71">
        <f>IF(B3647="","",IFERROR(AVERAGEIFS($J$4:$J3647,$B$4:$B3647,B3647,$J$4:$J3647,"&gt;"&amp;0),""))</f>
        <v/>
      </c>
      <c r="L3647" s="11" t="n"/>
    </row>
    <row r="3648" ht="14" customHeight="1" s="72">
      <c r="A3648" s="83" t="n"/>
      <c r="B3648" s="81" t="n"/>
      <c r="C3648" s="69">
        <f>IF(B3648="","",IFERROR(INDEX(Client_List!$B:$B,MATCH(B3648,Client_List!$A:$A,0)),"⚠ NOT FOUND"))</f>
        <v/>
      </c>
      <c r="D3648" s="45" t="n"/>
      <c r="E3648" s="32">
        <f>IF(B3648="","",IFERROR(INDEX(Client_List!$C:$C,MATCH(VALUE(B3648),Client_List!$A:$A,0)),""))</f>
        <v/>
      </c>
      <c r="F3648" s="53">
        <f>IF(B3648="","",IFERROR(INDEX(Client_List!$D:$D,MATCH(VALUE(B3648),Client_List!$A:$A,0)),""))</f>
        <v/>
      </c>
      <c r="G3648" s="53">
        <f>IF(B3648="","",IFERROR(INDEX(Client_List!$K:$K,MATCH(VALUE(B3648),Client_List!$A:$A,0)),""))</f>
        <v/>
      </c>
      <c r="H3648" s="32">
        <f>IF(B3648="","",IFERROR(INDEX(Client_List!$J:$J,MATCH(VALUE(B3648),Client_List!$A:$A,0)),""))</f>
        <v/>
      </c>
      <c r="I3648" s="70">
        <f>IF(B3648="","",IFERROR(A3648-LOOKUP(2,1/($B$4:$B3647=B3648),$A$4:$A3647),""))</f>
        <v/>
      </c>
      <c r="J3648" s="32">
        <f>IF(B3648="","",IFERROR(D3648/I3648,""))</f>
        <v/>
      </c>
      <c r="K3648" s="71">
        <f>IF(B3648="","",IFERROR(AVERAGEIFS($J$4:$J3648,$B$4:$B3648,B3648,$J$4:$J3648,"&gt;"&amp;0),""))</f>
        <v/>
      </c>
      <c r="L3648" s="12" t="n"/>
    </row>
    <row r="3649" ht="14" customHeight="1" s="72">
      <c r="A3649" s="82" t="n"/>
      <c r="B3649" s="79" t="n"/>
      <c r="C3649" s="69">
        <f>IF(B3649="","",IFERROR(INDEX(Client_List!$B:$B,MATCH(B3649,Client_List!$A:$A,0)),"⚠ NOT FOUND"))</f>
        <v/>
      </c>
      <c r="D3649" s="44" t="n"/>
      <c r="E3649" s="32">
        <f>IF(B3649="","",IFERROR(INDEX(Client_List!$C:$C,MATCH(VALUE(B3649),Client_List!$A:$A,0)),""))</f>
        <v/>
      </c>
      <c r="F3649" s="53">
        <f>IF(B3649="","",IFERROR(INDEX(Client_List!$D:$D,MATCH(VALUE(B3649),Client_List!$A:$A,0)),""))</f>
        <v/>
      </c>
      <c r="G3649" s="53">
        <f>IF(B3649="","",IFERROR(INDEX(Client_List!$K:$K,MATCH(VALUE(B3649),Client_List!$A:$A,0)),""))</f>
        <v/>
      </c>
      <c r="H3649" s="32">
        <f>IF(B3649="","",IFERROR(INDEX(Client_List!$J:$J,MATCH(VALUE(B3649),Client_List!$A:$A,0)),""))</f>
        <v/>
      </c>
      <c r="I3649" s="70">
        <f>IF(B3649="","",IFERROR(A3649-LOOKUP(2,1/($B$4:$B3648=B3649),$A$4:$A3648),""))</f>
        <v/>
      </c>
      <c r="J3649" s="32">
        <f>IF(B3649="","",IFERROR(D3649/I3649,""))</f>
        <v/>
      </c>
      <c r="K3649" s="71">
        <f>IF(B3649="","",IFERROR(AVERAGEIFS($J$4:$J3649,$B$4:$B3649,B3649,$J$4:$J3649,"&gt;"&amp;0),""))</f>
        <v/>
      </c>
      <c r="L3649" s="11" t="n"/>
    </row>
    <row r="3650" ht="14" customHeight="1" s="72">
      <c r="A3650" s="83" t="n"/>
      <c r="B3650" s="81" t="n"/>
      <c r="C3650" s="69">
        <f>IF(B3650="","",IFERROR(INDEX(Client_List!$B:$B,MATCH(B3650,Client_List!$A:$A,0)),"⚠ NOT FOUND"))</f>
        <v/>
      </c>
      <c r="D3650" s="45" t="n"/>
      <c r="E3650" s="32">
        <f>IF(B3650="","",IFERROR(INDEX(Client_List!$C:$C,MATCH(VALUE(B3650),Client_List!$A:$A,0)),""))</f>
        <v/>
      </c>
      <c r="F3650" s="53">
        <f>IF(B3650="","",IFERROR(INDEX(Client_List!$D:$D,MATCH(VALUE(B3650),Client_List!$A:$A,0)),""))</f>
        <v/>
      </c>
      <c r="G3650" s="53">
        <f>IF(B3650="","",IFERROR(INDEX(Client_List!$K:$K,MATCH(VALUE(B3650),Client_List!$A:$A,0)),""))</f>
        <v/>
      </c>
      <c r="H3650" s="32">
        <f>IF(B3650="","",IFERROR(INDEX(Client_List!$J:$J,MATCH(VALUE(B3650),Client_List!$A:$A,0)),""))</f>
        <v/>
      </c>
      <c r="I3650" s="70">
        <f>IF(B3650="","",IFERROR(A3650-LOOKUP(2,1/($B$4:$B3649=B3650),$A$4:$A3649),""))</f>
        <v/>
      </c>
      <c r="J3650" s="32">
        <f>IF(B3650="","",IFERROR(D3650/I3650,""))</f>
        <v/>
      </c>
      <c r="K3650" s="71">
        <f>IF(B3650="","",IFERROR(AVERAGEIFS($J$4:$J3650,$B$4:$B3650,B3650,$J$4:$J3650,"&gt;"&amp;0),""))</f>
        <v/>
      </c>
      <c r="L3650" s="12" t="n"/>
    </row>
    <row r="3651" ht="14" customHeight="1" s="72">
      <c r="A3651" s="82" t="n"/>
      <c r="B3651" s="79" t="n"/>
      <c r="C3651" s="69">
        <f>IF(B3651="","",IFERROR(INDEX(Client_List!$B:$B,MATCH(B3651,Client_List!$A:$A,0)),"⚠ NOT FOUND"))</f>
        <v/>
      </c>
      <c r="D3651" s="44" t="n"/>
      <c r="E3651" s="32">
        <f>IF(B3651="","",IFERROR(INDEX(Client_List!$C:$C,MATCH(VALUE(B3651),Client_List!$A:$A,0)),""))</f>
        <v/>
      </c>
      <c r="F3651" s="53">
        <f>IF(B3651="","",IFERROR(INDEX(Client_List!$D:$D,MATCH(VALUE(B3651),Client_List!$A:$A,0)),""))</f>
        <v/>
      </c>
      <c r="G3651" s="53">
        <f>IF(B3651="","",IFERROR(INDEX(Client_List!$K:$K,MATCH(VALUE(B3651),Client_List!$A:$A,0)),""))</f>
        <v/>
      </c>
      <c r="H3651" s="32">
        <f>IF(B3651="","",IFERROR(INDEX(Client_List!$J:$J,MATCH(VALUE(B3651),Client_List!$A:$A,0)),""))</f>
        <v/>
      </c>
      <c r="I3651" s="70">
        <f>IF(B3651="","",IFERROR(A3651-LOOKUP(2,1/($B$4:$B3650=B3651),$A$4:$A3650),""))</f>
        <v/>
      </c>
      <c r="J3651" s="32">
        <f>IF(B3651="","",IFERROR(D3651/I3651,""))</f>
        <v/>
      </c>
      <c r="K3651" s="71">
        <f>IF(B3651="","",IFERROR(AVERAGEIFS($J$4:$J3651,$B$4:$B3651,B3651,$J$4:$J3651,"&gt;"&amp;0),""))</f>
        <v/>
      </c>
      <c r="L3651" s="11" t="n"/>
    </row>
    <row r="3652" ht="14" customHeight="1" s="72">
      <c r="A3652" s="83" t="n"/>
      <c r="B3652" s="81" t="n"/>
      <c r="C3652" s="69">
        <f>IF(B3652="","",IFERROR(INDEX(Client_List!$B:$B,MATCH(B3652,Client_List!$A:$A,0)),"⚠ NOT FOUND"))</f>
        <v/>
      </c>
      <c r="D3652" s="45" t="n"/>
      <c r="E3652" s="32">
        <f>IF(B3652="","",IFERROR(INDEX(Client_List!$C:$C,MATCH(VALUE(B3652),Client_List!$A:$A,0)),""))</f>
        <v/>
      </c>
      <c r="F3652" s="53">
        <f>IF(B3652="","",IFERROR(INDEX(Client_List!$D:$D,MATCH(VALUE(B3652),Client_List!$A:$A,0)),""))</f>
        <v/>
      </c>
      <c r="G3652" s="53">
        <f>IF(B3652="","",IFERROR(INDEX(Client_List!$K:$K,MATCH(VALUE(B3652),Client_List!$A:$A,0)),""))</f>
        <v/>
      </c>
      <c r="H3652" s="32">
        <f>IF(B3652="","",IFERROR(INDEX(Client_List!$J:$J,MATCH(VALUE(B3652),Client_List!$A:$A,0)),""))</f>
        <v/>
      </c>
      <c r="I3652" s="70">
        <f>IF(B3652="","",IFERROR(A3652-LOOKUP(2,1/($B$4:$B3651=B3652),$A$4:$A3651),""))</f>
        <v/>
      </c>
      <c r="J3652" s="32">
        <f>IF(B3652="","",IFERROR(D3652/I3652,""))</f>
        <v/>
      </c>
      <c r="K3652" s="71">
        <f>IF(B3652="","",IFERROR(AVERAGEIFS($J$4:$J3652,$B$4:$B3652,B3652,$J$4:$J3652,"&gt;"&amp;0),""))</f>
        <v/>
      </c>
      <c r="L3652" s="12" t="n"/>
    </row>
    <row r="3653" ht="14" customHeight="1" s="72">
      <c r="A3653" s="82" t="n"/>
      <c r="B3653" s="79" t="n"/>
      <c r="C3653" s="69">
        <f>IF(B3653="","",IFERROR(INDEX(Client_List!$B:$B,MATCH(B3653,Client_List!$A:$A,0)),"⚠ NOT FOUND"))</f>
        <v/>
      </c>
      <c r="D3653" s="44" t="n"/>
      <c r="E3653" s="32">
        <f>IF(B3653="","",IFERROR(INDEX(Client_List!$C:$C,MATCH(VALUE(B3653),Client_List!$A:$A,0)),""))</f>
        <v/>
      </c>
      <c r="F3653" s="53">
        <f>IF(B3653="","",IFERROR(INDEX(Client_List!$D:$D,MATCH(VALUE(B3653),Client_List!$A:$A,0)),""))</f>
        <v/>
      </c>
      <c r="G3653" s="53">
        <f>IF(B3653="","",IFERROR(INDEX(Client_List!$K:$K,MATCH(VALUE(B3653),Client_List!$A:$A,0)),""))</f>
        <v/>
      </c>
      <c r="H3653" s="32">
        <f>IF(B3653="","",IFERROR(INDEX(Client_List!$J:$J,MATCH(VALUE(B3653),Client_List!$A:$A,0)),""))</f>
        <v/>
      </c>
      <c r="I3653" s="70">
        <f>IF(B3653="","",IFERROR(A3653-LOOKUP(2,1/($B$4:$B3652=B3653),$A$4:$A3652),""))</f>
        <v/>
      </c>
      <c r="J3653" s="32">
        <f>IF(B3653="","",IFERROR(D3653/I3653,""))</f>
        <v/>
      </c>
      <c r="K3653" s="71">
        <f>IF(B3653="","",IFERROR(AVERAGEIFS($J$4:$J3653,$B$4:$B3653,B3653,$J$4:$J3653,"&gt;"&amp;0),""))</f>
        <v/>
      </c>
      <c r="L3653" s="11" t="n"/>
    </row>
    <row r="3654" ht="14" customHeight="1" s="72">
      <c r="A3654" s="83" t="n"/>
      <c r="B3654" s="81" t="n"/>
      <c r="C3654" s="69">
        <f>IF(B3654="","",IFERROR(INDEX(Client_List!$B:$B,MATCH(B3654,Client_List!$A:$A,0)),"⚠ NOT FOUND"))</f>
        <v/>
      </c>
      <c r="D3654" s="45" t="n"/>
      <c r="E3654" s="32">
        <f>IF(B3654="","",IFERROR(INDEX(Client_List!$C:$C,MATCH(VALUE(B3654),Client_List!$A:$A,0)),""))</f>
        <v/>
      </c>
      <c r="F3654" s="53">
        <f>IF(B3654="","",IFERROR(INDEX(Client_List!$D:$D,MATCH(VALUE(B3654),Client_List!$A:$A,0)),""))</f>
        <v/>
      </c>
      <c r="G3654" s="53">
        <f>IF(B3654="","",IFERROR(INDEX(Client_List!$K:$K,MATCH(VALUE(B3654),Client_List!$A:$A,0)),""))</f>
        <v/>
      </c>
      <c r="H3654" s="32">
        <f>IF(B3654="","",IFERROR(INDEX(Client_List!$J:$J,MATCH(VALUE(B3654),Client_List!$A:$A,0)),""))</f>
        <v/>
      </c>
      <c r="I3654" s="70">
        <f>IF(B3654="","",IFERROR(A3654-LOOKUP(2,1/($B$4:$B3653=B3654),$A$4:$A3653),""))</f>
        <v/>
      </c>
      <c r="J3654" s="32">
        <f>IF(B3654="","",IFERROR(D3654/I3654,""))</f>
        <v/>
      </c>
      <c r="K3654" s="71">
        <f>IF(B3654="","",IFERROR(AVERAGEIFS($J$4:$J3654,$B$4:$B3654,B3654,$J$4:$J3654,"&gt;"&amp;0),""))</f>
        <v/>
      </c>
      <c r="L3654" s="12" t="n"/>
    </row>
    <row r="3655" ht="14" customHeight="1" s="72">
      <c r="A3655" s="82" t="n"/>
      <c r="B3655" s="79" t="n"/>
      <c r="C3655" s="69">
        <f>IF(B3655="","",IFERROR(INDEX(Client_List!$B:$B,MATCH(B3655,Client_List!$A:$A,0)),"⚠ NOT FOUND"))</f>
        <v/>
      </c>
      <c r="D3655" s="44" t="n"/>
      <c r="E3655" s="32">
        <f>IF(B3655="","",IFERROR(INDEX(Client_List!$C:$C,MATCH(VALUE(B3655),Client_List!$A:$A,0)),""))</f>
        <v/>
      </c>
      <c r="F3655" s="53">
        <f>IF(B3655="","",IFERROR(INDEX(Client_List!$D:$D,MATCH(VALUE(B3655),Client_List!$A:$A,0)),""))</f>
        <v/>
      </c>
      <c r="G3655" s="53">
        <f>IF(B3655="","",IFERROR(INDEX(Client_List!$K:$K,MATCH(VALUE(B3655),Client_List!$A:$A,0)),""))</f>
        <v/>
      </c>
      <c r="H3655" s="32">
        <f>IF(B3655="","",IFERROR(INDEX(Client_List!$J:$J,MATCH(VALUE(B3655),Client_List!$A:$A,0)),""))</f>
        <v/>
      </c>
      <c r="I3655" s="70">
        <f>IF(B3655="","",IFERROR(A3655-LOOKUP(2,1/($B$4:$B3654=B3655),$A$4:$A3654),""))</f>
        <v/>
      </c>
      <c r="J3655" s="32">
        <f>IF(B3655="","",IFERROR(D3655/I3655,""))</f>
        <v/>
      </c>
      <c r="K3655" s="71">
        <f>IF(B3655="","",IFERROR(AVERAGEIFS($J$4:$J3655,$B$4:$B3655,B3655,$J$4:$J3655,"&gt;"&amp;0),""))</f>
        <v/>
      </c>
      <c r="L3655" s="11" t="n"/>
    </row>
    <row r="3656" ht="14" customHeight="1" s="72">
      <c r="A3656" s="83" t="n"/>
      <c r="B3656" s="81" t="n"/>
      <c r="C3656" s="69">
        <f>IF(B3656="","",IFERROR(INDEX(Client_List!$B:$B,MATCH(B3656,Client_List!$A:$A,0)),"⚠ NOT FOUND"))</f>
        <v/>
      </c>
      <c r="D3656" s="45" t="n"/>
      <c r="E3656" s="32">
        <f>IF(B3656="","",IFERROR(INDEX(Client_List!$C:$C,MATCH(VALUE(B3656),Client_List!$A:$A,0)),""))</f>
        <v/>
      </c>
      <c r="F3656" s="53">
        <f>IF(B3656="","",IFERROR(INDEX(Client_List!$D:$D,MATCH(VALUE(B3656),Client_List!$A:$A,0)),""))</f>
        <v/>
      </c>
      <c r="G3656" s="53">
        <f>IF(B3656="","",IFERROR(INDEX(Client_List!$K:$K,MATCH(VALUE(B3656),Client_List!$A:$A,0)),""))</f>
        <v/>
      </c>
      <c r="H3656" s="32">
        <f>IF(B3656="","",IFERROR(INDEX(Client_List!$J:$J,MATCH(VALUE(B3656),Client_List!$A:$A,0)),""))</f>
        <v/>
      </c>
      <c r="I3656" s="70">
        <f>IF(B3656="","",IFERROR(A3656-LOOKUP(2,1/($B$4:$B3655=B3656),$A$4:$A3655),""))</f>
        <v/>
      </c>
      <c r="J3656" s="32">
        <f>IF(B3656="","",IFERROR(D3656/I3656,""))</f>
        <v/>
      </c>
      <c r="K3656" s="71">
        <f>IF(B3656="","",IFERROR(AVERAGEIFS($J$4:$J3656,$B$4:$B3656,B3656,$J$4:$J3656,"&gt;"&amp;0),""))</f>
        <v/>
      </c>
      <c r="L3656" s="12" t="n"/>
    </row>
    <row r="3657" ht="14" customHeight="1" s="72">
      <c r="A3657" s="82" t="n"/>
      <c r="B3657" s="79" t="n"/>
      <c r="C3657" s="69">
        <f>IF(B3657="","",IFERROR(INDEX(Client_List!$B:$B,MATCH(B3657,Client_List!$A:$A,0)),"⚠ NOT FOUND"))</f>
        <v/>
      </c>
      <c r="D3657" s="44" t="n"/>
      <c r="E3657" s="32">
        <f>IF(B3657="","",IFERROR(INDEX(Client_List!$C:$C,MATCH(VALUE(B3657),Client_List!$A:$A,0)),""))</f>
        <v/>
      </c>
      <c r="F3657" s="53">
        <f>IF(B3657="","",IFERROR(INDEX(Client_List!$D:$D,MATCH(VALUE(B3657),Client_List!$A:$A,0)),""))</f>
        <v/>
      </c>
      <c r="G3657" s="53">
        <f>IF(B3657="","",IFERROR(INDEX(Client_List!$K:$K,MATCH(VALUE(B3657),Client_List!$A:$A,0)),""))</f>
        <v/>
      </c>
      <c r="H3657" s="32">
        <f>IF(B3657="","",IFERROR(INDEX(Client_List!$J:$J,MATCH(VALUE(B3657),Client_List!$A:$A,0)),""))</f>
        <v/>
      </c>
      <c r="I3657" s="70">
        <f>IF(B3657="","",IFERROR(A3657-LOOKUP(2,1/($B$4:$B3656=B3657),$A$4:$A3656),""))</f>
        <v/>
      </c>
      <c r="J3657" s="32">
        <f>IF(B3657="","",IFERROR(D3657/I3657,""))</f>
        <v/>
      </c>
      <c r="K3657" s="71">
        <f>IF(B3657="","",IFERROR(AVERAGEIFS($J$4:$J3657,$B$4:$B3657,B3657,$J$4:$J3657,"&gt;"&amp;0),""))</f>
        <v/>
      </c>
      <c r="L3657" s="11" t="n"/>
    </row>
    <row r="3658" ht="14" customHeight="1" s="72">
      <c r="A3658" s="83" t="n"/>
      <c r="B3658" s="81" t="n"/>
      <c r="C3658" s="69">
        <f>IF(B3658="","",IFERROR(INDEX(Client_List!$B:$B,MATCH(B3658,Client_List!$A:$A,0)),"⚠ NOT FOUND"))</f>
        <v/>
      </c>
      <c r="D3658" s="45" t="n"/>
      <c r="E3658" s="32">
        <f>IF(B3658="","",IFERROR(INDEX(Client_List!$C:$C,MATCH(VALUE(B3658),Client_List!$A:$A,0)),""))</f>
        <v/>
      </c>
      <c r="F3658" s="53">
        <f>IF(B3658="","",IFERROR(INDEX(Client_List!$D:$D,MATCH(VALUE(B3658),Client_List!$A:$A,0)),""))</f>
        <v/>
      </c>
      <c r="G3658" s="53">
        <f>IF(B3658="","",IFERROR(INDEX(Client_List!$K:$K,MATCH(VALUE(B3658),Client_List!$A:$A,0)),""))</f>
        <v/>
      </c>
      <c r="H3658" s="32">
        <f>IF(B3658="","",IFERROR(INDEX(Client_List!$J:$J,MATCH(VALUE(B3658),Client_List!$A:$A,0)),""))</f>
        <v/>
      </c>
      <c r="I3658" s="70">
        <f>IF(B3658="","",IFERROR(A3658-LOOKUP(2,1/($B$4:$B3657=B3658),$A$4:$A3657),""))</f>
        <v/>
      </c>
      <c r="J3658" s="32">
        <f>IF(B3658="","",IFERROR(D3658/I3658,""))</f>
        <v/>
      </c>
      <c r="K3658" s="71">
        <f>IF(B3658="","",IFERROR(AVERAGEIFS($J$4:$J3658,$B$4:$B3658,B3658,$J$4:$J3658,"&gt;"&amp;0),""))</f>
        <v/>
      </c>
      <c r="L3658" s="12" t="n"/>
    </row>
    <row r="3659" ht="14" customHeight="1" s="72">
      <c r="A3659" s="82" t="n"/>
      <c r="B3659" s="79" t="n"/>
      <c r="C3659" s="69">
        <f>IF(B3659="","",IFERROR(INDEX(Client_List!$B:$B,MATCH(B3659,Client_List!$A:$A,0)),"⚠ NOT FOUND"))</f>
        <v/>
      </c>
      <c r="D3659" s="44" t="n"/>
      <c r="E3659" s="32">
        <f>IF(B3659="","",IFERROR(INDEX(Client_List!$C:$C,MATCH(VALUE(B3659),Client_List!$A:$A,0)),""))</f>
        <v/>
      </c>
      <c r="F3659" s="53">
        <f>IF(B3659="","",IFERROR(INDEX(Client_List!$D:$D,MATCH(VALUE(B3659),Client_List!$A:$A,0)),""))</f>
        <v/>
      </c>
      <c r="G3659" s="53">
        <f>IF(B3659="","",IFERROR(INDEX(Client_List!$K:$K,MATCH(VALUE(B3659),Client_List!$A:$A,0)),""))</f>
        <v/>
      </c>
      <c r="H3659" s="32">
        <f>IF(B3659="","",IFERROR(INDEX(Client_List!$J:$J,MATCH(VALUE(B3659),Client_List!$A:$A,0)),""))</f>
        <v/>
      </c>
      <c r="I3659" s="70">
        <f>IF(B3659="","",IFERROR(A3659-LOOKUP(2,1/($B$4:$B3658=B3659),$A$4:$A3658),""))</f>
        <v/>
      </c>
      <c r="J3659" s="32">
        <f>IF(B3659="","",IFERROR(D3659/I3659,""))</f>
        <v/>
      </c>
      <c r="K3659" s="71">
        <f>IF(B3659="","",IFERROR(AVERAGEIFS($J$4:$J3659,$B$4:$B3659,B3659,$J$4:$J3659,"&gt;"&amp;0),""))</f>
        <v/>
      </c>
      <c r="L3659" s="11" t="n"/>
    </row>
    <row r="3660" ht="14" customHeight="1" s="72">
      <c r="A3660" s="83" t="n"/>
      <c r="B3660" s="81" t="n"/>
      <c r="C3660" s="69">
        <f>IF(B3660="","",IFERROR(INDEX(Client_List!$B:$B,MATCH(B3660,Client_List!$A:$A,0)),"⚠ NOT FOUND"))</f>
        <v/>
      </c>
      <c r="D3660" s="45" t="n"/>
      <c r="E3660" s="32">
        <f>IF(B3660="","",IFERROR(INDEX(Client_List!$C:$C,MATCH(VALUE(B3660),Client_List!$A:$A,0)),""))</f>
        <v/>
      </c>
      <c r="F3660" s="53">
        <f>IF(B3660="","",IFERROR(INDEX(Client_List!$D:$D,MATCH(VALUE(B3660),Client_List!$A:$A,0)),""))</f>
        <v/>
      </c>
      <c r="G3660" s="53">
        <f>IF(B3660="","",IFERROR(INDEX(Client_List!$K:$K,MATCH(VALUE(B3660),Client_List!$A:$A,0)),""))</f>
        <v/>
      </c>
      <c r="H3660" s="32">
        <f>IF(B3660="","",IFERROR(INDEX(Client_List!$J:$J,MATCH(VALUE(B3660),Client_List!$A:$A,0)),""))</f>
        <v/>
      </c>
      <c r="I3660" s="70">
        <f>IF(B3660="","",IFERROR(A3660-LOOKUP(2,1/($B$4:$B3659=B3660),$A$4:$A3659),""))</f>
        <v/>
      </c>
      <c r="J3660" s="32">
        <f>IF(B3660="","",IFERROR(D3660/I3660,""))</f>
        <v/>
      </c>
      <c r="K3660" s="71">
        <f>IF(B3660="","",IFERROR(AVERAGEIFS($J$4:$J3660,$B$4:$B3660,B3660,$J$4:$J3660,"&gt;"&amp;0),""))</f>
        <v/>
      </c>
      <c r="L3660" s="12" t="n"/>
    </row>
    <row r="3661" ht="14" customHeight="1" s="72">
      <c r="A3661" s="82" t="n"/>
      <c r="B3661" s="79" t="n"/>
      <c r="C3661" s="69">
        <f>IF(B3661="","",IFERROR(INDEX(Client_List!$B:$B,MATCH(B3661,Client_List!$A:$A,0)),"⚠ NOT FOUND"))</f>
        <v/>
      </c>
      <c r="D3661" s="44" t="n"/>
      <c r="E3661" s="32">
        <f>IF(B3661="","",IFERROR(INDEX(Client_List!$C:$C,MATCH(VALUE(B3661),Client_List!$A:$A,0)),""))</f>
        <v/>
      </c>
      <c r="F3661" s="53">
        <f>IF(B3661="","",IFERROR(INDEX(Client_List!$D:$D,MATCH(VALUE(B3661),Client_List!$A:$A,0)),""))</f>
        <v/>
      </c>
      <c r="G3661" s="53">
        <f>IF(B3661="","",IFERROR(INDEX(Client_List!$K:$K,MATCH(VALUE(B3661),Client_List!$A:$A,0)),""))</f>
        <v/>
      </c>
      <c r="H3661" s="32">
        <f>IF(B3661="","",IFERROR(INDEX(Client_List!$J:$J,MATCH(VALUE(B3661),Client_List!$A:$A,0)),""))</f>
        <v/>
      </c>
      <c r="I3661" s="70">
        <f>IF(B3661="","",IFERROR(A3661-LOOKUP(2,1/($B$4:$B3660=B3661),$A$4:$A3660),""))</f>
        <v/>
      </c>
      <c r="J3661" s="32">
        <f>IF(B3661="","",IFERROR(D3661/I3661,""))</f>
        <v/>
      </c>
      <c r="K3661" s="71">
        <f>IF(B3661="","",IFERROR(AVERAGEIFS($J$4:$J3661,$B$4:$B3661,B3661,$J$4:$J3661,"&gt;"&amp;0),""))</f>
        <v/>
      </c>
      <c r="L3661" s="11" t="n"/>
    </row>
    <row r="3662" ht="14" customHeight="1" s="72">
      <c r="A3662" s="83" t="n"/>
      <c r="B3662" s="81" t="n"/>
      <c r="C3662" s="69">
        <f>IF(B3662="","",IFERROR(INDEX(Client_List!$B:$B,MATCH(B3662,Client_List!$A:$A,0)),"⚠ NOT FOUND"))</f>
        <v/>
      </c>
      <c r="D3662" s="45" t="n"/>
      <c r="E3662" s="32">
        <f>IF(B3662="","",IFERROR(INDEX(Client_List!$C:$C,MATCH(VALUE(B3662),Client_List!$A:$A,0)),""))</f>
        <v/>
      </c>
      <c r="F3662" s="53">
        <f>IF(B3662="","",IFERROR(INDEX(Client_List!$D:$D,MATCH(VALUE(B3662),Client_List!$A:$A,0)),""))</f>
        <v/>
      </c>
      <c r="G3662" s="53">
        <f>IF(B3662="","",IFERROR(INDEX(Client_List!$K:$K,MATCH(VALUE(B3662),Client_List!$A:$A,0)),""))</f>
        <v/>
      </c>
      <c r="H3662" s="32">
        <f>IF(B3662="","",IFERROR(INDEX(Client_List!$J:$J,MATCH(VALUE(B3662),Client_List!$A:$A,0)),""))</f>
        <v/>
      </c>
      <c r="I3662" s="70">
        <f>IF(B3662="","",IFERROR(A3662-LOOKUP(2,1/($B$4:$B3661=B3662),$A$4:$A3661),""))</f>
        <v/>
      </c>
      <c r="J3662" s="32">
        <f>IF(B3662="","",IFERROR(D3662/I3662,""))</f>
        <v/>
      </c>
      <c r="K3662" s="71">
        <f>IF(B3662="","",IFERROR(AVERAGEIFS($J$4:$J3662,$B$4:$B3662,B3662,$J$4:$J3662,"&gt;"&amp;0),""))</f>
        <v/>
      </c>
      <c r="L3662" s="12" t="n"/>
    </row>
    <row r="3663" ht="14" customHeight="1" s="72">
      <c r="A3663" s="82" t="n"/>
      <c r="B3663" s="79" t="n"/>
      <c r="C3663" s="69">
        <f>IF(B3663="","",IFERROR(INDEX(Client_List!$B:$B,MATCH(B3663,Client_List!$A:$A,0)),"⚠ NOT FOUND"))</f>
        <v/>
      </c>
      <c r="D3663" s="44" t="n"/>
      <c r="E3663" s="32">
        <f>IF(B3663="","",IFERROR(INDEX(Client_List!$C:$C,MATCH(VALUE(B3663),Client_List!$A:$A,0)),""))</f>
        <v/>
      </c>
      <c r="F3663" s="53">
        <f>IF(B3663="","",IFERROR(INDEX(Client_List!$D:$D,MATCH(VALUE(B3663),Client_List!$A:$A,0)),""))</f>
        <v/>
      </c>
      <c r="G3663" s="53">
        <f>IF(B3663="","",IFERROR(INDEX(Client_List!$K:$K,MATCH(VALUE(B3663),Client_List!$A:$A,0)),""))</f>
        <v/>
      </c>
      <c r="H3663" s="32">
        <f>IF(B3663="","",IFERROR(INDEX(Client_List!$J:$J,MATCH(VALUE(B3663),Client_List!$A:$A,0)),""))</f>
        <v/>
      </c>
      <c r="I3663" s="70">
        <f>IF(B3663="","",IFERROR(A3663-LOOKUP(2,1/($B$4:$B3662=B3663),$A$4:$A3662),""))</f>
        <v/>
      </c>
      <c r="J3663" s="32">
        <f>IF(B3663="","",IFERROR(D3663/I3663,""))</f>
        <v/>
      </c>
      <c r="K3663" s="71">
        <f>IF(B3663="","",IFERROR(AVERAGEIFS($J$4:$J3663,$B$4:$B3663,B3663,$J$4:$J3663,"&gt;"&amp;0),""))</f>
        <v/>
      </c>
      <c r="L3663" s="11" t="n"/>
    </row>
    <row r="3664" ht="14" customHeight="1" s="72">
      <c r="A3664" s="83" t="n"/>
      <c r="B3664" s="81" t="n"/>
      <c r="C3664" s="69">
        <f>IF(B3664="","",IFERROR(INDEX(Client_List!$B:$B,MATCH(B3664,Client_List!$A:$A,0)),"⚠ NOT FOUND"))</f>
        <v/>
      </c>
      <c r="D3664" s="45" t="n"/>
      <c r="E3664" s="32">
        <f>IF(B3664="","",IFERROR(INDEX(Client_List!$C:$C,MATCH(VALUE(B3664),Client_List!$A:$A,0)),""))</f>
        <v/>
      </c>
      <c r="F3664" s="53">
        <f>IF(B3664="","",IFERROR(INDEX(Client_List!$D:$D,MATCH(VALUE(B3664),Client_List!$A:$A,0)),""))</f>
        <v/>
      </c>
      <c r="G3664" s="53">
        <f>IF(B3664="","",IFERROR(INDEX(Client_List!$K:$K,MATCH(VALUE(B3664),Client_List!$A:$A,0)),""))</f>
        <v/>
      </c>
      <c r="H3664" s="32">
        <f>IF(B3664="","",IFERROR(INDEX(Client_List!$J:$J,MATCH(VALUE(B3664),Client_List!$A:$A,0)),""))</f>
        <v/>
      </c>
      <c r="I3664" s="70">
        <f>IF(B3664="","",IFERROR(A3664-LOOKUP(2,1/($B$4:$B3663=B3664),$A$4:$A3663),""))</f>
        <v/>
      </c>
      <c r="J3664" s="32">
        <f>IF(B3664="","",IFERROR(D3664/I3664,""))</f>
        <v/>
      </c>
      <c r="K3664" s="71">
        <f>IF(B3664="","",IFERROR(AVERAGEIFS($J$4:$J3664,$B$4:$B3664,B3664,$J$4:$J3664,"&gt;"&amp;0),""))</f>
        <v/>
      </c>
      <c r="L3664" s="12" t="n"/>
    </row>
    <row r="3665" ht="14" customHeight="1" s="72">
      <c r="A3665" s="82" t="n"/>
      <c r="B3665" s="79" t="n"/>
      <c r="C3665" s="69">
        <f>IF(B3665="","",IFERROR(INDEX(Client_List!$B:$B,MATCH(B3665,Client_List!$A:$A,0)),"⚠ NOT FOUND"))</f>
        <v/>
      </c>
      <c r="D3665" s="44" t="n"/>
      <c r="E3665" s="32">
        <f>IF(B3665="","",IFERROR(INDEX(Client_List!$C:$C,MATCH(VALUE(B3665),Client_List!$A:$A,0)),""))</f>
        <v/>
      </c>
      <c r="F3665" s="53">
        <f>IF(B3665="","",IFERROR(INDEX(Client_List!$D:$D,MATCH(VALUE(B3665),Client_List!$A:$A,0)),""))</f>
        <v/>
      </c>
      <c r="G3665" s="53">
        <f>IF(B3665="","",IFERROR(INDEX(Client_List!$K:$K,MATCH(VALUE(B3665),Client_List!$A:$A,0)),""))</f>
        <v/>
      </c>
      <c r="H3665" s="32">
        <f>IF(B3665="","",IFERROR(INDEX(Client_List!$J:$J,MATCH(VALUE(B3665),Client_List!$A:$A,0)),""))</f>
        <v/>
      </c>
      <c r="I3665" s="70">
        <f>IF(B3665="","",IFERROR(A3665-LOOKUP(2,1/($B$4:$B3664=B3665),$A$4:$A3664),""))</f>
        <v/>
      </c>
      <c r="J3665" s="32">
        <f>IF(B3665="","",IFERROR(D3665/I3665,""))</f>
        <v/>
      </c>
      <c r="K3665" s="71">
        <f>IF(B3665="","",IFERROR(AVERAGEIFS($J$4:$J3665,$B$4:$B3665,B3665,$J$4:$J3665,"&gt;"&amp;0),""))</f>
        <v/>
      </c>
      <c r="L3665" s="11" t="n"/>
    </row>
    <row r="3666" ht="14" customHeight="1" s="72">
      <c r="A3666" s="83" t="n"/>
      <c r="B3666" s="81" t="n"/>
      <c r="C3666" s="69">
        <f>IF(B3666="","",IFERROR(INDEX(Client_List!$B:$B,MATCH(B3666,Client_List!$A:$A,0)),"⚠ NOT FOUND"))</f>
        <v/>
      </c>
      <c r="D3666" s="45" t="n"/>
      <c r="E3666" s="32">
        <f>IF(B3666="","",IFERROR(INDEX(Client_List!$C:$C,MATCH(VALUE(B3666),Client_List!$A:$A,0)),""))</f>
        <v/>
      </c>
      <c r="F3666" s="53">
        <f>IF(B3666="","",IFERROR(INDEX(Client_List!$D:$D,MATCH(VALUE(B3666),Client_List!$A:$A,0)),""))</f>
        <v/>
      </c>
      <c r="G3666" s="53">
        <f>IF(B3666="","",IFERROR(INDEX(Client_List!$K:$K,MATCH(VALUE(B3666),Client_List!$A:$A,0)),""))</f>
        <v/>
      </c>
      <c r="H3666" s="32">
        <f>IF(B3666="","",IFERROR(INDEX(Client_List!$J:$J,MATCH(VALUE(B3666),Client_List!$A:$A,0)),""))</f>
        <v/>
      </c>
      <c r="I3666" s="70">
        <f>IF(B3666="","",IFERROR(A3666-LOOKUP(2,1/($B$4:$B3665=B3666),$A$4:$A3665),""))</f>
        <v/>
      </c>
      <c r="J3666" s="32">
        <f>IF(B3666="","",IFERROR(D3666/I3666,""))</f>
        <v/>
      </c>
      <c r="K3666" s="71">
        <f>IF(B3666="","",IFERROR(AVERAGEIFS($J$4:$J3666,$B$4:$B3666,B3666,$J$4:$J3666,"&gt;"&amp;0),""))</f>
        <v/>
      </c>
      <c r="L3666" s="12" t="n"/>
    </row>
    <row r="3667" ht="14" customHeight="1" s="72">
      <c r="A3667" s="82" t="n"/>
      <c r="B3667" s="79" t="n"/>
      <c r="C3667" s="69">
        <f>IF(B3667="","",IFERROR(INDEX(Client_List!$B:$B,MATCH(B3667,Client_List!$A:$A,0)),"⚠ NOT FOUND"))</f>
        <v/>
      </c>
      <c r="D3667" s="44" t="n"/>
      <c r="E3667" s="32">
        <f>IF(B3667="","",IFERROR(INDEX(Client_List!$C:$C,MATCH(VALUE(B3667),Client_List!$A:$A,0)),""))</f>
        <v/>
      </c>
      <c r="F3667" s="53">
        <f>IF(B3667="","",IFERROR(INDEX(Client_List!$D:$D,MATCH(VALUE(B3667),Client_List!$A:$A,0)),""))</f>
        <v/>
      </c>
      <c r="G3667" s="53">
        <f>IF(B3667="","",IFERROR(INDEX(Client_List!$K:$K,MATCH(VALUE(B3667),Client_List!$A:$A,0)),""))</f>
        <v/>
      </c>
      <c r="H3667" s="32">
        <f>IF(B3667="","",IFERROR(INDEX(Client_List!$J:$J,MATCH(VALUE(B3667),Client_List!$A:$A,0)),""))</f>
        <v/>
      </c>
      <c r="I3667" s="70">
        <f>IF(B3667="","",IFERROR(A3667-LOOKUP(2,1/($B$4:$B3666=B3667),$A$4:$A3666),""))</f>
        <v/>
      </c>
      <c r="J3667" s="32">
        <f>IF(B3667="","",IFERROR(D3667/I3667,""))</f>
        <v/>
      </c>
      <c r="K3667" s="71">
        <f>IF(B3667="","",IFERROR(AVERAGEIFS($J$4:$J3667,$B$4:$B3667,B3667,$J$4:$J3667,"&gt;"&amp;0),""))</f>
        <v/>
      </c>
      <c r="L3667" s="11" t="n"/>
    </row>
    <row r="3668" ht="14" customHeight="1" s="72">
      <c r="A3668" s="83" t="n"/>
      <c r="B3668" s="81" t="n"/>
      <c r="C3668" s="69">
        <f>IF(B3668="","",IFERROR(INDEX(Client_List!$B:$B,MATCH(B3668,Client_List!$A:$A,0)),"⚠ NOT FOUND"))</f>
        <v/>
      </c>
      <c r="D3668" s="45" t="n"/>
      <c r="E3668" s="32">
        <f>IF(B3668="","",IFERROR(INDEX(Client_List!$C:$C,MATCH(VALUE(B3668),Client_List!$A:$A,0)),""))</f>
        <v/>
      </c>
      <c r="F3668" s="53">
        <f>IF(B3668="","",IFERROR(INDEX(Client_List!$D:$D,MATCH(VALUE(B3668),Client_List!$A:$A,0)),""))</f>
        <v/>
      </c>
      <c r="G3668" s="53">
        <f>IF(B3668="","",IFERROR(INDEX(Client_List!$K:$K,MATCH(VALUE(B3668),Client_List!$A:$A,0)),""))</f>
        <v/>
      </c>
      <c r="H3668" s="32">
        <f>IF(B3668="","",IFERROR(INDEX(Client_List!$J:$J,MATCH(VALUE(B3668),Client_List!$A:$A,0)),""))</f>
        <v/>
      </c>
      <c r="I3668" s="70">
        <f>IF(B3668="","",IFERROR(A3668-LOOKUP(2,1/($B$4:$B3667=B3668),$A$4:$A3667),""))</f>
        <v/>
      </c>
      <c r="J3668" s="32">
        <f>IF(B3668="","",IFERROR(D3668/I3668,""))</f>
        <v/>
      </c>
      <c r="K3668" s="71">
        <f>IF(B3668="","",IFERROR(AVERAGEIFS($J$4:$J3668,$B$4:$B3668,B3668,$J$4:$J3668,"&gt;"&amp;0),""))</f>
        <v/>
      </c>
      <c r="L3668" s="12" t="n"/>
    </row>
    <row r="3669" ht="14" customHeight="1" s="72">
      <c r="A3669" s="82" t="n"/>
      <c r="B3669" s="79" t="n"/>
      <c r="C3669" s="69">
        <f>IF(B3669="","",IFERROR(INDEX(Client_List!$B:$B,MATCH(B3669,Client_List!$A:$A,0)),"⚠ NOT FOUND"))</f>
        <v/>
      </c>
      <c r="D3669" s="44" t="n"/>
      <c r="E3669" s="32">
        <f>IF(B3669="","",IFERROR(INDEX(Client_List!$C:$C,MATCH(VALUE(B3669),Client_List!$A:$A,0)),""))</f>
        <v/>
      </c>
      <c r="F3669" s="53">
        <f>IF(B3669="","",IFERROR(INDEX(Client_List!$D:$D,MATCH(VALUE(B3669),Client_List!$A:$A,0)),""))</f>
        <v/>
      </c>
      <c r="G3669" s="53">
        <f>IF(B3669="","",IFERROR(INDEX(Client_List!$K:$K,MATCH(VALUE(B3669),Client_List!$A:$A,0)),""))</f>
        <v/>
      </c>
      <c r="H3669" s="32">
        <f>IF(B3669="","",IFERROR(INDEX(Client_List!$J:$J,MATCH(VALUE(B3669),Client_List!$A:$A,0)),""))</f>
        <v/>
      </c>
      <c r="I3669" s="70">
        <f>IF(B3669="","",IFERROR(A3669-LOOKUP(2,1/($B$4:$B3668=B3669),$A$4:$A3668),""))</f>
        <v/>
      </c>
      <c r="J3669" s="32">
        <f>IF(B3669="","",IFERROR(D3669/I3669,""))</f>
        <v/>
      </c>
      <c r="K3669" s="71">
        <f>IF(B3669="","",IFERROR(AVERAGEIFS($J$4:$J3669,$B$4:$B3669,B3669,$J$4:$J3669,"&gt;"&amp;0),""))</f>
        <v/>
      </c>
      <c r="L3669" s="11" t="n"/>
    </row>
    <row r="3670" ht="14" customHeight="1" s="72">
      <c r="A3670" s="83" t="n"/>
      <c r="B3670" s="81" t="n"/>
      <c r="C3670" s="69">
        <f>IF(B3670="","",IFERROR(INDEX(Client_List!$B:$B,MATCH(B3670,Client_List!$A:$A,0)),"⚠ NOT FOUND"))</f>
        <v/>
      </c>
      <c r="D3670" s="45" t="n"/>
      <c r="E3670" s="32">
        <f>IF(B3670="","",IFERROR(INDEX(Client_List!$C:$C,MATCH(VALUE(B3670),Client_List!$A:$A,0)),""))</f>
        <v/>
      </c>
      <c r="F3670" s="53">
        <f>IF(B3670="","",IFERROR(INDEX(Client_List!$D:$D,MATCH(VALUE(B3670),Client_List!$A:$A,0)),""))</f>
        <v/>
      </c>
      <c r="G3670" s="53">
        <f>IF(B3670="","",IFERROR(INDEX(Client_List!$K:$K,MATCH(VALUE(B3670),Client_List!$A:$A,0)),""))</f>
        <v/>
      </c>
      <c r="H3670" s="32">
        <f>IF(B3670="","",IFERROR(INDEX(Client_List!$J:$J,MATCH(VALUE(B3670),Client_List!$A:$A,0)),""))</f>
        <v/>
      </c>
      <c r="I3670" s="70">
        <f>IF(B3670="","",IFERROR(A3670-LOOKUP(2,1/($B$4:$B3669=B3670),$A$4:$A3669),""))</f>
        <v/>
      </c>
      <c r="J3670" s="32">
        <f>IF(B3670="","",IFERROR(D3670/I3670,""))</f>
        <v/>
      </c>
      <c r="K3670" s="71">
        <f>IF(B3670="","",IFERROR(AVERAGEIFS($J$4:$J3670,$B$4:$B3670,B3670,$J$4:$J3670,"&gt;"&amp;0),""))</f>
        <v/>
      </c>
      <c r="L3670" s="12" t="n"/>
    </row>
    <row r="3671" ht="14" customHeight="1" s="72">
      <c r="A3671" s="82" t="n"/>
      <c r="B3671" s="79" t="n"/>
      <c r="C3671" s="69">
        <f>IF(B3671="","",IFERROR(INDEX(Client_List!$B:$B,MATCH(B3671,Client_List!$A:$A,0)),"⚠ NOT FOUND"))</f>
        <v/>
      </c>
      <c r="D3671" s="44" t="n"/>
      <c r="E3671" s="32">
        <f>IF(B3671="","",IFERROR(INDEX(Client_List!$C:$C,MATCH(VALUE(B3671),Client_List!$A:$A,0)),""))</f>
        <v/>
      </c>
      <c r="F3671" s="53">
        <f>IF(B3671="","",IFERROR(INDEX(Client_List!$D:$D,MATCH(VALUE(B3671),Client_List!$A:$A,0)),""))</f>
        <v/>
      </c>
      <c r="G3671" s="53">
        <f>IF(B3671="","",IFERROR(INDEX(Client_List!$K:$K,MATCH(VALUE(B3671),Client_List!$A:$A,0)),""))</f>
        <v/>
      </c>
      <c r="H3671" s="32">
        <f>IF(B3671="","",IFERROR(INDEX(Client_List!$J:$J,MATCH(VALUE(B3671),Client_List!$A:$A,0)),""))</f>
        <v/>
      </c>
      <c r="I3671" s="70">
        <f>IF(B3671="","",IFERROR(A3671-LOOKUP(2,1/($B$4:$B3670=B3671),$A$4:$A3670),""))</f>
        <v/>
      </c>
      <c r="J3671" s="32">
        <f>IF(B3671="","",IFERROR(D3671/I3671,""))</f>
        <v/>
      </c>
      <c r="K3671" s="71">
        <f>IF(B3671="","",IFERROR(AVERAGEIFS($J$4:$J3671,$B$4:$B3671,B3671,$J$4:$J3671,"&gt;"&amp;0),""))</f>
        <v/>
      </c>
      <c r="L3671" s="11" t="n"/>
    </row>
    <row r="3672" ht="14" customHeight="1" s="72">
      <c r="A3672" s="83" t="n"/>
      <c r="B3672" s="81" t="n"/>
      <c r="C3672" s="69">
        <f>IF(B3672="","",IFERROR(INDEX(Client_List!$B:$B,MATCH(B3672,Client_List!$A:$A,0)),"⚠ NOT FOUND"))</f>
        <v/>
      </c>
      <c r="D3672" s="45" t="n"/>
      <c r="E3672" s="32">
        <f>IF(B3672="","",IFERROR(INDEX(Client_List!$C:$C,MATCH(VALUE(B3672),Client_List!$A:$A,0)),""))</f>
        <v/>
      </c>
      <c r="F3672" s="53">
        <f>IF(B3672="","",IFERROR(INDEX(Client_List!$D:$D,MATCH(VALUE(B3672),Client_List!$A:$A,0)),""))</f>
        <v/>
      </c>
      <c r="G3672" s="53">
        <f>IF(B3672="","",IFERROR(INDEX(Client_List!$K:$K,MATCH(VALUE(B3672),Client_List!$A:$A,0)),""))</f>
        <v/>
      </c>
      <c r="H3672" s="32">
        <f>IF(B3672="","",IFERROR(INDEX(Client_List!$J:$J,MATCH(VALUE(B3672),Client_List!$A:$A,0)),""))</f>
        <v/>
      </c>
      <c r="I3672" s="70">
        <f>IF(B3672="","",IFERROR(A3672-LOOKUP(2,1/($B$4:$B3671=B3672),$A$4:$A3671),""))</f>
        <v/>
      </c>
      <c r="J3672" s="32">
        <f>IF(B3672="","",IFERROR(D3672/I3672,""))</f>
        <v/>
      </c>
      <c r="K3672" s="71">
        <f>IF(B3672="","",IFERROR(AVERAGEIFS($J$4:$J3672,$B$4:$B3672,B3672,$J$4:$J3672,"&gt;"&amp;0),""))</f>
        <v/>
      </c>
      <c r="L3672" s="12" t="n"/>
    </row>
    <row r="3673" ht="14" customHeight="1" s="72">
      <c r="A3673" s="82" t="n"/>
      <c r="B3673" s="79" t="n"/>
      <c r="C3673" s="69">
        <f>IF(B3673="","",IFERROR(INDEX(Client_List!$B:$B,MATCH(B3673,Client_List!$A:$A,0)),"⚠ NOT FOUND"))</f>
        <v/>
      </c>
      <c r="D3673" s="44" t="n"/>
      <c r="E3673" s="32">
        <f>IF(B3673="","",IFERROR(INDEX(Client_List!$C:$C,MATCH(VALUE(B3673),Client_List!$A:$A,0)),""))</f>
        <v/>
      </c>
      <c r="F3673" s="53">
        <f>IF(B3673="","",IFERROR(INDEX(Client_List!$D:$D,MATCH(VALUE(B3673),Client_List!$A:$A,0)),""))</f>
        <v/>
      </c>
      <c r="G3673" s="53">
        <f>IF(B3673="","",IFERROR(INDEX(Client_List!$K:$K,MATCH(VALUE(B3673),Client_List!$A:$A,0)),""))</f>
        <v/>
      </c>
      <c r="H3673" s="32">
        <f>IF(B3673="","",IFERROR(INDEX(Client_List!$J:$J,MATCH(VALUE(B3673),Client_List!$A:$A,0)),""))</f>
        <v/>
      </c>
      <c r="I3673" s="70">
        <f>IF(B3673="","",IFERROR(A3673-LOOKUP(2,1/($B$4:$B3672=B3673),$A$4:$A3672),""))</f>
        <v/>
      </c>
      <c r="J3673" s="32">
        <f>IF(B3673="","",IFERROR(D3673/I3673,""))</f>
        <v/>
      </c>
      <c r="K3673" s="71">
        <f>IF(B3673="","",IFERROR(AVERAGEIFS($J$4:$J3673,$B$4:$B3673,B3673,$J$4:$J3673,"&gt;"&amp;0),""))</f>
        <v/>
      </c>
      <c r="L3673" s="11" t="n"/>
    </row>
    <row r="3674" ht="14" customHeight="1" s="72">
      <c r="A3674" s="83" t="n"/>
      <c r="B3674" s="81" t="n"/>
      <c r="C3674" s="69">
        <f>IF(B3674="","",IFERROR(INDEX(Client_List!$B:$B,MATCH(B3674,Client_List!$A:$A,0)),"⚠ NOT FOUND"))</f>
        <v/>
      </c>
      <c r="D3674" s="45" t="n"/>
      <c r="E3674" s="32">
        <f>IF(B3674="","",IFERROR(INDEX(Client_List!$C:$C,MATCH(VALUE(B3674),Client_List!$A:$A,0)),""))</f>
        <v/>
      </c>
      <c r="F3674" s="53">
        <f>IF(B3674="","",IFERROR(INDEX(Client_List!$D:$D,MATCH(VALUE(B3674),Client_List!$A:$A,0)),""))</f>
        <v/>
      </c>
      <c r="G3674" s="53">
        <f>IF(B3674="","",IFERROR(INDEX(Client_List!$K:$K,MATCH(VALUE(B3674),Client_List!$A:$A,0)),""))</f>
        <v/>
      </c>
      <c r="H3674" s="32">
        <f>IF(B3674="","",IFERROR(INDEX(Client_List!$J:$J,MATCH(VALUE(B3674),Client_List!$A:$A,0)),""))</f>
        <v/>
      </c>
      <c r="I3674" s="70">
        <f>IF(B3674="","",IFERROR(A3674-LOOKUP(2,1/($B$4:$B3673=B3674),$A$4:$A3673),""))</f>
        <v/>
      </c>
      <c r="J3674" s="32">
        <f>IF(B3674="","",IFERROR(D3674/I3674,""))</f>
        <v/>
      </c>
      <c r="K3674" s="71">
        <f>IF(B3674="","",IFERROR(AVERAGEIFS($J$4:$J3674,$B$4:$B3674,B3674,$J$4:$J3674,"&gt;"&amp;0),""))</f>
        <v/>
      </c>
      <c r="L3674" s="12" t="n"/>
    </row>
    <row r="3675" ht="14" customHeight="1" s="72">
      <c r="A3675" s="82" t="n"/>
      <c r="B3675" s="79" t="n"/>
      <c r="C3675" s="69">
        <f>IF(B3675="","",IFERROR(INDEX(Client_List!$B:$B,MATCH(B3675,Client_List!$A:$A,0)),"⚠ NOT FOUND"))</f>
        <v/>
      </c>
      <c r="D3675" s="44" t="n"/>
      <c r="E3675" s="32">
        <f>IF(B3675="","",IFERROR(INDEX(Client_List!$C:$C,MATCH(VALUE(B3675),Client_List!$A:$A,0)),""))</f>
        <v/>
      </c>
      <c r="F3675" s="53">
        <f>IF(B3675="","",IFERROR(INDEX(Client_List!$D:$D,MATCH(VALUE(B3675),Client_List!$A:$A,0)),""))</f>
        <v/>
      </c>
      <c r="G3675" s="53">
        <f>IF(B3675="","",IFERROR(INDEX(Client_List!$K:$K,MATCH(VALUE(B3675),Client_List!$A:$A,0)),""))</f>
        <v/>
      </c>
      <c r="H3675" s="32">
        <f>IF(B3675="","",IFERROR(INDEX(Client_List!$J:$J,MATCH(VALUE(B3675),Client_List!$A:$A,0)),""))</f>
        <v/>
      </c>
      <c r="I3675" s="70">
        <f>IF(B3675="","",IFERROR(A3675-LOOKUP(2,1/($B$4:$B3674=B3675),$A$4:$A3674),""))</f>
        <v/>
      </c>
      <c r="J3675" s="32">
        <f>IF(B3675="","",IFERROR(D3675/I3675,""))</f>
        <v/>
      </c>
      <c r="K3675" s="71">
        <f>IF(B3675="","",IFERROR(AVERAGEIFS($J$4:$J3675,$B$4:$B3675,B3675,$J$4:$J3675,"&gt;"&amp;0),""))</f>
        <v/>
      </c>
      <c r="L3675" s="11" t="n"/>
    </row>
    <row r="3676" ht="14" customHeight="1" s="72">
      <c r="A3676" s="83" t="n"/>
      <c r="B3676" s="81" t="n"/>
      <c r="C3676" s="69">
        <f>IF(B3676="","",IFERROR(INDEX(Client_List!$B:$B,MATCH(B3676,Client_List!$A:$A,0)),"⚠ NOT FOUND"))</f>
        <v/>
      </c>
      <c r="D3676" s="45" t="n"/>
      <c r="E3676" s="32">
        <f>IF(B3676="","",IFERROR(INDEX(Client_List!$C:$C,MATCH(VALUE(B3676),Client_List!$A:$A,0)),""))</f>
        <v/>
      </c>
      <c r="F3676" s="53">
        <f>IF(B3676="","",IFERROR(INDEX(Client_List!$D:$D,MATCH(VALUE(B3676),Client_List!$A:$A,0)),""))</f>
        <v/>
      </c>
      <c r="G3676" s="53">
        <f>IF(B3676="","",IFERROR(INDEX(Client_List!$K:$K,MATCH(VALUE(B3676),Client_List!$A:$A,0)),""))</f>
        <v/>
      </c>
      <c r="H3676" s="32">
        <f>IF(B3676="","",IFERROR(INDEX(Client_List!$J:$J,MATCH(VALUE(B3676),Client_List!$A:$A,0)),""))</f>
        <v/>
      </c>
      <c r="I3676" s="70">
        <f>IF(B3676="","",IFERROR(A3676-LOOKUP(2,1/($B$4:$B3675=B3676),$A$4:$A3675),""))</f>
        <v/>
      </c>
      <c r="J3676" s="32">
        <f>IF(B3676="","",IFERROR(D3676/I3676,""))</f>
        <v/>
      </c>
      <c r="K3676" s="71">
        <f>IF(B3676="","",IFERROR(AVERAGEIFS($J$4:$J3676,$B$4:$B3676,B3676,$J$4:$J3676,"&gt;"&amp;0),""))</f>
        <v/>
      </c>
      <c r="L3676" s="12" t="n"/>
    </row>
    <row r="3677" ht="14" customHeight="1" s="72">
      <c r="A3677" s="82" t="n"/>
      <c r="B3677" s="79" t="n"/>
      <c r="C3677" s="69">
        <f>IF(B3677="","",IFERROR(INDEX(Client_List!$B:$B,MATCH(B3677,Client_List!$A:$A,0)),"⚠ NOT FOUND"))</f>
        <v/>
      </c>
      <c r="D3677" s="44" t="n"/>
      <c r="E3677" s="32">
        <f>IF(B3677="","",IFERROR(INDEX(Client_List!$C:$C,MATCH(VALUE(B3677),Client_List!$A:$A,0)),""))</f>
        <v/>
      </c>
      <c r="F3677" s="53">
        <f>IF(B3677="","",IFERROR(INDEX(Client_List!$D:$D,MATCH(VALUE(B3677),Client_List!$A:$A,0)),""))</f>
        <v/>
      </c>
      <c r="G3677" s="53">
        <f>IF(B3677="","",IFERROR(INDEX(Client_List!$K:$K,MATCH(VALUE(B3677),Client_List!$A:$A,0)),""))</f>
        <v/>
      </c>
      <c r="H3677" s="32">
        <f>IF(B3677="","",IFERROR(INDEX(Client_List!$J:$J,MATCH(VALUE(B3677),Client_List!$A:$A,0)),""))</f>
        <v/>
      </c>
      <c r="I3677" s="70">
        <f>IF(B3677="","",IFERROR(A3677-LOOKUP(2,1/($B$4:$B3676=B3677),$A$4:$A3676),""))</f>
        <v/>
      </c>
      <c r="J3677" s="32">
        <f>IF(B3677="","",IFERROR(D3677/I3677,""))</f>
        <v/>
      </c>
      <c r="K3677" s="71">
        <f>IF(B3677="","",IFERROR(AVERAGEIFS($J$4:$J3677,$B$4:$B3677,B3677,$J$4:$J3677,"&gt;"&amp;0),""))</f>
        <v/>
      </c>
      <c r="L3677" s="11" t="n"/>
    </row>
    <row r="3678" ht="14" customHeight="1" s="72">
      <c r="A3678" s="83" t="n"/>
      <c r="B3678" s="81" t="n"/>
      <c r="C3678" s="69">
        <f>IF(B3678="","",IFERROR(INDEX(Client_List!$B:$B,MATCH(B3678,Client_List!$A:$A,0)),"⚠ NOT FOUND"))</f>
        <v/>
      </c>
      <c r="D3678" s="45" t="n"/>
      <c r="E3678" s="32">
        <f>IF(B3678="","",IFERROR(INDEX(Client_List!$C:$C,MATCH(VALUE(B3678),Client_List!$A:$A,0)),""))</f>
        <v/>
      </c>
      <c r="F3678" s="53">
        <f>IF(B3678="","",IFERROR(INDEX(Client_List!$D:$D,MATCH(VALUE(B3678),Client_List!$A:$A,0)),""))</f>
        <v/>
      </c>
      <c r="G3678" s="53">
        <f>IF(B3678="","",IFERROR(INDEX(Client_List!$K:$K,MATCH(VALUE(B3678),Client_List!$A:$A,0)),""))</f>
        <v/>
      </c>
      <c r="H3678" s="32">
        <f>IF(B3678="","",IFERROR(INDEX(Client_List!$J:$J,MATCH(VALUE(B3678),Client_List!$A:$A,0)),""))</f>
        <v/>
      </c>
      <c r="I3678" s="70">
        <f>IF(B3678="","",IFERROR(A3678-LOOKUP(2,1/($B$4:$B3677=B3678),$A$4:$A3677),""))</f>
        <v/>
      </c>
      <c r="J3678" s="32">
        <f>IF(B3678="","",IFERROR(D3678/I3678,""))</f>
        <v/>
      </c>
      <c r="K3678" s="71">
        <f>IF(B3678="","",IFERROR(AVERAGEIFS($J$4:$J3678,$B$4:$B3678,B3678,$J$4:$J3678,"&gt;"&amp;0),""))</f>
        <v/>
      </c>
      <c r="L3678" s="12" t="n"/>
    </row>
    <row r="3679" ht="14" customHeight="1" s="72">
      <c r="A3679" s="82" t="n"/>
      <c r="B3679" s="79" t="n"/>
      <c r="C3679" s="69">
        <f>IF(B3679="","",IFERROR(INDEX(Client_List!$B:$B,MATCH(B3679,Client_List!$A:$A,0)),"⚠ NOT FOUND"))</f>
        <v/>
      </c>
      <c r="D3679" s="44" t="n"/>
      <c r="E3679" s="32">
        <f>IF(B3679="","",IFERROR(INDEX(Client_List!$C:$C,MATCH(VALUE(B3679),Client_List!$A:$A,0)),""))</f>
        <v/>
      </c>
      <c r="F3679" s="53">
        <f>IF(B3679="","",IFERROR(INDEX(Client_List!$D:$D,MATCH(VALUE(B3679),Client_List!$A:$A,0)),""))</f>
        <v/>
      </c>
      <c r="G3679" s="53">
        <f>IF(B3679="","",IFERROR(INDEX(Client_List!$K:$K,MATCH(VALUE(B3679),Client_List!$A:$A,0)),""))</f>
        <v/>
      </c>
      <c r="H3679" s="32">
        <f>IF(B3679="","",IFERROR(INDEX(Client_List!$J:$J,MATCH(VALUE(B3679),Client_List!$A:$A,0)),""))</f>
        <v/>
      </c>
      <c r="I3679" s="70">
        <f>IF(B3679="","",IFERROR(A3679-LOOKUP(2,1/($B$4:$B3678=B3679),$A$4:$A3678),""))</f>
        <v/>
      </c>
      <c r="J3679" s="32">
        <f>IF(B3679="","",IFERROR(D3679/I3679,""))</f>
        <v/>
      </c>
      <c r="K3679" s="71">
        <f>IF(B3679="","",IFERROR(AVERAGEIFS($J$4:$J3679,$B$4:$B3679,B3679,$J$4:$J3679,"&gt;"&amp;0),""))</f>
        <v/>
      </c>
      <c r="L3679" s="11" t="n"/>
    </row>
    <row r="3680" ht="14" customHeight="1" s="72">
      <c r="A3680" s="83" t="n"/>
      <c r="B3680" s="81" t="n"/>
      <c r="C3680" s="69">
        <f>IF(B3680="","",IFERROR(INDEX(Client_List!$B:$B,MATCH(B3680,Client_List!$A:$A,0)),"⚠ NOT FOUND"))</f>
        <v/>
      </c>
      <c r="D3680" s="45" t="n"/>
      <c r="E3680" s="32">
        <f>IF(B3680="","",IFERROR(INDEX(Client_List!$C:$C,MATCH(VALUE(B3680),Client_List!$A:$A,0)),""))</f>
        <v/>
      </c>
      <c r="F3680" s="53">
        <f>IF(B3680="","",IFERROR(INDEX(Client_List!$D:$D,MATCH(VALUE(B3680),Client_List!$A:$A,0)),""))</f>
        <v/>
      </c>
      <c r="G3680" s="53">
        <f>IF(B3680="","",IFERROR(INDEX(Client_List!$K:$K,MATCH(VALUE(B3680),Client_List!$A:$A,0)),""))</f>
        <v/>
      </c>
      <c r="H3680" s="32">
        <f>IF(B3680="","",IFERROR(INDEX(Client_List!$J:$J,MATCH(VALUE(B3680),Client_List!$A:$A,0)),""))</f>
        <v/>
      </c>
      <c r="I3680" s="70">
        <f>IF(B3680="","",IFERROR(A3680-LOOKUP(2,1/($B$4:$B3679=B3680),$A$4:$A3679),""))</f>
        <v/>
      </c>
      <c r="J3680" s="32">
        <f>IF(B3680="","",IFERROR(D3680/I3680,""))</f>
        <v/>
      </c>
      <c r="K3680" s="71">
        <f>IF(B3680="","",IFERROR(AVERAGEIFS($J$4:$J3680,$B$4:$B3680,B3680,$J$4:$J3680,"&gt;"&amp;0),""))</f>
        <v/>
      </c>
      <c r="L3680" s="12" t="n"/>
    </row>
    <row r="3681" ht="14" customHeight="1" s="72">
      <c r="A3681" s="82" t="n"/>
      <c r="B3681" s="79" t="n"/>
      <c r="C3681" s="69">
        <f>IF(B3681="","",IFERROR(INDEX(Client_List!$B:$B,MATCH(B3681,Client_List!$A:$A,0)),"⚠ NOT FOUND"))</f>
        <v/>
      </c>
      <c r="D3681" s="44" t="n"/>
      <c r="E3681" s="32">
        <f>IF(B3681="","",IFERROR(INDEX(Client_List!$C:$C,MATCH(VALUE(B3681),Client_List!$A:$A,0)),""))</f>
        <v/>
      </c>
      <c r="F3681" s="53">
        <f>IF(B3681="","",IFERROR(INDEX(Client_List!$D:$D,MATCH(VALUE(B3681),Client_List!$A:$A,0)),""))</f>
        <v/>
      </c>
      <c r="G3681" s="53">
        <f>IF(B3681="","",IFERROR(INDEX(Client_List!$K:$K,MATCH(VALUE(B3681),Client_List!$A:$A,0)),""))</f>
        <v/>
      </c>
      <c r="H3681" s="32">
        <f>IF(B3681="","",IFERROR(INDEX(Client_List!$J:$J,MATCH(VALUE(B3681),Client_List!$A:$A,0)),""))</f>
        <v/>
      </c>
      <c r="I3681" s="70">
        <f>IF(B3681="","",IFERROR(A3681-LOOKUP(2,1/($B$4:$B3680=B3681),$A$4:$A3680),""))</f>
        <v/>
      </c>
      <c r="J3681" s="32">
        <f>IF(B3681="","",IFERROR(D3681/I3681,""))</f>
        <v/>
      </c>
      <c r="K3681" s="71">
        <f>IF(B3681="","",IFERROR(AVERAGEIFS($J$4:$J3681,$B$4:$B3681,B3681,$J$4:$J3681,"&gt;"&amp;0),""))</f>
        <v/>
      </c>
      <c r="L3681" s="11" t="n"/>
    </row>
    <row r="3682" ht="14" customHeight="1" s="72">
      <c r="A3682" s="83" t="n"/>
      <c r="B3682" s="81" t="n"/>
      <c r="C3682" s="69">
        <f>IF(B3682="","",IFERROR(INDEX(Client_List!$B:$B,MATCH(B3682,Client_List!$A:$A,0)),"⚠ NOT FOUND"))</f>
        <v/>
      </c>
      <c r="D3682" s="45" t="n"/>
      <c r="E3682" s="32">
        <f>IF(B3682="","",IFERROR(INDEX(Client_List!$C:$C,MATCH(VALUE(B3682),Client_List!$A:$A,0)),""))</f>
        <v/>
      </c>
      <c r="F3682" s="53">
        <f>IF(B3682="","",IFERROR(INDEX(Client_List!$D:$D,MATCH(VALUE(B3682),Client_List!$A:$A,0)),""))</f>
        <v/>
      </c>
      <c r="G3682" s="53">
        <f>IF(B3682="","",IFERROR(INDEX(Client_List!$K:$K,MATCH(VALUE(B3682),Client_List!$A:$A,0)),""))</f>
        <v/>
      </c>
      <c r="H3682" s="32">
        <f>IF(B3682="","",IFERROR(INDEX(Client_List!$J:$J,MATCH(VALUE(B3682),Client_List!$A:$A,0)),""))</f>
        <v/>
      </c>
      <c r="I3682" s="70">
        <f>IF(B3682="","",IFERROR(A3682-LOOKUP(2,1/($B$4:$B3681=B3682),$A$4:$A3681),""))</f>
        <v/>
      </c>
      <c r="J3682" s="32">
        <f>IF(B3682="","",IFERROR(D3682/I3682,""))</f>
        <v/>
      </c>
      <c r="K3682" s="71">
        <f>IF(B3682="","",IFERROR(AVERAGEIFS($J$4:$J3682,$B$4:$B3682,B3682,$J$4:$J3682,"&gt;"&amp;0),""))</f>
        <v/>
      </c>
      <c r="L3682" s="12" t="n"/>
    </row>
    <row r="3683" ht="14" customHeight="1" s="72">
      <c r="A3683" s="82" t="n"/>
      <c r="B3683" s="79" t="n"/>
      <c r="C3683" s="69">
        <f>IF(B3683="","",IFERROR(INDEX(Client_List!$B:$B,MATCH(B3683,Client_List!$A:$A,0)),"⚠ NOT FOUND"))</f>
        <v/>
      </c>
      <c r="D3683" s="44" t="n"/>
      <c r="E3683" s="32">
        <f>IF(B3683="","",IFERROR(INDEX(Client_List!$C:$C,MATCH(VALUE(B3683),Client_List!$A:$A,0)),""))</f>
        <v/>
      </c>
      <c r="F3683" s="53">
        <f>IF(B3683="","",IFERROR(INDEX(Client_List!$D:$D,MATCH(VALUE(B3683),Client_List!$A:$A,0)),""))</f>
        <v/>
      </c>
      <c r="G3683" s="53">
        <f>IF(B3683="","",IFERROR(INDEX(Client_List!$K:$K,MATCH(VALUE(B3683),Client_List!$A:$A,0)),""))</f>
        <v/>
      </c>
      <c r="H3683" s="32">
        <f>IF(B3683="","",IFERROR(INDEX(Client_List!$J:$J,MATCH(VALUE(B3683),Client_List!$A:$A,0)),""))</f>
        <v/>
      </c>
      <c r="I3683" s="70">
        <f>IF(B3683="","",IFERROR(A3683-LOOKUP(2,1/($B$4:$B3682=B3683),$A$4:$A3682),""))</f>
        <v/>
      </c>
      <c r="J3683" s="32">
        <f>IF(B3683="","",IFERROR(D3683/I3683,""))</f>
        <v/>
      </c>
      <c r="K3683" s="71">
        <f>IF(B3683="","",IFERROR(AVERAGEIFS($J$4:$J3683,$B$4:$B3683,B3683,$J$4:$J3683,"&gt;"&amp;0),""))</f>
        <v/>
      </c>
      <c r="L3683" s="11" t="n"/>
    </row>
    <row r="3684" ht="14" customHeight="1" s="72">
      <c r="A3684" s="83" t="n"/>
      <c r="B3684" s="81" t="n"/>
      <c r="C3684" s="69">
        <f>IF(B3684="","",IFERROR(INDEX(Client_List!$B:$B,MATCH(B3684,Client_List!$A:$A,0)),"⚠ NOT FOUND"))</f>
        <v/>
      </c>
      <c r="D3684" s="45" t="n"/>
      <c r="E3684" s="32">
        <f>IF(B3684="","",IFERROR(INDEX(Client_List!$C:$C,MATCH(VALUE(B3684),Client_List!$A:$A,0)),""))</f>
        <v/>
      </c>
      <c r="F3684" s="53">
        <f>IF(B3684="","",IFERROR(INDEX(Client_List!$D:$D,MATCH(VALUE(B3684),Client_List!$A:$A,0)),""))</f>
        <v/>
      </c>
      <c r="G3684" s="53">
        <f>IF(B3684="","",IFERROR(INDEX(Client_List!$K:$K,MATCH(VALUE(B3684),Client_List!$A:$A,0)),""))</f>
        <v/>
      </c>
      <c r="H3684" s="32">
        <f>IF(B3684="","",IFERROR(INDEX(Client_List!$J:$J,MATCH(VALUE(B3684),Client_List!$A:$A,0)),""))</f>
        <v/>
      </c>
      <c r="I3684" s="70">
        <f>IF(B3684="","",IFERROR(A3684-LOOKUP(2,1/($B$4:$B3683=B3684),$A$4:$A3683),""))</f>
        <v/>
      </c>
      <c r="J3684" s="32">
        <f>IF(B3684="","",IFERROR(D3684/I3684,""))</f>
        <v/>
      </c>
      <c r="K3684" s="71">
        <f>IF(B3684="","",IFERROR(AVERAGEIFS($J$4:$J3684,$B$4:$B3684,B3684,$J$4:$J3684,"&gt;"&amp;0),""))</f>
        <v/>
      </c>
      <c r="L3684" s="12" t="n"/>
    </row>
    <row r="3685" ht="14" customHeight="1" s="72">
      <c r="A3685" s="82" t="n"/>
      <c r="B3685" s="79" t="n"/>
      <c r="C3685" s="69">
        <f>IF(B3685="","",IFERROR(INDEX(Client_List!$B:$B,MATCH(B3685,Client_List!$A:$A,0)),"⚠ NOT FOUND"))</f>
        <v/>
      </c>
      <c r="D3685" s="44" t="n"/>
      <c r="E3685" s="32">
        <f>IF(B3685="","",IFERROR(INDEX(Client_List!$C:$C,MATCH(VALUE(B3685),Client_List!$A:$A,0)),""))</f>
        <v/>
      </c>
      <c r="F3685" s="53">
        <f>IF(B3685="","",IFERROR(INDEX(Client_List!$D:$D,MATCH(VALUE(B3685),Client_List!$A:$A,0)),""))</f>
        <v/>
      </c>
      <c r="G3685" s="53">
        <f>IF(B3685="","",IFERROR(INDEX(Client_List!$K:$K,MATCH(VALUE(B3685),Client_List!$A:$A,0)),""))</f>
        <v/>
      </c>
      <c r="H3685" s="32">
        <f>IF(B3685="","",IFERROR(INDEX(Client_List!$J:$J,MATCH(VALUE(B3685),Client_List!$A:$A,0)),""))</f>
        <v/>
      </c>
      <c r="I3685" s="70">
        <f>IF(B3685="","",IFERROR(A3685-LOOKUP(2,1/($B$4:$B3684=B3685),$A$4:$A3684),""))</f>
        <v/>
      </c>
      <c r="J3685" s="32">
        <f>IF(B3685="","",IFERROR(D3685/I3685,""))</f>
        <v/>
      </c>
      <c r="K3685" s="71">
        <f>IF(B3685="","",IFERROR(AVERAGEIFS($J$4:$J3685,$B$4:$B3685,B3685,$J$4:$J3685,"&gt;"&amp;0),""))</f>
        <v/>
      </c>
      <c r="L3685" s="11" t="n"/>
    </row>
    <row r="3686" ht="14" customHeight="1" s="72">
      <c r="A3686" s="83" t="n"/>
      <c r="B3686" s="81" t="n"/>
      <c r="C3686" s="69">
        <f>IF(B3686="","",IFERROR(INDEX(Client_List!$B:$B,MATCH(B3686,Client_List!$A:$A,0)),"⚠ NOT FOUND"))</f>
        <v/>
      </c>
      <c r="D3686" s="45" t="n"/>
      <c r="E3686" s="32">
        <f>IF(B3686="","",IFERROR(INDEX(Client_List!$C:$C,MATCH(VALUE(B3686),Client_List!$A:$A,0)),""))</f>
        <v/>
      </c>
      <c r="F3686" s="53">
        <f>IF(B3686="","",IFERROR(INDEX(Client_List!$D:$D,MATCH(VALUE(B3686),Client_List!$A:$A,0)),""))</f>
        <v/>
      </c>
      <c r="G3686" s="53">
        <f>IF(B3686="","",IFERROR(INDEX(Client_List!$K:$K,MATCH(VALUE(B3686),Client_List!$A:$A,0)),""))</f>
        <v/>
      </c>
      <c r="H3686" s="32">
        <f>IF(B3686="","",IFERROR(INDEX(Client_List!$J:$J,MATCH(VALUE(B3686),Client_List!$A:$A,0)),""))</f>
        <v/>
      </c>
      <c r="I3686" s="70">
        <f>IF(B3686="","",IFERROR(A3686-LOOKUP(2,1/($B$4:$B3685=B3686),$A$4:$A3685),""))</f>
        <v/>
      </c>
      <c r="J3686" s="32">
        <f>IF(B3686="","",IFERROR(D3686/I3686,""))</f>
        <v/>
      </c>
      <c r="K3686" s="71">
        <f>IF(B3686="","",IFERROR(AVERAGEIFS($J$4:$J3686,$B$4:$B3686,B3686,$J$4:$J3686,"&gt;"&amp;0),""))</f>
        <v/>
      </c>
      <c r="L3686" s="12" t="n"/>
    </row>
    <row r="3687" ht="14" customHeight="1" s="72">
      <c r="A3687" s="82" t="n"/>
      <c r="B3687" s="79" t="n"/>
      <c r="C3687" s="69">
        <f>IF(B3687="","",IFERROR(INDEX(Client_List!$B:$B,MATCH(B3687,Client_List!$A:$A,0)),"⚠ NOT FOUND"))</f>
        <v/>
      </c>
      <c r="D3687" s="44" t="n"/>
      <c r="E3687" s="32">
        <f>IF(B3687="","",IFERROR(INDEX(Client_List!$C:$C,MATCH(VALUE(B3687),Client_List!$A:$A,0)),""))</f>
        <v/>
      </c>
      <c r="F3687" s="53">
        <f>IF(B3687="","",IFERROR(INDEX(Client_List!$D:$D,MATCH(VALUE(B3687),Client_List!$A:$A,0)),""))</f>
        <v/>
      </c>
      <c r="G3687" s="53">
        <f>IF(B3687="","",IFERROR(INDEX(Client_List!$K:$K,MATCH(VALUE(B3687),Client_List!$A:$A,0)),""))</f>
        <v/>
      </c>
      <c r="H3687" s="32">
        <f>IF(B3687="","",IFERROR(INDEX(Client_List!$J:$J,MATCH(VALUE(B3687),Client_List!$A:$A,0)),""))</f>
        <v/>
      </c>
      <c r="I3687" s="70">
        <f>IF(B3687="","",IFERROR(A3687-LOOKUP(2,1/($B$4:$B3686=B3687),$A$4:$A3686),""))</f>
        <v/>
      </c>
      <c r="J3687" s="32">
        <f>IF(B3687="","",IFERROR(D3687/I3687,""))</f>
        <v/>
      </c>
      <c r="K3687" s="71">
        <f>IF(B3687="","",IFERROR(AVERAGEIFS($J$4:$J3687,$B$4:$B3687,B3687,$J$4:$J3687,"&gt;"&amp;0),""))</f>
        <v/>
      </c>
      <c r="L3687" s="11" t="n"/>
    </row>
    <row r="3688" ht="14" customHeight="1" s="72">
      <c r="A3688" s="83" t="n"/>
      <c r="B3688" s="81" t="n"/>
      <c r="C3688" s="69">
        <f>IF(B3688="","",IFERROR(INDEX(Client_List!$B:$B,MATCH(B3688,Client_List!$A:$A,0)),"⚠ NOT FOUND"))</f>
        <v/>
      </c>
      <c r="D3688" s="45" t="n"/>
      <c r="E3688" s="32">
        <f>IF(B3688="","",IFERROR(INDEX(Client_List!$C:$C,MATCH(VALUE(B3688),Client_List!$A:$A,0)),""))</f>
        <v/>
      </c>
      <c r="F3688" s="53">
        <f>IF(B3688="","",IFERROR(INDEX(Client_List!$D:$D,MATCH(VALUE(B3688),Client_List!$A:$A,0)),""))</f>
        <v/>
      </c>
      <c r="G3688" s="53">
        <f>IF(B3688="","",IFERROR(INDEX(Client_List!$K:$K,MATCH(VALUE(B3688),Client_List!$A:$A,0)),""))</f>
        <v/>
      </c>
      <c r="H3688" s="32">
        <f>IF(B3688="","",IFERROR(INDEX(Client_List!$J:$J,MATCH(VALUE(B3688),Client_List!$A:$A,0)),""))</f>
        <v/>
      </c>
      <c r="I3688" s="70">
        <f>IF(B3688="","",IFERROR(A3688-LOOKUP(2,1/($B$4:$B3687=B3688),$A$4:$A3687),""))</f>
        <v/>
      </c>
      <c r="J3688" s="32">
        <f>IF(B3688="","",IFERROR(D3688/I3688,""))</f>
        <v/>
      </c>
      <c r="K3688" s="71">
        <f>IF(B3688="","",IFERROR(AVERAGEIFS($J$4:$J3688,$B$4:$B3688,B3688,$J$4:$J3688,"&gt;"&amp;0),""))</f>
        <v/>
      </c>
      <c r="L3688" s="12" t="n"/>
    </row>
    <row r="3689" ht="14" customHeight="1" s="72">
      <c r="A3689" s="82" t="n"/>
      <c r="B3689" s="79" t="n"/>
      <c r="C3689" s="69">
        <f>IF(B3689="","",IFERROR(INDEX(Client_List!$B:$B,MATCH(B3689,Client_List!$A:$A,0)),"⚠ NOT FOUND"))</f>
        <v/>
      </c>
      <c r="D3689" s="44" t="n"/>
      <c r="E3689" s="32">
        <f>IF(B3689="","",IFERROR(INDEX(Client_List!$C:$C,MATCH(VALUE(B3689),Client_List!$A:$A,0)),""))</f>
        <v/>
      </c>
      <c r="F3689" s="53">
        <f>IF(B3689="","",IFERROR(INDEX(Client_List!$D:$D,MATCH(VALUE(B3689),Client_List!$A:$A,0)),""))</f>
        <v/>
      </c>
      <c r="G3689" s="53">
        <f>IF(B3689="","",IFERROR(INDEX(Client_List!$K:$K,MATCH(VALUE(B3689),Client_List!$A:$A,0)),""))</f>
        <v/>
      </c>
      <c r="H3689" s="32">
        <f>IF(B3689="","",IFERROR(INDEX(Client_List!$J:$J,MATCH(VALUE(B3689),Client_List!$A:$A,0)),""))</f>
        <v/>
      </c>
      <c r="I3689" s="70">
        <f>IF(B3689="","",IFERROR(A3689-LOOKUP(2,1/($B$4:$B3688=B3689),$A$4:$A3688),""))</f>
        <v/>
      </c>
      <c r="J3689" s="32">
        <f>IF(B3689="","",IFERROR(D3689/I3689,""))</f>
        <v/>
      </c>
      <c r="K3689" s="71">
        <f>IF(B3689="","",IFERROR(AVERAGEIFS($J$4:$J3689,$B$4:$B3689,B3689,$J$4:$J3689,"&gt;"&amp;0),""))</f>
        <v/>
      </c>
      <c r="L3689" s="11" t="n"/>
    </row>
    <row r="3690" ht="14" customHeight="1" s="72">
      <c r="A3690" s="83" t="n"/>
      <c r="B3690" s="81" t="n"/>
      <c r="C3690" s="69">
        <f>IF(B3690="","",IFERROR(INDEX(Client_List!$B:$B,MATCH(B3690,Client_List!$A:$A,0)),"⚠ NOT FOUND"))</f>
        <v/>
      </c>
      <c r="D3690" s="45" t="n"/>
      <c r="E3690" s="32">
        <f>IF(B3690="","",IFERROR(INDEX(Client_List!$C:$C,MATCH(VALUE(B3690),Client_List!$A:$A,0)),""))</f>
        <v/>
      </c>
      <c r="F3690" s="53">
        <f>IF(B3690="","",IFERROR(INDEX(Client_List!$D:$D,MATCH(VALUE(B3690),Client_List!$A:$A,0)),""))</f>
        <v/>
      </c>
      <c r="G3690" s="53">
        <f>IF(B3690="","",IFERROR(INDEX(Client_List!$K:$K,MATCH(VALUE(B3690),Client_List!$A:$A,0)),""))</f>
        <v/>
      </c>
      <c r="H3690" s="32">
        <f>IF(B3690="","",IFERROR(INDEX(Client_List!$J:$J,MATCH(VALUE(B3690),Client_List!$A:$A,0)),""))</f>
        <v/>
      </c>
      <c r="I3690" s="70">
        <f>IF(B3690="","",IFERROR(A3690-LOOKUP(2,1/($B$4:$B3689=B3690),$A$4:$A3689),""))</f>
        <v/>
      </c>
      <c r="J3690" s="32">
        <f>IF(B3690="","",IFERROR(D3690/I3690,""))</f>
        <v/>
      </c>
      <c r="K3690" s="71">
        <f>IF(B3690="","",IFERROR(AVERAGEIFS($J$4:$J3690,$B$4:$B3690,B3690,$J$4:$J3690,"&gt;"&amp;0),""))</f>
        <v/>
      </c>
      <c r="L3690" s="12" t="n"/>
    </row>
    <row r="3691" ht="14" customHeight="1" s="72">
      <c r="A3691" s="82" t="n"/>
      <c r="B3691" s="79" t="n"/>
      <c r="C3691" s="69">
        <f>IF(B3691="","",IFERROR(INDEX(Client_List!$B:$B,MATCH(B3691,Client_List!$A:$A,0)),"⚠ NOT FOUND"))</f>
        <v/>
      </c>
      <c r="D3691" s="44" t="n"/>
      <c r="E3691" s="32">
        <f>IF(B3691="","",IFERROR(INDEX(Client_List!$C:$C,MATCH(VALUE(B3691),Client_List!$A:$A,0)),""))</f>
        <v/>
      </c>
      <c r="F3691" s="53">
        <f>IF(B3691="","",IFERROR(INDEX(Client_List!$D:$D,MATCH(VALUE(B3691),Client_List!$A:$A,0)),""))</f>
        <v/>
      </c>
      <c r="G3691" s="53">
        <f>IF(B3691="","",IFERROR(INDEX(Client_List!$K:$K,MATCH(VALUE(B3691),Client_List!$A:$A,0)),""))</f>
        <v/>
      </c>
      <c r="H3691" s="32">
        <f>IF(B3691="","",IFERROR(INDEX(Client_List!$J:$J,MATCH(VALUE(B3691),Client_List!$A:$A,0)),""))</f>
        <v/>
      </c>
      <c r="I3691" s="70">
        <f>IF(B3691="","",IFERROR(A3691-LOOKUP(2,1/($B$4:$B3690=B3691),$A$4:$A3690),""))</f>
        <v/>
      </c>
      <c r="J3691" s="32">
        <f>IF(B3691="","",IFERROR(D3691/I3691,""))</f>
        <v/>
      </c>
      <c r="K3691" s="71">
        <f>IF(B3691="","",IFERROR(AVERAGEIFS($J$4:$J3691,$B$4:$B3691,B3691,$J$4:$J3691,"&gt;"&amp;0),""))</f>
        <v/>
      </c>
      <c r="L3691" s="11" t="n"/>
    </row>
    <row r="3692" ht="14" customHeight="1" s="72">
      <c r="A3692" s="83" t="n"/>
      <c r="B3692" s="81" t="n"/>
      <c r="C3692" s="69">
        <f>IF(B3692="","",IFERROR(INDEX(Client_List!$B:$B,MATCH(B3692,Client_List!$A:$A,0)),"⚠ NOT FOUND"))</f>
        <v/>
      </c>
      <c r="D3692" s="45" t="n"/>
      <c r="E3692" s="32">
        <f>IF(B3692="","",IFERROR(INDEX(Client_List!$C:$C,MATCH(VALUE(B3692),Client_List!$A:$A,0)),""))</f>
        <v/>
      </c>
      <c r="F3692" s="53">
        <f>IF(B3692="","",IFERROR(INDEX(Client_List!$D:$D,MATCH(VALUE(B3692),Client_List!$A:$A,0)),""))</f>
        <v/>
      </c>
      <c r="G3692" s="53">
        <f>IF(B3692="","",IFERROR(INDEX(Client_List!$K:$K,MATCH(VALUE(B3692),Client_List!$A:$A,0)),""))</f>
        <v/>
      </c>
      <c r="H3692" s="32">
        <f>IF(B3692="","",IFERROR(INDEX(Client_List!$J:$J,MATCH(VALUE(B3692),Client_List!$A:$A,0)),""))</f>
        <v/>
      </c>
      <c r="I3692" s="70">
        <f>IF(B3692="","",IFERROR(A3692-LOOKUP(2,1/($B$4:$B3691=B3692),$A$4:$A3691),""))</f>
        <v/>
      </c>
      <c r="J3692" s="32">
        <f>IF(B3692="","",IFERROR(D3692/I3692,""))</f>
        <v/>
      </c>
      <c r="K3692" s="71">
        <f>IF(B3692="","",IFERROR(AVERAGEIFS($J$4:$J3692,$B$4:$B3692,B3692,$J$4:$J3692,"&gt;"&amp;0),""))</f>
        <v/>
      </c>
      <c r="L3692" s="12" t="n"/>
    </row>
    <row r="3693" ht="14" customHeight="1" s="72">
      <c r="A3693" s="82" t="n"/>
      <c r="B3693" s="79" t="n"/>
      <c r="C3693" s="69">
        <f>IF(B3693="","",IFERROR(INDEX(Client_List!$B:$B,MATCH(B3693,Client_List!$A:$A,0)),"⚠ NOT FOUND"))</f>
        <v/>
      </c>
      <c r="D3693" s="44" t="n"/>
      <c r="E3693" s="32">
        <f>IF(B3693="","",IFERROR(INDEX(Client_List!$C:$C,MATCH(VALUE(B3693),Client_List!$A:$A,0)),""))</f>
        <v/>
      </c>
      <c r="F3693" s="53">
        <f>IF(B3693="","",IFERROR(INDEX(Client_List!$D:$D,MATCH(VALUE(B3693),Client_List!$A:$A,0)),""))</f>
        <v/>
      </c>
      <c r="G3693" s="53">
        <f>IF(B3693="","",IFERROR(INDEX(Client_List!$K:$K,MATCH(VALUE(B3693),Client_List!$A:$A,0)),""))</f>
        <v/>
      </c>
      <c r="H3693" s="32">
        <f>IF(B3693="","",IFERROR(INDEX(Client_List!$J:$J,MATCH(VALUE(B3693),Client_List!$A:$A,0)),""))</f>
        <v/>
      </c>
      <c r="I3693" s="70">
        <f>IF(B3693="","",IFERROR(A3693-LOOKUP(2,1/($B$4:$B3692=B3693),$A$4:$A3692),""))</f>
        <v/>
      </c>
      <c r="J3693" s="32">
        <f>IF(B3693="","",IFERROR(D3693/I3693,""))</f>
        <v/>
      </c>
      <c r="K3693" s="71">
        <f>IF(B3693="","",IFERROR(AVERAGEIFS($J$4:$J3693,$B$4:$B3693,B3693,$J$4:$J3693,"&gt;"&amp;0),""))</f>
        <v/>
      </c>
      <c r="L3693" s="11" t="n"/>
    </row>
    <row r="3694" ht="14" customHeight="1" s="72">
      <c r="A3694" s="83" t="n"/>
      <c r="B3694" s="81" t="n"/>
      <c r="C3694" s="69">
        <f>IF(B3694="","",IFERROR(INDEX(Client_List!$B:$B,MATCH(B3694,Client_List!$A:$A,0)),"⚠ NOT FOUND"))</f>
        <v/>
      </c>
      <c r="D3694" s="45" t="n"/>
      <c r="E3694" s="32">
        <f>IF(B3694="","",IFERROR(INDEX(Client_List!$C:$C,MATCH(VALUE(B3694),Client_List!$A:$A,0)),""))</f>
        <v/>
      </c>
      <c r="F3694" s="53">
        <f>IF(B3694="","",IFERROR(INDEX(Client_List!$D:$D,MATCH(VALUE(B3694),Client_List!$A:$A,0)),""))</f>
        <v/>
      </c>
      <c r="G3694" s="53">
        <f>IF(B3694="","",IFERROR(INDEX(Client_List!$K:$K,MATCH(VALUE(B3694),Client_List!$A:$A,0)),""))</f>
        <v/>
      </c>
      <c r="H3694" s="32">
        <f>IF(B3694="","",IFERROR(INDEX(Client_List!$J:$J,MATCH(VALUE(B3694),Client_List!$A:$A,0)),""))</f>
        <v/>
      </c>
      <c r="I3694" s="70">
        <f>IF(B3694="","",IFERROR(A3694-LOOKUP(2,1/($B$4:$B3693=B3694),$A$4:$A3693),""))</f>
        <v/>
      </c>
      <c r="J3694" s="32">
        <f>IF(B3694="","",IFERROR(D3694/I3694,""))</f>
        <v/>
      </c>
      <c r="K3694" s="71">
        <f>IF(B3694="","",IFERROR(AVERAGEIFS($J$4:$J3694,$B$4:$B3694,B3694,$J$4:$J3694,"&gt;"&amp;0),""))</f>
        <v/>
      </c>
      <c r="L3694" s="12" t="n"/>
    </row>
    <row r="3695" ht="14" customHeight="1" s="72">
      <c r="A3695" s="82" t="n"/>
      <c r="B3695" s="79" t="n"/>
      <c r="C3695" s="69">
        <f>IF(B3695="","",IFERROR(INDEX(Client_List!$B:$B,MATCH(B3695,Client_List!$A:$A,0)),"⚠ NOT FOUND"))</f>
        <v/>
      </c>
      <c r="D3695" s="44" t="n"/>
      <c r="E3695" s="32">
        <f>IF(B3695="","",IFERROR(INDEX(Client_List!$C:$C,MATCH(VALUE(B3695),Client_List!$A:$A,0)),""))</f>
        <v/>
      </c>
      <c r="F3695" s="53">
        <f>IF(B3695="","",IFERROR(INDEX(Client_List!$D:$D,MATCH(VALUE(B3695),Client_List!$A:$A,0)),""))</f>
        <v/>
      </c>
      <c r="G3695" s="53">
        <f>IF(B3695="","",IFERROR(INDEX(Client_List!$K:$K,MATCH(VALUE(B3695),Client_List!$A:$A,0)),""))</f>
        <v/>
      </c>
      <c r="H3695" s="32">
        <f>IF(B3695="","",IFERROR(INDEX(Client_List!$J:$J,MATCH(VALUE(B3695),Client_List!$A:$A,0)),""))</f>
        <v/>
      </c>
      <c r="I3695" s="70">
        <f>IF(B3695="","",IFERROR(A3695-LOOKUP(2,1/($B$4:$B3694=B3695),$A$4:$A3694),""))</f>
        <v/>
      </c>
      <c r="J3695" s="32">
        <f>IF(B3695="","",IFERROR(D3695/I3695,""))</f>
        <v/>
      </c>
      <c r="K3695" s="71">
        <f>IF(B3695="","",IFERROR(AVERAGEIFS($J$4:$J3695,$B$4:$B3695,B3695,$J$4:$J3695,"&gt;"&amp;0),""))</f>
        <v/>
      </c>
      <c r="L3695" s="11" t="n"/>
    </row>
    <row r="3696" ht="14" customHeight="1" s="72">
      <c r="A3696" s="83" t="n"/>
      <c r="B3696" s="81" t="n"/>
      <c r="C3696" s="69">
        <f>IF(B3696="","",IFERROR(INDEX(Client_List!$B:$B,MATCH(B3696,Client_List!$A:$A,0)),"⚠ NOT FOUND"))</f>
        <v/>
      </c>
      <c r="D3696" s="45" t="n"/>
      <c r="E3696" s="32">
        <f>IF(B3696="","",IFERROR(INDEX(Client_List!$C:$C,MATCH(VALUE(B3696),Client_List!$A:$A,0)),""))</f>
        <v/>
      </c>
      <c r="F3696" s="53">
        <f>IF(B3696="","",IFERROR(INDEX(Client_List!$D:$D,MATCH(VALUE(B3696),Client_List!$A:$A,0)),""))</f>
        <v/>
      </c>
      <c r="G3696" s="53">
        <f>IF(B3696="","",IFERROR(INDEX(Client_List!$K:$K,MATCH(VALUE(B3696),Client_List!$A:$A,0)),""))</f>
        <v/>
      </c>
      <c r="H3696" s="32">
        <f>IF(B3696="","",IFERROR(INDEX(Client_List!$J:$J,MATCH(VALUE(B3696),Client_List!$A:$A,0)),""))</f>
        <v/>
      </c>
      <c r="I3696" s="70">
        <f>IF(B3696="","",IFERROR(A3696-LOOKUP(2,1/($B$4:$B3695=B3696),$A$4:$A3695),""))</f>
        <v/>
      </c>
      <c r="J3696" s="32">
        <f>IF(B3696="","",IFERROR(D3696/I3696,""))</f>
        <v/>
      </c>
      <c r="K3696" s="71">
        <f>IF(B3696="","",IFERROR(AVERAGEIFS($J$4:$J3696,$B$4:$B3696,B3696,$J$4:$J3696,"&gt;"&amp;0),""))</f>
        <v/>
      </c>
      <c r="L3696" s="12" t="n"/>
    </row>
    <row r="3697" ht="14" customHeight="1" s="72">
      <c r="A3697" s="82" t="n"/>
      <c r="B3697" s="79" t="n"/>
      <c r="C3697" s="69">
        <f>IF(B3697="","",IFERROR(INDEX(Client_List!$B:$B,MATCH(B3697,Client_List!$A:$A,0)),"⚠ NOT FOUND"))</f>
        <v/>
      </c>
      <c r="D3697" s="44" t="n"/>
      <c r="E3697" s="32">
        <f>IF(B3697="","",IFERROR(INDEX(Client_List!$C:$C,MATCH(VALUE(B3697),Client_List!$A:$A,0)),""))</f>
        <v/>
      </c>
      <c r="F3697" s="53">
        <f>IF(B3697="","",IFERROR(INDEX(Client_List!$D:$D,MATCH(VALUE(B3697),Client_List!$A:$A,0)),""))</f>
        <v/>
      </c>
      <c r="G3697" s="53">
        <f>IF(B3697="","",IFERROR(INDEX(Client_List!$K:$K,MATCH(VALUE(B3697),Client_List!$A:$A,0)),""))</f>
        <v/>
      </c>
      <c r="H3697" s="32">
        <f>IF(B3697="","",IFERROR(INDEX(Client_List!$J:$J,MATCH(VALUE(B3697),Client_List!$A:$A,0)),""))</f>
        <v/>
      </c>
      <c r="I3697" s="70">
        <f>IF(B3697="","",IFERROR(A3697-LOOKUP(2,1/($B$4:$B3696=B3697),$A$4:$A3696),""))</f>
        <v/>
      </c>
      <c r="J3697" s="32">
        <f>IF(B3697="","",IFERROR(D3697/I3697,""))</f>
        <v/>
      </c>
      <c r="K3697" s="71">
        <f>IF(B3697="","",IFERROR(AVERAGEIFS($J$4:$J3697,$B$4:$B3697,B3697,$J$4:$J3697,"&gt;"&amp;0),""))</f>
        <v/>
      </c>
      <c r="L3697" s="11" t="n"/>
    </row>
    <row r="3698" ht="14" customHeight="1" s="72">
      <c r="A3698" s="83" t="n"/>
      <c r="B3698" s="81" t="n"/>
      <c r="C3698" s="69">
        <f>IF(B3698="","",IFERROR(INDEX(Client_List!$B:$B,MATCH(B3698,Client_List!$A:$A,0)),"⚠ NOT FOUND"))</f>
        <v/>
      </c>
      <c r="D3698" s="45" t="n"/>
      <c r="E3698" s="32">
        <f>IF(B3698="","",IFERROR(INDEX(Client_List!$C:$C,MATCH(VALUE(B3698),Client_List!$A:$A,0)),""))</f>
        <v/>
      </c>
      <c r="F3698" s="53">
        <f>IF(B3698="","",IFERROR(INDEX(Client_List!$D:$D,MATCH(VALUE(B3698),Client_List!$A:$A,0)),""))</f>
        <v/>
      </c>
      <c r="G3698" s="53">
        <f>IF(B3698="","",IFERROR(INDEX(Client_List!$K:$K,MATCH(VALUE(B3698),Client_List!$A:$A,0)),""))</f>
        <v/>
      </c>
      <c r="H3698" s="32">
        <f>IF(B3698="","",IFERROR(INDEX(Client_List!$J:$J,MATCH(VALUE(B3698),Client_List!$A:$A,0)),""))</f>
        <v/>
      </c>
      <c r="I3698" s="70">
        <f>IF(B3698="","",IFERROR(A3698-LOOKUP(2,1/($B$4:$B3697=B3698),$A$4:$A3697),""))</f>
        <v/>
      </c>
      <c r="J3698" s="32">
        <f>IF(B3698="","",IFERROR(D3698/I3698,""))</f>
        <v/>
      </c>
      <c r="K3698" s="71">
        <f>IF(B3698="","",IFERROR(AVERAGEIFS($J$4:$J3698,$B$4:$B3698,B3698,$J$4:$J3698,"&gt;"&amp;0),""))</f>
        <v/>
      </c>
      <c r="L3698" s="12" t="n"/>
    </row>
    <row r="3699" ht="14" customHeight="1" s="72">
      <c r="A3699" s="82" t="n"/>
      <c r="B3699" s="79" t="n"/>
      <c r="C3699" s="69">
        <f>IF(B3699="","",IFERROR(INDEX(Client_List!$B:$B,MATCH(B3699,Client_List!$A:$A,0)),"⚠ NOT FOUND"))</f>
        <v/>
      </c>
      <c r="D3699" s="44" t="n"/>
      <c r="E3699" s="32">
        <f>IF(B3699="","",IFERROR(INDEX(Client_List!$C:$C,MATCH(VALUE(B3699),Client_List!$A:$A,0)),""))</f>
        <v/>
      </c>
      <c r="F3699" s="53">
        <f>IF(B3699="","",IFERROR(INDEX(Client_List!$D:$D,MATCH(VALUE(B3699),Client_List!$A:$A,0)),""))</f>
        <v/>
      </c>
      <c r="G3699" s="53">
        <f>IF(B3699="","",IFERROR(INDEX(Client_List!$K:$K,MATCH(VALUE(B3699),Client_List!$A:$A,0)),""))</f>
        <v/>
      </c>
      <c r="H3699" s="32">
        <f>IF(B3699="","",IFERROR(INDEX(Client_List!$J:$J,MATCH(VALUE(B3699),Client_List!$A:$A,0)),""))</f>
        <v/>
      </c>
      <c r="I3699" s="70">
        <f>IF(B3699="","",IFERROR(A3699-LOOKUP(2,1/($B$4:$B3698=B3699),$A$4:$A3698),""))</f>
        <v/>
      </c>
      <c r="J3699" s="32">
        <f>IF(B3699="","",IFERROR(D3699/I3699,""))</f>
        <v/>
      </c>
      <c r="K3699" s="71">
        <f>IF(B3699="","",IFERROR(AVERAGEIFS($J$4:$J3699,$B$4:$B3699,B3699,$J$4:$J3699,"&gt;"&amp;0),""))</f>
        <v/>
      </c>
      <c r="L3699" s="11" t="n"/>
    </row>
    <row r="3700" ht="14" customHeight="1" s="72">
      <c r="A3700" s="83" t="n"/>
      <c r="B3700" s="81" t="n"/>
      <c r="C3700" s="69">
        <f>IF(B3700="","",IFERROR(INDEX(Client_List!$B:$B,MATCH(B3700,Client_List!$A:$A,0)),"⚠ NOT FOUND"))</f>
        <v/>
      </c>
      <c r="D3700" s="45" t="n"/>
      <c r="E3700" s="32">
        <f>IF(B3700="","",IFERROR(INDEX(Client_List!$C:$C,MATCH(VALUE(B3700),Client_List!$A:$A,0)),""))</f>
        <v/>
      </c>
      <c r="F3700" s="53">
        <f>IF(B3700="","",IFERROR(INDEX(Client_List!$D:$D,MATCH(VALUE(B3700),Client_List!$A:$A,0)),""))</f>
        <v/>
      </c>
      <c r="G3700" s="53">
        <f>IF(B3700="","",IFERROR(INDEX(Client_List!$K:$K,MATCH(VALUE(B3700),Client_List!$A:$A,0)),""))</f>
        <v/>
      </c>
      <c r="H3700" s="32">
        <f>IF(B3700="","",IFERROR(INDEX(Client_List!$J:$J,MATCH(VALUE(B3700),Client_List!$A:$A,0)),""))</f>
        <v/>
      </c>
      <c r="I3700" s="70">
        <f>IF(B3700="","",IFERROR(A3700-LOOKUP(2,1/($B$4:$B3699=B3700),$A$4:$A3699),""))</f>
        <v/>
      </c>
      <c r="J3700" s="32">
        <f>IF(B3700="","",IFERROR(D3700/I3700,""))</f>
        <v/>
      </c>
      <c r="K3700" s="71">
        <f>IF(B3700="","",IFERROR(AVERAGEIFS($J$4:$J3700,$B$4:$B3700,B3700,$J$4:$J3700,"&gt;"&amp;0),""))</f>
        <v/>
      </c>
      <c r="L3700" s="12" t="n"/>
    </row>
    <row r="3701" ht="14" customHeight="1" s="72">
      <c r="A3701" s="82" t="n"/>
      <c r="B3701" s="79" t="n"/>
      <c r="C3701" s="69">
        <f>IF(B3701="","",IFERROR(INDEX(Client_List!$B:$B,MATCH(B3701,Client_List!$A:$A,0)),"⚠ NOT FOUND"))</f>
        <v/>
      </c>
      <c r="D3701" s="44" t="n"/>
      <c r="E3701" s="32">
        <f>IF(B3701="","",IFERROR(INDEX(Client_List!$C:$C,MATCH(VALUE(B3701),Client_List!$A:$A,0)),""))</f>
        <v/>
      </c>
      <c r="F3701" s="53">
        <f>IF(B3701="","",IFERROR(INDEX(Client_List!$D:$D,MATCH(VALUE(B3701),Client_List!$A:$A,0)),""))</f>
        <v/>
      </c>
      <c r="G3701" s="53">
        <f>IF(B3701="","",IFERROR(INDEX(Client_List!$K:$K,MATCH(VALUE(B3701),Client_List!$A:$A,0)),""))</f>
        <v/>
      </c>
      <c r="H3701" s="32">
        <f>IF(B3701="","",IFERROR(INDEX(Client_List!$J:$J,MATCH(VALUE(B3701),Client_List!$A:$A,0)),""))</f>
        <v/>
      </c>
      <c r="I3701" s="70">
        <f>IF(B3701="","",IFERROR(A3701-LOOKUP(2,1/($B$4:$B3700=B3701),$A$4:$A3700),""))</f>
        <v/>
      </c>
      <c r="J3701" s="32">
        <f>IF(B3701="","",IFERROR(D3701/I3701,""))</f>
        <v/>
      </c>
      <c r="K3701" s="71">
        <f>IF(B3701="","",IFERROR(AVERAGEIFS($J$4:$J3701,$B$4:$B3701,B3701,$J$4:$J3701,"&gt;"&amp;0),""))</f>
        <v/>
      </c>
      <c r="L3701" s="11" t="n"/>
    </row>
    <row r="3702" ht="14" customHeight="1" s="72">
      <c r="A3702" s="83" t="n"/>
      <c r="B3702" s="81" t="n"/>
      <c r="C3702" s="69">
        <f>IF(B3702="","",IFERROR(INDEX(Client_List!$B:$B,MATCH(B3702,Client_List!$A:$A,0)),"⚠ NOT FOUND"))</f>
        <v/>
      </c>
      <c r="D3702" s="45" t="n"/>
      <c r="E3702" s="32">
        <f>IF(B3702="","",IFERROR(INDEX(Client_List!$C:$C,MATCH(VALUE(B3702),Client_List!$A:$A,0)),""))</f>
        <v/>
      </c>
      <c r="F3702" s="53">
        <f>IF(B3702="","",IFERROR(INDEX(Client_List!$D:$D,MATCH(VALUE(B3702),Client_List!$A:$A,0)),""))</f>
        <v/>
      </c>
      <c r="G3702" s="53">
        <f>IF(B3702="","",IFERROR(INDEX(Client_List!$K:$K,MATCH(VALUE(B3702),Client_List!$A:$A,0)),""))</f>
        <v/>
      </c>
      <c r="H3702" s="32">
        <f>IF(B3702="","",IFERROR(INDEX(Client_List!$J:$J,MATCH(VALUE(B3702),Client_List!$A:$A,0)),""))</f>
        <v/>
      </c>
      <c r="I3702" s="70">
        <f>IF(B3702="","",IFERROR(A3702-LOOKUP(2,1/($B$4:$B3701=B3702),$A$4:$A3701),""))</f>
        <v/>
      </c>
      <c r="J3702" s="32">
        <f>IF(B3702="","",IFERROR(D3702/I3702,""))</f>
        <v/>
      </c>
      <c r="K3702" s="71">
        <f>IF(B3702="","",IFERROR(AVERAGEIFS($J$4:$J3702,$B$4:$B3702,B3702,$J$4:$J3702,"&gt;"&amp;0),""))</f>
        <v/>
      </c>
      <c r="L3702" s="12" t="n"/>
    </row>
    <row r="3703" ht="14" customHeight="1" s="72">
      <c r="A3703" s="82" t="n"/>
      <c r="B3703" s="79" t="n"/>
      <c r="C3703" s="69">
        <f>IF(B3703="","",IFERROR(INDEX(Client_List!$B:$B,MATCH(B3703,Client_List!$A:$A,0)),"⚠ NOT FOUND"))</f>
        <v/>
      </c>
      <c r="D3703" s="44" t="n"/>
      <c r="E3703" s="32">
        <f>IF(B3703="","",IFERROR(INDEX(Client_List!$C:$C,MATCH(VALUE(B3703),Client_List!$A:$A,0)),""))</f>
        <v/>
      </c>
      <c r="F3703" s="53">
        <f>IF(B3703="","",IFERROR(INDEX(Client_List!$D:$D,MATCH(VALUE(B3703),Client_List!$A:$A,0)),""))</f>
        <v/>
      </c>
      <c r="G3703" s="53">
        <f>IF(B3703="","",IFERROR(INDEX(Client_List!$K:$K,MATCH(VALUE(B3703),Client_List!$A:$A,0)),""))</f>
        <v/>
      </c>
      <c r="H3703" s="32">
        <f>IF(B3703="","",IFERROR(INDEX(Client_List!$J:$J,MATCH(VALUE(B3703),Client_List!$A:$A,0)),""))</f>
        <v/>
      </c>
      <c r="I3703" s="70">
        <f>IF(B3703="","",IFERROR(A3703-LOOKUP(2,1/($B$4:$B3702=B3703),$A$4:$A3702),""))</f>
        <v/>
      </c>
      <c r="J3703" s="32">
        <f>IF(B3703="","",IFERROR(D3703/I3703,""))</f>
        <v/>
      </c>
      <c r="K3703" s="71">
        <f>IF(B3703="","",IFERROR(AVERAGEIFS($J$4:$J3703,$B$4:$B3703,B3703,$J$4:$J3703,"&gt;"&amp;0),""))</f>
        <v/>
      </c>
      <c r="L3703" s="11" t="n"/>
    </row>
    <row r="3704" ht="14" customHeight="1" s="72">
      <c r="A3704" s="83" t="n"/>
      <c r="B3704" s="81" t="n"/>
      <c r="C3704" s="69">
        <f>IF(B3704="","",IFERROR(INDEX(Client_List!$B:$B,MATCH(B3704,Client_List!$A:$A,0)),"⚠ NOT FOUND"))</f>
        <v/>
      </c>
      <c r="D3704" s="45" t="n"/>
      <c r="E3704" s="32">
        <f>IF(B3704="","",IFERROR(INDEX(Client_List!$C:$C,MATCH(VALUE(B3704),Client_List!$A:$A,0)),""))</f>
        <v/>
      </c>
      <c r="F3704" s="53">
        <f>IF(B3704="","",IFERROR(INDEX(Client_List!$D:$D,MATCH(VALUE(B3704),Client_List!$A:$A,0)),""))</f>
        <v/>
      </c>
      <c r="G3704" s="53">
        <f>IF(B3704="","",IFERROR(INDEX(Client_List!$K:$K,MATCH(VALUE(B3704),Client_List!$A:$A,0)),""))</f>
        <v/>
      </c>
      <c r="H3704" s="32">
        <f>IF(B3704="","",IFERROR(INDEX(Client_List!$J:$J,MATCH(VALUE(B3704),Client_List!$A:$A,0)),""))</f>
        <v/>
      </c>
      <c r="I3704" s="70">
        <f>IF(B3704="","",IFERROR(A3704-LOOKUP(2,1/($B$4:$B3703=B3704),$A$4:$A3703),""))</f>
        <v/>
      </c>
      <c r="J3704" s="32">
        <f>IF(B3704="","",IFERROR(D3704/I3704,""))</f>
        <v/>
      </c>
      <c r="K3704" s="71">
        <f>IF(B3704="","",IFERROR(AVERAGEIFS($J$4:$J3704,$B$4:$B3704,B3704,$J$4:$J3704,"&gt;"&amp;0),""))</f>
        <v/>
      </c>
      <c r="L3704" s="12" t="n"/>
    </row>
    <row r="3705" ht="14" customHeight="1" s="72">
      <c r="A3705" s="82" t="n"/>
      <c r="B3705" s="79" t="n"/>
      <c r="C3705" s="69">
        <f>IF(B3705="","",IFERROR(INDEX(Client_List!$B:$B,MATCH(B3705,Client_List!$A:$A,0)),"⚠ NOT FOUND"))</f>
        <v/>
      </c>
      <c r="D3705" s="44" t="n"/>
      <c r="E3705" s="32">
        <f>IF(B3705="","",IFERROR(INDEX(Client_List!$C:$C,MATCH(VALUE(B3705),Client_List!$A:$A,0)),""))</f>
        <v/>
      </c>
      <c r="F3705" s="53">
        <f>IF(B3705="","",IFERROR(INDEX(Client_List!$D:$D,MATCH(VALUE(B3705),Client_List!$A:$A,0)),""))</f>
        <v/>
      </c>
      <c r="G3705" s="53">
        <f>IF(B3705="","",IFERROR(INDEX(Client_List!$K:$K,MATCH(VALUE(B3705),Client_List!$A:$A,0)),""))</f>
        <v/>
      </c>
      <c r="H3705" s="32">
        <f>IF(B3705="","",IFERROR(INDEX(Client_List!$J:$J,MATCH(VALUE(B3705),Client_List!$A:$A,0)),""))</f>
        <v/>
      </c>
      <c r="I3705" s="70">
        <f>IF(B3705="","",IFERROR(A3705-LOOKUP(2,1/($B$4:$B3704=B3705),$A$4:$A3704),""))</f>
        <v/>
      </c>
      <c r="J3705" s="32">
        <f>IF(B3705="","",IFERROR(D3705/I3705,""))</f>
        <v/>
      </c>
      <c r="K3705" s="71">
        <f>IF(B3705="","",IFERROR(AVERAGEIFS($J$4:$J3705,$B$4:$B3705,B3705,$J$4:$J3705,"&gt;"&amp;0),""))</f>
        <v/>
      </c>
      <c r="L3705" s="11" t="n"/>
    </row>
    <row r="3706" ht="14" customHeight="1" s="72">
      <c r="A3706" s="83" t="n"/>
      <c r="B3706" s="81" t="n"/>
      <c r="C3706" s="69">
        <f>IF(B3706="","",IFERROR(INDEX(Client_List!$B:$B,MATCH(B3706,Client_List!$A:$A,0)),"⚠ NOT FOUND"))</f>
        <v/>
      </c>
      <c r="D3706" s="45" t="n"/>
      <c r="E3706" s="32">
        <f>IF(B3706="","",IFERROR(INDEX(Client_List!$C:$C,MATCH(VALUE(B3706),Client_List!$A:$A,0)),""))</f>
        <v/>
      </c>
      <c r="F3706" s="53">
        <f>IF(B3706="","",IFERROR(INDEX(Client_List!$D:$D,MATCH(VALUE(B3706),Client_List!$A:$A,0)),""))</f>
        <v/>
      </c>
      <c r="G3706" s="53">
        <f>IF(B3706="","",IFERROR(INDEX(Client_List!$K:$K,MATCH(VALUE(B3706),Client_List!$A:$A,0)),""))</f>
        <v/>
      </c>
      <c r="H3706" s="32">
        <f>IF(B3706="","",IFERROR(INDEX(Client_List!$J:$J,MATCH(VALUE(B3706),Client_List!$A:$A,0)),""))</f>
        <v/>
      </c>
      <c r="I3706" s="70">
        <f>IF(B3706="","",IFERROR(A3706-LOOKUP(2,1/($B$4:$B3705=B3706),$A$4:$A3705),""))</f>
        <v/>
      </c>
      <c r="J3706" s="32">
        <f>IF(B3706="","",IFERROR(D3706/I3706,""))</f>
        <v/>
      </c>
      <c r="K3706" s="71">
        <f>IF(B3706="","",IFERROR(AVERAGEIFS($J$4:$J3706,$B$4:$B3706,B3706,$J$4:$J3706,"&gt;"&amp;0),""))</f>
        <v/>
      </c>
      <c r="L3706" s="12" t="n"/>
    </row>
    <row r="3707" ht="14" customHeight="1" s="72">
      <c r="A3707" s="82" t="n"/>
      <c r="B3707" s="79" t="n"/>
      <c r="C3707" s="69">
        <f>IF(B3707="","",IFERROR(INDEX(Client_List!$B:$B,MATCH(B3707,Client_List!$A:$A,0)),"⚠ NOT FOUND"))</f>
        <v/>
      </c>
      <c r="D3707" s="44" t="n"/>
      <c r="E3707" s="32">
        <f>IF(B3707="","",IFERROR(INDEX(Client_List!$C:$C,MATCH(VALUE(B3707),Client_List!$A:$A,0)),""))</f>
        <v/>
      </c>
      <c r="F3707" s="53">
        <f>IF(B3707="","",IFERROR(INDEX(Client_List!$D:$D,MATCH(VALUE(B3707),Client_List!$A:$A,0)),""))</f>
        <v/>
      </c>
      <c r="G3707" s="53">
        <f>IF(B3707="","",IFERROR(INDEX(Client_List!$K:$K,MATCH(VALUE(B3707),Client_List!$A:$A,0)),""))</f>
        <v/>
      </c>
      <c r="H3707" s="32">
        <f>IF(B3707="","",IFERROR(INDEX(Client_List!$J:$J,MATCH(VALUE(B3707),Client_List!$A:$A,0)),""))</f>
        <v/>
      </c>
      <c r="I3707" s="70">
        <f>IF(B3707="","",IFERROR(A3707-LOOKUP(2,1/($B$4:$B3706=B3707),$A$4:$A3706),""))</f>
        <v/>
      </c>
      <c r="J3707" s="32">
        <f>IF(B3707="","",IFERROR(D3707/I3707,""))</f>
        <v/>
      </c>
      <c r="K3707" s="71">
        <f>IF(B3707="","",IFERROR(AVERAGEIFS($J$4:$J3707,$B$4:$B3707,B3707,$J$4:$J3707,"&gt;"&amp;0),""))</f>
        <v/>
      </c>
      <c r="L3707" s="11" t="n"/>
    </row>
    <row r="3708" ht="14" customHeight="1" s="72">
      <c r="A3708" s="83" t="n"/>
      <c r="B3708" s="81" t="n"/>
      <c r="C3708" s="69">
        <f>IF(B3708="","",IFERROR(INDEX(Client_List!$B:$B,MATCH(B3708,Client_List!$A:$A,0)),"⚠ NOT FOUND"))</f>
        <v/>
      </c>
      <c r="D3708" s="45" t="n"/>
      <c r="E3708" s="32">
        <f>IF(B3708="","",IFERROR(INDEX(Client_List!$C:$C,MATCH(VALUE(B3708),Client_List!$A:$A,0)),""))</f>
        <v/>
      </c>
      <c r="F3708" s="53">
        <f>IF(B3708="","",IFERROR(INDEX(Client_List!$D:$D,MATCH(VALUE(B3708),Client_List!$A:$A,0)),""))</f>
        <v/>
      </c>
      <c r="G3708" s="53">
        <f>IF(B3708="","",IFERROR(INDEX(Client_List!$K:$K,MATCH(VALUE(B3708),Client_List!$A:$A,0)),""))</f>
        <v/>
      </c>
      <c r="H3708" s="32">
        <f>IF(B3708="","",IFERROR(INDEX(Client_List!$J:$J,MATCH(VALUE(B3708),Client_List!$A:$A,0)),""))</f>
        <v/>
      </c>
      <c r="I3708" s="70">
        <f>IF(B3708="","",IFERROR(A3708-LOOKUP(2,1/($B$4:$B3707=B3708),$A$4:$A3707),""))</f>
        <v/>
      </c>
      <c r="J3708" s="32">
        <f>IF(B3708="","",IFERROR(D3708/I3708,""))</f>
        <v/>
      </c>
      <c r="K3708" s="71">
        <f>IF(B3708="","",IFERROR(AVERAGEIFS($J$4:$J3708,$B$4:$B3708,B3708,$J$4:$J3708,"&gt;"&amp;0),""))</f>
        <v/>
      </c>
      <c r="L3708" s="12" t="n"/>
    </row>
    <row r="3709" ht="14" customHeight="1" s="72">
      <c r="A3709" s="82" t="n"/>
      <c r="B3709" s="79" t="n"/>
      <c r="C3709" s="69">
        <f>IF(B3709="","",IFERROR(INDEX(Client_List!$B:$B,MATCH(B3709,Client_List!$A:$A,0)),"⚠ NOT FOUND"))</f>
        <v/>
      </c>
      <c r="D3709" s="44" t="n"/>
      <c r="E3709" s="32">
        <f>IF(B3709="","",IFERROR(INDEX(Client_List!$C:$C,MATCH(VALUE(B3709),Client_List!$A:$A,0)),""))</f>
        <v/>
      </c>
      <c r="F3709" s="53">
        <f>IF(B3709="","",IFERROR(INDEX(Client_List!$D:$D,MATCH(VALUE(B3709),Client_List!$A:$A,0)),""))</f>
        <v/>
      </c>
      <c r="G3709" s="53">
        <f>IF(B3709="","",IFERROR(INDEX(Client_List!$K:$K,MATCH(VALUE(B3709),Client_List!$A:$A,0)),""))</f>
        <v/>
      </c>
      <c r="H3709" s="32">
        <f>IF(B3709="","",IFERROR(INDEX(Client_List!$J:$J,MATCH(VALUE(B3709),Client_List!$A:$A,0)),""))</f>
        <v/>
      </c>
      <c r="I3709" s="70">
        <f>IF(B3709="","",IFERROR(A3709-LOOKUP(2,1/($B$4:$B3708=B3709),$A$4:$A3708),""))</f>
        <v/>
      </c>
      <c r="J3709" s="32">
        <f>IF(B3709="","",IFERROR(D3709/I3709,""))</f>
        <v/>
      </c>
      <c r="K3709" s="71">
        <f>IF(B3709="","",IFERROR(AVERAGEIFS($J$4:$J3709,$B$4:$B3709,B3709,$J$4:$J3709,"&gt;"&amp;0),""))</f>
        <v/>
      </c>
      <c r="L3709" s="11" t="n"/>
    </row>
    <row r="3710" ht="14" customHeight="1" s="72">
      <c r="A3710" s="83" t="n"/>
      <c r="B3710" s="81" t="n"/>
      <c r="C3710" s="69">
        <f>IF(B3710="","",IFERROR(INDEX(Client_List!$B:$B,MATCH(B3710,Client_List!$A:$A,0)),"⚠ NOT FOUND"))</f>
        <v/>
      </c>
      <c r="D3710" s="45" t="n"/>
      <c r="E3710" s="32">
        <f>IF(B3710="","",IFERROR(INDEX(Client_List!$C:$C,MATCH(VALUE(B3710),Client_List!$A:$A,0)),""))</f>
        <v/>
      </c>
      <c r="F3710" s="53">
        <f>IF(B3710="","",IFERROR(INDEX(Client_List!$D:$D,MATCH(VALUE(B3710),Client_List!$A:$A,0)),""))</f>
        <v/>
      </c>
      <c r="G3710" s="53">
        <f>IF(B3710="","",IFERROR(INDEX(Client_List!$K:$K,MATCH(VALUE(B3710),Client_List!$A:$A,0)),""))</f>
        <v/>
      </c>
      <c r="H3710" s="32">
        <f>IF(B3710="","",IFERROR(INDEX(Client_List!$J:$J,MATCH(VALUE(B3710),Client_List!$A:$A,0)),""))</f>
        <v/>
      </c>
      <c r="I3710" s="70">
        <f>IF(B3710="","",IFERROR(A3710-LOOKUP(2,1/($B$4:$B3709=B3710),$A$4:$A3709),""))</f>
        <v/>
      </c>
      <c r="J3710" s="32">
        <f>IF(B3710="","",IFERROR(D3710/I3710,""))</f>
        <v/>
      </c>
      <c r="K3710" s="71">
        <f>IF(B3710="","",IFERROR(AVERAGEIFS($J$4:$J3710,$B$4:$B3710,B3710,$J$4:$J3710,"&gt;"&amp;0),""))</f>
        <v/>
      </c>
      <c r="L3710" s="12" t="n"/>
    </row>
    <row r="3711" ht="14" customHeight="1" s="72">
      <c r="A3711" s="82" t="n"/>
      <c r="B3711" s="79" t="n"/>
      <c r="C3711" s="69">
        <f>IF(B3711="","",IFERROR(INDEX(Client_List!$B:$B,MATCH(B3711,Client_List!$A:$A,0)),"⚠ NOT FOUND"))</f>
        <v/>
      </c>
      <c r="D3711" s="44" t="n"/>
      <c r="E3711" s="32">
        <f>IF(B3711="","",IFERROR(INDEX(Client_List!$C:$C,MATCH(VALUE(B3711),Client_List!$A:$A,0)),""))</f>
        <v/>
      </c>
      <c r="F3711" s="53">
        <f>IF(B3711="","",IFERROR(INDEX(Client_List!$D:$D,MATCH(VALUE(B3711),Client_List!$A:$A,0)),""))</f>
        <v/>
      </c>
      <c r="G3711" s="53">
        <f>IF(B3711="","",IFERROR(INDEX(Client_List!$K:$K,MATCH(VALUE(B3711),Client_List!$A:$A,0)),""))</f>
        <v/>
      </c>
      <c r="H3711" s="32">
        <f>IF(B3711="","",IFERROR(INDEX(Client_List!$J:$J,MATCH(VALUE(B3711),Client_List!$A:$A,0)),""))</f>
        <v/>
      </c>
      <c r="I3711" s="70">
        <f>IF(B3711="","",IFERROR(A3711-LOOKUP(2,1/($B$4:$B3710=B3711),$A$4:$A3710),""))</f>
        <v/>
      </c>
      <c r="J3711" s="32">
        <f>IF(B3711="","",IFERROR(D3711/I3711,""))</f>
        <v/>
      </c>
      <c r="K3711" s="71">
        <f>IF(B3711="","",IFERROR(AVERAGEIFS($J$4:$J3711,$B$4:$B3711,B3711,$J$4:$J3711,"&gt;"&amp;0),""))</f>
        <v/>
      </c>
      <c r="L3711" s="11" t="n"/>
    </row>
    <row r="3712" ht="14" customHeight="1" s="72">
      <c r="A3712" s="83" t="n"/>
      <c r="B3712" s="81" t="n"/>
      <c r="C3712" s="69">
        <f>IF(B3712="","",IFERROR(INDEX(Client_List!$B:$B,MATCH(B3712,Client_List!$A:$A,0)),"⚠ NOT FOUND"))</f>
        <v/>
      </c>
      <c r="D3712" s="45" t="n"/>
      <c r="E3712" s="32">
        <f>IF(B3712="","",IFERROR(INDEX(Client_List!$C:$C,MATCH(VALUE(B3712),Client_List!$A:$A,0)),""))</f>
        <v/>
      </c>
      <c r="F3712" s="53">
        <f>IF(B3712="","",IFERROR(INDEX(Client_List!$D:$D,MATCH(VALUE(B3712),Client_List!$A:$A,0)),""))</f>
        <v/>
      </c>
      <c r="G3712" s="53">
        <f>IF(B3712="","",IFERROR(INDEX(Client_List!$K:$K,MATCH(VALUE(B3712),Client_List!$A:$A,0)),""))</f>
        <v/>
      </c>
      <c r="H3712" s="32">
        <f>IF(B3712="","",IFERROR(INDEX(Client_List!$J:$J,MATCH(VALUE(B3712),Client_List!$A:$A,0)),""))</f>
        <v/>
      </c>
      <c r="I3712" s="70">
        <f>IF(B3712="","",IFERROR(A3712-LOOKUP(2,1/($B$4:$B3711=B3712),$A$4:$A3711),""))</f>
        <v/>
      </c>
      <c r="J3712" s="32">
        <f>IF(B3712="","",IFERROR(D3712/I3712,""))</f>
        <v/>
      </c>
      <c r="K3712" s="71">
        <f>IF(B3712="","",IFERROR(AVERAGEIFS($J$4:$J3712,$B$4:$B3712,B3712,$J$4:$J3712,"&gt;"&amp;0),""))</f>
        <v/>
      </c>
      <c r="L3712" s="12" t="n"/>
    </row>
    <row r="3713" ht="14" customHeight="1" s="72">
      <c r="A3713" s="82" t="n"/>
      <c r="B3713" s="79" t="n"/>
      <c r="C3713" s="69">
        <f>IF(B3713="","",IFERROR(INDEX(Client_List!$B:$B,MATCH(B3713,Client_List!$A:$A,0)),"⚠ NOT FOUND"))</f>
        <v/>
      </c>
      <c r="D3713" s="44" t="n"/>
      <c r="E3713" s="32">
        <f>IF(B3713="","",IFERROR(INDEX(Client_List!$C:$C,MATCH(VALUE(B3713),Client_List!$A:$A,0)),""))</f>
        <v/>
      </c>
      <c r="F3713" s="53">
        <f>IF(B3713="","",IFERROR(INDEX(Client_List!$D:$D,MATCH(VALUE(B3713),Client_List!$A:$A,0)),""))</f>
        <v/>
      </c>
      <c r="G3713" s="53">
        <f>IF(B3713="","",IFERROR(INDEX(Client_List!$K:$K,MATCH(VALUE(B3713),Client_List!$A:$A,0)),""))</f>
        <v/>
      </c>
      <c r="H3713" s="32">
        <f>IF(B3713="","",IFERROR(INDEX(Client_List!$J:$J,MATCH(VALUE(B3713),Client_List!$A:$A,0)),""))</f>
        <v/>
      </c>
      <c r="I3713" s="70">
        <f>IF(B3713="","",IFERROR(A3713-LOOKUP(2,1/($B$4:$B3712=B3713),$A$4:$A3712),""))</f>
        <v/>
      </c>
      <c r="J3713" s="32">
        <f>IF(B3713="","",IFERROR(D3713/I3713,""))</f>
        <v/>
      </c>
      <c r="K3713" s="71">
        <f>IF(B3713="","",IFERROR(AVERAGEIFS($J$4:$J3713,$B$4:$B3713,B3713,$J$4:$J3713,"&gt;"&amp;0),""))</f>
        <v/>
      </c>
      <c r="L3713" s="11" t="n"/>
    </row>
    <row r="3714" ht="14" customHeight="1" s="72">
      <c r="A3714" s="83" t="n"/>
      <c r="B3714" s="81" t="n"/>
      <c r="C3714" s="69">
        <f>IF(B3714="","",IFERROR(INDEX(Client_List!$B:$B,MATCH(B3714,Client_List!$A:$A,0)),"⚠ NOT FOUND"))</f>
        <v/>
      </c>
      <c r="D3714" s="45" t="n"/>
      <c r="E3714" s="32">
        <f>IF(B3714="","",IFERROR(INDEX(Client_List!$C:$C,MATCH(VALUE(B3714),Client_List!$A:$A,0)),""))</f>
        <v/>
      </c>
      <c r="F3714" s="53">
        <f>IF(B3714="","",IFERROR(INDEX(Client_List!$D:$D,MATCH(VALUE(B3714),Client_List!$A:$A,0)),""))</f>
        <v/>
      </c>
      <c r="G3714" s="53">
        <f>IF(B3714="","",IFERROR(INDEX(Client_List!$K:$K,MATCH(VALUE(B3714),Client_List!$A:$A,0)),""))</f>
        <v/>
      </c>
      <c r="H3714" s="32">
        <f>IF(B3714="","",IFERROR(INDEX(Client_List!$J:$J,MATCH(VALUE(B3714),Client_List!$A:$A,0)),""))</f>
        <v/>
      </c>
      <c r="I3714" s="70">
        <f>IF(B3714="","",IFERROR(A3714-LOOKUP(2,1/($B$4:$B3713=B3714),$A$4:$A3713),""))</f>
        <v/>
      </c>
      <c r="J3714" s="32">
        <f>IF(B3714="","",IFERROR(D3714/I3714,""))</f>
        <v/>
      </c>
      <c r="K3714" s="71">
        <f>IF(B3714="","",IFERROR(AVERAGEIFS($J$4:$J3714,$B$4:$B3714,B3714,$J$4:$J3714,"&gt;"&amp;0),""))</f>
        <v/>
      </c>
      <c r="L3714" s="12" t="n"/>
    </row>
    <row r="3715" ht="14" customHeight="1" s="72">
      <c r="A3715" s="82" t="n"/>
      <c r="B3715" s="79" t="n"/>
      <c r="C3715" s="69">
        <f>IF(B3715="","",IFERROR(INDEX(Client_List!$B:$B,MATCH(B3715,Client_List!$A:$A,0)),"⚠ NOT FOUND"))</f>
        <v/>
      </c>
      <c r="D3715" s="44" t="n"/>
      <c r="E3715" s="32">
        <f>IF(B3715="","",IFERROR(INDEX(Client_List!$C:$C,MATCH(VALUE(B3715),Client_List!$A:$A,0)),""))</f>
        <v/>
      </c>
      <c r="F3715" s="53">
        <f>IF(B3715="","",IFERROR(INDEX(Client_List!$D:$D,MATCH(VALUE(B3715),Client_List!$A:$A,0)),""))</f>
        <v/>
      </c>
      <c r="G3715" s="53">
        <f>IF(B3715="","",IFERROR(INDEX(Client_List!$K:$K,MATCH(VALUE(B3715),Client_List!$A:$A,0)),""))</f>
        <v/>
      </c>
      <c r="H3715" s="32">
        <f>IF(B3715="","",IFERROR(INDEX(Client_List!$J:$J,MATCH(VALUE(B3715),Client_List!$A:$A,0)),""))</f>
        <v/>
      </c>
      <c r="I3715" s="70">
        <f>IF(B3715="","",IFERROR(A3715-LOOKUP(2,1/($B$4:$B3714=B3715),$A$4:$A3714),""))</f>
        <v/>
      </c>
      <c r="J3715" s="32">
        <f>IF(B3715="","",IFERROR(D3715/I3715,""))</f>
        <v/>
      </c>
      <c r="K3715" s="71">
        <f>IF(B3715="","",IFERROR(AVERAGEIFS($J$4:$J3715,$B$4:$B3715,B3715,$J$4:$J3715,"&gt;"&amp;0),""))</f>
        <v/>
      </c>
      <c r="L3715" s="11" t="n"/>
    </row>
    <row r="3716" ht="14" customHeight="1" s="72">
      <c r="A3716" s="83" t="n"/>
      <c r="B3716" s="81" t="n"/>
      <c r="C3716" s="69">
        <f>IF(B3716="","",IFERROR(INDEX(Client_List!$B:$B,MATCH(B3716,Client_List!$A:$A,0)),"⚠ NOT FOUND"))</f>
        <v/>
      </c>
      <c r="D3716" s="45" t="n"/>
      <c r="E3716" s="32">
        <f>IF(B3716="","",IFERROR(INDEX(Client_List!$C:$C,MATCH(VALUE(B3716),Client_List!$A:$A,0)),""))</f>
        <v/>
      </c>
      <c r="F3716" s="53">
        <f>IF(B3716="","",IFERROR(INDEX(Client_List!$D:$D,MATCH(VALUE(B3716),Client_List!$A:$A,0)),""))</f>
        <v/>
      </c>
      <c r="G3716" s="53">
        <f>IF(B3716="","",IFERROR(INDEX(Client_List!$K:$K,MATCH(VALUE(B3716),Client_List!$A:$A,0)),""))</f>
        <v/>
      </c>
      <c r="H3716" s="32">
        <f>IF(B3716="","",IFERROR(INDEX(Client_List!$J:$J,MATCH(VALUE(B3716),Client_List!$A:$A,0)),""))</f>
        <v/>
      </c>
      <c r="I3716" s="70">
        <f>IF(B3716="","",IFERROR(A3716-LOOKUP(2,1/($B$4:$B3715=B3716),$A$4:$A3715),""))</f>
        <v/>
      </c>
      <c r="J3716" s="32">
        <f>IF(B3716="","",IFERROR(D3716/I3716,""))</f>
        <v/>
      </c>
      <c r="K3716" s="71">
        <f>IF(B3716="","",IFERROR(AVERAGEIFS($J$4:$J3716,$B$4:$B3716,B3716,$J$4:$J3716,"&gt;"&amp;0),""))</f>
        <v/>
      </c>
      <c r="L3716" s="12" t="n"/>
    </row>
    <row r="3717" ht="14" customHeight="1" s="72">
      <c r="A3717" s="82" t="n"/>
      <c r="B3717" s="79" t="n"/>
      <c r="C3717" s="69">
        <f>IF(B3717="","",IFERROR(INDEX(Client_List!$B:$B,MATCH(B3717,Client_List!$A:$A,0)),"⚠ NOT FOUND"))</f>
        <v/>
      </c>
      <c r="D3717" s="44" t="n"/>
      <c r="E3717" s="32">
        <f>IF(B3717="","",IFERROR(INDEX(Client_List!$C:$C,MATCH(VALUE(B3717),Client_List!$A:$A,0)),""))</f>
        <v/>
      </c>
      <c r="F3717" s="53">
        <f>IF(B3717="","",IFERROR(INDEX(Client_List!$D:$D,MATCH(VALUE(B3717),Client_List!$A:$A,0)),""))</f>
        <v/>
      </c>
      <c r="G3717" s="53">
        <f>IF(B3717="","",IFERROR(INDEX(Client_List!$K:$K,MATCH(VALUE(B3717),Client_List!$A:$A,0)),""))</f>
        <v/>
      </c>
      <c r="H3717" s="32">
        <f>IF(B3717="","",IFERROR(INDEX(Client_List!$J:$J,MATCH(VALUE(B3717),Client_List!$A:$A,0)),""))</f>
        <v/>
      </c>
      <c r="I3717" s="70">
        <f>IF(B3717="","",IFERROR(A3717-LOOKUP(2,1/($B$4:$B3716=B3717),$A$4:$A3716),""))</f>
        <v/>
      </c>
      <c r="J3717" s="32">
        <f>IF(B3717="","",IFERROR(D3717/I3717,""))</f>
        <v/>
      </c>
      <c r="K3717" s="71">
        <f>IF(B3717="","",IFERROR(AVERAGEIFS($J$4:$J3717,$B$4:$B3717,B3717,$J$4:$J3717,"&gt;"&amp;0),""))</f>
        <v/>
      </c>
      <c r="L3717" s="11" t="n"/>
    </row>
    <row r="3718" ht="14" customHeight="1" s="72">
      <c r="A3718" s="83" t="n"/>
      <c r="B3718" s="81" t="n"/>
      <c r="C3718" s="69">
        <f>IF(B3718="","",IFERROR(INDEX(Client_List!$B:$B,MATCH(B3718,Client_List!$A:$A,0)),"⚠ NOT FOUND"))</f>
        <v/>
      </c>
      <c r="D3718" s="45" t="n"/>
      <c r="E3718" s="32">
        <f>IF(B3718="","",IFERROR(INDEX(Client_List!$C:$C,MATCH(VALUE(B3718),Client_List!$A:$A,0)),""))</f>
        <v/>
      </c>
      <c r="F3718" s="53">
        <f>IF(B3718="","",IFERROR(INDEX(Client_List!$D:$D,MATCH(VALUE(B3718),Client_List!$A:$A,0)),""))</f>
        <v/>
      </c>
      <c r="G3718" s="53">
        <f>IF(B3718="","",IFERROR(INDEX(Client_List!$K:$K,MATCH(VALUE(B3718),Client_List!$A:$A,0)),""))</f>
        <v/>
      </c>
      <c r="H3718" s="32">
        <f>IF(B3718="","",IFERROR(INDEX(Client_List!$J:$J,MATCH(VALUE(B3718),Client_List!$A:$A,0)),""))</f>
        <v/>
      </c>
      <c r="I3718" s="70">
        <f>IF(B3718="","",IFERROR(A3718-LOOKUP(2,1/($B$4:$B3717=B3718),$A$4:$A3717),""))</f>
        <v/>
      </c>
      <c r="J3718" s="32">
        <f>IF(B3718="","",IFERROR(D3718/I3718,""))</f>
        <v/>
      </c>
      <c r="K3718" s="71">
        <f>IF(B3718="","",IFERROR(AVERAGEIFS($J$4:$J3718,$B$4:$B3718,B3718,$J$4:$J3718,"&gt;"&amp;0),""))</f>
        <v/>
      </c>
      <c r="L3718" s="12" t="n"/>
    </row>
    <row r="3719" ht="14" customHeight="1" s="72">
      <c r="A3719" s="82" t="n"/>
      <c r="B3719" s="79" t="n"/>
      <c r="C3719" s="69">
        <f>IF(B3719="","",IFERROR(INDEX(Client_List!$B:$B,MATCH(B3719,Client_List!$A:$A,0)),"⚠ NOT FOUND"))</f>
        <v/>
      </c>
      <c r="D3719" s="44" t="n"/>
      <c r="E3719" s="32">
        <f>IF(B3719="","",IFERROR(INDEX(Client_List!$C:$C,MATCH(VALUE(B3719),Client_List!$A:$A,0)),""))</f>
        <v/>
      </c>
      <c r="F3719" s="53">
        <f>IF(B3719="","",IFERROR(INDEX(Client_List!$D:$D,MATCH(VALUE(B3719),Client_List!$A:$A,0)),""))</f>
        <v/>
      </c>
      <c r="G3719" s="53">
        <f>IF(B3719="","",IFERROR(INDEX(Client_List!$K:$K,MATCH(VALUE(B3719),Client_List!$A:$A,0)),""))</f>
        <v/>
      </c>
      <c r="H3719" s="32">
        <f>IF(B3719="","",IFERROR(INDEX(Client_List!$J:$J,MATCH(VALUE(B3719),Client_List!$A:$A,0)),""))</f>
        <v/>
      </c>
      <c r="I3719" s="70">
        <f>IF(B3719="","",IFERROR(A3719-LOOKUP(2,1/($B$4:$B3718=B3719),$A$4:$A3718),""))</f>
        <v/>
      </c>
      <c r="J3719" s="32">
        <f>IF(B3719="","",IFERROR(D3719/I3719,""))</f>
        <v/>
      </c>
      <c r="K3719" s="71">
        <f>IF(B3719="","",IFERROR(AVERAGEIFS($J$4:$J3719,$B$4:$B3719,B3719,$J$4:$J3719,"&gt;"&amp;0),""))</f>
        <v/>
      </c>
      <c r="L3719" s="11" t="n"/>
    </row>
    <row r="3720" ht="14" customHeight="1" s="72">
      <c r="A3720" s="83" t="n"/>
      <c r="B3720" s="81" t="n"/>
      <c r="C3720" s="69">
        <f>IF(B3720="","",IFERROR(INDEX(Client_List!$B:$B,MATCH(B3720,Client_List!$A:$A,0)),"⚠ NOT FOUND"))</f>
        <v/>
      </c>
      <c r="D3720" s="45" t="n"/>
      <c r="E3720" s="32">
        <f>IF(B3720="","",IFERROR(INDEX(Client_List!$C:$C,MATCH(VALUE(B3720),Client_List!$A:$A,0)),""))</f>
        <v/>
      </c>
      <c r="F3720" s="53">
        <f>IF(B3720="","",IFERROR(INDEX(Client_List!$D:$D,MATCH(VALUE(B3720),Client_List!$A:$A,0)),""))</f>
        <v/>
      </c>
      <c r="G3720" s="53">
        <f>IF(B3720="","",IFERROR(INDEX(Client_List!$K:$K,MATCH(VALUE(B3720),Client_List!$A:$A,0)),""))</f>
        <v/>
      </c>
      <c r="H3720" s="32">
        <f>IF(B3720="","",IFERROR(INDEX(Client_List!$J:$J,MATCH(VALUE(B3720),Client_List!$A:$A,0)),""))</f>
        <v/>
      </c>
      <c r="I3720" s="70">
        <f>IF(B3720="","",IFERROR(A3720-LOOKUP(2,1/($B$4:$B3719=B3720),$A$4:$A3719),""))</f>
        <v/>
      </c>
      <c r="J3720" s="32">
        <f>IF(B3720="","",IFERROR(D3720/I3720,""))</f>
        <v/>
      </c>
      <c r="K3720" s="71">
        <f>IF(B3720="","",IFERROR(AVERAGEIFS($J$4:$J3720,$B$4:$B3720,B3720,$J$4:$J3720,"&gt;"&amp;0),""))</f>
        <v/>
      </c>
      <c r="L3720" s="12" t="n"/>
    </row>
    <row r="3721" ht="14" customHeight="1" s="72">
      <c r="A3721" s="82" t="n"/>
      <c r="B3721" s="79" t="n"/>
      <c r="C3721" s="69">
        <f>IF(B3721="","",IFERROR(INDEX(Client_List!$B:$B,MATCH(B3721,Client_List!$A:$A,0)),"⚠ NOT FOUND"))</f>
        <v/>
      </c>
      <c r="D3721" s="44" t="n"/>
      <c r="E3721" s="32">
        <f>IF(B3721="","",IFERROR(INDEX(Client_List!$C:$C,MATCH(VALUE(B3721),Client_List!$A:$A,0)),""))</f>
        <v/>
      </c>
      <c r="F3721" s="53">
        <f>IF(B3721="","",IFERROR(INDEX(Client_List!$D:$D,MATCH(VALUE(B3721),Client_List!$A:$A,0)),""))</f>
        <v/>
      </c>
      <c r="G3721" s="53">
        <f>IF(B3721="","",IFERROR(INDEX(Client_List!$K:$K,MATCH(VALUE(B3721),Client_List!$A:$A,0)),""))</f>
        <v/>
      </c>
      <c r="H3721" s="32">
        <f>IF(B3721="","",IFERROR(INDEX(Client_List!$J:$J,MATCH(VALUE(B3721),Client_List!$A:$A,0)),""))</f>
        <v/>
      </c>
      <c r="I3721" s="70">
        <f>IF(B3721="","",IFERROR(A3721-LOOKUP(2,1/($B$4:$B3720=B3721),$A$4:$A3720),""))</f>
        <v/>
      </c>
      <c r="J3721" s="32">
        <f>IF(B3721="","",IFERROR(D3721/I3721,""))</f>
        <v/>
      </c>
      <c r="K3721" s="71">
        <f>IF(B3721="","",IFERROR(AVERAGEIFS($J$4:$J3721,$B$4:$B3721,B3721,$J$4:$J3721,"&gt;"&amp;0),""))</f>
        <v/>
      </c>
      <c r="L3721" s="11" t="n"/>
    </row>
    <row r="3722" ht="14" customHeight="1" s="72">
      <c r="A3722" s="83" t="n"/>
      <c r="B3722" s="81" t="n"/>
      <c r="C3722" s="69">
        <f>IF(B3722="","",IFERROR(INDEX(Client_List!$B:$B,MATCH(B3722,Client_List!$A:$A,0)),"⚠ NOT FOUND"))</f>
        <v/>
      </c>
      <c r="D3722" s="45" t="n"/>
      <c r="E3722" s="32">
        <f>IF(B3722="","",IFERROR(INDEX(Client_List!$C:$C,MATCH(VALUE(B3722),Client_List!$A:$A,0)),""))</f>
        <v/>
      </c>
      <c r="F3722" s="53">
        <f>IF(B3722="","",IFERROR(INDEX(Client_List!$D:$D,MATCH(VALUE(B3722),Client_List!$A:$A,0)),""))</f>
        <v/>
      </c>
      <c r="G3722" s="53">
        <f>IF(B3722="","",IFERROR(INDEX(Client_List!$K:$K,MATCH(VALUE(B3722),Client_List!$A:$A,0)),""))</f>
        <v/>
      </c>
      <c r="H3722" s="32">
        <f>IF(B3722="","",IFERROR(INDEX(Client_List!$J:$J,MATCH(VALUE(B3722),Client_List!$A:$A,0)),""))</f>
        <v/>
      </c>
      <c r="I3722" s="70">
        <f>IF(B3722="","",IFERROR(A3722-LOOKUP(2,1/($B$4:$B3721=B3722),$A$4:$A3721),""))</f>
        <v/>
      </c>
      <c r="J3722" s="32">
        <f>IF(B3722="","",IFERROR(D3722/I3722,""))</f>
        <v/>
      </c>
      <c r="K3722" s="71">
        <f>IF(B3722="","",IFERROR(AVERAGEIFS($J$4:$J3722,$B$4:$B3722,B3722,$J$4:$J3722,"&gt;"&amp;0),""))</f>
        <v/>
      </c>
      <c r="L3722" s="12" t="n"/>
    </row>
    <row r="3723" ht="14" customHeight="1" s="72">
      <c r="A3723" s="82" t="n"/>
      <c r="B3723" s="79" t="n"/>
      <c r="C3723" s="69">
        <f>IF(B3723="","",IFERROR(INDEX(Client_List!$B:$B,MATCH(B3723,Client_List!$A:$A,0)),"⚠ NOT FOUND"))</f>
        <v/>
      </c>
      <c r="D3723" s="44" t="n"/>
      <c r="E3723" s="32">
        <f>IF(B3723="","",IFERROR(INDEX(Client_List!$C:$C,MATCH(VALUE(B3723),Client_List!$A:$A,0)),""))</f>
        <v/>
      </c>
      <c r="F3723" s="53">
        <f>IF(B3723="","",IFERROR(INDEX(Client_List!$D:$D,MATCH(VALUE(B3723),Client_List!$A:$A,0)),""))</f>
        <v/>
      </c>
      <c r="G3723" s="53">
        <f>IF(B3723="","",IFERROR(INDEX(Client_List!$K:$K,MATCH(VALUE(B3723),Client_List!$A:$A,0)),""))</f>
        <v/>
      </c>
      <c r="H3723" s="32">
        <f>IF(B3723="","",IFERROR(INDEX(Client_List!$J:$J,MATCH(VALUE(B3723),Client_List!$A:$A,0)),""))</f>
        <v/>
      </c>
      <c r="I3723" s="70">
        <f>IF(B3723="","",IFERROR(A3723-LOOKUP(2,1/($B$4:$B3722=B3723),$A$4:$A3722),""))</f>
        <v/>
      </c>
      <c r="J3723" s="32">
        <f>IF(B3723="","",IFERROR(D3723/I3723,""))</f>
        <v/>
      </c>
      <c r="K3723" s="71">
        <f>IF(B3723="","",IFERROR(AVERAGEIFS($J$4:$J3723,$B$4:$B3723,B3723,$J$4:$J3723,"&gt;"&amp;0),""))</f>
        <v/>
      </c>
      <c r="L3723" s="11" t="n"/>
    </row>
    <row r="3724" ht="14" customHeight="1" s="72">
      <c r="A3724" s="83" t="n"/>
      <c r="B3724" s="81" t="n"/>
      <c r="C3724" s="69">
        <f>IF(B3724="","",IFERROR(INDEX(Client_List!$B:$B,MATCH(B3724,Client_List!$A:$A,0)),"⚠ NOT FOUND"))</f>
        <v/>
      </c>
      <c r="D3724" s="45" t="n"/>
      <c r="E3724" s="32">
        <f>IF(B3724="","",IFERROR(INDEX(Client_List!$C:$C,MATCH(VALUE(B3724),Client_List!$A:$A,0)),""))</f>
        <v/>
      </c>
      <c r="F3724" s="53">
        <f>IF(B3724="","",IFERROR(INDEX(Client_List!$D:$D,MATCH(VALUE(B3724),Client_List!$A:$A,0)),""))</f>
        <v/>
      </c>
      <c r="G3724" s="53">
        <f>IF(B3724="","",IFERROR(INDEX(Client_List!$K:$K,MATCH(VALUE(B3724),Client_List!$A:$A,0)),""))</f>
        <v/>
      </c>
      <c r="H3724" s="32">
        <f>IF(B3724="","",IFERROR(INDEX(Client_List!$J:$J,MATCH(VALUE(B3724),Client_List!$A:$A,0)),""))</f>
        <v/>
      </c>
      <c r="I3724" s="70">
        <f>IF(B3724="","",IFERROR(A3724-LOOKUP(2,1/($B$4:$B3723=B3724),$A$4:$A3723),""))</f>
        <v/>
      </c>
      <c r="J3724" s="32">
        <f>IF(B3724="","",IFERROR(D3724/I3724,""))</f>
        <v/>
      </c>
      <c r="K3724" s="71">
        <f>IF(B3724="","",IFERROR(AVERAGEIFS($J$4:$J3724,$B$4:$B3724,B3724,$J$4:$J3724,"&gt;"&amp;0),""))</f>
        <v/>
      </c>
      <c r="L3724" s="12" t="n"/>
    </row>
    <row r="3725" ht="14" customHeight="1" s="72">
      <c r="A3725" s="82" t="n"/>
      <c r="B3725" s="79" t="n"/>
      <c r="C3725" s="69">
        <f>IF(B3725="","",IFERROR(INDEX(Client_List!$B:$B,MATCH(B3725,Client_List!$A:$A,0)),"⚠ NOT FOUND"))</f>
        <v/>
      </c>
      <c r="D3725" s="44" t="n"/>
      <c r="E3725" s="32">
        <f>IF(B3725="","",IFERROR(INDEX(Client_List!$C:$C,MATCH(VALUE(B3725),Client_List!$A:$A,0)),""))</f>
        <v/>
      </c>
      <c r="F3725" s="53">
        <f>IF(B3725="","",IFERROR(INDEX(Client_List!$D:$D,MATCH(VALUE(B3725),Client_List!$A:$A,0)),""))</f>
        <v/>
      </c>
      <c r="G3725" s="53">
        <f>IF(B3725="","",IFERROR(INDEX(Client_List!$K:$K,MATCH(VALUE(B3725),Client_List!$A:$A,0)),""))</f>
        <v/>
      </c>
      <c r="H3725" s="32">
        <f>IF(B3725="","",IFERROR(INDEX(Client_List!$J:$J,MATCH(VALUE(B3725),Client_List!$A:$A,0)),""))</f>
        <v/>
      </c>
      <c r="I3725" s="70">
        <f>IF(B3725="","",IFERROR(A3725-LOOKUP(2,1/($B$4:$B3724=B3725),$A$4:$A3724),""))</f>
        <v/>
      </c>
      <c r="J3725" s="32">
        <f>IF(B3725="","",IFERROR(D3725/I3725,""))</f>
        <v/>
      </c>
      <c r="K3725" s="71">
        <f>IF(B3725="","",IFERROR(AVERAGEIFS($J$4:$J3725,$B$4:$B3725,B3725,$J$4:$J3725,"&gt;"&amp;0),""))</f>
        <v/>
      </c>
      <c r="L3725" s="11" t="n"/>
    </row>
    <row r="3726" ht="14" customHeight="1" s="72">
      <c r="A3726" s="83" t="n"/>
      <c r="B3726" s="81" t="n"/>
      <c r="C3726" s="69">
        <f>IF(B3726="","",IFERROR(INDEX(Client_List!$B:$B,MATCH(B3726,Client_List!$A:$A,0)),"⚠ NOT FOUND"))</f>
        <v/>
      </c>
      <c r="D3726" s="45" t="n"/>
      <c r="E3726" s="32">
        <f>IF(B3726="","",IFERROR(INDEX(Client_List!$C:$C,MATCH(VALUE(B3726),Client_List!$A:$A,0)),""))</f>
        <v/>
      </c>
      <c r="F3726" s="53">
        <f>IF(B3726="","",IFERROR(INDEX(Client_List!$D:$D,MATCH(VALUE(B3726),Client_List!$A:$A,0)),""))</f>
        <v/>
      </c>
      <c r="G3726" s="53">
        <f>IF(B3726="","",IFERROR(INDEX(Client_List!$K:$K,MATCH(VALUE(B3726),Client_List!$A:$A,0)),""))</f>
        <v/>
      </c>
      <c r="H3726" s="32">
        <f>IF(B3726="","",IFERROR(INDEX(Client_List!$J:$J,MATCH(VALUE(B3726),Client_List!$A:$A,0)),""))</f>
        <v/>
      </c>
      <c r="I3726" s="70">
        <f>IF(B3726="","",IFERROR(A3726-LOOKUP(2,1/($B$4:$B3725=B3726),$A$4:$A3725),""))</f>
        <v/>
      </c>
      <c r="J3726" s="32">
        <f>IF(B3726="","",IFERROR(D3726/I3726,""))</f>
        <v/>
      </c>
      <c r="K3726" s="71">
        <f>IF(B3726="","",IFERROR(AVERAGEIFS($J$4:$J3726,$B$4:$B3726,B3726,$J$4:$J3726,"&gt;"&amp;0),""))</f>
        <v/>
      </c>
      <c r="L3726" s="12" t="n"/>
    </row>
    <row r="3727" ht="14" customHeight="1" s="72">
      <c r="A3727" s="82" t="n"/>
      <c r="B3727" s="79" t="n"/>
      <c r="C3727" s="69">
        <f>IF(B3727="","",IFERROR(INDEX(Client_List!$B:$B,MATCH(B3727,Client_List!$A:$A,0)),"⚠ NOT FOUND"))</f>
        <v/>
      </c>
      <c r="D3727" s="44" t="n"/>
      <c r="E3727" s="32">
        <f>IF(B3727="","",IFERROR(INDEX(Client_List!$C:$C,MATCH(VALUE(B3727),Client_List!$A:$A,0)),""))</f>
        <v/>
      </c>
      <c r="F3727" s="53">
        <f>IF(B3727="","",IFERROR(INDEX(Client_List!$D:$D,MATCH(VALUE(B3727),Client_List!$A:$A,0)),""))</f>
        <v/>
      </c>
      <c r="G3727" s="53">
        <f>IF(B3727="","",IFERROR(INDEX(Client_List!$K:$K,MATCH(VALUE(B3727),Client_List!$A:$A,0)),""))</f>
        <v/>
      </c>
      <c r="H3727" s="32">
        <f>IF(B3727="","",IFERROR(INDEX(Client_List!$J:$J,MATCH(VALUE(B3727),Client_List!$A:$A,0)),""))</f>
        <v/>
      </c>
      <c r="I3727" s="70">
        <f>IF(B3727="","",IFERROR(A3727-LOOKUP(2,1/($B$4:$B3726=B3727),$A$4:$A3726),""))</f>
        <v/>
      </c>
      <c r="J3727" s="32">
        <f>IF(B3727="","",IFERROR(D3727/I3727,""))</f>
        <v/>
      </c>
      <c r="K3727" s="71">
        <f>IF(B3727="","",IFERROR(AVERAGEIFS($J$4:$J3727,$B$4:$B3727,B3727,$J$4:$J3727,"&gt;"&amp;0),""))</f>
        <v/>
      </c>
      <c r="L3727" s="11" t="n"/>
    </row>
    <row r="3728" ht="14" customHeight="1" s="72">
      <c r="A3728" s="83" t="n"/>
      <c r="B3728" s="81" t="n"/>
      <c r="C3728" s="69">
        <f>IF(B3728="","",IFERROR(INDEX(Client_List!$B:$B,MATCH(B3728,Client_List!$A:$A,0)),"⚠ NOT FOUND"))</f>
        <v/>
      </c>
      <c r="D3728" s="45" t="n"/>
      <c r="E3728" s="32">
        <f>IF(B3728="","",IFERROR(INDEX(Client_List!$C:$C,MATCH(VALUE(B3728),Client_List!$A:$A,0)),""))</f>
        <v/>
      </c>
      <c r="F3728" s="53">
        <f>IF(B3728="","",IFERROR(INDEX(Client_List!$D:$D,MATCH(VALUE(B3728),Client_List!$A:$A,0)),""))</f>
        <v/>
      </c>
      <c r="G3728" s="53">
        <f>IF(B3728="","",IFERROR(INDEX(Client_List!$K:$K,MATCH(VALUE(B3728),Client_List!$A:$A,0)),""))</f>
        <v/>
      </c>
      <c r="H3728" s="32">
        <f>IF(B3728="","",IFERROR(INDEX(Client_List!$J:$J,MATCH(VALUE(B3728),Client_List!$A:$A,0)),""))</f>
        <v/>
      </c>
      <c r="I3728" s="70">
        <f>IF(B3728="","",IFERROR(A3728-LOOKUP(2,1/($B$4:$B3727=B3728),$A$4:$A3727),""))</f>
        <v/>
      </c>
      <c r="J3728" s="32">
        <f>IF(B3728="","",IFERROR(D3728/I3728,""))</f>
        <v/>
      </c>
      <c r="K3728" s="71">
        <f>IF(B3728="","",IFERROR(AVERAGEIFS($J$4:$J3728,$B$4:$B3728,B3728,$J$4:$J3728,"&gt;"&amp;0),""))</f>
        <v/>
      </c>
      <c r="L3728" s="12" t="n"/>
    </row>
    <row r="3729" ht="14" customHeight="1" s="72">
      <c r="A3729" s="82" t="n"/>
      <c r="B3729" s="79" t="n"/>
      <c r="C3729" s="69">
        <f>IF(B3729="","",IFERROR(INDEX(Client_List!$B:$B,MATCH(B3729,Client_List!$A:$A,0)),"⚠ NOT FOUND"))</f>
        <v/>
      </c>
      <c r="D3729" s="44" t="n"/>
      <c r="E3729" s="32">
        <f>IF(B3729="","",IFERROR(INDEX(Client_List!$C:$C,MATCH(VALUE(B3729),Client_List!$A:$A,0)),""))</f>
        <v/>
      </c>
      <c r="F3729" s="53">
        <f>IF(B3729="","",IFERROR(INDEX(Client_List!$D:$D,MATCH(VALUE(B3729),Client_List!$A:$A,0)),""))</f>
        <v/>
      </c>
      <c r="G3729" s="53">
        <f>IF(B3729="","",IFERROR(INDEX(Client_List!$K:$K,MATCH(VALUE(B3729),Client_List!$A:$A,0)),""))</f>
        <v/>
      </c>
      <c r="H3729" s="32">
        <f>IF(B3729="","",IFERROR(INDEX(Client_List!$J:$J,MATCH(VALUE(B3729),Client_List!$A:$A,0)),""))</f>
        <v/>
      </c>
      <c r="I3729" s="70">
        <f>IF(B3729="","",IFERROR(A3729-LOOKUP(2,1/($B$4:$B3728=B3729),$A$4:$A3728),""))</f>
        <v/>
      </c>
      <c r="J3729" s="32">
        <f>IF(B3729="","",IFERROR(D3729/I3729,""))</f>
        <v/>
      </c>
      <c r="K3729" s="71">
        <f>IF(B3729="","",IFERROR(AVERAGEIFS($J$4:$J3729,$B$4:$B3729,B3729,$J$4:$J3729,"&gt;"&amp;0),""))</f>
        <v/>
      </c>
      <c r="L3729" s="11" t="n"/>
    </row>
    <row r="3730" ht="14" customHeight="1" s="72">
      <c r="A3730" s="83" t="n"/>
      <c r="B3730" s="81" t="n"/>
      <c r="C3730" s="69">
        <f>IF(B3730="","",IFERROR(INDEX(Client_List!$B:$B,MATCH(B3730,Client_List!$A:$A,0)),"⚠ NOT FOUND"))</f>
        <v/>
      </c>
      <c r="D3730" s="45" t="n"/>
      <c r="E3730" s="32">
        <f>IF(B3730="","",IFERROR(INDEX(Client_List!$C:$C,MATCH(VALUE(B3730),Client_List!$A:$A,0)),""))</f>
        <v/>
      </c>
      <c r="F3730" s="53">
        <f>IF(B3730="","",IFERROR(INDEX(Client_List!$D:$D,MATCH(VALUE(B3730),Client_List!$A:$A,0)),""))</f>
        <v/>
      </c>
      <c r="G3730" s="53">
        <f>IF(B3730="","",IFERROR(INDEX(Client_List!$K:$K,MATCH(VALUE(B3730),Client_List!$A:$A,0)),""))</f>
        <v/>
      </c>
      <c r="H3730" s="32">
        <f>IF(B3730="","",IFERROR(INDEX(Client_List!$J:$J,MATCH(VALUE(B3730),Client_List!$A:$A,0)),""))</f>
        <v/>
      </c>
      <c r="I3730" s="70">
        <f>IF(B3730="","",IFERROR(A3730-LOOKUP(2,1/($B$4:$B3729=B3730),$A$4:$A3729),""))</f>
        <v/>
      </c>
      <c r="J3730" s="32">
        <f>IF(B3730="","",IFERROR(D3730/I3730,""))</f>
        <v/>
      </c>
      <c r="K3730" s="71">
        <f>IF(B3730="","",IFERROR(AVERAGEIFS($J$4:$J3730,$B$4:$B3730,B3730,$J$4:$J3730,"&gt;"&amp;0),""))</f>
        <v/>
      </c>
      <c r="L3730" s="12" t="n"/>
    </row>
    <row r="3731" ht="14" customHeight="1" s="72">
      <c r="A3731" s="82" t="n"/>
      <c r="B3731" s="79" t="n"/>
      <c r="C3731" s="69">
        <f>IF(B3731="","",IFERROR(INDEX(Client_List!$B:$B,MATCH(B3731,Client_List!$A:$A,0)),"⚠ NOT FOUND"))</f>
        <v/>
      </c>
      <c r="D3731" s="44" t="n"/>
      <c r="E3731" s="32">
        <f>IF(B3731="","",IFERROR(INDEX(Client_List!$C:$C,MATCH(VALUE(B3731),Client_List!$A:$A,0)),""))</f>
        <v/>
      </c>
      <c r="F3731" s="53">
        <f>IF(B3731="","",IFERROR(INDEX(Client_List!$D:$D,MATCH(VALUE(B3731),Client_List!$A:$A,0)),""))</f>
        <v/>
      </c>
      <c r="G3731" s="53">
        <f>IF(B3731="","",IFERROR(INDEX(Client_List!$K:$K,MATCH(VALUE(B3731),Client_List!$A:$A,0)),""))</f>
        <v/>
      </c>
      <c r="H3731" s="32">
        <f>IF(B3731="","",IFERROR(INDEX(Client_List!$J:$J,MATCH(VALUE(B3731),Client_List!$A:$A,0)),""))</f>
        <v/>
      </c>
      <c r="I3731" s="70">
        <f>IF(B3731="","",IFERROR(A3731-LOOKUP(2,1/($B$4:$B3730=B3731),$A$4:$A3730),""))</f>
        <v/>
      </c>
      <c r="J3731" s="32">
        <f>IF(B3731="","",IFERROR(D3731/I3731,""))</f>
        <v/>
      </c>
      <c r="K3731" s="71">
        <f>IF(B3731="","",IFERROR(AVERAGEIFS($J$4:$J3731,$B$4:$B3731,B3731,$J$4:$J3731,"&gt;"&amp;0),""))</f>
        <v/>
      </c>
      <c r="L3731" s="11" t="n"/>
    </row>
    <row r="3732" ht="14" customHeight="1" s="72">
      <c r="A3732" s="83" t="n"/>
      <c r="B3732" s="81" t="n"/>
      <c r="C3732" s="69">
        <f>IF(B3732="","",IFERROR(INDEX(Client_List!$B:$B,MATCH(B3732,Client_List!$A:$A,0)),"⚠ NOT FOUND"))</f>
        <v/>
      </c>
      <c r="D3732" s="45" t="n"/>
      <c r="E3732" s="32">
        <f>IF(B3732="","",IFERROR(INDEX(Client_List!$C:$C,MATCH(VALUE(B3732),Client_List!$A:$A,0)),""))</f>
        <v/>
      </c>
      <c r="F3732" s="53">
        <f>IF(B3732="","",IFERROR(INDEX(Client_List!$D:$D,MATCH(VALUE(B3732),Client_List!$A:$A,0)),""))</f>
        <v/>
      </c>
      <c r="G3732" s="53">
        <f>IF(B3732="","",IFERROR(INDEX(Client_List!$K:$K,MATCH(VALUE(B3732),Client_List!$A:$A,0)),""))</f>
        <v/>
      </c>
      <c r="H3732" s="32">
        <f>IF(B3732="","",IFERROR(INDEX(Client_List!$J:$J,MATCH(VALUE(B3732),Client_List!$A:$A,0)),""))</f>
        <v/>
      </c>
      <c r="I3732" s="70">
        <f>IF(B3732="","",IFERROR(A3732-LOOKUP(2,1/($B$4:$B3731=B3732),$A$4:$A3731),""))</f>
        <v/>
      </c>
      <c r="J3732" s="32">
        <f>IF(B3732="","",IFERROR(D3732/I3732,""))</f>
        <v/>
      </c>
      <c r="K3732" s="71">
        <f>IF(B3732="","",IFERROR(AVERAGEIFS($J$4:$J3732,$B$4:$B3732,B3732,$J$4:$J3732,"&gt;"&amp;0),""))</f>
        <v/>
      </c>
      <c r="L3732" s="12" t="n"/>
    </row>
    <row r="3733" ht="14" customHeight="1" s="72">
      <c r="A3733" s="82" t="n"/>
      <c r="B3733" s="79" t="n"/>
      <c r="C3733" s="69">
        <f>IF(B3733="","",IFERROR(INDEX(Client_List!$B:$B,MATCH(B3733,Client_List!$A:$A,0)),"⚠ NOT FOUND"))</f>
        <v/>
      </c>
      <c r="D3733" s="44" t="n"/>
      <c r="E3733" s="32">
        <f>IF(B3733="","",IFERROR(INDEX(Client_List!$C:$C,MATCH(VALUE(B3733),Client_List!$A:$A,0)),""))</f>
        <v/>
      </c>
      <c r="F3733" s="53">
        <f>IF(B3733="","",IFERROR(INDEX(Client_List!$D:$D,MATCH(VALUE(B3733),Client_List!$A:$A,0)),""))</f>
        <v/>
      </c>
      <c r="G3733" s="53">
        <f>IF(B3733="","",IFERROR(INDEX(Client_List!$K:$K,MATCH(VALUE(B3733),Client_List!$A:$A,0)),""))</f>
        <v/>
      </c>
      <c r="H3733" s="32">
        <f>IF(B3733="","",IFERROR(INDEX(Client_List!$J:$J,MATCH(VALUE(B3733),Client_List!$A:$A,0)),""))</f>
        <v/>
      </c>
      <c r="I3733" s="70">
        <f>IF(B3733="","",IFERROR(A3733-LOOKUP(2,1/($B$4:$B3732=B3733),$A$4:$A3732),""))</f>
        <v/>
      </c>
      <c r="J3733" s="32">
        <f>IF(B3733="","",IFERROR(D3733/I3733,""))</f>
        <v/>
      </c>
      <c r="K3733" s="71">
        <f>IF(B3733="","",IFERROR(AVERAGEIFS($J$4:$J3733,$B$4:$B3733,B3733,$J$4:$J3733,"&gt;"&amp;0),""))</f>
        <v/>
      </c>
      <c r="L3733" s="11" t="n"/>
    </row>
    <row r="3734" ht="14" customHeight="1" s="72">
      <c r="A3734" s="83" t="n"/>
      <c r="B3734" s="81" t="n"/>
      <c r="C3734" s="69">
        <f>IF(B3734="","",IFERROR(INDEX(Client_List!$B:$B,MATCH(B3734,Client_List!$A:$A,0)),"⚠ NOT FOUND"))</f>
        <v/>
      </c>
      <c r="D3734" s="45" t="n"/>
      <c r="E3734" s="32">
        <f>IF(B3734="","",IFERROR(INDEX(Client_List!$C:$C,MATCH(VALUE(B3734),Client_List!$A:$A,0)),""))</f>
        <v/>
      </c>
      <c r="F3734" s="53">
        <f>IF(B3734="","",IFERROR(INDEX(Client_List!$D:$D,MATCH(VALUE(B3734),Client_List!$A:$A,0)),""))</f>
        <v/>
      </c>
      <c r="G3734" s="53">
        <f>IF(B3734="","",IFERROR(INDEX(Client_List!$K:$K,MATCH(VALUE(B3734),Client_List!$A:$A,0)),""))</f>
        <v/>
      </c>
      <c r="H3734" s="32">
        <f>IF(B3734="","",IFERROR(INDEX(Client_List!$J:$J,MATCH(VALUE(B3734),Client_List!$A:$A,0)),""))</f>
        <v/>
      </c>
      <c r="I3734" s="70">
        <f>IF(B3734="","",IFERROR(A3734-LOOKUP(2,1/($B$4:$B3733=B3734),$A$4:$A3733),""))</f>
        <v/>
      </c>
      <c r="J3734" s="32">
        <f>IF(B3734="","",IFERROR(D3734/I3734,""))</f>
        <v/>
      </c>
      <c r="K3734" s="71">
        <f>IF(B3734="","",IFERROR(AVERAGEIFS($J$4:$J3734,$B$4:$B3734,B3734,$J$4:$J3734,"&gt;"&amp;0),""))</f>
        <v/>
      </c>
      <c r="L3734" s="12" t="n"/>
    </row>
    <row r="3735" ht="14" customHeight="1" s="72">
      <c r="A3735" s="82" t="n"/>
      <c r="B3735" s="79" t="n"/>
      <c r="C3735" s="69">
        <f>IF(B3735="","",IFERROR(INDEX(Client_List!$B:$B,MATCH(B3735,Client_List!$A:$A,0)),"⚠ NOT FOUND"))</f>
        <v/>
      </c>
      <c r="D3735" s="44" t="n"/>
      <c r="E3735" s="32">
        <f>IF(B3735="","",IFERROR(INDEX(Client_List!$C:$C,MATCH(VALUE(B3735),Client_List!$A:$A,0)),""))</f>
        <v/>
      </c>
      <c r="F3735" s="53">
        <f>IF(B3735="","",IFERROR(INDEX(Client_List!$D:$D,MATCH(VALUE(B3735),Client_List!$A:$A,0)),""))</f>
        <v/>
      </c>
      <c r="G3735" s="53">
        <f>IF(B3735="","",IFERROR(INDEX(Client_List!$K:$K,MATCH(VALUE(B3735),Client_List!$A:$A,0)),""))</f>
        <v/>
      </c>
      <c r="H3735" s="32">
        <f>IF(B3735="","",IFERROR(INDEX(Client_List!$J:$J,MATCH(VALUE(B3735),Client_List!$A:$A,0)),""))</f>
        <v/>
      </c>
      <c r="I3735" s="70">
        <f>IF(B3735="","",IFERROR(A3735-LOOKUP(2,1/($B$4:$B3734=B3735),$A$4:$A3734),""))</f>
        <v/>
      </c>
      <c r="J3735" s="32">
        <f>IF(B3735="","",IFERROR(D3735/I3735,""))</f>
        <v/>
      </c>
      <c r="K3735" s="71">
        <f>IF(B3735="","",IFERROR(AVERAGEIFS($J$4:$J3735,$B$4:$B3735,B3735,$J$4:$J3735,"&gt;"&amp;0),""))</f>
        <v/>
      </c>
      <c r="L3735" s="11" t="n"/>
    </row>
    <row r="3736" ht="14" customHeight="1" s="72">
      <c r="A3736" s="83" t="n"/>
      <c r="B3736" s="81" t="n"/>
      <c r="C3736" s="69">
        <f>IF(B3736="","",IFERROR(INDEX(Client_List!$B:$B,MATCH(B3736,Client_List!$A:$A,0)),"⚠ NOT FOUND"))</f>
        <v/>
      </c>
      <c r="D3736" s="45" t="n"/>
      <c r="E3736" s="32">
        <f>IF(B3736="","",IFERROR(INDEX(Client_List!$C:$C,MATCH(VALUE(B3736),Client_List!$A:$A,0)),""))</f>
        <v/>
      </c>
      <c r="F3736" s="53">
        <f>IF(B3736="","",IFERROR(INDEX(Client_List!$D:$D,MATCH(VALUE(B3736),Client_List!$A:$A,0)),""))</f>
        <v/>
      </c>
      <c r="G3736" s="53">
        <f>IF(B3736="","",IFERROR(INDEX(Client_List!$K:$K,MATCH(VALUE(B3736),Client_List!$A:$A,0)),""))</f>
        <v/>
      </c>
      <c r="H3736" s="32">
        <f>IF(B3736="","",IFERROR(INDEX(Client_List!$J:$J,MATCH(VALUE(B3736),Client_List!$A:$A,0)),""))</f>
        <v/>
      </c>
      <c r="I3736" s="70">
        <f>IF(B3736="","",IFERROR(A3736-LOOKUP(2,1/($B$4:$B3735=B3736),$A$4:$A3735),""))</f>
        <v/>
      </c>
      <c r="J3736" s="32">
        <f>IF(B3736="","",IFERROR(D3736/I3736,""))</f>
        <v/>
      </c>
      <c r="K3736" s="71">
        <f>IF(B3736="","",IFERROR(AVERAGEIFS($J$4:$J3736,$B$4:$B3736,B3736,$J$4:$J3736,"&gt;"&amp;0),""))</f>
        <v/>
      </c>
      <c r="L3736" s="12" t="n"/>
    </row>
    <row r="3737" ht="14" customHeight="1" s="72">
      <c r="A3737" s="82" t="n"/>
      <c r="B3737" s="79" t="n"/>
      <c r="C3737" s="69">
        <f>IF(B3737="","",IFERROR(INDEX(Client_List!$B:$B,MATCH(B3737,Client_List!$A:$A,0)),"⚠ NOT FOUND"))</f>
        <v/>
      </c>
      <c r="D3737" s="44" t="n"/>
      <c r="E3737" s="32">
        <f>IF(B3737="","",IFERROR(INDEX(Client_List!$C:$C,MATCH(VALUE(B3737),Client_List!$A:$A,0)),""))</f>
        <v/>
      </c>
      <c r="F3737" s="53">
        <f>IF(B3737="","",IFERROR(INDEX(Client_List!$D:$D,MATCH(VALUE(B3737),Client_List!$A:$A,0)),""))</f>
        <v/>
      </c>
      <c r="G3737" s="53">
        <f>IF(B3737="","",IFERROR(INDEX(Client_List!$K:$K,MATCH(VALUE(B3737),Client_List!$A:$A,0)),""))</f>
        <v/>
      </c>
      <c r="H3737" s="32">
        <f>IF(B3737="","",IFERROR(INDEX(Client_List!$J:$J,MATCH(VALUE(B3737),Client_List!$A:$A,0)),""))</f>
        <v/>
      </c>
      <c r="I3737" s="70">
        <f>IF(B3737="","",IFERROR(A3737-LOOKUP(2,1/($B$4:$B3736=B3737),$A$4:$A3736),""))</f>
        <v/>
      </c>
      <c r="J3737" s="32">
        <f>IF(B3737="","",IFERROR(D3737/I3737,""))</f>
        <v/>
      </c>
      <c r="K3737" s="71">
        <f>IF(B3737="","",IFERROR(AVERAGEIFS($J$4:$J3737,$B$4:$B3737,B3737,$J$4:$J3737,"&gt;"&amp;0),""))</f>
        <v/>
      </c>
      <c r="L3737" s="11" t="n"/>
    </row>
    <row r="3738" ht="14" customHeight="1" s="72">
      <c r="A3738" s="83" t="n"/>
      <c r="B3738" s="81" t="n"/>
      <c r="C3738" s="69">
        <f>IF(B3738="","",IFERROR(INDEX(Client_List!$B:$B,MATCH(B3738,Client_List!$A:$A,0)),"⚠ NOT FOUND"))</f>
        <v/>
      </c>
      <c r="D3738" s="45" t="n"/>
      <c r="E3738" s="32">
        <f>IF(B3738="","",IFERROR(INDEX(Client_List!$C:$C,MATCH(VALUE(B3738),Client_List!$A:$A,0)),""))</f>
        <v/>
      </c>
      <c r="F3738" s="53">
        <f>IF(B3738="","",IFERROR(INDEX(Client_List!$D:$D,MATCH(VALUE(B3738),Client_List!$A:$A,0)),""))</f>
        <v/>
      </c>
      <c r="G3738" s="53">
        <f>IF(B3738="","",IFERROR(INDEX(Client_List!$K:$K,MATCH(VALUE(B3738),Client_List!$A:$A,0)),""))</f>
        <v/>
      </c>
      <c r="H3738" s="32">
        <f>IF(B3738="","",IFERROR(INDEX(Client_List!$J:$J,MATCH(VALUE(B3738),Client_List!$A:$A,0)),""))</f>
        <v/>
      </c>
      <c r="I3738" s="70">
        <f>IF(B3738="","",IFERROR(A3738-LOOKUP(2,1/($B$4:$B3737=B3738),$A$4:$A3737),""))</f>
        <v/>
      </c>
      <c r="J3738" s="32">
        <f>IF(B3738="","",IFERROR(D3738/I3738,""))</f>
        <v/>
      </c>
      <c r="K3738" s="71">
        <f>IF(B3738="","",IFERROR(AVERAGEIFS($J$4:$J3738,$B$4:$B3738,B3738,$J$4:$J3738,"&gt;"&amp;0),""))</f>
        <v/>
      </c>
      <c r="L3738" s="12" t="n"/>
    </row>
    <row r="3739" ht="14" customHeight="1" s="72">
      <c r="A3739" s="82" t="n"/>
      <c r="B3739" s="79" t="n"/>
      <c r="C3739" s="69">
        <f>IF(B3739="","",IFERROR(INDEX(Client_List!$B:$B,MATCH(B3739,Client_List!$A:$A,0)),"⚠ NOT FOUND"))</f>
        <v/>
      </c>
      <c r="D3739" s="44" t="n"/>
      <c r="E3739" s="32">
        <f>IF(B3739="","",IFERROR(INDEX(Client_List!$C:$C,MATCH(VALUE(B3739),Client_List!$A:$A,0)),""))</f>
        <v/>
      </c>
      <c r="F3739" s="53">
        <f>IF(B3739="","",IFERROR(INDEX(Client_List!$D:$D,MATCH(VALUE(B3739),Client_List!$A:$A,0)),""))</f>
        <v/>
      </c>
      <c r="G3739" s="53">
        <f>IF(B3739="","",IFERROR(INDEX(Client_List!$K:$K,MATCH(VALUE(B3739),Client_List!$A:$A,0)),""))</f>
        <v/>
      </c>
      <c r="H3739" s="32">
        <f>IF(B3739="","",IFERROR(INDEX(Client_List!$J:$J,MATCH(VALUE(B3739),Client_List!$A:$A,0)),""))</f>
        <v/>
      </c>
      <c r="I3739" s="70">
        <f>IF(B3739="","",IFERROR(A3739-LOOKUP(2,1/($B$4:$B3738=B3739),$A$4:$A3738),""))</f>
        <v/>
      </c>
      <c r="J3739" s="32">
        <f>IF(B3739="","",IFERROR(D3739/I3739,""))</f>
        <v/>
      </c>
      <c r="K3739" s="71">
        <f>IF(B3739="","",IFERROR(AVERAGEIFS($J$4:$J3739,$B$4:$B3739,B3739,$J$4:$J3739,"&gt;"&amp;0),""))</f>
        <v/>
      </c>
      <c r="L3739" s="11" t="n"/>
    </row>
    <row r="3740" ht="14" customHeight="1" s="72">
      <c r="A3740" s="83" t="n"/>
      <c r="B3740" s="81" t="n"/>
      <c r="C3740" s="69">
        <f>IF(B3740="","",IFERROR(INDEX(Client_List!$B:$B,MATCH(B3740,Client_List!$A:$A,0)),"⚠ NOT FOUND"))</f>
        <v/>
      </c>
      <c r="D3740" s="45" t="n"/>
      <c r="E3740" s="32">
        <f>IF(B3740="","",IFERROR(INDEX(Client_List!$C:$C,MATCH(VALUE(B3740),Client_List!$A:$A,0)),""))</f>
        <v/>
      </c>
      <c r="F3740" s="53">
        <f>IF(B3740="","",IFERROR(INDEX(Client_List!$D:$D,MATCH(VALUE(B3740),Client_List!$A:$A,0)),""))</f>
        <v/>
      </c>
      <c r="G3740" s="53">
        <f>IF(B3740="","",IFERROR(INDEX(Client_List!$K:$K,MATCH(VALUE(B3740),Client_List!$A:$A,0)),""))</f>
        <v/>
      </c>
      <c r="H3740" s="32">
        <f>IF(B3740="","",IFERROR(INDEX(Client_List!$J:$J,MATCH(VALUE(B3740),Client_List!$A:$A,0)),""))</f>
        <v/>
      </c>
      <c r="I3740" s="70">
        <f>IF(B3740="","",IFERROR(A3740-LOOKUP(2,1/($B$4:$B3739=B3740),$A$4:$A3739),""))</f>
        <v/>
      </c>
      <c r="J3740" s="32">
        <f>IF(B3740="","",IFERROR(D3740/I3740,""))</f>
        <v/>
      </c>
      <c r="K3740" s="71">
        <f>IF(B3740="","",IFERROR(AVERAGEIFS($J$4:$J3740,$B$4:$B3740,B3740,$J$4:$J3740,"&gt;"&amp;0),""))</f>
        <v/>
      </c>
      <c r="L3740" s="12" t="n"/>
    </row>
    <row r="3741" ht="14" customHeight="1" s="72">
      <c r="A3741" s="82" t="n"/>
      <c r="B3741" s="79" t="n"/>
      <c r="C3741" s="69">
        <f>IF(B3741="","",IFERROR(INDEX(Client_List!$B:$B,MATCH(B3741,Client_List!$A:$A,0)),"⚠ NOT FOUND"))</f>
        <v/>
      </c>
      <c r="D3741" s="44" t="n"/>
      <c r="E3741" s="32">
        <f>IF(B3741="","",IFERROR(INDEX(Client_List!$C:$C,MATCH(VALUE(B3741),Client_List!$A:$A,0)),""))</f>
        <v/>
      </c>
      <c r="F3741" s="53">
        <f>IF(B3741="","",IFERROR(INDEX(Client_List!$D:$D,MATCH(VALUE(B3741),Client_List!$A:$A,0)),""))</f>
        <v/>
      </c>
      <c r="G3741" s="53">
        <f>IF(B3741="","",IFERROR(INDEX(Client_List!$K:$K,MATCH(VALUE(B3741),Client_List!$A:$A,0)),""))</f>
        <v/>
      </c>
      <c r="H3741" s="32">
        <f>IF(B3741="","",IFERROR(INDEX(Client_List!$J:$J,MATCH(VALUE(B3741),Client_List!$A:$A,0)),""))</f>
        <v/>
      </c>
      <c r="I3741" s="70">
        <f>IF(B3741="","",IFERROR(A3741-LOOKUP(2,1/($B$4:$B3740=B3741),$A$4:$A3740),""))</f>
        <v/>
      </c>
      <c r="J3741" s="32">
        <f>IF(B3741="","",IFERROR(D3741/I3741,""))</f>
        <v/>
      </c>
      <c r="K3741" s="71">
        <f>IF(B3741="","",IFERROR(AVERAGEIFS($J$4:$J3741,$B$4:$B3741,B3741,$J$4:$J3741,"&gt;"&amp;0),""))</f>
        <v/>
      </c>
      <c r="L3741" s="11" t="n"/>
    </row>
    <row r="3742" ht="14" customHeight="1" s="72">
      <c r="A3742" s="83" t="n"/>
      <c r="B3742" s="81" t="n"/>
      <c r="C3742" s="69">
        <f>IF(B3742="","",IFERROR(INDEX(Client_List!$B:$B,MATCH(B3742,Client_List!$A:$A,0)),"⚠ NOT FOUND"))</f>
        <v/>
      </c>
      <c r="D3742" s="45" t="n"/>
      <c r="E3742" s="32">
        <f>IF(B3742="","",IFERROR(INDEX(Client_List!$C:$C,MATCH(VALUE(B3742),Client_List!$A:$A,0)),""))</f>
        <v/>
      </c>
      <c r="F3742" s="53">
        <f>IF(B3742="","",IFERROR(INDEX(Client_List!$D:$D,MATCH(VALUE(B3742),Client_List!$A:$A,0)),""))</f>
        <v/>
      </c>
      <c r="G3742" s="53">
        <f>IF(B3742="","",IFERROR(INDEX(Client_List!$K:$K,MATCH(VALUE(B3742),Client_List!$A:$A,0)),""))</f>
        <v/>
      </c>
      <c r="H3742" s="32">
        <f>IF(B3742="","",IFERROR(INDEX(Client_List!$J:$J,MATCH(VALUE(B3742),Client_List!$A:$A,0)),""))</f>
        <v/>
      </c>
      <c r="I3742" s="70">
        <f>IF(B3742="","",IFERROR(A3742-LOOKUP(2,1/($B$4:$B3741=B3742),$A$4:$A3741),""))</f>
        <v/>
      </c>
      <c r="J3742" s="32">
        <f>IF(B3742="","",IFERROR(D3742/I3742,""))</f>
        <v/>
      </c>
      <c r="K3742" s="71">
        <f>IF(B3742="","",IFERROR(AVERAGEIFS($J$4:$J3742,$B$4:$B3742,B3742,$J$4:$J3742,"&gt;"&amp;0),""))</f>
        <v/>
      </c>
      <c r="L3742" s="12" t="n"/>
    </row>
    <row r="3743" ht="14" customHeight="1" s="72">
      <c r="A3743" s="82" t="n"/>
      <c r="B3743" s="79" t="n"/>
      <c r="C3743" s="69">
        <f>IF(B3743="","",IFERROR(INDEX(Client_List!$B:$B,MATCH(B3743,Client_List!$A:$A,0)),"⚠ NOT FOUND"))</f>
        <v/>
      </c>
      <c r="D3743" s="44" t="n"/>
      <c r="E3743" s="32">
        <f>IF(B3743="","",IFERROR(INDEX(Client_List!$C:$C,MATCH(VALUE(B3743),Client_List!$A:$A,0)),""))</f>
        <v/>
      </c>
      <c r="F3743" s="53">
        <f>IF(B3743="","",IFERROR(INDEX(Client_List!$D:$D,MATCH(VALUE(B3743),Client_List!$A:$A,0)),""))</f>
        <v/>
      </c>
      <c r="G3743" s="53">
        <f>IF(B3743="","",IFERROR(INDEX(Client_List!$K:$K,MATCH(VALUE(B3743),Client_List!$A:$A,0)),""))</f>
        <v/>
      </c>
      <c r="H3743" s="32">
        <f>IF(B3743="","",IFERROR(INDEX(Client_List!$J:$J,MATCH(VALUE(B3743),Client_List!$A:$A,0)),""))</f>
        <v/>
      </c>
      <c r="I3743" s="70">
        <f>IF(B3743="","",IFERROR(A3743-LOOKUP(2,1/($B$4:$B3742=B3743),$A$4:$A3742),""))</f>
        <v/>
      </c>
      <c r="J3743" s="32">
        <f>IF(B3743="","",IFERROR(D3743/I3743,""))</f>
        <v/>
      </c>
      <c r="K3743" s="71">
        <f>IF(B3743="","",IFERROR(AVERAGEIFS($J$4:$J3743,$B$4:$B3743,B3743,$J$4:$J3743,"&gt;"&amp;0),""))</f>
        <v/>
      </c>
      <c r="L3743" s="11" t="n"/>
    </row>
    <row r="3744" ht="14" customHeight="1" s="72">
      <c r="A3744" s="83" t="n"/>
      <c r="B3744" s="81" t="n"/>
      <c r="C3744" s="69">
        <f>IF(B3744="","",IFERROR(INDEX(Client_List!$B:$B,MATCH(B3744,Client_List!$A:$A,0)),"⚠ NOT FOUND"))</f>
        <v/>
      </c>
      <c r="D3744" s="45" t="n"/>
      <c r="E3744" s="32">
        <f>IF(B3744="","",IFERROR(INDEX(Client_List!$C:$C,MATCH(VALUE(B3744),Client_List!$A:$A,0)),""))</f>
        <v/>
      </c>
      <c r="F3744" s="53">
        <f>IF(B3744="","",IFERROR(INDEX(Client_List!$D:$D,MATCH(VALUE(B3744),Client_List!$A:$A,0)),""))</f>
        <v/>
      </c>
      <c r="G3744" s="53">
        <f>IF(B3744="","",IFERROR(INDEX(Client_List!$K:$K,MATCH(VALUE(B3744),Client_List!$A:$A,0)),""))</f>
        <v/>
      </c>
      <c r="H3744" s="32">
        <f>IF(B3744="","",IFERROR(INDEX(Client_List!$J:$J,MATCH(VALUE(B3744),Client_List!$A:$A,0)),""))</f>
        <v/>
      </c>
      <c r="I3744" s="70">
        <f>IF(B3744="","",IFERROR(A3744-LOOKUP(2,1/($B$4:$B3743=B3744),$A$4:$A3743),""))</f>
        <v/>
      </c>
      <c r="J3744" s="32">
        <f>IF(B3744="","",IFERROR(D3744/I3744,""))</f>
        <v/>
      </c>
      <c r="K3744" s="71">
        <f>IF(B3744="","",IFERROR(AVERAGEIFS($J$4:$J3744,$B$4:$B3744,B3744,$J$4:$J3744,"&gt;"&amp;0),""))</f>
        <v/>
      </c>
      <c r="L3744" s="12" t="n"/>
    </row>
    <row r="3745" ht="14" customHeight="1" s="72">
      <c r="A3745" s="82" t="n"/>
      <c r="B3745" s="79" t="n"/>
      <c r="C3745" s="69">
        <f>IF(B3745="","",IFERROR(INDEX(Client_List!$B:$B,MATCH(B3745,Client_List!$A:$A,0)),"⚠ NOT FOUND"))</f>
        <v/>
      </c>
      <c r="D3745" s="44" t="n"/>
      <c r="E3745" s="32">
        <f>IF(B3745="","",IFERROR(INDEX(Client_List!$C:$C,MATCH(VALUE(B3745),Client_List!$A:$A,0)),""))</f>
        <v/>
      </c>
      <c r="F3745" s="53">
        <f>IF(B3745="","",IFERROR(INDEX(Client_List!$D:$D,MATCH(VALUE(B3745),Client_List!$A:$A,0)),""))</f>
        <v/>
      </c>
      <c r="G3745" s="53">
        <f>IF(B3745="","",IFERROR(INDEX(Client_List!$K:$K,MATCH(VALUE(B3745),Client_List!$A:$A,0)),""))</f>
        <v/>
      </c>
      <c r="H3745" s="32">
        <f>IF(B3745="","",IFERROR(INDEX(Client_List!$J:$J,MATCH(VALUE(B3745),Client_List!$A:$A,0)),""))</f>
        <v/>
      </c>
      <c r="I3745" s="70">
        <f>IF(B3745="","",IFERROR(A3745-LOOKUP(2,1/($B$4:$B3744=B3745),$A$4:$A3744),""))</f>
        <v/>
      </c>
      <c r="J3745" s="32">
        <f>IF(B3745="","",IFERROR(D3745/I3745,""))</f>
        <v/>
      </c>
      <c r="K3745" s="71">
        <f>IF(B3745="","",IFERROR(AVERAGEIFS($J$4:$J3745,$B$4:$B3745,B3745,$J$4:$J3745,"&gt;"&amp;0),""))</f>
        <v/>
      </c>
      <c r="L3745" s="11" t="n"/>
    </row>
    <row r="3746" ht="14" customHeight="1" s="72">
      <c r="A3746" s="83" t="n"/>
      <c r="B3746" s="81" t="n"/>
      <c r="C3746" s="69">
        <f>IF(B3746="","",IFERROR(INDEX(Client_List!$B:$B,MATCH(B3746,Client_List!$A:$A,0)),"⚠ NOT FOUND"))</f>
        <v/>
      </c>
      <c r="D3746" s="45" t="n"/>
      <c r="E3746" s="32">
        <f>IF(B3746="","",IFERROR(INDEX(Client_List!$C:$C,MATCH(VALUE(B3746),Client_List!$A:$A,0)),""))</f>
        <v/>
      </c>
      <c r="F3746" s="53">
        <f>IF(B3746="","",IFERROR(INDEX(Client_List!$D:$D,MATCH(VALUE(B3746),Client_List!$A:$A,0)),""))</f>
        <v/>
      </c>
      <c r="G3746" s="53">
        <f>IF(B3746="","",IFERROR(INDEX(Client_List!$K:$K,MATCH(VALUE(B3746),Client_List!$A:$A,0)),""))</f>
        <v/>
      </c>
      <c r="H3746" s="32">
        <f>IF(B3746="","",IFERROR(INDEX(Client_List!$J:$J,MATCH(VALUE(B3746),Client_List!$A:$A,0)),""))</f>
        <v/>
      </c>
      <c r="I3746" s="70">
        <f>IF(B3746="","",IFERROR(A3746-LOOKUP(2,1/($B$4:$B3745=B3746),$A$4:$A3745),""))</f>
        <v/>
      </c>
      <c r="J3746" s="32">
        <f>IF(B3746="","",IFERROR(D3746/I3746,""))</f>
        <v/>
      </c>
      <c r="K3746" s="71">
        <f>IF(B3746="","",IFERROR(AVERAGEIFS($J$4:$J3746,$B$4:$B3746,B3746,$J$4:$J3746,"&gt;"&amp;0),""))</f>
        <v/>
      </c>
      <c r="L3746" s="12" t="n"/>
    </row>
    <row r="3747" ht="14" customHeight="1" s="72">
      <c r="A3747" s="82" t="n"/>
      <c r="B3747" s="79" t="n"/>
      <c r="C3747" s="69">
        <f>IF(B3747="","",IFERROR(INDEX(Client_List!$B:$B,MATCH(B3747,Client_List!$A:$A,0)),"⚠ NOT FOUND"))</f>
        <v/>
      </c>
      <c r="D3747" s="44" t="n"/>
      <c r="E3747" s="32">
        <f>IF(B3747="","",IFERROR(INDEX(Client_List!$C:$C,MATCH(VALUE(B3747),Client_List!$A:$A,0)),""))</f>
        <v/>
      </c>
      <c r="F3747" s="53">
        <f>IF(B3747="","",IFERROR(INDEX(Client_List!$D:$D,MATCH(VALUE(B3747),Client_List!$A:$A,0)),""))</f>
        <v/>
      </c>
      <c r="G3747" s="53">
        <f>IF(B3747="","",IFERROR(INDEX(Client_List!$K:$K,MATCH(VALUE(B3747),Client_List!$A:$A,0)),""))</f>
        <v/>
      </c>
      <c r="H3747" s="32">
        <f>IF(B3747="","",IFERROR(INDEX(Client_List!$J:$J,MATCH(VALUE(B3747),Client_List!$A:$A,0)),""))</f>
        <v/>
      </c>
      <c r="I3747" s="70">
        <f>IF(B3747="","",IFERROR(A3747-LOOKUP(2,1/($B$4:$B3746=B3747),$A$4:$A3746),""))</f>
        <v/>
      </c>
      <c r="J3747" s="32">
        <f>IF(B3747="","",IFERROR(D3747/I3747,""))</f>
        <v/>
      </c>
      <c r="K3747" s="71">
        <f>IF(B3747="","",IFERROR(AVERAGEIFS($J$4:$J3747,$B$4:$B3747,B3747,$J$4:$J3747,"&gt;"&amp;0),""))</f>
        <v/>
      </c>
      <c r="L3747" s="11" t="n"/>
    </row>
    <row r="3748" ht="14" customHeight="1" s="72">
      <c r="A3748" s="83" t="n"/>
      <c r="B3748" s="81" t="n"/>
      <c r="C3748" s="69">
        <f>IF(B3748="","",IFERROR(INDEX(Client_List!$B:$B,MATCH(B3748,Client_List!$A:$A,0)),"⚠ NOT FOUND"))</f>
        <v/>
      </c>
      <c r="D3748" s="45" t="n"/>
      <c r="E3748" s="32">
        <f>IF(B3748="","",IFERROR(INDEX(Client_List!$C:$C,MATCH(VALUE(B3748),Client_List!$A:$A,0)),""))</f>
        <v/>
      </c>
      <c r="F3748" s="53">
        <f>IF(B3748="","",IFERROR(INDEX(Client_List!$D:$D,MATCH(VALUE(B3748),Client_List!$A:$A,0)),""))</f>
        <v/>
      </c>
      <c r="G3748" s="53">
        <f>IF(B3748="","",IFERROR(INDEX(Client_List!$K:$K,MATCH(VALUE(B3748),Client_List!$A:$A,0)),""))</f>
        <v/>
      </c>
      <c r="H3748" s="32">
        <f>IF(B3748="","",IFERROR(INDEX(Client_List!$J:$J,MATCH(VALUE(B3748),Client_List!$A:$A,0)),""))</f>
        <v/>
      </c>
      <c r="I3748" s="70">
        <f>IF(B3748="","",IFERROR(A3748-LOOKUP(2,1/($B$4:$B3747=B3748),$A$4:$A3747),""))</f>
        <v/>
      </c>
      <c r="J3748" s="32">
        <f>IF(B3748="","",IFERROR(D3748/I3748,""))</f>
        <v/>
      </c>
      <c r="K3748" s="71">
        <f>IF(B3748="","",IFERROR(AVERAGEIFS($J$4:$J3748,$B$4:$B3748,B3748,$J$4:$J3748,"&gt;"&amp;0),""))</f>
        <v/>
      </c>
      <c r="L3748" s="12" t="n"/>
    </row>
    <row r="3749" ht="14" customHeight="1" s="72">
      <c r="A3749" s="82" t="n"/>
      <c r="B3749" s="79" t="n"/>
      <c r="C3749" s="69">
        <f>IF(B3749="","",IFERROR(INDEX(Client_List!$B:$B,MATCH(B3749,Client_List!$A:$A,0)),"⚠ NOT FOUND"))</f>
        <v/>
      </c>
      <c r="D3749" s="44" t="n"/>
      <c r="E3749" s="32">
        <f>IF(B3749="","",IFERROR(INDEX(Client_List!$C:$C,MATCH(VALUE(B3749),Client_List!$A:$A,0)),""))</f>
        <v/>
      </c>
      <c r="F3749" s="53">
        <f>IF(B3749="","",IFERROR(INDEX(Client_List!$D:$D,MATCH(VALUE(B3749),Client_List!$A:$A,0)),""))</f>
        <v/>
      </c>
      <c r="G3749" s="53">
        <f>IF(B3749="","",IFERROR(INDEX(Client_List!$K:$K,MATCH(VALUE(B3749),Client_List!$A:$A,0)),""))</f>
        <v/>
      </c>
      <c r="H3749" s="32">
        <f>IF(B3749="","",IFERROR(INDEX(Client_List!$J:$J,MATCH(VALUE(B3749),Client_List!$A:$A,0)),""))</f>
        <v/>
      </c>
      <c r="I3749" s="70">
        <f>IF(B3749="","",IFERROR(A3749-LOOKUP(2,1/($B$4:$B3748=B3749),$A$4:$A3748),""))</f>
        <v/>
      </c>
      <c r="J3749" s="32">
        <f>IF(B3749="","",IFERROR(D3749/I3749,""))</f>
        <v/>
      </c>
      <c r="K3749" s="71">
        <f>IF(B3749="","",IFERROR(AVERAGEIFS($J$4:$J3749,$B$4:$B3749,B3749,$J$4:$J3749,"&gt;"&amp;0),""))</f>
        <v/>
      </c>
      <c r="L3749" s="11" t="n"/>
    </row>
    <row r="3750" ht="14" customHeight="1" s="72">
      <c r="A3750" s="83" t="n"/>
      <c r="B3750" s="81" t="n"/>
      <c r="C3750" s="69">
        <f>IF(B3750="","",IFERROR(INDEX(Client_List!$B:$B,MATCH(B3750,Client_List!$A:$A,0)),"⚠ NOT FOUND"))</f>
        <v/>
      </c>
      <c r="D3750" s="45" t="n"/>
      <c r="E3750" s="32">
        <f>IF(B3750="","",IFERROR(INDEX(Client_List!$C:$C,MATCH(VALUE(B3750),Client_List!$A:$A,0)),""))</f>
        <v/>
      </c>
      <c r="F3750" s="53">
        <f>IF(B3750="","",IFERROR(INDEX(Client_List!$D:$D,MATCH(VALUE(B3750),Client_List!$A:$A,0)),""))</f>
        <v/>
      </c>
      <c r="G3750" s="53">
        <f>IF(B3750="","",IFERROR(INDEX(Client_List!$K:$K,MATCH(VALUE(B3750),Client_List!$A:$A,0)),""))</f>
        <v/>
      </c>
      <c r="H3750" s="32">
        <f>IF(B3750="","",IFERROR(INDEX(Client_List!$J:$J,MATCH(VALUE(B3750),Client_List!$A:$A,0)),""))</f>
        <v/>
      </c>
      <c r="I3750" s="70">
        <f>IF(B3750="","",IFERROR(A3750-LOOKUP(2,1/($B$4:$B3749=B3750),$A$4:$A3749),""))</f>
        <v/>
      </c>
      <c r="J3750" s="32">
        <f>IF(B3750="","",IFERROR(D3750/I3750,""))</f>
        <v/>
      </c>
      <c r="K3750" s="71">
        <f>IF(B3750="","",IFERROR(AVERAGEIFS($J$4:$J3750,$B$4:$B3750,B3750,$J$4:$J3750,"&gt;"&amp;0),""))</f>
        <v/>
      </c>
      <c r="L3750" s="12" t="n"/>
    </row>
    <row r="3751" ht="14" customHeight="1" s="72">
      <c r="A3751" s="82" t="n"/>
      <c r="B3751" s="79" t="n"/>
      <c r="C3751" s="69">
        <f>IF(B3751="","",IFERROR(INDEX(Client_List!$B:$B,MATCH(B3751,Client_List!$A:$A,0)),"⚠ NOT FOUND"))</f>
        <v/>
      </c>
      <c r="D3751" s="44" t="n"/>
      <c r="E3751" s="32">
        <f>IF(B3751="","",IFERROR(INDEX(Client_List!$C:$C,MATCH(VALUE(B3751),Client_List!$A:$A,0)),""))</f>
        <v/>
      </c>
      <c r="F3751" s="53">
        <f>IF(B3751="","",IFERROR(INDEX(Client_List!$D:$D,MATCH(VALUE(B3751),Client_List!$A:$A,0)),""))</f>
        <v/>
      </c>
      <c r="G3751" s="53">
        <f>IF(B3751="","",IFERROR(INDEX(Client_List!$K:$K,MATCH(VALUE(B3751),Client_List!$A:$A,0)),""))</f>
        <v/>
      </c>
      <c r="H3751" s="32">
        <f>IF(B3751="","",IFERROR(INDEX(Client_List!$J:$J,MATCH(VALUE(B3751),Client_List!$A:$A,0)),""))</f>
        <v/>
      </c>
      <c r="I3751" s="70">
        <f>IF(B3751="","",IFERROR(A3751-LOOKUP(2,1/($B$4:$B3750=B3751),$A$4:$A3750),""))</f>
        <v/>
      </c>
      <c r="J3751" s="32">
        <f>IF(B3751="","",IFERROR(D3751/I3751,""))</f>
        <v/>
      </c>
      <c r="K3751" s="71">
        <f>IF(B3751="","",IFERROR(AVERAGEIFS($J$4:$J3751,$B$4:$B3751,B3751,$J$4:$J3751,"&gt;"&amp;0),""))</f>
        <v/>
      </c>
      <c r="L3751" s="11" t="n"/>
    </row>
    <row r="3752" ht="14" customHeight="1" s="72">
      <c r="A3752" s="83" t="n"/>
      <c r="B3752" s="81" t="n"/>
      <c r="C3752" s="69">
        <f>IF(B3752="","",IFERROR(INDEX(Client_List!$B:$B,MATCH(B3752,Client_List!$A:$A,0)),"⚠ NOT FOUND"))</f>
        <v/>
      </c>
      <c r="D3752" s="45" t="n"/>
      <c r="E3752" s="32">
        <f>IF(B3752="","",IFERROR(INDEX(Client_List!$C:$C,MATCH(VALUE(B3752),Client_List!$A:$A,0)),""))</f>
        <v/>
      </c>
      <c r="F3752" s="53">
        <f>IF(B3752="","",IFERROR(INDEX(Client_List!$D:$D,MATCH(VALUE(B3752),Client_List!$A:$A,0)),""))</f>
        <v/>
      </c>
      <c r="G3752" s="53">
        <f>IF(B3752="","",IFERROR(INDEX(Client_List!$K:$K,MATCH(VALUE(B3752),Client_List!$A:$A,0)),""))</f>
        <v/>
      </c>
      <c r="H3752" s="32">
        <f>IF(B3752="","",IFERROR(INDEX(Client_List!$J:$J,MATCH(VALUE(B3752),Client_List!$A:$A,0)),""))</f>
        <v/>
      </c>
      <c r="I3752" s="70">
        <f>IF(B3752="","",IFERROR(A3752-LOOKUP(2,1/($B$4:$B3751=B3752),$A$4:$A3751),""))</f>
        <v/>
      </c>
      <c r="J3752" s="32">
        <f>IF(B3752="","",IFERROR(D3752/I3752,""))</f>
        <v/>
      </c>
      <c r="K3752" s="71">
        <f>IF(B3752="","",IFERROR(AVERAGEIFS($J$4:$J3752,$B$4:$B3752,B3752,$J$4:$J3752,"&gt;"&amp;0),""))</f>
        <v/>
      </c>
      <c r="L3752" s="12" t="n"/>
    </row>
    <row r="3753" ht="14" customHeight="1" s="72">
      <c r="A3753" s="82" t="n"/>
      <c r="B3753" s="79" t="n"/>
      <c r="C3753" s="69">
        <f>IF(B3753="","",IFERROR(INDEX(Client_List!$B:$B,MATCH(B3753,Client_List!$A:$A,0)),"⚠ NOT FOUND"))</f>
        <v/>
      </c>
      <c r="D3753" s="44" t="n"/>
      <c r="E3753" s="32">
        <f>IF(B3753="","",IFERROR(INDEX(Client_List!$C:$C,MATCH(VALUE(B3753),Client_List!$A:$A,0)),""))</f>
        <v/>
      </c>
      <c r="F3753" s="53">
        <f>IF(B3753="","",IFERROR(INDEX(Client_List!$D:$D,MATCH(VALUE(B3753),Client_List!$A:$A,0)),""))</f>
        <v/>
      </c>
      <c r="G3753" s="53">
        <f>IF(B3753="","",IFERROR(INDEX(Client_List!$K:$K,MATCH(VALUE(B3753),Client_List!$A:$A,0)),""))</f>
        <v/>
      </c>
      <c r="H3753" s="32">
        <f>IF(B3753="","",IFERROR(INDEX(Client_List!$J:$J,MATCH(VALUE(B3753),Client_List!$A:$A,0)),""))</f>
        <v/>
      </c>
      <c r="I3753" s="70">
        <f>IF(B3753="","",IFERROR(A3753-LOOKUP(2,1/($B$4:$B3752=B3753),$A$4:$A3752),""))</f>
        <v/>
      </c>
      <c r="J3753" s="32">
        <f>IF(B3753="","",IFERROR(D3753/I3753,""))</f>
        <v/>
      </c>
      <c r="K3753" s="71">
        <f>IF(B3753="","",IFERROR(AVERAGEIFS($J$4:$J3753,$B$4:$B3753,B3753,$J$4:$J3753,"&gt;"&amp;0),""))</f>
        <v/>
      </c>
      <c r="L3753" s="11" t="n"/>
    </row>
    <row r="3754" ht="14" customHeight="1" s="72">
      <c r="A3754" s="83" t="n"/>
      <c r="B3754" s="81" t="n"/>
      <c r="C3754" s="69">
        <f>IF(B3754="","",IFERROR(INDEX(Client_List!$B:$B,MATCH(B3754,Client_List!$A:$A,0)),"⚠ NOT FOUND"))</f>
        <v/>
      </c>
      <c r="D3754" s="45" t="n"/>
      <c r="E3754" s="32">
        <f>IF(B3754="","",IFERROR(INDEX(Client_List!$C:$C,MATCH(VALUE(B3754),Client_List!$A:$A,0)),""))</f>
        <v/>
      </c>
      <c r="F3754" s="53">
        <f>IF(B3754="","",IFERROR(INDEX(Client_List!$D:$D,MATCH(VALUE(B3754),Client_List!$A:$A,0)),""))</f>
        <v/>
      </c>
      <c r="G3754" s="53">
        <f>IF(B3754="","",IFERROR(INDEX(Client_List!$K:$K,MATCH(VALUE(B3754),Client_List!$A:$A,0)),""))</f>
        <v/>
      </c>
      <c r="H3754" s="32">
        <f>IF(B3754="","",IFERROR(INDEX(Client_List!$J:$J,MATCH(VALUE(B3754),Client_List!$A:$A,0)),""))</f>
        <v/>
      </c>
      <c r="I3754" s="70">
        <f>IF(B3754="","",IFERROR(A3754-LOOKUP(2,1/($B$4:$B3753=B3754),$A$4:$A3753),""))</f>
        <v/>
      </c>
      <c r="J3754" s="32">
        <f>IF(B3754="","",IFERROR(D3754/I3754,""))</f>
        <v/>
      </c>
      <c r="K3754" s="71">
        <f>IF(B3754="","",IFERROR(AVERAGEIFS($J$4:$J3754,$B$4:$B3754,B3754,$J$4:$J3754,"&gt;"&amp;0),""))</f>
        <v/>
      </c>
      <c r="L3754" s="12" t="n"/>
    </row>
    <row r="3755" ht="14" customHeight="1" s="72">
      <c r="A3755" s="82" t="n"/>
      <c r="B3755" s="79" t="n"/>
      <c r="C3755" s="69">
        <f>IF(B3755="","",IFERROR(INDEX(Client_List!$B:$B,MATCH(B3755,Client_List!$A:$A,0)),"⚠ NOT FOUND"))</f>
        <v/>
      </c>
      <c r="D3755" s="44" t="n"/>
      <c r="E3755" s="32">
        <f>IF(B3755="","",IFERROR(INDEX(Client_List!$C:$C,MATCH(VALUE(B3755),Client_List!$A:$A,0)),""))</f>
        <v/>
      </c>
      <c r="F3755" s="53">
        <f>IF(B3755="","",IFERROR(INDEX(Client_List!$D:$D,MATCH(VALUE(B3755),Client_List!$A:$A,0)),""))</f>
        <v/>
      </c>
      <c r="G3755" s="53">
        <f>IF(B3755="","",IFERROR(INDEX(Client_List!$K:$K,MATCH(VALUE(B3755),Client_List!$A:$A,0)),""))</f>
        <v/>
      </c>
      <c r="H3755" s="32">
        <f>IF(B3755="","",IFERROR(INDEX(Client_List!$J:$J,MATCH(VALUE(B3755),Client_List!$A:$A,0)),""))</f>
        <v/>
      </c>
      <c r="I3755" s="70">
        <f>IF(B3755="","",IFERROR(A3755-LOOKUP(2,1/($B$4:$B3754=B3755),$A$4:$A3754),""))</f>
        <v/>
      </c>
      <c r="J3755" s="32">
        <f>IF(B3755="","",IFERROR(D3755/I3755,""))</f>
        <v/>
      </c>
      <c r="K3755" s="71">
        <f>IF(B3755="","",IFERROR(AVERAGEIFS($J$4:$J3755,$B$4:$B3755,B3755,$J$4:$J3755,"&gt;"&amp;0),""))</f>
        <v/>
      </c>
      <c r="L3755" s="11" t="n"/>
    </row>
    <row r="3756" ht="14" customHeight="1" s="72">
      <c r="A3756" s="83" t="n"/>
      <c r="B3756" s="81" t="n"/>
      <c r="C3756" s="69">
        <f>IF(B3756="","",IFERROR(INDEX(Client_List!$B:$B,MATCH(B3756,Client_List!$A:$A,0)),"⚠ NOT FOUND"))</f>
        <v/>
      </c>
      <c r="D3756" s="45" t="n"/>
      <c r="E3756" s="32">
        <f>IF(B3756="","",IFERROR(INDEX(Client_List!$C:$C,MATCH(VALUE(B3756),Client_List!$A:$A,0)),""))</f>
        <v/>
      </c>
      <c r="F3756" s="53">
        <f>IF(B3756="","",IFERROR(INDEX(Client_List!$D:$D,MATCH(VALUE(B3756),Client_List!$A:$A,0)),""))</f>
        <v/>
      </c>
      <c r="G3756" s="53">
        <f>IF(B3756="","",IFERROR(INDEX(Client_List!$K:$K,MATCH(VALUE(B3756),Client_List!$A:$A,0)),""))</f>
        <v/>
      </c>
      <c r="H3756" s="32">
        <f>IF(B3756="","",IFERROR(INDEX(Client_List!$J:$J,MATCH(VALUE(B3756),Client_List!$A:$A,0)),""))</f>
        <v/>
      </c>
      <c r="I3756" s="70">
        <f>IF(B3756="","",IFERROR(A3756-LOOKUP(2,1/($B$4:$B3755=B3756),$A$4:$A3755),""))</f>
        <v/>
      </c>
      <c r="J3756" s="32">
        <f>IF(B3756="","",IFERROR(D3756/I3756,""))</f>
        <v/>
      </c>
      <c r="K3756" s="71">
        <f>IF(B3756="","",IFERROR(AVERAGEIFS($J$4:$J3756,$B$4:$B3756,B3756,$J$4:$J3756,"&gt;"&amp;0),""))</f>
        <v/>
      </c>
      <c r="L3756" s="12" t="n"/>
    </row>
    <row r="3757" ht="14" customHeight="1" s="72">
      <c r="A3757" s="82" t="n"/>
      <c r="B3757" s="79" t="n"/>
      <c r="C3757" s="69">
        <f>IF(B3757="","",IFERROR(INDEX(Client_List!$B:$B,MATCH(B3757,Client_List!$A:$A,0)),"⚠ NOT FOUND"))</f>
        <v/>
      </c>
      <c r="D3757" s="44" t="n"/>
      <c r="E3757" s="32">
        <f>IF(B3757="","",IFERROR(INDEX(Client_List!$C:$C,MATCH(VALUE(B3757),Client_List!$A:$A,0)),""))</f>
        <v/>
      </c>
      <c r="F3757" s="53">
        <f>IF(B3757="","",IFERROR(INDEX(Client_List!$D:$D,MATCH(VALUE(B3757),Client_List!$A:$A,0)),""))</f>
        <v/>
      </c>
      <c r="G3757" s="53">
        <f>IF(B3757="","",IFERROR(INDEX(Client_List!$K:$K,MATCH(VALUE(B3757),Client_List!$A:$A,0)),""))</f>
        <v/>
      </c>
      <c r="H3757" s="32">
        <f>IF(B3757="","",IFERROR(INDEX(Client_List!$J:$J,MATCH(VALUE(B3757),Client_List!$A:$A,0)),""))</f>
        <v/>
      </c>
      <c r="I3757" s="70">
        <f>IF(B3757="","",IFERROR(A3757-LOOKUP(2,1/($B$4:$B3756=B3757),$A$4:$A3756),""))</f>
        <v/>
      </c>
      <c r="J3757" s="32">
        <f>IF(B3757="","",IFERROR(D3757/I3757,""))</f>
        <v/>
      </c>
      <c r="K3757" s="71">
        <f>IF(B3757="","",IFERROR(AVERAGEIFS($J$4:$J3757,$B$4:$B3757,B3757,$J$4:$J3757,"&gt;"&amp;0),""))</f>
        <v/>
      </c>
      <c r="L3757" s="11" t="n"/>
    </row>
    <row r="3758" ht="14" customHeight="1" s="72">
      <c r="A3758" s="83" t="n"/>
      <c r="B3758" s="81" t="n"/>
      <c r="C3758" s="69">
        <f>IF(B3758="","",IFERROR(INDEX(Client_List!$B:$B,MATCH(B3758,Client_List!$A:$A,0)),"⚠ NOT FOUND"))</f>
        <v/>
      </c>
      <c r="D3758" s="45" t="n"/>
      <c r="E3758" s="32">
        <f>IF(B3758="","",IFERROR(INDEX(Client_List!$C:$C,MATCH(VALUE(B3758),Client_List!$A:$A,0)),""))</f>
        <v/>
      </c>
      <c r="F3758" s="53">
        <f>IF(B3758="","",IFERROR(INDEX(Client_List!$D:$D,MATCH(VALUE(B3758),Client_List!$A:$A,0)),""))</f>
        <v/>
      </c>
      <c r="G3758" s="53">
        <f>IF(B3758="","",IFERROR(INDEX(Client_List!$K:$K,MATCH(VALUE(B3758),Client_List!$A:$A,0)),""))</f>
        <v/>
      </c>
      <c r="H3758" s="32">
        <f>IF(B3758="","",IFERROR(INDEX(Client_List!$J:$J,MATCH(VALUE(B3758),Client_List!$A:$A,0)),""))</f>
        <v/>
      </c>
      <c r="I3758" s="70">
        <f>IF(B3758="","",IFERROR(A3758-LOOKUP(2,1/($B$4:$B3757=B3758),$A$4:$A3757),""))</f>
        <v/>
      </c>
      <c r="J3758" s="32">
        <f>IF(B3758="","",IFERROR(D3758/I3758,""))</f>
        <v/>
      </c>
      <c r="K3758" s="71">
        <f>IF(B3758="","",IFERROR(AVERAGEIFS($J$4:$J3758,$B$4:$B3758,B3758,$J$4:$J3758,"&gt;"&amp;0),""))</f>
        <v/>
      </c>
      <c r="L3758" s="12" t="n"/>
    </row>
    <row r="3759" ht="14" customHeight="1" s="72">
      <c r="A3759" s="82" t="n"/>
      <c r="B3759" s="79" t="n"/>
      <c r="C3759" s="69">
        <f>IF(B3759="","",IFERROR(INDEX(Client_List!$B:$B,MATCH(B3759,Client_List!$A:$A,0)),"⚠ NOT FOUND"))</f>
        <v/>
      </c>
      <c r="D3759" s="44" t="n"/>
      <c r="E3759" s="32">
        <f>IF(B3759="","",IFERROR(INDEX(Client_List!$C:$C,MATCH(VALUE(B3759),Client_List!$A:$A,0)),""))</f>
        <v/>
      </c>
      <c r="F3759" s="53">
        <f>IF(B3759="","",IFERROR(INDEX(Client_List!$D:$D,MATCH(VALUE(B3759),Client_List!$A:$A,0)),""))</f>
        <v/>
      </c>
      <c r="G3759" s="53">
        <f>IF(B3759="","",IFERROR(INDEX(Client_List!$K:$K,MATCH(VALUE(B3759),Client_List!$A:$A,0)),""))</f>
        <v/>
      </c>
      <c r="H3759" s="32">
        <f>IF(B3759="","",IFERROR(INDEX(Client_List!$J:$J,MATCH(VALUE(B3759),Client_List!$A:$A,0)),""))</f>
        <v/>
      </c>
      <c r="I3759" s="70">
        <f>IF(B3759="","",IFERROR(A3759-LOOKUP(2,1/($B$4:$B3758=B3759),$A$4:$A3758),""))</f>
        <v/>
      </c>
      <c r="J3759" s="32">
        <f>IF(B3759="","",IFERROR(D3759/I3759,""))</f>
        <v/>
      </c>
      <c r="K3759" s="71">
        <f>IF(B3759="","",IFERROR(AVERAGEIFS($J$4:$J3759,$B$4:$B3759,B3759,$J$4:$J3759,"&gt;"&amp;0),""))</f>
        <v/>
      </c>
      <c r="L3759" s="11" t="n"/>
    </row>
    <row r="3760" ht="14" customHeight="1" s="72">
      <c r="A3760" s="83" t="n"/>
      <c r="B3760" s="81" t="n"/>
      <c r="C3760" s="69">
        <f>IF(B3760="","",IFERROR(INDEX(Client_List!$B:$B,MATCH(B3760,Client_List!$A:$A,0)),"⚠ NOT FOUND"))</f>
        <v/>
      </c>
      <c r="D3760" s="45" t="n"/>
      <c r="E3760" s="32">
        <f>IF(B3760="","",IFERROR(INDEX(Client_List!$C:$C,MATCH(VALUE(B3760),Client_List!$A:$A,0)),""))</f>
        <v/>
      </c>
      <c r="F3760" s="53">
        <f>IF(B3760="","",IFERROR(INDEX(Client_List!$D:$D,MATCH(VALUE(B3760),Client_List!$A:$A,0)),""))</f>
        <v/>
      </c>
      <c r="G3760" s="53">
        <f>IF(B3760="","",IFERROR(INDEX(Client_List!$K:$K,MATCH(VALUE(B3760),Client_List!$A:$A,0)),""))</f>
        <v/>
      </c>
      <c r="H3760" s="32">
        <f>IF(B3760="","",IFERROR(INDEX(Client_List!$J:$J,MATCH(VALUE(B3760),Client_List!$A:$A,0)),""))</f>
        <v/>
      </c>
      <c r="I3760" s="70">
        <f>IF(B3760="","",IFERROR(A3760-LOOKUP(2,1/($B$4:$B3759=B3760),$A$4:$A3759),""))</f>
        <v/>
      </c>
      <c r="J3760" s="32">
        <f>IF(B3760="","",IFERROR(D3760/I3760,""))</f>
        <v/>
      </c>
      <c r="K3760" s="71">
        <f>IF(B3760="","",IFERROR(AVERAGEIFS($J$4:$J3760,$B$4:$B3760,B3760,$J$4:$J3760,"&gt;"&amp;0),""))</f>
        <v/>
      </c>
      <c r="L3760" s="12" t="n"/>
    </row>
    <row r="3761" ht="14" customHeight="1" s="72">
      <c r="A3761" s="82" t="n"/>
      <c r="B3761" s="79" t="n"/>
      <c r="C3761" s="69">
        <f>IF(B3761="","",IFERROR(INDEX(Client_List!$B:$B,MATCH(B3761,Client_List!$A:$A,0)),"⚠ NOT FOUND"))</f>
        <v/>
      </c>
      <c r="D3761" s="44" t="n"/>
      <c r="E3761" s="32">
        <f>IF(B3761="","",IFERROR(INDEX(Client_List!$C:$C,MATCH(VALUE(B3761),Client_List!$A:$A,0)),""))</f>
        <v/>
      </c>
      <c r="F3761" s="53">
        <f>IF(B3761="","",IFERROR(INDEX(Client_List!$D:$D,MATCH(VALUE(B3761),Client_List!$A:$A,0)),""))</f>
        <v/>
      </c>
      <c r="G3761" s="53">
        <f>IF(B3761="","",IFERROR(INDEX(Client_List!$K:$K,MATCH(VALUE(B3761),Client_List!$A:$A,0)),""))</f>
        <v/>
      </c>
      <c r="H3761" s="32">
        <f>IF(B3761="","",IFERROR(INDEX(Client_List!$J:$J,MATCH(VALUE(B3761),Client_List!$A:$A,0)),""))</f>
        <v/>
      </c>
      <c r="I3761" s="70">
        <f>IF(B3761="","",IFERROR(A3761-LOOKUP(2,1/($B$4:$B3760=B3761),$A$4:$A3760),""))</f>
        <v/>
      </c>
      <c r="J3761" s="32">
        <f>IF(B3761="","",IFERROR(D3761/I3761,""))</f>
        <v/>
      </c>
      <c r="K3761" s="71">
        <f>IF(B3761="","",IFERROR(AVERAGEIFS($J$4:$J3761,$B$4:$B3761,B3761,$J$4:$J3761,"&gt;"&amp;0),""))</f>
        <v/>
      </c>
      <c r="L3761" s="11" t="n"/>
    </row>
    <row r="3762" ht="14" customHeight="1" s="72">
      <c r="A3762" s="83" t="n"/>
      <c r="B3762" s="81" t="n"/>
      <c r="C3762" s="69">
        <f>IF(B3762="","",IFERROR(INDEX(Client_List!$B:$B,MATCH(B3762,Client_List!$A:$A,0)),"⚠ NOT FOUND"))</f>
        <v/>
      </c>
      <c r="D3762" s="45" t="n"/>
      <c r="E3762" s="32">
        <f>IF(B3762="","",IFERROR(INDEX(Client_List!$C:$C,MATCH(VALUE(B3762),Client_List!$A:$A,0)),""))</f>
        <v/>
      </c>
      <c r="F3762" s="53">
        <f>IF(B3762="","",IFERROR(INDEX(Client_List!$D:$D,MATCH(VALUE(B3762),Client_List!$A:$A,0)),""))</f>
        <v/>
      </c>
      <c r="G3762" s="53">
        <f>IF(B3762="","",IFERROR(INDEX(Client_List!$K:$K,MATCH(VALUE(B3762),Client_List!$A:$A,0)),""))</f>
        <v/>
      </c>
      <c r="H3762" s="32">
        <f>IF(B3762="","",IFERROR(INDEX(Client_List!$J:$J,MATCH(VALUE(B3762),Client_List!$A:$A,0)),""))</f>
        <v/>
      </c>
      <c r="I3762" s="70">
        <f>IF(B3762="","",IFERROR(A3762-LOOKUP(2,1/($B$4:$B3761=B3762),$A$4:$A3761),""))</f>
        <v/>
      </c>
      <c r="J3762" s="32">
        <f>IF(B3762="","",IFERROR(D3762/I3762,""))</f>
        <v/>
      </c>
      <c r="K3762" s="71">
        <f>IF(B3762="","",IFERROR(AVERAGEIFS($J$4:$J3762,$B$4:$B3762,B3762,$J$4:$J3762,"&gt;"&amp;0),""))</f>
        <v/>
      </c>
      <c r="L3762" s="12" t="n"/>
    </row>
    <row r="3763" ht="14" customHeight="1" s="72">
      <c r="A3763" s="82" t="n"/>
      <c r="B3763" s="79" t="n"/>
      <c r="C3763" s="69">
        <f>IF(B3763="","",IFERROR(INDEX(Client_List!$B:$B,MATCH(B3763,Client_List!$A:$A,0)),"⚠ NOT FOUND"))</f>
        <v/>
      </c>
      <c r="D3763" s="44" t="n"/>
      <c r="E3763" s="32">
        <f>IF(B3763="","",IFERROR(INDEX(Client_List!$C:$C,MATCH(VALUE(B3763),Client_List!$A:$A,0)),""))</f>
        <v/>
      </c>
      <c r="F3763" s="53">
        <f>IF(B3763="","",IFERROR(INDEX(Client_List!$D:$D,MATCH(VALUE(B3763),Client_List!$A:$A,0)),""))</f>
        <v/>
      </c>
      <c r="G3763" s="53">
        <f>IF(B3763="","",IFERROR(INDEX(Client_List!$K:$K,MATCH(VALUE(B3763),Client_List!$A:$A,0)),""))</f>
        <v/>
      </c>
      <c r="H3763" s="32">
        <f>IF(B3763="","",IFERROR(INDEX(Client_List!$J:$J,MATCH(VALUE(B3763),Client_List!$A:$A,0)),""))</f>
        <v/>
      </c>
      <c r="I3763" s="70">
        <f>IF(B3763="","",IFERROR(A3763-LOOKUP(2,1/($B$4:$B3762=B3763),$A$4:$A3762),""))</f>
        <v/>
      </c>
      <c r="J3763" s="32">
        <f>IF(B3763="","",IFERROR(D3763/I3763,""))</f>
        <v/>
      </c>
      <c r="K3763" s="71">
        <f>IF(B3763="","",IFERROR(AVERAGEIFS($J$4:$J3763,$B$4:$B3763,B3763,$J$4:$J3763,"&gt;"&amp;0),""))</f>
        <v/>
      </c>
      <c r="L3763" s="11" t="n"/>
    </row>
    <row r="3764" ht="14" customHeight="1" s="72">
      <c r="A3764" s="83" t="n"/>
      <c r="B3764" s="81" t="n"/>
      <c r="C3764" s="69">
        <f>IF(B3764="","",IFERROR(INDEX(Client_List!$B:$B,MATCH(B3764,Client_List!$A:$A,0)),"⚠ NOT FOUND"))</f>
        <v/>
      </c>
      <c r="D3764" s="45" t="n"/>
      <c r="E3764" s="32">
        <f>IF(B3764="","",IFERROR(INDEX(Client_List!$C:$C,MATCH(VALUE(B3764),Client_List!$A:$A,0)),""))</f>
        <v/>
      </c>
      <c r="F3764" s="53">
        <f>IF(B3764="","",IFERROR(INDEX(Client_List!$D:$D,MATCH(VALUE(B3764),Client_List!$A:$A,0)),""))</f>
        <v/>
      </c>
      <c r="G3764" s="53">
        <f>IF(B3764="","",IFERROR(INDEX(Client_List!$K:$K,MATCH(VALUE(B3764),Client_List!$A:$A,0)),""))</f>
        <v/>
      </c>
      <c r="H3764" s="32">
        <f>IF(B3764="","",IFERROR(INDEX(Client_List!$J:$J,MATCH(VALUE(B3764),Client_List!$A:$A,0)),""))</f>
        <v/>
      </c>
      <c r="I3764" s="70">
        <f>IF(B3764="","",IFERROR(A3764-LOOKUP(2,1/($B$4:$B3763=B3764),$A$4:$A3763),""))</f>
        <v/>
      </c>
      <c r="J3764" s="32">
        <f>IF(B3764="","",IFERROR(D3764/I3764,""))</f>
        <v/>
      </c>
      <c r="K3764" s="71">
        <f>IF(B3764="","",IFERROR(AVERAGEIFS($J$4:$J3764,$B$4:$B3764,B3764,$J$4:$J3764,"&gt;"&amp;0),""))</f>
        <v/>
      </c>
      <c r="L3764" s="12" t="n"/>
    </row>
    <row r="3765" ht="14" customHeight="1" s="72">
      <c r="A3765" s="82" t="n"/>
      <c r="B3765" s="79" t="n"/>
      <c r="C3765" s="69">
        <f>IF(B3765="","",IFERROR(INDEX(Client_List!$B:$B,MATCH(B3765,Client_List!$A:$A,0)),"⚠ NOT FOUND"))</f>
        <v/>
      </c>
      <c r="D3765" s="44" t="n"/>
      <c r="E3765" s="32">
        <f>IF(B3765="","",IFERROR(INDEX(Client_List!$C:$C,MATCH(VALUE(B3765),Client_List!$A:$A,0)),""))</f>
        <v/>
      </c>
      <c r="F3765" s="53">
        <f>IF(B3765="","",IFERROR(INDEX(Client_List!$D:$D,MATCH(VALUE(B3765),Client_List!$A:$A,0)),""))</f>
        <v/>
      </c>
      <c r="G3765" s="53">
        <f>IF(B3765="","",IFERROR(INDEX(Client_List!$K:$K,MATCH(VALUE(B3765),Client_List!$A:$A,0)),""))</f>
        <v/>
      </c>
      <c r="H3765" s="32">
        <f>IF(B3765="","",IFERROR(INDEX(Client_List!$J:$J,MATCH(VALUE(B3765),Client_List!$A:$A,0)),""))</f>
        <v/>
      </c>
      <c r="I3765" s="70">
        <f>IF(B3765="","",IFERROR(A3765-LOOKUP(2,1/($B$4:$B3764=B3765),$A$4:$A3764),""))</f>
        <v/>
      </c>
      <c r="J3765" s="32">
        <f>IF(B3765="","",IFERROR(D3765/I3765,""))</f>
        <v/>
      </c>
      <c r="K3765" s="71">
        <f>IF(B3765="","",IFERROR(AVERAGEIFS($J$4:$J3765,$B$4:$B3765,B3765,$J$4:$J3765,"&gt;"&amp;0),""))</f>
        <v/>
      </c>
      <c r="L3765" s="11" t="n"/>
    </row>
    <row r="3766" ht="14" customHeight="1" s="72">
      <c r="A3766" s="83" t="n"/>
      <c r="B3766" s="81" t="n"/>
      <c r="C3766" s="69">
        <f>IF(B3766="","",IFERROR(INDEX(Client_List!$B:$B,MATCH(B3766,Client_List!$A:$A,0)),"⚠ NOT FOUND"))</f>
        <v/>
      </c>
      <c r="D3766" s="45" t="n"/>
      <c r="E3766" s="32">
        <f>IF(B3766="","",IFERROR(INDEX(Client_List!$C:$C,MATCH(VALUE(B3766),Client_List!$A:$A,0)),""))</f>
        <v/>
      </c>
      <c r="F3766" s="53">
        <f>IF(B3766="","",IFERROR(INDEX(Client_List!$D:$D,MATCH(VALUE(B3766),Client_List!$A:$A,0)),""))</f>
        <v/>
      </c>
      <c r="G3766" s="53">
        <f>IF(B3766="","",IFERROR(INDEX(Client_List!$K:$K,MATCH(VALUE(B3766),Client_List!$A:$A,0)),""))</f>
        <v/>
      </c>
      <c r="H3766" s="32">
        <f>IF(B3766="","",IFERROR(INDEX(Client_List!$J:$J,MATCH(VALUE(B3766),Client_List!$A:$A,0)),""))</f>
        <v/>
      </c>
      <c r="I3766" s="70">
        <f>IF(B3766="","",IFERROR(A3766-LOOKUP(2,1/($B$4:$B3765=B3766),$A$4:$A3765),""))</f>
        <v/>
      </c>
      <c r="J3766" s="32">
        <f>IF(B3766="","",IFERROR(D3766/I3766,""))</f>
        <v/>
      </c>
      <c r="K3766" s="71">
        <f>IF(B3766="","",IFERROR(AVERAGEIFS($J$4:$J3766,$B$4:$B3766,B3766,$J$4:$J3766,"&gt;"&amp;0),""))</f>
        <v/>
      </c>
      <c r="L3766" s="12" t="n"/>
    </row>
    <row r="3767" ht="14" customHeight="1" s="72">
      <c r="A3767" s="82" t="n"/>
      <c r="B3767" s="79" t="n"/>
      <c r="C3767" s="69">
        <f>IF(B3767="","",IFERROR(INDEX(Client_List!$B:$B,MATCH(B3767,Client_List!$A:$A,0)),"⚠ NOT FOUND"))</f>
        <v/>
      </c>
      <c r="D3767" s="44" t="n"/>
      <c r="E3767" s="32">
        <f>IF(B3767="","",IFERROR(INDEX(Client_List!$C:$C,MATCH(VALUE(B3767),Client_List!$A:$A,0)),""))</f>
        <v/>
      </c>
      <c r="F3767" s="53">
        <f>IF(B3767="","",IFERROR(INDEX(Client_List!$D:$D,MATCH(VALUE(B3767),Client_List!$A:$A,0)),""))</f>
        <v/>
      </c>
      <c r="G3767" s="53">
        <f>IF(B3767="","",IFERROR(INDEX(Client_List!$K:$K,MATCH(VALUE(B3767),Client_List!$A:$A,0)),""))</f>
        <v/>
      </c>
      <c r="H3767" s="32">
        <f>IF(B3767="","",IFERROR(INDEX(Client_List!$J:$J,MATCH(VALUE(B3767),Client_List!$A:$A,0)),""))</f>
        <v/>
      </c>
      <c r="I3767" s="70">
        <f>IF(B3767="","",IFERROR(A3767-LOOKUP(2,1/($B$4:$B3766=B3767),$A$4:$A3766),""))</f>
        <v/>
      </c>
      <c r="J3767" s="32">
        <f>IF(B3767="","",IFERROR(D3767/I3767,""))</f>
        <v/>
      </c>
      <c r="K3767" s="71">
        <f>IF(B3767="","",IFERROR(AVERAGEIFS($J$4:$J3767,$B$4:$B3767,B3767,$J$4:$J3767,"&gt;"&amp;0),""))</f>
        <v/>
      </c>
      <c r="L3767" s="11" t="n"/>
    </row>
    <row r="3768" ht="14" customHeight="1" s="72">
      <c r="A3768" s="83" t="n"/>
      <c r="B3768" s="81" t="n"/>
      <c r="C3768" s="69">
        <f>IF(B3768="","",IFERROR(INDEX(Client_List!$B:$B,MATCH(B3768,Client_List!$A:$A,0)),"⚠ NOT FOUND"))</f>
        <v/>
      </c>
      <c r="D3768" s="45" t="n"/>
      <c r="E3768" s="32">
        <f>IF(B3768="","",IFERROR(INDEX(Client_List!$C:$C,MATCH(VALUE(B3768),Client_List!$A:$A,0)),""))</f>
        <v/>
      </c>
      <c r="F3768" s="53">
        <f>IF(B3768="","",IFERROR(INDEX(Client_List!$D:$D,MATCH(VALUE(B3768),Client_List!$A:$A,0)),""))</f>
        <v/>
      </c>
      <c r="G3768" s="53">
        <f>IF(B3768="","",IFERROR(INDEX(Client_List!$K:$K,MATCH(VALUE(B3768),Client_List!$A:$A,0)),""))</f>
        <v/>
      </c>
      <c r="H3768" s="32">
        <f>IF(B3768="","",IFERROR(INDEX(Client_List!$J:$J,MATCH(VALUE(B3768),Client_List!$A:$A,0)),""))</f>
        <v/>
      </c>
      <c r="I3768" s="70">
        <f>IF(B3768="","",IFERROR(A3768-LOOKUP(2,1/($B$4:$B3767=B3768),$A$4:$A3767),""))</f>
        <v/>
      </c>
      <c r="J3768" s="32">
        <f>IF(B3768="","",IFERROR(D3768/I3768,""))</f>
        <v/>
      </c>
      <c r="K3768" s="71">
        <f>IF(B3768="","",IFERROR(AVERAGEIFS($J$4:$J3768,$B$4:$B3768,B3768,$J$4:$J3768,"&gt;"&amp;0),""))</f>
        <v/>
      </c>
      <c r="L3768" s="12" t="n"/>
    </row>
    <row r="3769" ht="14" customHeight="1" s="72">
      <c r="A3769" s="82" t="n"/>
      <c r="B3769" s="79" t="n"/>
      <c r="C3769" s="69">
        <f>IF(B3769="","",IFERROR(INDEX(Client_List!$B:$B,MATCH(B3769,Client_List!$A:$A,0)),"⚠ NOT FOUND"))</f>
        <v/>
      </c>
      <c r="D3769" s="44" t="n"/>
      <c r="E3769" s="32">
        <f>IF(B3769="","",IFERROR(INDEX(Client_List!$C:$C,MATCH(VALUE(B3769),Client_List!$A:$A,0)),""))</f>
        <v/>
      </c>
      <c r="F3769" s="53">
        <f>IF(B3769="","",IFERROR(INDEX(Client_List!$D:$D,MATCH(VALUE(B3769),Client_List!$A:$A,0)),""))</f>
        <v/>
      </c>
      <c r="G3769" s="53">
        <f>IF(B3769="","",IFERROR(INDEX(Client_List!$K:$K,MATCH(VALUE(B3769),Client_List!$A:$A,0)),""))</f>
        <v/>
      </c>
      <c r="H3769" s="32">
        <f>IF(B3769="","",IFERROR(INDEX(Client_List!$J:$J,MATCH(VALUE(B3769),Client_List!$A:$A,0)),""))</f>
        <v/>
      </c>
      <c r="I3769" s="70">
        <f>IF(B3769="","",IFERROR(A3769-LOOKUP(2,1/($B$4:$B3768=B3769),$A$4:$A3768),""))</f>
        <v/>
      </c>
      <c r="J3769" s="32">
        <f>IF(B3769="","",IFERROR(D3769/I3769,""))</f>
        <v/>
      </c>
      <c r="K3769" s="71">
        <f>IF(B3769="","",IFERROR(AVERAGEIFS($J$4:$J3769,$B$4:$B3769,B3769,$J$4:$J3769,"&gt;"&amp;0),""))</f>
        <v/>
      </c>
      <c r="L3769" s="11" t="n"/>
    </row>
    <row r="3770" ht="14" customHeight="1" s="72">
      <c r="A3770" s="83" t="n"/>
      <c r="B3770" s="81" t="n"/>
      <c r="C3770" s="69">
        <f>IF(B3770="","",IFERROR(INDEX(Client_List!$B:$B,MATCH(B3770,Client_List!$A:$A,0)),"⚠ NOT FOUND"))</f>
        <v/>
      </c>
      <c r="D3770" s="45" t="n"/>
      <c r="E3770" s="32">
        <f>IF(B3770="","",IFERROR(INDEX(Client_List!$C:$C,MATCH(VALUE(B3770),Client_List!$A:$A,0)),""))</f>
        <v/>
      </c>
      <c r="F3770" s="53">
        <f>IF(B3770="","",IFERROR(INDEX(Client_List!$D:$D,MATCH(VALUE(B3770),Client_List!$A:$A,0)),""))</f>
        <v/>
      </c>
      <c r="G3770" s="53">
        <f>IF(B3770="","",IFERROR(INDEX(Client_List!$K:$K,MATCH(VALUE(B3770),Client_List!$A:$A,0)),""))</f>
        <v/>
      </c>
      <c r="H3770" s="32">
        <f>IF(B3770="","",IFERROR(INDEX(Client_List!$J:$J,MATCH(VALUE(B3770),Client_List!$A:$A,0)),""))</f>
        <v/>
      </c>
      <c r="I3770" s="70">
        <f>IF(B3770="","",IFERROR(A3770-LOOKUP(2,1/($B$4:$B3769=B3770),$A$4:$A3769),""))</f>
        <v/>
      </c>
      <c r="J3770" s="32">
        <f>IF(B3770="","",IFERROR(D3770/I3770,""))</f>
        <v/>
      </c>
      <c r="K3770" s="71">
        <f>IF(B3770="","",IFERROR(AVERAGEIFS($J$4:$J3770,$B$4:$B3770,B3770,$J$4:$J3770,"&gt;"&amp;0),""))</f>
        <v/>
      </c>
      <c r="L3770" s="12" t="n"/>
    </row>
    <row r="3771" ht="14" customHeight="1" s="72">
      <c r="A3771" s="82" t="n"/>
      <c r="B3771" s="79" t="n"/>
      <c r="C3771" s="69">
        <f>IF(B3771="","",IFERROR(INDEX(Client_List!$B:$B,MATCH(B3771,Client_List!$A:$A,0)),"⚠ NOT FOUND"))</f>
        <v/>
      </c>
      <c r="D3771" s="44" t="n"/>
      <c r="E3771" s="32">
        <f>IF(B3771="","",IFERROR(INDEX(Client_List!$C:$C,MATCH(VALUE(B3771),Client_List!$A:$A,0)),""))</f>
        <v/>
      </c>
      <c r="F3771" s="53">
        <f>IF(B3771="","",IFERROR(INDEX(Client_List!$D:$D,MATCH(VALUE(B3771),Client_List!$A:$A,0)),""))</f>
        <v/>
      </c>
      <c r="G3771" s="53">
        <f>IF(B3771="","",IFERROR(INDEX(Client_List!$K:$K,MATCH(VALUE(B3771),Client_List!$A:$A,0)),""))</f>
        <v/>
      </c>
      <c r="H3771" s="32">
        <f>IF(B3771="","",IFERROR(INDEX(Client_List!$J:$J,MATCH(VALUE(B3771),Client_List!$A:$A,0)),""))</f>
        <v/>
      </c>
      <c r="I3771" s="70">
        <f>IF(B3771="","",IFERROR(A3771-LOOKUP(2,1/($B$4:$B3770=B3771),$A$4:$A3770),""))</f>
        <v/>
      </c>
      <c r="J3771" s="32">
        <f>IF(B3771="","",IFERROR(D3771/I3771,""))</f>
        <v/>
      </c>
      <c r="K3771" s="71">
        <f>IF(B3771="","",IFERROR(AVERAGEIFS($J$4:$J3771,$B$4:$B3771,B3771,$J$4:$J3771,"&gt;"&amp;0),""))</f>
        <v/>
      </c>
      <c r="L3771" s="11" t="n"/>
    </row>
    <row r="3772" ht="14" customHeight="1" s="72">
      <c r="A3772" s="83" t="n"/>
      <c r="B3772" s="81" t="n"/>
      <c r="C3772" s="69">
        <f>IF(B3772="","",IFERROR(INDEX(Client_List!$B:$B,MATCH(B3772,Client_List!$A:$A,0)),"⚠ NOT FOUND"))</f>
        <v/>
      </c>
      <c r="D3772" s="45" t="n"/>
      <c r="E3772" s="32">
        <f>IF(B3772="","",IFERROR(INDEX(Client_List!$C:$C,MATCH(VALUE(B3772),Client_List!$A:$A,0)),""))</f>
        <v/>
      </c>
      <c r="F3772" s="53">
        <f>IF(B3772="","",IFERROR(INDEX(Client_List!$D:$D,MATCH(VALUE(B3772),Client_List!$A:$A,0)),""))</f>
        <v/>
      </c>
      <c r="G3772" s="53">
        <f>IF(B3772="","",IFERROR(INDEX(Client_List!$K:$K,MATCH(VALUE(B3772),Client_List!$A:$A,0)),""))</f>
        <v/>
      </c>
      <c r="H3772" s="32">
        <f>IF(B3772="","",IFERROR(INDEX(Client_List!$J:$J,MATCH(VALUE(B3772),Client_List!$A:$A,0)),""))</f>
        <v/>
      </c>
      <c r="I3772" s="70">
        <f>IF(B3772="","",IFERROR(A3772-LOOKUP(2,1/($B$4:$B3771=B3772),$A$4:$A3771),""))</f>
        <v/>
      </c>
      <c r="J3772" s="32">
        <f>IF(B3772="","",IFERROR(D3772/I3772,""))</f>
        <v/>
      </c>
      <c r="K3772" s="71">
        <f>IF(B3772="","",IFERROR(AVERAGEIFS($J$4:$J3772,$B$4:$B3772,B3772,$J$4:$J3772,"&gt;"&amp;0),""))</f>
        <v/>
      </c>
      <c r="L3772" s="12" t="n"/>
    </row>
    <row r="3773" ht="14" customHeight="1" s="72">
      <c r="A3773" s="82" t="n"/>
      <c r="B3773" s="79" t="n"/>
      <c r="C3773" s="69">
        <f>IF(B3773="","",IFERROR(INDEX(Client_List!$B:$B,MATCH(B3773,Client_List!$A:$A,0)),"⚠ NOT FOUND"))</f>
        <v/>
      </c>
      <c r="D3773" s="44" t="n"/>
      <c r="E3773" s="32">
        <f>IF(B3773="","",IFERROR(INDEX(Client_List!$C:$C,MATCH(VALUE(B3773),Client_List!$A:$A,0)),""))</f>
        <v/>
      </c>
      <c r="F3773" s="53">
        <f>IF(B3773="","",IFERROR(INDEX(Client_List!$D:$D,MATCH(VALUE(B3773),Client_List!$A:$A,0)),""))</f>
        <v/>
      </c>
      <c r="G3773" s="53">
        <f>IF(B3773="","",IFERROR(INDEX(Client_List!$K:$K,MATCH(VALUE(B3773),Client_List!$A:$A,0)),""))</f>
        <v/>
      </c>
      <c r="H3773" s="32">
        <f>IF(B3773="","",IFERROR(INDEX(Client_List!$J:$J,MATCH(VALUE(B3773),Client_List!$A:$A,0)),""))</f>
        <v/>
      </c>
      <c r="I3773" s="70">
        <f>IF(B3773="","",IFERROR(A3773-LOOKUP(2,1/($B$4:$B3772=B3773),$A$4:$A3772),""))</f>
        <v/>
      </c>
      <c r="J3773" s="32">
        <f>IF(B3773="","",IFERROR(D3773/I3773,""))</f>
        <v/>
      </c>
      <c r="K3773" s="71">
        <f>IF(B3773="","",IFERROR(AVERAGEIFS($J$4:$J3773,$B$4:$B3773,B3773,$J$4:$J3773,"&gt;"&amp;0),""))</f>
        <v/>
      </c>
      <c r="L3773" s="11" t="n"/>
    </row>
    <row r="3774" ht="14" customHeight="1" s="72">
      <c r="A3774" s="83" t="n"/>
      <c r="B3774" s="81" t="n"/>
      <c r="C3774" s="69">
        <f>IF(B3774="","",IFERROR(INDEX(Client_List!$B:$B,MATCH(B3774,Client_List!$A:$A,0)),"⚠ NOT FOUND"))</f>
        <v/>
      </c>
      <c r="D3774" s="45" t="n"/>
      <c r="E3774" s="32">
        <f>IF(B3774="","",IFERROR(INDEX(Client_List!$C:$C,MATCH(VALUE(B3774),Client_List!$A:$A,0)),""))</f>
        <v/>
      </c>
      <c r="F3774" s="53">
        <f>IF(B3774="","",IFERROR(INDEX(Client_List!$D:$D,MATCH(VALUE(B3774),Client_List!$A:$A,0)),""))</f>
        <v/>
      </c>
      <c r="G3774" s="53">
        <f>IF(B3774="","",IFERROR(INDEX(Client_List!$K:$K,MATCH(VALUE(B3774),Client_List!$A:$A,0)),""))</f>
        <v/>
      </c>
      <c r="H3774" s="32">
        <f>IF(B3774="","",IFERROR(INDEX(Client_List!$J:$J,MATCH(VALUE(B3774),Client_List!$A:$A,0)),""))</f>
        <v/>
      </c>
      <c r="I3774" s="70">
        <f>IF(B3774="","",IFERROR(A3774-LOOKUP(2,1/($B$4:$B3773=B3774),$A$4:$A3773),""))</f>
        <v/>
      </c>
      <c r="J3774" s="32">
        <f>IF(B3774="","",IFERROR(D3774/I3774,""))</f>
        <v/>
      </c>
      <c r="K3774" s="71">
        <f>IF(B3774="","",IFERROR(AVERAGEIFS($J$4:$J3774,$B$4:$B3774,B3774,$J$4:$J3774,"&gt;"&amp;0),""))</f>
        <v/>
      </c>
      <c r="L3774" s="12" t="n"/>
    </row>
    <row r="3775" ht="14" customHeight="1" s="72">
      <c r="A3775" s="82" t="n"/>
      <c r="B3775" s="79" t="n"/>
      <c r="C3775" s="69">
        <f>IF(B3775="","",IFERROR(INDEX(Client_List!$B:$B,MATCH(B3775,Client_List!$A:$A,0)),"⚠ NOT FOUND"))</f>
        <v/>
      </c>
      <c r="D3775" s="44" t="n"/>
      <c r="E3775" s="32">
        <f>IF(B3775="","",IFERROR(INDEX(Client_List!$C:$C,MATCH(VALUE(B3775),Client_List!$A:$A,0)),""))</f>
        <v/>
      </c>
      <c r="F3775" s="53">
        <f>IF(B3775="","",IFERROR(INDEX(Client_List!$D:$D,MATCH(VALUE(B3775),Client_List!$A:$A,0)),""))</f>
        <v/>
      </c>
      <c r="G3775" s="53">
        <f>IF(B3775="","",IFERROR(INDEX(Client_List!$K:$K,MATCH(VALUE(B3775),Client_List!$A:$A,0)),""))</f>
        <v/>
      </c>
      <c r="H3775" s="32">
        <f>IF(B3775="","",IFERROR(INDEX(Client_List!$J:$J,MATCH(VALUE(B3775),Client_List!$A:$A,0)),""))</f>
        <v/>
      </c>
      <c r="I3775" s="70">
        <f>IF(B3775="","",IFERROR(A3775-LOOKUP(2,1/($B$4:$B3774=B3775),$A$4:$A3774),""))</f>
        <v/>
      </c>
      <c r="J3775" s="32">
        <f>IF(B3775="","",IFERROR(D3775/I3775,""))</f>
        <v/>
      </c>
      <c r="K3775" s="71">
        <f>IF(B3775="","",IFERROR(AVERAGEIFS($J$4:$J3775,$B$4:$B3775,B3775,$J$4:$J3775,"&gt;"&amp;0),""))</f>
        <v/>
      </c>
      <c r="L3775" s="11" t="n"/>
    </row>
    <row r="3776" ht="14" customHeight="1" s="72">
      <c r="A3776" s="83" t="n"/>
      <c r="B3776" s="81" t="n"/>
      <c r="C3776" s="69">
        <f>IF(B3776="","",IFERROR(INDEX(Client_List!$B:$B,MATCH(B3776,Client_List!$A:$A,0)),"⚠ NOT FOUND"))</f>
        <v/>
      </c>
      <c r="D3776" s="45" t="n"/>
      <c r="E3776" s="32">
        <f>IF(B3776="","",IFERROR(INDEX(Client_List!$C:$C,MATCH(VALUE(B3776),Client_List!$A:$A,0)),""))</f>
        <v/>
      </c>
      <c r="F3776" s="53">
        <f>IF(B3776="","",IFERROR(INDEX(Client_List!$D:$D,MATCH(VALUE(B3776),Client_List!$A:$A,0)),""))</f>
        <v/>
      </c>
      <c r="G3776" s="53">
        <f>IF(B3776="","",IFERROR(INDEX(Client_List!$K:$K,MATCH(VALUE(B3776),Client_List!$A:$A,0)),""))</f>
        <v/>
      </c>
      <c r="H3776" s="32">
        <f>IF(B3776="","",IFERROR(INDEX(Client_List!$J:$J,MATCH(VALUE(B3776),Client_List!$A:$A,0)),""))</f>
        <v/>
      </c>
      <c r="I3776" s="70">
        <f>IF(B3776="","",IFERROR(A3776-LOOKUP(2,1/($B$4:$B3775=B3776),$A$4:$A3775),""))</f>
        <v/>
      </c>
      <c r="J3776" s="32">
        <f>IF(B3776="","",IFERROR(D3776/I3776,""))</f>
        <v/>
      </c>
      <c r="K3776" s="71">
        <f>IF(B3776="","",IFERROR(AVERAGEIFS($J$4:$J3776,$B$4:$B3776,B3776,$J$4:$J3776,"&gt;"&amp;0),""))</f>
        <v/>
      </c>
      <c r="L3776" s="12" t="n"/>
    </row>
    <row r="3777" ht="14" customHeight="1" s="72">
      <c r="A3777" s="82" t="n"/>
      <c r="B3777" s="79" t="n"/>
      <c r="C3777" s="69">
        <f>IF(B3777="","",IFERROR(INDEX(Client_List!$B:$B,MATCH(B3777,Client_List!$A:$A,0)),"⚠ NOT FOUND"))</f>
        <v/>
      </c>
      <c r="D3777" s="44" t="n"/>
      <c r="E3777" s="32">
        <f>IF(B3777="","",IFERROR(INDEX(Client_List!$C:$C,MATCH(VALUE(B3777),Client_List!$A:$A,0)),""))</f>
        <v/>
      </c>
      <c r="F3777" s="53">
        <f>IF(B3777="","",IFERROR(INDEX(Client_List!$D:$D,MATCH(VALUE(B3777),Client_List!$A:$A,0)),""))</f>
        <v/>
      </c>
      <c r="G3777" s="53">
        <f>IF(B3777="","",IFERROR(INDEX(Client_List!$K:$K,MATCH(VALUE(B3777),Client_List!$A:$A,0)),""))</f>
        <v/>
      </c>
      <c r="H3777" s="32">
        <f>IF(B3777="","",IFERROR(INDEX(Client_List!$J:$J,MATCH(VALUE(B3777),Client_List!$A:$A,0)),""))</f>
        <v/>
      </c>
      <c r="I3777" s="70">
        <f>IF(B3777="","",IFERROR(A3777-LOOKUP(2,1/($B$4:$B3776=B3777),$A$4:$A3776),""))</f>
        <v/>
      </c>
      <c r="J3777" s="32">
        <f>IF(B3777="","",IFERROR(D3777/I3777,""))</f>
        <v/>
      </c>
      <c r="K3777" s="71">
        <f>IF(B3777="","",IFERROR(AVERAGEIFS($J$4:$J3777,$B$4:$B3777,B3777,$J$4:$J3777,"&gt;"&amp;0),""))</f>
        <v/>
      </c>
      <c r="L3777" s="11" t="n"/>
    </row>
    <row r="3778" ht="14" customHeight="1" s="72">
      <c r="A3778" s="83" t="n"/>
      <c r="B3778" s="81" t="n"/>
      <c r="C3778" s="69">
        <f>IF(B3778="","",IFERROR(INDEX(Client_List!$B:$B,MATCH(B3778,Client_List!$A:$A,0)),"⚠ NOT FOUND"))</f>
        <v/>
      </c>
      <c r="D3778" s="45" t="n"/>
      <c r="E3778" s="32">
        <f>IF(B3778="","",IFERROR(INDEX(Client_List!$C:$C,MATCH(VALUE(B3778),Client_List!$A:$A,0)),""))</f>
        <v/>
      </c>
      <c r="F3778" s="53">
        <f>IF(B3778="","",IFERROR(INDEX(Client_List!$D:$D,MATCH(VALUE(B3778),Client_List!$A:$A,0)),""))</f>
        <v/>
      </c>
      <c r="G3778" s="53">
        <f>IF(B3778="","",IFERROR(INDEX(Client_List!$K:$K,MATCH(VALUE(B3778),Client_List!$A:$A,0)),""))</f>
        <v/>
      </c>
      <c r="H3778" s="32">
        <f>IF(B3778="","",IFERROR(INDEX(Client_List!$J:$J,MATCH(VALUE(B3778),Client_List!$A:$A,0)),""))</f>
        <v/>
      </c>
      <c r="I3778" s="70">
        <f>IF(B3778="","",IFERROR(A3778-LOOKUP(2,1/($B$4:$B3777=B3778),$A$4:$A3777),""))</f>
        <v/>
      </c>
      <c r="J3778" s="32">
        <f>IF(B3778="","",IFERROR(D3778/I3778,""))</f>
        <v/>
      </c>
      <c r="K3778" s="71">
        <f>IF(B3778="","",IFERROR(AVERAGEIFS($J$4:$J3778,$B$4:$B3778,B3778,$J$4:$J3778,"&gt;"&amp;0),""))</f>
        <v/>
      </c>
      <c r="L3778" s="12" t="n"/>
    </row>
    <row r="3779" ht="14" customHeight="1" s="72">
      <c r="A3779" s="82" t="n"/>
      <c r="B3779" s="79" t="n"/>
      <c r="C3779" s="69">
        <f>IF(B3779="","",IFERROR(INDEX(Client_List!$B:$B,MATCH(B3779,Client_List!$A:$A,0)),"⚠ NOT FOUND"))</f>
        <v/>
      </c>
      <c r="D3779" s="44" t="n"/>
      <c r="E3779" s="32">
        <f>IF(B3779="","",IFERROR(INDEX(Client_List!$C:$C,MATCH(VALUE(B3779),Client_List!$A:$A,0)),""))</f>
        <v/>
      </c>
      <c r="F3779" s="53">
        <f>IF(B3779="","",IFERROR(INDEX(Client_List!$D:$D,MATCH(VALUE(B3779),Client_List!$A:$A,0)),""))</f>
        <v/>
      </c>
      <c r="G3779" s="53">
        <f>IF(B3779="","",IFERROR(INDEX(Client_List!$K:$K,MATCH(VALUE(B3779),Client_List!$A:$A,0)),""))</f>
        <v/>
      </c>
      <c r="H3779" s="32">
        <f>IF(B3779="","",IFERROR(INDEX(Client_List!$J:$J,MATCH(VALUE(B3779),Client_List!$A:$A,0)),""))</f>
        <v/>
      </c>
      <c r="I3779" s="70">
        <f>IF(B3779="","",IFERROR(A3779-LOOKUP(2,1/($B$4:$B3778=B3779),$A$4:$A3778),""))</f>
        <v/>
      </c>
      <c r="J3779" s="32">
        <f>IF(B3779="","",IFERROR(D3779/I3779,""))</f>
        <v/>
      </c>
      <c r="K3779" s="71">
        <f>IF(B3779="","",IFERROR(AVERAGEIFS($J$4:$J3779,$B$4:$B3779,B3779,$J$4:$J3779,"&gt;"&amp;0),""))</f>
        <v/>
      </c>
      <c r="L3779" s="11" t="n"/>
    </row>
    <row r="3780" ht="14" customHeight="1" s="72">
      <c r="A3780" s="83" t="n"/>
      <c r="B3780" s="81" t="n"/>
      <c r="C3780" s="69">
        <f>IF(B3780="","",IFERROR(INDEX(Client_List!$B:$B,MATCH(B3780,Client_List!$A:$A,0)),"⚠ NOT FOUND"))</f>
        <v/>
      </c>
      <c r="D3780" s="45" t="n"/>
      <c r="E3780" s="32">
        <f>IF(B3780="","",IFERROR(INDEX(Client_List!$C:$C,MATCH(VALUE(B3780),Client_List!$A:$A,0)),""))</f>
        <v/>
      </c>
      <c r="F3780" s="53">
        <f>IF(B3780="","",IFERROR(INDEX(Client_List!$D:$D,MATCH(VALUE(B3780),Client_List!$A:$A,0)),""))</f>
        <v/>
      </c>
      <c r="G3780" s="53">
        <f>IF(B3780="","",IFERROR(INDEX(Client_List!$K:$K,MATCH(VALUE(B3780),Client_List!$A:$A,0)),""))</f>
        <v/>
      </c>
      <c r="H3780" s="32">
        <f>IF(B3780="","",IFERROR(INDEX(Client_List!$J:$J,MATCH(VALUE(B3780),Client_List!$A:$A,0)),""))</f>
        <v/>
      </c>
      <c r="I3780" s="70">
        <f>IF(B3780="","",IFERROR(A3780-LOOKUP(2,1/($B$4:$B3779=B3780),$A$4:$A3779),""))</f>
        <v/>
      </c>
      <c r="J3780" s="32">
        <f>IF(B3780="","",IFERROR(D3780/I3780,""))</f>
        <v/>
      </c>
      <c r="K3780" s="71">
        <f>IF(B3780="","",IFERROR(AVERAGEIFS($J$4:$J3780,$B$4:$B3780,B3780,$J$4:$J3780,"&gt;"&amp;0),""))</f>
        <v/>
      </c>
      <c r="L3780" s="12" t="n"/>
    </row>
    <row r="3781" ht="14" customHeight="1" s="72">
      <c r="A3781" s="82" t="n"/>
      <c r="B3781" s="79" t="n"/>
      <c r="C3781" s="69">
        <f>IF(B3781="","",IFERROR(INDEX(Client_List!$B:$B,MATCH(B3781,Client_List!$A:$A,0)),"⚠ NOT FOUND"))</f>
        <v/>
      </c>
      <c r="D3781" s="44" t="n"/>
      <c r="E3781" s="32">
        <f>IF(B3781="","",IFERROR(INDEX(Client_List!$C:$C,MATCH(VALUE(B3781),Client_List!$A:$A,0)),""))</f>
        <v/>
      </c>
      <c r="F3781" s="53">
        <f>IF(B3781="","",IFERROR(INDEX(Client_List!$D:$D,MATCH(VALUE(B3781),Client_List!$A:$A,0)),""))</f>
        <v/>
      </c>
      <c r="G3781" s="53">
        <f>IF(B3781="","",IFERROR(INDEX(Client_List!$K:$K,MATCH(VALUE(B3781),Client_List!$A:$A,0)),""))</f>
        <v/>
      </c>
      <c r="H3781" s="32">
        <f>IF(B3781="","",IFERROR(INDEX(Client_List!$J:$J,MATCH(VALUE(B3781),Client_List!$A:$A,0)),""))</f>
        <v/>
      </c>
      <c r="I3781" s="70">
        <f>IF(B3781="","",IFERROR(A3781-LOOKUP(2,1/($B$4:$B3780=B3781),$A$4:$A3780),""))</f>
        <v/>
      </c>
      <c r="J3781" s="32">
        <f>IF(B3781="","",IFERROR(D3781/I3781,""))</f>
        <v/>
      </c>
      <c r="K3781" s="71">
        <f>IF(B3781="","",IFERROR(AVERAGEIFS($J$4:$J3781,$B$4:$B3781,B3781,$J$4:$J3781,"&gt;"&amp;0),""))</f>
        <v/>
      </c>
      <c r="L3781" s="11" t="n"/>
    </row>
    <row r="3782" ht="14" customHeight="1" s="72">
      <c r="A3782" s="83" t="n"/>
      <c r="B3782" s="81" t="n"/>
      <c r="C3782" s="69">
        <f>IF(B3782="","",IFERROR(INDEX(Client_List!$B:$B,MATCH(B3782,Client_List!$A:$A,0)),"⚠ NOT FOUND"))</f>
        <v/>
      </c>
      <c r="D3782" s="45" t="n"/>
      <c r="E3782" s="32">
        <f>IF(B3782="","",IFERROR(INDEX(Client_List!$C:$C,MATCH(VALUE(B3782),Client_List!$A:$A,0)),""))</f>
        <v/>
      </c>
      <c r="F3782" s="53">
        <f>IF(B3782="","",IFERROR(INDEX(Client_List!$D:$D,MATCH(VALUE(B3782),Client_List!$A:$A,0)),""))</f>
        <v/>
      </c>
      <c r="G3782" s="53">
        <f>IF(B3782="","",IFERROR(INDEX(Client_List!$K:$K,MATCH(VALUE(B3782),Client_List!$A:$A,0)),""))</f>
        <v/>
      </c>
      <c r="H3782" s="32">
        <f>IF(B3782="","",IFERROR(INDEX(Client_List!$J:$J,MATCH(VALUE(B3782),Client_List!$A:$A,0)),""))</f>
        <v/>
      </c>
      <c r="I3782" s="70">
        <f>IF(B3782="","",IFERROR(A3782-LOOKUP(2,1/($B$4:$B3781=B3782),$A$4:$A3781),""))</f>
        <v/>
      </c>
      <c r="J3782" s="32">
        <f>IF(B3782="","",IFERROR(D3782/I3782,""))</f>
        <v/>
      </c>
      <c r="K3782" s="71">
        <f>IF(B3782="","",IFERROR(AVERAGEIFS($J$4:$J3782,$B$4:$B3782,B3782,$J$4:$J3782,"&gt;"&amp;0),""))</f>
        <v/>
      </c>
      <c r="L3782" s="12" t="n"/>
    </row>
    <row r="3783" ht="14" customHeight="1" s="72">
      <c r="A3783" s="82" t="n"/>
      <c r="B3783" s="79" t="n"/>
      <c r="C3783" s="69">
        <f>IF(B3783="","",IFERROR(INDEX(Client_List!$B:$B,MATCH(B3783,Client_List!$A:$A,0)),"⚠ NOT FOUND"))</f>
        <v/>
      </c>
      <c r="D3783" s="44" t="n"/>
      <c r="E3783" s="32">
        <f>IF(B3783="","",IFERROR(INDEX(Client_List!$C:$C,MATCH(VALUE(B3783),Client_List!$A:$A,0)),""))</f>
        <v/>
      </c>
      <c r="F3783" s="53">
        <f>IF(B3783="","",IFERROR(INDEX(Client_List!$D:$D,MATCH(VALUE(B3783),Client_List!$A:$A,0)),""))</f>
        <v/>
      </c>
      <c r="G3783" s="53">
        <f>IF(B3783="","",IFERROR(INDEX(Client_List!$K:$K,MATCH(VALUE(B3783),Client_List!$A:$A,0)),""))</f>
        <v/>
      </c>
      <c r="H3783" s="32">
        <f>IF(B3783="","",IFERROR(INDEX(Client_List!$J:$J,MATCH(VALUE(B3783),Client_List!$A:$A,0)),""))</f>
        <v/>
      </c>
      <c r="I3783" s="70">
        <f>IF(B3783="","",IFERROR(A3783-LOOKUP(2,1/($B$4:$B3782=B3783),$A$4:$A3782),""))</f>
        <v/>
      </c>
      <c r="J3783" s="32">
        <f>IF(B3783="","",IFERROR(D3783/I3783,""))</f>
        <v/>
      </c>
      <c r="K3783" s="71">
        <f>IF(B3783="","",IFERROR(AVERAGEIFS($J$4:$J3783,$B$4:$B3783,B3783,$J$4:$J3783,"&gt;"&amp;0),""))</f>
        <v/>
      </c>
      <c r="L3783" s="11" t="n"/>
    </row>
    <row r="3784" ht="14" customHeight="1" s="72">
      <c r="A3784" s="83" t="n"/>
      <c r="B3784" s="81" t="n"/>
      <c r="C3784" s="69">
        <f>IF(B3784="","",IFERROR(INDEX(Client_List!$B:$B,MATCH(B3784,Client_List!$A:$A,0)),"⚠ NOT FOUND"))</f>
        <v/>
      </c>
      <c r="D3784" s="45" t="n"/>
      <c r="E3784" s="32">
        <f>IF(B3784="","",IFERROR(INDEX(Client_List!$C:$C,MATCH(VALUE(B3784),Client_List!$A:$A,0)),""))</f>
        <v/>
      </c>
      <c r="F3784" s="53">
        <f>IF(B3784="","",IFERROR(INDEX(Client_List!$D:$D,MATCH(VALUE(B3784),Client_List!$A:$A,0)),""))</f>
        <v/>
      </c>
      <c r="G3784" s="53">
        <f>IF(B3784="","",IFERROR(INDEX(Client_List!$K:$K,MATCH(VALUE(B3784),Client_List!$A:$A,0)),""))</f>
        <v/>
      </c>
      <c r="H3784" s="32">
        <f>IF(B3784="","",IFERROR(INDEX(Client_List!$J:$J,MATCH(VALUE(B3784),Client_List!$A:$A,0)),""))</f>
        <v/>
      </c>
      <c r="I3784" s="70">
        <f>IF(B3784="","",IFERROR(A3784-LOOKUP(2,1/($B$4:$B3783=B3784),$A$4:$A3783),""))</f>
        <v/>
      </c>
      <c r="J3784" s="32">
        <f>IF(B3784="","",IFERROR(D3784/I3784,""))</f>
        <v/>
      </c>
      <c r="K3784" s="71">
        <f>IF(B3784="","",IFERROR(AVERAGEIFS($J$4:$J3784,$B$4:$B3784,B3784,$J$4:$J3784,"&gt;"&amp;0),""))</f>
        <v/>
      </c>
      <c r="L3784" s="12" t="n"/>
    </row>
    <row r="3785" ht="14" customHeight="1" s="72">
      <c r="A3785" s="82" t="n"/>
      <c r="B3785" s="79" t="n"/>
      <c r="C3785" s="69">
        <f>IF(B3785="","",IFERROR(INDEX(Client_List!$B:$B,MATCH(B3785,Client_List!$A:$A,0)),"⚠ NOT FOUND"))</f>
        <v/>
      </c>
      <c r="D3785" s="44" t="n"/>
      <c r="E3785" s="32">
        <f>IF(B3785="","",IFERROR(INDEX(Client_List!$C:$C,MATCH(VALUE(B3785),Client_List!$A:$A,0)),""))</f>
        <v/>
      </c>
      <c r="F3785" s="53">
        <f>IF(B3785="","",IFERROR(INDEX(Client_List!$D:$D,MATCH(VALUE(B3785),Client_List!$A:$A,0)),""))</f>
        <v/>
      </c>
      <c r="G3785" s="53">
        <f>IF(B3785="","",IFERROR(INDEX(Client_List!$K:$K,MATCH(VALUE(B3785),Client_List!$A:$A,0)),""))</f>
        <v/>
      </c>
      <c r="H3785" s="32">
        <f>IF(B3785="","",IFERROR(INDEX(Client_List!$J:$J,MATCH(VALUE(B3785),Client_List!$A:$A,0)),""))</f>
        <v/>
      </c>
      <c r="I3785" s="70">
        <f>IF(B3785="","",IFERROR(A3785-LOOKUP(2,1/($B$4:$B3784=B3785),$A$4:$A3784),""))</f>
        <v/>
      </c>
      <c r="J3785" s="32">
        <f>IF(B3785="","",IFERROR(D3785/I3785,""))</f>
        <v/>
      </c>
      <c r="K3785" s="71">
        <f>IF(B3785="","",IFERROR(AVERAGEIFS($J$4:$J3785,$B$4:$B3785,B3785,$J$4:$J3785,"&gt;"&amp;0),""))</f>
        <v/>
      </c>
      <c r="L3785" s="11" t="n"/>
    </row>
    <row r="3786" ht="14" customHeight="1" s="72">
      <c r="A3786" s="83" t="n"/>
      <c r="B3786" s="81" t="n"/>
      <c r="C3786" s="69">
        <f>IF(B3786="","",IFERROR(INDEX(Client_List!$B:$B,MATCH(B3786,Client_List!$A:$A,0)),"⚠ NOT FOUND"))</f>
        <v/>
      </c>
      <c r="D3786" s="45" t="n"/>
      <c r="E3786" s="32">
        <f>IF(B3786="","",IFERROR(INDEX(Client_List!$C:$C,MATCH(VALUE(B3786),Client_List!$A:$A,0)),""))</f>
        <v/>
      </c>
      <c r="F3786" s="53">
        <f>IF(B3786="","",IFERROR(INDEX(Client_List!$D:$D,MATCH(VALUE(B3786),Client_List!$A:$A,0)),""))</f>
        <v/>
      </c>
      <c r="G3786" s="53">
        <f>IF(B3786="","",IFERROR(INDEX(Client_List!$K:$K,MATCH(VALUE(B3786),Client_List!$A:$A,0)),""))</f>
        <v/>
      </c>
      <c r="H3786" s="32">
        <f>IF(B3786="","",IFERROR(INDEX(Client_List!$J:$J,MATCH(VALUE(B3786),Client_List!$A:$A,0)),""))</f>
        <v/>
      </c>
      <c r="I3786" s="70">
        <f>IF(B3786="","",IFERROR(A3786-LOOKUP(2,1/($B$4:$B3785=B3786),$A$4:$A3785),""))</f>
        <v/>
      </c>
      <c r="J3786" s="32">
        <f>IF(B3786="","",IFERROR(D3786/I3786,""))</f>
        <v/>
      </c>
      <c r="K3786" s="71">
        <f>IF(B3786="","",IFERROR(AVERAGEIFS($J$4:$J3786,$B$4:$B3786,B3786,$J$4:$J3786,"&gt;"&amp;0),""))</f>
        <v/>
      </c>
      <c r="L3786" s="12" t="n"/>
    </row>
    <row r="3787" ht="14" customHeight="1" s="72">
      <c r="A3787" s="82" t="n"/>
      <c r="B3787" s="79" t="n"/>
      <c r="C3787" s="69">
        <f>IF(B3787="","",IFERROR(INDEX(Client_List!$B:$B,MATCH(B3787,Client_List!$A:$A,0)),"⚠ NOT FOUND"))</f>
        <v/>
      </c>
      <c r="D3787" s="44" t="n"/>
      <c r="E3787" s="32">
        <f>IF(B3787="","",IFERROR(INDEX(Client_List!$C:$C,MATCH(VALUE(B3787),Client_List!$A:$A,0)),""))</f>
        <v/>
      </c>
      <c r="F3787" s="53">
        <f>IF(B3787="","",IFERROR(INDEX(Client_List!$D:$D,MATCH(VALUE(B3787),Client_List!$A:$A,0)),""))</f>
        <v/>
      </c>
      <c r="G3787" s="53">
        <f>IF(B3787="","",IFERROR(INDEX(Client_List!$K:$K,MATCH(VALUE(B3787),Client_List!$A:$A,0)),""))</f>
        <v/>
      </c>
      <c r="H3787" s="32">
        <f>IF(B3787="","",IFERROR(INDEX(Client_List!$J:$J,MATCH(VALUE(B3787),Client_List!$A:$A,0)),""))</f>
        <v/>
      </c>
      <c r="I3787" s="70">
        <f>IF(B3787="","",IFERROR(A3787-LOOKUP(2,1/($B$4:$B3786=B3787),$A$4:$A3786),""))</f>
        <v/>
      </c>
      <c r="J3787" s="32">
        <f>IF(B3787="","",IFERROR(D3787/I3787,""))</f>
        <v/>
      </c>
      <c r="K3787" s="71">
        <f>IF(B3787="","",IFERROR(AVERAGEIFS($J$4:$J3787,$B$4:$B3787,B3787,$J$4:$J3787,"&gt;"&amp;0),""))</f>
        <v/>
      </c>
      <c r="L3787" s="11" t="n"/>
    </row>
    <row r="3788" ht="14" customHeight="1" s="72">
      <c r="A3788" s="83" t="n"/>
      <c r="B3788" s="81" t="n"/>
      <c r="C3788" s="69">
        <f>IF(B3788="","",IFERROR(INDEX(Client_List!$B:$B,MATCH(B3788,Client_List!$A:$A,0)),"⚠ NOT FOUND"))</f>
        <v/>
      </c>
      <c r="D3788" s="45" t="n"/>
      <c r="E3788" s="32">
        <f>IF(B3788="","",IFERROR(INDEX(Client_List!$C:$C,MATCH(VALUE(B3788),Client_List!$A:$A,0)),""))</f>
        <v/>
      </c>
      <c r="F3788" s="53">
        <f>IF(B3788="","",IFERROR(INDEX(Client_List!$D:$D,MATCH(VALUE(B3788),Client_List!$A:$A,0)),""))</f>
        <v/>
      </c>
      <c r="G3788" s="53">
        <f>IF(B3788="","",IFERROR(INDEX(Client_List!$K:$K,MATCH(VALUE(B3788),Client_List!$A:$A,0)),""))</f>
        <v/>
      </c>
      <c r="H3788" s="32">
        <f>IF(B3788="","",IFERROR(INDEX(Client_List!$J:$J,MATCH(VALUE(B3788),Client_List!$A:$A,0)),""))</f>
        <v/>
      </c>
      <c r="I3788" s="70">
        <f>IF(B3788="","",IFERROR(A3788-LOOKUP(2,1/($B$4:$B3787=B3788),$A$4:$A3787),""))</f>
        <v/>
      </c>
      <c r="J3788" s="32">
        <f>IF(B3788="","",IFERROR(D3788/I3788,""))</f>
        <v/>
      </c>
      <c r="K3788" s="71">
        <f>IF(B3788="","",IFERROR(AVERAGEIFS($J$4:$J3788,$B$4:$B3788,B3788,$J$4:$J3788,"&gt;"&amp;0),""))</f>
        <v/>
      </c>
      <c r="L3788" s="12" t="n"/>
    </row>
    <row r="3789" ht="14" customHeight="1" s="72">
      <c r="A3789" s="82" t="n"/>
      <c r="B3789" s="79" t="n"/>
      <c r="C3789" s="69">
        <f>IF(B3789="","",IFERROR(INDEX(Client_List!$B:$B,MATCH(B3789,Client_List!$A:$A,0)),"⚠ NOT FOUND"))</f>
        <v/>
      </c>
      <c r="D3789" s="44" t="n"/>
      <c r="E3789" s="32">
        <f>IF(B3789="","",IFERROR(INDEX(Client_List!$C:$C,MATCH(VALUE(B3789),Client_List!$A:$A,0)),""))</f>
        <v/>
      </c>
      <c r="F3789" s="53">
        <f>IF(B3789="","",IFERROR(INDEX(Client_List!$D:$D,MATCH(VALUE(B3789),Client_List!$A:$A,0)),""))</f>
        <v/>
      </c>
      <c r="G3789" s="53">
        <f>IF(B3789="","",IFERROR(INDEX(Client_List!$K:$K,MATCH(VALUE(B3789),Client_List!$A:$A,0)),""))</f>
        <v/>
      </c>
      <c r="H3789" s="32">
        <f>IF(B3789="","",IFERROR(INDEX(Client_List!$J:$J,MATCH(VALUE(B3789),Client_List!$A:$A,0)),""))</f>
        <v/>
      </c>
      <c r="I3789" s="70">
        <f>IF(B3789="","",IFERROR(A3789-LOOKUP(2,1/($B$4:$B3788=B3789),$A$4:$A3788),""))</f>
        <v/>
      </c>
      <c r="J3789" s="32">
        <f>IF(B3789="","",IFERROR(D3789/I3789,""))</f>
        <v/>
      </c>
      <c r="K3789" s="71">
        <f>IF(B3789="","",IFERROR(AVERAGEIFS($J$4:$J3789,$B$4:$B3789,B3789,$J$4:$J3789,"&gt;"&amp;0),""))</f>
        <v/>
      </c>
      <c r="L3789" s="11" t="n"/>
    </row>
    <row r="3790" ht="14" customHeight="1" s="72">
      <c r="A3790" s="83" t="n"/>
      <c r="B3790" s="81" t="n"/>
      <c r="C3790" s="69">
        <f>IF(B3790="","",IFERROR(INDEX(Client_List!$B:$B,MATCH(B3790,Client_List!$A:$A,0)),"⚠ NOT FOUND"))</f>
        <v/>
      </c>
      <c r="D3790" s="45" t="n"/>
      <c r="E3790" s="32">
        <f>IF(B3790="","",IFERROR(INDEX(Client_List!$C:$C,MATCH(VALUE(B3790),Client_List!$A:$A,0)),""))</f>
        <v/>
      </c>
      <c r="F3790" s="53">
        <f>IF(B3790="","",IFERROR(INDEX(Client_List!$D:$D,MATCH(VALUE(B3790),Client_List!$A:$A,0)),""))</f>
        <v/>
      </c>
      <c r="G3790" s="53">
        <f>IF(B3790="","",IFERROR(INDEX(Client_List!$K:$K,MATCH(VALUE(B3790),Client_List!$A:$A,0)),""))</f>
        <v/>
      </c>
      <c r="H3790" s="32">
        <f>IF(B3790="","",IFERROR(INDEX(Client_List!$J:$J,MATCH(VALUE(B3790),Client_List!$A:$A,0)),""))</f>
        <v/>
      </c>
      <c r="I3790" s="70">
        <f>IF(B3790="","",IFERROR(A3790-LOOKUP(2,1/($B$4:$B3789=B3790),$A$4:$A3789),""))</f>
        <v/>
      </c>
      <c r="J3790" s="32">
        <f>IF(B3790="","",IFERROR(D3790/I3790,""))</f>
        <v/>
      </c>
      <c r="K3790" s="71">
        <f>IF(B3790="","",IFERROR(AVERAGEIFS($J$4:$J3790,$B$4:$B3790,B3790,$J$4:$J3790,"&gt;"&amp;0),""))</f>
        <v/>
      </c>
      <c r="L3790" s="12" t="n"/>
    </row>
    <row r="3791" ht="14" customHeight="1" s="72">
      <c r="A3791" s="82" t="n"/>
      <c r="B3791" s="79" t="n"/>
      <c r="C3791" s="69">
        <f>IF(B3791="","",IFERROR(INDEX(Client_List!$B:$B,MATCH(B3791,Client_List!$A:$A,0)),"⚠ NOT FOUND"))</f>
        <v/>
      </c>
      <c r="D3791" s="44" t="n"/>
      <c r="E3791" s="32">
        <f>IF(B3791="","",IFERROR(INDEX(Client_List!$C:$C,MATCH(VALUE(B3791),Client_List!$A:$A,0)),""))</f>
        <v/>
      </c>
      <c r="F3791" s="53">
        <f>IF(B3791="","",IFERROR(INDEX(Client_List!$D:$D,MATCH(VALUE(B3791),Client_List!$A:$A,0)),""))</f>
        <v/>
      </c>
      <c r="G3791" s="53">
        <f>IF(B3791="","",IFERROR(INDEX(Client_List!$K:$K,MATCH(VALUE(B3791),Client_List!$A:$A,0)),""))</f>
        <v/>
      </c>
      <c r="H3791" s="32">
        <f>IF(B3791="","",IFERROR(INDEX(Client_List!$J:$J,MATCH(VALUE(B3791),Client_List!$A:$A,0)),""))</f>
        <v/>
      </c>
      <c r="I3791" s="70">
        <f>IF(B3791="","",IFERROR(A3791-LOOKUP(2,1/($B$4:$B3790=B3791),$A$4:$A3790),""))</f>
        <v/>
      </c>
      <c r="J3791" s="32">
        <f>IF(B3791="","",IFERROR(D3791/I3791,""))</f>
        <v/>
      </c>
      <c r="K3791" s="71">
        <f>IF(B3791="","",IFERROR(AVERAGEIFS($J$4:$J3791,$B$4:$B3791,B3791,$J$4:$J3791,"&gt;"&amp;0),""))</f>
        <v/>
      </c>
      <c r="L3791" s="11" t="n"/>
    </row>
    <row r="3792" ht="14" customHeight="1" s="72">
      <c r="A3792" s="83" t="n"/>
      <c r="B3792" s="81" t="n"/>
      <c r="C3792" s="69">
        <f>IF(B3792="","",IFERROR(INDEX(Client_List!$B:$B,MATCH(B3792,Client_List!$A:$A,0)),"⚠ NOT FOUND"))</f>
        <v/>
      </c>
      <c r="D3792" s="45" t="n"/>
      <c r="E3792" s="32">
        <f>IF(B3792="","",IFERROR(INDEX(Client_List!$C:$C,MATCH(VALUE(B3792),Client_List!$A:$A,0)),""))</f>
        <v/>
      </c>
      <c r="F3792" s="53">
        <f>IF(B3792="","",IFERROR(INDEX(Client_List!$D:$D,MATCH(VALUE(B3792),Client_List!$A:$A,0)),""))</f>
        <v/>
      </c>
      <c r="G3792" s="53">
        <f>IF(B3792="","",IFERROR(INDEX(Client_List!$K:$K,MATCH(VALUE(B3792),Client_List!$A:$A,0)),""))</f>
        <v/>
      </c>
      <c r="H3792" s="32">
        <f>IF(B3792="","",IFERROR(INDEX(Client_List!$J:$J,MATCH(VALUE(B3792),Client_List!$A:$A,0)),""))</f>
        <v/>
      </c>
      <c r="I3792" s="70">
        <f>IF(B3792="","",IFERROR(A3792-LOOKUP(2,1/($B$4:$B3791=B3792),$A$4:$A3791),""))</f>
        <v/>
      </c>
      <c r="J3792" s="32">
        <f>IF(B3792="","",IFERROR(D3792/I3792,""))</f>
        <v/>
      </c>
      <c r="K3792" s="71">
        <f>IF(B3792="","",IFERROR(AVERAGEIFS($J$4:$J3792,$B$4:$B3792,B3792,$J$4:$J3792,"&gt;"&amp;0),""))</f>
        <v/>
      </c>
      <c r="L3792" s="12" t="n"/>
    </row>
    <row r="3793" ht="14" customHeight="1" s="72">
      <c r="A3793" s="82" t="n"/>
      <c r="B3793" s="79" t="n"/>
      <c r="C3793" s="69">
        <f>IF(B3793="","",IFERROR(INDEX(Client_List!$B:$B,MATCH(B3793,Client_List!$A:$A,0)),"⚠ NOT FOUND"))</f>
        <v/>
      </c>
      <c r="D3793" s="44" t="n"/>
      <c r="E3793" s="32">
        <f>IF(B3793="","",IFERROR(INDEX(Client_List!$C:$C,MATCH(VALUE(B3793),Client_List!$A:$A,0)),""))</f>
        <v/>
      </c>
      <c r="F3793" s="53">
        <f>IF(B3793="","",IFERROR(INDEX(Client_List!$D:$D,MATCH(VALUE(B3793),Client_List!$A:$A,0)),""))</f>
        <v/>
      </c>
      <c r="G3793" s="53">
        <f>IF(B3793="","",IFERROR(INDEX(Client_List!$K:$K,MATCH(VALUE(B3793),Client_List!$A:$A,0)),""))</f>
        <v/>
      </c>
      <c r="H3793" s="32">
        <f>IF(B3793="","",IFERROR(INDEX(Client_List!$J:$J,MATCH(VALUE(B3793),Client_List!$A:$A,0)),""))</f>
        <v/>
      </c>
      <c r="I3793" s="70">
        <f>IF(B3793="","",IFERROR(A3793-LOOKUP(2,1/($B$4:$B3792=B3793),$A$4:$A3792),""))</f>
        <v/>
      </c>
      <c r="J3793" s="32">
        <f>IF(B3793="","",IFERROR(D3793/I3793,""))</f>
        <v/>
      </c>
      <c r="K3793" s="71">
        <f>IF(B3793="","",IFERROR(AVERAGEIFS($J$4:$J3793,$B$4:$B3793,B3793,$J$4:$J3793,"&gt;"&amp;0),""))</f>
        <v/>
      </c>
      <c r="L3793" s="11" t="n"/>
    </row>
    <row r="3794" ht="14" customHeight="1" s="72">
      <c r="A3794" s="83" t="n"/>
      <c r="B3794" s="81" t="n"/>
      <c r="C3794" s="69">
        <f>IF(B3794="","",IFERROR(INDEX(Client_List!$B:$B,MATCH(B3794,Client_List!$A:$A,0)),"⚠ NOT FOUND"))</f>
        <v/>
      </c>
      <c r="D3794" s="45" t="n"/>
      <c r="E3794" s="32">
        <f>IF(B3794="","",IFERROR(INDEX(Client_List!$C:$C,MATCH(VALUE(B3794),Client_List!$A:$A,0)),""))</f>
        <v/>
      </c>
      <c r="F3794" s="53">
        <f>IF(B3794="","",IFERROR(INDEX(Client_List!$D:$D,MATCH(VALUE(B3794),Client_List!$A:$A,0)),""))</f>
        <v/>
      </c>
      <c r="G3794" s="53">
        <f>IF(B3794="","",IFERROR(INDEX(Client_List!$K:$K,MATCH(VALUE(B3794),Client_List!$A:$A,0)),""))</f>
        <v/>
      </c>
      <c r="H3794" s="32">
        <f>IF(B3794="","",IFERROR(INDEX(Client_List!$J:$J,MATCH(VALUE(B3794),Client_List!$A:$A,0)),""))</f>
        <v/>
      </c>
      <c r="I3794" s="70">
        <f>IF(B3794="","",IFERROR(A3794-LOOKUP(2,1/($B$4:$B3793=B3794),$A$4:$A3793),""))</f>
        <v/>
      </c>
      <c r="J3794" s="32">
        <f>IF(B3794="","",IFERROR(D3794/I3794,""))</f>
        <v/>
      </c>
      <c r="K3794" s="71">
        <f>IF(B3794="","",IFERROR(AVERAGEIFS($J$4:$J3794,$B$4:$B3794,B3794,$J$4:$J3794,"&gt;"&amp;0),""))</f>
        <v/>
      </c>
      <c r="L3794" s="12" t="n"/>
    </row>
    <row r="3795" ht="14" customHeight="1" s="72">
      <c r="A3795" s="82" t="n"/>
      <c r="B3795" s="79" t="n"/>
      <c r="C3795" s="69">
        <f>IF(B3795="","",IFERROR(INDEX(Client_List!$B:$B,MATCH(B3795,Client_List!$A:$A,0)),"⚠ NOT FOUND"))</f>
        <v/>
      </c>
      <c r="D3795" s="44" t="n"/>
      <c r="E3795" s="32">
        <f>IF(B3795="","",IFERROR(INDEX(Client_List!$C:$C,MATCH(VALUE(B3795),Client_List!$A:$A,0)),""))</f>
        <v/>
      </c>
      <c r="F3795" s="53">
        <f>IF(B3795="","",IFERROR(INDEX(Client_List!$D:$D,MATCH(VALUE(B3795),Client_List!$A:$A,0)),""))</f>
        <v/>
      </c>
      <c r="G3795" s="53">
        <f>IF(B3795="","",IFERROR(INDEX(Client_List!$K:$K,MATCH(VALUE(B3795),Client_List!$A:$A,0)),""))</f>
        <v/>
      </c>
      <c r="H3795" s="32">
        <f>IF(B3795="","",IFERROR(INDEX(Client_List!$J:$J,MATCH(VALUE(B3795),Client_List!$A:$A,0)),""))</f>
        <v/>
      </c>
      <c r="I3795" s="70">
        <f>IF(B3795="","",IFERROR(A3795-LOOKUP(2,1/($B$4:$B3794=B3795),$A$4:$A3794),""))</f>
        <v/>
      </c>
      <c r="J3795" s="32">
        <f>IF(B3795="","",IFERROR(D3795/I3795,""))</f>
        <v/>
      </c>
      <c r="K3795" s="71">
        <f>IF(B3795="","",IFERROR(AVERAGEIFS($J$4:$J3795,$B$4:$B3795,B3795,$J$4:$J3795,"&gt;"&amp;0),""))</f>
        <v/>
      </c>
      <c r="L3795" s="11" t="n"/>
    </row>
    <row r="3796" ht="14" customHeight="1" s="72">
      <c r="A3796" s="83" t="n"/>
      <c r="B3796" s="81" t="n"/>
      <c r="C3796" s="69">
        <f>IF(B3796="","",IFERROR(INDEX(Client_List!$B:$B,MATCH(B3796,Client_List!$A:$A,0)),"⚠ NOT FOUND"))</f>
        <v/>
      </c>
      <c r="D3796" s="45" t="n"/>
      <c r="E3796" s="32">
        <f>IF(B3796="","",IFERROR(INDEX(Client_List!$C:$C,MATCH(VALUE(B3796),Client_List!$A:$A,0)),""))</f>
        <v/>
      </c>
      <c r="F3796" s="53">
        <f>IF(B3796="","",IFERROR(INDEX(Client_List!$D:$D,MATCH(VALUE(B3796),Client_List!$A:$A,0)),""))</f>
        <v/>
      </c>
      <c r="G3796" s="53">
        <f>IF(B3796="","",IFERROR(INDEX(Client_List!$K:$K,MATCH(VALUE(B3796),Client_List!$A:$A,0)),""))</f>
        <v/>
      </c>
      <c r="H3796" s="32">
        <f>IF(B3796="","",IFERROR(INDEX(Client_List!$J:$J,MATCH(VALUE(B3796),Client_List!$A:$A,0)),""))</f>
        <v/>
      </c>
      <c r="I3796" s="70">
        <f>IF(B3796="","",IFERROR(A3796-LOOKUP(2,1/($B$4:$B3795=B3796),$A$4:$A3795),""))</f>
        <v/>
      </c>
      <c r="J3796" s="32">
        <f>IF(B3796="","",IFERROR(D3796/I3796,""))</f>
        <v/>
      </c>
      <c r="K3796" s="71">
        <f>IF(B3796="","",IFERROR(AVERAGEIFS($J$4:$J3796,$B$4:$B3796,B3796,$J$4:$J3796,"&gt;"&amp;0),""))</f>
        <v/>
      </c>
      <c r="L3796" s="12" t="n"/>
    </row>
    <row r="3797" ht="14" customHeight="1" s="72">
      <c r="A3797" s="82" t="n"/>
      <c r="B3797" s="79" t="n"/>
      <c r="C3797" s="69">
        <f>IF(B3797="","",IFERROR(INDEX(Client_List!$B:$B,MATCH(B3797,Client_List!$A:$A,0)),"⚠ NOT FOUND"))</f>
        <v/>
      </c>
      <c r="D3797" s="44" t="n"/>
      <c r="E3797" s="32">
        <f>IF(B3797="","",IFERROR(INDEX(Client_List!$C:$C,MATCH(VALUE(B3797),Client_List!$A:$A,0)),""))</f>
        <v/>
      </c>
      <c r="F3797" s="53">
        <f>IF(B3797="","",IFERROR(INDEX(Client_List!$D:$D,MATCH(VALUE(B3797),Client_List!$A:$A,0)),""))</f>
        <v/>
      </c>
      <c r="G3797" s="53">
        <f>IF(B3797="","",IFERROR(INDEX(Client_List!$K:$K,MATCH(VALUE(B3797),Client_List!$A:$A,0)),""))</f>
        <v/>
      </c>
      <c r="H3797" s="32">
        <f>IF(B3797="","",IFERROR(INDEX(Client_List!$J:$J,MATCH(VALUE(B3797),Client_List!$A:$A,0)),""))</f>
        <v/>
      </c>
      <c r="I3797" s="70">
        <f>IF(B3797="","",IFERROR(A3797-LOOKUP(2,1/($B$4:$B3796=B3797),$A$4:$A3796),""))</f>
        <v/>
      </c>
      <c r="J3797" s="32">
        <f>IF(B3797="","",IFERROR(D3797/I3797,""))</f>
        <v/>
      </c>
      <c r="K3797" s="71">
        <f>IF(B3797="","",IFERROR(AVERAGEIFS($J$4:$J3797,$B$4:$B3797,B3797,$J$4:$J3797,"&gt;"&amp;0),""))</f>
        <v/>
      </c>
      <c r="L3797" s="11" t="n"/>
    </row>
    <row r="3798" ht="14" customHeight="1" s="72">
      <c r="A3798" s="83" t="n"/>
      <c r="B3798" s="81" t="n"/>
      <c r="C3798" s="69">
        <f>IF(B3798="","",IFERROR(INDEX(Client_List!$B:$B,MATCH(B3798,Client_List!$A:$A,0)),"⚠ NOT FOUND"))</f>
        <v/>
      </c>
      <c r="D3798" s="45" t="n"/>
      <c r="E3798" s="32">
        <f>IF(B3798="","",IFERROR(INDEX(Client_List!$C:$C,MATCH(VALUE(B3798),Client_List!$A:$A,0)),""))</f>
        <v/>
      </c>
      <c r="F3798" s="53">
        <f>IF(B3798="","",IFERROR(INDEX(Client_List!$D:$D,MATCH(VALUE(B3798),Client_List!$A:$A,0)),""))</f>
        <v/>
      </c>
      <c r="G3798" s="53">
        <f>IF(B3798="","",IFERROR(INDEX(Client_List!$K:$K,MATCH(VALUE(B3798),Client_List!$A:$A,0)),""))</f>
        <v/>
      </c>
      <c r="H3798" s="32">
        <f>IF(B3798="","",IFERROR(INDEX(Client_List!$J:$J,MATCH(VALUE(B3798),Client_List!$A:$A,0)),""))</f>
        <v/>
      </c>
      <c r="I3798" s="70">
        <f>IF(B3798="","",IFERROR(A3798-LOOKUP(2,1/($B$4:$B3797=B3798),$A$4:$A3797),""))</f>
        <v/>
      </c>
      <c r="J3798" s="32">
        <f>IF(B3798="","",IFERROR(D3798/I3798,""))</f>
        <v/>
      </c>
      <c r="K3798" s="71">
        <f>IF(B3798="","",IFERROR(AVERAGEIFS($J$4:$J3798,$B$4:$B3798,B3798,$J$4:$J3798,"&gt;"&amp;0),""))</f>
        <v/>
      </c>
      <c r="L3798" s="12" t="n"/>
    </row>
    <row r="3799" ht="14" customHeight="1" s="72">
      <c r="A3799" s="82" t="n"/>
      <c r="B3799" s="79" t="n"/>
      <c r="C3799" s="69">
        <f>IF(B3799="","",IFERROR(INDEX(Client_List!$B:$B,MATCH(B3799,Client_List!$A:$A,0)),"⚠ NOT FOUND"))</f>
        <v/>
      </c>
      <c r="D3799" s="44" t="n"/>
      <c r="E3799" s="32">
        <f>IF(B3799="","",IFERROR(INDEX(Client_List!$C:$C,MATCH(VALUE(B3799),Client_List!$A:$A,0)),""))</f>
        <v/>
      </c>
      <c r="F3799" s="53">
        <f>IF(B3799="","",IFERROR(INDEX(Client_List!$D:$D,MATCH(VALUE(B3799),Client_List!$A:$A,0)),""))</f>
        <v/>
      </c>
      <c r="G3799" s="53">
        <f>IF(B3799="","",IFERROR(INDEX(Client_List!$K:$K,MATCH(VALUE(B3799),Client_List!$A:$A,0)),""))</f>
        <v/>
      </c>
      <c r="H3799" s="32">
        <f>IF(B3799="","",IFERROR(INDEX(Client_List!$J:$J,MATCH(VALUE(B3799),Client_List!$A:$A,0)),""))</f>
        <v/>
      </c>
      <c r="I3799" s="70">
        <f>IF(B3799="","",IFERROR(A3799-LOOKUP(2,1/($B$4:$B3798=B3799),$A$4:$A3798),""))</f>
        <v/>
      </c>
      <c r="J3799" s="32">
        <f>IF(B3799="","",IFERROR(D3799/I3799,""))</f>
        <v/>
      </c>
      <c r="K3799" s="71">
        <f>IF(B3799="","",IFERROR(AVERAGEIFS($J$4:$J3799,$B$4:$B3799,B3799,$J$4:$J3799,"&gt;"&amp;0),""))</f>
        <v/>
      </c>
      <c r="L3799" s="11" t="n"/>
    </row>
    <row r="3800" ht="14" customHeight="1" s="72">
      <c r="A3800" s="83" t="n"/>
      <c r="B3800" s="81" t="n"/>
      <c r="C3800" s="69">
        <f>IF(B3800="","",IFERROR(INDEX(Client_List!$B:$B,MATCH(B3800,Client_List!$A:$A,0)),"⚠ NOT FOUND"))</f>
        <v/>
      </c>
      <c r="D3800" s="45" t="n"/>
      <c r="E3800" s="32">
        <f>IF(B3800="","",IFERROR(INDEX(Client_List!$C:$C,MATCH(VALUE(B3800),Client_List!$A:$A,0)),""))</f>
        <v/>
      </c>
      <c r="F3800" s="53">
        <f>IF(B3800="","",IFERROR(INDEX(Client_List!$D:$D,MATCH(VALUE(B3800),Client_List!$A:$A,0)),""))</f>
        <v/>
      </c>
      <c r="G3800" s="53">
        <f>IF(B3800="","",IFERROR(INDEX(Client_List!$K:$K,MATCH(VALUE(B3800),Client_List!$A:$A,0)),""))</f>
        <v/>
      </c>
      <c r="H3800" s="32">
        <f>IF(B3800="","",IFERROR(INDEX(Client_List!$J:$J,MATCH(VALUE(B3800),Client_List!$A:$A,0)),""))</f>
        <v/>
      </c>
      <c r="I3800" s="70">
        <f>IF(B3800="","",IFERROR(A3800-LOOKUP(2,1/($B$4:$B3799=B3800),$A$4:$A3799),""))</f>
        <v/>
      </c>
      <c r="J3800" s="32">
        <f>IF(B3800="","",IFERROR(D3800/I3800,""))</f>
        <v/>
      </c>
      <c r="K3800" s="71">
        <f>IF(B3800="","",IFERROR(AVERAGEIFS($J$4:$J3800,$B$4:$B3800,B3800,$J$4:$J3800,"&gt;"&amp;0),""))</f>
        <v/>
      </c>
      <c r="L3800" s="12" t="n"/>
    </row>
    <row r="3801" ht="14" customHeight="1" s="72">
      <c r="A3801" s="82" t="n"/>
      <c r="B3801" s="79" t="n"/>
      <c r="C3801" s="69">
        <f>IF(B3801="","",IFERROR(INDEX(Client_List!$B:$B,MATCH(B3801,Client_List!$A:$A,0)),"⚠ NOT FOUND"))</f>
        <v/>
      </c>
      <c r="D3801" s="44" t="n"/>
      <c r="E3801" s="32">
        <f>IF(B3801="","",IFERROR(INDEX(Client_List!$C:$C,MATCH(VALUE(B3801),Client_List!$A:$A,0)),""))</f>
        <v/>
      </c>
      <c r="F3801" s="53">
        <f>IF(B3801="","",IFERROR(INDEX(Client_List!$D:$D,MATCH(VALUE(B3801),Client_List!$A:$A,0)),""))</f>
        <v/>
      </c>
      <c r="G3801" s="53">
        <f>IF(B3801="","",IFERROR(INDEX(Client_List!$K:$K,MATCH(VALUE(B3801),Client_List!$A:$A,0)),""))</f>
        <v/>
      </c>
      <c r="H3801" s="32">
        <f>IF(B3801="","",IFERROR(INDEX(Client_List!$J:$J,MATCH(VALUE(B3801),Client_List!$A:$A,0)),""))</f>
        <v/>
      </c>
      <c r="I3801" s="70">
        <f>IF(B3801="","",IFERROR(A3801-LOOKUP(2,1/($B$4:$B3800=B3801),$A$4:$A3800),""))</f>
        <v/>
      </c>
      <c r="J3801" s="32">
        <f>IF(B3801="","",IFERROR(D3801/I3801,""))</f>
        <v/>
      </c>
      <c r="K3801" s="71">
        <f>IF(B3801="","",IFERROR(AVERAGEIFS($J$4:$J3801,$B$4:$B3801,B3801,$J$4:$J3801,"&gt;"&amp;0),""))</f>
        <v/>
      </c>
      <c r="L3801" s="11" t="n"/>
    </row>
    <row r="3802" ht="14" customHeight="1" s="72">
      <c r="A3802" s="83" t="n"/>
      <c r="B3802" s="81" t="n"/>
      <c r="C3802" s="69">
        <f>IF(B3802="","",IFERROR(INDEX(Client_List!$B:$B,MATCH(B3802,Client_List!$A:$A,0)),"⚠ NOT FOUND"))</f>
        <v/>
      </c>
      <c r="D3802" s="45" t="n"/>
      <c r="E3802" s="32">
        <f>IF(B3802="","",IFERROR(INDEX(Client_List!$C:$C,MATCH(VALUE(B3802),Client_List!$A:$A,0)),""))</f>
        <v/>
      </c>
      <c r="F3802" s="53">
        <f>IF(B3802="","",IFERROR(INDEX(Client_List!$D:$D,MATCH(VALUE(B3802),Client_List!$A:$A,0)),""))</f>
        <v/>
      </c>
      <c r="G3802" s="53">
        <f>IF(B3802="","",IFERROR(INDEX(Client_List!$K:$K,MATCH(VALUE(B3802),Client_List!$A:$A,0)),""))</f>
        <v/>
      </c>
      <c r="H3802" s="32">
        <f>IF(B3802="","",IFERROR(INDEX(Client_List!$J:$J,MATCH(VALUE(B3802),Client_List!$A:$A,0)),""))</f>
        <v/>
      </c>
      <c r="I3802" s="70">
        <f>IF(B3802="","",IFERROR(A3802-LOOKUP(2,1/($B$4:$B3801=B3802),$A$4:$A3801),""))</f>
        <v/>
      </c>
      <c r="J3802" s="32">
        <f>IF(B3802="","",IFERROR(D3802/I3802,""))</f>
        <v/>
      </c>
      <c r="K3802" s="71">
        <f>IF(B3802="","",IFERROR(AVERAGEIFS($J$4:$J3802,$B$4:$B3802,B3802,$J$4:$J3802,"&gt;"&amp;0),""))</f>
        <v/>
      </c>
      <c r="L3802" s="12" t="n"/>
    </row>
    <row r="3803" ht="14" customHeight="1" s="72">
      <c r="A3803" s="82" t="n"/>
      <c r="B3803" s="79" t="n"/>
      <c r="C3803" s="69">
        <f>IF(B3803="","",IFERROR(INDEX(Client_List!$B:$B,MATCH(B3803,Client_List!$A:$A,0)),"⚠ NOT FOUND"))</f>
        <v/>
      </c>
      <c r="D3803" s="44" t="n"/>
      <c r="E3803" s="32">
        <f>IF(B3803="","",IFERROR(INDEX(Client_List!$C:$C,MATCH(VALUE(B3803),Client_List!$A:$A,0)),""))</f>
        <v/>
      </c>
      <c r="F3803" s="53">
        <f>IF(B3803="","",IFERROR(INDEX(Client_List!$D:$D,MATCH(VALUE(B3803),Client_List!$A:$A,0)),""))</f>
        <v/>
      </c>
      <c r="G3803" s="53">
        <f>IF(B3803="","",IFERROR(INDEX(Client_List!$K:$K,MATCH(VALUE(B3803),Client_List!$A:$A,0)),""))</f>
        <v/>
      </c>
      <c r="H3803" s="32">
        <f>IF(B3803="","",IFERROR(INDEX(Client_List!$J:$J,MATCH(VALUE(B3803),Client_List!$A:$A,0)),""))</f>
        <v/>
      </c>
      <c r="I3803" s="70">
        <f>IF(B3803="","",IFERROR(A3803-LOOKUP(2,1/($B$4:$B3802=B3803),$A$4:$A3802),""))</f>
        <v/>
      </c>
      <c r="J3803" s="32">
        <f>IF(B3803="","",IFERROR(D3803/I3803,""))</f>
        <v/>
      </c>
      <c r="K3803" s="71">
        <f>IF(B3803="","",IFERROR(AVERAGEIFS($J$4:$J3803,$B$4:$B3803,B3803,$J$4:$J3803,"&gt;"&amp;0),""))</f>
        <v/>
      </c>
      <c r="L3803" s="11" t="n"/>
    </row>
    <row r="3804" ht="14" customHeight="1" s="72">
      <c r="A3804" s="83" t="n"/>
      <c r="B3804" s="81" t="n"/>
      <c r="C3804" s="69">
        <f>IF(B3804="","",IFERROR(INDEX(Client_List!$B:$B,MATCH(B3804,Client_List!$A:$A,0)),"⚠ NOT FOUND"))</f>
        <v/>
      </c>
      <c r="D3804" s="45" t="n"/>
      <c r="E3804" s="32">
        <f>IF(B3804="","",IFERROR(INDEX(Client_List!$C:$C,MATCH(VALUE(B3804),Client_List!$A:$A,0)),""))</f>
        <v/>
      </c>
      <c r="F3804" s="53">
        <f>IF(B3804="","",IFERROR(INDEX(Client_List!$D:$D,MATCH(VALUE(B3804),Client_List!$A:$A,0)),""))</f>
        <v/>
      </c>
      <c r="G3804" s="53">
        <f>IF(B3804="","",IFERROR(INDEX(Client_List!$K:$K,MATCH(VALUE(B3804),Client_List!$A:$A,0)),""))</f>
        <v/>
      </c>
      <c r="H3804" s="32">
        <f>IF(B3804="","",IFERROR(INDEX(Client_List!$J:$J,MATCH(VALUE(B3804),Client_List!$A:$A,0)),""))</f>
        <v/>
      </c>
      <c r="I3804" s="70">
        <f>IF(B3804="","",IFERROR(A3804-LOOKUP(2,1/($B$4:$B3803=B3804),$A$4:$A3803),""))</f>
        <v/>
      </c>
      <c r="J3804" s="32">
        <f>IF(B3804="","",IFERROR(D3804/I3804,""))</f>
        <v/>
      </c>
      <c r="K3804" s="71">
        <f>IF(B3804="","",IFERROR(AVERAGEIFS($J$4:$J3804,$B$4:$B3804,B3804,$J$4:$J3804,"&gt;"&amp;0),""))</f>
        <v/>
      </c>
      <c r="L3804" s="12" t="n"/>
    </row>
    <row r="3805" ht="14" customHeight="1" s="72">
      <c r="A3805" s="82" t="n"/>
      <c r="B3805" s="79" t="n"/>
      <c r="C3805" s="69">
        <f>IF(B3805="","",IFERROR(INDEX(Client_List!$B:$B,MATCH(B3805,Client_List!$A:$A,0)),"⚠ NOT FOUND"))</f>
        <v/>
      </c>
      <c r="D3805" s="44" t="n"/>
      <c r="E3805" s="32">
        <f>IF(B3805="","",IFERROR(INDEX(Client_List!$C:$C,MATCH(VALUE(B3805),Client_List!$A:$A,0)),""))</f>
        <v/>
      </c>
      <c r="F3805" s="53">
        <f>IF(B3805="","",IFERROR(INDEX(Client_List!$D:$D,MATCH(VALUE(B3805),Client_List!$A:$A,0)),""))</f>
        <v/>
      </c>
      <c r="G3805" s="53">
        <f>IF(B3805="","",IFERROR(INDEX(Client_List!$K:$K,MATCH(VALUE(B3805),Client_List!$A:$A,0)),""))</f>
        <v/>
      </c>
      <c r="H3805" s="32">
        <f>IF(B3805="","",IFERROR(INDEX(Client_List!$J:$J,MATCH(VALUE(B3805),Client_List!$A:$A,0)),""))</f>
        <v/>
      </c>
      <c r="I3805" s="70">
        <f>IF(B3805="","",IFERROR(A3805-LOOKUP(2,1/($B$4:$B3804=B3805),$A$4:$A3804),""))</f>
        <v/>
      </c>
      <c r="J3805" s="32">
        <f>IF(B3805="","",IFERROR(D3805/I3805,""))</f>
        <v/>
      </c>
      <c r="K3805" s="71">
        <f>IF(B3805="","",IFERROR(AVERAGEIFS($J$4:$J3805,$B$4:$B3805,B3805,$J$4:$J3805,"&gt;"&amp;0),""))</f>
        <v/>
      </c>
      <c r="L3805" s="11" t="n"/>
    </row>
    <row r="3806" ht="14" customHeight="1" s="72">
      <c r="A3806" s="83" t="n"/>
      <c r="B3806" s="81" t="n"/>
      <c r="C3806" s="69">
        <f>IF(B3806="","",IFERROR(INDEX(Client_List!$B:$B,MATCH(B3806,Client_List!$A:$A,0)),"⚠ NOT FOUND"))</f>
        <v/>
      </c>
      <c r="D3806" s="45" t="n"/>
      <c r="E3806" s="32">
        <f>IF(B3806="","",IFERROR(INDEX(Client_List!$C:$C,MATCH(VALUE(B3806),Client_List!$A:$A,0)),""))</f>
        <v/>
      </c>
      <c r="F3806" s="53">
        <f>IF(B3806="","",IFERROR(INDEX(Client_List!$D:$D,MATCH(VALUE(B3806),Client_List!$A:$A,0)),""))</f>
        <v/>
      </c>
      <c r="G3806" s="53">
        <f>IF(B3806="","",IFERROR(INDEX(Client_List!$K:$K,MATCH(VALUE(B3806),Client_List!$A:$A,0)),""))</f>
        <v/>
      </c>
      <c r="H3806" s="32">
        <f>IF(B3806="","",IFERROR(INDEX(Client_List!$J:$J,MATCH(VALUE(B3806),Client_List!$A:$A,0)),""))</f>
        <v/>
      </c>
      <c r="I3806" s="70">
        <f>IF(B3806="","",IFERROR(A3806-LOOKUP(2,1/($B$4:$B3805=B3806),$A$4:$A3805),""))</f>
        <v/>
      </c>
      <c r="J3806" s="32">
        <f>IF(B3806="","",IFERROR(D3806/I3806,""))</f>
        <v/>
      </c>
      <c r="K3806" s="71">
        <f>IF(B3806="","",IFERROR(AVERAGEIFS($J$4:$J3806,$B$4:$B3806,B3806,$J$4:$J3806,"&gt;"&amp;0),""))</f>
        <v/>
      </c>
      <c r="L3806" s="12" t="n"/>
    </row>
    <row r="3807" ht="14" customHeight="1" s="72">
      <c r="A3807" s="82" t="n"/>
      <c r="B3807" s="79" t="n"/>
      <c r="C3807" s="69">
        <f>IF(B3807="","",IFERROR(INDEX(Client_List!$B:$B,MATCH(B3807,Client_List!$A:$A,0)),"⚠ NOT FOUND"))</f>
        <v/>
      </c>
      <c r="D3807" s="44" t="n"/>
      <c r="E3807" s="32">
        <f>IF(B3807="","",IFERROR(INDEX(Client_List!$C:$C,MATCH(VALUE(B3807),Client_List!$A:$A,0)),""))</f>
        <v/>
      </c>
      <c r="F3807" s="53">
        <f>IF(B3807="","",IFERROR(INDEX(Client_List!$D:$D,MATCH(VALUE(B3807),Client_List!$A:$A,0)),""))</f>
        <v/>
      </c>
      <c r="G3807" s="53">
        <f>IF(B3807="","",IFERROR(INDEX(Client_List!$K:$K,MATCH(VALUE(B3807),Client_List!$A:$A,0)),""))</f>
        <v/>
      </c>
      <c r="H3807" s="32">
        <f>IF(B3807="","",IFERROR(INDEX(Client_List!$J:$J,MATCH(VALUE(B3807),Client_List!$A:$A,0)),""))</f>
        <v/>
      </c>
      <c r="I3807" s="70">
        <f>IF(B3807="","",IFERROR(A3807-LOOKUP(2,1/($B$4:$B3806=B3807),$A$4:$A3806),""))</f>
        <v/>
      </c>
      <c r="J3807" s="32">
        <f>IF(B3807="","",IFERROR(D3807/I3807,""))</f>
        <v/>
      </c>
      <c r="K3807" s="71">
        <f>IF(B3807="","",IFERROR(AVERAGEIFS($J$4:$J3807,$B$4:$B3807,B3807,$J$4:$J3807,"&gt;"&amp;0),""))</f>
        <v/>
      </c>
      <c r="L3807" s="11" t="n"/>
    </row>
    <row r="3808" ht="14" customHeight="1" s="72">
      <c r="A3808" s="83" t="n"/>
      <c r="B3808" s="81" t="n"/>
      <c r="C3808" s="69">
        <f>IF(B3808="","",IFERROR(INDEX(Client_List!$B:$B,MATCH(B3808,Client_List!$A:$A,0)),"⚠ NOT FOUND"))</f>
        <v/>
      </c>
      <c r="D3808" s="45" t="n"/>
      <c r="E3808" s="32">
        <f>IF(B3808="","",IFERROR(INDEX(Client_List!$C:$C,MATCH(VALUE(B3808),Client_List!$A:$A,0)),""))</f>
        <v/>
      </c>
      <c r="F3808" s="53">
        <f>IF(B3808="","",IFERROR(INDEX(Client_List!$D:$D,MATCH(VALUE(B3808),Client_List!$A:$A,0)),""))</f>
        <v/>
      </c>
      <c r="G3808" s="53">
        <f>IF(B3808="","",IFERROR(INDEX(Client_List!$K:$K,MATCH(VALUE(B3808),Client_List!$A:$A,0)),""))</f>
        <v/>
      </c>
      <c r="H3808" s="32">
        <f>IF(B3808="","",IFERROR(INDEX(Client_List!$J:$J,MATCH(VALUE(B3808),Client_List!$A:$A,0)),""))</f>
        <v/>
      </c>
      <c r="I3808" s="70">
        <f>IF(B3808="","",IFERROR(A3808-LOOKUP(2,1/($B$4:$B3807=B3808),$A$4:$A3807),""))</f>
        <v/>
      </c>
      <c r="J3808" s="32">
        <f>IF(B3808="","",IFERROR(D3808/I3808,""))</f>
        <v/>
      </c>
      <c r="K3808" s="71">
        <f>IF(B3808="","",IFERROR(AVERAGEIFS($J$4:$J3808,$B$4:$B3808,B3808,$J$4:$J3808,"&gt;"&amp;0),""))</f>
        <v/>
      </c>
      <c r="L3808" s="12" t="n"/>
    </row>
    <row r="3809" ht="14" customHeight="1" s="72">
      <c r="A3809" s="82" t="n"/>
      <c r="B3809" s="79" t="n"/>
      <c r="C3809" s="69">
        <f>IF(B3809="","",IFERROR(INDEX(Client_List!$B:$B,MATCH(B3809,Client_List!$A:$A,0)),"⚠ NOT FOUND"))</f>
        <v/>
      </c>
      <c r="D3809" s="44" t="n"/>
      <c r="E3809" s="32">
        <f>IF(B3809="","",IFERROR(INDEX(Client_List!$C:$C,MATCH(VALUE(B3809),Client_List!$A:$A,0)),""))</f>
        <v/>
      </c>
      <c r="F3809" s="53">
        <f>IF(B3809="","",IFERROR(INDEX(Client_List!$D:$D,MATCH(VALUE(B3809),Client_List!$A:$A,0)),""))</f>
        <v/>
      </c>
      <c r="G3809" s="53">
        <f>IF(B3809="","",IFERROR(INDEX(Client_List!$K:$K,MATCH(VALUE(B3809),Client_List!$A:$A,0)),""))</f>
        <v/>
      </c>
      <c r="H3809" s="32">
        <f>IF(B3809="","",IFERROR(INDEX(Client_List!$J:$J,MATCH(VALUE(B3809),Client_List!$A:$A,0)),""))</f>
        <v/>
      </c>
      <c r="I3809" s="70">
        <f>IF(B3809="","",IFERROR(A3809-LOOKUP(2,1/($B$4:$B3808=B3809),$A$4:$A3808),""))</f>
        <v/>
      </c>
      <c r="J3809" s="32">
        <f>IF(B3809="","",IFERROR(D3809/I3809,""))</f>
        <v/>
      </c>
      <c r="K3809" s="71">
        <f>IF(B3809="","",IFERROR(AVERAGEIFS($J$4:$J3809,$B$4:$B3809,B3809,$J$4:$J3809,"&gt;"&amp;0),""))</f>
        <v/>
      </c>
      <c r="L3809" s="11" t="n"/>
    </row>
    <row r="3810" ht="14" customHeight="1" s="72">
      <c r="A3810" s="83" t="n"/>
      <c r="B3810" s="81" t="n"/>
      <c r="C3810" s="69">
        <f>IF(B3810="","",IFERROR(INDEX(Client_List!$B:$B,MATCH(B3810,Client_List!$A:$A,0)),"⚠ NOT FOUND"))</f>
        <v/>
      </c>
      <c r="D3810" s="45" t="n"/>
      <c r="E3810" s="32">
        <f>IF(B3810="","",IFERROR(INDEX(Client_List!$C:$C,MATCH(VALUE(B3810),Client_List!$A:$A,0)),""))</f>
        <v/>
      </c>
      <c r="F3810" s="53">
        <f>IF(B3810="","",IFERROR(INDEX(Client_List!$D:$D,MATCH(VALUE(B3810),Client_List!$A:$A,0)),""))</f>
        <v/>
      </c>
      <c r="G3810" s="53">
        <f>IF(B3810="","",IFERROR(INDEX(Client_List!$K:$K,MATCH(VALUE(B3810),Client_List!$A:$A,0)),""))</f>
        <v/>
      </c>
      <c r="H3810" s="32">
        <f>IF(B3810="","",IFERROR(INDEX(Client_List!$J:$J,MATCH(VALUE(B3810),Client_List!$A:$A,0)),""))</f>
        <v/>
      </c>
      <c r="I3810" s="70">
        <f>IF(B3810="","",IFERROR(A3810-LOOKUP(2,1/($B$4:$B3809=B3810),$A$4:$A3809),""))</f>
        <v/>
      </c>
      <c r="J3810" s="32">
        <f>IF(B3810="","",IFERROR(D3810/I3810,""))</f>
        <v/>
      </c>
      <c r="K3810" s="71">
        <f>IF(B3810="","",IFERROR(AVERAGEIFS($J$4:$J3810,$B$4:$B3810,B3810,$J$4:$J3810,"&gt;"&amp;0),""))</f>
        <v/>
      </c>
      <c r="L3810" s="12" t="n"/>
    </row>
    <row r="3811" ht="14" customHeight="1" s="72">
      <c r="A3811" s="82" t="n"/>
      <c r="B3811" s="79" t="n"/>
      <c r="C3811" s="69">
        <f>IF(B3811="","",IFERROR(INDEX(Client_List!$B:$B,MATCH(B3811,Client_List!$A:$A,0)),"⚠ NOT FOUND"))</f>
        <v/>
      </c>
      <c r="D3811" s="44" t="n"/>
      <c r="E3811" s="32">
        <f>IF(B3811="","",IFERROR(INDEX(Client_List!$C:$C,MATCH(VALUE(B3811),Client_List!$A:$A,0)),""))</f>
        <v/>
      </c>
      <c r="F3811" s="53">
        <f>IF(B3811="","",IFERROR(INDEX(Client_List!$D:$D,MATCH(VALUE(B3811),Client_List!$A:$A,0)),""))</f>
        <v/>
      </c>
      <c r="G3811" s="53">
        <f>IF(B3811="","",IFERROR(INDEX(Client_List!$K:$K,MATCH(VALUE(B3811),Client_List!$A:$A,0)),""))</f>
        <v/>
      </c>
      <c r="H3811" s="32">
        <f>IF(B3811="","",IFERROR(INDEX(Client_List!$J:$J,MATCH(VALUE(B3811),Client_List!$A:$A,0)),""))</f>
        <v/>
      </c>
      <c r="I3811" s="70">
        <f>IF(B3811="","",IFERROR(A3811-LOOKUP(2,1/($B$4:$B3810=B3811),$A$4:$A3810),""))</f>
        <v/>
      </c>
      <c r="J3811" s="32">
        <f>IF(B3811="","",IFERROR(D3811/I3811,""))</f>
        <v/>
      </c>
      <c r="K3811" s="71">
        <f>IF(B3811="","",IFERROR(AVERAGEIFS($J$4:$J3811,$B$4:$B3811,B3811,$J$4:$J3811,"&gt;"&amp;0),""))</f>
        <v/>
      </c>
      <c r="L3811" s="11" t="n"/>
    </row>
    <row r="3812" ht="14" customHeight="1" s="72">
      <c r="A3812" s="83" t="n"/>
      <c r="B3812" s="81" t="n"/>
      <c r="C3812" s="69">
        <f>IF(B3812="","",IFERROR(INDEX(Client_List!$B:$B,MATCH(B3812,Client_List!$A:$A,0)),"⚠ NOT FOUND"))</f>
        <v/>
      </c>
      <c r="D3812" s="45" t="n"/>
      <c r="E3812" s="32">
        <f>IF(B3812="","",IFERROR(INDEX(Client_List!$C:$C,MATCH(VALUE(B3812),Client_List!$A:$A,0)),""))</f>
        <v/>
      </c>
      <c r="F3812" s="53">
        <f>IF(B3812="","",IFERROR(INDEX(Client_List!$D:$D,MATCH(VALUE(B3812),Client_List!$A:$A,0)),""))</f>
        <v/>
      </c>
      <c r="G3812" s="53">
        <f>IF(B3812="","",IFERROR(INDEX(Client_List!$K:$K,MATCH(VALUE(B3812),Client_List!$A:$A,0)),""))</f>
        <v/>
      </c>
      <c r="H3812" s="32">
        <f>IF(B3812="","",IFERROR(INDEX(Client_List!$J:$J,MATCH(VALUE(B3812),Client_List!$A:$A,0)),""))</f>
        <v/>
      </c>
      <c r="I3812" s="70">
        <f>IF(B3812="","",IFERROR(A3812-LOOKUP(2,1/($B$4:$B3811=B3812),$A$4:$A3811),""))</f>
        <v/>
      </c>
      <c r="J3812" s="32">
        <f>IF(B3812="","",IFERROR(D3812/I3812,""))</f>
        <v/>
      </c>
      <c r="K3812" s="71">
        <f>IF(B3812="","",IFERROR(AVERAGEIFS($J$4:$J3812,$B$4:$B3812,B3812,$J$4:$J3812,"&gt;"&amp;0),""))</f>
        <v/>
      </c>
      <c r="L3812" s="12" t="n"/>
    </row>
    <row r="3813" ht="14" customHeight="1" s="72">
      <c r="A3813" s="82" t="n"/>
      <c r="B3813" s="79" t="n"/>
      <c r="C3813" s="69">
        <f>IF(B3813="","",IFERROR(INDEX(Client_List!$B:$B,MATCH(B3813,Client_List!$A:$A,0)),"⚠ NOT FOUND"))</f>
        <v/>
      </c>
      <c r="D3813" s="44" t="n"/>
      <c r="E3813" s="32">
        <f>IF(B3813="","",IFERROR(INDEX(Client_List!$C:$C,MATCH(VALUE(B3813),Client_List!$A:$A,0)),""))</f>
        <v/>
      </c>
      <c r="F3813" s="53">
        <f>IF(B3813="","",IFERROR(INDEX(Client_List!$D:$D,MATCH(VALUE(B3813),Client_List!$A:$A,0)),""))</f>
        <v/>
      </c>
      <c r="G3813" s="53">
        <f>IF(B3813="","",IFERROR(INDEX(Client_List!$K:$K,MATCH(VALUE(B3813),Client_List!$A:$A,0)),""))</f>
        <v/>
      </c>
      <c r="H3813" s="32">
        <f>IF(B3813="","",IFERROR(INDEX(Client_List!$J:$J,MATCH(VALUE(B3813),Client_List!$A:$A,0)),""))</f>
        <v/>
      </c>
      <c r="I3813" s="70">
        <f>IF(B3813="","",IFERROR(A3813-LOOKUP(2,1/($B$4:$B3812=B3813),$A$4:$A3812),""))</f>
        <v/>
      </c>
      <c r="J3813" s="32">
        <f>IF(B3813="","",IFERROR(D3813/I3813,""))</f>
        <v/>
      </c>
      <c r="K3813" s="71">
        <f>IF(B3813="","",IFERROR(AVERAGEIFS($J$4:$J3813,$B$4:$B3813,B3813,$J$4:$J3813,"&gt;"&amp;0),""))</f>
        <v/>
      </c>
      <c r="L3813" s="11" t="n"/>
    </row>
    <row r="3814" ht="14" customHeight="1" s="72">
      <c r="A3814" s="83" t="n"/>
      <c r="B3814" s="81" t="n"/>
      <c r="C3814" s="69">
        <f>IF(B3814="","",IFERROR(INDEX(Client_List!$B:$B,MATCH(B3814,Client_List!$A:$A,0)),"⚠ NOT FOUND"))</f>
        <v/>
      </c>
      <c r="D3814" s="45" t="n"/>
      <c r="E3814" s="32">
        <f>IF(B3814="","",IFERROR(INDEX(Client_List!$C:$C,MATCH(VALUE(B3814),Client_List!$A:$A,0)),""))</f>
        <v/>
      </c>
      <c r="F3814" s="53">
        <f>IF(B3814="","",IFERROR(INDEX(Client_List!$D:$D,MATCH(VALUE(B3814),Client_List!$A:$A,0)),""))</f>
        <v/>
      </c>
      <c r="G3814" s="53">
        <f>IF(B3814="","",IFERROR(INDEX(Client_List!$K:$K,MATCH(VALUE(B3814),Client_List!$A:$A,0)),""))</f>
        <v/>
      </c>
      <c r="H3814" s="32">
        <f>IF(B3814="","",IFERROR(INDEX(Client_List!$J:$J,MATCH(VALUE(B3814),Client_List!$A:$A,0)),""))</f>
        <v/>
      </c>
      <c r="I3814" s="70">
        <f>IF(B3814="","",IFERROR(A3814-LOOKUP(2,1/($B$4:$B3813=B3814),$A$4:$A3813),""))</f>
        <v/>
      </c>
      <c r="J3814" s="32">
        <f>IF(B3814="","",IFERROR(D3814/I3814,""))</f>
        <v/>
      </c>
      <c r="K3814" s="71">
        <f>IF(B3814="","",IFERROR(AVERAGEIFS($J$4:$J3814,$B$4:$B3814,B3814,$J$4:$J3814,"&gt;"&amp;0),""))</f>
        <v/>
      </c>
      <c r="L3814" s="12" t="n"/>
    </row>
    <row r="3815" ht="14" customHeight="1" s="72">
      <c r="A3815" s="82" t="n"/>
      <c r="B3815" s="79" t="n"/>
      <c r="C3815" s="69">
        <f>IF(B3815="","",IFERROR(INDEX(Client_List!$B:$B,MATCH(B3815,Client_List!$A:$A,0)),"⚠ NOT FOUND"))</f>
        <v/>
      </c>
      <c r="D3815" s="44" t="n"/>
      <c r="E3815" s="32">
        <f>IF(B3815="","",IFERROR(INDEX(Client_List!$C:$C,MATCH(VALUE(B3815),Client_List!$A:$A,0)),""))</f>
        <v/>
      </c>
      <c r="F3815" s="53">
        <f>IF(B3815="","",IFERROR(INDEX(Client_List!$D:$D,MATCH(VALUE(B3815),Client_List!$A:$A,0)),""))</f>
        <v/>
      </c>
      <c r="G3815" s="53">
        <f>IF(B3815="","",IFERROR(INDEX(Client_List!$K:$K,MATCH(VALUE(B3815),Client_List!$A:$A,0)),""))</f>
        <v/>
      </c>
      <c r="H3815" s="32">
        <f>IF(B3815="","",IFERROR(INDEX(Client_List!$J:$J,MATCH(VALUE(B3815),Client_List!$A:$A,0)),""))</f>
        <v/>
      </c>
      <c r="I3815" s="70">
        <f>IF(B3815="","",IFERROR(A3815-LOOKUP(2,1/($B$4:$B3814=B3815),$A$4:$A3814),""))</f>
        <v/>
      </c>
      <c r="J3815" s="32">
        <f>IF(B3815="","",IFERROR(D3815/I3815,""))</f>
        <v/>
      </c>
      <c r="K3815" s="71">
        <f>IF(B3815="","",IFERROR(AVERAGEIFS($J$4:$J3815,$B$4:$B3815,B3815,$J$4:$J3815,"&gt;"&amp;0),""))</f>
        <v/>
      </c>
      <c r="L3815" s="11" t="n"/>
    </row>
    <row r="3816" ht="14" customHeight="1" s="72">
      <c r="A3816" s="83" t="n"/>
      <c r="B3816" s="81" t="n"/>
      <c r="C3816" s="69">
        <f>IF(B3816="","",IFERROR(INDEX(Client_List!$B:$B,MATCH(B3816,Client_List!$A:$A,0)),"⚠ NOT FOUND"))</f>
        <v/>
      </c>
      <c r="D3816" s="45" t="n"/>
      <c r="E3816" s="32">
        <f>IF(B3816="","",IFERROR(INDEX(Client_List!$C:$C,MATCH(VALUE(B3816),Client_List!$A:$A,0)),""))</f>
        <v/>
      </c>
      <c r="F3816" s="53">
        <f>IF(B3816="","",IFERROR(INDEX(Client_List!$D:$D,MATCH(VALUE(B3816),Client_List!$A:$A,0)),""))</f>
        <v/>
      </c>
      <c r="G3816" s="53">
        <f>IF(B3816="","",IFERROR(INDEX(Client_List!$K:$K,MATCH(VALUE(B3816),Client_List!$A:$A,0)),""))</f>
        <v/>
      </c>
      <c r="H3816" s="32">
        <f>IF(B3816="","",IFERROR(INDEX(Client_List!$J:$J,MATCH(VALUE(B3816),Client_List!$A:$A,0)),""))</f>
        <v/>
      </c>
      <c r="I3816" s="70">
        <f>IF(B3816="","",IFERROR(A3816-LOOKUP(2,1/($B$4:$B3815=B3816),$A$4:$A3815),""))</f>
        <v/>
      </c>
      <c r="J3816" s="32">
        <f>IF(B3816="","",IFERROR(D3816/I3816,""))</f>
        <v/>
      </c>
      <c r="K3816" s="71">
        <f>IF(B3816="","",IFERROR(AVERAGEIFS($J$4:$J3816,$B$4:$B3816,B3816,$J$4:$J3816,"&gt;"&amp;0),""))</f>
        <v/>
      </c>
      <c r="L3816" s="12" t="n"/>
    </row>
    <row r="3817" ht="14" customHeight="1" s="72">
      <c r="A3817" s="82" t="n"/>
      <c r="B3817" s="79" t="n"/>
      <c r="C3817" s="69">
        <f>IF(B3817="","",IFERROR(INDEX(Client_List!$B:$B,MATCH(B3817,Client_List!$A:$A,0)),"⚠ NOT FOUND"))</f>
        <v/>
      </c>
      <c r="D3817" s="44" t="n"/>
      <c r="E3817" s="32">
        <f>IF(B3817="","",IFERROR(INDEX(Client_List!$C:$C,MATCH(VALUE(B3817),Client_List!$A:$A,0)),""))</f>
        <v/>
      </c>
      <c r="F3817" s="53">
        <f>IF(B3817="","",IFERROR(INDEX(Client_List!$D:$D,MATCH(VALUE(B3817),Client_List!$A:$A,0)),""))</f>
        <v/>
      </c>
      <c r="G3817" s="53">
        <f>IF(B3817="","",IFERROR(INDEX(Client_List!$K:$K,MATCH(VALUE(B3817),Client_List!$A:$A,0)),""))</f>
        <v/>
      </c>
      <c r="H3817" s="32">
        <f>IF(B3817="","",IFERROR(INDEX(Client_List!$J:$J,MATCH(VALUE(B3817),Client_List!$A:$A,0)),""))</f>
        <v/>
      </c>
      <c r="I3817" s="70">
        <f>IF(B3817="","",IFERROR(A3817-LOOKUP(2,1/($B$4:$B3816=B3817),$A$4:$A3816),""))</f>
        <v/>
      </c>
      <c r="J3817" s="32">
        <f>IF(B3817="","",IFERROR(D3817/I3817,""))</f>
        <v/>
      </c>
      <c r="K3817" s="71">
        <f>IF(B3817="","",IFERROR(AVERAGEIFS($J$4:$J3817,$B$4:$B3817,B3817,$J$4:$J3817,"&gt;"&amp;0),""))</f>
        <v/>
      </c>
      <c r="L3817" s="11" t="n"/>
    </row>
    <row r="3818" ht="14" customHeight="1" s="72">
      <c r="A3818" s="83" t="n"/>
      <c r="B3818" s="81" t="n"/>
      <c r="C3818" s="69">
        <f>IF(B3818="","",IFERROR(INDEX(Client_List!$B:$B,MATCH(B3818,Client_List!$A:$A,0)),"⚠ NOT FOUND"))</f>
        <v/>
      </c>
      <c r="D3818" s="45" t="n"/>
      <c r="E3818" s="32">
        <f>IF(B3818="","",IFERROR(INDEX(Client_List!$C:$C,MATCH(VALUE(B3818),Client_List!$A:$A,0)),""))</f>
        <v/>
      </c>
      <c r="F3818" s="53">
        <f>IF(B3818="","",IFERROR(INDEX(Client_List!$D:$D,MATCH(VALUE(B3818),Client_List!$A:$A,0)),""))</f>
        <v/>
      </c>
      <c r="G3818" s="53">
        <f>IF(B3818="","",IFERROR(INDEX(Client_List!$K:$K,MATCH(VALUE(B3818),Client_List!$A:$A,0)),""))</f>
        <v/>
      </c>
      <c r="H3818" s="32">
        <f>IF(B3818="","",IFERROR(INDEX(Client_List!$J:$J,MATCH(VALUE(B3818),Client_List!$A:$A,0)),""))</f>
        <v/>
      </c>
      <c r="I3818" s="70">
        <f>IF(B3818="","",IFERROR(A3818-LOOKUP(2,1/($B$4:$B3817=B3818),$A$4:$A3817),""))</f>
        <v/>
      </c>
      <c r="J3818" s="32">
        <f>IF(B3818="","",IFERROR(D3818/I3818,""))</f>
        <v/>
      </c>
      <c r="K3818" s="71">
        <f>IF(B3818="","",IFERROR(AVERAGEIFS($J$4:$J3818,$B$4:$B3818,B3818,$J$4:$J3818,"&gt;"&amp;0),""))</f>
        <v/>
      </c>
      <c r="L3818" s="12" t="n"/>
    </row>
    <row r="3819" ht="14" customHeight="1" s="72">
      <c r="A3819" s="82" t="n"/>
      <c r="B3819" s="79" t="n"/>
      <c r="C3819" s="69">
        <f>IF(B3819="","",IFERROR(INDEX(Client_List!$B:$B,MATCH(B3819,Client_List!$A:$A,0)),"⚠ NOT FOUND"))</f>
        <v/>
      </c>
      <c r="D3819" s="44" t="n"/>
      <c r="E3819" s="32">
        <f>IF(B3819="","",IFERROR(INDEX(Client_List!$C:$C,MATCH(VALUE(B3819),Client_List!$A:$A,0)),""))</f>
        <v/>
      </c>
      <c r="F3819" s="53">
        <f>IF(B3819="","",IFERROR(INDEX(Client_List!$D:$D,MATCH(VALUE(B3819),Client_List!$A:$A,0)),""))</f>
        <v/>
      </c>
      <c r="G3819" s="53">
        <f>IF(B3819="","",IFERROR(INDEX(Client_List!$K:$K,MATCH(VALUE(B3819),Client_List!$A:$A,0)),""))</f>
        <v/>
      </c>
      <c r="H3819" s="32">
        <f>IF(B3819="","",IFERROR(INDEX(Client_List!$J:$J,MATCH(VALUE(B3819),Client_List!$A:$A,0)),""))</f>
        <v/>
      </c>
      <c r="I3819" s="70">
        <f>IF(B3819="","",IFERROR(A3819-LOOKUP(2,1/($B$4:$B3818=B3819),$A$4:$A3818),""))</f>
        <v/>
      </c>
      <c r="J3819" s="32">
        <f>IF(B3819="","",IFERROR(D3819/I3819,""))</f>
        <v/>
      </c>
      <c r="K3819" s="71">
        <f>IF(B3819="","",IFERROR(AVERAGEIFS($J$4:$J3819,$B$4:$B3819,B3819,$J$4:$J3819,"&gt;"&amp;0),""))</f>
        <v/>
      </c>
      <c r="L3819" s="11" t="n"/>
    </row>
    <row r="3820" ht="14" customHeight="1" s="72">
      <c r="A3820" s="83" t="n"/>
      <c r="B3820" s="81" t="n"/>
      <c r="C3820" s="69">
        <f>IF(B3820="","",IFERROR(INDEX(Client_List!$B:$B,MATCH(B3820,Client_List!$A:$A,0)),"⚠ NOT FOUND"))</f>
        <v/>
      </c>
      <c r="D3820" s="45" t="n"/>
      <c r="E3820" s="32">
        <f>IF(B3820="","",IFERROR(INDEX(Client_List!$C:$C,MATCH(VALUE(B3820),Client_List!$A:$A,0)),""))</f>
        <v/>
      </c>
      <c r="F3820" s="53">
        <f>IF(B3820="","",IFERROR(INDEX(Client_List!$D:$D,MATCH(VALUE(B3820),Client_List!$A:$A,0)),""))</f>
        <v/>
      </c>
      <c r="G3820" s="53">
        <f>IF(B3820="","",IFERROR(INDEX(Client_List!$K:$K,MATCH(VALUE(B3820),Client_List!$A:$A,0)),""))</f>
        <v/>
      </c>
      <c r="H3820" s="32">
        <f>IF(B3820="","",IFERROR(INDEX(Client_List!$J:$J,MATCH(VALUE(B3820),Client_List!$A:$A,0)),""))</f>
        <v/>
      </c>
      <c r="I3820" s="70">
        <f>IF(B3820="","",IFERROR(A3820-LOOKUP(2,1/($B$4:$B3819=B3820),$A$4:$A3819),""))</f>
        <v/>
      </c>
      <c r="J3820" s="32">
        <f>IF(B3820="","",IFERROR(D3820/I3820,""))</f>
        <v/>
      </c>
      <c r="K3820" s="71">
        <f>IF(B3820="","",IFERROR(AVERAGEIFS($J$4:$J3820,$B$4:$B3820,B3820,$J$4:$J3820,"&gt;"&amp;0),""))</f>
        <v/>
      </c>
      <c r="L3820" s="12" t="n"/>
    </row>
    <row r="3821" ht="14" customHeight="1" s="72">
      <c r="A3821" s="82" t="n"/>
      <c r="B3821" s="79" t="n"/>
      <c r="C3821" s="69">
        <f>IF(B3821="","",IFERROR(INDEX(Client_List!$B:$B,MATCH(B3821,Client_List!$A:$A,0)),"⚠ NOT FOUND"))</f>
        <v/>
      </c>
      <c r="D3821" s="44" t="n"/>
      <c r="E3821" s="32">
        <f>IF(B3821="","",IFERROR(INDEX(Client_List!$C:$C,MATCH(VALUE(B3821),Client_List!$A:$A,0)),""))</f>
        <v/>
      </c>
      <c r="F3821" s="53">
        <f>IF(B3821="","",IFERROR(INDEX(Client_List!$D:$D,MATCH(VALUE(B3821),Client_List!$A:$A,0)),""))</f>
        <v/>
      </c>
      <c r="G3821" s="53">
        <f>IF(B3821="","",IFERROR(INDEX(Client_List!$K:$K,MATCH(VALUE(B3821),Client_List!$A:$A,0)),""))</f>
        <v/>
      </c>
      <c r="H3821" s="32">
        <f>IF(B3821="","",IFERROR(INDEX(Client_List!$J:$J,MATCH(VALUE(B3821),Client_List!$A:$A,0)),""))</f>
        <v/>
      </c>
      <c r="I3821" s="70">
        <f>IF(B3821="","",IFERROR(A3821-LOOKUP(2,1/($B$4:$B3820=B3821),$A$4:$A3820),""))</f>
        <v/>
      </c>
      <c r="J3821" s="32">
        <f>IF(B3821="","",IFERROR(D3821/I3821,""))</f>
        <v/>
      </c>
      <c r="K3821" s="71">
        <f>IF(B3821="","",IFERROR(AVERAGEIFS($J$4:$J3821,$B$4:$B3821,B3821,$J$4:$J3821,"&gt;"&amp;0),""))</f>
        <v/>
      </c>
      <c r="L3821" s="11" t="n"/>
    </row>
    <row r="3822" ht="14" customHeight="1" s="72">
      <c r="A3822" s="83" t="n"/>
      <c r="B3822" s="81" t="n"/>
      <c r="C3822" s="69">
        <f>IF(B3822="","",IFERROR(INDEX(Client_List!$B:$B,MATCH(B3822,Client_List!$A:$A,0)),"⚠ NOT FOUND"))</f>
        <v/>
      </c>
      <c r="D3822" s="45" t="n"/>
      <c r="E3822" s="32">
        <f>IF(B3822="","",IFERROR(INDEX(Client_List!$C:$C,MATCH(VALUE(B3822),Client_List!$A:$A,0)),""))</f>
        <v/>
      </c>
      <c r="F3822" s="53">
        <f>IF(B3822="","",IFERROR(INDEX(Client_List!$D:$D,MATCH(VALUE(B3822),Client_List!$A:$A,0)),""))</f>
        <v/>
      </c>
      <c r="G3822" s="53">
        <f>IF(B3822="","",IFERROR(INDEX(Client_List!$K:$K,MATCH(VALUE(B3822),Client_List!$A:$A,0)),""))</f>
        <v/>
      </c>
      <c r="H3822" s="32">
        <f>IF(B3822="","",IFERROR(INDEX(Client_List!$J:$J,MATCH(VALUE(B3822),Client_List!$A:$A,0)),""))</f>
        <v/>
      </c>
      <c r="I3822" s="70">
        <f>IF(B3822="","",IFERROR(A3822-LOOKUP(2,1/($B$4:$B3821=B3822),$A$4:$A3821),""))</f>
        <v/>
      </c>
      <c r="J3822" s="32">
        <f>IF(B3822="","",IFERROR(D3822/I3822,""))</f>
        <v/>
      </c>
      <c r="K3822" s="71">
        <f>IF(B3822="","",IFERROR(AVERAGEIFS($J$4:$J3822,$B$4:$B3822,B3822,$J$4:$J3822,"&gt;"&amp;0),""))</f>
        <v/>
      </c>
      <c r="L3822" s="12" t="n"/>
    </row>
    <row r="3823" ht="14" customHeight="1" s="72">
      <c r="A3823" s="82" t="n"/>
      <c r="B3823" s="79" t="n"/>
      <c r="C3823" s="69">
        <f>IF(B3823="","",IFERROR(INDEX(Client_List!$B:$B,MATCH(B3823,Client_List!$A:$A,0)),"⚠ NOT FOUND"))</f>
        <v/>
      </c>
      <c r="D3823" s="44" t="n"/>
      <c r="E3823" s="32">
        <f>IF(B3823="","",IFERROR(INDEX(Client_List!$C:$C,MATCH(VALUE(B3823),Client_List!$A:$A,0)),""))</f>
        <v/>
      </c>
      <c r="F3823" s="53">
        <f>IF(B3823="","",IFERROR(INDEX(Client_List!$D:$D,MATCH(VALUE(B3823),Client_List!$A:$A,0)),""))</f>
        <v/>
      </c>
      <c r="G3823" s="53">
        <f>IF(B3823="","",IFERROR(INDEX(Client_List!$K:$K,MATCH(VALUE(B3823),Client_List!$A:$A,0)),""))</f>
        <v/>
      </c>
      <c r="H3823" s="32">
        <f>IF(B3823="","",IFERROR(INDEX(Client_List!$J:$J,MATCH(VALUE(B3823),Client_List!$A:$A,0)),""))</f>
        <v/>
      </c>
      <c r="I3823" s="70">
        <f>IF(B3823="","",IFERROR(A3823-LOOKUP(2,1/($B$4:$B3822=B3823),$A$4:$A3822),""))</f>
        <v/>
      </c>
      <c r="J3823" s="32">
        <f>IF(B3823="","",IFERROR(D3823/I3823,""))</f>
        <v/>
      </c>
      <c r="K3823" s="71">
        <f>IF(B3823="","",IFERROR(AVERAGEIFS($J$4:$J3823,$B$4:$B3823,B3823,$J$4:$J3823,"&gt;"&amp;0),""))</f>
        <v/>
      </c>
      <c r="L3823" s="11" t="n"/>
    </row>
    <row r="3824" ht="14" customHeight="1" s="72">
      <c r="A3824" s="83" t="n"/>
      <c r="B3824" s="81" t="n"/>
      <c r="C3824" s="69">
        <f>IF(B3824="","",IFERROR(INDEX(Client_List!$B:$B,MATCH(B3824,Client_List!$A:$A,0)),"⚠ NOT FOUND"))</f>
        <v/>
      </c>
      <c r="D3824" s="45" t="n"/>
      <c r="E3824" s="32">
        <f>IF(B3824="","",IFERROR(INDEX(Client_List!$C:$C,MATCH(VALUE(B3824),Client_List!$A:$A,0)),""))</f>
        <v/>
      </c>
      <c r="F3824" s="53">
        <f>IF(B3824="","",IFERROR(INDEX(Client_List!$D:$D,MATCH(VALUE(B3824),Client_List!$A:$A,0)),""))</f>
        <v/>
      </c>
      <c r="G3824" s="53">
        <f>IF(B3824="","",IFERROR(INDEX(Client_List!$K:$K,MATCH(VALUE(B3824),Client_List!$A:$A,0)),""))</f>
        <v/>
      </c>
      <c r="H3824" s="32">
        <f>IF(B3824="","",IFERROR(INDEX(Client_List!$J:$J,MATCH(VALUE(B3824),Client_List!$A:$A,0)),""))</f>
        <v/>
      </c>
      <c r="I3824" s="70">
        <f>IF(B3824="","",IFERROR(A3824-LOOKUP(2,1/($B$4:$B3823=B3824),$A$4:$A3823),""))</f>
        <v/>
      </c>
      <c r="J3824" s="32">
        <f>IF(B3824="","",IFERROR(D3824/I3824,""))</f>
        <v/>
      </c>
      <c r="K3824" s="71">
        <f>IF(B3824="","",IFERROR(AVERAGEIFS($J$4:$J3824,$B$4:$B3824,B3824,$J$4:$J3824,"&gt;"&amp;0),""))</f>
        <v/>
      </c>
      <c r="L3824" s="12" t="n"/>
    </row>
    <row r="3825" ht="14" customHeight="1" s="72">
      <c r="A3825" s="82" t="n"/>
      <c r="B3825" s="79" t="n"/>
      <c r="C3825" s="69">
        <f>IF(B3825="","",IFERROR(INDEX(Client_List!$B:$B,MATCH(B3825,Client_List!$A:$A,0)),"⚠ NOT FOUND"))</f>
        <v/>
      </c>
      <c r="D3825" s="44" t="n"/>
      <c r="E3825" s="32">
        <f>IF(B3825="","",IFERROR(INDEX(Client_List!$C:$C,MATCH(VALUE(B3825),Client_List!$A:$A,0)),""))</f>
        <v/>
      </c>
      <c r="F3825" s="53">
        <f>IF(B3825="","",IFERROR(INDEX(Client_List!$D:$D,MATCH(VALUE(B3825),Client_List!$A:$A,0)),""))</f>
        <v/>
      </c>
      <c r="G3825" s="53">
        <f>IF(B3825="","",IFERROR(INDEX(Client_List!$K:$K,MATCH(VALUE(B3825),Client_List!$A:$A,0)),""))</f>
        <v/>
      </c>
      <c r="H3825" s="32">
        <f>IF(B3825="","",IFERROR(INDEX(Client_List!$J:$J,MATCH(VALUE(B3825),Client_List!$A:$A,0)),""))</f>
        <v/>
      </c>
      <c r="I3825" s="70">
        <f>IF(B3825="","",IFERROR(A3825-LOOKUP(2,1/($B$4:$B3824=B3825),$A$4:$A3824),""))</f>
        <v/>
      </c>
      <c r="J3825" s="32">
        <f>IF(B3825="","",IFERROR(D3825/I3825,""))</f>
        <v/>
      </c>
      <c r="K3825" s="71">
        <f>IF(B3825="","",IFERROR(AVERAGEIFS($J$4:$J3825,$B$4:$B3825,B3825,$J$4:$J3825,"&gt;"&amp;0),""))</f>
        <v/>
      </c>
      <c r="L3825" s="11" t="n"/>
    </row>
    <row r="3826" ht="14" customHeight="1" s="72">
      <c r="A3826" s="83" t="n"/>
      <c r="B3826" s="81" t="n"/>
      <c r="C3826" s="69">
        <f>IF(B3826="","",IFERROR(INDEX(Client_List!$B:$B,MATCH(B3826,Client_List!$A:$A,0)),"⚠ NOT FOUND"))</f>
        <v/>
      </c>
      <c r="D3826" s="45" t="n"/>
      <c r="E3826" s="32">
        <f>IF(B3826="","",IFERROR(INDEX(Client_List!$C:$C,MATCH(VALUE(B3826),Client_List!$A:$A,0)),""))</f>
        <v/>
      </c>
      <c r="F3826" s="53">
        <f>IF(B3826="","",IFERROR(INDEX(Client_List!$D:$D,MATCH(VALUE(B3826),Client_List!$A:$A,0)),""))</f>
        <v/>
      </c>
      <c r="G3826" s="53">
        <f>IF(B3826="","",IFERROR(INDEX(Client_List!$K:$K,MATCH(VALUE(B3826),Client_List!$A:$A,0)),""))</f>
        <v/>
      </c>
      <c r="H3826" s="32">
        <f>IF(B3826="","",IFERROR(INDEX(Client_List!$J:$J,MATCH(VALUE(B3826),Client_List!$A:$A,0)),""))</f>
        <v/>
      </c>
      <c r="I3826" s="70">
        <f>IF(B3826="","",IFERROR(A3826-LOOKUP(2,1/($B$4:$B3825=B3826),$A$4:$A3825),""))</f>
        <v/>
      </c>
      <c r="J3826" s="32">
        <f>IF(B3826="","",IFERROR(D3826/I3826,""))</f>
        <v/>
      </c>
      <c r="K3826" s="71">
        <f>IF(B3826="","",IFERROR(AVERAGEIFS($J$4:$J3826,$B$4:$B3826,B3826,$J$4:$J3826,"&gt;"&amp;0),""))</f>
        <v/>
      </c>
      <c r="L3826" s="12" t="n"/>
    </row>
    <row r="3827" ht="14" customHeight="1" s="72">
      <c r="A3827" s="82" t="n"/>
      <c r="B3827" s="79" t="n"/>
      <c r="C3827" s="69">
        <f>IF(B3827="","",IFERROR(INDEX(Client_List!$B:$B,MATCH(B3827,Client_List!$A:$A,0)),"⚠ NOT FOUND"))</f>
        <v/>
      </c>
      <c r="D3827" s="44" t="n"/>
      <c r="E3827" s="32">
        <f>IF(B3827="","",IFERROR(INDEX(Client_List!$C:$C,MATCH(VALUE(B3827),Client_List!$A:$A,0)),""))</f>
        <v/>
      </c>
      <c r="F3827" s="53">
        <f>IF(B3827="","",IFERROR(INDEX(Client_List!$D:$D,MATCH(VALUE(B3827),Client_List!$A:$A,0)),""))</f>
        <v/>
      </c>
      <c r="G3827" s="53">
        <f>IF(B3827="","",IFERROR(INDEX(Client_List!$K:$K,MATCH(VALUE(B3827),Client_List!$A:$A,0)),""))</f>
        <v/>
      </c>
      <c r="H3827" s="32">
        <f>IF(B3827="","",IFERROR(INDEX(Client_List!$J:$J,MATCH(VALUE(B3827),Client_List!$A:$A,0)),""))</f>
        <v/>
      </c>
      <c r="I3827" s="70">
        <f>IF(B3827="","",IFERROR(A3827-LOOKUP(2,1/($B$4:$B3826=B3827),$A$4:$A3826),""))</f>
        <v/>
      </c>
      <c r="J3827" s="32">
        <f>IF(B3827="","",IFERROR(D3827/I3827,""))</f>
        <v/>
      </c>
      <c r="K3827" s="71">
        <f>IF(B3827="","",IFERROR(AVERAGEIFS($J$4:$J3827,$B$4:$B3827,B3827,$J$4:$J3827,"&gt;"&amp;0),""))</f>
        <v/>
      </c>
      <c r="L3827" s="11" t="n"/>
    </row>
    <row r="3828" ht="14" customHeight="1" s="72">
      <c r="A3828" s="83" t="n"/>
      <c r="B3828" s="81" t="n"/>
      <c r="C3828" s="69">
        <f>IF(B3828="","",IFERROR(INDEX(Client_List!$B:$B,MATCH(B3828,Client_List!$A:$A,0)),"⚠ NOT FOUND"))</f>
        <v/>
      </c>
      <c r="D3828" s="45" t="n"/>
      <c r="E3828" s="32">
        <f>IF(B3828="","",IFERROR(INDEX(Client_List!$C:$C,MATCH(VALUE(B3828),Client_List!$A:$A,0)),""))</f>
        <v/>
      </c>
      <c r="F3828" s="53">
        <f>IF(B3828="","",IFERROR(INDEX(Client_List!$D:$D,MATCH(VALUE(B3828),Client_List!$A:$A,0)),""))</f>
        <v/>
      </c>
      <c r="G3828" s="53">
        <f>IF(B3828="","",IFERROR(INDEX(Client_List!$K:$K,MATCH(VALUE(B3828),Client_List!$A:$A,0)),""))</f>
        <v/>
      </c>
      <c r="H3828" s="32">
        <f>IF(B3828="","",IFERROR(INDEX(Client_List!$J:$J,MATCH(VALUE(B3828),Client_List!$A:$A,0)),""))</f>
        <v/>
      </c>
      <c r="I3828" s="70">
        <f>IF(B3828="","",IFERROR(A3828-LOOKUP(2,1/($B$4:$B3827=B3828),$A$4:$A3827),""))</f>
        <v/>
      </c>
      <c r="J3828" s="32">
        <f>IF(B3828="","",IFERROR(D3828/I3828,""))</f>
        <v/>
      </c>
      <c r="K3828" s="71">
        <f>IF(B3828="","",IFERROR(AVERAGEIFS($J$4:$J3828,$B$4:$B3828,B3828,$J$4:$J3828,"&gt;"&amp;0),""))</f>
        <v/>
      </c>
      <c r="L3828" s="12" t="n"/>
    </row>
    <row r="3829" ht="14" customHeight="1" s="72">
      <c r="A3829" s="82" t="n"/>
      <c r="B3829" s="79" t="n"/>
      <c r="C3829" s="69">
        <f>IF(B3829="","",IFERROR(INDEX(Client_List!$B:$B,MATCH(B3829,Client_List!$A:$A,0)),"⚠ NOT FOUND"))</f>
        <v/>
      </c>
      <c r="D3829" s="44" t="n"/>
      <c r="E3829" s="32">
        <f>IF(B3829="","",IFERROR(INDEX(Client_List!$C:$C,MATCH(VALUE(B3829),Client_List!$A:$A,0)),""))</f>
        <v/>
      </c>
      <c r="F3829" s="53">
        <f>IF(B3829="","",IFERROR(INDEX(Client_List!$D:$D,MATCH(VALUE(B3829),Client_List!$A:$A,0)),""))</f>
        <v/>
      </c>
      <c r="G3829" s="53">
        <f>IF(B3829="","",IFERROR(INDEX(Client_List!$K:$K,MATCH(VALUE(B3829),Client_List!$A:$A,0)),""))</f>
        <v/>
      </c>
      <c r="H3829" s="32">
        <f>IF(B3829="","",IFERROR(INDEX(Client_List!$J:$J,MATCH(VALUE(B3829),Client_List!$A:$A,0)),""))</f>
        <v/>
      </c>
      <c r="I3829" s="70">
        <f>IF(B3829="","",IFERROR(A3829-LOOKUP(2,1/($B$4:$B3828=B3829),$A$4:$A3828),""))</f>
        <v/>
      </c>
      <c r="J3829" s="32">
        <f>IF(B3829="","",IFERROR(D3829/I3829,""))</f>
        <v/>
      </c>
      <c r="K3829" s="71">
        <f>IF(B3829="","",IFERROR(AVERAGEIFS($J$4:$J3829,$B$4:$B3829,B3829,$J$4:$J3829,"&gt;"&amp;0),""))</f>
        <v/>
      </c>
      <c r="L3829" s="11" t="n"/>
    </row>
    <row r="3830" ht="14" customHeight="1" s="72">
      <c r="A3830" s="83" t="n"/>
      <c r="B3830" s="81" t="n"/>
      <c r="C3830" s="69">
        <f>IF(B3830="","",IFERROR(INDEX(Client_List!$B:$B,MATCH(B3830,Client_List!$A:$A,0)),"⚠ NOT FOUND"))</f>
        <v/>
      </c>
      <c r="D3830" s="45" t="n"/>
      <c r="E3830" s="32">
        <f>IF(B3830="","",IFERROR(INDEX(Client_List!$C:$C,MATCH(VALUE(B3830),Client_List!$A:$A,0)),""))</f>
        <v/>
      </c>
      <c r="F3830" s="53">
        <f>IF(B3830="","",IFERROR(INDEX(Client_List!$D:$D,MATCH(VALUE(B3830),Client_List!$A:$A,0)),""))</f>
        <v/>
      </c>
      <c r="G3830" s="53">
        <f>IF(B3830="","",IFERROR(INDEX(Client_List!$K:$K,MATCH(VALUE(B3830),Client_List!$A:$A,0)),""))</f>
        <v/>
      </c>
      <c r="H3830" s="32">
        <f>IF(B3830="","",IFERROR(INDEX(Client_List!$J:$J,MATCH(VALUE(B3830),Client_List!$A:$A,0)),""))</f>
        <v/>
      </c>
      <c r="I3830" s="70">
        <f>IF(B3830="","",IFERROR(A3830-LOOKUP(2,1/($B$4:$B3829=B3830),$A$4:$A3829),""))</f>
        <v/>
      </c>
      <c r="J3830" s="32">
        <f>IF(B3830="","",IFERROR(D3830/I3830,""))</f>
        <v/>
      </c>
      <c r="K3830" s="71">
        <f>IF(B3830="","",IFERROR(AVERAGEIFS($J$4:$J3830,$B$4:$B3830,B3830,$J$4:$J3830,"&gt;"&amp;0),""))</f>
        <v/>
      </c>
      <c r="L3830" s="12" t="n"/>
    </row>
    <row r="3831" ht="14" customHeight="1" s="72">
      <c r="A3831" s="82" t="n"/>
      <c r="B3831" s="79" t="n"/>
      <c r="C3831" s="69">
        <f>IF(B3831="","",IFERROR(INDEX(Client_List!$B:$B,MATCH(B3831,Client_List!$A:$A,0)),"⚠ NOT FOUND"))</f>
        <v/>
      </c>
      <c r="D3831" s="44" t="n"/>
      <c r="E3831" s="32">
        <f>IF(B3831="","",IFERROR(INDEX(Client_List!$C:$C,MATCH(VALUE(B3831),Client_List!$A:$A,0)),""))</f>
        <v/>
      </c>
      <c r="F3831" s="53">
        <f>IF(B3831="","",IFERROR(INDEX(Client_List!$D:$D,MATCH(VALUE(B3831),Client_List!$A:$A,0)),""))</f>
        <v/>
      </c>
      <c r="G3831" s="53">
        <f>IF(B3831="","",IFERROR(INDEX(Client_List!$K:$K,MATCH(VALUE(B3831),Client_List!$A:$A,0)),""))</f>
        <v/>
      </c>
      <c r="H3831" s="32">
        <f>IF(B3831="","",IFERROR(INDEX(Client_List!$J:$J,MATCH(VALUE(B3831),Client_List!$A:$A,0)),""))</f>
        <v/>
      </c>
      <c r="I3831" s="70">
        <f>IF(B3831="","",IFERROR(A3831-LOOKUP(2,1/($B$4:$B3830=B3831),$A$4:$A3830),""))</f>
        <v/>
      </c>
      <c r="J3831" s="32">
        <f>IF(B3831="","",IFERROR(D3831/I3831,""))</f>
        <v/>
      </c>
      <c r="K3831" s="71">
        <f>IF(B3831="","",IFERROR(AVERAGEIFS($J$4:$J3831,$B$4:$B3831,B3831,$J$4:$J3831,"&gt;"&amp;0),""))</f>
        <v/>
      </c>
      <c r="L3831" s="11" t="n"/>
    </row>
    <row r="3832" ht="14" customHeight="1" s="72">
      <c r="A3832" s="83" t="n"/>
      <c r="B3832" s="81" t="n"/>
      <c r="C3832" s="69">
        <f>IF(B3832="","",IFERROR(INDEX(Client_List!$B:$B,MATCH(B3832,Client_List!$A:$A,0)),"⚠ NOT FOUND"))</f>
        <v/>
      </c>
      <c r="D3832" s="45" t="n"/>
      <c r="E3832" s="32">
        <f>IF(B3832="","",IFERROR(INDEX(Client_List!$C:$C,MATCH(VALUE(B3832),Client_List!$A:$A,0)),""))</f>
        <v/>
      </c>
      <c r="F3832" s="53">
        <f>IF(B3832="","",IFERROR(INDEX(Client_List!$D:$D,MATCH(VALUE(B3832),Client_List!$A:$A,0)),""))</f>
        <v/>
      </c>
      <c r="G3832" s="53">
        <f>IF(B3832="","",IFERROR(INDEX(Client_List!$K:$K,MATCH(VALUE(B3832),Client_List!$A:$A,0)),""))</f>
        <v/>
      </c>
      <c r="H3832" s="32">
        <f>IF(B3832="","",IFERROR(INDEX(Client_List!$J:$J,MATCH(VALUE(B3832),Client_List!$A:$A,0)),""))</f>
        <v/>
      </c>
      <c r="I3832" s="70">
        <f>IF(B3832="","",IFERROR(A3832-LOOKUP(2,1/($B$4:$B3831=B3832),$A$4:$A3831),""))</f>
        <v/>
      </c>
      <c r="J3832" s="32">
        <f>IF(B3832="","",IFERROR(D3832/I3832,""))</f>
        <v/>
      </c>
      <c r="K3832" s="71">
        <f>IF(B3832="","",IFERROR(AVERAGEIFS($J$4:$J3832,$B$4:$B3832,B3832,$J$4:$J3832,"&gt;"&amp;0),""))</f>
        <v/>
      </c>
      <c r="L3832" s="12" t="n"/>
    </row>
    <row r="3833" ht="14" customHeight="1" s="72">
      <c r="A3833" s="82" t="n"/>
      <c r="B3833" s="79" t="n"/>
      <c r="C3833" s="69">
        <f>IF(B3833="","",IFERROR(INDEX(Client_List!$B:$B,MATCH(B3833,Client_List!$A:$A,0)),"⚠ NOT FOUND"))</f>
        <v/>
      </c>
      <c r="D3833" s="44" t="n"/>
      <c r="E3833" s="32">
        <f>IF(B3833="","",IFERROR(INDEX(Client_List!$C:$C,MATCH(VALUE(B3833),Client_List!$A:$A,0)),""))</f>
        <v/>
      </c>
      <c r="F3833" s="53">
        <f>IF(B3833="","",IFERROR(INDEX(Client_List!$D:$D,MATCH(VALUE(B3833),Client_List!$A:$A,0)),""))</f>
        <v/>
      </c>
      <c r="G3833" s="53">
        <f>IF(B3833="","",IFERROR(INDEX(Client_List!$K:$K,MATCH(VALUE(B3833),Client_List!$A:$A,0)),""))</f>
        <v/>
      </c>
      <c r="H3833" s="32">
        <f>IF(B3833="","",IFERROR(INDEX(Client_List!$J:$J,MATCH(VALUE(B3833),Client_List!$A:$A,0)),""))</f>
        <v/>
      </c>
      <c r="I3833" s="70">
        <f>IF(B3833="","",IFERROR(A3833-LOOKUP(2,1/($B$4:$B3832=B3833),$A$4:$A3832),""))</f>
        <v/>
      </c>
      <c r="J3833" s="32">
        <f>IF(B3833="","",IFERROR(D3833/I3833,""))</f>
        <v/>
      </c>
      <c r="K3833" s="71">
        <f>IF(B3833="","",IFERROR(AVERAGEIFS($J$4:$J3833,$B$4:$B3833,B3833,$J$4:$J3833,"&gt;"&amp;0),""))</f>
        <v/>
      </c>
      <c r="L3833" s="11" t="n"/>
    </row>
    <row r="3834" ht="14" customHeight="1" s="72">
      <c r="A3834" s="83" t="n"/>
      <c r="B3834" s="81" t="n"/>
      <c r="C3834" s="69">
        <f>IF(B3834="","",IFERROR(INDEX(Client_List!$B:$B,MATCH(B3834,Client_List!$A:$A,0)),"⚠ NOT FOUND"))</f>
        <v/>
      </c>
      <c r="D3834" s="45" t="n"/>
      <c r="E3834" s="32">
        <f>IF(B3834="","",IFERROR(INDEX(Client_List!$C:$C,MATCH(VALUE(B3834),Client_List!$A:$A,0)),""))</f>
        <v/>
      </c>
      <c r="F3834" s="53">
        <f>IF(B3834="","",IFERROR(INDEX(Client_List!$D:$D,MATCH(VALUE(B3834),Client_List!$A:$A,0)),""))</f>
        <v/>
      </c>
      <c r="G3834" s="53">
        <f>IF(B3834="","",IFERROR(INDEX(Client_List!$K:$K,MATCH(VALUE(B3834),Client_List!$A:$A,0)),""))</f>
        <v/>
      </c>
      <c r="H3834" s="32">
        <f>IF(B3834="","",IFERROR(INDEX(Client_List!$J:$J,MATCH(VALUE(B3834),Client_List!$A:$A,0)),""))</f>
        <v/>
      </c>
      <c r="I3834" s="70">
        <f>IF(B3834="","",IFERROR(A3834-LOOKUP(2,1/($B$4:$B3833=B3834),$A$4:$A3833),""))</f>
        <v/>
      </c>
      <c r="J3834" s="32">
        <f>IF(B3834="","",IFERROR(D3834/I3834,""))</f>
        <v/>
      </c>
      <c r="K3834" s="71">
        <f>IF(B3834="","",IFERROR(AVERAGEIFS($J$4:$J3834,$B$4:$B3834,B3834,$J$4:$J3834,"&gt;"&amp;0),""))</f>
        <v/>
      </c>
      <c r="L3834" s="12" t="n"/>
    </row>
    <row r="3835" ht="14" customHeight="1" s="72">
      <c r="A3835" s="82" t="n"/>
      <c r="B3835" s="79" t="n"/>
      <c r="C3835" s="69">
        <f>IF(B3835="","",IFERROR(INDEX(Client_List!$B:$B,MATCH(B3835,Client_List!$A:$A,0)),"⚠ NOT FOUND"))</f>
        <v/>
      </c>
      <c r="D3835" s="44" t="n"/>
      <c r="E3835" s="32">
        <f>IF(B3835="","",IFERROR(INDEX(Client_List!$C:$C,MATCH(VALUE(B3835),Client_List!$A:$A,0)),""))</f>
        <v/>
      </c>
      <c r="F3835" s="53">
        <f>IF(B3835="","",IFERROR(INDEX(Client_List!$D:$D,MATCH(VALUE(B3835),Client_List!$A:$A,0)),""))</f>
        <v/>
      </c>
      <c r="G3835" s="53">
        <f>IF(B3835="","",IFERROR(INDEX(Client_List!$K:$K,MATCH(VALUE(B3835),Client_List!$A:$A,0)),""))</f>
        <v/>
      </c>
      <c r="H3835" s="32">
        <f>IF(B3835="","",IFERROR(INDEX(Client_List!$J:$J,MATCH(VALUE(B3835),Client_List!$A:$A,0)),""))</f>
        <v/>
      </c>
      <c r="I3835" s="70">
        <f>IF(B3835="","",IFERROR(A3835-LOOKUP(2,1/($B$4:$B3834=B3835),$A$4:$A3834),""))</f>
        <v/>
      </c>
      <c r="J3835" s="32">
        <f>IF(B3835="","",IFERROR(D3835/I3835,""))</f>
        <v/>
      </c>
      <c r="K3835" s="71">
        <f>IF(B3835="","",IFERROR(AVERAGEIFS($J$4:$J3835,$B$4:$B3835,B3835,$J$4:$J3835,"&gt;"&amp;0),""))</f>
        <v/>
      </c>
      <c r="L3835" s="11" t="n"/>
    </row>
    <row r="3836" ht="14" customHeight="1" s="72">
      <c r="A3836" s="83" t="n"/>
      <c r="B3836" s="81" t="n"/>
      <c r="C3836" s="69">
        <f>IF(B3836="","",IFERROR(INDEX(Client_List!$B:$B,MATCH(B3836,Client_List!$A:$A,0)),"⚠ NOT FOUND"))</f>
        <v/>
      </c>
      <c r="D3836" s="45" t="n"/>
      <c r="E3836" s="32">
        <f>IF(B3836="","",IFERROR(INDEX(Client_List!$C:$C,MATCH(VALUE(B3836),Client_List!$A:$A,0)),""))</f>
        <v/>
      </c>
      <c r="F3836" s="53">
        <f>IF(B3836="","",IFERROR(INDEX(Client_List!$D:$D,MATCH(VALUE(B3836),Client_List!$A:$A,0)),""))</f>
        <v/>
      </c>
      <c r="G3836" s="53">
        <f>IF(B3836="","",IFERROR(INDEX(Client_List!$K:$K,MATCH(VALUE(B3836),Client_List!$A:$A,0)),""))</f>
        <v/>
      </c>
      <c r="H3836" s="32">
        <f>IF(B3836="","",IFERROR(INDEX(Client_List!$J:$J,MATCH(VALUE(B3836),Client_List!$A:$A,0)),""))</f>
        <v/>
      </c>
      <c r="I3836" s="70">
        <f>IF(B3836="","",IFERROR(A3836-LOOKUP(2,1/($B$4:$B3835=B3836),$A$4:$A3835),""))</f>
        <v/>
      </c>
      <c r="J3836" s="32">
        <f>IF(B3836="","",IFERROR(D3836/I3836,""))</f>
        <v/>
      </c>
      <c r="K3836" s="71">
        <f>IF(B3836="","",IFERROR(AVERAGEIFS($J$4:$J3836,$B$4:$B3836,B3836,$J$4:$J3836,"&gt;"&amp;0),""))</f>
        <v/>
      </c>
      <c r="L3836" s="12" t="n"/>
    </row>
    <row r="3837" ht="14" customHeight="1" s="72">
      <c r="A3837" s="82" t="n"/>
      <c r="B3837" s="79" t="n"/>
      <c r="C3837" s="69">
        <f>IF(B3837="","",IFERROR(INDEX(Client_List!$B:$B,MATCH(B3837,Client_List!$A:$A,0)),"⚠ NOT FOUND"))</f>
        <v/>
      </c>
      <c r="D3837" s="44" t="n"/>
      <c r="E3837" s="32">
        <f>IF(B3837="","",IFERROR(INDEX(Client_List!$C:$C,MATCH(VALUE(B3837),Client_List!$A:$A,0)),""))</f>
        <v/>
      </c>
      <c r="F3837" s="53">
        <f>IF(B3837="","",IFERROR(INDEX(Client_List!$D:$D,MATCH(VALUE(B3837),Client_List!$A:$A,0)),""))</f>
        <v/>
      </c>
      <c r="G3837" s="53">
        <f>IF(B3837="","",IFERROR(INDEX(Client_List!$K:$K,MATCH(VALUE(B3837),Client_List!$A:$A,0)),""))</f>
        <v/>
      </c>
      <c r="H3837" s="32">
        <f>IF(B3837="","",IFERROR(INDEX(Client_List!$J:$J,MATCH(VALUE(B3837),Client_List!$A:$A,0)),""))</f>
        <v/>
      </c>
      <c r="I3837" s="70">
        <f>IF(B3837="","",IFERROR(A3837-LOOKUP(2,1/($B$4:$B3836=B3837),$A$4:$A3836),""))</f>
        <v/>
      </c>
      <c r="J3837" s="32">
        <f>IF(B3837="","",IFERROR(D3837/I3837,""))</f>
        <v/>
      </c>
      <c r="K3837" s="71">
        <f>IF(B3837="","",IFERROR(AVERAGEIFS($J$4:$J3837,$B$4:$B3837,B3837,$J$4:$J3837,"&gt;"&amp;0),""))</f>
        <v/>
      </c>
      <c r="L3837" s="11" t="n"/>
    </row>
    <row r="3838" ht="14" customHeight="1" s="72">
      <c r="A3838" s="83" t="n"/>
      <c r="B3838" s="81" t="n"/>
      <c r="C3838" s="69">
        <f>IF(B3838="","",IFERROR(INDEX(Client_List!$B:$B,MATCH(B3838,Client_List!$A:$A,0)),"⚠ NOT FOUND"))</f>
        <v/>
      </c>
      <c r="D3838" s="45" t="n"/>
      <c r="E3838" s="32">
        <f>IF(B3838="","",IFERROR(INDEX(Client_List!$C:$C,MATCH(VALUE(B3838),Client_List!$A:$A,0)),""))</f>
        <v/>
      </c>
      <c r="F3838" s="53">
        <f>IF(B3838="","",IFERROR(INDEX(Client_List!$D:$D,MATCH(VALUE(B3838),Client_List!$A:$A,0)),""))</f>
        <v/>
      </c>
      <c r="G3838" s="53">
        <f>IF(B3838="","",IFERROR(INDEX(Client_List!$K:$K,MATCH(VALUE(B3838),Client_List!$A:$A,0)),""))</f>
        <v/>
      </c>
      <c r="H3838" s="32">
        <f>IF(B3838="","",IFERROR(INDEX(Client_List!$J:$J,MATCH(VALUE(B3838),Client_List!$A:$A,0)),""))</f>
        <v/>
      </c>
      <c r="I3838" s="70">
        <f>IF(B3838="","",IFERROR(A3838-LOOKUP(2,1/($B$4:$B3837=B3838),$A$4:$A3837),""))</f>
        <v/>
      </c>
      <c r="J3838" s="32">
        <f>IF(B3838="","",IFERROR(D3838/I3838,""))</f>
        <v/>
      </c>
      <c r="K3838" s="71">
        <f>IF(B3838="","",IFERROR(AVERAGEIFS($J$4:$J3838,$B$4:$B3838,B3838,$J$4:$J3838,"&gt;"&amp;0),""))</f>
        <v/>
      </c>
      <c r="L3838" s="12" t="n"/>
    </row>
    <row r="3839" ht="14" customHeight="1" s="72">
      <c r="A3839" s="82" t="n"/>
      <c r="B3839" s="79" t="n"/>
      <c r="C3839" s="69">
        <f>IF(B3839="","",IFERROR(INDEX(Client_List!$B:$B,MATCH(B3839,Client_List!$A:$A,0)),"⚠ NOT FOUND"))</f>
        <v/>
      </c>
      <c r="D3839" s="44" t="n"/>
      <c r="E3839" s="32">
        <f>IF(B3839="","",IFERROR(INDEX(Client_List!$C:$C,MATCH(VALUE(B3839),Client_List!$A:$A,0)),""))</f>
        <v/>
      </c>
      <c r="F3839" s="53">
        <f>IF(B3839="","",IFERROR(INDEX(Client_List!$D:$D,MATCH(VALUE(B3839),Client_List!$A:$A,0)),""))</f>
        <v/>
      </c>
      <c r="G3839" s="53">
        <f>IF(B3839="","",IFERROR(INDEX(Client_List!$K:$K,MATCH(VALUE(B3839),Client_List!$A:$A,0)),""))</f>
        <v/>
      </c>
      <c r="H3839" s="32">
        <f>IF(B3839="","",IFERROR(INDEX(Client_List!$J:$J,MATCH(VALUE(B3839),Client_List!$A:$A,0)),""))</f>
        <v/>
      </c>
      <c r="I3839" s="70">
        <f>IF(B3839="","",IFERROR(A3839-LOOKUP(2,1/($B$4:$B3838=B3839),$A$4:$A3838),""))</f>
        <v/>
      </c>
      <c r="J3839" s="32">
        <f>IF(B3839="","",IFERROR(D3839/I3839,""))</f>
        <v/>
      </c>
      <c r="K3839" s="71">
        <f>IF(B3839="","",IFERROR(AVERAGEIFS($J$4:$J3839,$B$4:$B3839,B3839,$J$4:$J3839,"&gt;"&amp;0),""))</f>
        <v/>
      </c>
      <c r="L3839" s="11" t="n"/>
    </row>
    <row r="3840" ht="14" customHeight="1" s="72">
      <c r="A3840" s="83" t="n"/>
      <c r="B3840" s="81" t="n"/>
      <c r="C3840" s="69">
        <f>IF(B3840="","",IFERROR(INDEX(Client_List!$B:$B,MATCH(B3840,Client_List!$A:$A,0)),"⚠ NOT FOUND"))</f>
        <v/>
      </c>
      <c r="D3840" s="45" t="n"/>
      <c r="E3840" s="32">
        <f>IF(B3840="","",IFERROR(INDEX(Client_List!$C:$C,MATCH(VALUE(B3840),Client_List!$A:$A,0)),""))</f>
        <v/>
      </c>
      <c r="F3840" s="53">
        <f>IF(B3840="","",IFERROR(INDEX(Client_List!$D:$D,MATCH(VALUE(B3840),Client_List!$A:$A,0)),""))</f>
        <v/>
      </c>
      <c r="G3840" s="53">
        <f>IF(B3840="","",IFERROR(INDEX(Client_List!$K:$K,MATCH(VALUE(B3840),Client_List!$A:$A,0)),""))</f>
        <v/>
      </c>
      <c r="H3840" s="32">
        <f>IF(B3840="","",IFERROR(INDEX(Client_List!$J:$J,MATCH(VALUE(B3840),Client_List!$A:$A,0)),""))</f>
        <v/>
      </c>
      <c r="I3840" s="70">
        <f>IF(B3840="","",IFERROR(A3840-LOOKUP(2,1/($B$4:$B3839=B3840),$A$4:$A3839),""))</f>
        <v/>
      </c>
      <c r="J3840" s="32">
        <f>IF(B3840="","",IFERROR(D3840/I3840,""))</f>
        <v/>
      </c>
      <c r="K3840" s="71">
        <f>IF(B3840="","",IFERROR(AVERAGEIFS($J$4:$J3840,$B$4:$B3840,B3840,$J$4:$J3840,"&gt;"&amp;0),""))</f>
        <v/>
      </c>
      <c r="L3840" s="12" t="n"/>
    </row>
    <row r="3841" ht="14" customHeight="1" s="72">
      <c r="A3841" s="82" t="n"/>
      <c r="B3841" s="79" t="n"/>
      <c r="C3841" s="69">
        <f>IF(B3841="","",IFERROR(INDEX(Client_List!$B:$B,MATCH(B3841,Client_List!$A:$A,0)),"⚠ NOT FOUND"))</f>
        <v/>
      </c>
      <c r="D3841" s="44" t="n"/>
      <c r="E3841" s="32">
        <f>IF(B3841="","",IFERROR(INDEX(Client_List!$C:$C,MATCH(VALUE(B3841),Client_List!$A:$A,0)),""))</f>
        <v/>
      </c>
      <c r="F3841" s="53">
        <f>IF(B3841="","",IFERROR(INDEX(Client_List!$D:$D,MATCH(VALUE(B3841),Client_List!$A:$A,0)),""))</f>
        <v/>
      </c>
      <c r="G3841" s="53">
        <f>IF(B3841="","",IFERROR(INDEX(Client_List!$K:$K,MATCH(VALUE(B3841),Client_List!$A:$A,0)),""))</f>
        <v/>
      </c>
      <c r="H3841" s="32">
        <f>IF(B3841="","",IFERROR(INDEX(Client_List!$J:$J,MATCH(VALUE(B3841),Client_List!$A:$A,0)),""))</f>
        <v/>
      </c>
      <c r="I3841" s="70">
        <f>IF(B3841="","",IFERROR(A3841-LOOKUP(2,1/($B$4:$B3840=B3841),$A$4:$A3840),""))</f>
        <v/>
      </c>
      <c r="J3841" s="32">
        <f>IF(B3841="","",IFERROR(D3841/I3841,""))</f>
        <v/>
      </c>
      <c r="K3841" s="71">
        <f>IF(B3841="","",IFERROR(AVERAGEIFS($J$4:$J3841,$B$4:$B3841,B3841,$J$4:$J3841,"&gt;"&amp;0),""))</f>
        <v/>
      </c>
      <c r="L3841" s="11" t="n"/>
    </row>
    <row r="3842" ht="14" customHeight="1" s="72">
      <c r="A3842" s="83" t="n"/>
      <c r="B3842" s="81" t="n"/>
      <c r="C3842" s="69">
        <f>IF(B3842="","",IFERROR(INDEX(Client_List!$B:$B,MATCH(B3842,Client_List!$A:$A,0)),"⚠ NOT FOUND"))</f>
        <v/>
      </c>
      <c r="D3842" s="45" t="n"/>
      <c r="E3842" s="32">
        <f>IF(B3842="","",IFERROR(INDEX(Client_List!$C:$C,MATCH(VALUE(B3842),Client_List!$A:$A,0)),""))</f>
        <v/>
      </c>
      <c r="F3842" s="53">
        <f>IF(B3842="","",IFERROR(INDEX(Client_List!$D:$D,MATCH(VALUE(B3842),Client_List!$A:$A,0)),""))</f>
        <v/>
      </c>
      <c r="G3842" s="53">
        <f>IF(B3842="","",IFERROR(INDEX(Client_List!$K:$K,MATCH(VALUE(B3842),Client_List!$A:$A,0)),""))</f>
        <v/>
      </c>
      <c r="H3842" s="32">
        <f>IF(B3842="","",IFERROR(INDEX(Client_List!$J:$J,MATCH(VALUE(B3842),Client_List!$A:$A,0)),""))</f>
        <v/>
      </c>
      <c r="I3842" s="70">
        <f>IF(B3842="","",IFERROR(A3842-LOOKUP(2,1/($B$4:$B3841=B3842),$A$4:$A3841),""))</f>
        <v/>
      </c>
      <c r="J3842" s="32">
        <f>IF(B3842="","",IFERROR(D3842/I3842,""))</f>
        <v/>
      </c>
      <c r="K3842" s="71">
        <f>IF(B3842="","",IFERROR(AVERAGEIFS($J$4:$J3842,$B$4:$B3842,B3842,$J$4:$J3842,"&gt;"&amp;0),""))</f>
        <v/>
      </c>
      <c r="L3842" s="12" t="n"/>
    </row>
    <row r="3843" ht="14" customHeight="1" s="72">
      <c r="A3843" s="82" t="n"/>
      <c r="B3843" s="79" t="n"/>
      <c r="C3843" s="69">
        <f>IF(B3843="","",IFERROR(INDEX(Client_List!$B:$B,MATCH(B3843,Client_List!$A:$A,0)),"⚠ NOT FOUND"))</f>
        <v/>
      </c>
      <c r="D3843" s="44" t="n"/>
      <c r="E3843" s="32">
        <f>IF(B3843="","",IFERROR(INDEX(Client_List!$C:$C,MATCH(VALUE(B3843),Client_List!$A:$A,0)),""))</f>
        <v/>
      </c>
      <c r="F3843" s="53">
        <f>IF(B3843="","",IFERROR(INDEX(Client_List!$D:$D,MATCH(VALUE(B3843),Client_List!$A:$A,0)),""))</f>
        <v/>
      </c>
      <c r="G3843" s="53">
        <f>IF(B3843="","",IFERROR(INDEX(Client_List!$K:$K,MATCH(VALUE(B3843),Client_List!$A:$A,0)),""))</f>
        <v/>
      </c>
      <c r="H3843" s="32">
        <f>IF(B3843="","",IFERROR(INDEX(Client_List!$J:$J,MATCH(VALUE(B3843),Client_List!$A:$A,0)),""))</f>
        <v/>
      </c>
      <c r="I3843" s="70">
        <f>IF(B3843="","",IFERROR(A3843-LOOKUP(2,1/($B$4:$B3842=B3843),$A$4:$A3842),""))</f>
        <v/>
      </c>
      <c r="J3843" s="32">
        <f>IF(B3843="","",IFERROR(D3843/I3843,""))</f>
        <v/>
      </c>
      <c r="K3843" s="71">
        <f>IF(B3843="","",IFERROR(AVERAGEIFS($J$4:$J3843,$B$4:$B3843,B3843,$J$4:$J3843,"&gt;"&amp;0),""))</f>
        <v/>
      </c>
      <c r="L3843" s="11" t="n"/>
    </row>
    <row r="3844" ht="14" customHeight="1" s="72">
      <c r="A3844" s="83" t="n"/>
      <c r="B3844" s="81" t="n"/>
      <c r="C3844" s="69">
        <f>IF(B3844="","",IFERROR(INDEX(Client_List!$B:$B,MATCH(B3844,Client_List!$A:$A,0)),"⚠ NOT FOUND"))</f>
        <v/>
      </c>
      <c r="D3844" s="45" t="n"/>
      <c r="E3844" s="32">
        <f>IF(B3844="","",IFERROR(INDEX(Client_List!$C:$C,MATCH(VALUE(B3844),Client_List!$A:$A,0)),""))</f>
        <v/>
      </c>
      <c r="F3844" s="53">
        <f>IF(B3844="","",IFERROR(INDEX(Client_List!$D:$D,MATCH(VALUE(B3844),Client_List!$A:$A,0)),""))</f>
        <v/>
      </c>
      <c r="G3844" s="53">
        <f>IF(B3844="","",IFERROR(INDEX(Client_List!$K:$K,MATCH(VALUE(B3844),Client_List!$A:$A,0)),""))</f>
        <v/>
      </c>
      <c r="H3844" s="32">
        <f>IF(B3844="","",IFERROR(INDEX(Client_List!$J:$J,MATCH(VALUE(B3844),Client_List!$A:$A,0)),""))</f>
        <v/>
      </c>
      <c r="I3844" s="70">
        <f>IF(B3844="","",IFERROR(A3844-LOOKUP(2,1/($B$4:$B3843=B3844),$A$4:$A3843),""))</f>
        <v/>
      </c>
      <c r="J3844" s="32">
        <f>IF(B3844="","",IFERROR(D3844/I3844,""))</f>
        <v/>
      </c>
      <c r="K3844" s="71">
        <f>IF(B3844="","",IFERROR(AVERAGEIFS($J$4:$J3844,$B$4:$B3844,B3844,$J$4:$J3844,"&gt;"&amp;0),""))</f>
        <v/>
      </c>
      <c r="L3844" s="12" t="n"/>
    </row>
    <row r="3845" ht="14" customHeight="1" s="72">
      <c r="A3845" s="82" t="n"/>
      <c r="B3845" s="79" t="n"/>
      <c r="C3845" s="69">
        <f>IF(B3845="","",IFERROR(INDEX(Client_List!$B:$B,MATCH(B3845,Client_List!$A:$A,0)),"⚠ NOT FOUND"))</f>
        <v/>
      </c>
      <c r="D3845" s="44" t="n"/>
      <c r="E3845" s="32">
        <f>IF(B3845="","",IFERROR(INDEX(Client_List!$C:$C,MATCH(VALUE(B3845),Client_List!$A:$A,0)),""))</f>
        <v/>
      </c>
      <c r="F3845" s="53">
        <f>IF(B3845="","",IFERROR(INDEX(Client_List!$D:$D,MATCH(VALUE(B3845),Client_List!$A:$A,0)),""))</f>
        <v/>
      </c>
      <c r="G3845" s="53">
        <f>IF(B3845="","",IFERROR(INDEX(Client_List!$K:$K,MATCH(VALUE(B3845),Client_List!$A:$A,0)),""))</f>
        <v/>
      </c>
      <c r="H3845" s="32">
        <f>IF(B3845="","",IFERROR(INDEX(Client_List!$J:$J,MATCH(VALUE(B3845),Client_List!$A:$A,0)),""))</f>
        <v/>
      </c>
      <c r="I3845" s="70">
        <f>IF(B3845="","",IFERROR(A3845-LOOKUP(2,1/($B$4:$B3844=B3845),$A$4:$A3844),""))</f>
        <v/>
      </c>
      <c r="J3845" s="32">
        <f>IF(B3845="","",IFERROR(D3845/I3845,""))</f>
        <v/>
      </c>
      <c r="K3845" s="71">
        <f>IF(B3845="","",IFERROR(AVERAGEIFS($J$4:$J3845,$B$4:$B3845,B3845,$J$4:$J3845,"&gt;"&amp;0),""))</f>
        <v/>
      </c>
      <c r="L3845" s="11" t="n"/>
    </row>
    <row r="3846" ht="14" customHeight="1" s="72">
      <c r="A3846" s="83" t="n"/>
      <c r="B3846" s="81" t="n"/>
      <c r="C3846" s="69">
        <f>IF(B3846="","",IFERROR(INDEX(Client_List!$B:$B,MATCH(B3846,Client_List!$A:$A,0)),"⚠ NOT FOUND"))</f>
        <v/>
      </c>
      <c r="D3846" s="45" t="n"/>
      <c r="E3846" s="32">
        <f>IF(B3846="","",IFERROR(INDEX(Client_List!$C:$C,MATCH(VALUE(B3846),Client_List!$A:$A,0)),""))</f>
        <v/>
      </c>
      <c r="F3846" s="53">
        <f>IF(B3846="","",IFERROR(INDEX(Client_List!$D:$D,MATCH(VALUE(B3846),Client_List!$A:$A,0)),""))</f>
        <v/>
      </c>
      <c r="G3846" s="53">
        <f>IF(B3846="","",IFERROR(INDEX(Client_List!$K:$K,MATCH(VALUE(B3846),Client_List!$A:$A,0)),""))</f>
        <v/>
      </c>
      <c r="H3846" s="32">
        <f>IF(B3846="","",IFERROR(INDEX(Client_List!$J:$J,MATCH(VALUE(B3846),Client_List!$A:$A,0)),""))</f>
        <v/>
      </c>
      <c r="I3846" s="70">
        <f>IF(B3846="","",IFERROR(A3846-LOOKUP(2,1/($B$4:$B3845=B3846),$A$4:$A3845),""))</f>
        <v/>
      </c>
      <c r="J3846" s="32">
        <f>IF(B3846="","",IFERROR(D3846/I3846,""))</f>
        <v/>
      </c>
      <c r="K3846" s="71">
        <f>IF(B3846="","",IFERROR(AVERAGEIFS($J$4:$J3846,$B$4:$B3846,B3846,$J$4:$J3846,"&gt;"&amp;0),""))</f>
        <v/>
      </c>
      <c r="L3846" s="12" t="n"/>
    </row>
    <row r="3847" ht="14" customHeight="1" s="72">
      <c r="A3847" s="82" t="n"/>
      <c r="B3847" s="79" t="n"/>
      <c r="C3847" s="69">
        <f>IF(B3847="","",IFERROR(INDEX(Client_List!$B:$B,MATCH(B3847,Client_List!$A:$A,0)),"⚠ NOT FOUND"))</f>
        <v/>
      </c>
      <c r="D3847" s="44" t="n"/>
      <c r="E3847" s="32">
        <f>IF(B3847="","",IFERROR(INDEX(Client_List!$C:$C,MATCH(VALUE(B3847),Client_List!$A:$A,0)),""))</f>
        <v/>
      </c>
      <c r="F3847" s="53">
        <f>IF(B3847="","",IFERROR(INDEX(Client_List!$D:$D,MATCH(VALUE(B3847),Client_List!$A:$A,0)),""))</f>
        <v/>
      </c>
      <c r="G3847" s="53">
        <f>IF(B3847="","",IFERROR(INDEX(Client_List!$K:$K,MATCH(VALUE(B3847),Client_List!$A:$A,0)),""))</f>
        <v/>
      </c>
      <c r="H3847" s="32">
        <f>IF(B3847="","",IFERROR(INDEX(Client_List!$J:$J,MATCH(VALUE(B3847),Client_List!$A:$A,0)),""))</f>
        <v/>
      </c>
      <c r="I3847" s="70">
        <f>IF(B3847="","",IFERROR(A3847-LOOKUP(2,1/($B$4:$B3846=B3847),$A$4:$A3846),""))</f>
        <v/>
      </c>
      <c r="J3847" s="32">
        <f>IF(B3847="","",IFERROR(D3847/I3847,""))</f>
        <v/>
      </c>
      <c r="K3847" s="71">
        <f>IF(B3847="","",IFERROR(AVERAGEIFS($J$4:$J3847,$B$4:$B3847,B3847,$J$4:$J3847,"&gt;"&amp;0),""))</f>
        <v/>
      </c>
      <c r="L3847" s="11" t="n"/>
    </row>
    <row r="3848" ht="14" customHeight="1" s="72">
      <c r="A3848" s="83" t="n"/>
      <c r="B3848" s="81" t="n"/>
      <c r="C3848" s="69">
        <f>IF(B3848="","",IFERROR(INDEX(Client_List!$B:$B,MATCH(B3848,Client_List!$A:$A,0)),"⚠ NOT FOUND"))</f>
        <v/>
      </c>
      <c r="D3848" s="45" t="n"/>
      <c r="E3848" s="32">
        <f>IF(B3848="","",IFERROR(INDEX(Client_List!$C:$C,MATCH(VALUE(B3848),Client_List!$A:$A,0)),""))</f>
        <v/>
      </c>
      <c r="F3848" s="53">
        <f>IF(B3848="","",IFERROR(INDEX(Client_List!$D:$D,MATCH(VALUE(B3848),Client_List!$A:$A,0)),""))</f>
        <v/>
      </c>
      <c r="G3848" s="53">
        <f>IF(B3848="","",IFERROR(INDEX(Client_List!$K:$K,MATCH(VALUE(B3848),Client_List!$A:$A,0)),""))</f>
        <v/>
      </c>
      <c r="H3848" s="32">
        <f>IF(B3848="","",IFERROR(INDEX(Client_List!$J:$J,MATCH(VALUE(B3848),Client_List!$A:$A,0)),""))</f>
        <v/>
      </c>
      <c r="I3848" s="70">
        <f>IF(B3848="","",IFERROR(A3848-LOOKUP(2,1/($B$4:$B3847=B3848),$A$4:$A3847),""))</f>
        <v/>
      </c>
      <c r="J3848" s="32">
        <f>IF(B3848="","",IFERROR(D3848/I3848,""))</f>
        <v/>
      </c>
      <c r="K3848" s="71">
        <f>IF(B3848="","",IFERROR(AVERAGEIFS($J$4:$J3848,$B$4:$B3848,B3848,$J$4:$J3848,"&gt;"&amp;0),""))</f>
        <v/>
      </c>
      <c r="L3848" s="12" t="n"/>
    </row>
    <row r="3849" ht="14" customHeight="1" s="72">
      <c r="A3849" s="82" t="n"/>
      <c r="B3849" s="79" t="n"/>
      <c r="C3849" s="69">
        <f>IF(B3849="","",IFERROR(INDEX(Client_List!$B:$B,MATCH(B3849,Client_List!$A:$A,0)),"⚠ NOT FOUND"))</f>
        <v/>
      </c>
      <c r="D3849" s="44" t="n"/>
      <c r="E3849" s="32">
        <f>IF(B3849="","",IFERROR(INDEX(Client_List!$C:$C,MATCH(VALUE(B3849),Client_List!$A:$A,0)),""))</f>
        <v/>
      </c>
      <c r="F3849" s="53">
        <f>IF(B3849="","",IFERROR(INDEX(Client_List!$D:$D,MATCH(VALUE(B3849),Client_List!$A:$A,0)),""))</f>
        <v/>
      </c>
      <c r="G3849" s="53">
        <f>IF(B3849="","",IFERROR(INDEX(Client_List!$K:$K,MATCH(VALUE(B3849),Client_List!$A:$A,0)),""))</f>
        <v/>
      </c>
      <c r="H3849" s="32">
        <f>IF(B3849="","",IFERROR(INDEX(Client_List!$J:$J,MATCH(VALUE(B3849),Client_List!$A:$A,0)),""))</f>
        <v/>
      </c>
      <c r="I3849" s="70">
        <f>IF(B3849="","",IFERROR(A3849-LOOKUP(2,1/($B$4:$B3848=B3849),$A$4:$A3848),""))</f>
        <v/>
      </c>
      <c r="J3849" s="32">
        <f>IF(B3849="","",IFERROR(D3849/I3849,""))</f>
        <v/>
      </c>
      <c r="K3849" s="71">
        <f>IF(B3849="","",IFERROR(AVERAGEIFS($J$4:$J3849,$B$4:$B3849,B3849,$J$4:$J3849,"&gt;"&amp;0),""))</f>
        <v/>
      </c>
      <c r="L3849" s="11" t="n"/>
    </row>
    <row r="3850" ht="14" customHeight="1" s="72">
      <c r="A3850" s="83" t="n"/>
      <c r="B3850" s="81" t="n"/>
      <c r="C3850" s="69">
        <f>IF(B3850="","",IFERROR(INDEX(Client_List!$B:$B,MATCH(B3850,Client_List!$A:$A,0)),"⚠ NOT FOUND"))</f>
        <v/>
      </c>
      <c r="D3850" s="45" t="n"/>
      <c r="E3850" s="32">
        <f>IF(B3850="","",IFERROR(INDEX(Client_List!$C:$C,MATCH(VALUE(B3850),Client_List!$A:$A,0)),""))</f>
        <v/>
      </c>
      <c r="F3850" s="53">
        <f>IF(B3850="","",IFERROR(INDEX(Client_List!$D:$D,MATCH(VALUE(B3850),Client_List!$A:$A,0)),""))</f>
        <v/>
      </c>
      <c r="G3850" s="53">
        <f>IF(B3850="","",IFERROR(INDEX(Client_List!$K:$K,MATCH(VALUE(B3850),Client_List!$A:$A,0)),""))</f>
        <v/>
      </c>
      <c r="H3850" s="32">
        <f>IF(B3850="","",IFERROR(INDEX(Client_List!$J:$J,MATCH(VALUE(B3850),Client_List!$A:$A,0)),""))</f>
        <v/>
      </c>
      <c r="I3850" s="70">
        <f>IF(B3850="","",IFERROR(A3850-LOOKUP(2,1/($B$4:$B3849=B3850),$A$4:$A3849),""))</f>
        <v/>
      </c>
      <c r="J3850" s="32">
        <f>IF(B3850="","",IFERROR(D3850/I3850,""))</f>
        <v/>
      </c>
      <c r="K3850" s="71">
        <f>IF(B3850="","",IFERROR(AVERAGEIFS($J$4:$J3850,$B$4:$B3850,B3850,$J$4:$J3850,"&gt;"&amp;0),""))</f>
        <v/>
      </c>
      <c r="L3850" s="12" t="n"/>
    </row>
    <row r="3851" ht="14" customHeight="1" s="72">
      <c r="A3851" s="82" t="n"/>
      <c r="B3851" s="79" t="n"/>
      <c r="C3851" s="69">
        <f>IF(B3851="","",IFERROR(INDEX(Client_List!$B:$B,MATCH(B3851,Client_List!$A:$A,0)),"⚠ NOT FOUND"))</f>
        <v/>
      </c>
      <c r="D3851" s="44" t="n"/>
      <c r="E3851" s="32">
        <f>IF(B3851="","",IFERROR(INDEX(Client_List!$C:$C,MATCH(VALUE(B3851),Client_List!$A:$A,0)),""))</f>
        <v/>
      </c>
      <c r="F3851" s="53">
        <f>IF(B3851="","",IFERROR(INDEX(Client_List!$D:$D,MATCH(VALUE(B3851),Client_List!$A:$A,0)),""))</f>
        <v/>
      </c>
      <c r="G3851" s="53">
        <f>IF(B3851="","",IFERROR(INDEX(Client_List!$K:$K,MATCH(VALUE(B3851),Client_List!$A:$A,0)),""))</f>
        <v/>
      </c>
      <c r="H3851" s="32">
        <f>IF(B3851="","",IFERROR(INDEX(Client_List!$J:$J,MATCH(VALUE(B3851),Client_List!$A:$A,0)),""))</f>
        <v/>
      </c>
      <c r="I3851" s="70">
        <f>IF(B3851="","",IFERROR(A3851-LOOKUP(2,1/($B$4:$B3850=B3851),$A$4:$A3850),""))</f>
        <v/>
      </c>
      <c r="J3851" s="32">
        <f>IF(B3851="","",IFERROR(D3851/I3851,""))</f>
        <v/>
      </c>
      <c r="K3851" s="71">
        <f>IF(B3851="","",IFERROR(AVERAGEIFS($J$4:$J3851,$B$4:$B3851,B3851,$J$4:$J3851,"&gt;"&amp;0),""))</f>
        <v/>
      </c>
      <c r="L3851" s="11" t="n"/>
    </row>
    <row r="3852" ht="14" customHeight="1" s="72">
      <c r="A3852" s="83" t="n"/>
      <c r="B3852" s="81" t="n"/>
      <c r="C3852" s="69">
        <f>IF(B3852="","",IFERROR(INDEX(Client_List!$B:$B,MATCH(B3852,Client_List!$A:$A,0)),"⚠ NOT FOUND"))</f>
        <v/>
      </c>
      <c r="D3852" s="45" t="n"/>
      <c r="E3852" s="32">
        <f>IF(B3852="","",IFERROR(INDEX(Client_List!$C:$C,MATCH(VALUE(B3852),Client_List!$A:$A,0)),""))</f>
        <v/>
      </c>
      <c r="F3852" s="53">
        <f>IF(B3852="","",IFERROR(INDEX(Client_List!$D:$D,MATCH(VALUE(B3852),Client_List!$A:$A,0)),""))</f>
        <v/>
      </c>
      <c r="G3852" s="53">
        <f>IF(B3852="","",IFERROR(INDEX(Client_List!$K:$K,MATCH(VALUE(B3852),Client_List!$A:$A,0)),""))</f>
        <v/>
      </c>
      <c r="H3852" s="32">
        <f>IF(B3852="","",IFERROR(INDEX(Client_List!$J:$J,MATCH(VALUE(B3852),Client_List!$A:$A,0)),""))</f>
        <v/>
      </c>
      <c r="I3852" s="70">
        <f>IF(B3852="","",IFERROR(A3852-LOOKUP(2,1/($B$4:$B3851=B3852),$A$4:$A3851),""))</f>
        <v/>
      </c>
      <c r="J3852" s="32">
        <f>IF(B3852="","",IFERROR(D3852/I3852,""))</f>
        <v/>
      </c>
      <c r="K3852" s="71">
        <f>IF(B3852="","",IFERROR(AVERAGEIFS($J$4:$J3852,$B$4:$B3852,B3852,$J$4:$J3852,"&gt;"&amp;0),""))</f>
        <v/>
      </c>
      <c r="L3852" s="12" t="n"/>
    </row>
    <row r="3853" ht="14" customHeight="1" s="72">
      <c r="A3853" s="82" t="n"/>
      <c r="B3853" s="79" t="n"/>
      <c r="C3853" s="69">
        <f>IF(B3853="","",IFERROR(INDEX(Client_List!$B:$B,MATCH(B3853,Client_List!$A:$A,0)),"⚠ NOT FOUND"))</f>
        <v/>
      </c>
      <c r="D3853" s="44" t="n"/>
      <c r="E3853" s="32">
        <f>IF(B3853="","",IFERROR(INDEX(Client_List!$C:$C,MATCH(VALUE(B3853),Client_List!$A:$A,0)),""))</f>
        <v/>
      </c>
      <c r="F3853" s="53">
        <f>IF(B3853="","",IFERROR(INDEX(Client_List!$D:$D,MATCH(VALUE(B3853),Client_List!$A:$A,0)),""))</f>
        <v/>
      </c>
      <c r="G3853" s="53">
        <f>IF(B3853="","",IFERROR(INDEX(Client_List!$K:$K,MATCH(VALUE(B3853),Client_List!$A:$A,0)),""))</f>
        <v/>
      </c>
      <c r="H3853" s="32">
        <f>IF(B3853="","",IFERROR(INDEX(Client_List!$J:$J,MATCH(VALUE(B3853),Client_List!$A:$A,0)),""))</f>
        <v/>
      </c>
      <c r="I3853" s="70">
        <f>IF(B3853="","",IFERROR(A3853-LOOKUP(2,1/($B$4:$B3852=B3853),$A$4:$A3852),""))</f>
        <v/>
      </c>
      <c r="J3853" s="32">
        <f>IF(B3853="","",IFERROR(D3853/I3853,""))</f>
        <v/>
      </c>
      <c r="K3853" s="71">
        <f>IF(B3853="","",IFERROR(AVERAGEIFS($J$4:$J3853,$B$4:$B3853,B3853,$J$4:$J3853,"&gt;"&amp;0),""))</f>
        <v/>
      </c>
      <c r="L3853" s="11" t="n"/>
    </row>
    <row r="3854" ht="14" customHeight="1" s="72">
      <c r="A3854" s="83" t="n"/>
      <c r="B3854" s="81" t="n"/>
      <c r="C3854" s="69">
        <f>IF(B3854="","",IFERROR(INDEX(Client_List!$B:$B,MATCH(B3854,Client_List!$A:$A,0)),"⚠ NOT FOUND"))</f>
        <v/>
      </c>
      <c r="D3854" s="45" t="n"/>
      <c r="E3854" s="32">
        <f>IF(B3854="","",IFERROR(INDEX(Client_List!$C:$C,MATCH(VALUE(B3854),Client_List!$A:$A,0)),""))</f>
        <v/>
      </c>
      <c r="F3854" s="53">
        <f>IF(B3854="","",IFERROR(INDEX(Client_List!$D:$D,MATCH(VALUE(B3854),Client_List!$A:$A,0)),""))</f>
        <v/>
      </c>
      <c r="G3854" s="53">
        <f>IF(B3854="","",IFERROR(INDEX(Client_List!$K:$K,MATCH(VALUE(B3854),Client_List!$A:$A,0)),""))</f>
        <v/>
      </c>
      <c r="H3854" s="32">
        <f>IF(B3854="","",IFERROR(INDEX(Client_List!$J:$J,MATCH(VALUE(B3854),Client_List!$A:$A,0)),""))</f>
        <v/>
      </c>
      <c r="I3854" s="70">
        <f>IF(B3854="","",IFERROR(A3854-LOOKUP(2,1/($B$4:$B3853=B3854),$A$4:$A3853),""))</f>
        <v/>
      </c>
      <c r="J3854" s="32">
        <f>IF(B3854="","",IFERROR(D3854/I3854,""))</f>
        <v/>
      </c>
      <c r="K3854" s="71">
        <f>IF(B3854="","",IFERROR(AVERAGEIFS($J$4:$J3854,$B$4:$B3854,B3854,$J$4:$J3854,"&gt;"&amp;0),""))</f>
        <v/>
      </c>
      <c r="L3854" s="12" t="n"/>
    </row>
    <row r="3855" ht="14" customHeight="1" s="72">
      <c r="A3855" s="82" t="n"/>
      <c r="B3855" s="79" t="n"/>
      <c r="C3855" s="69">
        <f>IF(B3855="","",IFERROR(INDEX(Client_List!$B:$B,MATCH(B3855,Client_List!$A:$A,0)),"⚠ NOT FOUND"))</f>
        <v/>
      </c>
      <c r="D3855" s="44" t="n"/>
      <c r="E3855" s="32">
        <f>IF(B3855="","",IFERROR(INDEX(Client_List!$C:$C,MATCH(VALUE(B3855),Client_List!$A:$A,0)),""))</f>
        <v/>
      </c>
      <c r="F3855" s="53">
        <f>IF(B3855="","",IFERROR(INDEX(Client_List!$D:$D,MATCH(VALUE(B3855),Client_List!$A:$A,0)),""))</f>
        <v/>
      </c>
      <c r="G3855" s="53">
        <f>IF(B3855="","",IFERROR(INDEX(Client_List!$K:$K,MATCH(VALUE(B3855),Client_List!$A:$A,0)),""))</f>
        <v/>
      </c>
      <c r="H3855" s="32">
        <f>IF(B3855="","",IFERROR(INDEX(Client_List!$J:$J,MATCH(VALUE(B3855),Client_List!$A:$A,0)),""))</f>
        <v/>
      </c>
      <c r="I3855" s="70">
        <f>IF(B3855="","",IFERROR(A3855-LOOKUP(2,1/($B$4:$B3854=B3855),$A$4:$A3854),""))</f>
        <v/>
      </c>
      <c r="J3855" s="32">
        <f>IF(B3855="","",IFERROR(D3855/I3855,""))</f>
        <v/>
      </c>
      <c r="K3855" s="71">
        <f>IF(B3855="","",IFERROR(AVERAGEIFS($J$4:$J3855,$B$4:$B3855,B3855,$J$4:$J3855,"&gt;"&amp;0),""))</f>
        <v/>
      </c>
      <c r="L3855" s="11" t="n"/>
    </row>
    <row r="3856" ht="14" customHeight="1" s="72">
      <c r="A3856" s="83" t="n"/>
      <c r="B3856" s="81" t="n"/>
      <c r="C3856" s="69">
        <f>IF(B3856="","",IFERROR(INDEX(Client_List!$B:$B,MATCH(B3856,Client_List!$A:$A,0)),"⚠ NOT FOUND"))</f>
        <v/>
      </c>
      <c r="D3856" s="45" t="n"/>
      <c r="E3856" s="32">
        <f>IF(B3856="","",IFERROR(INDEX(Client_List!$C:$C,MATCH(VALUE(B3856),Client_List!$A:$A,0)),""))</f>
        <v/>
      </c>
      <c r="F3856" s="53">
        <f>IF(B3856="","",IFERROR(INDEX(Client_List!$D:$D,MATCH(VALUE(B3856),Client_List!$A:$A,0)),""))</f>
        <v/>
      </c>
      <c r="G3856" s="53">
        <f>IF(B3856="","",IFERROR(INDEX(Client_List!$K:$K,MATCH(VALUE(B3856),Client_List!$A:$A,0)),""))</f>
        <v/>
      </c>
      <c r="H3856" s="32">
        <f>IF(B3856="","",IFERROR(INDEX(Client_List!$J:$J,MATCH(VALUE(B3856),Client_List!$A:$A,0)),""))</f>
        <v/>
      </c>
      <c r="I3856" s="70">
        <f>IF(B3856="","",IFERROR(A3856-LOOKUP(2,1/($B$4:$B3855=B3856),$A$4:$A3855),""))</f>
        <v/>
      </c>
      <c r="J3856" s="32">
        <f>IF(B3856="","",IFERROR(D3856/I3856,""))</f>
        <v/>
      </c>
      <c r="K3856" s="71">
        <f>IF(B3856="","",IFERROR(AVERAGEIFS($J$4:$J3856,$B$4:$B3856,B3856,$J$4:$J3856,"&gt;"&amp;0),""))</f>
        <v/>
      </c>
      <c r="L3856" s="12" t="n"/>
    </row>
    <row r="3857" ht="14" customHeight="1" s="72">
      <c r="A3857" s="82" t="n"/>
      <c r="B3857" s="79" t="n"/>
      <c r="C3857" s="69">
        <f>IF(B3857="","",IFERROR(INDEX(Client_List!$B:$B,MATCH(B3857,Client_List!$A:$A,0)),"⚠ NOT FOUND"))</f>
        <v/>
      </c>
      <c r="D3857" s="44" t="n"/>
      <c r="E3857" s="32">
        <f>IF(B3857="","",IFERROR(INDEX(Client_List!$C:$C,MATCH(VALUE(B3857),Client_List!$A:$A,0)),""))</f>
        <v/>
      </c>
      <c r="F3857" s="53">
        <f>IF(B3857="","",IFERROR(INDEX(Client_List!$D:$D,MATCH(VALUE(B3857),Client_List!$A:$A,0)),""))</f>
        <v/>
      </c>
      <c r="G3857" s="53">
        <f>IF(B3857="","",IFERROR(INDEX(Client_List!$K:$K,MATCH(VALUE(B3857),Client_List!$A:$A,0)),""))</f>
        <v/>
      </c>
      <c r="H3857" s="32">
        <f>IF(B3857="","",IFERROR(INDEX(Client_List!$J:$J,MATCH(VALUE(B3857),Client_List!$A:$A,0)),""))</f>
        <v/>
      </c>
      <c r="I3857" s="70">
        <f>IF(B3857="","",IFERROR(A3857-LOOKUP(2,1/($B$4:$B3856=B3857),$A$4:$A3856),""))</f>
        <v/>
      </c>
      <c r="J3857" s="32">
        <f>IF(B3857="","",IFERROR(D3857/I3857,""))</f>
        <v/>
      </c>
      <c r="K3857" s="71">
        <f>IF(B3857="","",IFERROR(AVERAGEIFS($J$4:$J3857,$B$4:$B3857,B3857,$J$4:$J3857,"&gt;"&amp;0),""))</f>
        <v/>
      </c>
      <c r="L3857" s="11" t="n"/>
    </row>
    <row r="3858" ht="14" customHeight="1" s="72">
      <c r="A3858" s="83" t="n"/>
      <c r="B3858" s="81" t="n"/>
      <c r="C3858" s="69">
        <f>IF(B3858="","",IFERROR(INDEX(Client_List!$B:$B,MATCH(B3858,Client_List!$A:$A,0)),"⚠ NOT FOUND"))</f>
        <v/>
      </c>
      <c r="D3858" s="45" t="n"/>
      <c r="E3858" s="32">
        <f>IF(B3858="","",IFERROR(INDEX(Client_List!$C:$C,MATCH(VALUE(B3858),Client_List!$A:$A,0)),""))</f>
        <v/>
      </c>
      <c r="F3858" s="53">
        <f>IF(B3858="","",IFERROR(INDEX(Client_List!$D:$D,MATCH(VALUE(B3858),Client_List!$A:$A,0)),""))</f>
        <v/>
      </c>
      <c r="G3858" s="53">
        <f>IF(B3858="","",IFERROR(INDEX(Client_List!$K:$K,MATCH(VALUE(B3858),Client_List!$A:$A,0)),""))</f>
        <v/>
      </c>
      <c r="H3858" s="32">
        <f>IF(B3858="","",IFERROR(INDEX(Client_List!$J:$J,MATCH(VALUE(B3858),Client_List!$A:$A,0)),""))</f>
        <v/>
      </c>
      <c r="I3858" s="70">
        <f>IF(B3858="","",IFERROR(A3858-LOOKUP(2,1/($B$4:$B3857=B3858),$A$4:$A3857),""))</f>
        <v/>
      </c>
      <c r="J3858" s="32">
        <f>IF(B3858="","",IFERROR(D3858/I3858,""))</f>
        <v/>
      </c>
      <c r="K3858" s="71">
        <f>IF(B3858="","",IFERROR(AVERAGEIFS($J$4:$J3858,$B$4:$B3858,B3858,$J$4:$J3858,"&gt;"&amp;0),""))</f>
        <v/>
      </c>
      <c r="L3858" s="12" t="n"/>
    </row>
    <row r="3859" ht="14" customHeight="1" s="72">
      <c r="A3859" s="82" t="n"/>
      <c r="B3859" s="79" t="n"/>
      <c r="C3859" s="69">
        <f>IF(B3859="","",IFERROR(INDEX(Client_List!$B:$B,MATCH(B3859,Client_List!$A:$A,0)),"⚠ NOT FOUND"))</f>
        <v/>
      </c>
      <c r="D3859" s="44" t="n"/>
      <c r="E3859" s="32">
        <f>IF(B3859="","",IFERROR(INDEX(Client_List!$C:$C,MATCH(VALUE(B3859),Client_List!$A:$A,0)),""))</f>
        <v/>
      </c>
      <c r="F3859" s="53">
        <f>IF(B3859="","",IFERROR(INDEX(Client_List!$D:$D,MATCH(VALUE(B3859),Client_List!$A:$A,0)),""))</f>
        <v/>
      </c>
      <c r="G3859" s="53">
        <f>IF(B3859="","",IFERROR(INDEX(Client_List!$K:$K,MATCH(VALUE(B3859),Client_List!$A:$A,0)),""))</f>
        <v/>
      </c>
      <c r="H3859" s="32">
        <f>IF(B3859="","",IFERROR(INDEX(Client_List!$J:$J,MATCH(VALUE(B3859),Client_List!$A:$A,0)),""))</f>
        <v/>
      </c>
      <c r="I3859" s="70">
        <f>IF(B3859="","",IFERROR(A3859-LOOKUP(2,1/($B$4:$B3858=B3859),$A$4:$A3858),""))</f>
        <v/>
      </c>
      <c r="J3859" s="32">
        <f>IF(B3859="","",IFERROR(D3859/I3859,""))</f>
        <v/>
      </c>
      <c r="K3859" s="71">
        <f>IF(B3859="","",IFERROR(AVERAGEIFS($J$4:$J3859,$B$4:$B3859,B3859,$J$4:$J3859,"&gt;"&amp;0),""))</f>
        <v/>
      </c>
      <c r="L3859" s="11" t="n"/>
    </row>
    <row r="3860" ht="14" customHeight="1" s="72">
      <c r="A3860" s="83" t="n"/>
      <c r="B3860" s="81" t="n"/>
      <c r="C3860" s="69">
        <f>IF(B3860="","",IFERROR(INDEX(Client_List!$B:$B,MATCH(B3860,Client_List!$A:$A,0)),"⚠ NOT FOUND"))</f>
        <v/>
      </c>
      <c r="D3860" s="45" t="n"/>
      <c r="E3860" s="32">
        <f>IF(B3860="","",IFERROR(INDEX(Client_List!$C:$C,MATCH(VALUE(B3860),Client_List!$A:$A,0)),""))</f>
        <v/>
      </c>
      <c r="F3860" s="53">
        <f>IF(B3860="","",IFERROR(INDEX(Client_List!$D:$D,MATCH(VALUE(B3860),Client_List!$A:$A,0)),""))</f>
        <v/>
      </c>
      <c r="G3860" s="53">
        <f>IF(B3860="","",IFERROR(INDEX(Client_List!$K:$K,MATCH(VALUE(B3860),Client_List!$A:$A,0)),""))</f>
        <v/>
      </c>
      <c r="H3860" s="32">
        <f>IF(B3860="","",IFERROR(INDEX(Client_List!$J:$J,MATCH(VALUE(B3860),Client_List!$A:$A,0)),""))</f>
        <v/>
      </c>
      <c r="I3860" s="70">
        <f>IF(B3860="","",IFERROR(A3860-LOOKUP(2,1/($B$4:$B3859=B3860),$A$4:$A3859),""))</f>
        <v/>
      </c>
      <c r="J3860" s="32">
        <f>IF(B3860="","",IFERROR(D3860/I3860,""))</f>
        <v/>
      </c>
      <c r="K3860" s="71">
        <f>IF(B3860="","",IFERROR(AVERAGEIFS($J$4:$J3860,$B$4:$B3860,B3860,$J$4:$J3860,"&gt;"&amp;0),""))</f>
        <v/>
      </c>
      <c r="L3860" s="12" t="n"/>
    </row>
    <row r="3861" ht="14" customHeight="1" s="72">
      <c r="A3861" s="82" t="n"/>
      <c r="B3861" s="79" t="n"/>
      <c r="C3861" s="69">
        <f>IF(B3861="","",IFERROR(INDEX(Client_List!$B:$B,MATCH(B3861,Client_List!$A:$A,0)),"⚠ NOT FOUND"))</f>
        <v/>
      </c>
      <c r="D3861" s="44" t="n"/>
      <c r="E3861" s="32">
        <f>IF(B3861="","",IFERROR(INDEX(Client_List!$C:$C,MATCH(VALUE(B3861),Client_List!$A:$A,0)),""))</f>
        <v/>
      </c>
      <c r="F3861" s="53">
        <f>IF(B3861="","",IFERROR(INDEX(Client_List!$D:$D,MATCH(VALUE(B3861),Client_List!$A:$A,0)),""))</f>
        <v/>
      </c>
      <c r="G3861" s="53">
        <f>IF(B3861="","",IFERROR(INDEX(Client_List!$K:$K,MATCH(VALUE(B3861),Client_List!$A:$A,0)),""))</f>
        <v/>
      </c>
      <c r="H3861" s="32">
        <f>IF(B3861="","",IFERROR(INDEX(Client_List!$J:$J,MATCH(VALUE(B3861),Client_List!$A:$A,0)),""))</f>
        <v/>
      </c>
      <c r="I3861" s="70">
        <f>IF(B3861="","",IFERROR(A3861-LOOKUP(2,1/($B$4:$B3860=B3861),$A$4:$A3860),""))</f>
        <v/>
      </c>
      <c r="J3861" s="32">
        <f>IF(B3861="","",IFERROR(D3861/I3861,""))</f>
        <v/>
      </c>
      <c r="K3861" s="71">
        <f>IF(B3861="","",IFERROR(AVERAGEIFS($J$4:$J3861,$B$4:$B3861,B3861,$J$4:$J3861,"&gt;"&amp;0),""))</f>
        <v/>
      </c>
      <c r="L3861" s="11" t="n"/>
    </row>
    <row r="3862" ht="14" customHeight="1" s="72">
      <c r="A3862" s="83" t="n"/>
      <c r="B3862" s="81" t="n"/>
      <c r="C3862" s="69">
        <f>IF(B3862="","",IFERROR(INDEX(Client_List!$B:$B,MATCH(B3862,Client_List!$A:$A,0)),"⚠ NOT FOUND"))</f>
        <v/>
      </c>
      <c r="D3862" s="45" t="n"/>
      <c r="E3862" s="32">
        <f>IF(B3862="","",IFERROR(INDEX(Client_List!$C:$C,MATCH(VALUE(B3862),Client_List!$A:$A,0)),""))</f>
        <v/>
      </c>
      <c r="F3862" s="53">
        <f>IF(B3862="","",IFERROR(INDEX(Client_List!$D:$D,MATCH(VALUE(B3862),Client_List!$A:$A,0)),""))</f>
        <v/>
      </c>
      <c r="G3862" s="53">
        <f>IF(B3862="","",IFERROR(INDEX(Client_List!$K:$K,MATCH(VALUE(B3862),Client_List!$A:$A,0)),""))</f>
        <v/>
      </c>
      <c r="H3862" s="32">
        <f>IF(B3862="","",IFERROR(INDEX(Client_List!$J:$J,MATCH(VALUE(B3862),Client_List!$A:$A,0)),""))</f>
        <v/>
      </c>
      <c r="I3862" s="70">
        <f>IF(B3862="","",IFERROR(A3862-LOOKUP(2,1/($B$4:$B3861=B3862),$A$4:$A3861),""))</f>
        <v/>
      </c>
      <c r="J3862" s="32">
        <f>IF(B3862="","",IFERROR(D3862/I3862,""))</f>
        <v/>
      </c>
      <c r="K3862" s="71">
        <f>IF(B3862="","",IFERROR(AVERAGEIFS($J$4:$J3862,$B$4:$B3862,B3862,$J$4:$J3862,"&gt;"&amp;0),""))</f>
        <v/>
      </c>
      <c r="L3862" s="12" t="n"/>
    </row>
    <row r="3863" ht="14" customHeight="1" s="72">
      <c r="A3863" s="82" t="n"/>
      <c r="B3863" s="79" t="n"/>
      <c r="C3863" s="69">
        <f>IF(B3863="","",IFERROR(INDEX(Client_List!$B:$B,MATCH(B3863,Client_List!$A:$A,0)),"⚠ NOT FOUND"))</f>
        <v/>
      </c>
      <c r="D3863" s="44" t="n"/>
      <c r="E3863" s="32">
        <f>IF(B3863="","",IFERROR(INDEX(Client_List!$C:$C,MATCH(VALUE(B3863),Client_List!$A:$A,0)),""))</f>
        <v/>
      </c>
      <c r="F3863" s="53">
        <f>IF(B3863="","",IFERROR(INDEX(Client_List!$D:$D,MATCH(VALUE(B3863),Client_List!$A:$A,0)),""))</f>
        <v/>
      </c>
      <c r="G3863" s="53">
        <f>IF(B3863="","",IFERROR(INDEX(Client_List!$K:$K,MATCH(VALUE(B3863),Client_List!$A:$A,0)),""))</f>
        <v/>
      </c>
      <c r="H3863" s="32">
        <f>IF(B3863="","",IFERROR(INDEX(Client_List!$J:$J,MATCH(VALUE(B3863),Client_List!$A:$A,0)),""))</f>
        <v/>
      </c>
      <c r="I3863" s="70">
        <f>IF(B3863="","",IFERROR(A3863-LOOKUP(2,1/($B$4:$B3862=B3863),$A$4:$A3862),""))</f>
        <v/>
      </c>
      <c r="J3863" s="32">
        <f>IF(B3863="","",IFERROR(D3863/I3863,""))</f>
        <v/>
      </c>
      <c r="K3863" s="71">
        <f>IF(B3863="","",IFERROR(AVERAGEIFS($J$4:$J3863,$B$4:$B3863,B3863,$J$4:$J3863,"&gt;"&amp;0),""))</f>
        <v/>
      </c>
      <c r="L3863" s="11" t="n"/>
    </row>
    <row r="3864" ht="14" customHeight="1" s="72">
      <c r="A3864" s="83" t="n"/>
      <c r="B3864" s="81" t="n"/>
      <c r="C3864" s="69">
        <f>IF(B3864="","",IFERROR(INDEX(Client_List!$B:$B,MATCH(B3864,Client_List!$A:$A,0)),"⚠ NOT FOUND"))</f>
        <v/>
      </c>
      <c r="D3864" s="45" t="n"/>
      <c r="E3864" s="32">
        <f>IF(B3864="","",IFERROR(INDEX(Client_List!$C:$C,MATCH(VALUE(B3864),Client_List!$A:$A,0)),""))</f>
        <v/>
      </c>
      <c r="F3864" s="53">
        <f>IF(B3864="","",IFERROR(INDEX(Client_List!$D:$D,MATCH(VALUE(B3864),Client_List!$A:$A,0)),""))</f>
        <v/>
      </c>
      <c r="G3864" s="53">
        <f>IF(B3864="","",IFERROR(INDEX(Client_List!$K:$K,MATCH(VALUE(B3864),Client_List!$A:$A,0)),""))</f>
        <v/>
      </c>
      <c r="H3864" s="32">
        <f>IF(B3864="","",IFERROR(INDEX(Client_List!$J:$J,MATCH(VALUE(B3864),Client_List!$A:$A,0)),""))</f>
        <v/>
      </c>
      <c r="I3864" s="70">
        <f>IF(B3864="","",IFERROR(A3864-LOOKUP(2,1/($B$4:$B3863=B3864),$A$4:$A3863),""))</f>
        <v/>
      </c>
      <c r="J3864" s="32">
        <f>IF(B3864="","",IFERROR(D3864/I3864,""))</f>
        <v/>
      </c>
      <c r="K3864" s="71">
        <f>IF(B3864="","",IFERROR(AVERAGEIFS($J$4:$J3864,$B$4:$B3864,B3864,$J$4:$J3864,"&gt;"&amp;0),""))</f>
        <v/>
      </c>
      <c r="L3864" s="12" t="n"/>
    </row>
    <row r="3865" ht="14" customHeight="1" s="72">
      <c r="A3865" s="82" t="n"/>
      <c r="B3865" s="79" t="n"/>
      <c r="C3865" s="69">
        <f>IF(B3865="","",IFERROR(INDEX(Client_List!$B:$B,MATCH(B3865,Client_List!$A:$A,0)),"⚠ NOT FOUND"))</f>
        <v/>
      </c>
      <c r="D3865" s="44" t="n"/>
      <c r="E3865" s="32">
        <f>IF(B3865="","",IFERROR(INDEX(Client_List!$C:$C,MATCH(VALUE(B3865),Client_List!$A:$A,0)),""))</f>
        <v/>
      </c>
      <c r="F3865" s="53">
        <f>IF(B3865="","",IFERROR(INDEX(Client_List!$D:$D,MATCH(VALUE(B3865),Client_List!$A:$A,0)),""))</f>
        <v/>
      </c>
      <c r="G3865" s="53">
        <f>IF(B3865="","",IFERROR(INDEX(Client_List!$K:$K,MATCH(VALUE(B3865),Client_List!$A:$A,0)),""))</f>
        <v/>
      </c>
      <c r="H3865" s="32">
        <f>IF(B3865="","",IFERROR(INDEX(Client_List!$J:$J,MATCH(VALUE(B3865),Client_List!$A:$A,0)),""))</f>
        <v/>
      </c>
      <c r="I3865" s="70">
        <f>IF(B3865="","",IFERROR(A3865-LOOKUP(2,1/($B$4:$B3864=B3865),$A$4:$A3864),""))</f>
        <v/>
      </c>
      <c r="J3865" s="32">
        <f>IF(B3865="","",IFERROR(D3865/I3865,""))</f>
        <v/>
      </c>
      <c r="K3865" s="71">
        <f>IF(B3865="","",IFERROR(AVERAGEIFS($J$4:$J3865,$B$4:$B3865,B3865,$J$4:$J3865,"&gt;"&amp;0),""))</f>
        <v/>
      </c>
      <c r="L3865" s="11" t="n"/>
    </row>
    <row r="3866" ht="14" customHeight="1" s="72">
      <c r="A3866" s="83" t="n"/>
      <c r="B3866" s="81" t="n"/>
      <c r="C3866" s="69">
        <f>IF(B3866="","",IFERROR(INDEX(Client_List!$B:$B,MATCH(B3866,Client_List!$A:$A,0)),"⚠ NOT FOUND"))</f>
        <v/>
      </c>
      <c r="D3866" s="45" t="n"/>
      <c r="E3866" s="32">
        <f>IF(B3866="","",IFERROR(INDEX(Client_List!$C:$C,MATCH(VALUE(B3866),Client_List!$A:$A,0)),""))</f>
        <v/>
      </c>
      <c r="F3866" s="53">
        <f>IF(B3866="","",IFERROR(INDEX(Client_List!$D:$D,MATCH(VALUE(B3866),Client_List!$A:$A,0)),""))</f>
        <v/>
      </c>
      <c r="G3866" s="53">
        <f>IF(B3866="","",IFERROR(INDEX(Client_List!$K:$K,MATCH(VALUE(B3866),Client_List!$A:$A,0)),""))</f>
        <v/>
      </c>
      <c r="H3866" s="32">
        <f>IF(B3866="","",IFERROR(INDEX(Client_List!$J:$J,MATCH(VALUE(B3866),Client_List!$A:$A,0)),""))</f>
        <v/>
      </c>
      <c r="I3866" s="70">
        <f>IF(B3866="","",IFERROR(A3866-LOOKUP(2,1/($B$4:$B3865=B3866),$A$4:$A3865),""))</f>
        <v/>
      </c>
      <c r="J3866" s="32">
        <f>IF(B3866="","",IFERROR(D3866/I3866,""))</f>
        <v/>
      </c>
      <c r="K3866" s="71">
        <f>IF(B3866="","",IFERROR(AVERAGEIFS($J$4:$J3866,$B$4:$B3866,B3866,$J$4:$J3866,"&gt;"&amp;0),""))</f>
        <v/>
      </c>
      <c r="L3866" s="12" t="n"/>
    </row>
    <row r="3867" ht="14" customHeight="1" s="72">
      <c r="A3867" s="82" t="n"/>
      <c r="B3867" s="79" t="n"/>
      <c r="C3867" s="69">
        <f>IF(B3867="","",IFERROR(INDEX(Client_List!$B:$B,MATCH(B3867,Client_List!$A:$A,0)),"⚠ NOT FOUND"))</f>
        <v/>
      </c>
      <c r="D3867" s="44" t="n"/>
      <c r="E3867" s="32">
        <f>IF(B3867="","",IFERROR(INDEX(Client_List!$C:$C,MATCH(VALUE(B3867),Client_List!$A:$A,0)),""))</f>
        <v/>
      </c>
      <c r="F3867" s="53">
        <f>IF(B3867="","",IFERROR(INDEX(Client_List!$D:$D,MATCH(VALUE(B3867),Client_List!$A:$A,0)),""))</f>
        <v/>
      </c>
      <c r="G3867" s="53">
        <f>IF(B3867="","",IFERROR(INDEX(Client_List!$K:$K,MATCH(VALUE(B3867),Client_List!$A:$A,0)),""))</f>
        <v/>
      </c>
      <c r="H3867" s="32">
        <f>IF(B3867="","",IFERROR(INDEX(Client_List!$J:$J,MATCH(VALUE(B3867),Client_List!$A:$A,0)),""))</f>
        <v/>
      </c>
      <c r="I3867" s="70">
        <f>IF(B3867="","",IFERROR(A3867-LOOKUP(2,1/($B$4:$B3866=B3867),$A$4:$A3866),""))</f>
        <v/>
      </c>
      <c r="J3867" s="32">
        <f>IF(B3867="","",IFERROR(D3867/I3867,""))</f>
        <v/>
      </c>
      <c r="K3867" s="71">
        <f>IF(B3867="","",IFERROR(AVERAGEIFS($J$4:$J3867,$B$4:$B3867,B3867,$J$4:$J3867,"&gt;"&amp;0),""))</f>
        <v/>
      </c>
      <c r="L3867" s="11" t="n"/>
    </row>
    <row r="3868" ht="14" customHeight="1" s="72">
      <c r="A3868" s="83" t="n"/>
      <c r="B3868" s="81" t="n"/>
      <c r="C3868" s="69">
        <f>IF(B3868="","",IFERROR(INDEX(Client_List!$B:$B,MATCH(B3868,Client_List!$A:$A,0)),"⚠ NOT FOUND"))</f>
        <v/>
      </c>
      <c r="D3868" s="45" t="n"/>
      <c r="E3868" s="32">
        <f>IF(B3868="","",IFERROR(INDEX(Client_List!$C:$C,MATCH(VALUE(B3868),Client_List!$A:$A,0)),""))</f>
        <v/>
      </c>
      <c r="F3868" s="53">
        <f>IF(B3868="","",IFERROR(INDEX(Client_List!$D:$D,MATCH(VALUE(B3868),Client_List!$A:$A,0)),""))</f>
        <v/>
      </c>
      <c r="G3868" s="53">
        <f>IF(B3868="","",IFERROR(INDEX(Client_List!$K:$K,MATCH(VALUE(B3868),Client_List!$A:$A,0)),""))</f>
        <v/>
      </c>
      <c r="H3868" s="32">
        <f>IF(B3868="","",IFERROR(INDEX(Client_List!$J:$J,MATCH(VALUE(B3868),Client_List!$A:$A,0)),""))</f>
        <v/>
      </c>
      <c r="I3868" s="70">
        <f>IF(B3868="","",IFERROR(A3868-LOOKUP(2,1/($B$4:$B3867=B3868),$A$4:$A3867),""))</f>
        <v/>
      </c>
      <c r="J3868" s="32">
        <f>IF(B3868="","",IFERROR(D3868/I3868,""))</f>
        <v/>
      </c>
      <c r="K3868" s="71">
        <f>IF(B3868="","",IFERROR(AVERAGEIFS($J$4:$J3868,$B$4:$B3868,B3868,$J$4:$J3868,"&gt;"&amp;0),""))</f>
        <v/>
      </c>
      <c r="L3868" s="12" t="n"/>
    </row>
    <row r="3869" ht="14" customHeight="1" s="72">
      <c r="A3869" s="82" t="n"/>
      <c r="B3869" s="79" t="n"/>
      <c r="C3869" s="69">
        <f>IF(B3869="","",IFERROR(INDEX(Client_List!$B:$B,MATCH(B3869,Client_List!$A:$A,0)),"⚠ NOT FOUND"))</f>
        <v/>
      </c>
      <c r="D3869" s="44" t="n"/>
      <c r="E3869" s="32">
        <f>IF(B3869="","",IFERROR(INDEX(Client_List!$C:$C,MATCH(VALUE(B3869),Client_List!$A:$A,0)),""))</f>
        <v/>
      </c>
      <c r="F3869" s="53">
        <f>IF(B3869="","",IFERROR(INDEX(Client_List!$D:$D,MATCH(VALUE(B3869),Client_List!$A:$A,0)),""))</f>
        <v/>
      </c>
      <c r="G3869" s="53">
        <f>IF(B3869="","",IFERROR(INDEX(Client_List!$K:$K,MATCH(VALUE(B3869),Client_List!$A:$A,0)),""))</f>
        <v/>
      </c>
      <c r="H3869" s="32">
        <f>IF(B3869="","",IFERROR(INDEX(Client_List!$J:$J,MATCH(VALUE(B3869),Client_List!$A:$A,0)),""))</f>
        <v/>
      </c>
      <c r="I3869" s="70">
        <f>IF(B3869="","",IFERROR(A3869-LOOKUP(2,1/($B$4:$B3868=B3869),$A$4:$A3868),""))</f>
        <v/>
      </c>
      <c r="J3869" s="32">
        <f>IF(B3869="","",IFERROR(D3869/I3869,""))</f>
        <v/>
      </c>
      <c r="K3869" s="71">
        <f>IF(B3869="","",IFERROR(AVERAGEIFS($J$4:$J3869,$B$4:$B3869,B3869,$J$4:$J3869,"&gt;"&amp;0),""))</f>
        <v/>
      </c>
      <c r="L3869" s="11" t="n"/>
    </row>
    <row r="3870" ht="14" customHeight="1" s="72">
      <c r="A3870" s="83" t="n"/>
      <c r="B3870" s="81" t="n"/>
      <c r="C3870" s="69">
        <f>IF(B3870="","",IFERROR(INDEX(Client_List!$B:$B,MATCH(B3870,Client_List!$A:$A,0)),"⚠ NOT FOUND"))</f>
        <v/>
      </c>
      <c r="D3870" s="45" t="n"/>
      <c r="E3870" s="32">
        <f>IF(B3870="","",IFERROR(INDEX(Client_List!$C:$C,MATCH(VALUE(B3870),Client_List!$A:$A,0)),""))</f>
        <v/>
      </c>
      <c r="F3870" s="53">
        <f>IF(B3870="","",IFERROR(INDEX(Client_List!$D:$D,MATCH(VALUE(B3870),Client_List!$A:$A,0)),""))</f>
        <v/>
      </c>
      <c r="G3870" s="53">
        <f>IF(B3870="","",IFERROR(INDEX(Client_List!$K:$K,MATCH(VALUE(B3870),Client_List!$A:$A,0)),""))</f>
        <v/>
      </c>
      <c r="H3870" s="32">
        <f>IF(B3870="","",IFERROR(INDEX(Client_List!$J:$J,MATCH(VALUE(B3870),Client_List!$A:$A,0)),""))</f>
        <v/>
      </c>
      <c r="I3870" s="70">
        <f>IF(B3870="","",IFERROR(A3870-LOOKUP(2,1/($B$4:$B3869=B3870),$A$4:$A3869),""))</f>
        <v/>
      </c>
      <c r="J3870" s="32">
        <f>IF(B3870="","",IFERROR(D3870/I3870,""))</f>
        <v/>
      </c>
      <c r="K3870" s="71">
        <f>IF(B3870="","",IFERROR(AVERAGEIFS($J$4:$J3870,$B$4:$B3870,B3870,$J$4:$J3870,"&gt;"&amp;0),""))</f>
        <v/>
      </c>
      <c r="L3870" s="12" t="n"/>
    </row>
    <row r="3871" ht="14" customHeight="1" s="72">
      <c r="A3871" s="82" t="n"/>
      <c r="B3871" s="79" t="n"/>
      <c r="C3871" s="69">
        <f>IF(B3871="","",IFERROR(INDEX(Client_List!$B:$B,MATCH(B3871,Client_List!$A:$A,0)),"⚠ NOT FOUND"))</f>
        <v/>
      </c>
      <c r="D3871" s="44" t="n"/>
      <c r="E3871" s="32">
        <f>IF(B3871="","",IFERROR(INDEX(Client_List!$C:$C,MATCH(VALUE(B3871),Client_List!$A:$A,0)),""))</f>
        <v/>
      </c>
      <c r="F3871" s="53">
        <f>IF(B3871="","",IFERROR(INDEX(Client_List!$D:$D,MATCH(VALUE(B3871),Client_List!$A:$A,0)),""))</f>
        <v/>
      </c>
      <c r="G3871" s="53">
        <f>IF(B3871="","",IFERROR(INDEX(Client_List!$K:$K,MATCH(VALUE(B3871),Client_List!$A:$A,0)),""))</f>
        <v/>
      </c>
      <c r="H3871" s="32">
        <f>IF(B3871="","",IFERROR(INDEX(Client_List!$J:$J,MATCH(VALUE(B3871),Client_List!$A:$A,0)),""))</f>
        <v/>
      </c>
      <c r="I3871" s="70">
        <f>IF(B3871="","",IFERROR(A3871-LOOKUP(2,1/($B$4:$B3870=B3871),$A$4:$A3870),""))</f>
        <v/>
      </c>
      <c r="J3871" s="32">
        <f>IF(B3871="","",IFERROR(D3871/I3871,""))</f>
        <v/>
      </c>
      <c r="K3871" s="71">
        <f>IF(B3871="","",IFERROR(AVERAGEIFS($J$4:$J3871,$B$4:$B3871,B3871,$J$4:$J3871,"&gt;"&amp;0),""))</f>
        <v/>
      </c>
      <c r="L3871" s="11" t="n"/>
    </row>
    <row r="3872" ht="14" customHeight="1" s="72">
      <c r="A3872" s="83" t="n"/>
      <c r="B3872" s="81" t="n"/>
      <c r="C3872" s="69">
        <f>IF(B3872="","",IFERROR(INDEX(Client_List!$B:$B,MATCH(B3872,Client_List!$A:$A,0)),"⚠ NOT FOUND"))</f>
        <v/>
      </c>
      <c r="D3872" s="45" t="n"/>
      <c r="E3872" s="32">
        <f>IF(B3872="","",IFERROR(INDEX(Client_List!$C:$C,MATCH(VALUE(B3872),Client_List!$A:$A,0)),""))</f>
        <v/>
      </c>
      <c r="F3872" s="53">
        <f>IF(B3872="","",IFERROR(INDEX(Client_List!$D:$D,MATCH(VALUE(B3872),Client_List!$A:$A,0)),""))</f>
        <v/>
      </c>
      <c r="G3872" s="53">
        <f>IF(B3872="","",IFERROR(INDEX(Client_List!$K:$K,MATCH(VALUE(B3872),Client_List!$A:$A,0)),""))</f>
        <v/>
      </c>
      <c r="H3872" s="32">
        <f>IF(B3872="","",IFERROR(INDEX(Client_List!$J:$J,MATCH(VALUE(B3872),Client_List!$A:$A,0)),""))</f>
        <v/>
      </c>
      <c r="I3872" s="70">
        <f>IF(B3872="","",IFERROR(A3872-LOOKUP(2,1/($B$4:$B3871=B3872),$A$4:$A3871),""))</f>
        <v/>
      </c>
      <c r="J3872" s="32">
        <f>IF(B3872="","",IFERROR(D3872/I3872,""))</f>
        <v/>
      </c>
      <c r="K3872" s="71">
        <f>IF(B3872="","",IFERROR(AVERAGEIFS($J$4:$J3872,$B$4:$B3872,B3872,$J$4:$J3872,"&gt;"&amp;0),""))</f>
        <v/>
      </c>
      <c r="L3872" s="12" t="n"/>
    </row>
    <row r="3873" ht="14" customHeight="1" s="72">
      <c r="A3873" s="82" t="n"/>
      <c r="B3873" s="79" t="n"/>
      <c r="C3873" s="69">
        <f>IF(B3873="","",IFERROR(INDEX(Client_List!$B:$B,MATCH(B3873,Client_List!$A:$A,0)),"⚠ NOT FOUND"))</f>
        <v/>
      </c>
      <c r="D3873" s="44" t="n"/>
      <c r="E3873" s="32">
        <f>IF(B3873="","",IFERROR(INDEX(Client_List!$C:$C,MATCH(VALUE(B3873),Client_List!$A:$A,0)),""))</f>
        <v/>
      </c>
      <c r="F3873" s="53">
        <f>IF(B3873="","",IFERROR(INDEX(Client_List!$D:$D,MATCH(VALUE(B3873),Client_List!$A:$A,0)),""))</f>
        <v/>
      </c>
      <c r="G3873" s="53">
        <f>IF(B3873="","",IFERROR(INDEX(Client_List!$K:$K,MATCH(VALUE(B3873),Client_List!$A:$A,0)),""))</f>
        <v/>
      </c>
      <c r="H3873" s="32">
        <f>IF(B3873="","",IFERROR(INDEX(Client_List!$J:$J,MATCH(VALUE(B3873),Client_List!$A:$A,0)),""))</f>
        <v/>
      </c>
      <c r="I3873" s="70">
        <f>IF(B3873="","",IFERROR(A3873-LOOKUP(2,1/($B$4:$B3872=B3873),$A$4:$A3872),""))</f>
        <v/>
      </c>
      <c r="J3873" s="32">
        <f>IF(B3873="","",IFERROR(D3873/I3873,""))</f>
        <v/>
      </c>
      <c r="K3873" s="71">
        <f>IF(B3873="","",IFERROR(AVERAGEIFS($J$4:$J3873,$B$4:$B3873,B3873,$J$4:$J3873,"&gt;"&amp;0),""))</f>
        <v/>
      </c>
      <c r="L3873" s="11" t="n"/>
    </row>
    <row r="3874" ht="14" customHeight="1" s="72">
      <c r="A3874" s="83" t="n"/>
      <c r="B3874" s="81" t="n"/>
      <c r="C3874" s="69">
        <f>IF(B3874="","",IFERROR(INDEX(Client_List!$B:$B,MATCH(B3874,Client_List!$A:$A,0)),"⚠ NOT FOUND"))</f>
        <v/>
      </c>
      <c r="D3874" s="45" t="n"/>
      <c r="E3874" s="32">
        <f>IF(B3874="","",IFERROR(INDEX(Client_List!$C:$C,MATCH(VALUE(B3874),Client_List!$A:$A,0)),""))</f>
        <v/>
      </c>
      <c r="F3874" s="53">
        <f>IF(B3874="","",IFERROR(INDEX(Client_List!$D:$D,MATCH(VALUE(B3874),Client_List!$A:$A,0)),""))</f>
        <v/>
      </c>
      <c r="G3874" s="53">
        <f>IF(B3874="","",IFERROR(INDEX(Client_List!$K:$K,MATCH(VALUE(B3874),Client_List!$A:$A,0)),""))</f>
        <v/>
      </c>
      <c r="H3874" s="32">
        <f>IF(B3874="","",IFERROR(INDEX(Client_List!$J:$J,MATCH(VALUE(B3874),Client_List!$A:$A,0)),""))</f>
        <v/>
      </c>
      <c r="I3874" s="70">
        <f>IF(B3874="","",IFERROR(A3874-LOOKUP(2,1/($B$4:$B3873=B3874),$A$4:$A3873),""))</f>
        <v/>
      </c>
      <c r="J3874" s="32">
        <f>IF(B3874="","",IFERROR(D3874/I3874,""))</f>
        <v/>
      </c>
      <c r="K3874" s="71">
        <f>IF(B3874="","",IFERROR(AVERAGEIFS($J$4:$J3874,$B$4:$B3874,B3874,$J$4:$J3874,"&gt;"&amp;0),""))</f>
        <v/>
      </c>
      <c r="L3874" s="12" t="n"/>
    </row>
    <row r="3875" ht="14" customHeight="1" s="72">
      <c r="A3875" s="82" t="n"/>
      <c r="B3875" s="79" t="n"/>
      <c r="C3875" s="69">
        <f>IF(B3875="","",IFERROR(INDEX(Client_List!$B:$B,MATCH(B3875,Client_List!$A:$A,0)),"⚠ NOT FOUND"))</f>
        <v/>
      </c>
      <c r="D3875" s="44" t="n"/>
      <c r="E3875" s="32">
        <f>IF(B3875="","",IFERROR(INDEX(Client_List!$C:$C,MATCH(VALUE(B3875),Client_List!$A:$A,0)),""))</f>
        <v/>
      </c>
      <c r="F3875" s="53">
        <f>IF(B3875="","",IFERROR(INDEX(Client_List!$D:$D,MATCH(VALUE(B3875),Client_List!$A:$A,0)),""))</f>
        <v/>
      </c>
      <c r="G3875" s="53">
        <f>IF(B3875="","",IFERROR(INDEX(Client_List!$K:$K,MATCH(VALUE(B3875),Client_List!$A:$A,0)),""))</f>
        <v/>
      </c>
      <c r="H3875" s="32">
        <f>IF(B3875="","",IFERROR(INDEX(Client_List!$J:$J,MATCH(VALUE(B3875),Client_List!$A:$A,0)),""))</f>
        <v/>
      </c>
      <c r="I3875" s="70">
        <f>IF(B3875="","",IFERROR(A3875-LOOKUP(2,1/($B$4:$B3874=B3875),$A$4:$A3874),""))</f>
        <v/>
      </c>
      <c r="J3875" s="32">
        <f>IF(B3875="","",IFERROR(D3875/I3875,""))</f>
        <v/>
      </c>
      <c r="K3875" s="71">
        <f>IF(B3875="","",IFERROR(AVERAGEIFS($J$4:$J3875,$B$4:$B3875,B3875,$J$4:$J3875,"&gt;"&amp;0),""))</f>
        <v/>
      </c>
      <c r="L3875" s="11" t="n"/>
    </row>
    <row r="3876" ht="14" customHeight="1" s="72">
      <c r="A3876" s="83" t="n"/>
      <c r="B3876" s="81" t="n"/>
      <c r="C3876" s="69">
        <f>IF(B3876="","",IFERROR(INDEX(Client_List!$B:$B,MATCH(B3876,Client_List!$A:$A,0)),"⚠ NOT FOUND"))</f>
        <v/>
      </c>
      <c r="D3876" s="45" t="n"/>
      <c r="E3876" s="32">
        <f>IF(B3876="","",IFERROR(INDEX(Client_List!$C:$C,MATCH(VALUE(B3876),Client_List!$A:$A,0)),""))</f>
        <v/>
      </c>
      <c r="F3876" s="53">
        <f>IF(B3876="","",IFERROR(INDEX(Client_List!$D:$D,MATCH(VALUE(B3876),Client_List!$A:$A,0)),""))</f>
        <v/>
      </c>
      <c r="G3876" s="53">
        <f>IF(B3876="","",IFERROR(INDEX(Client_List!$K:$K,MATCH(VALUE(B3876),Client_List!$A:$A,0)),""))</f>
        <v/>
      </c>
      <c r="H3876" s="32">
        <f>IF(B3876="","",IFERROR(INDEX(Client_List!$J:$J,MATCH(VALUE(B3876),Client_List!$A:$A,0)),""))</f>
        <v/>
      </c>
      <c r="I3876" s="70">
        <f>IF(B3876="","",IFERROR(A3876-LOOKUP(2,1/($B$4:$B3875=B3876),$A$4:$A3875),""))</f>
        <v/>
      </c>
      <c r="J3876" s="32">
        <f>IF(B3876="","",IFERROR(D3876/I3876,""))</f>
        <v/>
      </c>
      <c r="K3876" s="71">
        <f>IF(B3876="","",IFERROR(AVERAGEIFS($J$4:$J3876,$B$4:$B3876,B3876,$J$4:$J3876,"&gt;"&amp;0),""))</f>
        <v/>
      </c>
      <c r="L3876" s="12" t="n"/>
    </row>
    <row r="3877" ht="14" customHeight="1" s="72">
      <c r="A3877" s="82" t="n"/>
      <c r="B3877" s="79" t="n"/>
      <c r="C3877" s="69">
        <f>IF(B3877="","",IFERROR(INDEX(Client_List!$B:$B,MATCH(B3877,Client_List!$A:$A,0)),"⚠ NOT FOUND"))</f>
        <v/>
      </c>
      <c r="D3877" s="44" t="n"/>
      <c r="E3877" s="32">
        <f>IF(B3877="","",IFERROR(INDEX(Client_List!$C:$C,MATCH(VALUE(B3877),Client_List!$A:$A,0)),""))</f>
        <v/>
      </c>
      <c r="F3877" s="53">
        <f>IF(B3877="","",IFERROR(INDEX(Client_List!$D:$D,MATCH(VALUE(B3877),Client_List!$A:$A,0)),""))</f>
        <v/>
      </c>
      <c r="G3877" s="53">
        <f>IF(B3877="","",IFERROR(INDEX(Client_List!$K:$K,MATCH(VALUE(B3877),Client_List!$A:$A,0)),""))</f>
        <v/>
      </c>
      <c r="H3877" s="32">
        <f>IF(B3877="","",IFERROR(INDEX(Client_List!$J:$J,MATCH(VALUE(B3877),Client_List!$A:$A,0)),""))</f>
        <v/>
      </c>
      <c r="I3877" s="70">
        <f>IF(B3877="","",IFERROR(A3877-LOOKUP(2,1/($B$4:$B3876=B3877),$A$4:$A3876),""))</f>
        <v/>
      </c>
      <c r="J3877" s="32">
        <f>IF(B3877="","",IFERROR(D3877/I3877,""))</f>
        <v/>
      </c>
      <c r="K3877" s="71">
        <f>IF(B3877="","",IFERROR(AVERAGEIFS($J$4:$J3877,$B$4:$B3877,B3877,$J$4:$J3877,"&gt;"&amp;0),""))</f>
        <v/>
      </c>
      <c r="L3877" s="11" t="n"/>
    </row>
    <row r="3878" ht="14" customHeight="1" s="72">
      <c r="A3878" s="83" t="n"/>
      <c r="B3878" s="81" t="n"/>
      <c r="C3878" s="69">
        <f>IF(B3878="","",IFERROR(INDEX(Client_List!$B:$B,MATCH(B3878,Client_List!$A:$A,0)),"⚠ NOT FOUND"))</f>
        <v/>
      </c>
      <c r="D3878" s="45" t="n"/>
      <c r="E3878" s="32">
        <f>IF(B3878="","",IFERROR(INDEX(Client_List!$C:$C,MATCH(VALUE(B3878),Client_List!$A:$A,0)),""))</f>
        <v/>
      </c>
      <c r="F3878" s="53">
        <f>IF(B3878="","",IFERROR(INDEX(Client_List!$D:$D,MATCH(VALUE(B3878),Client_List!$A:$A,0)),""))</f>
        <v/>
      </c>
      <c r="G3878" s="53">
        <f>IF(B3878="","",IFERROR(INDEX(Client_List!$K:$K,MATCH(VALUE(B3878),Client_List!$A:$A,0)),""))</f>
        <v/>
      </c>
      <c r="H3878" s="32">
        <f>IF(B3878="","",IFERROR(INDEX(Client_List!$J:$J,MATCH(VALUE(B3878),Client_List!$A:$A,0)),""))</f>
        <v/>
      </c>
      <c r="I3878" s="70">
        <f>IF(B3878="","",IFERROR(A3878-LOOKUP(2,1/($B$4:$B3877=B3878),$A$4:$A3877),""))</f>
        <v/>
      </c>
      <c r="J3878" s="32">
        <f>IF(B3878="","",IFERROR(D3878/I3878,""))</f>
        <v/>
      </c>
      <c r="K3878" s="71">
        <f>IF(B3878="","",IFERROR(AVERAGEIFS($J$4:$J3878,$B$4:$B3878,B3878,$J$4:$J3878,"&gt;"&amp;0),""))</f>
        <v/>
      </c>
      <c r="L3878" s="12" t="n"/>
    </row>
    <row r="3879" ht="14" customHeight="1" s="72">
      <c r="A3879" s="82" t="n"/>
      <c r="B3879" s="79" t="n"/>
      <c r="C3879" s="69">
        <f>IF(B3879="","",IFERROR(INDEX(Client_List!$B:$B,MATCH(B3879,Client_List!$A:$A,0)),"⚠ NOT FOUND"))</f>
        <v/>
      </c>
      <c r="D3879" s="44" t="n"/>
      <c r="E3879" s="32">
        <f>IF(B3879="","",IFERROR(INDEX(Client_List!$C:$C,MATCH(VALUE(B3879),Client_List!$A:$A,0)),""))</f>
        <v/>
      </c>
      <c r="F3879" s="53">
        <f>IF(B3879="","",IFERROR(INDEX(Client_List!$D:$D,MATCH(VALUE(B3879),Client_List!$A:$A,0)),""))</f>
        <v/>
      </c>
      <c r="G3879" s="53">
        <f>IF(B3879="","",IFERROR(INDEX(Client_List!$K:$K,MATCH(VALUE(B3879),Client_List!$A:$A,0)),""))</f>
        <v/>
      </c>
      <c r="H3879" s="32">
        <f>IF(B3879="","",IFERROR(INDEX(Client_List!$J:$J,MATCH(VALUE(B3879),Client_List!$A:$A,0)),""))</f>
        <v/>
      </c>
      <c r="I3879" s="70">
        <f>IF(B3879="","",IFERROR(A3879-LOOKUP(2,1/($B$4:$B3878=B3879),$A$4:$A3878),""))</f>
        <v/>
      </c>
      <c r="J3879" s="32">
        <f>IF(B3879="","",IFERROR(D3879/I3879,""))</f>
        <v/>
      </c>
      <c r="K3879" s="71">
        <f>IF(B3879="","",IFERROR(AVERAGEIFS($J$4:$J3879,$B$4:$B3879,B3879,$J$4:$J3879,"&gt;"&amp;0),""))</f>
        <v/>
      </c>
      <c r="L3879" s="11" t="n"/>
    </row>
    <row r="3880" ht="14" customHeight="1" s="72">
      <c r="A3880" s="83" t="n"/>
      <c r="B3880" s="81" t="n"/>
      <c r="C3880" s="69">
        <f>IF(B3880="","",IFERROR(INDEX(Client_List!$B:$B,MATCH(B3880,Client_List!$A:$A,0)),"⚠ NOT FOUND"))</f>
        <v/>
      </c>
      <c r="D3880" s="45" t="n"/>
      <c r="E3880" s="32">
        <f>IF(B3880="","",IFERROR(INDEX(Client_List!$C:$C,MATCH(VALUE(B3880),Client_List!$A:$A,0)),""))</f>
        <v/>
      </c>
      <c r="F3880" s="53">
        <f>IF(B3880="","",IFERROR(INDEX(Client_List!$D:$D,MATCH(VALUE(B3880),Client_List!$A:$A,0)),""))</f>
        <v/>
      </c>
      <c r="G3880" s="53">
        <f>IF(B3880="","",IFERROR(INDEX(Client_List!$K:$K,MATCH(VALUE(B3880),Client_List!$A:$A,0)),""))</f>
        <v/>
      </c>
      <c r="H3880" s="32">
        <f>IF(B3880="","",IFERROR(INDEX(Client_List!$J:$J,MATCH(VALUE(B3880),Client_List!$A:$A,0)),""))</f>
        <v/>
      </c>
      <c r="I3880" s="70">
        <f>IF(B3880="","",IFERROR(A3880-LOOKUP(2,1/($B$4:$B3879=B3880),$A$4:$A3879),""))</f>
        <v/>
      </c>
      <c r="J3880" s="32">
        <f>IF(B3880="","",IFERROR(D3880/I3880,""))</f>
        <v/>
      </c>
      <c r="K3880" s="71">
        <f>IF(B3880="","",IFERROR(AVERAGEIFS($J$4:$J3880,$B$4:$B3880,B3880,$J$4:$J3880,"&gt;"&amp;0),""))</f>
        <v/>
      </c>
      <c r="L3880" s="12" t="n"/>
    </row>
    <row r="3881" ht="14" customHeight="1" s="72">
      <c r="A3881" s="82" t="n"/>
      <c r="B3881" s="79" t="n"/>
      <c r="C3881" s="69">
        <f>IF(B3881="","",IFERROR(INDEX(Client_List!$B:$B,MATCH(B3881,Client_List!$A:$A,0)),"⚠ NOT FOUND"))</f>
        <v/>
      </c>
      <c r="D3881" s="44" t="n"/>
      <c r="E3881" s="32">
        <f>IF(B3881="","",IFERROR(INDEX(Client_List!$C:$C,MATCH(VALUE(B3881),Client_List!$A:$A,0)),""))</f>
        <v/>
      </c>
      <c r="F3881" s="53">
        <f>IF(B3881="","",IFERROR(INDEX(Client_List!$D:$D,MATCH(VALUE(B3881),Client_List!$A:$A,0)),""))</f>
        <v/>
      </c>
      <c r="G3881" s="53">
        <f>IF(B3881="","",IFERROR(INDEX(Client_List!$K:$K,MATCH(VALUE(B3881),Client_List!$A:$A,0)),""))</f>
        <v/>
      </c>
      <c r="H3881" s="32">
        <f>IF(B3881="","",IFERROR(INDEX(Client_List!$J:$J,MATCH(VALUE(B3881),Client_List!$A:$A,0)),""))</f>
        <v/>
      </c>
      <c r="I3881" s="70">
        <f>IF(B3881="","",IFERROR(A3881-LOOKUP(2,1/($B$4:$B3880=B3881),$A$4:$A3880),""))</f>
        <v/>
      </c>
      <c r="J3881" s="32">
        <f>IF(B3881="","",IFERROR(D3881/I3881,""))</f>
        <v/>
      </c>
      <c r="K3881" s="71">
        <f>IF(B3881="","",IFERROR(AVERAGEIFS($J$4:$J3881,$B$4:$B3881,B3881,$J$4:$J3881,"&gt;"&amp;0),""))</f>
        <v/>
      </c>
      <c r="L3881" s="11" t="n"/>
    </row>
    <row r="3882" ht="14" customHeight="1" s="72">
      <c r="A3882" s="83" t="n"/>
      <c r="B3882" s="81" t="n"/>
      <c r="C3882" s="69">
        <f>IF(B3882="","",IFERROR(INDEX(Client_List!$B:$B,MATCH(B3882,Client_List!$A:$A,0)),"⚠ NOT FOUND"))</f>
        <v/>
      </c>
      <c r="D3882" s="45" t="n"/>
      <c r="E3882" s="32">
        <f>IF(B3882="","",IFERROR(INDEX(Client_List!$C:$C,MATCH(VALUE(B3882),Client_List!$A:$A,0)),""))</f>
        <v/>
      </c>
      <c r="F3882" s="53">
        <f>IF(B3882="","",IFERROR(INDEX(Client_List!$D:$D,MATCH(VALUE(B3882),Client_List!$A:$A,0)),""))</f>
        <v/>
      </c>
      <c r="G3882" s="53">
        <f>IF(B3882="","",IFERROR(INDEX(Client_List!$K:$K,MATCH(VALUE(B3882),Client_List!$A:$A,0)),""))</f>
        <v/>
      </c>
      <c r="H3882" s="32">
        <f>IF(B3882="","",IFERROR(INDEX(Client_List!$J:$J,MATCH(VALUE(B3882),Client_List!$A:$A,0)),""))</f>
        <v/>
      </c>
      <c r="I3882" s="70">
        <f>IF(B3882="","",IFERROR(A3882-LOOKUP(2,1/($B$4:$B3881=B3882),$A$4:$A3881),""))</f>
        <v/>
      </c>
      <c r="J3882" s="32">
        <f>IF(B3882="","",IFERROR(D3882/I3882,""))</f>
        <v/>
      </c>
      <c r="K3882" s="71">
        <f>IF(B3882="","",IFERROR(AVERAGEIFS($J$4:$J3882,$B$4:$B3882,B3882,$J$4:$J3882,"&gt;"&amp;0),""))</f>
        <v/>
      </c>
      <c r="L3882" s="12" t="n"/>
    </row>
    <row r="3883" ht="14" customHeight="1" s="72">
      <c r="A3883" s="82" t="n"/>
      <c r="B3883" s="79" t="n"/>
      <c r="C3883" s="69">
        <f>IF(B3883="","",IFERROR(INDEX(Client_List!$B:$B,MATCH(B3883,Client_List!$A:$A,0)),"⚠ NOT FOUND"))</f>
        <v/>
      </c>
      <c r="D3883" s="44" t="n"/>
      <c r="E3883" s="32">
        <f>IF(B3883="","",IFERROR(INDEX(Client_List!$C:$C,MATCH(VALUE(B3883),Client_List!$A:$A,0)),""))</f>
        <v/>
      </c>
      <c r="F3883" s="53">
        <f>IF(B3883="","",IFERROR(INDEX(Client_List!$D:$D,MATCH(VALUE(B3883),Client_List!$A:$A,0)),""))</f>
        <v/>
      </c>
      <c r="G3883" s="53">
        <f>IF(B3883="","",IFERROR(INDEX(Client_List!$K:$K,MATCH(VALUE(B3883),Client_List!$A:$A,0)),""))</f>
        <v/>
      </c>
      <c r="H3883" s="32">
        <f>IF(B3883="","",IFERROR(INDEX(Client_List!$J:$J,MATCH(VALUE(B3883),Client_List!$A:$A,0)),""))</f>
        <v/>
      </c>
      <c r="I3883" s="70">
        <f>IF(B3883="","",IFERROR(A3883-LOOKUP(2,1/($B$4:$B3882=B3883),$A$4:$A3882),""))</f>
        <v/>
      </c>
      <c r="J3883" s="32">
        <f>IF(B3883="","",IFERROR(D3883/I3883,""))</f>
        <v/>
      </c>
      <c r="K3883" s="71">
        <f>IF(B3883="","",IFERROR(AVERAGEIFS($J$4:$J3883,$B$4:$B3883,B3883,$J$4:$J3883,"&gt;"&amp;0),""))</f>
        <v/>
      </c>
      <c r="L3883" s="11" t="n"/>
    </row>
    <row r="3884" ht="14" customHeight="1" s="72">
      <c r="A3884" s="83" t="n"/>
      <c r="B3884" s="81" t="n"/>
      <c r="C3884" s="69">
        <f>IF(B3884="","",IFERROR(INDEX(Client_List!$B:$B,MATCH(B3884,Client_List!$A:$A,0)),"⚠ NOT FOUND"))</f>
        <v/>
      </c>
      <c r="D3884" s="45" t="n"/>
      <c r="E3884" s="32">
        <f>IF(B3884="","",IFERROR(INDEX(Client_List!$C:$C,MATCH(VALUE(B3884),Client_List!$A:$A,0)),""))</f>
        <v/>
      </c>
      <c r="F3884" s="53">
        <f>IF(B3884="","",IFERROR(INDEX(Client_List!$D:$D,MATCH(VALUE(B3884),Client_List!$A:$A,0)),""))</f>
        <v/>
      </c>
      <c r="G3884" s="53">
        <f>IF(B3884="","",IFERROR(INDEX(Client_List!$K:$K,MATCH(VALUE(B3884),Client_List!$A:$A,0)),""))</f>
        <v/>
      </c>
      <c r="H3884" s="32">
        <f>IF(B3884="","",IFERROR(INDEX(Client_List!$J:$J,MATCH(VALUE(B3884),Client_List!$A:$A,0)),""))</f>
        <v/>
      </c>
      <c r="I3884" s="70">
        <f>IF(B3884="","",IFERROR(A3884-LOOKUP(2,1/($B$4:$B3883=B3884),$A$4:$A3883),""))</f>
        <v/>
      </c>
      <c r="J3884" s="32">
        <f>IF(B3884="","",IFERROR(D3884/I3884,""))</f>
        <v/>
      </c>
      <c r="K3884" s="71">
        <f>IF(B3884="","",IFERROR(AVERAGEIFS($J$4:$J3884,$B$4:$B3884,B3884,$J$4:$J3884,"&gt;"&amp;0),""))</f>
        <v/>
      </c>
      <c r="L3884" s="12" t="n"/>
    </row>
    <row r="3885" ht="14" customHeight="1" s="72">
      <c r="A3885" s="82" t="n"/>
      <c r="B3885" s="79" t="n"/>
      <c r="C3885" s="69">
        <f>IF(B3885="","",IFERROR(INDEX(Client_List!$B:$B,MATCH(B3885,Client_List!$A:$A,0)),"⚠ NOT FOUND"))</f>
        <v/>
      </c>
      <c r="D3885" s="44" t="n"/>
      <c r="E3885" s="32">
        <f>IF(B3885="","",IFERROR(INDEX(Client_List!$C:$C,MATCH(VALUE(B3885),Client_List!$A:$A,0)),""))</f>
        <v/>
      </c>
      <c r="F3885" s="53">
        <f>IF(B3885="","",IFERROR(INDEX(Client_List!$D:$D,MATCH(VALUE(B3885),Client_List!$A:$A,0)),""))</f>
        <v/>
      </c>
      <c r="G3885" s="53">
        <f>IF(B3885="","",IFERROR(INDEX(Client_List!$K:$K,MATCH(VALUE(B3885),Client_List!$A:$A,0)),""))</f>
        <v/>
      </c>
      <c r="H3885" s="32">
        <f>IF(B3885="","",IFERROR(INDEX(Client_List!$J:$J,MATCH(VALUE(B3885),Client_List!$A:$A,0)),""))</f>
        <v/>
      </c>
      <c r="I3885" s="70">
        <f>IF(B3885="","",IFERROR(A3885-LOOKUP(2,1/($B$4:$B3884=B3885),$A$4:$A3884),""))</f>
        <v/>
      </c>
      <c r="J3885" s="32">
        <f>IF(B3885="","",IFERROR(D3885/I3885,""))</f>
        <v/>
      </c>
      <c r="K3885" s="71">
        <f>IF(B3885="","",IFERROR(AVERAGEIFS($J$4:$J3885,$B$4:$B3885,B3885,$J$4:$J3885,"&gt;"&amp;0),""))</f>
        <v/>
      </c>
      <c r="L3885" s="11" t="n"/>
    </row>
    <row r="3886" ht="14" customHeight="1" s="72">
      <c r="A3886" s="83" t="n"/>
      <c r="B3886" s="81" t="n"/>
      <c r="C3886" s="69">
        <f>IF(B3886="","",IFERROR(INDEX(Client_List!$B:$B,MATCH(B3886,Client_List!$A:$A,0)),"⚠ NOT FOUND"))</f>
        <v/>
      </c>
      <c r="D3886" s="45" t="n"/>
      <c r="E3886" s="32">
        <f>IF(B3886="","",IFERROR(INDEX(Client_List!$C:$C,MATCH(VALUE(B3886),Client_List!$A:$A,0)),""))</f>
        <v/>
      </c>
      <c r="F3886" s="53">
        <f>IF(B3886="","",IFERROR(INDEX(Client_List!$D:$D,MATCH(VALUE(B3886),Client_List!$A:$A,0)),""))</f>
        <v/>
      </c>
      <c r="G3886" s="53">
        <f>IF(B3886="","",IFERROR(INDEX(Client_List!$K:$K,MATCH(VALUE(B3886),Client_List!$A:$A,0)),""))</f>
        <v/>
      </c>
      <c r="H3886" s="32">
        <f>IF(B3886="","",IFERROR(INDEX(Client_List!$J:$J,MATCH(VALUE(B3886),Client_List!$A:$A,0)),""))</f>
        <v/>
      </c>
      <c r="I3886" s="70">
        <f>IF(B3886="","",IFERROR(A3886-LOOKUP(2,1/($B$4:$B3885=B3886),$A$4:$A3885),""))</f>
        <v/>
      </c>
      <c r="J3886" s="32">
        <f>IF(B3886="","",IFERROR(D3886/I3886,""))</f>
        <v/>
      </c>
      <c r="K3886" s="71">
        <f>IF(B3886="","",IFERROR(AVERAGEIFS($J$4:$J3886,$B$4:$B3886,B3886,$J$4:$J3886,"&gt;"&amp;0),""))</f>
        <v/>
      </c>
      <c r="L3886" s="12" t="n"/>
    </row>
    <row r="3887" ht="14" customHeight="1" s="72">
      <c r="A3887" s="82" t="n"/>
      <c r="B3887" s="79" t="n"/>
      <c r="C3887" s="69">
        <f>IF(B3887="","",IFERROR(INDEX(Client_List!$B:$B,MATCH(B3887,Client_List!$A:$A,0)),"⚠ NOT FOUND"))</f>
        <v/>
      </c>
      <c r="D3887" s="44" t="n"/>
      <c r="E3887" s="32">
        <f>IF(B3887="","",IFERROR(INDEX(Client_List!$C:$C,MATCH(VALUE(B3887),Client_List!$A:$A,0)),""))</f>
        <v/>
      </c>
      <c r="F3887" s="53">
        <f>IF(B3887="","",IFERROR(INDEX(Client_List!$D:$D,MATCH(VALUE(B3887),Client_List!$A:$A,0)),""))</f>
        <v/>
      </c>
      <c r="G3887" s="53">
        <f>IF(B3887="","",IFERROR(INDEX(Client_List!$K:$K,MATCH(VALUE(B3887),Client_List!$A:$A,0)),""))</f>
        <v/>
      </c>
      <c r="H3887" s="32">
        <f>IF(B3887="","",IFERROR(INDEX(Client_List!$J:$J,MATCH(VALUE(B3887),Client_List!$A:$A,0)),""))</f>
        <v/>
      </c>
      <c r="I3887" s="70">
        <f>IF(B3887="","",IFERROR(A3887-LOOKUP(2,1/($B$4:$B3886=B3887),$A$4:$A3886),""))</f>
        <v/>
      </c>
      <c r="J3887" s="32">
        <f>IF(B3887="","",IFERROR(D3887/I3887,""))</f>
        <v/>
      </c>
      <c r="K3887" s="71">
        <f>IF(B3887="","",IFERROR(AVERAGEIFS($J$4:$J3887,$B$4:$B3887,B3887,$J$4:$J3887,"&gt;"&amp;0),""))</f>
        <v/>
      </c>
      <c r="L3887" s="11" t="n"/>
    </row>
    <row r="3888" ht="14" customHeight="1" s="72">
      <c r="A3888" s="83" t="n"/>
      <c r="B3888" s="81" t="n"/>
      <c r="C3888" s="69">
        <f>IF(B3888="","",IFERROR(INDEX(Client_List!$B:$B,MATCH(B3888,Client_List!$A:$A,0)),"⚠ NOT FOUND"))</f>
        <v/>
      </c>
      <c r="D3888" s="45" t="n"/>
      <c r="E3888" s="32">
        <f>IF(B3888="","",IFERROR(INDEX(Client_List!$C:$C,MATCH(VALUE(B3888),Client_List!$A:$A,0)),""))</f>
        <v/>
      </c>
      <c r="F3888" s="53">
        <f>IF(B3888="","",IFERROR(INDEX(Client_List!$D:$D,MATCH(VALUE(B3888),Client_List!$A:$A,0)),""))</f>
        <v/>
      </c>
      <c r="G3888" s="53">
        <f>IF(B3888="","",IFERROR(INDEX(Client_List!$K:$K,MATCH(VALUE(B3888),Client_List!$A:$A,0)),""))</f>
        <v/>
      </c>
      <c r="H3888" s="32">
        <f>IF(B3888="","",IFERROR(INDEX(Client_List!$J:$J,MATCH(VALUE(B3888),Client_List!$A:$A,0)),""))</f>
        <v/>
      </c>
      <c r="I3888" s="70">
        <f>IF(B3888="","",IFERROR(A3888-LOOKUP(2,1/($B$4:$B3887=B3888),$A$4:$A3887),""))</f>
        <v/>
      </c>
      <c r="J3888" s="32">
        <f>IF(B3888="","",IFERROR(D3888/I3888,""))</f>
        <v/>
      </c>
      <c r="K3888" s="71">
        <f>IF(B3888="","",IFERROR(AVERAGEIFS($J$4:$J3888,$B$4:$B3888,B3888,$J$4:$J3888,"&gt;"&amp;0),""))</f>
        <v/>
      </c>
      <c r="L3888" s="12" t="n"/>
    </row>
    <row r="3889" ht="14" customHeight="1" s="72">
      <c r="A3889" s="82" t="n"/>
      <c r="B3889" s="79" t="n"/>
      <c r="C3889" s="69">
        <f>IF(B3889="","",IFERROR(INDEX(Client_List!$B:$B,MATCH(B3889,Client_List!$A:$A,0)),"⚠ NOT FOUND"))</f>
        <v/>
      </c>
      <c r="D3889" s="44" t="n"/>
      <c r="E3889" s="32">
        <f>IF(B3889="","",IFERROR(INDEX(Client_List!$C:$C,MATCH(VALUE(B3889),Client_List!$A:$A,0)),""))</f>
        <v/>
      </c>
      <c r="F3889" s="53">
        <f>IF(B3889="","",IFERROR(INDEX(Client_List!$D:$D,MATCH(VALUE(B3889),Client_List!$A:$A,0)),""))</f>
        <v/>
      </c>
      <c r="G3889" s="53">
        <f>IF(B3889="","",IFERROR(INDEX(Client_List!$K:$K,MATCH(VALUE(B3889),Client_List!$A:$A,0)),""))</f>
        <v/>
      </c>
      <c r="H3889" s="32">
        <f>IF(B3889="","",IFERROR(INDEX(Client_List!$J:$J,MATCH(VALUE(B3889),Client_List!$A:$A,0)),""))</f>
        <v/>
      </c>
      <c r="I3889" s="70">
        <f>IF(B3889="","",IFERROR(A3889-LOOKUP(2,1/($B$4:$B3888=B3889),$A$4:$A3888),""))</f>
        <v/>
      </c>
      <c r="J3889" s="32">
        <f>IF(B3889="","",IFERROR(D3889/I3889,""))</f>
        <v/>
      </c>
      <c r="K3889" s="71">
        <f>IF(B3889="","",IFERROR(AVERAGEIFS($J$4:$J3889,$B$4:$B3889,B3889,$J$4:$J3889,"&gt;"&amp;0),""))</f>
        <v/>
      </c>
      <c r="L3889" s="11" t="n"/>
    </row>
    <row r="3890" ht="14" customHeight="1" s="72">
      <c r="A3890" s="83" t="n"/>
      <c r="B3890" s="81" t="n"/>
      <c r="C3890" s="69">
        <f>IF(B3890="","",IFERROR(INDEX(Client_List!$B:$B,MATCH(B3890,Client_List!$A:$A,0)),"⚠ NOT FOUND"))</f>
        <v/>
      </c>
      <c r="D3890" s="45" t="n"/>
      <c r="E3890" s="32">
        <f>IF(B3890="","",IFERROR(INDEX(Client_List!$C:$C,MATCH(VALUE(B3890),Client_List!$A:$A,0)),""))</f>
        <v/>
      </c>
      <c r="F3890" s="53">
        <f>IF(B3890="","",IFERROR(INDEX(Client_List!$D:$D,MATCH(VALUE(B3890),Client_List!$A:$A,0)),""))</f>
        <v/>
      </c>
      <c r="G3890" s="53">
        <f>IF(B3890="","",IFERROR(INDEX(Client_List!$K:$K,MATCH(VALUE(B3890),Client_List!$A:$A,0)),""))</f>
        <v/>
      </c>
      <c r="H3890" s="32">
        <f>IF(B3890="","",IFERROR(INDEX(Client_List!$J:$J,MATCH(VALUE(B3890),Client_List!$A:$A,0)),""))</f>
        <v/>
      </c>
      <c r="I3890" s="70">
        <f>IF(B3890="","",IFERROR(A3890-LOOKUP(2,1/($B$4:$B3889=B3890),$A$4:$A3889),""))</f>
        <v/>
      </c>
      <c r="J3890" s="32">
        <f>IF(B3890="","",IFERROR(D3890/I3890,""))</f>
        <v/>
      </c>
      <c r="K3890" s="71">
        <f>IF(B3890="","",IFERROR(AVERAGEIFS($J$4:$J3890,$B$4:$B3890,B3890,$J$4:$J3890,"&gt;"&amp;0),""))</f>
        <v/>
      </c>
      <c r="L3890" s="12" t="n"/>
    </row>
    <row r="3891" ht="14" customHeight="1" s="72">
      <c r="A3891" s="82" t="n"/>
      <c r="B3891" s="79" t="n"/>
      <c r="C3891" s="69">
        <f>IF(B3891="","",IFERROR(INDEX(Client_List!$B:$B,MATCH(B3891,Client_List!$A:$A,0)),"⚠ NOT FOUND"))</f>
        <v/>
      </c>
      <c r="D3891" s="44" t="n"/>
      <c r="E3891" s="32">
        <f>IF(B3891="","",IFERROR(INDEX(Client_List!$C:$C,MATCH(VALUE(B3891),Client_List!$A:$A,0)),""))</f>
        <v/>
      </c>
      <c r="F3891" s="53">
        <f>IF(B3891="","",IFERROR(INDEX(Client_List!$D:$D,MATCH(VALUE(B3891),Client_List!$A:$A,0)),""))</f>
        <v/>
      </c>
      <c r="G3891" s="53">
        <f>IF(B3891="","",IFERROR(INDEX(Client_List!$K:$K,MATCH(VALUE(B3891),Client_List!$A:$A,0)),""))</f>
        <v/>
      </c>
      <c r="H3891" s="32">
        <f>IF(B3891="","",IFERROR(INDEX(Client_List!$J:$J,MATCH(VALUE(B3891),Client_List!$A:$A,0)),""))</f>
        <v/>
      </c>
      <c r="I3891" s="70">
        <f>IF(B3891="","",IFERROR(A3891-LOOKUP(2,1/($B$4:$B3890=B3891),$A$4:$A3890),""))</f>
        <v/>
      </c>
      <c r="J3891" s="32">
        <f>IF(B3891="","",IFERROR(D3891/I3891,""))</f>
        <v/>
      </c>
      <c r="K3891" s="71">
        <f>IF(B3891="","",IFERROR(AVERAGEIFS($J$4:$J3891,$B$4:$B3891,B3891,$J$4:$J3891,"&gt;"&amp;0),""))</f>
        <v/>
      </c>
      <c r="L3891" s="11" t="n"/>
    </row>
    <row r="3892" ht="14" customHeight="1" s="72">
      <c r="A3892" s="83" t="n"/>
      <c r="B3892" s="81" t="n"/>
      <c r="C3892" s="69">
        <f>IF(B3892="","",IFERROR(INDEX(Client_List!$B:$B,MATCH(B3892,Client_List!$A:$A,0)),"⚠ NOT FOUND"))</f>
        <v/>
      </c>
      <c r="D3892" s="45" t="n"/>
      <c r="E3892" s="32">
        <f>IF(B3892="","",IFERROR(INDEX(Client_List!$C:$C,MATCH(VALUE(B3892),Client_List!$A:$A,0)),""))</f>
        <v/>
      </c>
      <c r="F3892" s="53">
        <f>IF(B3892="","",IFERROR(INDEX(Client_List!$D:$D,MATCH(VALUE(B3892),Client_List!$A:$A,0)),""))</f>
        <v/>
      </c>
      <c r="G3892" s="53">
        <f>IF(B3892="","",IFERROR(INDEX(Client_List!$K:$K,MATCH(VALUE(B3892),Client_List!$A:$A,0)),""))</f>
        <v/>
      </c>
      <c r="H3892" s="32">
        <f>IF(B3892="","",IFERROR(INDEX(Client_List!$J:$J,MATCH(VALUE(B3892),Client_List!$A:$A,0)),""))</f>
        <v/>
      </c>
      <c r="I3892" s="70">
        <f>IF(B3892="","",IFERROR(A3892-LOOKUP(2,1/($B$4:$B3891=B3892),$A$4:$A3891),""))</f>
        <v/>
      </c>
      <c r="J3892" s="32">
        <f>IF(B3892="","",IFERROR(D3892/I3892,""))</f>
        <v/>
      </c>
      <c r="K3892" s="71">
        <f>IF(B3892="","",IFERROR(AVERAGEIFS($J$4:$J3892,$B$4:$B3892,B3892,$J$4:$J3892,"&gt;"&amp;0),""))</f>
        <v/>
      </c>
      <c r="L3892" s="12" t="n"/>
    </row>
    <row r="3893" ht="14" customHeight="1" s="72">
      <c r="A3893" s="82" t="n"/>
      <c r="B3893" s="79" t="n"/>
      <c r="C3893" s="69">
        <f>IF(B3893="","",IFERROR(INDEX(Client_List!$B:$B,MATCH(B3893,Client_List!$A:$A,0)),"⚠ NOT FOUND"))</f>
        <v/>
      </c>
      <c r="D3893" s="44" t="n"/>
      <c r="E3893" s="32">
        <f>IF(B3893="","",IFERROR(INDEX(Client_List!$C:$C,MATCH(VALUE(B3893),Client_List!$A:$A,0)),""))</f>
        <v/>
      </c>
      <c r="F3893" s="53">
        <f>IF(B3893="","",IFERROR(INDEX(Client_List!$D:$D,MATCH(VALUE(B3893),Client_List!$A:$A,0)),""))</f>
        <v/>
      </c>
      <c r="G3893" s="53">
        <f>IF(B3893="","",IFERROR(INDEX(Client_List!$K:$K,MATCH(VALUE(B3893),Client_List!$A:$A,0)),""))</f>
        <v/>
      </c>
      <c r="H3893" s="32">
        <f>IF(B3893="","",IFERROR(INDEX(Client_List!$J:$J,MATCH(VALUE(B3893),Client_List!$A:$A,0)),""))</f>
        <v/>
      </c>
      <c r="I3893" s="70">
        <f>IF(B3893="","",IFERROR(A3893-LOOKUP(2,1/($B$4:$B3892=B3893),$A$4:$A3892),""))</f>
        <v/>
      </c>
      <c r="J3893" s="32">
        <f>IF(B3893="","",IFERROR(D3893/I3893,""))</f>
        <v/>
      </c>
      <c r="K3893" s="71">
        <f>IF(B3893="","",IFERROR(AVERAGEIFS($J$4:$J3893,$B$4:$B3893,B3893,$J$4:$J3893,"&gt;"&amp;0),""))</f>
        <v/>
      </c>
      <c r="L3893" s="11" t="n"/>
    </row>
    <row r="3894" ht="14" customHeight="1" s="72">
      <c r="A3894" s="83" t="n"/>
      <c r="B3894" s="81" t="n"/>
      <c r="C3894" s="69">
        <f>IF(B3894="","",IFERROR(INDEX(Client_List!$B:$B,MATCH(B3894,Client_List!$A:$A,0)),"⚠ NOT FOUND"))</f>
        <v/>
      </c>
      <c r="D3894" s="45" t="n"/>
      <c r="E3894" s="32">
        <f>IF(B3894="","",IFERROR(INDEX(Client_List!$C:$C,MATCH(VALUE(B3894),Client_List!$A:$A,0)),""))</f>
        <v/>
      </c>
      <c r="F3894" s="53">
        <f>IF(B3894="","",IFERROR(INDEX(Client_List!$D:$D,MATCH(VALUE(B3894),Client_List!$A:$A,0)),""))</f>
        <v/>
      </c>
      <c r="G3894" s="53">
        <f>IF(B3894="","",IFERROR(INDEX(Client_List!$K:$K,MATCH(VALUE(B3894),Client_List!$A:$A,0)),""))</f>
        <v/>
      </c>
      <c r="H3894" s="32">
        <f>IF(B3894="","",IFERROR(INDEX(Client_List!$J:$J,MATCH(VALUE(B3894),Client_List!$A:$A,0)),""))</f>
        <v/>
      </c>
      <c r="I3894" s="70">
        <f>IF(B3894="","",IFERROR(A3894-LOOKUP(2,1/($B$4:$B3893=B3894),$A$4:$A3893),""))</f>
        <v/>
      </c>
      <c r="J3894" s="32">
        <f>IF(B3894="","",IFERROR(D3894/I3894,""))</f>
        <v/>
      </c>
      <c r="K3894" s="71">
        <f>IF(B3894="","",IFERROR(AVERAGEIFS($J$4:$J3894,$B$4:$B3894,B3894,$J$4:$J3894,"&gt;"&amp;0),""))</f>
        <v/>
      </c>
      <c r="L3894" s="12" t="n"/>
    </row>
    <row r="3895" ht="14" customHeight="1" s="72">
      <c r="A3895" s="82" t="n"/>
      <c r="B3895" s="79" t="n"/>
      <c r="C3895" s="69">
        <f>IF(B3895="","",IFERROR(INDEX(Client_List!$B:$B,MATCH(B3895,Client_List!$A:$A,0)),"⚠ NOT FOUND"))</f>
        <v/>
      </c>
      <c r="D3895" s="44" t="n"/>
      <c r="E3895" s="32">
        <f>IF(B3895="","",IFERROR(INDEX(Client_List!$C:$C,MATCH(VALUE(B3895),Client_List!$A:$A,0)),""))</f>
        <v/>
      </c>
      <c r="F3895" s="53">
        <f>IF(B3895="","",IFERROR(INDEX(Client_List!$D:$D,MATCH(VALUE(B3895),Client_List!$A:$A,0)),""))</f>
        <v/>
      </c>
      <c r="G3895" s="53">
        <f>IF(B3895="","",IFERROR(INDEX(Client_List!$K:$K,MATCH(VALUE(B3895),Client_List!$A:$A,0)),""))</f>
        <v/>
      </c>
      <c r="H3895" s="32">
        <f>IF(B3895="","",IFERROR(INDEX(Client_List!$J:$J,MATCH(VALUE(B3895),Client_List!$A:$A,0)),""))</f>
        <v/>
      </c>
      <c r="I3895" s="70">
        <f>IF(B3895="","",IFERROR(A3895-LOOKUP(2,1/($B$4:$B3894=B3895),$A$4:$A3894),""))</f>
        <v/>
      </c>
      <c r="J3895" s="32">
        <f>IF(B3895="","",IFERROR(D3895/I3895,""))</f>
        <v/>
      </c>
      <c r="K3895" s="71">
        <f>IF(B3895="","",IFERROR(AVERAGEIFS($J$4:$J3895,$B$4:$B3895,B3895,$J$4:$J3895,"&gt;"&amp;0),""))</f>
        <v/>
      </c>
      <c r="L3895" s="11" t="n"/>
    </row>
    <row r="3896" ht="14" customHeight="1" s="72">
      <c r="A3896" s="83" t="n"/>
      <c r="B3896" s="81" t="n"/>
      <c r="C3896" s="69">
        <f>IF(B3896="","",IFERROR(INDEX(Client_List!$B:$B,MATCH(B3896,Client_List!$A:$A,0)),"⚠ NOT FOUND"))</f>
        <v/>
      </c>
      <c r="D3896" s="45" t="n"/>
      <c r="E3896" s="32">
        <f>IF(B3896="","",IFERROR(INDEX(Client_List!$C:$C,MATCH(VALUE(B3896),Client_List!$A:$A,0)),""))</f>
        <v/>
      </c>
      <c r="F3896" s="53">
        <f>IF(B3896="","",IFERROR(INDEX(Client_List!$D:$D,MATCH(VALUE(B3896),Client_List!$A:$A,0)),""))</f>
        <v/>
      </c>
      <c r="G3896" s="53">
        <f>IF(B3896="","",IFERROR(INDEX(Client_List!$K:$K,MATCH(VALUE(B3896),Client_List!$A:$A,0)),""))</f>
        <v/>
      </c>
      <c r="H3896" s="32">
        <f>IF(B3896="","",IFERROR(INDEX(Client_List!$J:$J,MATCH(VALUE(B3896),Client_List!$A:$A,0)),""))</f>
        <v/>
      </c>
      <c r="I3896" s="70">
        <f>IF(B3896="","",IFERROR(A3896-LOOKUP(2,1/($B$4:$B3895=B3896),$A$4:$A3895),""))</f>
        <v/>
      </c>
      <c r="J3896" s="32">
        <f>IF(B3896="","",IFERROR(D3896/I3896,""))</f>
        <v/>
      </c>
      <c r="K3896" s="71">
        <f>IF(B3896="","",IFERROR(AVERAGEIFS($J$4:$J3896,$B$4:$B3896,B3896,$J$4:$J3896,"&gt;"&amp;0),""))</f>
        <v/>
      </c>
      <c r="L3896" s="12" t="n"/>
    </row>
    <row r="3897" ht="14" customHeight="1" s="72">
      <c r="A3897" s="82" t="n"/>
      <c r="B3897" s="79" t="n"/>
      <c r="C3897" s="69">
        <f>IF(B3897="","",IFERROR(INDEX(Client_List!$B:$B,MATCH(B3897,Client_List!$A:$A,0)),"⚠ NOT FOUND"))</f>
        <v/>
      </c>
      <c r="D3897" s="44" t="n"/>
      <c r="E3897" s="32">
        <f>IF(B3897="","",IFERROR(INDEX(Client_List!$C:$C,MATCH(VALUE(B3897),Client_List!$A:$A,0)),""))</f>
        <v/>
      </c>
      <c r="F3897" s="53">
        <f>IF(B3897="","",IFERROR(INDEX(Client_List!$D:$D,MATCH(VALUE(B3897),Client_List!$A:$A,0)),""))</f>
        <v/>
      </c>
      <c r="G3897" s="53">
        <f>IF(B3897="","",IFERROR(INDEX(Client_List!$K:$K,MATCH(VALUE(B3897),Client_List!$A:$A,0)),""))</f>
        <v/>
      </c>
      <c r="H3897" s="32">
        <f>IF(B3897="","",IFERROR(INDEX(Client_List!$J:$J,MATCH(VALUE(B3897),Client_List!$A:$A,0)),""))</f>
        <v/>
      </c>
      <c r="I3897" s="70">
        <f>IF(B3897="","",IFERROR(A3897-LOOKUP(2,1/($B$4:$B3896=B3897),$A$4:$A3896),""))</f>
        <v/>
      </c>
      <c r="J3897" s="32">
        <f>IF(B3897="","",IFERROR(D3897/I3897,""))</f>
        <v/>
      </c>
      <c r="K3897" s="71">
        <f>IF(B3897="","",IFERROR(AVERAGEIFS($J$4:$J3897,$B$4:$B3897,B3897,$J$4:$J3897,"&gt;"&amp;0),""))</f>
        <v/>
      </c>
      <c r="L3897" s="11" t="n"/>
    </row>
    <row r="3898" ht="14" customHeight="1" s="72">
      <c r="A3898" s="83" t="n"/>
      <c r="B3898" s="81" t="n"/>
      <c r="C3898" s="69">
        <f>IF(B3898="","",IFERROR(INDEX(Client_List!$B:$B,MATCH(B3898,Client_List!$A:$A,0)),"⚠ NOT FOUND"))</f>
        <v/>
      </c>
      <c r="D3898" s="45" t="n"/>
      <c r="E3898" s="32">
        <f>IF(B3898="","",IFERROR(INDEX(Client_List!$C:$C,MATCH(VALUE(B3898),Client_List!$A:$A,0)),""))</f>
        <v/>
      </c>
      <c r="F3898" s="53">
        <f>IF(B3898="","",IFERROR(INDEX(Client_List!$D:$D,MATCH(VALUE(B3898),Client_List!$A:$A,0)),""))</f>
        <v/>
      </c>
      <c r="G3898" s="53">
        <f>IF(B3898="","",IFERROR(INDEX(Client_List!$K:$K,MATCH(VALUE(B3898),Client_List!$A:$A,0)),""))</f>
        <v/>
      </c>
      <c r="H3898" s="32">
        <f>IF(B3898="","",IFERROR(INDEX(Client_List!$J:$J,MATCH(VALUE(B3898),Client_List!$A:$A,0)),""))</f>
        <v/>
      </c>
      <c r="I3898" s="70">
        <f>IF(B3898="","",IFERROR(A3898-LOOKUP(2,1/($B$4:$B3897=B3898),$A$4:$A3897),""))</f>
        <v/>
      </c>
      <c r="J3898" s="32">
        <f>IF(B3898="","",IFERROR(D3898/I3898,""))</f>
        <v/>
      </c>
      <c r="K3898" s="71">
        <f>IF(B3898="","",IFERROR(AVERAGEIFS($J$4:$J3898,$B$4:$B3898,B3898,$J$4:$J3898,"&gt;"&amp;0),""))</f>
        <v/>
      </c>
      <c r="L3898" s="12" t="n"/>
    </row>
    <row r="3899" ht="14" customHeight="1" s="72">
      <c r="A3899" s="82" t="n"/>
      <c r="B3899" s="79" t="n"/>
      <c r="C3899" s="69">
        <f>IF(B3899="","",IFERROR(INDEX(Client_List!$B:$B,MATCH(B3899,Client_List!$A:$A,0)),"⚠ NOT FOUND"))</f>
        <v/>
      </c>
      <c r="D3899" s="44" t="n"/>
      <c r="E3899" s="32">
        <f>IF(B3899="","",IFERROR(INDEX(Client_List!$C:$C,MATCH(VALUE(B3899),Client_List!$A:$A,0)),""))</f>
        <v/>
      </c>
      <c r="F3899" s="53">
        <f>IF(B3899="","",IFERROR(INDEX(Client_List!$D:$D,MATCH(VALUE(B3899),Client_List!$A:$A,0)),""))</f>
        <v/>
      </c>
      <c r="G3899" s="53">
        <f>IF(B3899="","",IFERROR(INDEX(Client_List!$K:$K,MATCH(VALUE(B3899),Client_List!$A:$A,0)),""))</f>
        <v/>
      </c>
      <c r="H3899" s="32">
        <f>IF(B3899="","",IFERROR(INDEX(Client_List!$J:$J,MATCH(VALUE(B3899),Client_List!$A:$A,0)),""))</f>
        <v/>
      </c>
      <c r="I3899" s="70">
        <f>IF(B3899="","",IFERROR(A3899-LOOKUP(2,1/($B$4:$B3898=B3899),$A$4:$A3898),""))</f>
        <v/>
      </c>
      <c r="J3899" s="32">
        <f>IF(B3899="","",IFERROR(D3899/I3899,""))</f>
        <v/>
      </c>
      <c r="K3899" s="71">
        <f>IF(B3899="","",IFERROR(AVERAGEIFS($J$4:$J3899,$B$4:$B3899,B3899,$J$4:$J3899,"&gt;"&amp;0),""))</f>
        <v/>
      </c>
      <c r="L3899" s="11" t="n"/>
    </row>
    <row r="3900" ht="14" customHeight="1" s="72">
      <c r="A3900" s="83" t="n"/>
      <c r="B3900" s="81" t="n"/>
      <c r="C3900" s="69">
        <f>IF(B3900="","",IFERROR(INDEX(Client_List!$B:$B,MATCH(B3900,Client_List!$A:$A,0)),"⚠ NOT FOUND"))</f>
        <v/>
      </c>
      <c r="D3900" s="45" t="n"/>
      <c r="E3900" s="32">
        <f>IF(B3900="","",IFERROR(INDEX(Client_List!$C:$C,MATCH(VALUE(B3900),Client_List!$A:$A,0)),""))</f>
        <v/>
      </c>
      <c r="F3900" s="53">
        <f>IF(B3900="","",IFERROR(INDEX(Client_List!$D:$D,MATCH(VALUE(B3900),Client_List!$A:$A,0)),""))</f>
        <v/>
      </c>
      <c r="G3900" s="53">
        <f>IF(B3900="","",IFERROR(INDEX(Client_List!$K:$K,MATCH(VALUE(B3900),Client_List!$A:$A,0)),""))</f>
        <v/>
      </c>
      <c r="H3900" s="32">
        <f>IF(B3900="","",IFERROR(INDEX(Client_List!$J:$J,MATCH(VALUE(B3900),Client_List!$A:$A,0)),""))</f>
        <v/>
      </c>
      <c r="I3900" s="70">
        <f>IF(B3900="","",IFERROR(A3900-LOOKUP(2,1/($B$4:$B3899=B3900),$A$4:$A3899),""))</f>
        <v/>
      </c>
      <c r="J3900" s="32">
        <f>IF(B3900="","",IFERROR(D3900/I3900,""))</f>
        <v/>
      </c>
      <c r="K3900" s="71">
        <f>IF(B3900="","",IFERROR(AVERAGEIFS($J$4:$J3900,$B$4:$B3900,B3900,$J$4:$J3900,"&gt;"&amp;0),""))</f>
        <v/>
      </c>
      <c r="L3900" s="12" t="n"/>
    </row>
    <row r="3901" ht="14" customHeight="1" s="72">
      <c r="A3901" s="82" t="n"/>
      <c r="B3901" s="79" t="n"/>
      <c r="C3901" s="69">
        <f>IF(B3901="","",IFERROR(INDEX(Client_List!$B:$B,MATCH(B3901,Client_List!$A:$A,0)),"⚠ NOT FOUND"))</f>
        <v/>
      </c>
      <c r="D3901" s="44" t="n"/>
      <c r="E3901" s="32">
        <f>IF(B3901="","",IFERROR(INDEX(Client_List!$C:$C,MATCH(VALUE(B3901),Client_List!$A:$A,0)),""))</f>
        <v/>
      </c>
      <c r="F3901" s="53">
        <f>IF(B3901="","",IFERROR(INDEX(Client_List!$D:$D,MATCH(VALUE(B3901),Client_List!$A:$A,0)),""))</f>
        <v/>
      </c>
      <c r="G3901" s="53">
        <f>IF(B3901="","",IFERROR(INDEX(Client_List!$K:$K,MATCH(VALUE(B3901),Client_List!$A:$A,0)),""))</f>
        <v/>
      </c>
      <c r="H3901" s="32">
        <f>IF(B3901="","",IFERROR(INDEX(Client_List!$J:$J,MATCH(VALUE(B3901),Client_List!$A:$A,0)),""))</f>
        <v/>
      </c>
      <c r="I3901" s="70">
        <f>IF(B3901="","",IFERROR(A3901-LOOKUP(2,1/($B$4:$B3900=B3901),$A$4:$A3900),""))</f>
        <v/>
      </c>
      <c r="J3901" s="32">
        <f>IF(B3901="","",IFERROR(D3901/I3901,""))</f>
        <v/>
      </c>
      <c r="K3901" s="71">
        <f>IF(B3901="","",IFERROR(AVERAGEIFS($J$4:$J3901,$B$4:$B3901,B3901,$J$4:$J3901,"&gt;"&amp;0),""))</f>
        <v/>
      </c>
      <c r="L3901" s="11" t="n"/>
    </row>
    <row r="3902" ht="14" customHeight="1" s="72">
      <c r="A3902" s="83" t="n"/>
      <c r="B3902" s="81" t="n"/>
      <c r="C3902" s="69">
        <f>IF(B3902="","",IFERROR(INDEX(Client_List!$B:$B,MATCH(B3902,Client_List!$A:$A,0)),"⚠ NOT FOUND"))</f>
        <v/>
      </c>
      <c r="D3902" s="45" t="n"/>
      <c r="E3902" s="32">
        <f>IF(B3902="","",IFERROR(INDEX(Client_List!$C:$C,MATCH(VALUE(B3902),Client_List!$A:$A,0)),""))</f>
        <v/>
      </c>
      <c r="F3902" s="53">
        <f>IF(B3902="","",IFERROR(INDEX(Client_List!$D:$D,MATCH(VALUE(B3902),Client_List!$A:$A,0)),""))</f>
        <v/>
      </c>
      <c r="G3902" s="53">
        <f>IF(B3902="","",IFERROR(INDEX(Client_List!$K:$K,MATCH(VALUE(B3902),Client_List!$A:$A,0)),""))</f>
        <v/>
      </c>
      <c r="H3902" s="32">
        <f>IF(B3902="","",IFERROR(INDEX(Client_List!$J:$J,MATCH(VALUE(B3902),Client_List!$A:$A,0)),""))</f>
        <v/>
      </c>
      <c r="I3902" s="70">
        <f>IF(B3902="","",IFERROR(A3902-LOOKUP(2,1/($B$4:$B3901=B3902),$A$4:$A3901),""))</f>
        <v/>
      </c>
      <c r="J3902" s="32">
        <f>IF(B3902="","",IFERROR(D3902/I3902,""))</f>
        <v/>
      </c>
      <c r="K3902" s="71">
        <f>IF(B3902="","",IFERROR(AVERAGEIFS($J$4:$J3902,$B$4:$B3902,B3902,$J$4:$J3902,"&gt;"&amp;0),""))</f>
        <v/>
      </c>
      <c r="L3902" s="12" t="n"/>
    </row>
    <row r="3903" ht="14" customHeight="1" s="72">
      <c r="A3903" s="82" t="n"/>
      <c r="B3903" s="79" t="n"/>
      <c r="C3903" s="69">
        <f>IF(B3903="","",IFERROR(INDEX(Client_List!$B:$B,MATCH(B3903,Client_List!$A:$A,0)),"⚠ NOT FOUND"))</f>
        <v/>
      </c>
      <c r="D3903" s="44" t="n"/>
      <c r="E3903" s="32">
        <f>IF(B3903="","",IFERROR(INDEX(Client_List!$C:$C,MATCH(VALUE(B3903),Client_List!$A:$A,0)),""))</f>
        <v/>
      </c>
      <c r="F3903" s="53">
        <f>IF(B3903="","",IFERROR(INDEX(Client_List!$D:$D,MATCH(VALUE(B3903),Client_List!$A:$A,0)),""))</f>
        <v/>
      </c>
      <c r="G3903" s="53">
        <f>IF(B3903="","",IFERROR(INDEX(Client_List!$K:$K,MATCH(VALUE(B3903),Client_List!$A:$A,0)),""))</f>
        <v/>
      </c>
      <c r="H3903" s="32">
        <f>IF(B3903="","",IFERROR(INDEX(Client_List!$J:$J,MATCH(VALUE(B3903),Client_List!$A:$A,0)),""))</f>
        <v/>
      </c>
      <c r="I3903" s="70">
        <f>IF(B3903="","",IFERROR(A3903-LOOKUP(2,1/($B$4:$B3902=B3903),$A$4:$A3902),""))</f>
        <v/>
      </c>
      <c r="J3903" s="32">
        <f>IF(B3903="","",IFERROR(D3903/I3903,""))</f>
        <v/>
      </c>
      <c r="K3903" s="71">
        <f>IF(B3903="","",IFERROR(AVERAGEIFS($J$4:$J3903,$B$4:$B3903,B3903,$J$4:$J3903,"&gt;"&amp;0),""))</f>
        <v/>
      </c>
      <c r="L3903" s="11" t="n"/>
    </row>
    <row r="3904" ht="14" customHeight="1" s="72">
      <c r="A3904" s="83" t="n"/>
      <c r="B3904" s="81" t="n"/>
      <c r="C3904" s="69">
        <f>IF(B3904="","",IFERROR(INDEX(Client_List!$B:$B,MATCH(B3904,Client_List!$A:$A,0)),"⚠ NOT FOUND"))</f>
        <v/>
      </c>
      <c r="D3904" s="45" t="n"/>
      <c r="E3904" s="32">
        <f>IF(B3904="","",IFERROR(INDEX(Client_List!$C:$C,MATCH(VALUE(B3904),Client_List!$A:$A,0)),""))</f>
        <v/>
      </c>
      <c r="F3904" s="53">
        <f>IF(B3904="","",IFERROR(INDEX(Client_List!$D:$D,MATCH(VALUE(B3904),Client_List!$A:$A,0)),""))</f>
        <v/>
      </c>
      <c r="G3904" s="53">
        <f>IF(B3904="","",IFERROR(INDEX(Client_List!$K:$K,MATCH(VALUE(B3904),Client_List!$A:$A,0)),""))</f>
        <v/>
      </c>
      <c r="H3904" s="32">
        <f>IF(B3904="","",IFERROR(INDEX(Client_List!$J:$J,MATCH(VALUE(B3904),Client_List!$A:$A,0)),""))</f>
        <v/>
      </c>
      <c r="I3904" s="70">
        <f>IF(B3904="","",IFERROR(A3904-LOOKUP(2,1/($B$4:$B3903=B3904),$A$4:$A3903),""))</f>
        <v/>
      </c>
      <c r="J3904" s="32">
        <f>IF(B3904="","",IFERROR(D3904/I3904,""))</f>
        <v/>
      </c>
      <c r="K3904" s="71">
        <f>IF(B3904="","",IFERROR(AVERAGEIFS($J$4:$J3904,$B$4:$B3904,B3904,$J$4:$J3904,"&gt;"&amp;0),""))</f>
        <v/>
      </c>
      <c r="L3904" s="12" t="n"/>
    </row>
    <row r="3905" ht="14" customHeight="1" s="72">
      <c r="A3905" s="82" t="n"/>
      <c r="B3905" s="79" t="n"/>
      <c r="C3905" s="69">
        <f>IF(B3905="","",IFERROR(INDEX(Client_List!$B:$B,MATCH(B3905,Client_List!$A:$A,0)),"⚠ NOT FOUND"))</f>
        <v/>
      </c>
      <c r="D3905" s="44" t="n"/>
      <c r="E3905" s="32">
        <f>IF(B3905="","",IFERROR(INDEX(Client_List!$C:$C,MATCH(VALUE(B3905),Client_List!$A:$A,0)),""))</f>
        <v/>
      </c>
      <c r="F3905" s="53">
        <f>IF(B3905="","",IFERROR(INDEX(Client_List!$D:$D,MATCH(VALUE(B3905),Client_List!$A:$A,0)),""))</f>
        <v/>
      </c>
      <c r="G3905" s="53">
        <f>IF(B3905="","",IFERROR(INDEX(Client_List!$K:$K,MATCH(VALUE(B3905),Client_List!$A:$A,0)),""))</f>
        <v/>
      </c>
      <c r="H3905" s="32">
        <f>IF(B3905="","",IFERROR(INDEX(Client_List!$J:$J,MATCH(VALUE(B3905),Client_List!$A:$A,0)),""))</f>
        <v/>
      </c>
      <c r="I3905" s="70">
        <f>IF(B3905="","",IFERROR(A3905-LOOKUP(2,1/($B$4:$B3904=B3905),$A$4:$A3904),""))</f>
        <v/>
      </c>
      <c r="J3905" s="32">
        <f>IF(B3905="","",IFERROR(D3905/I3905,""))</f>
        <v/>
      </c>
      <c r="K3905" s="71">
        <f>IF(B3905="","",IFERROR(AVERAGEIFS($J$4:$J3905,$B$4:$B3905,B3905,$J$4:$J3905,"&gt;"&amp;0),""))</f>
        <v/>
      </c>
      <c r="L3905" s="11" t="n"/>
    </row>
    <row r="3906" ht="14" customHeight="1" s="72">
      <c r="A3906" s="83" t="n"/>
      <c r="B3906" s="81" t="n"/>
      <c r="C3906" s="69">
        <f>IF(B3906="","",IFERROR(INDEX(Client_List!$B:$B,MATCH(B3906,Client_List!$A:$A,0)),"⚠ NOT FOUND"))</f>
        <v/>
      </c>
      <c r="D3906" s="45" t="n"/>
      <c r="E3906" s="32">
        <f>IF(B3906="","",IFERROR(INDEX(Client_List!$C:$C,MATCH(VALUE(B3906),Client_List!$A:$A,0)),""))</f>
        <v/>
      </c>
      <c r="F3906" s="53">
        <f>IF(B3906="","",IFERROR(INDEX(Client_List!$D:$D,MATCH(VALUE(B3906),Client_List!$A:$A,0)),""))</f>
        <v/>
      </c>
      <c r="G3906" s="53">
        <f>IF(B3906="","",IFERROR(INDEX(Client_List!$K:$K,MATCH(VALUE(B3906),Client_List!$A:$A,0)),""))</f>
        <v/>
      </c>
      <c r="H3906" s="32">
        <f>IF(B3906="","",IFERROR(INDEX(Client_List!$J:$J,MATCH(VALUE(B3906),Client_List!$A:$A,0)),""))</f>
        <v/>
      </c>
      <c r="I3906" s="70">
        <f>IF(B3906="","",IFERROR(A3906-LOOKUP(2,1/($B$4:$B3905=B3906),$A$4:$A3905),""))</f>
        <v/>
      </c>
      <c r="J3906" s="32">
        <f>IF(B3906="","",IFERROR(D3906/I3906,""))</f>
        <v/>
      </c>
      <c r="K3906" s="71">
        <f>IF(B3906="","",IFERROR(AVERAGEIFS($J$4:$J3906,$B$4:$B3906,B3906,$J$4:$J3906,"&gt;"&amp;0),""))</f>
        <v/>
      </c>
      <c r="L3906" s="12" t="n"/>
    </row>
    <row r="3907" ht="14" customHeight="1" s="72">
      <c r="A3907" s="82" t="n"/>
      <c r="B3907" s="79" t="n"/>
      <c r="C3907" s="69">
        <f>IF(B3907="","",IFERROR(INDEX(Client_List!$B:$B,MATCH(B3907,Client_List!$A:$A,0)),"⚠ NOT FOUND"))</f>
        <v/>
      </c>
      <c r="D3907" s="44" t="n"/>
      <c r="E3907" s="32">
        <f>IF(B3907="","",IFERROR(INDEX(Client_List!$C:$C,MATCH(VALUE(B3907),Client_List!$A:$A,0)),""))</f>
        <v/>
      </c>
      <c r="F3907" s="53">
        <f>IF(B3907="","",IFERROR(INDEX(Client_List!$D:$D,MATCH(VALUE(B3907),Client_List!$A:$A,0)),""))</f>
        <v/>
      </c>
      <c r="G3907" s="53">
        <f>IF(B3907="","",IFERROR(INDEX(Client_List!$K:$K,MATCH(VALUE(B3907),Client_List!$A:$A,0)),""))</f>
        <v/>
      </c>
      <c r="H3907" s="32">
        <f>IF(B3907="","",IFERROR(INDEX(Client_List!$J:$J,MATCH(VALUE(B3907),Client_List!$A:$A,0)),""))</f>
        <v/>
      </c>
      <c r="I3907" s="70">
        <f>IF(B3907="","",IFERROR(A3907-LOOKUP(2,1/($B$4:$B3906=B3907),$A$4:$A3906),""))</f>
        <v/>
      </c>
      <c r="J3907" s="32">
        <f>IF(B3907="","",IFERROR(D3907/I3907,""))</f>
        <v/>
      </c>
      <c r="K3907" s="71">
        <f>IF(B3907="","",IFERROR(AVERAGEIFS($J$4:$J3907,$B$4:$B3907,B3907,$J$4:$J3907,"&gt;"&amp;0),""))</f>
        <v/>
      </c>
      <c r="L3907" s="11" t="n"/>
    </row>
    <row r="3908" ht="14" customHeight="1" s="72">
      <c r="A3908" s="83" t="n"/>
      <c r="B3908" s="81" t="n"/>
      <c r="C3908" s="69">
        <f>IF(B3908="","",IFERROR(INDEX(Client_List!$B:$B,MATCH(B3908,Client_List!$A:$A,0)),"⚠ NOT FOUND"))</f>
        <v/>
      </c>
      <c r="D3908" s="45" t="n"/>
      <c r="E3908" s="32">
        <f>IF(B3908="","",IFERROR(INDEX(Client_List!$C:$C,MATCH(VALUE(B3908),Client_List!$A:$A,0)),""))</f>
        <v/>
      </c>
      <c r="F3908" s="53">
        <f>IF(B3908="","",IFERROR(INDEX(Client_List!$D:$D,MATCH(VALUE(B3908),Client_List!$A:$A,0)),""))</f>
        <v/>
      </c>
      <c r="G3908" s="53">
        <f>IF(B3908="","",IFERROR(INDEX(Client_List!$K:$K,MATCH(VALUE(B3908),Client_List!$A:$A,0)),""))</f>
        <v/>
      </c>
      <c r="H3908" s="32">
        <f>IF(B3908="","",IFERROR(INDEX(Client_List!$J:$J,MATCH(VALUE(B3908),Client_List!$A:$A,0)),""))</f>
        <v/>
      </c>
      <c r="I3908" s="70">
        <f>IF(B3908="","",IFERROR(A3908-LOOKUP(2,1/($B$4:$B3907=B3908),$A$4:$A3907),""))</f>
        <v/>
      </c>
      <c r="J3908" s="32">
        <f>IF(B3908="","",IFERROR(D3908/I3908,""))</f>
        <v/>
      </c>
      <c r="K3908" s="71">
        <f>IF(B3908="","",IFERROR(AVERAGEIFS($J$4:$J3908,$B$4:$B3908,B3908,$J$4:$J3908,"&gt;"&amp;0),""))</f>
        <v/>
      </c>
      <c r="L3908" s="12" t="n"/>
    </row>
    <row r="3909" ht="14" customHeight="1" s="72">
      <c r="A3909" s="82" t="n"/>
      <c r="B3909" s="79" t="n"/>
      <c r="C3909" s="69">
        <f>IF(B3909="","",IFERROR(INDEX(Client_List!$B:$B,MATCH(B3909,Client_List!$A:$A,0)),"⚠ NOT FOUND"))</f>
        <v/>
      </c>
      <c r="D3909" s="44" t="n"/>
      <c r="E3909" s="32">
        <f>IF(B3909="","",IFERROR(INDEX(Client_List!$C:$C,MATCH(VALUE(B3909),Client_List!$A:$A,0)),""))</f>
        <v/>
      </c>
      <c r="F3909" s="53">
        <f>IF(B3909="","",IFERROR(INDEX(Client_List!$D:$D,MATCH(VALUE(B3909),Client_List!$A:$A,0)),""))</f>
        <v/>
      </c>
      <c r="G3909" s="53">
        <f>IF(B3909="","",IFERROR(INDEX(Client_List!$K:$K,MATCH(VALUE(B3909),Client_List!$A:$A,0)),""))</f>
        <v/>
      </c>
      <c r="H3909" s="32">
        <f>IF(B3909="","",IFERROR(INDEX(Client_List!$J:$J,MATCH(VALUE(B3909),Client_List!$A:$A,0)),""))</f>
        <v/>
      </c>
      <c r="I3909" s="70">
        <f>IF(B3909="","",IFERROR(A3909-LOOKUP(2,1/($B$4:$B3908=B3909),$A$4:$A3908),""))</f>
        <v/>
      </c>
      <c r="J3909" s="32">
        <f>IF(B3909="","",IFERROR(D3909/I3909,""))</f>
        <v/>
      </c>
      <c r="K3909" s="71">
        <f>IF(B3909="","",IFERROR(AVERAGEIFS($J$4:$J3909,$B$4:$B3909,B3909,$J$4:$J3909,"&gt;"&amp;0),""))</f>
        <v/>
      </c>
      <c r="L3909" s="11" t="n"/>
    </row>
    <row r="3910" ht="14" customHeight="1" s="72">
      <c r="A3910" s="83" t="n"/>
      <c r="B3910" s="81" t="n"/>
      <c r="C3910" s="69">
        <f>IF(B3910="","",IFERROR(INDEX(Client_List!$B:$B,MATCH(B3910,Client_List!$A:$A,0)),"⚠ NOT FOUND"))</f>
        <v/>
      </c>
      <c r="D3910" s="45" t="n"/>
      <c r="E3910" s="32">
        <f>IF(B3910="","",IFERROR(INDEX(Client_List!$C:$C,MATCH(VALUE(B3910),Client_List!$A:$A,0)),""))</f>
        <v/>
      </c>
      <c r="F3910" s="53">
        <f>IF(B3910="","",IFERROR(INDEX(Client_List!$D:$D,MATCH(VALUE(B3910),Client_List!$A:$A,0)),""))</f>
        <v/>
      </c>
      <c r="G3910" s="53">
        <f>IF(B3910="","",IFERROR(INDEX(Client_List!$K:$K,MATCH(VALUE(B3910),Client_List!$A:$A,0)),""))</f>
        <v/>
      </c>
      <c r="H3910" s="32">
        <f>IF(B3910="","",IFERROR(INDEX(Client_List!$J:$J,MATCH(VALUE(B3910),Client_List!$A:$A,0)),""))</f>
        <v/>
      </c>
      <c r="I3910" s="70">
        <f>IF(B3910="","",IFERROR(A3910-LOOKUP(2,1/($B$4:$B3909=B3910),$A$4:$A3909),""))</f>
        <v/>
      </c>
      <c r="J3910" s="32">
        <f>IF(B3910="","",IFERROR(D3910/I3910,""))</f>
        <v/>
      </c>
      <c r="K3910" s="71">
        <f>IF(B3910="","",IFERROR(AVERAGEIFS($J$4:$J3910,$B$4:$B3910,B3910,$J$4:$J3910,"&gt;"&amp;0),""))</f>
        <v/>
      </c>
      <c r="L3910" s="12" t="n"/>
    </row>
    <row r="3911" ht="14" customHeight="1" s="72">
      <c r="A3911" s="82" t="n"/>
      <c r="B3911" s="79" t="n"/>
      <c r="C3911" s="69">
        <f>IF(B3911="","",IFERROR(INDEX(Client_List!$B:$B,MATCH(B3911,Client_List!$A:$A,0)),"⚠ NOT FOUND"))</f>
        <v/>
      </c>
      <c r="D3911" s="44" t="n"/>
      <c r="E3911" s="32">
        <f>IF(B3911="","",IFERROR(INDEX(Client_List!$C:$C,MATCH(VALUE(B3911),Client_List!$A:$A,0)),""))</f>
        <v/>
      </c>
      <c r="F3911" s="53">
        <f>IF(B3911="","",IFERROR(INDEX(Client_List!$D:$D,MATCH(VALUE(B3911),Client_List!$A:$A,0)),""))</f>
        <v/>
      </c>
      <c r="G3911" s="53">
        <f>IF(B3911="","",IFERROR(INDEX(Client_List!$K:$K,MATCH(VALUE(B3911),Client_List!$A:$A,0)),""))</f>
        <v/>
      </c>
      <c r="H3911" s="32">
        <f>IF(B3911="","",IFERROR(INDEX(Client_List!$J:$J,MATCH(VALUE(B3911),Client_List!$A:$A,0)),""))</f>
        <v/>
      </c>
      <c r="I3911" s="70">
        <f>IF(B3911="","",IFERROR(A3911-LOOKUP(2,1/($B$4:$B3910=B3911),$A$4:$A3910),""))</f>
        <v/>
      </c>
      <c r="J3911" s="32">
        <f>IF(B3911="","",IFERROR(D3911/I3911,""))</f>
        <v/>
      </c>
      <c r="K3911" s="71">
        <f>IF(B3911="","",IFERROR(AVERAGEIFS($J$4:$J3911,$B$4:$B3911,B3911,$J$4:$J3911,"&gt;"&amp;0),""))</f>
        <v/>
      </c>
      <c r="L3911" s="11" t="n"/>
    </row>
    <row r="3912" ht="14" customHeight="1" s="72">
      <c r="A3912" s="83" t="n"/>
      <c r="B3912" s="81" t="n"/>
      <c r="C3912" s="69">
        <f>IF(B3912="","",IFERROR(INDEX(Client_List!$B:$B,MATCH(B3912,Client_List!$A:$A,0)),"⚠ NOT FOUND"))</f>
        <v/>
      </c>
      <c r="D3912" s="45" t="n"/>
      <c r="E3912" s="32">
        <f>IF(B3912="","",IFERROR(INDEX(Client_List!$C:$C,MATCH(VALUE(B3912),Client_List!$A:$A,0)),""))</f>
        <v/>
      </c>
      <c r="F3912" s="53">
        <f>IF(B3912="","",IFERROR(INDEX(Client_List!$D:$D,MATCH(VALUE(B3912),Client_List!$A:$A,0)),""))</f>
        <v/>
      </c>
      <c r="G3912" s="53">
        <f>IF(B3912="","",IFERROR(INDEX(Client_List!$K:$K,MATCH(VALUE(B3912),Client_List!$A:$A,0)),""))</f>
        <v/>
      </c>
      <c r="H3912" s="32">
        <f>IF(B3912="","",IFERROR(INDEX(Client_List!$J:$J,MATCH(VALUE(B3912),Client_List!$A:$A,0)),""))</f>
        <v/>
      </c>
      <c r="I3912" s="70">
        <f>IF(B3912="","",IFERROR(A3912-LOOKUP(2,1/($B$4:$B3911=B3912),$A$4:$A3911),""))</f>
        <v/>
      </c>
      <c r="J3912" s="32">
        <f>IF(B3912="","",IFERROR(D3912/I3912,""))</f>
        <v/>
      </c>
      <c r="K3912" s="71">
        <f>IF(B3912="","",IFERROR(AVERAGEIFS($J$4:$J3912,$B$4:$B3912,B3912,$J$4:$J3912,"&gt;"&amp;0),""))</f>
        <v/>
      </c>
      <c r="L3912" s="12" t="n"/>
    </row>
    <row r="3913" ht="14" customHeight="1" s="72">
      <c r="A3913" s="82" t="n"/>
      <c r="B3913" s="79" t="n"/>
      <c r="C3913" s="69">
        <f>IF(B3913="","",IFERROR(INDEX(Client_List!$B:$B,MATCH(B3913,Client_List!$A:$A,0)),"⚠ NOT FOUND"))</f>
        <v/>
      </c>
      <c r="D3913" s="44" t="n"/>
      <c r="E3913" s="32">
        <f>IF(B3913="","",IFERROR(INDEX(Client_List!$C:$C,MATCH(VALUE(B3913),Client_List!$A:$A,0)),""))</f>
        <v/>
      </c>
      <c r="F3913" s="53">
        <f>IF(B3913="","",IFERROR(INDEX(Client_List!$D:$D,MATCH(VALUE(B3913),Client_List!$A:$A,0)),""))</f>
        <v/>
      </c>
      <c r="G3913" s="53">
        <f>IF(B3913="","",IFERROR(INDEX(Client_List!$K:$K,MATCH(VALUE(B3913),Client_List!$A:$A,0)),""))</f>
        <v/>
      </c>
      <c r="H3913" s="32">
        <f>IF(B3913="","",IFERROR(INDEX(Client_List!$J:$J,MATCH(VALUE(B3913),Client_List!$A:$A,0)),""))</f>
        <v/>
      </c>
      <c r="I3913" s="70">
        <f>IF(B3913="","",IFERROR(A3913-LOOKUP(2,1/($B$4:$B3912=B3913),$A$4:$A3912),""))</f>
        <v/>
      </c>
      <c r="J3913" s="32">
        <f>IF(B3913="","",IFERROR(D3913/I3913,""))</f>
        <v/>
      </c>
      <c r="K3913" s="71">
        <f>IF(B3913="","",IFERROR(AVERAGEIFS($J$4:$J3913,$B$4:$B3913,B3913,$J$4:$J3913,"&gt;"&amp;0),""))</f>
        <v/>
      </c>
      <c r="L3913" s="11" t="n"/>
    </row>
    <row r="3914" ht="14" customHeight="1" s="72">
      <c r="A3914" s="83" t="n"/>
      <c r="B3914" s="81" t="n"/>
      <c r="C3914" s="69">
        <f>IF(B3914="","",IFERROR(INDEX(Client_List!$B:$B,MATCH(B3914,Client_List!$A:$A,0)),"⚠ NOT FOUND"))</f>
        <v/>
      </c>
      <c r="D3914" s="45" t="n"/>
      <c r="E3914" s="32">
        <f>IF(B3914="","",IFERROR(INDEX(Client_List!$C:$C,MATCH(VALUE(B3914),Client_List!$A:$A,0)),""))</f>
        <v/>
      </c>
      <c r="F3914" s="53">
        <f>IF(B3914="","",IFERROR(INDEX(Client_List!$D:$D,MATCH(VALUE(B3914),Client_List!$A:$A,0)),""))</f>
        <v/>
      </c>
      <c r="G3914" s="53">
        <f>IF(B3914="","",IFERROR(INDEX(Client_List!$K:$K,MATCH(VALUE(B3914),Client_List!$A:$A,0)),""))</f>
        <v/>
      </c>
      <c r="H3914" s="32">
        <f>IF(B3914="","",IFERROR(INDEX(Client_List!$J:$J,MATCH(VALUE(B3914),Client_List!$A:$A,0)),""))</f>
        <v/>
      </c>
      <c r="I3914" s="70">
        <f>IF(B3914="","",IFERROR(A3914-LOOKUP(2,1/($B$4:$B3913=B3914),$A$4:$A3913),""))</f>
        <v/>
      </c>
      <c r="J3914" s="32">
        <f>IF(B3914="","",IFERROR(D3914/I3914,""))</f>
        <v/>
      </c>
      <c r="K3914" s="71">
        <f>IF(B3914="","",IFERROR(AVERAGEIFS($J$4:$J3914,$B$4:$B3914,B3914,$J$4:$J3914,"&gt;"&amp;0),""))</f>
        <v/>
      </c>
      <c r="L3914" s="12" t="n"/>
    </row>
    <row r="3915" ht="14" customHeight="1" s="72">
      <c r="A3915" s="82" t="n"/>
      <c r="B3915" s="79" t="n"/>
      <c r="C3915" s="69">
        <f>IF(B3915="","",IFERROR(INDEX(Client_List!$B:$B,MATCH(B3915,Client_List!$A:$A,0)),"⚠ NOT FOUND"))</f>
        <v/>
      </c>
      <c r="D3915" s="44" t="n"/>
      <c r="E3915" s="32">
        <f>IF(B3915="","",IFERROR(INDEX(Client_List!$C:$C,MATCH(VALUE(B3915),Client_List!$A:$A,0)),""))</f>
        <v/>
      </c>
      <c r="F3915" s="53">
        <f>IF(B3915="","",IFERROR(INDEX(Client_List!$D:$D,MATCH(VALUE(B3915),Client_List!$A:$A,0)),""))</f>
        <v/>
      </c>
      <c r="G3915" s="53">
        <f>IF(B3915="","",IFERROR(INDEX(Client_List!$K:$K,MATCH(VALUE(B3915),Client_List!$A:$A,0)),""))</f>
        <v/>
      </c>
      <c r="H3915" s="32">
        <f>IF(B3915="","",IFERROR(INDEX(Client_List!$J:$J,MATCH(VALUE(B3915),Client_List!$A:$A,0)),""))</f>
        <v/>
      </c>
      <c r="I3915" s="70">
        <f>IF(B3915="","",IFERROR(A3915-LOOKUP(2,1/($B$4:$B3914=B3915),$A$4:$A3914),""))</f>
        <v/>
      </c>
      <c r="J3915" s="32">
        <f>IF(B3915="","",IFERROR(D3915/I3915,""))</f>
        <v/>
      </c>
      <c r="K3915" s="71">
        <f>IF(B3915="","",IFERROR(AVERAGEIFS($J$4:$J3915,$B$4:$B3915,B3915,$J$4:$J3915,"&gt;"&amp;0),""))</f>
        <v/>
      </c>
      <c r="L3915" s="11" t="n"/>
    </row>
    <row r="3916" ht="14" customHeight="1" s="72">
      <c r="A3916" s="83" t="n"/>
      <c r="B3916" s="81" t="n"/>
      <c r="C3916" s="69">
        <f>IF(B3916="","",IFERROR(INDEX(Client_List!$B:$B,MATCH(B3916,Client_List!$A:$A,0)),"⚠ NOT FOUND"))</f>
        <v/>
      </c>
      <c r="D3916" s="45" t="n"/>
      <c r="E3916" s="32">
        <f>IF(B3916="","",IFERROR(INDEX(Client_List!$C:$C,MATCH(VALUE(B3916),Client_List!$A:$A,0)),""))</f>
        <v/>
      </c>
      <c r="F3916" s="53">
        <f>IF(B3916="","",IFERROR(INDEX(Client_List!$D:$D,MATCH(VALUE(B3916),Client_List!$A:$A,0)),""))</f>
        <v/>
      </c>
      <c r="G3916" s="53">
        <f>IF(B3916="","",IFERROR(INDEX(Client_List!$K:$K,MATCH(VALUE(B3916),Client_List!$A:$A,0)),""))</f>
        <v/>
      </c>
      <c r="H3916" s="32">
        <f>IF(B3916="","",IFERROR(INDEX(Client_List!$J:$J,MATCH(VALUE(B3916),Client_List!$A:$A,0)),""))</f>
        <v/>
      </c>
      <c r="I3916" s="70">
        <f>IF(B3916="","",IFERROR(A3916-LOOKUP(2,1/($B$4:$B3915=B3916),$A$4:$A3915),""))</f>
        <v/>
      </c>
      <c r="J3916" s="32">
        <f>IF(B3916="","",IFERROR(D3916/I3916,""))</f>
        <v/>
      </c>
      <c r="K3916" s="71">
        <f>IF(B3916="","",IFERROR(AVERAGEIFS($J$4:$J3916,$B$4:$B3916,B3916,$J$4:$J3916,"&gt;"&amp;0),""))</f>
        <v/>
      </c>
      <c r="L3916" s="12" t="n"/>
    </row>
    <row r="3917" ht="14" customHeight="1" s="72">
      <c r="A3917" s="82" t="n"/>
      <c r="B3917" s="79" t="n"/>
      <c r="C3917" s="69">
        <f>IF(B3917="","",IFERROR(INDEX(Client_List!$B:$B,MATCH(B3917,Client_List!$A:$A,0)),"⚠ NOT FOUND"))</f>
        <v/>
      </c>
      <c r="D3917" s="44" t="n"/>
      <c r="E3917" s="32">
        <f>IF(B3917="","",IFERROR(INDEX(Client_List!$C:$C,MATCH(VALUE(B3917),Client_List!$A:$A,0)),""))</f>
        <v/>
      </c>
      <c r="F3917" s="53">
        <f>IF(B3917="","",IFERROR(INDEX(Client_List!$D:$D,MATCH(VALUE(B3917),Client_List!$A:$A,0)),""))</f>
        <v/>
      </c>
      <c r="G3917" s="53">
        <f>IF(B3917="","",IFERROR(INDEX(Client_List!$K:$K,MATCH(VALUE(B3917),Client_List!$A:$A,0)),""))</f>
        <v/>
      </c>
      <c r="H3917" s="32">
        <f>IF(B3917="","",IFERROR(INDEX(Client_List!$J:$J,MATCH(VALUE(B3917),Client_List!$A:$A,0)),""))</f>
        <v/>
      </c>
      <c r="I3917" s="70">
        <f>IF(B3917="","",IFERROR(A3917-LOOKUP(2,1/($B$4:$B3916=B3917),$A$4:$A3916),""))</f>
        <v/>
      </c>
      <c r="J3917" s="32">
        <f>IF(B3917="","",IFERROR(D3917/I3917,""))</f>
        <v/>
      </c>
      <c r="K3917" s="71">
        <f>IF(B3917="","",IFERROR(AVERAGEIFS($J$4:$J3917,$B$4:$B3917,B3917,$J$4:$J3917,"&gt;"&amp;0),""))</f>
        <v/>
      </c>
      <c r="L3917" s="11" t="n"/>
    </row>
    <row r="3918" ht="14" customHeight="1" s="72">
      <c r="A3918" s="83" t="n"/>
      <c r="B3918" s="81" t="n"/>
      <c r="C3918" s="69">
        <f>IF(B3918="","",IFERROR(INDEX(Client_List!$B:$B,MATCH(B3918,Client_List!$A:$A,0)),"⚠ NOT FOUND"))</f>
        <v/>
      </c>
      <c r="D3918" s="45" t="n"/>
      <c r="E3918" s="32">
        <f>IF(B3918="","",IFERROR(INDEX(Client_List!$C:$C,MATCH(VALUE(B3918),Client_List!$A:$A,0)),""))</f>
        <v/>
      </c>
      <c r="F3918" s="53">
        <f>IF(B3918="","",IFERROR(INDEX(Client_List!$D:$D,MATCH(VALUE(B3918),Client_List!$A:$A,0)),""))</f>
        <v/>
      </c>
      <c r="G3918" s="53">
        <f>IF(B3918="","",IFERROR(INDEX(Client_List!$K:$K,MATCH(VALUE(B3918),Client_List!$A:$A,0)),""))</f>
        <v/>
      </c>
      <c r="H3918" s="32">
        <f>IF(B3918="","",IFERROR(INDEX(Client_List!$J:$J,MATCH(VALUE(B3918),Client_List!$A:$A,0)),""))</f>
        <v/>
      </c>
      <c r="I3918" s="70">
        <f>IF(B3918="","",IFERROR(A3918-LOOKUP(2,1/($B$4:$B3917=B3918),$A$4:$A3917),""))</f>
        <v/>
      </c>
      <c r="J3918" s="32">
        <f>IF(B3918="","",IFERROR(D3918/I3918,""))</f>
        <v/>
      </c>
      <c r="K3918" s="71">
        <f>IF(B3918="","",IFERROR(AVERAGEIFS($J$4:$J3918,$B$4:$B3918,B3918,$J$4:$J3918,"&gt;"&amp;0),""))</f>
        <v/>
      </c>
      <c r="L3918" s="12" t="n"/>
    </row>
    <row r="3919" ht="14" customHeight="1" s="72">
      <c r="A3919" s="82" t="n"/>
      <c r="B3919" s="79" t="n"/>
      <c r="C3919" s="69">
        <f>IF(B3919="","",IFERROR(INDEX(Client_List!$B:$B,MATCH(B3919,Client_List!$A:$A,0)),"⚠ NOT FOUND"))</f>
        <v/>
      </c>
      <c r="D3919" s="44" t="n"/>
      <c r="E3919" s="32">
        <f>IF(B3919="","",IFERROR(INDEX(Client_List!$C:$C,MATCH(VALUE(B3919),Client_List!$A:$A,0)),""))</f>
        <v/>
      </c>
      <c r="F3919" s="53">
        <f>IF(B3919="","",IFERROR(INDEX(Client_List!$D:$D,MATCH(VALUE(B3919),Client_List!$A:$A,0)),""))</f>
        <v/>
      </c>
      <c r="G3919" s="53">
        <f>IF(B3919="","",IFERROR(INDEX(Client_List!$K:$K,MATCH(VALUE(B3919),Client_List!$A:$A,0)),""))</f>
        <v/>
      </c>
      <c r="H3919" s="32">
        <f>IF(B3919="","",IFERROR(INDEX(Client_List!$J:$J,MATCH(VALUE(B3919),Client_List!$A:$A,0)),""))</f>
        <v/>
      </c>
      <c r="I3919" s="70">
        <f>IF(B3919="","",IFERROR(A3919-LOOKUP(2,1/($B$4:$B3918=B3919),$A$4:$A3918),""))</f>
        <v/>
      </c>
      <c r="J3919" s="32">
        <f>IF(B3919="","",IFERROR(D3919/I3919,""))</f>
        <v/>
      </c>
      <c r="K3919" s="71">
        <f>IF(B3919="","",IFERROR(AVERAGEIFS($J$4:$J3919,$B$4:$B3919,B3919,$J$4:$J3919,"&gt;"&amp;0),""))</f>
        <v/>
      </c>
      <c r="L3919" s="11" t="n"/>
    </row>
    <row r="3920" ht="14" customHeight="1" s="72">
      <c r="A3920" s="83" t="n"/>
      <c r="B3920" s="81" t="n"/>
      <c r="C3920" s="69">
        <f>IF(B3920="","",IFERROR(INDEX(Client_List!$B:$B,MATCH(B3920,Client_List!$A:$A,0)),"⚠ NOT FOUND"))</f>
        <v/>
      </c>
      <c r="D3920" s="45" t="n"/>
      <c r="E3920" s="32">
        <f>IF(B3920="","",IFERROR(INDEX(Client_List!$C:$C,MATCH(VALUE(B3920),Client_List!$A:$A,0)),""))</f>
        <v/>
      </c>
      <c r="F3920" s="53">
        <f>IF(B3920="","",IFERROR(INDEX(Client_List!$D:$D,MATCH(VALUE(B3920),Client_List!$A:$A,0)),""))</f>
        <v/>
      </c>
      <c r="G3920" s="53">
        <f>IF(B3920="","",IFERROR(INDEX(Client_List!$K:$K,MATCH(VALUE(B3920),Client_List!$A:$A,0)),""))</f>
        <v/>
      </c>
      <c r="H3920" s="32">
        <f>IF(B3920="","",IFERROR(INDEX(Client_List!$J:$J,MATCH(VALUE(B3920),Client_List!$A:$A,0)),""))</f>
        <v/>
      </c>
      <c r="I3920" s="70">
        <f>IF(B3920="","",IFERROR(A3920-LOOKUP(2,1/($B$4:$B3919=B3920),$A$4:$A3919),""))</f>
        <v/>
      </c>
      <c r="J3920" s="32">
        <f>IF(B3920="","",IFERROR(D3920/I3920,""))</f>
        <v/>
      </c>
      <c r="K3920" s="71">
        <f>IF(B3920="","",IFERROR(AVERAGEIFS($J$4:$J3920,$B$4:$B3920,B3920,$J$4:$J3920,"&gt;"&amp;0),""))</f>
        <v/>
      </c>
      <c r="L3920" s="12" t="n"/>
    </row>
    <row r="3921" ht="14" customHeight="1" s="72">
      <c r="A3921" s="82" t="n"/>
      <c r="B3921" s="79" t="n"/>
      <c r="C3921" s="69">
        <f>IF(B3921="","",IFERROR(INDEX(Client_List!$B:$B,MATCH(B3921,Client_List!$A:$A,0)),"⚠ NOT FOUND"))</f>
        <v/>
      </c>
      <c r="D3921" s="44" t="n"/>
      <c r="E3921" s="32">
        <f>IF(B3921="","",IFERROR(INDEX(Client_List!$C:$C,MATCH(VALUE(B3921),Client_List!$A:$A,0)),""))</f>
        <v/>
      </c>
      <c r="F3921" s="53">
        <f>IF(B3921="","",IFERROR(INDEX(Client_List!$D:$D,MATCH(VALUE(B3921),Client_List!$A:$A,0)),""))</f>
        <v/>
      </c>
      <c r="G3921" s="53">
        <f>IF(B3921="","",IFERROR(INDEX(Client_List!$K:$K,MATCH(VALUE(B3921),Client_List!$A:$A,0)),""))</f>
        <v/>
      </c>
      <c r="H3921" s="32">
        <f>IF(B3921="","",IFERROR(INDEX(Client_List!$J:$J,MATCH(VALUE(B3921),Client_List!$A:$A,0)),""))</f>
        <v/>
      </c>
      <c r="I3921" s="70">
        <f>IF(B3921="","",IFERROR(A3921-LOOKUP(2,1/($B$4:$B3920=B3921),$A$4:$A3920),""))</f>
        <v/>
      </c>
      <c r="J3921" s="32">
        <f>IF(B3921="","",IFERROR(D3921/I3921,""))</f>
        <v/>
      </c>
      <c r="K3921" s="71">
        <f>IF(B3921="","",IFERROR(AVERAGEIFS($J$4:$J3921,$B$4:$B3921,B3921,$J$4:$J3921,"&gt;"&amp;0),""))</f>
        <v/>
      </c>
      <c r="L3921" s="11" t="n"/>
    </row>
    <row r="3922" ht="14" customHeight="1" s="72">
      <c r="A3922" s="83" t="n"/>
      <c r="B3922" s="81" t="n"/>
      <c r="C3922" s="69">
        <f>IF(B3922="","",IFERROR(INDEX(Client_List!$B:$B,MATCH(B3922,Client_List!$A:$A,0)),"⚠ NOT FOUND"))</f>
        <v/>
      </c>
      <c r="D3922" s="45" t="n"/>
      <c r="E3922" s="32">
        <f>IF(B3922="","",IFERROR(INDEX(Client_List!$C:$C,MATCH(VALUE(B3922),Client_List!$A:$A,0)),""))</f>
        <v/>
      </c>
      <c r="F3922" s="53">
        <f>IF(B3922="","",IFERROR(INDEX(Client_List!$D:$D,MATCH(VALUE(B3922),Client_List!$A:$A,0)),""))</f>
        <v/>
      </c>
      <c r="G3922" s="53">
        <f>IF(B3922="","",IFERROR(INDEX(Client_List!$K:$K,MATCH(VALUE(B3922),Client_List!$A:$A,0)),""))</f>
        <v/>
      </c>
      <c r="H3922" s="32">
        <f>IF(B3922="","",IFERROR(INDEX(Client_List!$J:$J,MATCH(VALUE(B3922),Client_List!$A:$A,0)),""))</f>
        <v/>
      </c>
      <c r="I3922" s="70">
        <f>IF(B3922="","",IFERROR(A3922-LOOKUP(2,1/($B$4:$B3921=B3922),$A$4:$A3921),""))</f>
        <v/>
      </c>
      <c r="J3922" s="32">
        <f>IF(B3922="","",IFERROR(D3922/I3922,""))</f>
        <v/>
      </c>
      <c r="K3922" s="71">
        <f>IF(B3922="","",IFERROR(AVERAGEIFS($J$4:$J3922,$B$4:$B3922,B3922,$J$4:$J3922,"&gt;"&amp;0),""))</f>
        <v/>
      </c>
      <c r="L3922" s="12" t="n"/>
    </row>
    <row r="3923" ht="14" customHeight="1" s="72">
      <c r="A3923" s="82" t="n"/>
      <c r="B3923" s="79" t="n"/>
      <c r="C3923" s="69">
        <f>IF(B3923="","",IFERROR(INDEX(Client_List!$B:$B,MATCH(B3923,Client_List!$A:$A,0)),"⚠ NOT FOUND"))</f>
        <v/>
      </c>
      <c r="D3923" s="44" t="n"/>
      <c r="E3923" s="32">
        <f>IF(B3923="","",IFERROR(INDEX(Client_List!$C:$C,MATCH(VALUE(B3923),Client_List!$A:$A,0)),""))</f>
        <v/>
      </c>
      <c r="F3923" s="53">
        <f>IF(B3923="","",IFERROR(INDEX(Client_List!$D:$D,MATCH(VALUE(B3923),Client_List!$A:$A,0)),""))</f>
        <v/>
      </c>
      <c r="G3923" s="53">
        <f>IF(B3923="","",IFERROR(INDEX(Client_List!$K:$K,MATCH(VALUE(B3923),Client_List!$A:$A,0)),""))</f>
        <v/>
      </c>
      <c r="H3923" s="32">
        <f>IF(B3923="","",IFERROR(INDEX(Client_List!$J:$J,MATCH(VALUE(B3923),Client_List!$A:$A,0)),""))</f>
        <v/>
      </c>
      <c r="I3923" s="70">
        <f>IF(B3923="","",IFERROR(A3923-LOOKUP(2,1/($B$4:$B3922=B3923),$A$4:$A3922),""))</f>
        <v/>
      </c>
      <c r="J3923" s="32">
        <f>IF(B3923="","",IFERROR(D3923/I3923,""))</f>
        <v/>
      </c>
      <c r="K3923" s="71">
        <f>IF(B3923="","",IFERROR(AVERAGEIFS($J$4:$J3923,$B$4:$B3923,B3923,$J$4:$J3923,"&gt;"&amp;0),""))</f>
        <v/>
      </c>
      <c r="L3923" s="11" t="n"/>
    </row>
    <row r="3924" ht="14" customHeight="1" s="72">
      <c r="A3924" s="83" t="n"/>
      <c r="B3924" s="81" t="n"/>
      <c r="C3924" s="69">
        <f>IF(B3924="","",IFERROR(INDEX(Client_List!$B:$B,MATCH(B3924,Client_List!$A:$A,0)),"⚠ NOT FOUND"))</f>
        <v/>
      </c>
      <c r="D3924" s="45" t="n"/>
      <c r="E3924" s="32">
        <f>IF(B3924="","",IFERROR(INDEX(Client_List!$C:$C,MATCH(VALUE(B3924),Client_List!$A:$A,0)),""))</f>
        <v/>
      </c>
      <c r="F3924" s="53">
        <f>IF(B3924="","",IFERROR(INDEX(Client_List!$D:$D,MATCH(VALUE(B3924),Client_List!$A:$A,0)),""))</f>
        <v/>
      </c>
      <c r="G3924" s="53">
        <f>IF(B3924="","",IFERROR(INDEX(Client_List!$K:$K,MATCH(VALUE(B3924),Client_List!$A:$A,0)),""))</f>
        <v/>
      </c>
      <c r="H3924" s="32">
        <f>IF(B3924="","",IFERROR(INDEX(Client_List!$J:$J,MATCH(VALUE(B3924),Client_List!$A:$A,0)),""))</f>
        <v/>
      </c>
      <c r="I3924" s="70">
        <f>IF(B3924="","",IFERROR(A3924-LOOKUP(2,1/($B$4:$B3923=B3924),$A$4:$A3923),""))</f>
        <v/>
      </c>
      <c r="J3924" s="32">
        <f>IF(B3924="","",IFERROR(D3924/I3924,""))</f>
        <v/>
      </c>
      <c r="K3924" s="71">
        <f>IF(B3924="","",IFERROR(AVERAGEIFS($J$4:$J3924,$B$4:$B3924,B3924,$J$4:$J3924,"&gt;"&amp;0),""))</f>
        <v/>
      </c>
      <c r="L3924" s="12" t="n"/>
    </row>
    <row r="3925" ht="14" customHeight="1" s="72">
      <c r="A3925" s="82" t="n"/>
      <c r="B3925" s="79" t="n"/>
      <c r="C3925" s="69">
        <f>IF(B3925="","",IFERROR(INDEX(Client_List!$B:$B,MATCH(B3925,Client_List!$A:$A,0)),"⚠ NOT FOUND"))</f>
        <v/>
      </c>
      <c r="D3925" s="44" t="n"/>
      <c r="E3925" s="32">
        <f>IF(B3925="","",IFERROR(INDEX(Client_List!$C:$C,MATCH(VALUE(B3925),Client_List!$A:$A,0)),""))</f>
        <v/>
      </c>
      <c r="F3925" s="53">
        <f>IF(B3925="","",IFERROR(INDEX(Client_List!$D:$D,MATCH(VALUE(B3925),Client_List!$A:$A,0)),""))</f>
        <v/>
      </c>
      <c r="G3925" s="53">
        <f>IF(B3925="","",IFERROR(INDEX(Client_List!$K:$K,MATCH(VALUE(B3925),Client_List!$A:$A,0)),""))</f>
        <v/>
      </c>
      <c r="H3925" s="32">
        <f>IF(B3925="","",IFERROR(INDEX(Client_List!$J:$J,MATCH(VALUE(B3925),Client_List!$A:$A,0)),""))</f>
        <v/>
      </c>
      <c r="I3925" s="70">
        <f>IF(B3925="","",IFERROR(A3925-LOOKUP(2,1/($B$4:$B3924=B3925),$A$4:$A3924),""))</f>
        <v/>
      </c>
      <c r="J3925" s="32">
        <f>IF(B3925="","",IFERROR(D3925/I3925,""))</f>
        <v/>
      </c>
      <c r="K3925" s="71">
        <f>IF(B3925="","",IFERROR(AVERAGEIFS($J$4:$J3925,$B$4:$B3925,B3925,$J$4:$J3925,"&gt;"&amp;0),""))</f>
        <v/>
      </c>
      <c r="L3925" s="11" t="n"/>
    </row>
    <row r="3926" ht="14" customHeight="1" s="72">
      <c r="A3926" s="83" t="n"/>
      <c r="B3926" s="81" t="n"/>
      <c r="C3926" s="69">
        <f>IF(B3926="","",IFERROR(INDEX(Client_List!$B:$B,MATCH(B3926,Client_List!$A:$A,0)),"⚠ NOT FOUND"))</f>
        <v/>
      </c>
      <c r="D3926" s="45" t="n"/>
      <c r="E3926" s="32">
        <f>IF(B3926="","",IFERROR(INDEX(Client_List!$C:$C,MATCH(VALUE(B3926),Client_List!$A:$A,0)),""))</f>
        <v/>
      </c>
      <c r="F3926" s="53">
        <f>IF(B3926="","",IFERROR(INDEX(Client_List!$D:$D,MATCH(VALUE(B3926),Client_List!$A:$A,0)),""))</f>
        <v/>
      </c>
      <c r="G3926" s="53">
        <f>IF(B3926="","",IFERROR(INDEX(Client_List!$K:$K,MATCH(VALUE(B3926),Client_List!$A:$A,0)),""))</f>
        <v/>
      </c>
      <c r="H3926" s="32">
        <f>IF(B3926="","",IFERROR(INDEX(Client_List!$J:$J,MATCH(VALUE(B3926),Client_List!$A:$A,0)),""))</f>
        <v/>
      </c>
      <c r="I3926" s="70">
        <f>IF(B3926="","",IFERROR(A3926-LOOKUP(2,1/($B$4:$B3925=B3926),$A$4:$A3925),""))</f>
        <v/>
      </c>
      <c r="J3926" s="32">
        <f>IF(B3926="","",IFERROR(D3926/I3926,""))</f>
        <v/>
      </c>
      <c r="K3926" s="71">
        <f>IF(B3926="","",IFERROR(AVERAGEIFS($J$4:$J3926,$B$4:$B3926,B3926,$J$4:$J3926,"&gt;"&amp;0),""))</f>
        <v/>
      </c>
      <c r="L3926" s="12" t="n"/>
    </row>
    <row r="3927" ht="14" customHeight="1" s="72">
      <c r="A3927" s="82" t="n"/>
      <c r="B3927" s="79" t="n"/>
      <c r="C3927" s="69">
        <f>IF(B3927="","",IFERROR(INDEX(Client_List!$B:$B,MATCH(B3927,Client_List!$A:$A,0)),"⚠ NOT FOUND"))</f>
        <v/>
      </c>
      <c r="D3927" s="44" t="n"/>
      <c r="E3927" s="32">
        <f>IF(B3927="","",IFERROR(INDEX(Client_List!$C:$C,MATCH(VALUE(B3927),Client_List!$A:$A,0)),""))</f>
        <v/>
      </c>
      <c r="F3927" s="53">
        <f>IF(B3927="","",IFERROR(INDEX(Client_List!$D:$D,MATCH(VALUE(B3927),Client_List!$A:$A,0)),""))</f>
        <v/>
      </c>
      <c r="G3927" s="53">
        <f>IF(B3927="","",IFERROR(INDEX(Client_List!$K:$K,MATCH(VALUE(B3927),Client_List!$A:$A,0)),""))</f>
        <v/>
      </c>
      <c r="H3927" s="32">
        <f>IF(B3927="","",IFERROR(INDEX(Client_List!$J:$J,MATCH(VALUE(B3927),Client_List!$A:$A,0)),""))</f>
        <v/>
      </c>
      <c r="I3927" s="70">
        <f>IF(B3927="","",IFERROR(A3927-LOOKUP(2,1/($B$4:$B3926=B3927),$A$4:$A3926),""))</f>
        <v/>
      </c>
      <c r="J3927" s="32">
        <f>IF(B3927="","",IFERROR(D3927/I3927,""))</f>
        <v/>
      </c>
      <c r="K3927" s="71">
        <f>IF(B3927="","",IFERROR(AVERAGEIFS($J$4:$J3927,$B$4:$B3927,B3927,$J$4:$J3927,"&gt;"&amp;0),""))</f>
        <v/>
      </c>
      <c r="L3927" s="11" t="n"/>
    </row>
    <row r="3928" ht="14" customHeight="1" s="72">
      <c r="A3928" s="83" t="n"/>
      <c r="B3928" s="81" t="n"/>
      <c r="C3928" s="69">
        <f>IF(B3928="","",IFERROR(INDEX(Client_List!$B:$B,MATCH(B3928,Client_List!$A:$A,0)),"⚠ NOT FOUND"))</f>
        <v/>
      </c>
      <c r="D3928" s="45" t="n"/>
      <c r="E3928" s="32">
        <f>IF(B3928="","",IFERROR(INDEX(Client_List!$C:$C,MATCH(VALUE(B3928),Client_List!$A:$A,0)),""))</f>
        <v/>
      </c>
      <c r="F3928" s="53">
        <f>IF(B3928="","",IFERROR(INDEX(Client_List!$D:$D,MATCH(VALUE(B3928),Client_List!$A:$A,0)),""))</f>
        <v/>
      </c>
      <c r="G3928" s="53">
        <f>IF(B3928="","",IFERROR(INDEX(Client_List!$K:$K,MATCH(VALUE(B3928),Client_List!$A:$A,0)),""))</f>
        <v/>
      </c>
      <c r="H3928" s="32">
        <f>IF(B3928="","",IFERROR(INDEX(Client_List!$J:$J,MATCH(VALUE(B3928),Client_List!$A:$A,0)),""))</f>
        <v/>
      </c>
      <c r="I3928" s="70">
        <f>IF(B3928="","",IFERROR(A3928-LOOKUP(2,1/($B$4:$B3927=B3928),$A$4:$A3927),""))</f>
        <v/>
      </c>
      <c r="J3928" s="32">
        <f>IF(B3928="","",IFERROR(D3928/I3928,""))</f>
        <v/>
      </c>
      <c r="K3928" s="71">
        <f>IF(B3928="","",IFERROR(AVERAGEIFS($J$4:$J3928,$B$4:$B3928,B3928,$J$4:$J3928,"&gt;"&amp;0),""))</f>
        <v/>
      </c>
      <c r="L3928" s="12" t="n"/>
    </row>
    <row r="3929" ht="14" customHeight="1" s="72">
      <c r="A3929" s="82" t="n"/>
      <c r="B3929" s="79" t="n"/>
      <c r="C3929" s="69">
        <f>IF(B3929="","",IFERROR(INDEX(Client_List!$B:$B,MATCH(B3929,Client_List!$A:$A,0)),"⚠ NOT FOUND"))</f>
        <v/>
      </c>
      <c r="D3929" s="44" t="n"/>
      <c r="E3929" s="32">
        <f>IF(B3929="","",IFERROR(INDEX(Client_List!$C:$C,MATCH(VALUE(B3929),Client_List!$A:$A,0)),""))</f>
        <v/>
      </c>
      <c r="F3929" s="53">
        <f>IF(B3929="","",IFERROR(INDEX(Client_List!$D:$D,MATCH(VALUE(B3929),Client_List!$A:$A,0)),""))</f>
        <v/>
      </c>
      <c r="G3929" s="53">
        <f>IF(B3929="","",IFERROR(INDEX(Client_List!$K:$K,MATCH(VALUE(B3929),Client_List!$A:$A,0)),""))</f>
        <v/>
      </c>
      <c r="H3929" s="32">
        <f>IF(B3929="","",IFERROR(INDEX(Client_List!$J:$J,MATCH(VALUE(B3929),Client_List!$A:$A,0)),""))</f>
        <v/>
      </c>
      <c r="I3929" s="70">
        <f>IF(B3929="","",IFERROR(A3929-LOOKUP(2,1/($B$4:$B3928=B3929),$A$4:$A3928),""))</f>
        <v/>
      </c>
      <c r="J3929" s="32">
        <f>IF(B3929="","",IFERROR(D3929/I3929,""))</f>
        <v/>
      </c>
      <c r="K3929" s="71">
        <f>IF(B3929="","",IFERROR(AVERAGEIFS($J$4:$J3929,$B$4:$B3929,B3929,$J$4:$J3929,"&gt;"&amp;0),""))</f>
        <v/>
      </c>
      <c r="L3929" s="11" t="n"/>
    </row>
    <row r="3930" ht="14" customHeight="1" s="72">
      <c r="A3930" s="83" t="n"/>
      <c r="B3930" s="81" t="n"/>
      <c r="C3930" s="69">
        <f>IF(B3930="","",IFERROR(INDEX(Client_List!$B:$B,MATCH(B3930,Client_List!$A:$A,0)),"⚠ NOT FOUND"))</f>
        <v/>
      </c>
      <c r="D3930" s="45" t="n"/>
      <c r="E3930" s="32">
        <f>IF(B3930="","",IFERROR(INDEX(Client_List!$C:$C,MATCH(VALUE(B3930),Client_List!$A:$A,0)),""))</f>
        <v/>
      </c>
      <c r="F3930" s="53">
        <f>IF(B3930="","",IFERROR(INDEX(Client_List!$D:$D,MATCH(VALUE(B3930),Client_List!$A:$A,0)),""))</f>
        <v/>
      </c>
      <c r="G3930" s="53">
        <f>IF(B3930="","",IFERROR(INDEX(Client_List!$K:$K,MATCH(VALUE(B3930),Client_List!$A:$A,0)),""))</f>
        <v/>
      </c>
      <c r="H3930" s="32">
        <f>IF(B3930="","",IFERROR(INDEX(Client_List!$J:$J,MATCH(VALUE(B3930),Client_List!$A:$A,0)),""))</f>
        <v/>
      </c>
      <c r="I3930" s="70">
        <f>IF(B3930="","",IFERROR(A3930-LOOKUP(2,1/($B$4:$B3929=B3930),$A$4:$A3929),""))</f>
        <v/>
      </c>
      <c r="J3930" s="32">
        <f>IF(B3930="","",IFERROR(D3930/I3930,""))</f>
        <v/>
      </c>
      <c r="K3930" s="71">
        <f>IF(B3930="","",IFERROR(AVERAGEIFS($J$4:$J3930,$B$4:$B3930,B3930,$J$4:$J3930,"&gt;"&amp;0),""))</f>
        <v/>
      </c>
      <c r="L3930" s="12" t="n"/>
    </row>
    <row r="3931" ht="14" customHeight="1" s="72">
      <c r="A3931" s="82" t="n"/>
      <c r="B3931" s="79" t="n"/>
      <c r="C3931" s="69">
        <f>IF(B3931="","",IFERROR(INDEX(Client_List!$B:$B,MATCH(B3931,Client_List!$A:$A,0)),"⚠ NOT FOUND"))</f>
        <v/>
      </c>
      <c r="D3931" s="44" t="n"/>
      <c r="E3931" s="32">
        <f>IF(B3931="","",IFERROR(INDEX(Client_List!$C:$C,MATCH(VALUE(B3931),Client_List!$A:$A,0)),""))</f>
        <v/>
      </c>
      <c r="F3931" s="53">
        <f>IF(B3931="","",IFERROR(INDEX(Client_List!$D:$D,MATCH(VALUE(B3931),Client_List!$A:$A,0)),""))</f>
        <v/>
      </c>
      <c r="G3931" s="53">
        <f>IF(B3931="","",IFERROR(INDEX(Client_List!$K:$K,MATCH(VALUE(B3931),Client_List!$A:$A,0)),""))</f>
        <v/>
      </c>
      <c r="H3931" s="32">
        <f>IF(B3931="","",IFERROR(INDEX(Client_List!$J:$J,MATCH(VALUE(B3931),Client_List!$A:$A,0)),""))</f>
        <v/>
      </c>
      <c r="I3931" s="70">
        <f>IF(B3931="","",IFERROR(A3931-LOOKUP(2,1/($B$4:$B3930=B3931),$A$4:$A3930),""))</f>
        <v/>
      </c>
      <c r="J3931" s="32">
        <f>IF(B3931="","",IFERROR(D3931/I3931,""))</f>
        <v/>
      </c>
      <c r="K3931" s="71">
        <f>IF(B3931="","",IFERROR(AVERAGEIFS($J$4:$J3931,$B$4:$B3931,B3931,$J$4:$J3931,"&gt;"&amp;0),""))</f>
        <v/>
      </c>
      <c r="L3931" s="11" t="n"/>
    </row>
    <row r="3932" ht="14" customHeight="1" s="72">
      <c r="A3932" s="83" t="n"/>
      <c r="B3932" s="81" t="n"/>
      <c r="C3932" s="69">
        <f>IF(B3932="","",IFERROR(INDEX(Client_List!$B:$B,MATCH(B3932,Client_List!$A:$A,0)),"⚠ NOT FOUND"))</f>
        <v/>
      </c>
      <c r="D3932" s="45" t="n"/>
      <c r="E3932" s="32">
        <f>IF(B3932="","",IFERROR(INDEX(Client_List!$C:$C,MATCH(VALUE(B3932),Client_List!$A:$A,0)),""))</f>
        <v/>
      </c>
      <c r="F3932" s="53">
        <f>IF(B3932="","",IFERROR(INDEX(Client_List!$D:$D,MATCH(VALUE(B3932),Client_List!$A:$A,0)),""))</f>
        <v/>
      </c>
      <c r="G3932" s="53">
        <f>IF(B3932="","",IFERROR(INDEX(Client_List!$K:$K,MATCH(VALUE(B3932),Client_List!$A:$A,0)),""))</f>
        <v/>
      </c>
      <c r="H3932" s="32">
        <f>IF(B3932="","",IFERROR(INDEX(Client_List!$J:$J,MATCH(VALUE(B3932),Client_List!$A:$A,0)),""))</f>
        <v/>
      </c>
      <c r="I3932" s="70">
        <f>IF(B3932="","",IFERROR(A3932-LOOKUP(2,1/($B$4:$B3931=B3932),$A$4:$A3931),""))</f>
        <v/>
      </c>
      <c r="J3932" s="32">
        <f>IF(B3932="","",IFERROR(D3932/I3932,""))</f>
        <v/>
      </c>
      <c r="K3932" s="71">
        <f>IF(B3932="","",IFERROR(AVERAGEIFS($J$4:$J3932,$B$4:$B3932,B3932,$J$4:$J3932,"&gt;"&amp;0),""))</f>
        <v/>
      </c>
      <c r="L3932" s="12" t="n"/>
    </row>
    <row r="3933" ht="14" customHeight="1" s="72">
      <c r="A3933" s="82" t="n"/>
      <c r="B3933" s="79" t="n"/>
      <c r="C3933" s="69">
        <f>IF(B3933="","",IFERROR(INDEX(Client_List!$B:$B,MATCH(B3933,Client_List!$A:$A,0)),"⚠ NOT FOUND"))</f>
        <v/>
      </c>
      <c r="D3933" s="44" t="n"/>
      <c r="E3933" s="32">
        <f>IF(B3933="","",IFERROR(INDEX(Client_List!$C:$C,MATCH(VALUE(B3933),Client_List!$A:$A,0)),""))</f>
        <v/>
      </c>
      <c r="F3933" s="53">
        <f>IF(B3933="","",IFERROR(INDEX(Client_List!$D:$D,MATCH(VALUE(B3933),Client_List!$A:$A,0)),""))</f>
        <v/>
      </c>
      <c r="G3933" s="53">
        <f>IF(B3933="","",IFERROR(INDEX(Client_List!$K:$K,MATCH(VALUE(B3933),Client_List!$A:$A,0)),""))</f>
        <v/>
      </c>
      <c r="H3933" s="32">
        <f>IF(B3933="","",IFERROR(INDEX(Client_List!$J:$J,MATCH(VALUE(B3933),Client_List!$A:$A,0)),""))</f>
        <v/>
      </c>
      <c r="I3933" s="70">
        <f>IF(B3933="","",IFERROR(A3933-LOOKUP(2,1/($B$4:$B3932=B3933),$A$4:$A3932),""))</f>
        <v/>
      </c>
      <c r="J3933" s="32">
        <f>IF(B3933="","",IFERROR(D3933/I3933,""))</f>
        <v/>
      </c>
      <c r="K3933" s="71">
        <f>IF(B3933="","",IFERROR(AVERAGEIFS($J$4:$J3933,$B$4:$B3933,B3933,$J$4:$J3933,"&gt;"&amp;0),""))</f>
        <v/>
      </c>
      <c r="L3933" s="11" t="n"/>
    </row>
    <row r="3934" ht="14" customHeight="1" s="72">
      <c r="A3934" s="83" t="n"/>
      <c r="B3934" s="81" t="n"/>
      <c r="C3934" s="69">
        <f>IF(B3934="","",IFERROR(INDEX(Client_List!$B:$B,MATCH(B3934,Client_List!$A:$A,0)),"⚠ NOT FOUND"))</f>
        <v/>
      </c>
      <c r="D3934" s="45" t="n"/>
      <c r="E3934" s="32">
        <f>IF(B3934="","",IFERROR(INDEX(Client_List!$C:$C,MATCH(VALUE(B3934),Client_List!$A:$A,0)),""))</f>
        <v/>
      </c>
      <c r="F3934" s="53">
        <f>IF(B3934="","",IFERROR(INDEX(Client_List!$D:$D,MATCH(VALUE(B3934),Client_List!$A:$A,0)),""))</f>
        <v/>
      </c>
      <c r="G3934" s="53">
        <f>IF(B3934="","",IFERROR(INDEX(Client_List!$K:$K,MATCH(VALUE(B3934),Client_List!$A:$A,0)),""))</f>
        <v/>
      </c>
      <c r="H3934" s="32">
        <f>IF(B3934="","",IFERROR(INDEX(Client_List!$J:$J,MATCH(VALUE(B3934),Client_List!$A:$A,0)),""))</f>
        <v/>
      </c>
      <c r="I3934" s="70">
        <f>IF(B3934="","",IFERROR(A3934-LOOKUP(2,1/($B$4:$B3933=B3934),$A$4:$A3933),""))</f>
        <v/>
      </c>
      <c r="J3934" s="32">
        <f>IF(B3934="","",IFERROR(D3934/I3934,""))</f>
        <v/>
      </c>
      <c r="K3934" s="71">
        <f>IF(B3934="","",IFERROR(AVERAGEIFS($J$4:$J3934,$B$4:$B3934,B3934,$J$4:$J3934,"&gt;"&amp;0),""))</f>
        <v/>
      </c>
      <c r="L3934" s="12" t="n"/>
    </row>
    <row r="3935" ht="14" customHeight="1" s="72">
      <c r="A3935" s="82" t="n"/>
      <c r="B3935" s="79" t="n"/>
      <c r="C3935" s="69">
        <f>IF(B3935="","",IFERROR(INDEX(Client_List!$B:$B,MATCH(B3935,Client_List!$A:$A,0)),"⚠ NOT FOUND"))</f>
        <v/>
      </c>
      <c r="D3935" s="44" t="n"/>
      <c r="E3935" s="32">
        <f>IF(B3935="","",IFERROR(INDEX(Client_List!$C:$C,MATCH(VALUE(B3935),Client_List!$A:$A,0)),""))</f>
        <v/>
      </c>
      <c r="F3935" s="53">
        <f>IF(B3935="","",IFERROR(INDEX(Client_List!$D:$D,MATCH(VALUE(B3935),Client_List!$A:$A,0)),""))</f>
        <v/>
      </c>
      <c r="G3935" s="53">
        <f>IF(B3935="","",IFERROR(INDEX(Client_List!$K:$K,MATCH(VALUE(B3935),Client_List!$A:$A,0)),""))</f>
        <v/>
      </c>
      <c r="H3935" s="32">
        <f>IF(B3935="","",IFERROR(INDEX(Client_List!$J:$J,MATCH(VALUE(B3935),Client_List!$A:$A,0)),""))</f>
        <v/>
      </c>
      <c r="I3935" s="70">
        <f>IF(B3935="","",IFERROR(A3935-LOOKUP(2,1/($B$4:$B3934=B3935),$A$4:$A3934),""))</f>
        <v/>
      </c>
      <c r="J3935" s="32">
        <f>IF(B3935="","",IFERROR(D3935/I3935,""))</f>
        <v/>
      </c>
      <c r="K3935" s="71">
        <f>IF(B3935="","",IFERROR(AVERAGEIFS($J$4:$J3935,$B$4:$B3935,B3935,$J$4:$J3935,"&gt;"&amp;0),""))</f>
        <v/>
      </c>
      <c r="L3935" s="11" t="n"/>
    </row>
    <row r="3936" ht="14" customHeight="1" s="72">
      <c r="A3936" s="83" t="n"/>
      <c r="B3936" s="81" t="n"/>
      <c r="C3936" s="69">
        <f>IF(B3936="","",IFERROR(INDEX(Client_List!$B:$B,MATCH(B3936,Client_List!$A:$A,0)),"⚠ NOT FOUND"))</f>
        <v/>
      </c>
      <c r="D3936" s="45" t="n"/>
      <c r="E3936" s="32">
        <f>IF(B3936="","",IFERROR(INDEX(Client_List!$C:$C,MATCH(VALUE(B3936),Client_List!$A:$A,0)),""))</f>
        <v/>
      </c>
      <c r="F3936" s="53">
        <f>IF(B3936="","",IFERROR(INDEX(Client_List!$D:$D,MATCH(VALUE(B3936),Client_List!$A:$A,0)),""))</f>
        <v/>
      </c>
      <c r="G3936" s="53">
        <f>IF(B3936="","",IFERROR(INDEX(Client_List!$K:$K,MATCH(VALUE(B3936),Client_List!$A:$A,0)),""))</f>
        <v/>
      </c>
      <c r="H3936" s="32">
        <f>IF(B3936="","",IFERROR(INDEX(Client_List!$J:$J,MATCH(VALUE(B3936),Client_List!$A:$A,0)),""))</f>
        <v/>
      </c>
      <c r="I3936" s="70">
        <f>IF(B3936="","",IFERROR(A3936-LOOKUP(2,1/($B$4:$B3935=B3936),$A$4:$A3935),""))</f>
        <v/>
      </c>
      <c r="J3936" s="32">
        <f>IF(B3936="","",IFERROR(D3936/I3936,""))</f>
        <v/>
      </c>
      <c r="K3936" s="71">
        <f>IF(B3936="","",IFERROR(AVERAGEIFS($J$4:$J3936,$B$4:$B3936,B3936,$J$4:$J3936,"&gt;"&amp;0),""))</f>
        <v/>
      </c>
      <c r="L3936" s="12" t="n"/>
    </row>
    <row r="3937" ht="14" customHeight="1" s="72">
      <c r="A3937" s="82" t="n"/>
      <c r="B3937" s="79" t="n"/>
      <c r="C3937" s="69">
        <f>IF(B3937="","",IFERROR(INDEX(Client_List!$B:$B,MATCH(B3937,Client_List!$A:$A,0)),"⚠ NOT FOUND"))</f>
        <v/>
      </c>
      <c r="D3937" s="44" t="n"/>
      <c r="E3937" s="32">
        <f>IF(B3937="","",IFERROR(INDEX(Client_List!$C:$C,MATCH(VALUE(B3937),Client_List!$A:$A,0)),""))</f>
        <v/>
      </c>
      <c r="F3937" s="53">
        <f>IF(B3937="","",IFERROR(INDEX(Client_List!$D:$D,MATCH(VALUE(B3937),Client_List!$A:$A,0)),""))</f>
        <v/>
      </c>
      <c r="G3937" s="53">
        <f>IF(B3937="","",IFERROR(INDEX(Client_List!$K:$K,MATCH(VALUE(B3937),Client_List!$A:$A,0)),""))</f>
        <v/>
      </c>
      <c r="H3937" s="32">
        <f>IF(B3937="","",IFERROR(INDEX(Client_List!$J:$J,MATCH(VALUE(B3937),Client_List!$A:$A,0)),""))</f>
        <v/>
      </c>
      <c r="I3937" s="70">
        <f>IF(B3937="","",IFERROR(A3937-LOOKUP(2,1/($B$4:$B3936=B3937),$A$4:$A3936),""))</f>
        <v/>
      </c>
      <c r="J3937" s="32">
        <f>IF(B3937="","",IFERROR(D3937/I3937,""))</f>
        <v/>
      </c>
      <c r="K3937" s="71">
        <f>IF(B3937="","",IFERROR(AVERAGEIFS($J$4:$J3937,$B$4:$B3937,B3937,$J$4:$J3937,"&gt;"&amp;0),""))</f>
        <v/>
      </c>
      <c r="L3937" s="11" t="n"/>
    </row>
    <row r="3938" ht="14" customHeight="1" s="72">
      <c r="A3938" s="83" t="n"/>
      <c r="B3938" s="81" t="n"/>
      <c r="C3938" s="69">
        <f>IF(B3938="","",IFERROR(INDEX(Client_List!$B:$B,MATCH(B3938,Client_List!$A:$A,0)),"⚠ NOT FOUND"))</f>
        <v/>
      </c>
      <c r="D3938" s="45" t="n"/>
      <c r="E3938" s="32">
        <f>IF(B3938="","",IFERROR(INDEX(Client_List!$C:$C,MATCH(VALUE(B3938),Client_List!$A:$A,0)),""))</f>
        <v/>
      </c>
      <c r="F3938" s="53">
        <f>IF(B3938="","",IFERROR(INDEX(Client_List!$D:$D,MATCH(VALUE(B3938),Client_List!$A:$A,0)),""))</f>
        <v/>
      </c>
      <c r="G3938" s="53">
        <f>IF(B3938="","",IFERROR(INDEX(Client_List!$K:$K,MATCH(VALUE(B3938),Client_List!$A:$A,0)),""))</f>
        <v/>
      </c>
      <c r="H3938" s="32">
        <f>IF(B3938="","",IFERROR(INDEX(Client_List!$J:$J,MATCH(VALUE(B3938),Client_List!$A:$A,0)),""))</f>
        <v/>
      </c>
      <c r="I3938" s="70">
        <f>IF(B3938="","",IFERROR(A3938-LOOKUP(2,1/($B$4:$B3937=B3938),$A$4:$A3937),""))</f>
        <v/>
      </c>
      <c r="J3938" s="32">
        <f>IF(B3938="","",IFERROR(D3938/I3938,""))</f>
        <v/>
      </c>
      <c r="K3938" s="71">
        <f>IF(B3938="","",IFERROR(AVERAGEIFS($J$4:$J3938,$B$4:$B3938,B3938,$J$4:$J3938,"&gt;"&amp;0),""))</f>
        <v/>
      </c>
      <c r="L3938" s="12" t="n"/>
    </row>
    <row r="3939" ht="14" customHeight="1" s="72">
      <c r="A3939" s="82" t="n"/>
      <c r="B3939" s="79" t="n"/>
      <c r="C3939" s="69">
        <f>IF(B3939="","",IFERROR(INDEX(Client_List!$B:$B,MATCH(B3939,Client_List!$A:$A,0)),"⚠ NOT FOUND"))</f>
        <v/>
      </c>
      <c r="D3939" s="44" t="n"/>
      <c r="E3939" s="32">
        <f>IF(B3939="","",IFERROR(INDEX(Client_List!$C:$C,MATCH(VALUE(B3939),Client_List!$A:$A,0)),""))</f>
        <v/>
      </c>
      <c r="F3939" s="53">
        <f>IF(B3939="","",IFERROR(INDEX(Client_List!$D:$D,MATCH(VALUE(B3939),Client_List!$A:$A,0)),""))</f>
        <v/>
      </c>
      <c r="G3939" s="53">
        <f>IF(B3939="","",IFERROR(INDEX(Client_List!$K:$K,MATCH(VALUE(B3939),Client_List!$A:$A,0)),""))</f>
        <v/>
      </c>
      <c r="H3939" s="32">
        <f>IF(B3939="","",IFERROR(INDEX(Client_List!$J:$J,MATCH(VALUE(B3939),Client_List!$A:$A,0)),""))</f>
        <v/>
      </c>
      <c r="I3939" s="70">
        <f>IF(B3939="","",IFERROR(A3939-LOOKUP(2,1/($B$4:$B3938=B3939),$A$4:$A3938),""))</f>
        <v/>
      </c>
      <c r="J3939" s="32">
        <f>IF(B3939="","",IFERROR(D3939/I3939,""))</f>
        <v/>
      </c>
      <c r="K3939" s="71">
        <f>IF(B3939="","",IFERROR(AVERAGEIFS($J$4:$J3939,$B$4:$B3939,B3939,$J$4:$J3939,"&gt;"&amp;0),""))</f>
        <v/>
      </c>
      <c r="L3939" s="11" t="n"/>
    </row>
    <row r="3940" ht="14" customHeight="1" s="72">
      <c r="A3940" s="83" t="n"/>
      <c r="B3940" s="81" t="n"/>
      <c r="C3940" s="69">
        <f>IF(B3940="","",IFERROR(INDEX(Client_List!$B:$B,MATCH(B3940,Client_List!$A:$A,0)),"⚠ NOT FOUND"))</f>
        <v/>
      </c>
      <c r="D3940" s="45" t="n"/>
      <c r="E3940" s="32">
        <f>IF(B3940="","",IFERROR(INDEX(Client_List!$C:$C,MATCH(VALUE(B3940),Client_List!$A:$A,0)),""))</f>
        <v/>
      </c>
      <c r="F3940" s="53">
        <f>IF(B3940="","",IFERROR(INDEX(Client_List!$D:$D,MATCH(VALUE(B3940),Client_List!$A:$A,0)),""))</f>
        <v/>
      </c>
      <c r="G3940" s="53">
        <f>IF(B3940="","",IFERROR(INDEX(Client_List!$K:$K,MATCH(VALUE(B3940),Client_List!$A:$A,0)),""))</f>
        <v/>
      </c>
      <c r="H3940" s="32">
        <f>IF(B3940="","",IFERROR(INDEX(Client_List!$J:$J,MATCH(VALUE(B3940),Client_List!$A:$A,0)),""))</f>
        <v/>
      </c>
      <c r="I3940" s="70">
        <f>IF(B3940="","",IFERROR(A3940-LOOKUP(2,1/($B$4:$B3939=B3940),$A$4:$A3939),""))</f>
        <v/>
      </c>
      <c r="J3940" s="32">
        <f>IF(B3940="","",IFERROR(D3940/I3940,""))</f>
        <v/>
      </c>
      <c r="K3940" s="71">
        <f>IF(B3940="","",IFERROR(AVERAGEIFS($J$4:$J3940,$B$4:$B3940,B3940,$J$4:$J3940,"&gt;"&amp;0),""))</f>
        <v/>
      </c>
      <c r="L3940" s="12" t="n"/>
    </row>
    <row r="3941" ht="14" customHeight="1" s="72">
      <c r="A3941" s="82" t="n"/>
      <c r="B3941" s="79" t="n"/>
      <c r="C3941" s="69">
        <f>IF(B3941="","",IFERROR(INDEX(Client_List!$B:$B,MATCH(B3941,Client_List!$A:$A,0)),"⚠ NOT FOUND"))</f>
        <v/>
      </c>
      <c r="D3941" s="44" t="n"/>
      <c r="E3941" s="32">
        <f>IF(B3941="","",IFERROR(INDEX(Client_List!$C:$C,MATCH(VALUE(B3941),Client_List!$A:$A,0)),""))</f>
        <v/>
      </c>
      <c r="F3941" s="53">
        <f>IF(B3941="","",IFERROR(INDEX(Client_List!$D:$D,MATCH(VALUE(B3941),Client_List!$A:$A,0)),""))</f>
        <v/>
      </c>
      <c r="G3941" s="53">
        <f>IF(B3941="","",IFERROR(INDEX(Client_List!$K:$K,MATCH(VALUE(B3941),Client_List!$A:$A,0)),""))</f>
        <v/>
      </c>
      <c r="H3941" s="32">
        <f>IF(B3941="","",IFERROR(INDEX(Client_List!$J:$J,MATCH(VALUE(B3941),Client_List!$A:$A,0)),""))</f>
        <v/>
      </c>
      <c r="I3941" s="70">
        <f>IF(B3941="","",IFERROR(A3941-LOOKUP(2,1/($B$4:$B3940=B3941),$A$4:$A3940),""))</f>
        <v/>
      </c>
      <c r="J3941" s="32">
        <f>IF(B3941="","",IFERROR(D3941/I3941,""))</f>
        <v/>
      </c>
      <c r="K3941" s="71">
        <f>IF(B3941="","",IFERROR(AVERAGEIFS($J$4:$J3941,$B$4:$B3941,B3941,$J$4:$J3941,"&gt;"&amp;0),""))</f>
        <v/>
      </c>
      <c r="L3941" s="11" t="n"/>
    </row>
    <row r="3942" ht="14" customHeight="1" s="72">
      <c r="A3942" s="83" t="n"/>
      <c r="B3942" s="81" t="n"/>
      <c r="C3942" s="69">
        <f>IF(B3942="","",IFERROR(INDEX(Client_List!$B:$B,MATCH(B3942,Client_List!$A:$A,0)),"⚠ NOT FOUND"))</f>
        <v/>
      </c>
      <c r="D3942" s="45" t="n"/>
      <c r="E3942" s="32">
        <f>IF(B3942="","",IFERROR(INDEX(Client_List!$C:$C,MATCH(VALUE(B3942),Client_List!$A:$A,0)),""))</f>
        <v/>
      </c>
      <c r="F3942" s="53">
        <f>IF(B3942="","",IFERROR(INDEX(Client_List!$D:$D,MATCH(VALUE(B3942),Client_List!$A:$A,0)),""))</f>
        <v/>
      </c>
      <c r="G3942" s="53">
        <f>IF(B3942="","",IFERROR(INDEX(Client_List!$K:$K,MATCH(VALUE(B3942),Client_List!$A:$A,0)),""))</f>
        <v/>
      </c>
      <c r="H3942" s="32">
        <f>IF(B3942="","",IFERROR(INDEX(Client_List!$J:$J,MATCH(VALUE(B3942),Client_List!$A:$A,0)),""))</f>
        <v/>
      </c>
      <c r="I3942" s="70">
        <f>IF(B3942="","",IFERROR(A3942-LOOKUP(2,1/($B$4:$B3941=B3942),$A$4:$A3941),""))</f>
        <v/>
      </c>
      <c r="J3942" s="32">
        <f>IF(B3942="","",IFERROR(D3942/I3942,""))</f>
        <v/>
      </c>
      <c r="K3942" s="71">
        <f>IF(B3942="","",IFERROR(AVERAGEIFS($J$4:$J3942,$B$4:$B3942,B3942,$J$4:$J3942,"&gt;"&amp;0),""))</f>
        <v/>
      </c>
      <c r="L3942" s="12" t="n"/>
    </row>
    <row r="3943" ht="14" customHeight="1" s="72">
      <c r="A3943" s="82" t="n"/>
      <c r="B3943" s="79" t="n"/>
      <c r="C3943" s="69">
        <f>IF(B3943="","",IFERROR(INDEX(Client_List!$B:$B,MATCH(B3943,Client_List!$A:$A,0)),"⚠ NOT FOUND"))</f>
        <v/>
      </c>
      <c r="D3943" s="44" t="n"/>
      <c r="E3943" s="32">
        <f>IF(B3943="","",IFERROR(INDEX(Client_List!$C:$C,MATCH(VALUE(B3943),Client_List!$A:$A,0)),""))</f>
        <v/>
      </c>
      <c r="F3943" s="53">
        <f>IF(B3943="","",IFERROR(INDEX(Client_List!$D:$D,MATCH(VALUE(B3943),Client_List!$A:$A,0)),""))</f>
        <v/>
      </c>
      <c r="G3943" s="53">
        <f>IF(B3943="","",IFERROR(INDEX(Client_List!$K:$K,MATCH(VALUE(B3943),Client_List!$A:$A,0)),""))</f>
        <v/>
      </c>
      <c r="H3943" s="32">
        <f>IF(B3943="","",IFERROR(INDEX(Client_List!$J:$J,MATCH(VALUE(B3943),Client_List!$A:$A,0)),""))</f>
        <v/>
      </c>
      <c r="I3943" s="70">
        <f>IF(B3943="","",IFERROR(A3943-LOOKUP(2,1/($B$4:$B3942=B3943),$A$4:$A3942),""))</f>
        <v/>
      </c>
      <c r="J3943" s="32">
        <f>IF(B3943="","",IFERROR(D3943/I3943,""))</f>
        <v/>
      </c>
      <c r="K3943" s="71">
        <f>IF(B3943="","",IFERROR(AVERAGEIFS($J$4:$J3943,$B$4:$B3943,B3943,$J$4:$J3943,"&gt;"&amp;0),""))</f>
        <v/>
      </c>
      <c r="L3943" s="11" t="n"/>
    </row>
    <row r="3944" ht="14" customHeight="1" s="72">
      <c r="A3944" s="83" t="n"/>
      <c r="B3944" s="81" t="n"/>
      <c r="C3944" s="69">
        <f>IF(B3944="","",IFERROR(INDEX(Client_List!$B:$B,MATCH(B3944,Client_List!$A:$A,0)),"⚠ NOT FOUND"))</f>
        <v/>
      </c>
      <c r="D3944" s="45" t="n"/>
      <c r="E3944" s="32">
        <f>IF(B3944="","",IFERROR(INDEX(Client_List!$C:$C,MATCH(VALUE(B3944),Client_List!$A:$A,0)),""))</f>
        <v/>
      </c>
      <c r="F3944" s="53">
        <f>IF(B3944="","",IFERROR(INDEX(Client_List!$D:$D,MATCH(VALUE(B3944),Client_List!$A:$A,0)),""))</f>
        <v/>
      </c>
      <c r="G3944" s="53">
        <f>IF(B3944="","",IFERROR(INDEX(Client_List!$K:$K,MATCH(VALUE(B3944),Client_List!$A:$A,0)),""))</f>
        <v/>
      </c>
      <c r="H3944" s="32">
        <f>IF(B3944="","",IFERROR(INDEX(Client_List!$J:$J,MATCH(VALUE(B3944),Client_List!$A:$A,0)),""))</f>
        <v/>
      </c>
      <c r="I3944" s="70">
        <f>IF(B3944="","",IFERROR(A3944-LOOKUP(2,1/($B$4:$B3943=B3944),$A$4:$A3943),""))</f>
        <v/>
      </c>
      <c r="J3944" s="32">
        <f>IF(B3944="","",IFERROR(D3944/I3944,""))</f>
        <v/>
      </c>
      <c r="K3944" s="71">
        <f>IF(B3944="","",IFERROR(AVERAGEIFS($J$4:$J3944,$B$4:$B3944,B3944,$J$4:$J3944,"&gt;"&amp;0),""))</f>
        <v/>
      </c>
      <c r="L3944" s="12" t="n"/>
    </row>
    <row r="3945" ht="14" customHeight="1" s="72">
      <c r="A3945" s="82" t="n"/>
      <c r="B3945" s="79" t="n"/>
      <c r="C3945" s="69">
        <f>IF(B3945="","",IFERROR(INDEX(Client_List!$B:$B,MATCH(B3945,Client_List!$A:$A,0)),"⚠ NOT FOUND"))</f>
        <v/>
      </c>
      <c r="D3945" s="44" t="n"/>
      <c r="E3945" s="32">
        <f>IF(B3945="","",IFERROR(INDEX(Client_List!$C:$C,MATCH(VALUE(B3945),Client_List!$A:$A,0)),""))</f>
        <v/>
      </c>
      <c r="F3945" s="53">
        <f>IF(B3945="","",IFERROR(INDEX(Client_List!$D:$D,MATCH(VALUE(B3945),Client_List!$A:$A,0)),""))</f>
        <v/>
      </c>
      <c r="G3945" s="53">
        <f>IF(B3945="","",IFERROR(INDEX(Client_List!$K:$K,MATCH(VALUE(B3945),Client_List!$A:$A,0)),""))</f>
        <v/>
      </c>
      <c r="H3945" s="32">
        <f>IF(B3945="","",IFERROR(INDEX(Client_List!$J:$J,MATCH(VALUE(B3945),Client_List!$A:$A,0)),""))</f>
        <v/>
      </c>
      <c r="I3945" s="70">
        <f>IF(B3945="","",IFERROR(A3945-LOOKUP(2,1/($B$4:$B3944=B3945),$A$4:$A3944),""))</f>
        <v/>
      </c>
      <c r="J3945" s="32">
        <f>IF(B3945="","",IFERROR(D3945/I3945,""))</f>
        <v/>
      </c>
      <c r="K3945" s="71">
        <f>IF(B3945="","",IFERROR(AVERAGEIFS($J$4:$J3945,$B$4:$B3945,B3945,$J$4:$J3945,"&gt;"&amp;0),""))</f>
        <v/>
      </c>
      <c r="L3945" s="11" t="n"/>
    </row>
    <row r="3946" ht="14" customHeight="1" s="72">
      <c r="A3946" s="83" t="n"/>
      <c r="B3946" s="81" t="n"/>
      <c r="C3946" s="69">
        <f>IF(B3946="","",IFERROR(INDEX(Client_List!$B:$B,MATCH(B3946,Client_List!$A:$A,0)),"⚠ NOT FOUND"))</f>
        <v/>
      </c>
      <c r="D3946" s="45" t="n"/>
      <c r="E3946" s="32">
        <f>IF(B3946="","",IFERROR(INDEX(Client_List!$C:$C,MATCH(VALUE(B3946),Client_List!$A:$A,0)),""))</f>
        <v/>
      </c>
      <c r="F3946" s="53">
        <f>IF(B3946="","",IFERROR(INDEX(Client_List!$D:$D,MATCH(VALUE(B3946),Client_List!$A:$A,0)),""))</f>
        <v/>
      </c>
      <c r="G3946" s="53">
        <f>IF(B3946="","",IFERROR(INDEX(Client_List!$K:$K,MATCH(VALUE(B3946),Client_List!$A:$A,0)),""))</f>
        <v/>
      </c>
      <c r="H3946" s="32">
        <f>IF(B3946="","",IFERROR(INDEX(Client_List!$J:$J,MATCH(VALUE(B3946),Client_List!$A:$A,0)),""))</f>
        <v/>
      </c>
      <c r="I3946" s="70">
        <f>IF(B3946="","",IFERROR(A3946-LOOKUP(2,1/($B$4:$B3945=B3946),$A$4:$A3945),""))</f>
        <v/>
      </c>
      <c r="J3946" s="32">
        <f>IF(B3946="","",IFERROR(D3946/I3946,""))</f>
        <v/>
      </c>
      <c r="K3946" s="71">
        <f>IF(B3946="","",IFERROR(AVERAGEIFS($J$4:$J3946,$B$4:$B3946,B3946,$J$4:$J3946,"&gt;"&amp;0),""))</f>
        <v/>
      </c>
      <c r="L3946" s="12" t="n"/>
    </row>
    <row r="3947" ht="14" customHeight="1" s="72">
      <c r="A3947" s="82" t="n"/>
      <c r="B3947" s="79" t="n"/>
      <c r="C3947" s="69">
        <f>IF(B3947="","",IFERROR(INDEX(Client_List!$B:$B,MATCH(B3947,Client_List!$A:$A,0)),"⚠ NOT FOUND"))</f>
        <v/>
      </c>
      <c r="D3947" s="44" t="n"/>
      <c r="E3947" s="32">
        <f>IF(B3947="","",IFERROR(INDEX(Client_List!$C:$C,MATCH(VALUE(B3947),Client_List!$A:$A,0)),""))</f>
        <v/>
      </c>
      <c r="F3947" s="53">
        <f>IF(B3947="","",IFERROR(INDEX(Client_List!$D:$D,MATCH(VALUE(B3947),Client_List!$A:$A,0)),""))</f>
        <v/>
      </c>
      <c r="G3947" s="53">
        <f>IF(B3947="","",IFERROR(INDEX(Client_List!$K:$K,MATCH(VALUE(B3947),Client_List!$A:$A,0)),""))</f>
        <v/>
      </c>
      <c r="H3947" s="32">
        <f>IF(B3947="","",IFERROR(INDEX(Client_List!$J:$J,MATCH(VALUE(B3947),Client_List!$A:$A,0)),""))</f>
        <v/>
      </c>
      <c r="I3947" s="70">
        <f>IF(B3947="","",IFERROR(A3947-LOOKUP(2,1/($B$4:$B3946=B3947),$A$4:$A3946),""))</f>
        <v/>
      </c>
      <c r="J3947" s="32">
        <f>IF(B3947="","",IFERROR(D3947/I3947,""))</f>
        <v/>
      </c>
      <c r="K3947" s="71">
        <f>IF(B3947="","",IFERROR(AVERAGEIFS($J$4:$J3947,$B$4:$B3947,B3947,$J$4:$J3947,"&gt;"&amp;0),""))</f>
        <v/>
      </c>
      <c r="L3947" s="11" t="n"/>
    </row>
    <row r="3948" ht="14" customHeight="1" s="72">
      <c r="A3948" s="83" t="n"/>
      <c r="B3948" s="81" t="n"/>
      <c r="C3948" s="69">
        <f>IF(B3948="","",IFERROR(INDEX(Client_List!$B:$B,MATCH(B3948,Client_List!$A:$A,0)),"⚠ NOT FOUND"))</f>
        <v/>
      </c>
      <c r="D3948" s="45" t="n"/>
      <c r="E3948" s="32">
        <f>IF(B3948="","",IFERROR(INDEX(Client_List!$C:$C,MATCH(VALUE(B3948),Client_List!$A:$A,0)),""))</f>
        <v/>
      </c>
      <c r="F3948" s="53">
        <f>IF(B3948="","",IFERROR(INDEX(Client_List!$D:$D,MATCH(VALUE(B3948),Client_List!$A:$A,0)),""))</f>
        <v/>
      </c>
      <c r="G3948" s="53">
        <f>IF(B3948="","",IFERROR(INDEX(Client_List!$K:$K,MATCH(VALUE(B3948),Client_List!$A:$A,0)),""))</f>
        <v/>
      </c>
      <c r="H3948" s="32">
        <f>IF(B3948="","",IFERROR(INDEX(Client_List!$J:$J,MATCH(VALUE(B3948),Client_List!$A:$A,0)),""))</f>
        <v/>
      </c>
      <c r="I3948" s="70">
        <f>IF(B3948="","",IFERROR(A3948-LOOKUP(2,1/($B$4:$B3947=B3948),$A$4:$A3947),""))</f>
        <v/>
      </c>
      <c r="J3948" s="32">
        <f>IF(B3948="","",IFERROR(D3948/I3948,""))</f>
        <v/>
      </c>
      <c r="K3948" s="71">
        <f>IF(B3948="","",IFERROR(AVERAGEIFS($J$4:$J3948,$B$4:$B3948,B3948,$J$4:$J3948,"&gt;"&amp;0),""))</f>
        <v/>
      </c>
      <c r="L3948" s="12" t="n"/>
    </row>
    <row r="3949" ht="14" customHeight="1" s="72">
      <c r="A3949" s="82" t="n"/>
      <c r="B3949" s="79" t="n"/>
      <c r="C3949" s="69">
        <f>IF(B3949="","",IFERROR(INDEX(Client_List!$B:$B,MATCH(B3949,Client_List!$A:$A,0)),"⚠ NOT FOUND"))</f>
        <v/>
      </c>
      <c r="D3949" s="44" t="n"/>
      <c r="E3949" s="32">
        <f>IF(B3949="","",IFERROR(INDEX(Client_List!$C:$C,MATCH(VALUE(B3949),Client_List!$A:$A,0)),""))</f>
        <v/>
      </c>
      <c r="F3949" s="53">
        <f>IF(B3949="","",IFERROR(INDEX(Client_List!$D:$D,MATCH(VALUE(B3949),Client_List!$A:$A,0)),""))</f>
        <v/>
      </c>
      <c r="G3949" s="53">
        <f>IF(B3949="","",IFERROR(INDEX(Client_List!$K:$K,MATCH(VALUE(B3949),Client_List!$A:$A,0)),""))</f>
        <v/>
      </c>
      <c r="H3949" s="32">
        <f>IF(B3949="","",IFERROR(INDEX(Client_List!$J:$J,MATCH(VALUE(B3949),Client_List!$A:$A,0)),""))</f>
        <v/>
      </c>
      <c r="I3949" s="70">
        <f>IF(B3949="","",IFERROR(A3949-LOOKUP(2,1/($B$4:$B3948=B3949),$A$4:$A3948),""))</f>
        <v/>
      </c>
      <c r="J3949" s="32">
        <f>IF(B3949="","",IFERROR(D3949/I3949,""))</f>
        <v/>
      </c>
      <c r="K3949" s="71">
        <f>IF(B3949="","",IFERROR(AVERAGEIFS($J$4:$J3949,$B$4:$B3949,B3949,$J$4:$J3949,"&gt;"&amp;0),""))</f>
        <v/>
      </c>
      <c r="L3949" s="11" t="n"/>
    </row>
    <row r="3950" ht="14" customHeight="1" s="72">
      <c r="A3950" s="83" t="n"/>
      <c r="B3950" s="81" t="n"/>
      <c r="C3950" s="69">
        <f>IF(B3950="","",IFERROR(INDEX(Client_List!$B:$B,MATCH(B3950,Client_List!$A:$A,0)),"⚠ NOT FOUND"))</f>
        <v/>
      </c>
      <c r="D3950" s="45" t="n"/>
      <c r="E3950" s="32">
        <f>IF(B3950="","",IFERROR(INDEX(Client_List!$C:$C,MATCH(VALUE(B3950),Client_List!$A:$A,0)),""))</f>
        <v/>
      </c>
      <c r="F3950" s="53">
        <f>IF(B3950="","",IFERROR(INDEX(Client_List!$D:$D,MATCH(VALUE(B3950),Client_List!$A:$A,0)),""))</f>
        <v/>
      </c>
      <c r="G3950" s="53">
        <f>IF(B3950="","",IFERROR(INDEX(Client_List!$K:$K,MATCH(VALUE(B3950),Client_List!$A:$A,0)),""))</f>
        <v/>
      </c>
      <c r="H3950" s="32">
        <f>IF(B3950="","",IFERROR(INDEX(Client_List!$J:$J,MATCH(VALUE(B3950),Client_List!$A:$A,0)),""))</f>
        <v/>
      </c>
      <c r="I3950" s="70">
        <f>IF(B3950="","",IFERROR(A3950-LOOKUP(2,1/($B$4:$B3949=B3950),$A$4:$A3949),""))</f>
        <v/>
      </c>
      <c r="J3950" s="32">
        <f>IF(B3950="","",IFERROR(D3950/I3950,""))</f>
        <v/>
      </c>
      <c r="K3950" s="71">
        <f>IF(B3950="","",IFERROR(AVERAGEIFS($J$4:$J3950,$B$4:$B3950,B3950,$J$4:$J3950,"&gt;"&amp;0),""))</f>
        <v/>
      </c>
      <c r="L3950" s="12" t="n"/>
    </row>
    <row r="3951" ht="14" customHeight="1" s="72">
      <c r="A3951" s="82" t="n"/>
      <c r="B3951" s="79" t="n"/>
      <c r="C3951" s="69">
        <f>IF(B3951="","",IFERROR(INDEX(Client_List!$B:$B,MATCH(B3951,Client_List!$A:$A,0)),"⚠ NOT FOUND"))</f>
        <v/>
      </c>
      <c r="D3951" s="44" t="n"/>
      <c r="E3951" s="32">
        <f>IF(B3951="","",IFERROR(INDEX(Client_List!$C:$C,MATCH(VALUE(B3951),Client_List!$A:$A,0)),""))</f>
        <v/>
      </c>
      <c r="F3951" s="53">
        <f>IF(B3951="","",IFERROR(INDEX(Client_List!$D:$D,MATCH(VALUE(B3951),Client_List!$A:$A,0)),""))</f>
        <v/>
      </c>
      <c r="G3951" s="53">
        <f>IF(B3951="","",IFERROR(INDEX(Client_List!$K:$K,MATCH(VALUE(B3951),Client_List!$A:$A,0)),""))</f>
        <v/>
      </c>
      <c r="H3951" s="32">
        <f>IF(B3951="","",IFERROR(INDEX(Client_List!$J:$J,MATCH(VALUE(B3951),Client_List!$A:$A,0)),""))</f>
        <v/>
      </c>
      <c r="I3951" s="70">
        <f>IF(B3951="","",IFERROR(A3951-LOOKUP(2,1/($B$4:$B3950=B3951),$A$4:$A3950),""))</f>
        <v/>
      </c>
      <c r="J3951" s="32">
        <f>IF(B3951="","",IFERROR(D3951/I3951,""))</f>
        <v/>
      </c>
      <c r="K3951" s="71">
        <f>IF(B3951="","",IFERROR(AVERAGEIFS($J$4:$J3951,$B$4:$B3951,B3951,$J$4:$J3951,"&gt;"&amp;0),""))</f>
        <v/>
      </c>
      <c r="L3951" s="11" t="n"/>
    </row>
    <row r="3952" ht="14" customHeight="1" s="72">
      <c r="A3952" s="83" t="n"/>
      <c r="B3952" s="81" t="n"/>
      <c r="C3952" s="69">
        <f>IF(B3952="","",IFERROR(INDEX(Client_List!$B:$B,MATCH(B3952,Client_List!$A:$A,0)),"⚠ NOT FOUND"))</f>
        <v/>
      </c>
      <c r="D3952" s="45" t="n"/>
      <c r="E3952" s="32">
        <f>IF(B3952="","",IFERROR(INDEX(Client_List!$C:$C,MATCH(VALUE(B3952),Client_List!$A:$A,0)),""))</f>
        <v/>
      </c>
      <c r="F3952" s="53">
        <f>IF(B3952="","",IFERROR(INDEX(Client_List!$D:$D,MATCH(VALUE(B3952),Client_List!$A:$A,0)),""))</f>
        <v/>
      </c>
      <c r="G3952" s="53">
        <f>IF(B3952="","",IFERROR(INDEX(Client_List!$K:$K,MATCH(VALUE(B3952),Client_List!$A:$A,0)),""))</f>
        <v/>
      </c>
      <c r="H3952" s="32">
        <f>IF(B3952="","",IFERROR(INDEX(Client_List!$J:$J,MATCH(VALUE(B3952),Client_List!$A:$A,0)),""))</f>
        <v/>
      </c>
      <c r="I3952" s="70">
        <f>IF(B3952="","",IFERROR(A3952-LOOKUP(2,1/($B$4:$B3951=B3952),$A$4:$A3951),""))</f>
        <v/>
      </c>
      <c r="J3952" s="32">
        <f>IF(B3952="","",IFERROR(D3952/I3952,""))</f>
        <v/>
      </c>
      <c r="K3952" s="71">
        <f>IF(B3952="","",IFERROR(AVERAGEIFS($J$4:$J3952,$B$4:$B3952,B3952,$J$4:$J3952,"&gt;"&amp;0),""))</f>
        <v/>
      </c>
      <c r="L3952" s="12" t="n"/>
    </row>
    <row r="3953" ht="14" customHeight="1" s="72">
      <c r="A3953" s="82" t="n"/>
      <c r="B3953" s="79" t="n"/>
      <c r="C3953" s="69">
        <f>IF(B3953="","",IFERROR(INDEX(Client_List!$B:$B,MATCH(B3953,Client_List!$A:$A,0)),"⚠ NOT FOUND"))</f>
        <v/>
      </c>
      <c r="D3953" s="44" t="n"/>
      <c r="E3953" s="32">
        <f>IF(B3953="","",IFERROR(INDEX(Client_List!$C:$C,MATCH(VALUE(B3953),Client_List!$A:$A,0)),""))</f>
        <v/>
      </c>
      <c r="F3953" s="53">
        <f>IF(B3953="","",IFERROR(INDEX(Client_List!$D:$D,MATCH(VALUE(B3953),Client_List!$A:$A,0)),""))</f>
        <v/>
      </c>
      <c r="G3953" s="53">
        <f>IF(B3953="","",IFERROR(INDEX(Client_List!$K:$K,MATCH(VALUE(B3953),Client_List!$A:$A,0)),""))</f>
        <v/>
      </c>
      <c r="H3953" s="32">
        <f>IF(B3953="","",IFERROR(INDEX(Client_List!$J:$J,MATCH(VALUE(B3953),Client_List!$A:$A,0)),""))</f>
        <v/>
      </c>
      <c r="I3953" s="70">
        <f>IF(B3953="","",IFERROR(A3953-LOOKUP(2,1/($B$4:$B3952=B3953),$A$4:$A3952),""))</f>
        <v/>
      </c>
      <c r="J3953" s="32">
        <f>IF(B3953="","",IFERROR(D3953/I3953,""))</f>
        <v/>
      </c>
      <c r="K3953" s="71">
        <f>IF(B3953="","",IFERROR(AVERAGEIFS($J$4:$J3953,$B$4:$B3953,B3953,$J$4:$J3953,"&gt;"&amp;0),""))</f>
        <v/>
      </c>
      <c r="L3953" s="11" t="n"/>
    </row>
    <row r="3954" ht="14" customHeight="1" s="72">
      <c r="A3954" s="83" t="n"/>
      <c r="B3954" s="81" t="n"/>
      <c r="C3954" s="69">
        <f>IF(B3954="","",IFERROR(INDEX(Client_List!$B:$B,MATCH(B3954,Client_List!$A:$A,0)),"⚠ NOT FOUND"))</f>
        <v/>
      </c>
      <c r="D3954" s="45" t="n"/>
      <c r="E3954" s="32">
        <f>IF(B3954="","",IFERROR(INDEX(Client_List!$C:$C,MATCH(VALUE(B3954),Client_List!$A:$A,0)),""))</f>
        <v/>
      </c>
      <c r="F3954" s="53">
        <f>IF(B3954="","",IFERROR(INDEX(Client_List!$D:$D,MATCH(VALUE(B3954),Client_List!$A:$A,0)),""))</f>
        <v/>
      </c>
      <c r="G3954" s="53">
        <f>IF(B3954="","",IFERROR(INDEX(Client_List!$K:$K,MATCH(VALUE(B3954),Client_List!$A:$A,0)),""))</f>
        <v/>
      </c>
      <c r="H3954" s="32">
        <f>IF(B3954="","",IFERROR(INDEX(Client_List!$J:$J,MATCH(VALUE(B3954),Client_List!$A:$A,0)),""))</f>
        <v/>
      </c>
      <c r="I3954" s="70">
        <f>IF(B3954="","",IFERROR(A3954-LOOKUP(2,1/($B$4:$B3953=B3954),$A$4:$A3953),""))</f>
        <v/>
      </c>
      <c r="J3954" s="32">
        <f>IF(B3954="","",IFERROR(D3954/I3954,""))</f>
        <v/>
      </c>
      <c r="K3954" s="71">
        <f>IF(B3954="","",IFERROR(AVERAGEIFS($J$4:$J3954,$B$4:$B3954,B3954,$J$4:$J3954,"&gt;"&amp;0),""))</f>
        <v/>
      </c>
      <c r="L3954" s="12" t="n"/>
    </row>
    <row r="3955" ht="14" customHeight="1" s="72">
      <c r="A3955" s="82" t="n"/>
      <c r="B3955" s="79" t="n"/>
      <c r="C3955" s="69">
        <f>IF(B3955="","",IFERROR(INDEX(Client_List!$B:$B,MATCH(B3955,Client_List!$A:$A,0)),"⚠ NOT FOUND"))</f>
        <v/>
      </c>
      <c r="D3955" s="44" t="n"/>
      <c r="E3955" s="32">
        <f>IF(B3955="","",IFERROR(INDEX(Client_List!$C:$C,MATCH(VALUE(B3955),Client_List!$A:$A,0)),""))</f>
        <v/>
      </c>
      <c r="F3955" s="53">
        <f>IF(B3955="","",IFERROR(INDEX(Client_List!$D:$D,MATCH(VALUE(B3955),Client_List!$A:$A,0)),""))</f>
        <v/>
      </c>
      <c r="G3955" s="53">
        <f>IF(B3955="","",IFERROR(INDEX(Client_List!$K:$K,MATCH(VALUE(B3955),Client_List!$A:$A,0)),""))</f>
        <v/>
      </c>
      <c r="H3955" s="32">
        <f>IF(B3955="","",IFERROR(INDEX(Client_List!$J:$J,MATCH(VALUE(B3955),Client_List!$A:$A,0)),""))</f>
        <v/>
      </c>
      <c r="I3955" s="70">
        <f>IF(B3955="","",IFERROR(A3955-LOOKUP(2,1/($B$4:$B3954=B3955),$A$4:$A3954),""))</f>
        <v/>
      </c>
      <c r="J3955" s="32">
        <f>IF(B3955="","",IFERROR(D3955/I3955,""))</f>
        <v/>
      </c>
      <c r="K3955" s="71">
        <f>IF(B3955="","",IFERROR(AVERAGEIFS($J$4:$J3955,$B$4:$B3955,B3955,$J$4:$J3955,"&gt;"&amp;0),""))</f>
        <v/>
      </c>
      <c r="L3955" s="11" t="n"/>
    </row>
    <row r="3956" ht="14" customHeight="1" s="72">
      <c r="A3956" s="83" t="n"/>
      <c r="B3956" s="81" t="n"/>
      <c r="C3956" s="69">
        <f>IF(B3956="","",IFERROR(INDEX(Client_List!$B:$B,MATCH(B3956,Client_List!$A:$A,0)),"⚠ NOT FOUND"))</f>
        <v/>
      </c>
      <c r="D3956" s="45" t="n"/>
      <c r="E3956" s="32">
        <f>IF(B3956="","",IFERROR(INDEX(Client_List!$C:$C,MATCH(VALUE(B3956),Client_List!$A:$A,0)),""))</f>
        <v/>
      </c>
      <c r="F3956" s="53">
        <f>IF(B3956="","",IFERROR(INDEX(Client_List!$D:$D,MATCH(VALUE(B3956),Client_List!$A:$A,0)),""))</f>
        <v/>
      </c>
      <c r="G3956" s="53">
        <f>IF(B3956="","",IFERROR(INDEX(Client_List!$K:$K,MATCH(VALUE(B3956),Client_List!$A:$A,0)),""))</f>
        <v/>
      </c>
      <c r="H3956" s="32">
        <f>IF(B3956="","",IFERROR(INDEX(Client_List!$J:$J,MATCH(VALUE(B3956),Client_List!$A:$A,0)),""))</f>
        <v/>
      </c>
      <c r="I3956" s="70">
        <f>IF(B3956="","",IFERROR(A3956-LOOKUP(2,1/($B$4:$B3955=B3956),$A$4:$A3955),""))</f>
        <v/>
      </c>
      <c r="J3956" s="32">
        <f>IF(B3956="","",IFERROR(D3956/I3956,""))</f>
        <v/>
      </c>
      <c r="K3956" s="71">
        <f>IF(B3956="","",IFERROR(AVERAGEIFS($J$4:$J3956,$B$4:$B3956,B3956,$J$4:$J3956,"&gt;"&amp;0),""))</f>
        <v/>
      </c>
      <c r="L3956" s="12" t="n"/>
    </row>
    <row r="3957" ht="14" customHeight="1" s="72">
      <c r="A3957" s="82" t="n"/>
      <c r="B3957" s="79" t="n"/>
      <c r="C3957" s="69">
        <f>IF(B3957="","",IFERROR(INDEX(Client_List!$B:$B,MATCH(B3957,Client_List!$A:$A,0)),"⚠ NOT FOUND"))</f>
        <v/>
      </c>
      <c r="D3957" s="44" t="n"/>
      <c r="E3957" s="32">
        <f>IF(B3957="","",IFERROR(INDEX(Client_List!$C:$C,MATCH(VALUE(B3957),Client_List!$A:$A,0)),""))</f>
        <v/>
      </c>
      <c r="F3957" s="53">
        <f>IF(B3957="","",IFERROR(INDEX(Client_List!$D:$D,MATCH(VALUE(B3957),Client_List!$A:$A,0)),""))</f>
        <v/>
      </c>
      <c r="G3957" s="53">
        <f>IF(B3957="","",IFERROR(INDEX(Client_List!$K:$K,MATCH(VALUE(B3957),Client_List!$A:$A,0)),""))</f>
        <v/>
      </c>
      <c r="H3957" s="32">
        <f>IF(B3957="","",IFERROR(INDEX(Client_List!$J:$J,MATCH(VALUE(B3957),Client_List!$A:$A,0)),""))</f>
        <v/>
      </c>
      <c r="I3957" s="70">
        <f>IF(B3957="","",IFERROR(A3957-LOOKUP(2,1/($B$4:$B3956=B3957),$A$4:$A3956),""))</f>
        <v/>
      </c>
      <c r="J3957" s="32">
        <f>IF(B3957="","",IFERROR(D3957/I3957,""))</f>
        <v/>
      </c>
      <c r="K3957" s="71">
        <f>IF(B3957="","",IFERROR(AVERAGEIFS($J$4:$J3957,$B$4:$B3957,B3957,$J$4:$J3957,"&gt;"&amp;0),""))</f>
        <v/>
      </c>
      <c r="L3957" s="11" t="n"/>
    </row>
    <row r="3958" ht="14" customHeight="1" s="72">
      <c r="A3958" s="83" t="n"/>
      <c r="B3958" s="81" t="n"/>
      <c r="C3958" s="69">
        <f>IF(B3958="","",IFERROR(INDEX(Client_List!$B:$B,MATCH(B3958,Client_List!$A:$A,0)),"⚠ NOT FOUND"))</f>
        <v/>
      </c>
      <c r="D3958" s="45" t="n"/>
      <c r="E3958" s="32">
        <f>IF(B3958="","",IFERROR(INDEX(Client_List!$C:$C,MATCH(VALUE(B3958),Client_List!$A:$A,0)),""))</f>
        <v/>
      </c>
      <c r="F3958" s="53">
        <f>IF(B3958="","",IFERROR(INDEX(Client_List!$D:$D,MATCH(VALUE(B3958),Client_List!$A:$A,0)),""))</f>
        <v/>
      </c>
      <c r="G3958" s="53">
        <f>IF(B3958="","",IFERROR(INDEX(Client_List!$K:$K,MATCH(VALUE(B3958),Client_List!$A:$A,0)),""))</f>
        <v/>
      </c>
      <c r="H3958" s="32">
        <f>IF(B3958="","",IFERROR(INDEX(Client_List!$J:$J,MATCH(VALUE(B3958),Client_List!$A:$A,0)),""))</f>
        <v/>
      </c>
      <c r="I3958" s="70">
        <f>IF(B3958="","",IFERROR(A3958-LOOKUP(2,1/($B$4:$B3957=B3958),$A$4:$A3957),""))</f>
        <v/>
      </c>
      <c r="J3958" s="32">
        <f>IF(B3958="","",IFERROR(D3958/I3958,""))</f>
        <v/>
      </c>
      <c r="K3958" s="71">
        <f>IF(B3958="","",IFERROR(AVERAGEIFS($J$4:$J3958,$B$4:$B3958,B3958,$J$4:$J3958,"&gt;"&amp;0),""))</f>
        <v/>
      </c>
      <c r="L3958" s="12" t="n"/>
    </row>
    <row r="3959" ht="14" customHeight="1" s="72">
      <c r="A3959" s="82" t="n"/>
      <c r="B3959" s="79" t="n"/>
      <c r="C3959" s="69">
        <f>IF(B3959="","",IFERROR(INDEX(Client_List!$B:$B,MATCH(B3959,Client_List!$A:$A,0)),"⚠ NOT FOUND"))</f>
        <v/>
      </c>
      <c r="D3959" s="44" t="n"/>
      <c r="E3959" s="32">
        <f>IF(B3959="","",IFERROR(INDEX(Client_List!$C:$C,MATCH(VALUE(B3959),Client_List!$A:$A,0)),""))</f>
        <v/>
      </c>
      <c r="F3959" s="53">
        <f>IF(B3959="","",IFERROR(INDEX(Client_List!$D:$D,MATCH(VALUE(B3959),Client_List!$A:$A,0)),""))</f>
        <v/>
      </c>
      <c r="G3959" s="53">
        <f>IF(B3959="","",IFERROR(INDEX(Client_List!$K:$K,MATCH(VALUE(B3959),Client_List!$A:$A,0)),""))</f>
        <v/>
      </c>
      <c r="H3959" s="32">
        <f>IF(B3959="","",IFERROR(INDEX(Client_List!$J:$J,MATCH(VALUE(B3959),Client_List!$A:$A,0)),""))</f>
        <v/>
      </c>
      <c r="I3959" s="70">
        <f>IF(B3959="","",IFERROR(A3959-LOOKUP(2,1/($B$4:$B3958=B3959),$A$4:$A3958),""))</f>
        <v/>
      </c>
      <c r="J3959" s="32">
        <f>IF(B3959="","",IFERROR(D3959/I3959,""))</f>
        <v/>
      </c>
      <c r="K3959" s="71">
        <f>IF(B3959="","",IFERROR(AVERAGEIFS($J$4:$J3959,$B$4:$B3959,B3959,$J$4:$J3959,"&gt;"&amp;0),""))</f>
        <v/>
      </c>
      <c r="L3959" s="11" t="n"/>
    </row>
    <row r="3960" ht="14" customHeight="1" s="72">
      <c r="A3960" s="83" t="n"/>
      <c r="B3960" s="81" t="n"/>
      <c r="C3960" s="69">
        <f>IF(B3960="","",IFERROR(INDEX(Client_List!$B:$B,MATCH(B3960,Client_List!$A:$A,0)),"⚠ NOT FOUND"))</f>
        <v/>
      </c>
      <c r="D3960" s="45" t="n"/>
      <c r="E3960" s="32">
        <f>IF(B3960="","",IFERROR(INDEX(Client_List!$C:$C,MATCH(VALUE(B3960),Client_List!$A:$A,0)),""))</f>
        <v/>
      </c>
      <c r="F3960" s="53">
        <f>IF(B3960="","",IFERROR(INDEX(Client_List!$D:$D,MATCH(VALUE(B3960),Client_List!$A:$A,0)),""))</f>
        <v/>
      </c>
      <c r="G3960" s="53">
        <f>IF(B3960="","",IFERROR(INDEX(Client_List!$K:$K,MATCH(VALUE(B3960),Client_List!$A:$A,0)),""))</f>
        <v/>
      </c>
      <c r="H3960" s="32">
        <f>IF(B3960="","",IFERROR(INDEX(Client_List!$J:$J,MATCH(VALUE(B3960),Client_List!$A:$A,0)),""))</f>
        <v/>
      </c>
      <c r="I3960" s="70">
        <f>IF(B3960="","",IFERROR(A3960-LOOKUP(2,1/($B$4:$B3959=B3960),$A$4:$A3959),""))</f>
        <v/>
      </c>
      <c r="J3960" s="32">
        <f>IF(B3960="","",IFERROR(D3960/I3960,""))</f>
        <v/>
      </c>
      <c r="K3960" s="71">
        <f>IF(B3960="","",IFERROR(AVERAGEIFS($J$4:$J3960,$B$4:$B3960,B3960,$J$4:$J3960,"&gt;"&amp;0),""))</f>
        <v/>
      </c>
      <c r="L3960" s="12" t="n"/>
    </row>
    <row r="3961" ht="14" customHeight="1" s="72">
      <c r="A3961" s="82" t="n"/>
      <c r="B3961" s="79" t="n"/>
      <c r="C3961" s="69">
        <f>IF(B3961="","",IFERROR(INDEX(Client_List!$B:$B,MATCH(B3961,Client_List!$A:$A,0)),"⚠ NOT FOUND"))</f>
        <v/>
      </c>
      <c r="D3961" s="44" t="n"/>
      <c r="E3961" s="32">
        <f>IF(B3961="","",IFERROR(INDEX(Client_List!$C:$C,MATCH(VALUE(B3961),Client_List!$A:$A,0)),""))</f>
        <v/>
      </c>
      <c r="F3961" s="53">
        <f>IF(B3961="","",IFERROR(INDEX(Client_List!$D:$D,MATCH(VALUE(B3961),Client_List!$A:$A,0)),""))</f>
        <v/>
      </c>
      <c r="G3961" s="53">
        <f>IF(B3961="","",IFERROR(INDEX(Client_List!$K:$K,MATCH(VALUE(B3961),Client_List!$A:$A,0)),""))</f>
        <v/>
      </c>
      <c r="H3961" s="32">
        <f>IF(B3961="","",IFERROR(INDEX(Client_List!$J:$J,MATCH(VALUE(B3961),Client_List!$A:$A,0)),""))</f>
        <v/>
      </c>
      <c r="I3961" s="70">
        <f>IF(B3961="","",IFERROR(A3961-LOOKUP(2,1/($B$4:$B3960=B3961),$A$4:$A3960),""))</f>
        <v/>
      </c>
      <c r="J3961" s="32">
        <f>IF(B3961="","",IFERROR(D3961/I3961,""))</f>
        <v/>
      </c>
      <c r="K3961" s="71">
        <f>IF(B3961="","",IFERROR(AVERAGEIFS($J$4:$J3961,$B$4:$B3961,B3961,$J$4:$J3961,"&gt;"&amp;0),""))</f>
        <v/>
      </c>
      <c r="L3961" s="11" t="n"/>
    </row>
    <row r="3962" ht="14" customHeight="1" s="72">
      <c r="A3962" s="83" t="n"/>
      <c r="B3962" s="81" t="n"/>
      <c r="C3962" s="69">
        <f>IF(B3962="","",IFERROR(INDEX(Client_List!$B:$B,MATCH(B3962,Client_List!$A:$A,0)),"⚠ NOT FOUND"))</f>
        <v/>
      </c>
      <c r="D3962" s="45" t="n"/>
      <c r="E3962" s="32">
        <f>IF(B3962="","",IFERROR(INDEX(Client_List!$C:$C,MATCH(VALUE(B3962),Client_List!$A:$A,0)),""))</f>
        <v/>
      </c>
      <c r="F3962" s="53">
        <f>IF(B3962="","",IFERROR(INDEX(Client_List!$D:$D,MATCH(VALUE(B3962),Client_List!$A:$A,0)),""))</f>
        <v/>
      </c>
      <c r="G3962" s="53">
        <f>IF(B3962="","",IFERROR(INDEX(Client_List!$K:$K,MATCH(VALUE(B3962),Client_List!$A:$A,0)),""))</f>
        <v/>
      </c>
      <c r="H3962" s="32">
        <f>IF(B3962="","",IFERROR(INDEX(Client_List!$J:$J,MATCH(VALUE(B3962),Client_List!$A:$A,0)),""))</f>
        <v/>
      </c>
      <c r="I3962" s="70">
        <f>IF(B3962="","",IFERROR(A3962-LOOKUP(2,1/($B$4:$B3961=B3962),$A$4:$A3961),""))</f>
        <v/>
      </c>
      <c r="J3962" s="32">
        <f>IF(B3962="","",IFERROR(D3962/I3962,""))</f>
        <v/>
      </c>
      <c r="K3962" s="71">
        <f>IF(B3962="","",IFERROR(AVERAGEIFS($J$4:$J3962,$B$4:$B3962,B3962,$J$4:$J3962,"&gt;"&amp;0),""))</f>
        <v/>
      </c>
      <c r="L3962" s="12" t="n"/>
    </row>
    <row r="3963" ht="14" customHeight="1" s="72">
      <c r="A3963" s="82" t="n"/>
      <c r="B3963" s="79" t="n"/>
      <c r="C3963" s="69">
        <f>IF(B3963="","",IFERROR(INDEX(Client_List!$B:$B,MATCH(B3963,Client_List!$A:$A,0)),"⚠ NOT FOUND"))</f>
        <v/>
      </c>
      <c r="D3963" s="44" t="n"/>
      <c r="E3963" s="32">
        <f>IF(B3963="","",IFERROR(INDEX(Client_List!$C:$C,MATCH(VALUE(B3963),Client_List!$A:$A,0)),""))</f>
        <v/>
      </c>
      <c r="F3963" s="53">
        <f>IF(B3963="","",IFERROR(INDEX(Client_List!$D:$D,MATCH(VALUE(B3963),Client_List!$A:$A,0)),""))</f>
        <v/>
      </c>
      <c r="G3963" s="53">
        <f>IF(B3963="","",IFERROR(INDEX(Client_List!$K:$K,MATCH(VALUE(B3963),Client_List!$A:$A,0)),""))</f>
        <v/>
      </c>
      <c r="H3963" s="32">
        <f>IF(B3963="","",IFERROR(INDEX(Client_List!$J:$J,MATCH(VALUE(B3963),Client_List!$A:$A,0)),""))</f>
        <v/>
      </c>
      <c r="I3963" s="70">
        <f>IF(B3963="","",IFERROR(A3963-LOOKUP(2,1/($B$4:$B3962=B3963),$A$4:$A3962),""))</f>
        <v/>
      </c>
      <c r="J3963" s="32">
        <f>IF(B3963="","",IFERROR(D3963/I3963,""))</f>
        <v/>
      </c>
      <c r="K3963" s="71">
        <f>IF(B3963="","",IFERROR(AVERAGEIFS($J$4:$J3963,$B$4:$B3963,B3963,$J$4:$J3963,"&gt;"&amp;0),""))</f>
        <v/>
      </c>
      <c r="L3963" s="11" t="n"/>
    </row>
    <row r="3964" ht="14" customHeight="1" s="72">
      <c r="A3964" s="83" t="n"/>
      <c r="B3964" s="81" t="n"/>
      <c r="C3964" s="69">
        <f>IF(B3964="","",IFERROR(INDEX(Client_List!$B:$B,MATCH(B3964,Client_List!$A:$A,0)),"⚠ NOT FOUND"))</f>
        <v/>
      </c>
      <c r="D3964" s="45" t="n"/>
      <c r="E3964" s="32">
        <f>IF(B3964="","",IFERROR(INDEX(Client_List!$C:$C,MATCH(VALUE(B3964),Client_List!$A:$A,0)),""))</f>
        <v/>
      </c>
      <c r="F3964" s="53">
        <f>IF(B3964="","",IFERROR(INDEX(Client_List!$D:$D,MATCH(VALUE(B3964),Client_List!$A:$A,0)),""))</f>
        <v/>
      </c>
      <c r="G3964" s="53">
        <f>IF(B3964="","",IFERROR(INDEX(Client_List!$K:$K,MATCH(VALUE(B3964),Client_List!$A:$A,0)),""))</f>
        <v/>
      </c>
      <c r="H3964" s="32">
        <f>IF(B3964="","",IFERROR(INDEX(Client_List!$J:$J,MATCH(VALUE(B3964),Client_List!$A:$A,0)),""))</f>
        <v/>
      </c>
      <c r="I3964" s="70">
        <f>IF(B3964="","",IFERROR(A3964-LOOKUP(2,1/($B$4:$B3963=B3964),$A$4:$A3963),""))</f>
        <v/>
      </c>
      <c r="J3964" s="32">
        <f>IF(B3964="","",IFERROR(D3964/I3964,""))</f>
        <v/>
      </c>
      <c r="K3964" s="71">
        <f>IF(B3964="","",IFERROR(AVERAGEIFS($J$4:$J3964,$B$4:$B3964,B3964,$J$4:$J3964,"&gt;"&amp;0),""))</f>
        <v/>
      </c>
      <c r="L3964" s="12" t="n"/>
    </row>
    <row r="3965" ht="14" customHeight="1" s="72">
      <c r="A3965" s="82" t="n"/>
      <c r="B3965" s="79" t="n"/>
      <c r="C3965" s="69">
        <f>IF(B3965="","",IFERROR(INDEX(Client_List!$B:$B,MATCH(B3965,Client_List!$A:$A,0)),"⚠ NOT FOUND"))</f>
        <v/>
      </c>
      <c r="D3965" s="44" t="n"/>
      <c r="E3965" s="32">
        <f>IF(B3965="","",IFERROR(INDEX(Client_List!$C:$C,MATCH(VALUE(B3965),Client_List!$A:$A,0)),""))</f>
        <v/>
      </c>
      <c r="F3965" s="53">
        <f>IF(B3965="","",IFERROR(INDEX(Client_List!$D:$D,MATCH(VALUE(B3965),Client_List!$A:$A,0)),""))</f>
        <v/>
      </c>
      <c r="G3965" s="53">
        <f>IF(B3965="","",IFERROR(INDEX(Client_List!$K:$K,MATCH(VALUE(B3965),Client_List!$A:$A,0)),""))</f>
        <v/>
      </c>
      <c r="H3965" s="32">
        <f>IF(B3965="","",IFERROR(INDEX(Client_List!$J:$J,MATCH(VALUE(B3965),Client_List!$A:$A,0)),""))</f>
        <v/>
      </c>
      <c r="I3965" s="70">
        <f>IF(B3965="","",IFERROR(A3965-LOOKUP(2,1/($B$4:$B3964=B3965),$A$4:$A3964),""))</f>
        <v/>
      </c>
      <c r="J3965" s="32">
        <f>IF(B3965="","",IFERROR(D3965/I3965,""))</f>
        <v/>
      </c>
      <c r="K3965" s="71">
        <f>IF(B3965="","",IFERROR(AVERAGEIFS($J$4:$J3965,$B$4:$B3965,B3965,$J$4:$J3965,"&gt;"&amp;0),""))</f>
        <v/>
      </c>
      <c r="L3965" s="11" t="n"/>
    </row>
    <row r="3966" ht="14" customHeight="1" s="72">
      <c r="A3966" s="83" t="n"/>
      <c r="B3966" s="81" t="n"/>
      <c r="C3966" s="69">
        <f>IF(B3966="","",IFERROR(INDEX(Client_List!$B:$B,MATCH(B3966,Client_List!$A:$A,0)),"⚠ NOT FOUND"))</f>
        <v/>
      </c>
      <c r="D3966" s="45" t="n"/>
      <c r="E3966" s="32">
        <f>IF(B3966="","",IFERROR(INDEX(Client_List!$C:$C,MATCH(VALUE(B3966),Client_List!$A:$A,0)),""))</f>
        <v/>
      </c>
      <c r="F3966" s="53">
        <f>IF(B3966="","",IFERROR(INDEX(Client_List!$D:$D,MATCH(VALUE(B3966),Client_List!$A:$A,0)),""))</f>
        <v/>
      </c>
      <c r="G3966" s="53">
        <f>IF(B3966="","",IFERROR(INDEX(Client_List!$K:$K,MATCH(VALUE(B3966),Client_List!$A:$A,0)),""))</f>
        <v/>
      </c>
      <c r="H3966" s="32">
        <f>IF(B3966="","",IFERROR(INDEX(Client_List!$J:$J,MATCH(VALUE(B3966),Client_List!$A:$A,0)),""))</f>
        <v/>
      </c>
      <c r="I3966" s="70">
        <f>IF(B3966="","",IFERROR(A3966-LOOKUP(2,1/($B$4:$B3965=B3966),$A$4:$A3965),""))</f>
        <v/>
      </c>
      <c r="J3966" s="32">
        <f>IF(B3966="","",IFERROR(D3966/I3966,""))</f>
        <v/>
      </c>
      <c r="K3966" s="71">
        <f>IF(B3966="","",IFERROR(AVERAGEIFS($J$4:$J3966,$B$4:$B3966,B3966,$J$4:$J3966,"&gt;"&amp;0),""))</f>
        <v/>
      </c>
      <c r="L3966" s="12" t="n"/>
    </row>
    <row r="3967" ht="14" customHeight="1" s="72">
      <c r="A3967" s="82" t="n"/>
      <c r="B3967" s="79" t="n"/>
      <c r="C3967" s="69">
        <f>IF(B3967="","",IFERROR(INDEX(Client_List!$B:$B,MATCH(B3967,Client_List!$A:$A,0)),"⚠ NOT FOUND"))</f>
        <v/>
      </c>
      <c r="D3967" s="44" t="n"/>
      <c r="E3967" s="32">
        <f>IF(B3967="","",IFERROR(INDEX(Client_List!$C:$C,MATCH(VALUE(B3967),Client_List!$A:$A,0)),""))</f>
        <v/>
      </c>
      <c r="F3967" s="53">
        <f>IF(B3967="","",IFERROR(INDEX(Client_List!$D:$D,MATCH(VALUE(B3967),Client_List!$A:$A,0)),""))</f>
        <v/>
      </c>
      <c r="G3967" s="53">
        <f>IF(B3967="","",IFERROR(INDEX(Client_List!$K:$K,MATCH(VALUE(B3967),Client_List!$A:$A,0)),""))</f>
        <v/>
      </c>
      <c r="H3967" s="32">
        <f>IF(B3967="","",IFERROR(INDEX(Client_List!$J:$J,MATCH(VALUE(B3967),Client_List!$A:$A,0)),""))</f>
        <v/>
      </c>
      <c r="I3967" s="70">
        <f>IF(B3967="","",IFERROR(A3967-LOOKUP(2,1/($B$4:$B3966=B3967),$A$4:$A3966),""))</f>
        <v/>
      </c>
      <c r="J3967" s="32">
        <f>IF(B3967="","",IFERROR(D3967/I3967,""))</f>
        <v/>
      </c>
      <c r="K3967" s="71">
        <f>IF(B3967="","",IFERROR(AVERAGEIFS($J$4:$J3967,$B$4:$B3967,B3967,$J$4:$J3967,"&gt;"&amp;0),""))</f>
        <v/>
      </c>
      <c r="L3967" s="11" t="n"/>
    </row>
    <row r="3968" ht="14" customHeight="1" s="72">
      <c r="A3968" s="83" t="n"/>
      <c r="B3968" s="81" t="n"/>
      <c r="C3968" s="69">
        <f>IF(B3968="","",IFERROR(INDEX(Client_List!$B:$B,MATCH(B3968,Client_List!$A:$A,0)),"⚠ NOT FOUND"))</f>
        <v/>
      </c>
      <c r="D3968" s="45" t="n"/>
      <c r="E3968" s="32">
        <f>IF(B3968="","",IFERROR(INDEX(Client_List!$C:$C,MATCH(VALUE(B3968),Client_List!$A:$A,0)),""))</f>
        <v/>
      </c>
      <c r="F3968" s="53">
        <f>IF(B3968="","",IFERROR(INDEX(Client_List!$D:$D,MATCH(VALUE(B3968),Client_List!$A:$A,0)),""))</f>
        <v/>
      </c>
      <c r="G3968" s="53">
        <f>IF(B3968="","",IFERROR(INDEX(Client_List!$K:$K,MATCH(VALUE(B3968),Client_List!$A:$A,0)),""))</f>
        <v/>
      </c>
      <c r="H3968" s="32">
        <f>IF(B3968="","",IFERROR(INDEX(Client_List!$J:$J,MATCH(VALUE(B3968),Client_List!$A:$A,0)),""))</f>
        <v/>
      </c>
      <c r="I3968" s="70">
        <f>IF(B3968="","",IFERROR(A3968-LOOKUP(2,1/($B$4:$B3967=B3968),$A$4:$A3967),""))</f>
        <v/>
      </c>
      <c r="J3968" s="32">
        <f>IF(B3968="","",IFERROR(D3968/I3968,""))</f>
        <v/>
      </c>
      <c r="K3968" s="71">
        <f>IF(B3968="","",IFERROR(AVERAGEIFS($J$4:$J3968,$B$4:$B3968,B3968,$J$4:$J3968,"&gt;"&amp;0),""))</f>
        <v/>
      </c>
      <c r="L3968" s="12" t="n"/>
    </row>
    <row r="3969" ht="14" customHeight="1" s="72">
      <c r="A3969" s="82" t="n"/>
      <c r="B3969" s="79" t="n"/>
      <c r="C3969" s="69">
        <f>IF(B3969="","",IFERROR(INDEX(Client_List!$B:$B,MATCH(B3969,Client_List!$A:$A,0)),"⚠ NOT FOUND"))</f>
        <v/>
      </c>
      <c r="D3969" s="44" t="n"/>
      <c r="E3969" s="32">
        <f>IF(B3969="","",IFERROR(INDEX(Client_List!$C:$C,MATCH(VALUE(B3969),Client_List!$A:$A,0)),""))</f>
        <v/>
      </c>
      <c r="F3969" s="53">
        <f>IF(B3969="","",IFERROR(INDEX(Client_List!$D:$D,MATCH(VALUE(B3969),Client_List!$A:$A,0)),""))</f>
        <v/>
      </c>
      <c r="G3969" s="53">
        <f>IF(B3969="","",IFERROR(INDEX(Client_List!$K:$K,MATCH(VALUE(B3969),Client_List!$A:$A,0)),""))</f>
        <v/>
      </c>
      <c r="H3969" s="32">
        <f>IF(B3969="","",IFERROR(INDEX(Client_List!$J:$J,MATCH(VALUE(B3969),Client_List!$A:$A,0)),""))</f>
        <v/>
      </c>
      <c r="I3969" s="70">
        <f>IF(B3969="","",IFERROR(A3969-LOOKUP(2,1/($B$4:$B3968=B3969),$A$4:$A3968),""))</f>
        <v/>
      </c>
      <c r="J3969" s="32">
        <f>IF(B3969="","",IFERROR(D3969/I3969,""))</f>
        <v/>
      </c>
      <c r="K3969" s="71">
        <f>IF(B3969="","",IFERROR(AVERAGEIFS($J$4:$J3969,$B$4:$B3969,B3969,$J$4:$J3969,"&gt;"&amp;0),""))</f>
        <v/>
      </c>
      <c r="L3969" s="11" t="n"/>
    </row>
    <row r="3970" ht="14" customHeight="1" s="72">
      <c r="A3970" s="83" t="n"/>
      <c r="B3970" s="81" t="n"/>
      <c r="C3970" s="69">
        <f>IF(B3970="","",IFERROR(INDEX(Client_List!$B:$B,MATCH(B3970,Client_List!$A:$A,0)),"⚠ NOT FOUND"))</f>
        <v/>
      </c>
      <c r="D3970" s="45" t="n"/>
      <c r="E3970" s="32">
        <f>IF(B3970="","",IFERROR(INDEX(Client_List!$C:$C,MATCH(VALUE(B3970),Client_List!$A:$A,0)),""))</f>
        <v/>
      </c>
      <c r="F3970" s="53">
        <f>IF(B3970="","",IFERROR(INDEX(Client_List!$D:$D,MATCH(VALUE(B3970),Client_List!$A:$A,0)),""))</f>
        <v/>
      </c>
      <c r="G3970" s="53">
        <f>IF(B3970="","",IFERROR(INDEX(Client_List!$K:$K,MATCH(VALUE(B3970),Client_List!$A:$A,0)),""))</f>
        <v/>
      </c>
      <c r="H3970" s="32">
        <f>IF(B3970="","",IFERROR(INDEX(Client_List!$J:$J,MATCH(VALUE(B3970),Client_List!$A:$A,0)),""))</f>
        <v/>
      </c>
      <c r="I3970" s="70">
        <f>IF(B3970="","",IFERROR(A3970-LOOKUP(2,1/($B$4:$B3969=B3970),$A$4:$A3969),""))</f>
        <v/>
      </c>
      <c r="J3970" s="32">
        <f>IF(B3970="","",IFERROR(D3970/I3970,""))</f>
        <v/>
      </c>
      <c r="K3970" s="71">
        <f>IF(B3970="","",IFERROR(AVERAGEIFS($J$4:$J3970,$B$4:$B3970,B3970,$J$4:$J3970,"&gt;"&amp;0),""))</f>
        <v/>
      </c>
      <c r="L3970" s="12" t="n"/>
    </row>
    <row r="3971" ht="14" customHeight="1" s="72">
      <c r="A3971" s="82" t="n"/>
      <c r="B3971" s="79" t="n"/>
      <c r="C3971" s="69">
        <f>IF(B3971="","",IFERROR(INDEX(Client_List!$B:$B,MATCH(B3971,Client_List!$A:$A,0)),"⚠ NOT FOUND"))</f>
        <v/>
      </c>
      <c r="D3971" s="44" t="n"/>
      <c r="E3971" s="32">
        <f>IF(B3971="","",IFERROR(INDEX(Client_List!$C:$C,MATCH(VALUE(B3971),Client_List!$A:$A,0)),""))</f>
        <v/>
      </c>
      <c r="F3971" s="53">
        <f>IF(B3971="","",IFERROR(INDEX(Client_List!$D:$D,MATCH(VALUE(B3971),Client_List!$A:$A,0)),""))</f>
        <v/>
      </c>
      <c r="G3971" s="53">
        <f>IF(B3971="","",IFERROR(INDEX(Client_List!$K:$K,MATCH(VALUE(B3971),Client_List!$A:$A,0)),""))</f>
        <v/>
      </c>
      <c r="H3971" s="32">
        <f>IF(B3971="","",IFERROR(INDEX(Client_List!$J:$J,MATCH(VALUE(B3971),Client_List!$A:$A,0)),""))</f>
        <v/>
      </c>
      <c r="I3971" s="70">
        <f>IF(B3971="","",IFERROR(A3971-LOOKUP(2,1/($B$4:$B3970=B3971),$A$4:$A3970),""))</f>
        <v/>
      </c>
      <c r="J3971" s="32">
        <f>IF(B3971="","",IFERROR(D3971/I3971,""))</f>
        <v/>
      </c>
      <c r="K3971" s="71">
        <f>IF(B3971="","",IFERROR(AVERAGEIFS($J$4:$J3971,$B$4:$B3971,B3971,$J$4:$J3971,"&gt;"&amp;0),""))</f>
        <v/>
      </c>
      <c r="L3971" s="11" t="n"/>
    </row>
    <row r="3972" ht="14" customHeight="1" s="72">
      <c r="A3972" s="83" t="n"/>
      <c r="B3972" s="81" t="n"/>
      <c r="C3972" s="69">
        <f>IF(B3972="","",IFERROR(INDEX(Client_List!$B:$B,MATCH(B3972,Client_List!$A:$A,0)),"⚠ NOT FOUND"))</f>
        <v/>
      </c>
      <c r="D3972" s="45" t="n"/>
      <c r="E3972" s="32">
        <f>IF(B3972="","",IFERROR(INDEX(Client_List!$C:$C,MATCH(VALUE(B3972),Client_List!$A:$A,0)),""))</f>
        <v/>
      </c>
      <c r="F3972" s="53">
        <f>IF(B3972="","",IFERROR(INDEX(Client_List!$D:$D,MATCH(VALUE(B3972),Client_List!$A:$A,0)),""))</f>
        <v/>
      </c>
      <c r="G3972" s="53">
        <f>IF(B3972="","",IFERROR(INDEX(Client_List!$K:$K,MATCH(VALUE(B3972),Client_List!$A:$A,0)),""))</f>
        <v/>
      </c>
      <c r="H3972" s="32">
        <f>IF(B3972="","",IFERROR(INDEX(Client_List!$J:$J,MATCH(VALUE(B3972),Client_List!$A:$A,0)),""))</f>
        <v/>
      </c>
      <c r="I3972" s="70">
        <f>IF(B3972="","",IFERROR(A3972-LOOKUP(2,1/($B$4:$B3971=B3972),$A$4:$A3971),""))</f>
        <v/>
      </c>
      <c r="J3972" s="32">
        <f>IF(B3972="","",IFERROR(D3972/I3972,""))</f>
        <v/>
      </c>
      <c r="K3972" s="71">
        <f>IF(B3972="","",IFERROR(AVERAGEIFS($J$4:$J3972,$B$4:$B3972,B3972,$J$4:$J3972,"&gt;"&amp;0),""))</f>
        <v/>
      </c>
      <c r="L3972" s="12" t="n"/>
    </row>
    <row r="3973" ht="14" customHeight="1" s="72">
      <c r="A3973" s="82" t="n"/>
      <c r="B3973" s="79" t="n"/>
      <c r="C3973" s="69">
        <f>IF(B3973="","",IFERROR(INDEX(Client_List!$B:$B,MATCH(B3973,Client_List!$A:$A,0)),"⚠ NOT FOUND"))</f>
        <v/>
      </c>
      <c r="D3973" s="44" t="n"/>
      <c r="E3973" s="32">
        <f>IF(B3973="","",IFERROR(INDEX(Client_List!$C:$C,MATCH(VALUE(B3973),Client_List!$A:$A,0)),""))</f>
        <v/>
      </c>
      <c r="F3973" s="53">
        <f>IF(B3973="","",IFERROR(INDEX(Client_List!$D:$D,MATCH(VALUE(B3973),Client_List!$A:$A,0)),""))</f>
        <v/>
      </c>
      <c r="G3973" s="53">
        <f>IF(B3973="","",IFERROR(INDEX(Client_List!$K:$K,MATCH(VALUE(B3973),Client_List!$A:$A,0)),""))</f>
        <v/>
      </c>
      <c r="H3973" s="32">
        <f>IF(B3973="","",IFERROR(INDEX(Client_List!$J:$J,MATCH(VALUE(B3973),Client_List!$A:$A,0)),""))</f>
        <v/>
      </c>
      <c r="I3973" s="70">
        <f>IF(B3973="","",IFERROR(A3973-LOOKUP(2,1/($B$4:$B3972=B3973),$A$4:$A3972),""))</f>
        <v/>
      </c>
      <c r="J3973" s="32">
        <f>IF(B3973="","",IFERROR(D3973/I3973,""))</f>
        <v/>
      </c>
      <c r="K3973" s="71">
        <f>IF(B3973="","",IFERROR(AVERAGEIFS($J$4:$J3973,$B$4:$B3973,B3973,$J$4:$J3973,"&gt;"&amp;0),""))</f>
        <v/>
      </c>
      <c r="L3973" s="11" t="n"/>
    </row>
    <row r="3974" ht="14" customHeight="1" s="72">
      <c r="A3974" s="83" t="n"/>
      <c r="B3974" s="81" t="n"/>
      <c r="C3974" s="69">
        <f>IF(B3974="","",IFERROR(INDEX(Client_List!$B:$B,MATCH(B3974,Client_List!$A:$A,0)),"⚠ NOT FOUND"))</f>
        <v/>
      </c>
      <c r="D3974" s="45" t="n"/>
      <c r="E3974" s="32">
        <f>IF(B3974="","",IFERROR(INDEX(Client_List!$C:$C,MATCH(VALUE(B3974),Client_List!$A:$A,0)),""))</f>
        <v/>
      </c>
      <c r="F3974" s="53">
        <f>IF(B3974="","",IFERROR(INDEX(Client_List!$D:$D,MATCH(VALUE(B3974),Client_List!$A:$A,0)),""))</f>
        <v/>
      </c>
      <c r="G3974" s="53">
        <f>IF(B3974="","",IFERROR(INDEX(Client_List!$K:$K,MATCH(VALUE(B3974),Client_List!$A:$A,0)),""))</f>
        <v/>
      </c>
      <c r="H3974" s="32">
        <f>IF(B3974="","",IFERROR(INDEX(Client_List!$J:$J,MATCH(VALUE(B3974),Client_List!$A:$A,0)),""))</f>
        <v/>
      </c>
      <c r="I3974" s="70">
        <f>IF(B3974="","",IFERROR(A3974-LOOKUP(2,1/($B$4:$B3973=B3974),$A$4:$A3973),""))</f>
        <v/>
      </c>
      <c r="J3974" s="32">
        <f>IF(B3974="","",IFERROR(D3974/I3974,""))</f>
        <v/>
      </c>
      <c r="K3974" s="71">
        <f>IF(B3974="","",IFERROR(AVERAGEIFS($J$4:$J3974,$B$4:$B3974,B3974,$J$4:$J3974,"&gt;"&amp;0),""))</f>
        <v/>
      </c>
      <c r="L3974" s="12" t="n"/>
    </row>
    <row r="3975" ht="14" customHeight="1" s="72">
      <c r="A3975" s="82" t="n"/>
      <c r="B3975" s="79" t="n"/>
      <c r="C3975" s="69">
        <f>IF(B3975="","",IFERROR(INDEX(Client_List!$B:$B,MATCH(B3975,Client_List!$A:$A,0)),"⚠ NOT FOUND"))</f>
        <v/>
      </c>
      <c r="D3975" s="44" t="n"/>
      <c r="E3975" s="32">
        <f>IF(B3975="","",IFERROR(INDEX(Client_List!$C:$C,MATCH(VALUE(B3975),Client_List!$A:$A,0)),""))</f>
        <v/>
      </c>
      <c r="F3975" s="53">
        <f>IF(B3975="","",IFERROR(INDEX(Client_List!$D:$D,MATCH(VALUE(B3975),Client_List!$A:$A,0)),""))</f>
        <v/>
      </c>
      <c r="G3975" s="53">
        <f>IF(B3975="","",IFERROR(INDEX(Client_List!$K:$K,MATCH(VALUE(B3975),Client_List!$A:$A,0)),""))</f>
        <v/>
      </c>
      <c r="H3975" s="32">
        <f>IF(B3975="","",IFERROR(INDEX(Client_List!$J:$J,MATCH(VALUE(B3975),Client_List!$A:$A,0)),""))</f>
        <v/>
      </c>
      <c r="I3975" s="70">
        <f>IF(B3975="","",IFERROR(A3975-LOOKUP(2,1/($B$4:$B3974=B3975),$A$4:$A3974),""))</f>
        <v/>
      </c>
      <c r="J3975" s="32">
        <f>IF(B3975="","",IFERROR(D3975/I3975,""))</f>
        <v/>
      </c>
      <c r="K3975" s="71">
        <f>IF(B3975="","",IFERROR(AVERAGEIFS($J$4:$J3975,$B$4:$B3975,B3975,$J$4:$J3975,"&gt;"&amp;0),""))</f>
        <v/>
      </c>
      <c r="L3975" s="11" t="n"/>
    </row>
    <row r="3976" ht="14" customHeight="1" s="72">
      <c r="A3976" s="83" t="n"/>
      <c r="B3976" s="81" t="n"/>
      <c r="C3976" s="69">
        <f>IF(B3976="","",IFERROR(INDEX(Client_List!$B:$B,MATCH(B3976,Client_List!$A:$A,0)),"⚠ NOT FOUND"))</f>
        <v/>
      </c>
      <c r="D3976" s="45" t="n"/>
      <c r="E3976" s="32">
        <f>IF(B3976="","",IFERROR(INDEX(Client_List!$C:$C,MATCH(VALUE(B3976),Client_List!$A:$A,0)),""))</f>
        <v/>
      </c>
      <c r="F3976" s="53">
        <f>IF(B3976="","",IFERROR(INDEX(Client_List!$D:$D,MATCH(VALUE(B3976),Client_List!$A:$A,0)),""))</f>
        <v/>
      </c>
      <c r="G3976" s="53">
        <f>IF(B3976="","",IFERROR(INDEX(Client_List!$K:$K,MATCH(VALUE(B3976),Client_List!$A:$A,0)),""))</f>
        <v/>
      </c>
      <c r="H3976" s="32">
        <f>IF(B3976="","",IFERROR(INDEX(Client_List!$J:$J,MATCH(VALUE(B3976),Client_List!$A:$A,0)),""))</f>
        <v/>
      </c>
      <c r="I3976" s="70">
        <f>IF(B3976="","",IFERROR(A3976-LOOKUP(2,1/($B$4:$B3975=B3976),$A$4:$A3975),""))</f>
        <v/>
      </c>
      <c r="J3976" s="32">
        <f>IF(B3976="","",IFERROR(D3976/I3976,""))</f>
        <v/>
      </c>
      <c r="K3976" s="71">
        <f>IF(B3976="","",IFERROR(AVERAGEIFS($J$4:$J3976,$B$4:$B3976,B3976,$J$4:$J3976,"&gt;"&amp;0),""))</f>
        <v/>
      </c>
      <c r="L3976" s="12" t="n"/>
    </row>
    <row r="3977" ht="14" customHeight="1" s="72">
      <c r="A3977" s="82" t="n"/>
      <c r="B3977" s="79" t="n"/>
      <c r="C3977" s="69">
        <f>IF(B3977="","",IFERROR(INDEX(Client_List!$B:$B,MATCH(B3977,Client_List!$A:$A,0)),"⚠ NOT FOUND"))</f>
        <v/>
      </c>
      <c r="D3977" s="44" t="n"/>
      <c r="E3977" s="32">
        <f>IF(B3977="","",IFERROR(INDEX(Client_List!$C:$C,MATCH(VALUE(B3977),Client_List!$A:$A,0)),""))</f>
        <v/>
      </c>
      <c r="F3977" s="53">
        <f>IF(B3977="","",IFERROR(INDEX(Client_List!$D:$D,MATCH(VALUE(B3977),Client_List!$A:$A,0)),""))</f>
        <v/>
      </c>
      <c r="G3977" s="53">
        <f>IF(B3977="","",IFERROR(INDEX(Client_List!$K:$K,MATCH(VALUE(B3977),Client_List!$A:$A,0)),""))</f>
        <v/>
      </c>
      <c r="H3977" s="32">
        <f>IF(B3977="","",IFERROR(INDEX(Client_List!$J:$J,MATCH(VALUE(B3977),Client_List!$A:$A,0)),""))</f>
        <v/>
      </c>
      <c r="I3977" s="70">
        <f>IF(B3977="","",IFERROR(A3977-LOOKUP(2,1/($B$4:$B3976=B3977),$A$4:$A3976),""))</f>
        <v/>
      </c>
      <c r="J3977" s="32">
        <f>IF(B3977="","",IFERROR(D3977/I3977,""))</f>
        <v/>
      </c>
      <c r="K3977" s="71">
        <f>IF(B3977="","",IFERROR(AVERAGEIFS($J$4:$J3977,$B$4:$B3977,B3977,$J$4:$J3977,"&gt;"&amp;0),""))</f>
        <v/>
      </c>
      <c r="L3977" s="11" t="n"/>
    </row>
    <row r="3978" ht="14" customHeight="1" s="72">
      <c r="A3978" s="83" t="n"/>
      <c r="B3978" s="81" t="n"/>
      <c r="C3978" s="69">
        <f>IF(B3978="","",IFERROR(INDEX(Client_List!$B:$B,MATCH(B3978,Client_List!$A:$A,0)),"⚠ NOT FOUND"))</f>
        <v/>
      </c>
      <c r="D3978" s="45" t="n"/>
      <c r="E3978" s="32">
        <f>IF(B3978="","",IFERROR(INDEX(Client_List!$C:$C,MATCH(VALUE(B3978),Client_List!$A:$A,0)),""))</f>
        <v/>
      </c>
      <c r="F3978" s="53">
        <f>IF(B3978="","",IFERROR(INDEX(Client_List!$D:$D,MATCH(VALUE(B3978),Client_List!$A:$A,0)),""))</f>
        <v/>
      </c>
      <c r="G3978" s="53">
        <f>IF(B3978="","",IFERROR(INDEX(Client_List!$K:$K,MATCH(VALUE(B3978),Client_List!$A:$A,0)),""))</f>
        <v/>
      </c>
      <c r="H3978" s="32">
        <f>IF(B3978="","",IFERROR(INDEX(Client_List!$J:$J,MATCH(VALUE(B3978),Client_List!$A:$A,0)),""))</f>
        <v/>
      </c>
      <c r="I3978" s="70">
        <f>IF(B3978="","",IFERROR(A3978-LOOKUP(2,1/($B$4:$B3977=B3978),$A$4:$A3977),""))</f>
        <v/>
      </c>
      <c r="J3978" s="32">
        <f>IF(B3978="","",IFERROR(D3978/I3978,""))</f>
        <v/>
      </c>
      <c r="K3978" s="71">
        <f>IF(B3978="","",IFERROR(AVERAGEIFS($J$4:$J3978,$B$4:$B3978,B3978,$J$4:$J3978,"&gt;"&amp;0),""))</f>
        <v/>
      </c>
      <c r="L3978" s="12" t="n"/>
    </row>
    <row r="3979" ht="14" customHeight="1" s="72">
      <c r="A3979" s="82" t="n"/>
      <c r="B3979" s="79" t="n"/>
      <c r="C3979" s="69">
        <f>IF(B3979="","",IFERROR(INDEX(Client_List!$B:$B,MATCH(B3979,Client_List!$A:$A,0)),"⚠ NOT FOUND"))</f>
        <v/>
      </c>
      <c r="D3979" s="44" t="n"/>
      <c r="E3979" s="32">
        <f>IF(B3979="","",IFERROR(INDEX(Client_List!$C:$C,MATCH(VALUE(B3979),Client_List!$A:$A,0)),""))</f>
        <v/>
      </c>
      <c r="F3979" s="53">
        <f>IF(B3979="","",IFERROR(INDEX(Client_List!$D:$D,MATCH(VALUE(B3979),Client_List!$A:$A,0)),""))</f>
        <v/>
      </c>
      <c r="G3979" s="53">
        <f>IF(B3979="","",IFERROR(INDEX(Client_List!$K:$K,MATCH(VALUE(B3979),Client_List!$A:$A,0)),""))</f>
        <v/>
      </c>
      <c r="H3979" s="32">
        <f>IF(B3979="","",IFERROR(INDEX(Client_List!$J:$J,MATCH(VALUE(B3979),Client_List!$A:$A,0)),""))</f>
        <v/>
      </c>
      <c r="I3979" s="70">
        <f>IF(B3979="","",IFERROR(A3979-LOOKUP(2,1/($B$4:$B3978=B3979),$A$4:$A3978),""))</f>
        <v/>
      </c>
      <c r="J3979" s="32">
        <f>IF(B3979="","",IFERROR(D3979/I3979,""))</f>
        <v/>
      </c>
      <c r="K3979" s="71">
        <f>IF(B3979="","",IFERROR(AVERAGEIFS($J$4:$J3979,$B$4:$B3979,B3979,$J$4:$J3979,"&gt;"&amp;0),""))</f>
        <v/>
      </c>
      <c r="L3979" s="11" t="n"/>
    </row>
    <row r="3980" ht="14" customHeight="1" s="72">
      <c r="A3980" s="83" t="n"/>
      <c r="B3980" s="81" t="n"/>
      <c r="C3980" s="69">
        <f>IF(B3980="","",IFERROR(INDEX(Client_List!$B:$B,MATCH(B3980,Client_List!$A:$A,0)),"⚠ NOT FOUND"))</f>
        <v/>
      </c>
      <c r="D3980" s="45" t="n"/>
      <c r="E3980" s="32">
        <f>IF(B3980="","",IFERROR(INDEX(Client_List!$C:$C,MATCH(VALUE(B3980),Client_List!$A:$A,0)),""))</f>
        <v/>
      </c>
      <c r="F3980" s="53">
        <f>IF(B3980="","",IFERROR(INDEX(Client_List!$D:$D,MATCH(VALUE(B3980),Client_List!$A:$A,0)),""))</f>
        <v/>
      </c>
      <c r="G3980" s="53">
        <f>IF(B3980="","",IFERROR(INDEX(Client_List!$K:$K,MATCH(VALUE(B3980),Client_List!$A:$A,0)),""))</f>
        <v/>
      </c>
      <c r="H3980" s="32">
        <f>IF(B3980="","",IFERROR(INDEX(Client_List!$J:$J,MATCH(VALUE(B3980),Client_List!$A:$A,0)),""))</f>
        <v/>
      </c>
      <c r="I3980" s="70">
        <f>IF(B3980="","",IFERROR(A3980-LOOKUP(2,1/($B$4:$B3979=B3980),$A$4:$A3979),""))</f>
        <v/>
      </c>
      <c r="J3980" s="32">
        <f>IF(B3980="","",IFERROR(D3980/I3980,""))</f>
        <v/>
      </c>
      <c r="K3980" s="71">
        <f>IF(B3980="","",IFERROR(AVERAGEIFS($J$4:$J3980,$B$4:$B3980,B3980,$J$4:$J3980,"&gt;"&amp;0),""))</f>
        <v/>
      </c>
      <c r="L3980" s="12" t="n"/>
    </row>
    <row r="3981" ht="14" customHeight="1" s="72">
      <c r="A3981" s="82" t="n"/>
      <c r="B3981" s="79" t="n"/>
      <c r="C3981" s="69">
        <f>IF(B3981="","",IFERROR(INDEX(Client_List!$B:$B,MATCH(B3981,Client_List!$A:$A,0)),"⚠ NOT FOUND"))</f>
        <v/>
      </c>
      <c r="D3981" s="44" t="n"/>
      <c r="E3981" s="32">
        <f>IF(B3981="","",IFERROR(INDEX(Client_List!$C:$C,MATCH(VALUE(B3981),Client_List!$A:$A,0)),""))</f>
        <v/>
      </c>
      <c r="F3981" s="53">
        <f>IF(B3981="","",IFERROR(INDEX(Client_List!$D:$D,MATCH(VALUE(B3981),Client_List!$A:$A,0)),""))</f>
        <v/>
      </c>
      <c r="G3981" s="53">
        <f>IF(B3981="","",IFERROR(INDEX(Client_List!$K:$K,MATCH(VALUE(B3981),Client_List!$A:$A,0)),""))</f>
        <v/>
      </c>
      <c r="H3981" s="32">
        <f>IF(B3981="","",IFERROR(INDEX(Client_List!$J:$J,MATCH(VALUE(B3981),Client_List!$A:$A,0)),""))</f>
        <v/>
      </c>
      <c r="I3981" s="70">
        <f>IF(B3981="","",IFERROR(A3981-LOOKUP(2,1/($B$4:$B3980=B3981),$A$4:$A3980),""))</f>
        <v/>
      </c>
      <c r="J3981" s="32">
        <f>IF(B3981="","",IFERROR(D3981/I3981,""))</f>
        <v/>
      </c>
      <c r="K3981" s="71">
        <f>IF(B3981="","",IFERROR(AVERAGEIFS($J$4:$J3981,$B$4:$B3981,B3981,$J$4:$J3981,"&gt;"&amp;0),""))</f>
        <v/>
      </c>
      <c r="L3981" s="11" t="n"/>
    </row>
    <row r="3982" ht="14" customHeight="1" s="72">
      <c r="A3982" s="83" t="n"/>
      <c r="B3982" s="81" t="n"/>
      <c r="C3982" s="69">
        <f>IF(B3982="","",IFERROR(INDEX(Client_List!$B:$B,MATCH(B3982,Client_List!$A:$A,0)),"⚠ NOT FOUND"))</f>
        <v/>
      </c>
      <c r="D3982" s="45" t="n"/>
      <c r="E3982" s="32">
        <f>IF(B3982="","",IFERROR(INDEX(Client_List!$C:$C,MATCH(VALUE(B3982),Client_List!$A:$A,0)),""))</f>
        <v/>
      </c>
      <c r="F3982" s="53">
        <f>IF(B3982="","",IFERROR(INDEX(Client_List!$D:$D,MATCH(VALUE(B3982),Client_List!$A:$A,0)),""))</f>
        <v/>
      </c>
      <c r="G3982" s="53">
        <f>IF(B3982="","",IFERROR(INDEX(Client_List!$K:$K,MATCH(VALUE(B3982),Client_List!$A:$A,0)),""))</f>
        <v/>
      </c>
      <c r="H3982" s="32">
        <f>IF(B3982="","",IFERROR(INDEX(Client_List!$J:$J,MATCH(VALUE(B3982),Client_List!$A:$A,0)),""))</f>
        <v/>
      </c>
      <c r="I3982" s="70">
        <f>IF(B3982="","",IFERROR(A3982-LOOKUP(2,1/($B$4:$B3981=B3982),$A$4:$A3981),""))</f>
        <v/>
      </c>
      <c r="J3982" s="32">
        <f>IF(B3982="","",IFERROR(D3982/I3982,""))</f>
        <v/>
      </c>
      <c r="K3982" s="71">
        <f>IF(B3982="","",IFERROR(AVERAGEIFS($J$4:$J3982,$B$4:$B3982,B3982,$J$4:$J3982,"&gt;"&amp;0),""))</f>
        <v/>
      </c>
      <c r="L3982" s="12" t="n"/>
    </row>
    <row r="3983" ht="14" customHeight="1" s="72">
      <c r="A3983" s="82" t="n"/>
      <c r="B3983" s="79" t="n"/>
      <c r="C3983" s="69">
        <f>IF(B3983="","",IFERROR(INDEX(Client_List!$B:$B,MATCH(B3983,Client_List!$A:$A,0)),"⚠ NOT FOUND"))</f>
        <v/>
      </c>
      <c r="D3983" s="44" t="n"/>
      <c r="E3983" s="32">
        <f>IF(B3983="","",IFERROR(INDEX(Client_List!$C:$C,MATCH(VALUE(B3983),Client_List!$A:$A,0)),""))</f>
        <v/>
      </c>
      <c r="F3983" s="53">
        <f>IF(B3983="","",IFERROR(INDEX(Client_List!$D:$D,MATCH(VALUE(B3983),Client_List!$A:$A,0)),""))</f>
        <v/>
      </c>
      <c r="G3983" s="53">
        <f>IF(B3983="","",IFERROR(INDEX(Client_List!$K:$K,MATCH(VALUE(B3983),Client_List!$A:$A,0)),""))</f>
        <v/>
      </c>
      <c r="H3983" s="32">
        <f>IF(B3983="","",IFERROR(INDEX(Client_List!$J:$J,MATCH(VALUE(B3983),Client_List!$A:$A,0)),""))</f>
        <v/>
      </c>
      <c r="I3983" s="70">
        <f>IF(B3983="","",IFERROR(A3983-LOOKUP(2,1/($B$4:$B3982=B3983),$A$4:$A3982),""))</f>
        <v/>
      </c>
      <c r="J3983" s="32">
        <f>IF(B3983="","",IFERROR(D3983/I3983,""))</f>
        <v/>
      </c>
      <c r="K3983" s="71">
        <f>IF(B3983="","",IFERROR(AVERAGEIFS($J$4:$J3983,$B$4:$B3983,B3983,$J$4:$J3983,"&gt;"&amp;0),""))</f>
        <v/>
      </c>
      <c r="L3983" s="11" t="n"/>
    </row>
    <row r="3984" ht="14" customHeight="1" s="72">
      <c r="A3984" s="83" t="n"/>
      <c r="B3984" s="81" t="n"/>
      <c r="C3984" s="69">
        <f>IF(B3984="","",IFERROR(INDEX(Client_List!$B:$B,MATCH(B3984,Client_List!$A:$A,0)),"⚠ NOT FOUND"))</f>
        <v/>
      </c>
      <c r="D3984" s="45" t="n"/>
      <c r="E3984" s="32">
        <f>IF(B3984="","",IFERROR(INDEX(Client_List!$C:$C,MATCH(VALUE(B3984),Client_List!$A:$A,0)),""))</f>
        <v/>
      </c>
      <c r="F3984" s="53">
        <f>IF(B3984="","",IFERROR(INDEX(Client_List!$D:$D,MATCH(VALUE(B3984),Client_List!$A:$A,0)),""))</f>
        <v/>
      </c>
      <c r="G3984" s="53">
        <f>IF(B3984="","",IFERROR(INDEX(Client_List!$K:$K,MATCH(VALUE(B3984),Client_List!$A:$A,0)),""))</f>
        <v/>
      </c>
      <c r="H3984" s="32">
        <f>IF(B3984="","",IFERROR(INDEX(Client_List!$J:$J,MATCH(VALUE(B3984),Client_List!$A:$A,0)),""))</f>
        <v/>
      </c>
      <c r="I3984" s="70">
        <f>IF(B3984="","",IFERROR(A3984-LOOKUP(2,1/($B$4:$B3983=B3984),$A$4:$A3983),""))</f>
        <v/>
      </c>
      <c r="J3984" s="32">
        <f>IF(B3984="","",IFERROR(D3984/I3984,""))</f>
        <v/>
      </c>
      <c r="K3984" s="71">
        <f>IF(B3984="","",IFERROR(AVERAGEIFS($J$4:$J3984,$B$4:$B3984,B3984,$J$4:$J3984,"&gt;"&amp;0),""))</f>
        <v/>
      </c>
      <c r="L3984" s="12" t="n"/>
    </row>
    <row r="3985" ht="14" customHeight="1" s="72">
      <c r="A3985" s="82" t="n"/>
      <c r="B3985" s="79" t="n"/>
      <c r="C3985" s="69">
        <f>IF(B3985="","",IFERROR(INDEX(Client_List!$B:$B,MATCH(B3985,Client_List!$A:$A,0)),"⚠ NOT FOUND"))</f>
        <v/>
      </c>
      <c r="D3985" s="44" t="n"/>
      <c r="E3985" s="32">
        <f>IF(B3985="","",IFERROR(INDEX(Client_List!$C:$C,MATCH(VALUE(B3985),Client_List!$A:$A,0)),""))</f>
        <v/>
      </c>
      <c r="F3985" s="53">
        <f>IF(B3985="","",IFERROR(INDEX(Client_List!$D:$D,MATCH(VALUE(B3985),Client_List!$A:$A,0)),""))</f>
        <v/>
      </c>
      <c r="G3985" s="53">
        <f>IF(B3985="","",IFERROR(INDEX(Client_List!$K:$K,MATCH(VALUE(B3985),Client_List!$A:$A,0)),""))</f>
        <v/>
      </c>
      <c r="H3985" s="32">
        <f>IF(B3985="","",IFERROR(INDEX(Client_List!$J:$J,MATCH(VALUE(B3985),Client_List!$A:$A,0)),""))</f>
        <v/>
      </c>
      <c r="I3985" s="70">
        <f>IF(B3985="","",IFERROR(A3985-LOOKUP(2,1/($B$4:$B3984=B3985),$A$4:$A3984),""))</f>
        <v/>
      </c>
      <c r="J3985" s="32">
        <f>IF(B3985="","",IFERROR(D3985/I3985,""))</f>
        <v/>
      </c>
      <c r="K3985" s="71">
        <f>IF(B3985="","",IFERROR(AVERAGEIFS($J$4:$J3985,$B$4:$B3985,B3985,$J$4:$J3985,"&gt;"&amp;0),""))</f>
        <v/>
      </c>
      <c r="L3985" s="11" t="n"/>
    </row>
    <row r="3986" ht="14" customHeight="1" s="72">
      <c r="A3986" s="83" t="n"/>
      <c r="B3986" s="81" t="n"/>
      <c r="C3986" s="69">
        <f>IF(B3986="","",IFERROR(INDEX(Client_List!$B:$B,MATCH(B3986,Client_List!$A:$A,0)),"⚠ NOT FOUND"))</f>
        <v/>
      </c>
      <c r="D3986" s="45" t="n"/>
      <c r="E3986" s="32">
        <f>IF(B3986="","",IFERROR(INDEX(Client_List!$C:$C,MATCH(VALUE(B3986),Client_List!$A:$A,0)),""))</f>
        <v/>
      </c>
      <c r="F3986" s="53">
        <f>IF(B3986="","",IFERROR(INDEX(Client_List!$D:$D,MATCH(VALUE(B3986),Client_List!$A:$A,0)),""))</f>
        <v/>
      </c>
      <c r="G3986" s="53">
        <f>IF(B3986="","",IFERROR(INDEX(Client_List!$K:$K,MATCH(VALUE(B3986),Client_List!$A:$A,0)),""))</f>
        <v/>
      </c>
      <c r="H3986" s="32">
        <f>IF(B3986="","",IFERROR(INDEX(Client_List!$J:$J,MATCH(VALUE(B3986),Client_List!$A:$A,0)),""))</f>
        <v/>
      </c>
      <c r="I3986" s="70">
        <f>IF(B3986="","",IFERROR(A3986-LOOKUP(2,1/($B$4:$B3985=B3986),$A$4:$A3985),""))</f>
        <v/>
      </c>
      <c r="J3986" s="32">
        <f>IF(B3986="","",IFERROR(D3986/I3986,""))</f>
        <v/>
      </c>
      <c r="K3986" s="71">
        <f>IF(B3986="","",IFERROR(AVERAGEIFS($J$4:$J3986,$B$4:$B3986,B3986,$J$4:$J3986,"&gt;"&amp;0),""))</f>
        <v/>
      </c>
      <c r="L3986" s="12" t="n"/>
    </row>
    <row r="3987" ht="14" customHeight="1" s="72">
      <c r="A3987" s="82" t="n"/>
      <c r="B3987" s="79" t="n"/>
      <c r="C3987" s="69">
        <f>IF(B3987="","",IFERROR(INDEX(Client_List!$B:$B,MATCH(B3987,Client_List!$A:$A,0)),"⚠ NOT FOUND"))</f>
        <v/>
      </c>
      <c r="D3987" s="44" t="n"/>
      <c r="E3987" s="32">
        <f>IF(B3987="","",IFERROR(INDEX(Client_List!$C:$C,MATCH(VALUE(B3987),Client_List!$A:$A,0)),""))</f>
        <v/>
      </c>
      <c r="F3987" s="53">
        <f>IF(B3987="","",IFERROR(INDEX(Client_List!$D:$D,MATCH(VALUE(B3987),Client_List!$A:$A,0)),""))</f>
        <v/>
      </c>
      <c r="G3987" s="53">
        <f>IF(B3987="","",IFERROR(INDEX(Client_List!$K:$K,MATCH(VALUE(B3987),Client_List!$A:$A,0)),""))</f>
        <v/>
      </c>
      <c r="H3987" s="32">
        <f>IF(B3987="","",IFERROR(INDEX(Client_List!$J:$J,MATCH(VALUE(B3987),Client_List!$A:$A,0)),""))</f>
        <v/>
      </c>
      <c r="I3987" s="70">
        <f>IF(B3987="","",IFERROR(A3987-LOOKUP(2,1/($B$4:$B3986=B3987),$A$4:$A3986),""))</f>
        <v/>
      </c>
      <c r="J3987" s="32">
        <f>IF(B3987="","",IFERROR(D3987/I3987,""))</f>
        <v/>
      </c>
      <c r="K3987" s="71">
        <f>IF(B3987="","",IFERROR(AVERAGEIFS($J$4:$J3987,$B$4:$B3987,B3987,$J$4:$J3987,"&gt;"&amp;0),""))</f>
        <v/>
      </c>
      <c r="L3987" s="11" t="n"/>
    </row>
    <row r="3988" ht="14" customHeight="1" s="72">
      <c r="A3988" s="83" t="n"/>
      <c r="B3988" s="81" t="n"/>
      <c r="C3988" s="69">
        <f>IF(B3988="","",IFERROR(INDEX(Client_List!$B:$B,MATCH(B3988,Client_List!$A:$A,0)),"⚠ NOT FOUND"))</f>
        <v/>
      </c>
      <c r="D3988" s="45" t="n"/>
      <c r="E3988" s="32">
        <f>IF(B3988="","",IFERROR(INDEX(Client_List!$C:$C,MATCH(VALUE(B3988),Client_List!$A:$A,0)),""))</f>
        <v/>
      </c>
      <c r="F3988" s="53">
        <f>IF(B3988="","",IFERROR(INDEX(Client_List!$D:$D,MATCH(VALUE(B3988),Client_List!$A:$A,0)),""))</f>
        <v/>
      </c>
      <c r="G3988" s="53">
        <f>IF(B3988="","",IFERROR(INDEX(Client_List!$K:$K,MATCH(VALUE(B3988),Client_List!$A:$A,0)),""))</f>
        <v/>
      </c>
      <c r="H3988" s="32">
        <f>IF(B3988="","",IFERROR(INDEX(Client_List!$J:$J,MATCH(VALUE(B3988),Client_List!$A:$A,0)),""))</f>
        <v/>
      </c>
      <c r="I3988" s="70">
        <f>IF(B3988="","",IFERROR(A3988-LOOKUP(2,1/($B$4:$B3987=B3988),$A$4:$A3987),""))</f>
        <v/>
      </c>
      <c r="J3988" s="32">
        <f>IF(B3988="","",IFERROR(D3988/I3988,""))</f>
        <v/>
      </c>
      <c r="K3988" s="71">
        <f>IF(B3988="","",IFERROR(AVERAGEIFS($J$4:$J3988,$B$4:$B3988,B3988,$J$4:$J3988,"&gt;"&amp;0),""))</f>
        <v/>
      </c>
      <c r="L3988" s="12" t="n"/>
    </row>
    <row r="3989" ht="14" customHeight="1" s="72">
      <c r="A3989" s="82" t="n"/>
      <c r="B3989" s="79" t="n"/>
      <c r="C3989" s="69">
        <f>IF(B3989="","",IFERROR(INDEX(Client_List!$B:$B,MATCH(B3989,Client_List!$A:$A,0)),"⚠ NOT FOUND"))</f>
        <v/>
      </c>
      <c r="D3989" s="44" t="n"/>
      <c r="E3989" s="32">
        <f>IF(B3989="","",IFERROR(INDEX(Client_List!$C:$C,MATCH(VALUE(B3989),Client_List!$A:$A,0)),""))</f>
        <v/>
      </c>
      <c r="F3989" s="53">
        <f>IF(B3989="","",IFERROR(INDEX(Client_List!$D:$D,MATCH(VALUE(B3989),Client_List!$A:$A,0)),""))</f>
        <v/>
      </c>
      <c r="G3989" s="53">
        <f>IF(B3989="","",IFERROR(INDEX(Client_List!$K:$K,MATCH(VALUE(B3989),Client_List!$A:$A,0)),""))</f>
        <v/>
      </c>
      <c r="H3989" s="32">
        <f>IF(B3989="","",IFERROR(INDEX(Client_List!$J:$J,MATCH(VALUE(B3989),Client_List!$A:$A,0)),""))</f>
        <v/>
      </c>
      <c r="I3989" s="70">
        <f>IF(B3989="","",IFERROR(A3989-LOOKUP(2,1/($B$4:$B3988=B3989),$A$4:$A3988),""))</f>
        <v/>
      </c>
      <c r="J3989" s="32">
        <f>IF(B3989="","",IFERROR(D3989/I3989,""))</f>
        <v/>
      </c>
      <c r="K3989" s="71">
        <f>IF(B3989="","",IFERROR(AVERAGEIFS($J$4:$J3989,$B$4:$B3989,B3989,$J$4:$J3989,"&gt;"&amp;0),""))</f>
        <v/>
      </c>
      <c r="L3989" s="11" t="n"/>
    </row>
    <row r="3990" ht="14" customHeight="1" s="72">
      <c r="A3990" s="83" t="n"/>
      <c r="B3990" s="81" t="n"/>
      <c r="C3990" s="69">
        <f>IF(B3990="","",IFERROR(INDEX(Client_List!$B:$B,MATCH(B3990,Client_List!$A:$A,0)),"⚠ NOT FOUND"))</f>
        <v/>
      </c>
      <c r="D3990" s="45" t="n"/>
      <c r="E3990" s="32">
        <f>IF(B3990="","",IFERROR(INDEX(Client_List!$C:$C,MATCH(VALUE(B3990),Client_List!$A:$A,0)),""))</f>
        <v/>
      </c>
      <c r="F3990" s="53">
        <f>IF(B3990="","",IFERROR(INDEX(Client_List!$D:$D,MATCH(VALUE(B3990),Client_List!$A:$A,0)),""))</f>
        <v/>
      </c>
      <c r="G3990" s="53">
        <f>IF(B3990="","",IFERROR(INDEX(Client_List!$K:$K,MATCH(VALUE(B3990),Client_List!$A:$A,0)),""))</f>
        <v/>
      </c>
      <c r="H3990" s="32">
        <f>IF(B3990="","",IFERROR(INDEX(Client_List!$J:$J,MATCH(VALUE(B3990),Client_List!$A:$A,0)),""))</f>
        <v/>
      </c>
      <c r="I3990" s="70">
        <f>IF(B3990="","",IFERROR(A3990-LOOKUP(2,1/($B$4:$B3989=B3990),$A$4:$A3989),""))</f>
        <v/>
      </c>
      <c r="J3990" s="32">
        <f>IF(B3990="","",IFERROR(D3990/I3990,""))</f>
        <v/>
      </c>
      <c r="K3990" s="71">
        <f>IF(B3990="","",IFERROR(AVERAGEIFS($J$4:$J3990,$B$4:$B3990,B3990,$J$4:$J3990,"&gt;"&amp;0),""))</f>
        <v/>
      </c>
      <c r="L3990" s="12" t="n"/>
    </row>
    <row r="3991" ht="14" customHeight="1" s="72">
      <c r="A3991" s="82" t="n"/>
      <c r="B3991" s="79" t="n"/>
      <c r="C3991" s="69">
        <f>IF(B3991="","",IFERROR(INDEX(Client_List!$B:$B,MATCH(B3991,Client_List!$A:$A,0)),"⚠ NOT FOUND"))</f>
        <v/>
      </c>
      <c r="D3991" s="44" t="n"/>
      <c r="E3991" s="32">
        <f>IF(B3991="","",IFERROR(INDEX(Client_List!$C:$C,MATCH(VALUE(B3991),Client_List!$A:$A,0)),""))</f>
        <v/>
      </c>
      <c r="F3991" s="53">
        <f>IF(B3991="","",IFERROR(INDEX(Client_List!$D:$D,MATCH(VALUE(B3991),Client_List!$A:$A,0)),""))</f>
        <v/>
      </c>
      <c r="G3991" s="53">
        <f>IF(B3991="","",IFERROR(INDEX(Client_List!$K:$K,MATCH(VALUE(B3991),Client_List!$A:$A,0)),""))</f>
        <v/>
      </c>
      <c r="H3991" s="32">
        <f>IF(B3991="","",IFERROR(INDEX(Client_List!$J:$J,MATCH(VALUE(B3991),Client_List!$A:$A,0)),""))</f>
        <v/>
      </c>
      <c r="I3991" s="70">
        <f>IF(B3991="","",IFERROR(A3991-LOOKUP(2,1/($B$4:$B3990=B3991),$A$4:$A3990),""))</f>
        <v/>
      </c>
      <c r="J3991" s="32">
        <f>IF(B3991="","",IFERROR(D3991/I3991,""))</f>
        <v/>
      </c>
      <c r="K3991" s="71">
        <f>IF(B3991="","",IFERROR(AVERAGEIFS($J$4:$J3991,$B$4:$B3991,B3991,$J$4:$J3991,"&gt;"&amp;0),""))</f>
        <v/>
      </c>
      <c r="L3991" s="11" t="n"/>
    </row>
    <row r="3992" ht="14" customHeight="1" s="72">
      <c r="A3992" s="83" t="n"/>
      <c r="B3992" s="81" t="n"/>
      <c r="C3992" s="69">
        <f>IF(B3992="","",IFERROR(INDEX(Client_List!$B:$B,MATCH(B3992,Client_List!$A:$A,0)),"⚠ NOT FOUND"))</f>
        <v/>
      </c>
      <c r="D3992" s="45" t="n"/>
      <c r="E3992" s="32">
        <f>IF(B3992="","",IFERROR(INDEX(Client_List!$C:$C,MATCH(VALUE(B3992),Client_List!$A:$A,0)),""))</f>
        <v/>
      </c>
      <c r="F3992" s="53">
        <f>IF(B3992="","",IFERROR(INDEX(Client_List!$D:$D,MATCH(VALUE(B3992),Client_List!$A:$A,0)),""))</f>
        <v/>
      </c>
      <c r="G3992" s="53">
        <f>IF(B3992="","",IFERROR(INDEX(Client_List!$K:$K,MATCH(VALUE(B3992),Client_List!$A:$A,0)),""))</f>
        <v/>
      </c>
      <c r="H3992" s="32">
        <f>IF(B3992="","",IFERROR(INDEX(Client_List!$J:$J,MATCH(VALUE(B3992),Client_List!$A:$A,0)),""))</f>
        <v/>
      </c>
      <c r="I3992" s="70">
        <f>IF(B3992="","",IFERROR(A3992-LOOKUP(2,1/($B$4:$B3991=B3992),$A$4:$A3991),""))</f>
        <v/>
      </c>
      <c r="J3992" s="32">
        <f>IF(B3992="","",IFERROR(D3992/I3992,""))</f>
        <v/>
      </c>
      <c r="K3992" s="71">
        <f>IF(B3992="","",IFERROR(AVERAGEIFS($J$4:$J3992,$B$4:$B3992,B3992,$J$4:$J3992,"&gt;"&amp;0),""))</f>
        <v/>
      </c>
      <c r="L3992" s="12" t="n"/>
    </row>
    <row r="3993" ht="14" customHeight="1" s="72">
      <c r="A3993" s="82" t="n"/>
      <c r="B3993" s="79" t="n"/>
      <c r="C3993" s="69">
        <f>IF(B3993="","",IFERROR(INDEX(Client_List!$B:$B,MATCH(B3993,Client_List!$A:$A,0)),"⚠ NOT FOUND"))</f>
        <v/>
      </c>
      <c r="D3993" s="44" t="n"/>
      <c r="E3993" s="32">
        <f>IF(B3993="","",IFERROR(INDEX(Client_List!$C:$C,MATCH(VALUE(B3993),Client_List!$A:$A,0)),""))</f>
        <v/>
      </c>
      <c r="F3993" s="53">
        <f>IF(B3993="","",IFERROR(INDEX(Client_List!$D:$D,MATCH(VALUE(B3993),Client_List!$A:$A,0)),""))</f>
        <v/>
      </c>
      <c r="G3993" s="53">
        <f>IF(B3993="","",IFERROR(INDEX(Client_List!$K:$K,MATCH(VALUE(B3993),Client_List!$A:$A,0)),""))</f>
        <v/>
      </c>
      <c r="H3993" s="32">
        <f>IF(B3993="","",IFERROR(INDEX(Client_List!$J:$J,MATCH(VALUE(B3993),Client_List!$A:$A,0)),""))</f>
        <v/>
      </c>
      <c r="I3993" s="70">
        <f>IF(B3993="","",IFERROR(A3993-LOOKUP(2,1/($B$4:$B3992=B3993),$A$4:$A3992),""))</f>
        <v/>
      </c>
      <c r="J3993" s="32">
        <f>IF(B3993="","",IFERROR(D3993/I3993,""))</f>
        <v/>
      </c>
      <c r="K3993" s="71">
        <f>IF(B3993="","",IFERROR(AVERAGEIFS($J$4:$J3993,$B$4:$B3993,B3993,$J$4:$J3993,"&gt;"&amp;0),""))</f>
        <v/>
      </c>
      <c r="L3993" s="11" t="n"/>
    </row>
    <row r="3994" ht="14" customHeight="1" s="72">
      <c r="A3994" s="83" t="n"/>
      <c r="B3994" s="81" t="n"/>
      <c r="C3994" s="69">
        <f>IF(B3994="","",IFERROR(INDEX(Client_List!$B:$B,MATCH(B3994,Client_List!$A:$A,0)),"⚠ NOT FOUND"))</f>
        <v/>
      </c>
      <c r="D3994" s="45" t="n"/>
      <c r="E3994" s="32">
        <f>IF(B3994="","",IFERROR(INDEX(Client_List!$C:$C,MATCH(VALUE(B3994),Client_List!$A:$A,0)),""))</f>
        <v/>
      </c>
      <c r="F3994" s="53">
        <f>IF(B3994="","",IFERROR(INDEX(Client_List!$D:$D,MATCH(VALUE(B3994),Client_List!$A:$A,0)),""))</f>
        <v/>
      </c>
      <c r="G3994" s="53">
        <f>IF(B3994="","",IFERROR(INDEX(Client_List!$K:$K,MATCH(VALUE(B3994),Client_List!$A:$A,0)),""))</f>
        <v/>
      </c>
      <c r="H3994" s="32">
        <f>IF(B3994="","",IFERROR(INDEX(Client_List!$J:$J,MATCH(VALUE(B3994),Client_List!$A:$A,0)),""))</f>
        <v/>
      </c>
      <c r="I3994" s="70">
        <f>IF(B3994="","",IFERROR(A3994-LOOKUP(2,1/($B$4:$B3993=B3994),$A$4:$A3993),""))</f>
        <v/>
      </c>
      <c r="J3994" s="32">
        <f>IF(B3994="","",IFERROR(D3994/I3994,""))</f>
        <v/>
      </c>
      <c r="K3994" s="71">
        <f>IF(B3994="","",IFERROR(AVERAGEIFS($J$4:$J3994,$B$4:$B3994,B3994,$J$4:$J3994,"&gt;"&amp;0),""))</f>
        <v/>
      </c>
      <c r="L3994" s="12" t="n"/>
    </row>
    <row r="3995" ht="14" customHeight="1" s="72">
      <c r="A3995" s="82" t="n"/>
      <c r="B3995" s="79" t="n"/>
      <c r="C3995" s="69">
        <f>IF(B3995="","",IFERROR(INDEX(Client_List!$B:$B,MATCH(B3995,Client_List!$A:$A,0)),"⚠ NOT FOUND"))</f>
        <v/>
      </c>
      <c r="D3995" s="44" t="n"/>
      <c r="E3995" s="32">
        <f>IF(B3995="","",IFERROR(INDEX(Client_List!$C:$C,MATCH(VALUE(B3995),Client_List!$A:$A,0)),""))</f>
        <v/>
      </c>
      <c r="F3995" s="53">
        <f>IF(B3995="","",IFERROR(INDEX(Client_List!$D:$D,MATCH(VALUE(B3995),Client_List!$A:$A,0)),""))</f>
        <v/>
      </c>
      <c r="G3995" s="53">
        <f>IF(B3995="","",IFERROR(INDEX(Client_List!$K:$K,MATCH(VALUE(B3995),Client_List!$A:$A,0)),""))</f>
        <v/>
      </c>
      <c r="H3995" s="32">
        <f>IF(B3995="","",IFERROR(INDEX(Client_List!$J:$J,MATCH(VALUE(B3995),Client_List!$A:$A,0)),""))</f>
        <v/>
      </c>
      <c r="I3995" s="70">
        <f>IF(B3995="","",IFERROR(A3995-LOOKUP(2,1/($B$4:$B3994=B3995),$A$4:$A3994),""))</f>
        <v/>
      </c>
      <c r="J3995" s="32">
        <f>IF(B3995="","",IFERROR(D3995/I3995,""))</f>
        <v/>
      </c>
      <c r="K3995" s="71">
        <f>IF(B3995="","",IFERROR(AVERAGEIFS($J$4:$J3995,$B$4:$B3995,B3995,$J$4:$J3995,"&gt;"&amp;0),""))</f>
        <v/>
      </c>
      <c r="L3995" s="11" t="n"/>
    </row>
    <row r="3996" ht="14" customHeight="1" s="72">
      <c r="A3996" s="83" t="n"/>
      <c r="B3996" s="81" t="n"/>
      <c r="C3996" s="69">
        <f>IF(B3996="","",IFERROR(INDEX(Client_List!$B:$B,MATCH(B3996,Client_List!$A:$A,0)),"⚠ NOT FOUND"))</f>
        <v/>
      </c>
      <c r="D3996" s="45" t="n"/>
      <c r="E3996" s="32">
        <f>IF(B3996="","",IFERROR(INDEX(Client_List!$C:$C,MATCH(VALUE(B3996),Client_List!$A:$A,0)),""))</f>
        <v/>
      </c>
      <c r="F3996" s="53">
        <f>IF(B3996="","",IFERROR(INDEX(Client_List!$D:$D,MATCH(VALUE(B3996),Client_List!$A:$A,0)),""))</f>
        <v/>
      </c>
      <c r="G3996" s="53">
        <f>IF(B3996="","",IFERROR(INDEX(Client_List!$K:$K,MATCH(VALUE(B3996),Client_List!$A:$A,0)),""))</f>
        <v/>
      </c>
      <c r="H3996" s="32">
        <f>IF(B3996="","",IFERROR(INDEX(Client_List!$J:$J,MATCH(VALUE(B3996),Client_List!$A:$A,0)),""))</f>
        <v/>
      </c>
      <c r="I3996" s="70">
        <f>IF(B3996="","",IFERROR(A3996-LOOKUP(2,1/($B$4:$B3995=B3996),$A$4:$A3995),""))</f>
        <v/>
      </c>
      <c r="J3996" s="32">
        <f>IF(B3996="","",IFERROR(D3996/I3996,""))</f>
        <v/>
      </c>
      <c r="K3996" s="71">
        <f>IF(B3996="","",IFERROR(AVERAGEIFS($J$4:$J3996,$B$4:$B3996,B3996,$J$4:$J3996,"&gt;"&amp;0),""))</f>
        <v/>
      </c>
      <c r="L3996" s="12" t="n"/>
    </row>
    <row r="3997" ht="14" customHeight="1" s="72">
      <c r="A3997" s="82" t="n"/>
      <c r="B3997" s="79" t="n"/>
      <c r="C3997" s="69">
        <f>IF(B3997="","",IFERROR(INDEX(Client_List!$B:$B,MATCH(B3997,Client_List!$A:$A,0)),"⚠ NOT FOUND"))</f>
        <v/>
      </c>
      <c r="D3997" s="44" t="n"/>
      <c r="E3997" s="32">
        <f>IF(B3997="","",IFERROR(INDEX(Client_List!$C:$C,MATCH(VALUE(B3997),Client_List!$A:$A,0)),""))</f>
        <v/>
      </c>
      <c r="F3997" s="53">
        <f>IF(B3997="","",IFERROR(INDEX(Client_List!$D:$D,MATCH(VALUE(B3997),Client_List!$A:$A,0)),""))</f>
        <v/>
      </c>
      <c r="G3997" s="53">
        <f>IF(B3997="","",IFERROR(INDEX(Client_List!$K:$K,MATCH(VALUE(B3997),Client_List!$A:$A,0)),""))</f>
        <v/>
      </c>
      <c r="H3997" s="32">
        <f>IF(B3997="","",IFERROR(INDEX(Client_List!$J:$J,MATCH(VALUE(B3997),Client_List!$A:$A,0)),""))</f>
        <v/>
      </c>
      <c r="I3997" s="70">
        <f>IF(B3997="","",IFERROR(A3997-LOOKUP(2,1/($B$4:$B3996=B3997),$A$4:$A3996),""))</f>
        <v/>
      </c>
      <c r="J3997" s="32">
        <f>IF(B3997="","",IFERROR(D3997/I3997,""))</f>
        <v/>
      </c>
      <c r="K3997" s="71">
        <f>IF(B3997="","",IFERROR(AVERAGEIFS($J$4:$J3997,$B$4:$B3997,B3997,$J$4:$J3997,"&gt;"&amp;0),""))</f>
        <v/>
      </c>
      <c r="L3997" s="11" t="n"/>
    </row>
    <row r="3998" ht="14" customHeight="1" s="72">
      <c r="A3998" s="83" t="n"/>
      <c r="B3998" s="81" t="n"/>
      <c r="C3998" s="69">
        <f>IF(B3998="","",IFERROR(INDEX(Client_List!$B:$B,MATCH(B3998,Client_List!$A:$A,0)),"⚠ NOT FOUND"))</f>
        <v/>
      </c>
      <c r="D3998" s="45" t="n"/>
      <c r="E3998" s="32">
        <f>IF(B3998="","",IFERROR(INDEX(Client_List!$C:$C,MATCH(VALUE(B3998),Client_List!$A:$A,0)),""))</f>
        <v/>
      </c>
      <c r="F3998" s="53">
        <f>IF(B3998="","",IFERROR(INDEX(Client_List!$D:$D,MATCH(VALUE(B3998),Client_List!$A:$A,0)),""))</f>
        <v/>
      </c>
      <c r="G3998" s="53">
        <f>IF(B3998="","",IFERROR(INDEX(Client_List!$K:$K,MATCH(VALUE(B3998),Client_List!$A:$A,0)),""))</f>
        <v/>
      </c>
      <c r="H3998" s="32">
        <f>IF(B3998="","",IFERROR(INDEX(Client_List!$J:$J,MATCH(VALUE(B3998),Client_List!$A:$A,0)),""))</f>
        <v/>
      </c>
      <c r="I3998" s="70">
        <f>IF(B3998="","",IFERROR(A3998-LOOKUP(2,1/($B$4:$B3997=B3998),$A$4:$A3997),""))</f>
        <v/>
      </c>
      <c r="J3998" s="32">
        <f>IF(B3998="","",IFERROR(D3998/I3998,""))</f>
        <v/>
      </c>
      <c r="K3998" s="71">
        <f>IF(B3998="","",IFERROR(AVERAGEIFS($J$4:$J3998,$B$4:$B3998,B3998,$J$4:$J3998,"&gt;"&amp;0),""))</f>
        <v/>
      </c>
      <c r="L3998" s="12" t="n"/>
    </row>
    <row r="3999" ht="14" customHeight="1" s="72">
      <c r="A3999" s="82" t="n"/>
      <c r="B3999" s="79" t="n"/>
      <c r="C3999" s="69">
        <f>IF(B3999="","",IFERROR(INDEX(Client_List!$B:$B,MATCH(B3999,Client_List!$A:$A,0)),"⚠ NOT FOUND"))</f>
        <v/>
      </c>
      <c r="D3999" s="44" t="n"/>
      <c r="E3999" s="32">
        <f>IF(B3999="","",IFERROR(INDEX(Client_List!$C:$C,MATCH(VALUE(B3999),Client_List!$A:$A,0)),""))</f>
        <v/>
      </c>
      <c r="F3999" s="53">
        <f>IF(B3999="","",IFERROR(INDEX(Client_List!$D:$D,MATCH(VALUE(B3999),Client_List!$A:$A,0)),""))</f>
        <v/>
      </c>
      <c r="G3999" s="53">
        <f>IF(B3999="","",IFERROR(INDEX(Client_List!$K:$K,MATCH(VALUE(B3999),Client_List!$A:$A,0)),""))</f>
        <v/>
      </c>
      <c r="H3999" s="32">
        <f>IF(B3999="","",IFERROR(INDEX(Client_List!$J:$J,MATCH(VALUE(B3999),Client_List!$A:$A,0)),""))</f>
        <v/>
      </c>
      <c r="I3999" s="70">
        <f>IF(B3999="","",IFERROR(A3999-LOOKUP(2,1/($B$4:$B3998=B3999),$A$4:$A3998),""))</f>
        <v/>
      </c>
      <c r="J3999" s="32">
        <f>IF(B3999="","",IFERROR(D3999/I3999,""))</f>
        <v/>
      </c>
      <c r="K3999" s="71">
        <f>IF(B3999="","",IFERROR(AVERAGEIFS($J$4:$J3999,$B$4:$B3999,B3999,$J$4:$J3999,"&gt;"&amp;0),""))</f>
        <v/>
      </c>
      <c r="L3999" s="11" t="n"/>
    </row>
    <row r="4000" ht="14" customHeight="1" s="72">
      <c r="A4000" s="83" t="n"/>
      <c r="B4000" s="81" t="n"/>
      <c r="C4000" s="69">
        <f>IF(B4000="","",IFERROR(INDEX(Client_List!$B:$B,MATCH(B4000,Client_List!$A:$A,0)),"⚠ NOT FOUND"))</f>
        <v/>
      </c>
      <c r="D4000" s="45" t="n"/>
      <c r="E4000" s="32">
        <f>IF(B4000="","",IFERROR(INDEX(Client_List!$C:$C,MATCH(VALUE(B4000),Client_List!$A:$A,0)),""))</f>
        <v/>
      </c>
      <c r="F4000" s="53">
        <f>IF(B4000="","",IFERROR(INDEX(Client_List!$D:$D,MATCH(VALUE(B4000),Client_List!$A:$A,0)),""))</f>
        <v/>
      </c>
      <c r="G4000" s="53">
        <f>IF(B4000="","",IFERROR(INDEX(Client_List!$K:$K,MATCH(VALUE(B4000),Client_List!$A:$A,0)),""))</f>
        <v/>
      </c>
      <c r="H4000" s="32">
        <f>IF(B4000="","",IFERROR(INDEX(Client_List!$J:$J,MATCH(VALUE(B4000),Client_List!$A:$A,0)),""))</f>
        <v/>
      </c>
      <c r="I4000" s="70">
        <f>IF(B4000="","",IFERROR(A4000-LOOKUP(2,1/($B$4:$B3999=B4000),$A$4:$A3999),""))</f>
        <v/>
      </c>
      <c r="J4000" s="32">
        <f>IF(B4000="","",IFERROR(D4000/I4000,""))</f>
        <v/>
      </c>
      <c r="K4000" s="71">
        <f>IF(B4000="","",IFERROR(AVERAGEIFS($J$4:$J4000,$B$4:$B4000,B4000,$J$4:$J4000,"&gt;"&amp;0),""))</f>
        <v/>
      </c>
      <c r="L4000" s="12" t="n"/>
    </row>
    <row r="4001" ht="14" customHeight="1" s="72">
      <c r="A4001" s="82" t="n"/>
      <c r="B4001" s="79" t="n"/>
      <c r="C4001" s="69">
        <f>IF(B4001="","",IFERROR(INDEX(Client_List!$B:$B,MATCH(B4001,Client_List!$A:$A,0)),"⚠ NOT FOUND"))</f>
        <v/>
      </c>
      <c r="D4001" s="44" t="n"/>
      <c r="E4001" s="32">
        <f>IF(B4001="","",IFERROR(INDEX(Client_List!$C:$C,MATCH(VALUE(B4001),Client_List!$A:$A,0)),""))</f>
        <v/>
      </c>
      <c r="F4001" s="53">
        <f>IF(B4001="","",IFERROR(INDEX(Client_List!$D:$D,MATCH(VALUE(B4001),Client_List!$A:$A,0)),""))</f>
        <v/>
      </c>
      <c r="G4001" s="53">
        <f>IF(B4001="","",IFERROR(INDEX(Client_List!$K:$K,MATCH(VALUE(B4001),Client_List!$A:$A,0)),""))</f>
        <v/>
      </c>
      <c r="H4001" s="32">
        <f>IF(B4001="","",IFERROR(INDEX(Client_List!$J:$J,MATCH(VALUE(B4001),Client_List!$A:$A,0)),""))</f>
        <v/>
      </c>
      <c r="I4001" s="70">
        <f>IF(B4001="","",IFERROR(A4001-LOOKUP(2,1/($B$4:$B4000=B4001),$A$4:$A4000),""))</f>
        <v/>
      </c>
      <c r="J4001" s="32">
        <f>IF(B4001="","",IFERROR(D4001/I4001,""))</f>
        <v/>
      </c>
      <c r="K4001" s="71">
        <f>IF(B4001="","",IFERROR(AVERAGEIFS($J$4:$J4001,$B$4:$B4001,B4001,$J$4:$J4001,"&gt;"&amp;0),""))</f>
        <v/>
      </c>
      <c r="L4001" s="11" t="n"/>
    </row>
    <row r="4002" ht="14" customHeight="1" s="72">
      <c r="A4002" s="83" t="n"/>
      <c r="B4002" s="81" t="n"/>
      <c r="C4002" s="69">
        <f>IF(B4002="","",IFERROR(INDEX(Client_List!$B:$B,MATCH(B4002,Client_List!$A:$A,0)),"⚠ NOT FOUND"))</f>
        <v/>
      </c>
      <c r="D4002" s="45" t="n"/>
      <c r="E4002" s="32">
        <f>IF(B4002="","",IFERROR(INDEX(Client_List!$C:$C,MATCH(VALUE(B4002),Client_List!$A:$A,0)),""))</f>
        <v/>
      </c>
      <c r="F4002" s="53">
        <f>IF(B4002="","",IFERROR(INDEX(Client_List!$D:$D,MATCH(VALUE(B4002),Client_List!$A:$A,0)),""))</f>
        <v/>
      </c>
      <c r="G4002" s="53">
        <f>IF(B4002="","",IFERROR(INDEX(Client_List!$K:$K,MATCH(VALUE(B4002),Client_List!$A:$A,0)),""))</f>
        <v/>
      </c>
      <c r="H4002" s="32">
        <f>IF(B4002="","",IFERROR(INDEX(Client_List!$J:$J,MATCH(VALUE(B4002),Client_List!$A:$A,0)),""))</f>
        <v/>
      </c>
      <c r="I4002" s="70">
        <f>IF(B4002="","",IFERROR(A4002-LOOKUP(2,1/($B$4:$B4001=B4002),$A$4:$A4001),""))</f>
        <v/>
      </c>
      <c r="J4002" s="32">
        <f>IF(B4002="","",IFERROR(D4002/I4002,""))</f>
        <v/>
      </c>
      <c r="K4002" s="71">
        <f>IF(B4002="","",IFERROR(AVERAGEIFS($J$4:$J4002,$B$4:$B4002,B4002,$J$4:$J4002,"&gt;"&amp;0),""))</f>
        <v/>
      </c>
      <c r="L4002" s="12" t="n"/>
    </row>
    <row r="4003" ht="14" customHeight="1" s="72">
      <c r="A4003" s="82" t="n"/>
      <c r="B4003" s="79" t="n"/>
      <c r="C4003" s="69">
        <f>IF(B4003="","",IFERROR(INDEX(Client_List!$B:$B,MATCH(B4003,Client_List!$A:$A,0)),"⚠ NOT FOUND"))</f>
        <v/>
      </c>
      <c r="D4003" s="44" t="n"/>
      <c r="E4003" s="32">
        <f>IF(B4003="","",IFERROR(INDEX(Client_List!$C:$C,MATCH(VALUE(B4003),Client_List!$A:$A,0)),""))</f>
        <v/>
      </c>
      <c r="F4003" s="53">
        <f>IF(B4003="","",IFERROR(INDEX(Client_List!$D:$D,MATCH(VALUE(B4003),Client_List!$A:$A,0)),""))</f>
        <v/>
      </c>
      <c r="G4003" s="53">
        <f>IF(B4003="","",IFERROR(INDEX(Client_List!$K:$K,MATCH(VALUE(B4003),Client_List!$A:$A,0)),""))</f>
        <v/>
      </c>
      <c r="H4003" s="32">
        <f>IF(B4003="","",IFERROR(INDEX(Client_List!$J:$J,MATCH(VALUE(B4003),Client_List!$A:$A,0)),""))</f>
        <v/>
      </c>
      <c r="I4003" s="70">
        <f>IF(B4003="","",IFERROR(A4003-LOOKUP(2,1/($B$4:$B4002=B4003),$A$4:$A4002),""))</f>
        <v/>
      </c>
      <c r="J4003" s="32">
        <f>IF(B4003="","",IFERROR(D4003/I4003,""))</f>
        <v/>
      </c>
      <c r="K4003" s="71">
        <f>IF(B4003="","",IFERROR(AVERAGEIFS($J$4:$J4003,$B$4:$B4003,B4003,$J$4:$J4003,"&gt;"&amp;0),""))</f>
        <v/>
      </c>
      <c r="L4003" s="11" t="n"/>
    </row>
    <row r="4004" ht="14" customHeight="1" s="72">
      <c r="A4004" s="83" t="n"/>
      <c r="B4004" s="81" t="n"/>
      <c r="C4004" s="69">
        <f>IF(B4004="","",IFERROR(INDEX(Client_List!$B:$B,MATCH(B4004,Client_List!$A:$A,0)),"⚠ NOT FOUND"))</f>
        <v/>
      </c>
      <c r="D4004" s="45" t="n"/>
      <c r="E4004" s="32">
        <f>IF(B4004="","",IFERROR(INDEX(Client_List!$C:$C,MATCH(VALUE(B4004),Client_List!$A:$A,0)),""))</f>
        <v/>
      </c>
      <c r="F4004" s="53">
        <f>IF(B4004="","",IFERROR(INDEX(Client_List!$D:$D,MATCH(VALUE(B4004),Client_List!$A:$A,0)),""))</f>
        <v/>
      </c>
      <c r="G4004" s="53">
        <f>IF(B4004="","",IFERROR(INDEX(Client_List!$K:$K,MATCH(VALUE(B4004),Client_List!$A:$A,0)),""))</f>
        <v/>
      </c>
      <c r="H4004" s="32">
        <f>IF(B4004="","",IFERROR(INDEX(Client_List!$J:$J,MATCH(VALUE(B4004),Client_List!$A:$A,0)),""))</f>
        <v/>
      </c>
      <c r="I4004" s="70">
        <f>IF(B4004="","",IFERROR(A4004-LOOKUP(2,1/($B$4:$B4003=B4004),$A$4:$A4003),""))</f>
        <v/>
      </c>
      <c r="J4004" s="32">
        <f>IF(B4004="","",IFERROR(D4004/I4004,""))</f>
        <v/>
      </c>
      <c r="K4004" s="71">
        <f>IF(B4004="","",IFERROR(AVERAGEIFS($J$4:$J4004,$B$4:$B4004,B4004,$J$4:$J4004,"&gt;"&amp;0),""))</f>
        <v/>
      </c>
      <c r="L4004" s="12" t="n"/>
    </row>
    <row r="4005" ht="14" customHeight="1" s="72">
      <c r="A4005" s="82" t="n"/>
      <c r="B4005" s="79" t="n"/>
      <c r="C4005" s="69">
        <f>IF(B4005="","",IFERROR(INDEX(Client_List!$B:$B,MATCH(B4005,Client_List!$A:$A,0)),"⚠ NOT FOUND"))</f>
        <v/>
      </c>
      <c r="D4005" s="44" t="n"/>
      <c r="E4005" s="32">
        <f>IF(B4005="","",IFERROR(INDEX(Client_List!$C:$C,MATCH(VALUE(B4005),Client_List!$A:$A,0)),""))</f>
        <v/>
      </c>
      <c r="F4005" s="53">
        <f>IF(B4005="","",IFERROR(INDEX(Client_List!$D:$D,MATCH(VALUE(B4005),Client_List!$A:$A,0)),""))</f>
        <v/>
      </c>
      <c r="G4005" s="53">
        <f>IF(B4005="","",IFERROR(INDEX(Client_List!$K:$K,MATCH(VALUE(B4005),Client_List!$A:$A,0)),""))</f>
        <v/>
      </c>
      <c r="H4005" s="32">
        <f>IF(B4005="","",IFERROR(INDEX(Client_List!$J:$J,MATCH(VALUE(B4005),Client_List!$A:$A,0)),""))</f>
        <v/>
      </c>
      <c r="I4005" s="70">
        <f>IF(B4005="","",IFERROR(A4005-LOOKUP(2,1/($B$4:$B4004=B4005),$A$4:$A4004),""))</f>
        <v/>
      </c>
      <c r="J4005" s="32">
        <f>IF(B4005="","",IFERROR(D4005/I4005,""))</f>
        <v/>
      </c>
      <c r="K4005" s="71">
        <f>IF(B4005="","",IFERROR(AVERAGEIFS($J$4:$J4005,$B$4:$B4005,B4005,$J$4:$J4005,"&gt;"&amp;0),""))</f>
        <v/>
      </c>
      <c r="L4005" s="11" t="n"/>
    </row>
    <row r="4006" ht="14" customHeight="1" s="72">
      <c r="A4006" s="83" t="n"/>
      <c r="B4006" s="81" t="n"/>
      <c r="C4006" s="69">
        <f>IF(B4006="","",IFERROR(INDEX(Client_List!$B:$B,MATCH(B4006,Client_List!$A:$A,0)),"⚠ NOT FOUND"))</f>
        <v/>
      </c>
      <c r="D4006" s="45" t="n"/>
      <c r="E4006" s="32">
        <f>IF(B4006="","",IFERROR(INDEX(Client_List!$C:$C,MATCH(VALUE(B4006),Client_List!$A:$A,0)),""))</f>
        <v/>
      </c>
      <c r="F4006" s="53">
        <f>IF(B4006="","",IFERROR(INDEX(Client_List!$D:$D,MATCH(VALUE(B4006),Client_List!$A:$A,0)),""))</f>
        <v/>
      </c>
      <c r="G4006" s="53">
        <f>IF(B4006="","",IFERROR(INDEX(Client_List!$K:$K,MATCH(VALUE(B4006),Client_List!$A:$A,0)),""))</f>
        <v/>
      </c>
      <c r="H4006" s="32">
        <f>IF(B4006="","",IFERROR(INDEX(Client_List!$J:$J,MATCH(VALUE(B4006),Client_List!$A:$A,0)),""))</f>
        <v/>
      </c>
      <c r="I4006" s="70">
        <f>IF(B4006="","",IFERROR(A4006-LOOKUP(2,1/($B$4:$B4005=B4006),$A$4:$A4005),""))</f>
        <v/>
      </c>
      <c r="J4006" s="32">
        <f>IF(B4006="","",IFERROR(D4006/I4006,""))</f>
        <v/>
      </c>
      <c r="K4006" s="71">
        <f>IF(B4006="","",IFERROR(AVERAGEIFS($J$4:$J4006,$B$4:$B4006,B4006,$J$4:$J4006,"&gt;"&amp;0),""))</f>
        <v/>
      </c>
      <c r="L4006" s="12" t="n"/>
    </row>
    <row r="4007" ht="14" customHeight="1" s="72">
      <c r="A4007" s="82" t="n"/>
      <c r="B4007" s="79" t="n"/>
      <c r="C4007" s="69">
        <f>IF(B4007="","",IFERROR(INDEX(Client_List!$B:$B,MATCH(B4007,Client_List!$A:$A,0)),"⚠ NOT FOUND"))</f>
        <v/>
      </c>
      <c r="D4007" s="44" t="n"/>
      <c r="E4007" s="32">
        <f>IF(B4007="","",IFERROR(INDEX(Client_List!$C:$C,MATCH(VALUE(B4007),Client_List!$A:$A,0)),""))</f>
        <v/>
      </c>
      <c r="F4007" s="53">
        <f>IF(B4007="","",IFERROR(INDEX(Client_List!$D:$D,MATCH(VALUE(B4007),Client_List!$A:$A,0)),""))</f>
        <v/>
      </c>
      <c r="G4007" s="53">
        <f>IF(B4007="","",IFERROR(INDEX(Client_List!$K:$K,MATCH(VALUE(B4007),Client_List!$A:$A,0)),""))</f>
        <v/>
      </c>
      <c r="H4007" s="32">
        <f>IF(B4007="","",IFERROR(INDEX(Client_List!$J:$J,MATCH(VALUE(B4007),Client_List!$A:$A,0)),""))</f>
        <v/>
      </c>
      <c r="I4007" s="70">
        <f>IF(B4007="","",IFERROR(A4007-LOOKUP(2,1/($B$4:$B4006=B4007),$A$4:$A4006),""))</f>
        <v/>
      </c>
      <c r="J4007" s="32">
        <f>IF(B4007="","",IFERROR(D4007/I4007,""))</f>
        <v/>
      </c>
      <c r="K4007" s="71">
        <f>IF(B4007="","",IFERROR(AVERAGEIFS($J$4:$J4007,$B$4:$B4007,B4007,$J$4:$J4007,"&gt;"&amp;0),""))</f>
        <v/>
      </c>
      <c r="L4007" s="11" t="n"/>
    </row>
    <row r="4008" ht="14" customHeight="1" s="72">
      <c r="A4008" s="83" t="n"/>
      <c r="B4008" s="81" t="n"/>
      <c r="C4008" s="69">
        <f>IF(B4008="","",IFERROR(INDEX(Client_List!$B:$B,MATCH(B4008,Client_List!$A:$A,0)),"⚠ NOT FOUND"))</f>
        <v/>
      </c>
      <c r="D4008" s="45" t="n"/>
      <c r="E4008" s="32">
        <f>IF(B4008="","",IFERROR(INDEX(Client_List!$C:$C,MATCH(VALUE(B4008),Client_List!$A:$A,0)),""))</f>
        <v/>
      </c>
      <c r="F4008" s="53">
        <f>IF(B4008="","",IFERROR(INDEX(Client_List!$D:$D,MATCH(VALUE(B4008),Client_List!$A:$A,0)),""))</f>
        <v/>
      </c>
      <c r="G4008" s="53">
        <f>IF(B4008="","",IFERROR(INDEX(Client_List!$K:$K,MATCH(VALUE(B4008),Client_List!$A:$A,0)),""))</f>
        <v/>
      </c>
      <c r="H4008" s="32">
        <f>IF(B4008="","",IFERROR(INDEX(Client_List!$J:$J,MATCH(VALUE(B4008),Client_List!$A:$A,0)),""))</f>
        <v/>
      </c>
      <c r="I4008" s="70">
        <f>IF(B4008="","",IFERROR(A4008-LOOKUP(2,1/($B$4:$B4007=B4008),$A$4:$A4007),""))</f>
        <v/>
      </c>
      <c r="J4008" s="32">
        <f>IF(B4008="","",IFERROR(D4008/I4008,""))</f>
        <v/>
      </c>
      <c r="K4008" s="71">
        <f>IF(B4008="","",IFERROR(AVERAGEIFS($J$4:$J4008,$B$4:$B4008,B4008,$J$4:$J4008,"&gt;"&amp;0),""))</f>
        <v/>
      </c>
      <c r="L4008" s="12" t="n"/>
    </row>
    <row r="4009" ht="14" customHeight="1" s="72">
      <c r="A4009" s="82" t="n"/>
      <c r="B4009" s="79" t="n"/>
      <c r="C4009" s="69">
        <f>IF(B4009="","",IFERROR(INDEX(Client_List!$B:$B,MATCH(B4009,Client_List!$A:$A,0)),"⚠ NOT FOUND"))</f>
        <v/>
      </c>
      <c r="D4009" s="44" t="n"/>
      <c r="E4009" s="32">
        <f>IF(B4009="","",IFERROR(INDEX(Client_List!$C:$C,MATCH(VALUE(B4009),Client_List!$A:$A,0)),""))</f>
        <v/>
      </c>
      <c r="F4009" s="53">
        <f>IF(B4009="","",IFERROR(INDEX(Client_List!$D:$D,MATCH(VALUE(B4009),Client_List!$A:$A,0)),""))</f>
        <v/>
      </c>
      <c r="G4009" s="53">
        <f>IF(B4009="","",IFERROR(INDEX(Client_List!$K:$K,MATCH(VALUE(B4009),Client_List!$A:$A,0)),""))</f>
        <v/>
      </c>
      <c r="H4009" s="32">
        <f>IF(B4009="","",IFERROR(INDEX(Client_List!$J:$J,MATCH(VALUE(B4009),Client_List!$A:$A,0)),""))</f>
        <v/>
      </c>
      <c r="I4009" s="70">
        <f>IF(B4009="","",IFERROR(A4009-LOOKUP(2,1/($B$4:$B4008=B4009),$A$4:$A4008),""))</f>
        <v/>
      </c>
      <c r="J4009" s="32">
        <f>IF(B4009="","",IFERROR(D4009/I4009,""))</f>
        <v/>
      </c>
      <c r="K4009" s="71">
        <f>IF(B4009="","",IFERROR(AVERAGEIFS($J$4:$J4009,$B$4:$B4009,B4009,$J$4:$J4009,"&gt;"&amp;0),""))</f>
        <v/>
      </c>
      <c r="L4009" s="11" t="n"/>
    </row>
    <row r="4010" ht="14" customHeight="1" s="72">
      <c r="A4010" s="83" t="n"/>
      <c r="B4010" s="81" t="n"/>
      <c r="C4010" s="69">
        <f>IF(B4010="","",IFERROR(INDEX(Client_List!$B:$B,MATCH(B4010,Client_List!$A:$A,0)),"⚠ NOT FOUND"))</f>
        <v/>
      </c>
      <c r="D4010" s="45" t="n"/>
      <c r="E4010" s="32">
        <f>IF(B4010="","",IFERROR(INDEX(Client_List!$C:$C,MATCH(VALUE(B4010),Client_List!$A:$A,0)),""))</f>
        <v/>
      </c>
      <c r="F4010" s="53">
        <f>IF(B4010="","",IFERROR(INDEX(Client_List!$D:$D,MATCH(VALUE(B4010),Client_List!$A:$A,0)),""))</f>
        <v/>
      </c>
      <c r="G4010" s="53">
        <f>IF(B4010="","",IFERROR(INDEX(Client_List!$K:$K,MATCH(VALUE(B4010),Client_List!$A:$A,0)),""))</f>
        <v/>
      </c>
      <c r="H4010" s="32">
        <f>IF(B4010="","",IFERROR(INDEX(Client_List!$J:$J,MATCH(VALUE(B4010),Client_List!$A:$A,0)),""))</f>
        <v/>
      </c>
      <c r="I4010" s="70">
        <f>IF(B4010="","",IFERROR(A4010-LOOKUP(2,1/($B$4:$B4009=B4010),$A$4:$A4009),""))</f>
        <v/>
      </c>
      <c r="J4010" s="32">
        <f>IF(B4010="","",IFERROR(D4010/I4010,""))</f>
        <v/>
      </c>
      <c r="K4010" s="71">
        <f>IF(B4010="","",IFERROR(AVERAGEIFS($J$4:$J4010,$B$4:$B4010,B4010,$J$4:$J4010,"&gt;"&amp;0),""))</f>
        <v/>
      </c>
      <c r="L4010" s="12" t="n"/>
    </row>
    <row r="4011" ht="14" customHeight="1" s="72">
      <c r="A4011" s="82" t="n"/>
      <c r="B4011" s="79" t="n"/>
      <c r="C4011" s="69">
        <f>IF(B4011="","",IFERROR(INDEX(Client_List!$B:$B,MATCH(B4011,Client_List!$A:$A,0)),"⚠ NOT FOUND"))</f>
        <v/>
      </c>
      <c r="D4011" s="44" t="n"/>
      <c r="E4011" s="32">
        <f>IF(B4011="","",IFERROR(INDEX(Client_List!$C:$C,MATCH(VALUE(B4011),Client_List!$A:$A,0)),""))</f>
        <v/>
      </c>
      <c r="F4011" s="53">
        <f>IF(B4011="","",IFERROR(INDEX(Client_List!$D:$D,MATCH(VALUE(B4011),Client_List!$A:$A,0)),""))</f>
        <v/>
      </c>
      <c r="G4011" s="53">
        <f>IF(B4011="","",IFERROR(INDEX(Client_List!$K:$K,MATCH(VALUE(B4011),Client_List!$A:$A,0)),""))</f>
        <v/>
      </c>
      <c r="H4011" s="32">
        <f>IF(B4011="","",IFERROR(INDEX(Client_List!$J:$J,MATCH(VALUE(B4011),Client_List!$A:$A,0)),""))</f>
        <v/>
      </c>
      <c r="I4011" s="70">
        <f>IF(B4011="","",IFERROR(A4011-LOOKUP(2,1/($B$4:$B4010=B4011),$A$4:$A4010),""))</f>
        <v/>
      </c>
      <c r="J4011" s="32">
        <f>IF(B4011="","",IFERROR(D4011/I4011,""))</f>
        <v/>
      </c>
      <c r="K4011" s="71">
        <f>IF(B4011="","",IFERROR(AVERAGEIFS($J$4:$J4011,$B$4:$B4011,B4011,$J$4:$J4011,"&gt;"&amp;0),""))</f>
        <v/>
      </c>
      <c r="L4011" s="11" t="n"/>
    </row>
    <row r="4012" ht="14" customHeight="1" s="72">
      <c r="A4012" s="83" t="n"/>
      <c r="B4012" s="81" t="n"/>
      <c r="C4012" s="69">
        <f>IF(B4012="","",IFERROR(INDEX(Client_List!$B:$B,MATCH(B4012,Client_List!$A:$A,0)),"⚠ NOT FOUND"))</f>
        <v/>
      </c>
      <c r="D4012" s="45" t="n"/>
      <c r="E4012" s="32">
        <f>IF(B4012="","",IFERROR(INDEX(Client_List!$C:$C,MATCH(VALUE(B4012),Client_List!$A:$A,0)),""))</f>
        <v/>
      </c>
      <c r="F4012" s="53">
        <f>IF(B4012="","",IFERROR(INDEX(Client_List!$D:$D,MATCH(VALUE(B4012),Client_List!$A:$A,0)),""))</f>
        <v/>
      </c>
      <c r="G4012" s="53">
        <f>IF(B4012="","",IFERROR(INDEX(Client_List!$K:$K,MATCH(VALUE(B4012),Client_List!$A:$A,0)),""))</f>
        <v/>
      </c>
      <c r="H4012" s="32">
        <f>IF(B4012="","",IFERROR(INDEX(Client_List!$J:$J,MATCH(VALUE(B4012),Client_List!$A:$A,0)),""))</f>
        <v/>
      </c>
      <c r="I4012" s="70">
        <f>IF(B4012="","",IFERROR(A4012-LOOKUP(2,1/($B$4:$B4011=B4012),$A$4:$A4011),""))</f>
        <v/>
      </c>
      <c r="J4012" s="32">
        <f>IF(B4012="","",IFERROR(D4012/I4012,""))</f>
        <v/>
      </c>
      <c r="K4012" s="71">
        <f>IF(B4012="","",IFERROR(AVERAGEIFS($J$4:$J4012,$B$4:$B4012,B4012,$J$4:$J4012,"&gt;"&amp;0),""))</f>
        <v/>
      </c>
      <c r="L4012" s="12" t="n"/>
    </row>
    <row r="4013" ht="14" customHeight="1" s="72">
      <c r="A4013" s="82" t="n"/>
      <c r="B4013" s="79" t="n"/>
      <c r="C4013" s="69">
        <f>IF(B4013="","",IFERROR(INDEX(Client_List!$B:$B,MATCH(B4013,Client_List!$A:$A,0)),"⚠ NOT FOUND"))</f>
        <v/>
      </c>
      <c r="D4013" s="44" t="n"/>
      <c r="E4013" s="32">
        <f>IF(B4013="","",IFERROR(INDEX(Client_List!$C:$C,MATCH(VALUE(B4013),Client_List!$A:$A,0)),""))</f>
        <v/>
      </c>
      <c r="F4013" s="53">
        <f>IF(B4013="","",IFERROR(INDEX(Client_List!$D:$D,MATCH(VALUE(B4013),Client_List!$A:$A,0)),""))</f>
        <v/>
      </c>
      <c r="G4013" s="53">
        <f>IF(B4013="","",IFERROR(INDEX(Client_List!$K:$K,MATCH(VALUE(B4013),Client_List!$A:$A,0)),""))</f>
        <v/>
      </c>
      <c r="H4013" s="32">
        <f>IF(B4013="","",IFERROR(INDEX(Client_List!$J:$J,MATCH(VALUE(B4013),Client_List!$A:$A,0)),""))</f>
        <v/>
      </c>
      <c r="I4013" s="70">
        <f>IF(B4013="","",IFERROR(A4013-LOOKUP(2,1/($B$4:$B4012=B4013),$A$4:$A4012),""))</f>
        <v/>
      </c>
      <c r="J4013" s="32">
        <f>IF(B4013="","",IFERROR(D4013/I4013,""))</f>
        <v/>
      </c>
      <c r="K4013" s="71">
        <f>IF(B4013="","",IFERROR(AVERAGEIFS($J$4:$J4013,$B$4:$B4013,B4013,$J$4:$J4013,"&gt;"&amp;0),""))</f>
        <v/>
      </c>
      <c r="L4013" s="11" t="n"/>
    </row>
    <row r="4014" ht="14" customHeight="1" s="72">
      <c r="A4014" s="83" t="n"/>
      <c r="B4014" s="81" t="n"/>
      <c r="C4014" s="69">
        <f>IF(B4014="","",IFERROR(INDEX(Client_List!$B:$B,MATCH(B4014,Client_List!$A:$A,0)),"⚠ NOT FOUND"))</f>
        <v/>
      </c>
      <c r="D4014" s="45" t="n"/>
      <c r="E4014" s="32">
        <f>IF(B4014="","",IFERROR(INDEX(Client_List!$C:$C,MATCH(VALUE(B4014),Client_List!$A:$A,0)),""))</f>
        <v/>
      </c>
      <c r="F4014" s="53">
        <f>IF(B4014="","",IFERROR(INDEX(Client_List!$D:$D,MATCH(VALUE(B4014),Client_List!$A:$A,0)),""))</f>
        <v/>
      </c>
      <c r="G4014" s="53">
        <f>IF(B4014="","",IFERROR(INDEX(Client_List!$K:$K,MATCH(VALUE(B4014),Client_List!$A:$A,0)),""))</f>
        <v/>
      </c>
      <c r="H4014" s="32">
        <f>IF(B4014="","",IFERROR(INDEX(Client_List!$J:$J,MATCH(VALUE(B4014),Client_List!$A:$A,0)),""))</f>
        <v/>
      </c>
      <c r="I4014" s="70">
        <f>IF(B4014="","",IFERROR(A4014-LOOKUP(2,1/($B$4:$B4013=B4014),$A$4:$A4013),""))</f>
        <v/>
      </c>
      <c r="J4014" s="32">
        <f>IF(B4014="","",IFERROR(D4014/I4014,""))</f>
        <v/>
      </c>
      <c r="K4014" s="71">
        <f>IF(B4014="","",IFERROR(AVERAGEIFS($J$4:$J4014,$B$4:$B4014,B4014,$J$4:$J4014,"&gt;"&amp;0),""))</f>
        <v/>
      </c>
      <c r="L4014" s="12" t="n"/>
    </row>
    <row r="4015" ht="14" customHeight="1" s="72">
      <c r="A4015" s="82" t="n"/>
      <c r="B4015" s="79" t="n"/>
      <c r="C4015" s="69">
        <f>IF(B4015="","",IFERROR(INDEX(Client_List!$B:$B,MATCH(B4015,Client_List!$A:$A,0)),"⚠ NOT FOUND"))</f>
        <v/>
      </c>
      <c r="D4015" s="44" t="n"/>
      <c r="E4015" s="32">
        <f>IF(B4015="","",IFERROR(INDEX(Client_List!$C:$C,MATCH(VALUE(B4015),Client_List!$A:$A,0)),""))</f>
        <v/>
      </c>
      <c r="F4015" s="53">
        <f>IF(B4015="","",IFERROR(INDEX(Client_List!$D:$D,MATCH(VALUE(B4015),Client_List!$A:$A,0)),""))</f>
        <v/>
      </c>
      <c r="G4015" s="53">
        <f>IF(B4015="","",IFERROR(INDEX(Client_List!$K:$K,MATCH(VALUE(B4015),Client_List!$A:$A,0)),""))</f>
        <v/>
      </c>
      <c r="H4015" s="32">
        <f>IF(B4015="","",IFERROR(INDEX(Client_List!$J:$J,MATCH(VALUE(B4015),Client_List!$A:$A,0)),""))</f>
        <v/>
      </c>
      <c r="I4015" s="70">
        <f>IF(B4015="","",IFERROR(A4015-LOOKUP(2,1/($B$4:$B4014=B4015),$A$4:$A4014),""))</f>
        <v/>
      </c>
      <c r="J4015" s="32">
        <f>IF(B4015="","",IFERROR(D4015/I4015,""))</f>
        <v/>
      </c>
      <c r="K4015" s="71">
        <f>IF(B4015="","",IFERROR(AVERAGEIFS($J$4:$J4015,$B$4:$B4015,B4015,$J$4:$J4015,"&gt;"&amp;0),""))</f>
        <v/>
      </c>
      <c r="L4015" s="11" t="n"/>
    </row>
    <row r="4016" ht="14" customHeight="1" s="72">
      <c r="A4016" s="83" t="n"/>
      <c r="B4016" s="81" t="n"/>
      <c r="C4016" s="69">
        <f>IF(B4016="","",IFERROR(INDEX(Client_List!$B:$B,MATCH(B4016,Client_List!$A:$A,0)),"⚠ NOT FOUND"))</f>
        <v/>
      </c>
      <c r="D4016" s="45" t="n"/>
      <c r="E4016" s="32">
        <f>IF(B4016="","",IFERROR(INDEX(Client_List!$C:$C,MATCH(VALUE(B4016),Client_List!$A:$A,0)),""))</f>
        <v/>
      </c>
      <c r="F4016" s="53">
        <f>IF(B4016="","",IFERROR(INDEX(Client_List!$D:$D,MATCH(VALUE(B4016),Client_List!$A:$A,0)),""))</f>
        <v/>
      </c>
      <c r="G4016" s="53">
        <f>IF(B4016="","",IFERROR(INDEX(Client_List!$K:$K,MATCH(VALUE(B4016),Client_List!$A:$A,0)),""))</f>
        <v/>
      </c>
      <c r="H4016" s="32">
        <f>IF(B4016="","",IFERROR(INDEX(Client_List!$J:$J,MATCH(VALUE(B4016),Client_List!$A:$A,0)),""))</f>
        <v/>
      </c>
      <c r="I4016" s="70">
        <f>IF(B4016="","",IFERROR(A4016-LOOKUP(2,1/($B$4:$B4015=B4016),$A$4:$A4015),""))</f>
        <v/>
      </c>
      <c r="J4016" s="32">
        <f>IF(B4016="","",IFERROR(D4016/I4016,""))</f>
        <v/>
      </c>
      <c r="K4016" s="71">
        <f>IF(B4016="","",IFERROR(AVERAGEIFS($J$4:$J4016,$B$4:$B4016,B4016,$J$4:$J4016,"&gt;"&amp;0),""))</f>
        <v/>
      </c>
      <c r="L4016" s="12" t="n"/>
    </row>
    <row r="4017" ht="14" customHeight="1" s="72">
      <c r="A4017" s="82" t="n"/>
      <c r="B4017" s="79" t="n"/>
      <c r="C4017" s="69">
        <f>IF(B4017="","",IFERROR(INDEX(Client_List!$B:$B,MATCH(B4017,Client_List!$A:$A,0)),"⚠ NOT FOUND"))</f>
        <v/>
      </c>
      <c r="D4017" s="44" t="n"/>
      <c r="E4017" s="32">
        <f>IF(B4017="","",IFERROR(INDEX(Client_List!$C:$C,MATCH(VALUE(B4017),Client_List!$A:$A,0)),""))</f>
        <v/>
      </c>
      <c r="F4017" s="53">
        <f>IF(B4017="","",IFERROR(INDEX(Client_List!$D:$D,MATCH(VALUE(B4017),Client_List!$A:$A,0)),""))</f>
        <v/>
      </c>
      <c r="G4017" s="53">
        <f>IF(B4017="","",IFERROR(INDEX(Client_List!$K:$K,MATCH(VALUE(B4017),Client_List!$A:$A,0)),""))</f>
        <v/>
      </c>
      <c r="H4017" s="32">
        <f>IF(B4017="","",IFERROR(INDEX(Client_List!$J:$J,MATCH(VALUE(B4017),Client_List!$A:$A,0)),""))</f>
        <v/>
      </c>
      <c r="I4017" s="70">
        <f>IF(B4017="","",IFERROR(A4017-LOOKUP(2,1/($B$4:$B4016=B4017),$A$4:$A4016),""))</f>
        <v/>
      </c>
      <c r="J4017" s="32">
        <f>IF(B4017="","",IFERROR(D4017/I4017,""))</f>
        <v/>
      </c>
      <c r="K4017" s="71">
        <f>IF(B4017="","",IFERROR(AVERAGEIFS($J$4:$J4017,$B$4:$B4017,B4017,$J$4:$J4017,"&gt;"&amp;0),""))</f>
        <v/>
      </c>
      <c r="L4017" s="11" t="n"/>
    </row>
    <row r="4018" ht="14" customHeight="1" s="72">
      <c r="A4018" s="83" t="n"/>
      <c r="B4018" s="81" t="n"/>
      <c r="C4018" s="69">
        <f>IF(B4018="","",IFERROR(INDEX(Client_List!$B:$B,MATCH(B4018,Client_List!$A:$A,0)),"⚠ NOT FOUND"))</f>
        <v/>
      </c>
      <c r="D4018" s="45" t="n"/>
      <c r="E4018" s="32">
        <f>IF(B4018="","",IFERROR(INDEX(Client_List!$C:$C,MATCH(VALUE(B4018),Client_List!$A:$A,0)),""))</f>
        <v/>
      </c>
      <c r="F4018" s="53">
        <f>IF(B4018="","",IFERROR(INDEX(Client_List!$D:$D,MATCH(VALUE(B4018),Client_List!$A:$A,0)),""))</f>
        <v/>
      </c>
      <c r="G4018" s="53">
        <f>IF(B4018="","",IFERROR(INDEX(Client_List!$K:$K,MATCH(VALUE(B4018),Client_List!$A:$A,0)),""))</f>
        <v/>
      </c>
      <c r="H4018" s="32">
        <f>IF(B4018="","",IFERROR(INDEX(Client_List!$J:$J,MATCH(VALUE(B4018),Client_List!$A:$A,0)),""))</f>
        <v/>
      </c>
      <c r="I4018" s="70">
        <f>IF(B4018="","",IFERROR(A4018-LOOKUP(2,1/($B$4:$B4017=B4018),$A$4:$A4017),""))</f>
        <v/>
      </c>
      <c r="J4018" s="32">
        <f>IF(B4018="","",IFERROR(D4018/I4018,""))</f>
        <v/>
      </c>
      <c r="K4018" s="71">
        <f>IF(B4018="","",IFERROR(AVERAGEIFS($J$4:$J4018,$B$4:$B4018,B4018,$J$4:$J4018,"&gt;"&amp;0),""))</f>
        <v/>
      </c>
      <c r="L4018" s="12" t="n"/>
    </row>
    <row r="4019" ht="14" customHeight="1" s="72">
      <c r="A4019" s="82" t="n"/>
      <c r="B4019" s="79" t="n"/>
      <c r="C4019" s="69">
        <f>IF(B4019="","",IFERROR(INDEX(Client_List!$B:$B,MATCH(B4019,Client_List!$A:$A,0)),"⚠ NOT FOUND"))</f>
        <v/>
      </c>
      <c r="D4019" s="44" t="n"/>
      <c r="E4019" s="32">
        <f>IF(B4019="","",IFERROR(INDEX(Client_List!$C:$C,MATCH(VALUE(B4019),Client_List!$A:$A,0)),""))</f>
        <v/>
      </c>
      <c r="F4019" s="53">
        <f>IF(B4019="","",IFERROR(INDEX(Client_List!$D:$D,MATCH(VALUE(B4019),Client_List!$A:$A,0)),""))</f>
        <v/>
      </c>
      <c r="G4019" s="53">
        <f>IF(B4019="","",IFERROR(INDEX(Client_List!$K:$K,MATCH(VALUE(B4019),Client_List!$A:$A,0)),""))</f>
        <v/>
      </c>
      <c r="H4019" s="32">
        <f>IF(B4019="","",IFERROR(INDEX(Client_List!$J:$J,MATCH(VALUE(B4019),Client_List!$A:$A,0)),""))</f>
        <v/>
      </c>
      <c r="I4019" s="70">
        <f>IF(B4019="","",IFERROR(A4019-LOOKUP(2,1/($B$4:$B4018=B4019),$A$4:$A4018),""))</f>
        <v/>
      </c>
      <c r="J4019" s="32">
        <f>IF(B4019="","",IFERROR(D4019/I4019,""))</f>
        <v/>
      </c>
      <c r="K4019" s="71">
        <f>IF(B4019="","",IFERROR(AVERAGEIFS($J$4:$J4019,$B$4:$B4019,B4019,$J$4:$J4019,"&gt;"&amp;0),""))</f>
        <v/>
      </c>
      <c r="L4019" s="11" t="n"/>
    </row>
    <row r="4020" ht="14" customHeight="1" s="72">
      <c r="A4020" s="83" t="n"/>
      <c r="B4020" s="81" t="n"/>
      <c r="C4020" s="69">
        <f>IF(B4020="","",IFERROR(INDEX(Client_List!$B:$B,MATCH(B4020,Client_List!$A:$A,0)),"⚠ NOT FOUND"))</f>
        <v/>
      </c>
      <c r="D4020" s="45" t="n"/>
      <c r="E4020" s="32">
        <f>IF(B4020="","",IFERROR(INDEX(Client_List!$C:$C,MATCH(VALUE(B4020),Client_List!$A:$A,0)),""))</f>
        <v/>
      </c>
      <c r="F4020" s="53">
        <f>IF(B4020="","",IFERROR(INDEX(Client_List!$D:$D,MATCH(VALUE(B4020),Client_List!$A:$A,0)),""))</f>
        <v/>
      </c>
      <c r="G4020" s="53">
        <f>IF(B4020="","",IFERROR(INDEX(Client_List!$K:$K,MATCH(VALUE(B4020),Client_List!$A:$A,0)),""))</f>
        <v/>
      </c>
      <c r="H4020" s="32">
        <f>IF(B4020="","",IFERROR(INDEX(Client_List!$J:$J,MATCH(VALUE(B4020),Client_List!$A:$A,0)),""))</f>
        <v/>
      </c>
      <c r="I4020" s="70">
        <f>IF(B4020="","",IFERROR(A4020-LOOKUP(2,1/($B$4:$B4019=B4020),$A$4:$A4019),""))</f>
        <v/>
      </c>
      <c r="J4020" s="32">
        <f>IF(B4020="","",IFERROR(D4020/I4020,""))</f>
        <v/>
      </c>
      <c r="K4020" s="71">
        <f>IF(B4020="","",IFERROR(AVERAGEIFS($J$4:$J4020,$B$4:$B4020,B4020,$J$4:$J4020,"&gt;"&amp;0),""))</f>
        <v/>
      </c>
      <c r="L4020" s="12" t="n"/>
    </row>
    <row r="4021" ht="14" customHeight="1" s="72">
      <c r="A4021" s="82" t="n"/>
      <c r="B4021" s="79" t="n"/>
      <c r="C4021" s="69">
        <f>IF(B4021="","",IFERROR(INDEX(Client_List!$B:$B,MATCH(B4021,Client_List!$A:$A,0)),"⚠ NOT FOUND"))</f>
        <v/>
      </c>
      <c r="D4021" s="44" t="n"/>
      <c r="E4021" s="32">
        <f>IF(B4021="","",IFERROR(INDEX(Client_List!$C:$C,MATCH(VALUE(B4021),Client_List!$A:$A,0)),""))</f>
        <v/>
      </c>
      <c r="F4021" s="53">
        <f>IF(B4021="","",IFERROR(INDEX(Client_List!$D:$D,MATCH(VALUE(B4021),Client_List!$A:$A,0)),""))</f>
        <v/>
      </c>
      <c r="G4021" s="53">
        <f>IF(B4021="","",IFERROR(INDEX(Client_List!$K:$K,MATCH(VALUE(B4021),Client_List!$A:$A,0)),""))</f>
        <v/>
      </c>
      <c r="H4021" s="32">
        <f>IF(B4021="","",IFERROR(INDEX(Client_List!$J:$J,MATCH(VALUE(B4021),Client_List!$A:$A,0)),""))</f>
        <v/>
      </c>
      <c r="I4021" s="70">
        <f>IF(B4021="","",IFERROR(A4021-LOOKUP(2,1/($B$4:$B4020=B4021),$A$4:$A4020),""))</f>
        <v/>
      </c>
      <c r="J4021" s="32">
        <f>IF(B4021="","",IFERROR(D4021/I4021,""))</f>
        <v/>
      </c>
      <c r="K4021" s="71">
        <f>IF(B4021="","",IFERROR(AVERAGEIFS($J$4:$J4021,$B$4:$B4021,B4021,$J$4:$J4021,"&gt;"&amp;0),""))</f>
        <v/>
      </c>
      <c r="L4021" s="11" t="n"/>
    </row>
    <row r="4022" ht="14" customHeight="1" s="72">
      <c r="A4022" s="83" t="n"/>
      <c r="B4022" s="81" t="n"/>
      <c r="C4022" s="69">
        <f>IF(B4022="","",IFERROR(INDEX(Client_List!$B:$B,MATCH(B4022,Client_List!$A:$A,0)),"⚠ NOT FOUND"))</f>
        <v/>
      </c>
      <c r="D4022" s="45" t="n"/>
      <c r="E4022" s="32">
        <f>IF(B4022="","",IFERROR(INDEX(Client_List!$C:$C,MATCH(VALUE(B4022),Client_List!$A:$A,0)),""))</f>
        <v/>
      </c>
      <c r="F4022" s="53">
        <f>IF(B4022="","",IFERROR(INDEX(Client_List!$D:$D,MATCH(VALUE(B4022),Client_List!$A:$A,0)),""))</f>
        <v/>
      </c>
      <c r="G4022" s="53">
        <f>IF(B4022="","",IFERROR(INDEX(Client_List!$K:$K,MATCH(VALUE(B4022),Client_List!$A:$A,0)),""))</f>
        <v/>
      </c>
      <c r="H4022" s="32">
        <f>IF(B4022="","",IFERROR(INDEX(Client_List!$J:$J,MATCH(VALUE(B4022),Client_List!$A:$A,0)),""))</f>
        <v/>
      </c>
      <c r="I4022" s="70">
        <f>IF(B4022="","",IFERROR(A4022-LOOKUP(2,1/($B$4:$B4021=B4022),$A$4:$A4021),""))</f>
        <v/>
      </c>
      <c r="J4022" s="32">
        <f>IF(B4022="","",IFERROR(D4022/I4022,""))</f>
        <v/>
      </c>
      <c r="K4022" s="71">
        <f>IF(B4022="","",IFERROR(AVERAGEIFS($J$4:$J4022,$B$4:$B4022,B4022,$J$4:$J4022,"&gt;"&amp;0),""))</f>
        <v/>
      </c>
      <c r="L4022" s="12" t="n"/>
    </row>
    <row r="4023" ht="14" customHeight="1" s="72">
      <c r="A4023" s="82" t="n"/>
      <c r="B4023" s="79" t="n"/>
      <c r="C4023" s="69">
        <f>IF(B4023="","",IFERROR(INDEX(Client_List!$B:$B,MATCH(B4023,Client_List!$A:$A,0)),"⚠ NOT FOUND"))</f>
        <v/>
      </c>
      <c r="D4023" s="44" t="n"/>
      <c r="E4023" s="32">
        <f>IF(B4023="","",IFERROR(INDEX(Client_List!$C:$C,MATCH(VALUE(B4023),Client_List!$A:$A,0)),""))</f>
        <v/>
      </c>
      <c r="F4023" s="53">
        <f>IF(B4023="","",IFERROR(INDEX(Client_List!$D:$D,MATCH(VALUE(B4023),Client_List!$A:$A,0)),""))</f>
        <v/>
      </c>
      <c r="G4023" s="53">
        <f>IF(B4023="","",IFERROR(INDEX(Client_List!$K:$K,MATCH(VALUE(B4023),Client_List!$A:$A,0)),""))</f>
        <v/>
      </c>
      <c r="H4023" s="32">
        <f>IF(B4023="","",IFERROR(INDEX(Client_List!$J:$J,MATCH(VALUE(B4023),Client_List!$A:$A,0)),""))</f>
        <v/>
      </c>
      <c r="I4023" s="70">
        <f>IF(B4023="","",IFERROR(A4023-LOOKUP(2,1/($B$4:$B4022=B4023),$A$4:$A4022),""))</f>
        <v/>
      </c>
      <c r="J4023" s="32">
        <f>IF(B4023="","",IFERROR(D4023/I4023,""))</f>
        <v/>
      </c>
      <c r="K4023" s="71">
        <f>IF(B4023="","",IFERROR(AVERAGEIFS($J$4:$J4023,$B$4:$B4023,B4023,$J$4:$J4023,"&gt;"&amp;0),""))</f>
        <v/>
      </c>
      <c r="L4023" s="11" t="n"/>
    </row>
    <row r="4024" ht="14" customHeight="1" s="72">
      <c r="A4024" s="83" t="n"/>
      <c r="B4024" s="81" t="n"/>
      <c r="C4024" s="69">
        <f>IF(B4024="","",IFERROR(INDEX(Client_List!$B:$B,MATCH(B4024,Client_List!$A:$A,0)),"⚠ NOT FOUND"))</f>
        <v/>
      </c>
      <c r="D4024" s="45" t="n"/>
      <c r="E4024" s="32">
        <f>IF(B4024="","",IFERROR(INDEX(Client_List!$C:$C,MATCH(VALUE(B4024),Client_List!$A:$A,0)),""))</f>
        <v/>
      </c>
      <c r="F4024" s="53">
        <f>IF(B4024="","",IFERROR(INDEX(Client_List!$D:$D,MATCH(VALUE(B4024),Client_List!$A:$A,0)),""))</f>
        <v/>
      </c>
      <c r="G4024" s="53">
        <f>IF(B4024="","",IFERROR(INDEX(Client_List!$K:$K,MATCH(VALUE(B4024),Client_List!$A:$A,0)),""))</f>
        <v/>
      </c>
      <c r="H4024" s="32">
        <f>IF(B4024="","",IFERROR(INDEX(Client_List!$J:$J,MATCH(VALUE(B4024),Client_List!$A:$A,0)),""))</f>
        <v/>
      </c>
      <c r="I4024" s="70">
        <f>IF(B4024="","",IFERROR(A4024-LOOKUP(2,1/($B$4:$B4023=B4024),$A$4:$A4023),""))</f>
        <v/>
      </c>
      <c r="J4024" s="32">
        <f>IF(B4024="","",IFERROR(D4024/I4024,""))</f>
        <v/>
      </c>
      <c r="K4024" s="71">
        <f>IF(B4024="","",IFERROR(AVERAGEIFS($J$4:$J4024,$B$4:$B4024,B4024,$J$4:$J4024,"&gt;"&amp;0),""))</f>
        <v/>
      </c>
      <c r="L4024" s="12" t="n"/>
    </row>
    <row r="4025" ht="14" customHeight="1" s="72">
      <c r="A4025" s="82" t="n"/>
      <c r="B4025" s="79" t="n"/>
      <c r="C4025" s="69">
        <f>IF(B4025="","",IFERROR(INDEX(Client_List!$B:$B,MATCH(B4025,Client_List!$A:$A,0)),"⚠ NOT FOUND"))</f>
        <v/>
      </c>
      <c r="D4025" s="44" t="n"/>
      <c r="E4025" s="32">
        <f>IF(B4025="","",IFERROR(INDEX(Client_List!$C:$C,MATCH(VALUE(B4025),Client_List!$A:$A,0)),""))</f>
        <v/>
      </c>
      <c r="F4025" s="53">
        <f>IF(B4025="","",IFERROR(INDEX(Client_List!$D:$D,MATCH(VALUE(B4025),Client_List!$A:$A,0)),""))</f>
        <v/>
      </c>
      <c r="G4025" s="53">
        <f>IF(B4025="","",IFERROR(INDEX(Client_List!$K:$K,MATCH(VALUE(B4025),Client_List!$A:$A,0)),""))</f>
        <v/>
      </c>
      <c r="H4025" s="32">
        <f>IF(B4025="","",IFERROR(INDEX(Client_List!$J:$J,MATCH(VALUE(B4025),Client_List!$A:$A,0)),""))</f>
        <v/>
      </c>
      <c r="I4025" s="70">
        <f>IF(B4025="","",IFERROR(A4025-LOOKUP(2,1/($B$4:$B4024=B4025),$A$4:$A4024),""))</f>
        <v/>
      </c>
      <c r="J4025" s="32">
        <f>IF(B4025="","",IFERROR(D4025/I4025,""))</f>
        <v/>
      </c>
      <c r="K4025" s="71">
        <f>IF(B4025="","",IFERROR(AVERAGEIFS($J$4:$J4025,$B$4:$B4025,B4025,$J$4:$J4025,"&gt;"&amp;0),""))</f>
        <v/>
      </c>
      <c r="L4025" s="11" t="n"/>
    </row>
    <row r="4026" ht="14" customHeight="1" s="72">
      <c r="A4026" s="83" t="n"/>
      <c r="B4026" s="81" t="n"/>
      <c r="C4026" s="69">
        <f>IF(B4026="","",IFERROR(INDEX(Client_List!$B:$B,MATCH(B4026,Client_List!$A:$A,0)),"⚠ NOT FOUND"))</f>
        <v/>
      </c>
      <c r="D4026" s="45" t="n"/>
      <c r="E4026" s="32">
        <f>IF(B4026="","",IFERROR(INDEX(Client_List!$C:$C,MATCH(VALUE(B4026),Client_List!$A:$A,0)),""))</f>
        <v/>
      </c>
      <c r="F4026" s="53">
        <f>IF(B4026="","",IFERROR(INDEX(Client_List!$D:$D,MATCH(VALUE(B4026),Client_List!$A:$A,0)),""))</f>
        <v/>
      </c>
      <c r="G4026" s="53">
        <f>IF(B4026="","",IFERROR(INDEX(Client_List!$K:$K,MATCH(VALUE(B4026),Client_List!$A:$A,0)),""))</f>
        <v/>
      </c>
      <c r="H4026" s="32">
        <f>IF(B4026="","",IFERROR(INDEX(Client_List!$J:$J,MATCH(VALUE(B4026),Client_List!$A:$A,0)),""))</f>
        <v/>
      </c>
      <c r="I4026" s="70">
        <f>IF(B4026="","",IFERROR(A4026-LOOKUP(2,1/($B$4:$B4025=B4026),$A$4:$A4025),""))</f>
        <v/>
      </c>
      <c r="J4026" s="32">
        <f>IF(B4026="","",IFERROR(D4026/I4026,""))</f>
        <v/>
      </c>
      <c r="K4026" s="71">
        <f>IF(B4026="","",IFERROR(AVERAGEIFS($J$4:$J4026,$B$4:$B4026,B4026,$J$4:$J4026,"&gt;"&amp;0),""))</f>
        <v/>
      </c>
      <c r="L4026" s="12" t="n"/>
    </row>
    <row r="4027" ht="14" customHeight="1" s="72">
      <c r="A4027" s="82" t="n"/>
      <c r="B4027" s="79" t="n"/>
      <c r="C4027" s="69">
        <f>IF(B4027="","",IFERROR(INDEX(Client_List!$B:$B,MATCH(B4027,Client_List!$A:$A,0)),"⚠ NOT FOUND"))</f>
        <v/>
      </c>
      <c r="D4027" s="44" t="n"/>
      <c r="E4027" s="32">
        <f>IF(B4027="","",IFERROR(INDEX(Client_List!$C:$C,MATCH(VALUE(B4027),Client_List!$A:$A,0)),""))</f>
        <v/>
      </c>
      <c r="F4027" s="53">
        <f>IF(B4027="","",IFERROR(INDEX(Client_List!$D:$D,MATCH(VALUE(B4027),Client_List!$A:$A,0)),""))</f>
        <v/>
      </c>
      <c r="G4027" s="53">
        <f>IF(B4027="","",IFERROR(INDEX(Client_List!$K:$K,MATCH(VALUE(B4027),Client_List!$A:$A,0)),""))</f>
        <v/>
      </c>
      <c r="H4027" s="32">
        <f>IF(B4027="","",IFERROR(INDEX(Client_List!$J:$J,MATCH(VALUE(B4027),Client_List!$A:$A,0)),""))</f>
        <v/>
      </c>
      <c r="I4027" s="70">
        <f>IF(B4027="","",IFERROR(A4027-LOOKUP(2,1/($B$4:$B4026=B4027),$A$4:$A4026),""))</f>
        <v/>
      </c>
      <c r="J4027" s="32">
        <f>IF(B4027="","",IFERROR(D4027/I4027,""))</f>
        <v/>
      </c>
      <c r="K4027" s="71">
        <f>IF(B4027="","",IFERROR(AVERAGEIFS($J$4:$J4027,$B$4:$B4027,B4027,$J$4:$J4027,"&gt;"&amp;0),""))</f>
        <v/>
      </c>
      <c r="L4027" s="11" t="n"/>
    </row>
    <row r="4028" ht="14" customHeight="1" s="72">
      <c r="A4028" s="83" t="n"/>
      <c r="B4028" s="81" t="n"/>
      <c r="C4028" s="69">
        <f>IF(B4028="","",IFERROR(INDEX(Client_List!$B:$B,MATCH(B4028,Client_List!$A:$A,0)),"⚠ NOT FOUND"))</f>
        <v/>
      </c>
      <c r="D4028" s="45" t="n"/>
      <c r="E4028" s="32">
        <f>IF(B4028="","",IFERROR(INDEX(Client_List!$C:$C,MATCH(VALUE(B4028),Client_List!$A:$A,0)),""))</f>
        <v/>
      </c>
      <c r="F4028" s="53">
        <f>IF(B4028="","",IFERROR(INDEX(Client_List!$D:$D,MATCH(VALUE(B4028),Client_List!$A:$A,0)),""))</f>
        <v/>
      </c>
      <c r="G4028" s="53">
        <f>IF(B4028="","",IFERROR(INDEX(Client_List!$K:$K,MATCH(VALUE(B4028),Client_List!$A:$A,0)),""))</f>
        <v/>
      </c>
      <c r="H4028" s="32">
        <f>IF(B4028="","",IFERROR(INDEX(Client_List!$J:$J,MATCH(VALUE(B4028),Client_List!$A:$A,0)),""))</f>
        <v/>
      </c>
      <c r="I4028" s="70">
        <f>IF(B4028="","",IFERROR(A4028-LOOKUP(2,1/($B$4:$B4027=B4028),$A$4:$A4027),""))</f>
        <v/>
      </c>
      <c r="J4028" s="32">
        <f>IF(B4028="","",IFERROR(D4028/I4028,""))</f>
        <v/>
      </c>
      <c r="K4028" s="71">
        <f>IF(B4028="","",IFERROR(AVERAGEIFS($J$4:$J4028,$B$4:$B4028,B4028,$J$4:$J4028,"&gt;"&amp;0),""))</f>
        <v/>
      </c>
      <c r="L4028" s="12" t="n"/>
    </row>
    <row r="4029" ht="14" customHeight="1" s="72">
      <c r="A4029" s="82" t="n"/>
      <c r="B4029" s="79" t="n"/>
      <c r="C4029" s="69">
        <f>IF(B4029="","",IFERROR(INDEX(Client_List!$B:$B,MATCH(B4029,Client_List!$A:$A,0)),"⚠ NOT FOUND"))</f>
        <v/>
      </c>
      <c r="D4029" s="44" t="n"/>
      <c r="E4029" s="32">
        <f>IF(B4029="","",IFERROR(INDEX(Client_List!$C:$C,MATCH(VALUE(B4029),Client_List!$A:$A,0)),""))</f>
        <v/>
      </c>
      <c r="F4029" s="53">
        <f>IF(B4029="","",IFERROR(INDEX(Client_List!$D:$D,MATCH(VALUE(B4029),Client_List!$A:$A,0)),""))</f>
        <v/>
      </c>
      <c r="G4029" s="53">
        <f>IF(B4029="","",IFERROR(INDEX(Client_List!$K:$K,MATCH(VALUE(B4029),Client_List!$A:$A,0)),""))</f>
        <v/>
      </c>
      <c r="H4029" s="32">
        <f>IF(B4029="","",IFERROR(INDEX(Client_List!$J:$J,MATCH(VALUE(B4029),Client_List!$A:$A,0)),""))</f>
        <v/>
      </c>
      <c r="I4029" s="70">
        <f>IF(B4029="","",IFERROR(A4029-LOOKUP(2,1/($B$4:$B4028=B4029),$A$4:$A4028),""))</f>
        <v/>
      </c>
      <c r="J4029" s="32">
        <f>IF(B4029="","",IFERROR(D4029/I4029,""))</f>
        <v/>
      </c>
      <c r="K4029" s="71">
        <f>IF(B4029="","",IFERROR(AVERAGEIFS($J$4:$J4029,$B$4:$B4029,B4029,$J$4:$J4029,"&gt;"&amp;0),""))</f>
        <v/>
      </c>
      <c r="L4029" s="11" t="n"/>
    </row>
    <row r="4030" ht="14" customHeight="1" s="72">
      <c r="A4030" s="83" t="n"/>
      <c r="B4030" s="81" t="n"/>
      <c r="C4030" s="69">
        <f>IF(B4030="","",IFERROR(INDEX(Client_List!$B:$B,MATCH(B4030,Client_List!$A:$A,0)),"⚠ NOT FOUND"))</f>
        <v/>
      </c>
      <c r="D4030" s="45" t="n"/>
      <c r="E4030" s="32">
        <f>IF(B4030="","",IFERROR(INDEX(Client_List!$C:$C,MATCH(VALUE(B4030),Client_List!$A:$A,0)),""))</f>
        <v/>
      </c>
      <c r="F4030" s="53">
        <f>IF(B4030="","",IFERROR(INDEX(Client_List!$D:$D,MATCH(VALUE(B4030),Client_List!$A:$A,0)),""))</f>
        <v/>
      </c>
      <c r="G4030" s="53">
        <f>IF(B4030="","",IFERROR(INDEX(Client_List!$K:$K,MATCH(VALUE(B4030),Client_List!$A:$A,0)),""))</f>
        <v/>
      </c>
      <c r="H4030" s="32">
        <f>IF(B4030="","",IFERROR(INDEX(Client_List!$J:$J,MATCH(VALUE(B4030),Client_List!$A:$A,0)),""))</f>
        <v/>
      </c>
      <c r="I4030" s="70">
        <f>IF(B4030="","",IFERROR(A4030-LOOKUP(2,1/($B$4:$B4029=B4030),$A$4:$A4029),""))</f>
        <v/>
      </c>
      <c r="J4030" s="32">
        <f>IF(B4030="","",IFERROR(D4030/I4030,""))</f>
        <v/>
      </c>
      <c r="K4030" s="71">
        <f>IF(B4030="","",IFERROR(AVERAGEIFS($J$4:$J4030,$B$4:$B4030,B4030,$J$4:$J4030,"&gt;"&amp;0),""))</f>
        <v/>
      </c>
      <c r="L4030" s="12" t="n"/>
    </row>
    <row r="4031" ht="14" customHeight="1" s="72">
      <c r="A4031" s="82" t="n"/>
      <c r="B4031" s="79" t="n"/>
      <c r="C4031" s="69">
        <f>IF(B4031="","",IFERROR(INDEX(Client_List!$B:$B,MATCH(B4031,Client_List!$A:$A,0)),"⚠ NOT FOUND"))</f>
        <v/>
      </c>
      <c r="D4031" s="44" t="n"/>
      <c r="E4031" s="32">
        <f>IF(B4031="","",IFERROR(INDEX(Client_List!$C:$C,MATCH(VALUE(B4031),Client_List!$A:$A,0)),""))</f>
        <v/>
      </c>
      <c r="F4031" s="53">
        <f>IF(B4031="","",IFERROR(INDEX(Client_List!$D:$D,MATCH(VALUE(B4031),Client_List!$A:$A,0)),""))</f>
        <v/>
      </c>
      <c r="G4031" s="53">
        <f>IF(B4031="","",IFERROR(INDEX(Client_List!$K:$K,MATCH(VALUE(B4031),Client_List!$A:$A,0)),""))</f>
        <v/>
      </c>
      <c r="H4031" s="32">
        <f>IF(B4031="","",IFERROR(INDEX(Client_List!$J:$J,MATCH(VALUE(B4031),Client_List!$A:$A,0)),""))</f>
        <v/>
      </c>
      <c r="I4031" s="70">
        <f>IF(B4031="","",IFERROR(A4031-LOOKUP(2,1/($B$4:$B4030=B4031),$A$4:$A4030),""))</f>
        <v/>
      </c>
      <c r="J4031" s="32">
        <f>IF(B4031="","",IFERROR(D4031/I4031,""))</f>
        <v/>
      </c>
      <c r="K4031" s="71">
        <f>IF(B4031="","",IFERROR(AVERAGEIFS($J$4:$J4031,$B$4:$B4031,B4031,$J$4:$J4031,"&gt;"&amp;0),""))</f>
        <v/>
      </c>
      <c r="L4031" s="11" t="n"/>
    </row>
    <row r="4032" ht="14" customHeight="1" s="72">
      <c r="A4032" s="83" t="n"/>
      <c r="B4032" s="81" t="n"/>
      <c r="C4032" s="69">
        <f>IF(B4032="","",IFERROR(INDEX(Client_List!$B:$B,MATCH(B4032,Client_List!$A:$A,0)),"⚠ NOT FOUND"))</f>
        <v/>
      </c>
      <c r="D4032" s="45" t="n"/>
      <c r="E4032" s="32">
        <f>IF(B4032="","",IFERROR(INDEX(Client_List!$C:$C,MATCH(VALUE(B4032),Client_List!$A:$A,0)),""))</f>
        <v/>
      </c>
      <c r="F4032" s="53">
        <f>IF(B4032="","",IFERROR(INDEX(Client_List!$D:$D,MATCH(VALUE(B4032),Client_List!$A:$A,0)),""))</f>
        <v/>
      </c>
      <c r="G4032" s="53">
        <f>IF(B4032="","",IFERROR(INDEX(Client_List!$K:$K,MATCH(VALUE(B4032),Client_List!$A:$A,0)),""))</f>
        <v/>
      </c>
      <c r="H4032" s="32">
        <f>IF(B4032="","",IFERROR(INDEX(Client_List!$J:$J,MATCH(VALUE(B4032),Client_List!$A:$A,0)),""))</f>
        <v/>
      </c>
      <c r="I4032" s="70">
        <f>IF(B4032="","",IFERROR(A4032-LOOKUP(2,1/($B$4:$B4031=B4032),$A$4:$A4031),""))</f>
        <v/>
      </c>
      <c r="J4032" s="32">
        <f>IF(B4032="","",IFERROR(D4032/I4032,""))</f>
        <v/>
      </c>
      <c r="K4032" s="71">
        <f>IF(B4032="","",IFERROR(AVERAGEIFS($J$4:$J4032,$B$4:$B4032,B4032,$J$4:$J4032,"&gt;"&amp;0),""))</f>
        <v/>
      </c>
      <c r="L4032" s="12" t="n"/>
    </row>
    <row r="4033" ht="14" customHeight="1" s="72">
      <c r="A4033" s="82" t="n"/>
      <c r="B4033" s="79" t="n"/>
      <c r="C4033" s="69">
        <f>IF(B4033="","",IFERROR(INDEX(Client_List!$B:$B,MATCH(B4033,Client_List!$A:$A,0)),"⚠ NOT FOUND"))</f>
        <v/>
      </c>
      <c r="D4033" s="44" t="n"/>
      <c r="E4033" s="32">
        <f>IF(B4033="","",IFERROR(INDEX(Client_List!$C:$C,MATCH(VALUE(B4033),Client_List!$A:$A,0)),""))</f>
        <v/>
      </c>
      <c r="F4033" s="53">
        <f>IF(B4033="","",IFERROR(INDEX(Client_List!$D:$D,MATCH(VALUE(B4033),Client_List!$A:$A,0)),""))</f>
        <v/>
      </c>
      <c r="G4033" s="53">
        <f>IF(B4033="","",IFERROR(INDEX(Client_List!$K:$K,MATCH(VALUE(B4033),Client_List!$A:$A,0)),""))</f>
        <v/>
      </c>
      <c r="H4033" s="32">
        <f>IF(B4033="","",IFERROR(INDEX(Client_List!$J:$J,MATCH(VALUE(B4033),Client_List!$A:$A,0)),""))</f>
        <v/>
      </c>
      <c r="I4033" s="70">
        <f>IF(B4033="","",IFERROR(A4033-LOOKUP(2,1/($B$4:$B4032=B4033),$A$4:$A4032),""))</f>
        <v/>
      </c>
      <c r="J4033" s="32">
        <f>IF(B4033="","",IFERROR(D4033/I4033,""))</f>
        <v/>
      </c>
      <c r="K4033" s="71">
        <f>IF(B4033="","",IFERROR(AVERAGEIFS($J$4:$J4033,$B$4:$B4033,B4033,$J$4:$J4033,"&gt;"&amp;0),""))</f>
        <v/>
      </c>
      <c r="L4033" s="11" t="n"/>
    </row>
    <row r="4034" ht="14" customHeight="1" s="72">
      <c r="A4034" s="83" t="n"/>
      <c r="B4034" s="81" t="n"/>
      <c r="C4034" s="69">
        <f>IF(B4034="","",IFERROR(INDEX(Client_List!$B:$B,MATCH(B4034,Client_List!$A:$A,0)),"⚠ NOT FOUND"))</f>
        <v/>
      </c>
      <c r="D4034" s="45" t="n"/>
      <c r="E4034" s="32">
        <f>IF(B4034="","",IFERROR(INDEX(Client_List!$C:$C,MATCH(VALUE(B4034),Client_List!$A:$A,0)),""))</f>
        <v/>
      </c>
      <c r="F4034" s="53">
        <f>IF(B4034="","",IFERROR(INDEX(Client_List!$D:$D,MATCH(VALUE(B4034),Client_List!$A:$A,0)),""))</f>
        <v/>
      </c>
      <c r="G4034" s="53">
        <f>IF(B4034="","",IFERROR(INDEX(Client_List!$K:$K,MATCH(VALUE(B4034),Client_List!$A:$A,0)),""))</f>
        <v/>
      </c>
      <c r="H4034" s="32">
        <f>IF(B4034="","",IFERROR(INDEX(Client_List!$J:$J,MATCH(VALUE(B4034),Client_List!$A:$A,0)),""))</f>
        <v/>
      </c>
      <c r="I4034" s="70">
        <f>IF(B4034="","",IFERROR(A4034-LOOKUP(2,1/($B$4:$B4033=B4034),$A$4:$A4033),""))</f>
        <v/>
      </c>
      <c r="J4034" s="32">
        <f>IF(B4034="","",IFERROR(D4034/I4034,""))</f>
        <v/>
      </c>
      <c r="K4034" s="71">
        <f>IF(B4034="","",IFERROR(AVERAGEIFS($J$4:$J4034,$B$4:$B4034,B4034,$J$4:$J4034,"&gt;"&amp;0),""))</f>
        <v/>
      </c>
      <c r="L4034" s="12" t="n"/>
    </row>
    <row r="4035" ht="14" customHeight="1" s="72">
      <c r="A4035" s="82" t="n"/>
      <c r="B4035" s="79" t="n"/>
      <c r="C4035" s="69">
        <f>IF(B4035="","",IFERROR(INDEX(Client_List!$B:$B,MATCH(B4035,Client_List!$A:$A,0)),"⚠ NOT FOUND"))</f>
        <v/>
      </c>
      <c r="D4035" s="44" t="n"/>
      <c r="E4035" s="32">
        <f>IF(B4035="","",IFERROR(INDEX(Client_List!$C:$C,MATCH(VALUE(B4035),Client_List!$A:$A,0)),""))</f>
        <v/>
      </c>
      <c r="F4035" s="53">
        <f>IF(B4035="","",IFERROR(INDEX(Client_List!$D:$D,MATCH(VALUE(B4035),Client_List!$A:$A,0)),""))</f>
        <v/>
      </c>
      <c r="G4035" s="53">
        <f>IF(B4035="","",IFERROR(INDEX(Client_List!$K:$K,MATCH(VALUE(B4035),Client_List!$A:$A,0)),""))</f>
        <v/>
      </c>
      <c r="H4035" s="32">
        <f>IF(B4035="","",IFERROR(INDEX(Client_List!$J:$J,MATCH(VALUE(B4035),Client_List!$A:$A,0)),""))</f>
        <v/>
      </c>
      <c r="I4035" s="70">
        <f>IF(B4035="","",IFERROR(A4035-LOOKUP(2,1/($B$4:$B4034=B4035),$A$4:$A4034),""))</f>
        <v/>
      </c>
      <c r="J4035" s="32">
        <f>IF(B4035="","",IFERROR(D4035/I4035,""))</f>
        <v/>
      </c>
      <c r="K4035" s="71">
        <f>IF(B4035="","",IFERROR(AVERAGEIFS($J$4:$J4035,$B$4:$B4035,B4035,$J$4:$J4035,"&gt;"&amp;0),""))</f>
        <v/>
      </c>
      <c r="L4035" s="11" t="n"/>
    </row>
    <row r="4036" ht="14" customHeight="1" s="72">
      <c r="A4036" s="83" t="n"/>
      <c r="B4036" s="81" t="n"/>
      <c r="C4036" s="69">
        <f>IF(B4036="","",IFERROR(INDEX(Client_List!$B:$B,MATCH(B4036,Client_List!$A:$A,0)),"⚠ NOT FOUND"))</f>
        <v/>
      </c>
      <c r="D4036" s="45" t="n"/>
      <c r="E4036" s="32">
        <f>IF(B4036="","",IFERROR(INDEX(Client_List!$C:$C,MATCH(VALUE(B4036),Client_List!$A:$A,0)),""))</f>
        <v/>
      </c>
      <c r="F4036" s="53">
        <f>IF(B4036="","",IFERROR(INDEX(Client_List!$D:$D,MATCH(VALUE(B4036),Client_List!$A:$A,0)),""))</f>
        <v/>
      </c>
      <c r="G4036" s="53">
        <f>IF(B4036="","",IFERROR(INDEX(Client_List!$K:$K,MATCH(VALUE(B4036),Client_List!$A:$A,0)),""))</f>
        <v/>
      </c>
      <c r="H4036" s="32">
        <f>IF(B4036="","",IFERROR(INDEX(Client_List!$J:$J,MATCH(VALUE(B4036),Client_List!$A:$A,0)),""))</f>
        <v/>
      </c>
      <c r="I4036" s="70">
        <f>IF(B4036="","",IFERROR(A4036-LOOKUP(2,1/($B$4:$B4035=B4036),$A$4:$A4035),""))</f>
        <v/>
      </c>
      <c r="J4036" s="32">
        <f>IF(B4036="","",IFERROR(D4036/I4036,""))</f>
        <v/>
      </c>
      <c r="K4036" s="71">
        <f>IF(B4036="","",IFERROR(AVERAGEIFS($J$4:$J4036,$B$4:$B4036,B4036,$J$4:$J4036,"&gt;"&amp;0),""))</f>
        <v/>
      </c>
      <c r="L4036" s="12" t="n"/>
    </row>
    <row r="4037" ht="14" customHeight="1" s="72">
      <c r="A4037" s="82" t="n"/>
      <c r="B4037" s="79" t="n"/>
      <c r="C4037" s="69">
        <f>IF(B4037="","",IFERROR(INDEX(Client_List!$B:$B,MATCH(B4037,Client_List!$A:$A,0)),"⚠ NOT FOUND"))</f>
        <v/>
      </c>
      <c r="D4037" s="44" t="n"/>
      <c r="E4037" s="32">
        <f>IF(B4037="","",IFERROR(INDEX(Client_List!$C:$C,MATCH(VALUE(B4037),Client_List!$A:$A,0)),""))</f>
        <v/>
      </c>
      <c r="F4037" s="53">
        <f>IF(B4037="","",IFERROR(INDEX(Client_List!$D:$D,MATCH(VALUE(B4037),Client_List!$A:$A,0)),""))</f>
        <v/>
      </c>
      <c r="G4037" s="53">
        <f>IF(B4037="","",IFERROR(INDEX(Client_List!$K:$K,MATCH(VALUE(B4037),Client_List!$A:$A,0)),""))</f>
        <v/>
      </c>
      <c r="H4037" s="32">
        <f>IF(B4037="","",IFERROR(INDEX(Client_List!$J:$J,MATCH(VALUE(B4037),Client_List!$A:$A,0)),""))</f>
        <v/>
      </c>
      <c r="I4037" s="70">
        <f>IF(B4037="","",IFERROR(A4037-LOOKUP(2,1/($B$4:$B4036=B4037),$A$4:$A4036),""))</f>
        <v/>
      </c>
      <c r="J4037" s="32">
        <f>IF(B4037="","",IFERROR(D4037/I4037,""))</f>
        <v/>
      </c>
      <c r="K4037" s="71">
        <f>IF(B4037="","",IFERROR(AVERAGEIFS($J$4:$J4037,$B$4:$B4037,B4037,$J$4:$J4037,"&gt;"&amp;0),""))</f>
        <v/>
      </c>
      <c r="L4037" s="11" t="n"/>
    </row>
    <row r="4038" ht="14" customHeight="1" s="72">
      <c r="A4038" s="83" t="n"/>
      <c r="B4038" s="81" t="n"/>
      <c r="C4038" s="69">
        <f>IF(B4038="","",IFERROR(INDEX(Client_List!$B:$B,MATCH(B4038,Client_List!$A:$A,0)),"⚠ NOT FOUND"))</f>
        <v/>
      </c>
      <c r="D4038" s="45" t="n"/>
      <c r="E4038" s="32">
        <f>IF(B4038="","",IFERROR(INDEX(Client_List!$C:$C,MATCH(VALUE(B4038),Client_List!$A:$A,0)),""))</f>
        <v/>
      </c>
      <c r="F4038" s="53">
        <f>IF(B4038="","",IFERROR(INDEX(Client_List!$D:$D,MATCH(VALUE(B4038),Client_List!$A:$A,0)),""))</f>
        <v/>
      </c>
      <c r="G4038" s="53">
        <f>IF(B4038="","",IFERROR(INDEX(Client_List!$K:$K,MATCH(VALUE(B4038),Client_List!$A:$A,0)),""))</f>
        <v/>
      </c>
      <c r="H4038" s="32">
        <f>IF(B4038="","",IFERROR(INDEX(Client_List!$J:$J,MATCH(VALUE(B4038),Client_List!$A:$A,0)),""))</f>
        <v/>
      </c>
      <c r="I4038" s="70">
        <f>IF(B4038="","",IFERROR(A4038-LOOKUP(2,1/($B$4:$B4037=B4038),$A$4:$A4037),""))</f>
        <v/>
      </c>
      <c r="J4038" s="32">
        <f>IF(B4038="","",IFERROR(D4038/I4038,""))</f>
        <v/>
      </c>
      <c r="K4038" s="71">
        <f>IF(B4038="","",IFERROR(AVERAGEIFS($J$4:$J4038,$B$4:$B4038,B4038,$J$4:$J4038,"&gt;"&amp;0),""))</f>
        <v/>
      </c>
      <c r="L4038" s="12" t="n"/>
    </row>
    <row r="4039" ht="14" customHeight="1" s="72">
      <c r="A4039" s="82" t="n"/>
      <c r="B4039" s="79" t="n"/>
      <c r="C4039" s="69">
        <f>IF(B4039="","",IFERROR(INDEX(Client_List!$B:$B,MATCH(B4039,Client_List!$A:$A,0)),"⚠ NOT FOUND"))</f>
        <v/>
      </c>
      <c r="D4039" s="44" t="n"/>
      <c r="E4039" s="32">
        <f>IF(B4039="","",IFERROR(INDEX(Client_List!$C:$C,MATCH(VALUE(B4039),Client_List!$A:$A,0)),""))</f>
        <v/>
      </c>
      <c r="F4039" s="53">
        <f>IF(B4039="","",IFERROR(INDEX(Client_List!$D:$D,MATCH(VALUE(B4039),Client_List!$A:$A,0)),""))</f>
        <v/>
      </c>
      <c r="G4039" s="53">
        <f>IF(B4039="","",IFERROR(INDEX(Client_List!$K:$K,MATCH(VALUE(B4039),Client_List!$A:$A,0)),""))</f>
        <v/>
      </c>
      <c r="H4039" s="32">
        <f>IF(B4039="","",IFERROR(INDEX(Client_List!$J:$J,MATCH(VALUE(B4039),Client_List!$A:$A,0)),""))</f>
        <v/>
      </c>
      <c r="I4039" s="70">
        <f>IF(B4039="","",IFERROR(A4039-LOOKUP(2,1/($B$4:$B4038=B4039),$A$4:$A4038),""))</f>
        <v/>
      </c>
      <c r="J4039" s="32">
        <f>IF(B4039="","",IFERROR(D4039/I4039,""))</f>
        <v/>
      </c>
      <c r="K4039" s="71">
        <f>IF(B4039="","",IFERROR(AVERAGEIFS($J$4:$J4039,$B$4:$B4039,B4039,$J$4:$J4039,"&gt;"&amp;0),""))</f>
        <v/>
      </c>
      <c r="L4039" s="11" t="n"/>
    </row>
    <row r="4040" ht="14" customHeight="1" s="72">
      <c r="A4040" s="83" t="n"/>
      <c r="B4040" s="81" t="n"/>
      <c r="C4040" s="69">
        <f>IF(B4040="","",IFERROR(INDEX(Client_List!$B:$B,MATCH(B4040,Client_List!$A:$A,0)),"⚠ NOT FOUND"))</f>
        <v/>
      </c>
      <c r="D4040" s="45" t="n"/>
      <c r="E4040" s="32">
        <f>IF(B4040="","",IFERROR(INDEX(Client_List!$C:$C,MATCH(VALUE(B4040),Client_List!$A:$A,0)),""))</f>
        <v/>
      </c>
      <c r="F4040" s="53">
        <f>IF(B4040="","",IFERROR(INDEX(Client_List!$D:$D,MATCH(VALUE(B4040),Client_List!$A:$A,0)),""))</f>
        <v/>
      </c>
      <c r="G4040" s="53">
        <f>IF(B4040="","",IFERROR(INDEX(Client_List!$K:$K,MATCH(VALUE(B4040),Client_List!$A:$A,0)),""))</f>
        <v/>
      </c>
      <c r="H4040" s="32">
        <f>IF(B4040="","",IFERROR(INDEX(Client_List!$J:$J,MATCH(VALUE(B4040),Client_List!$A:$A,0)),""))</f>
        <v/>
      </c>
      <c r="I4040" s="70">
        <f>IF(B4040="","",IFERROR(A4040-LOOKUP(2,1/($B$4:$B4039=B4040),$A$4:$A4039),""))</f>
        <v/>
      </c>
      <c r="J4040" s="32">
        <f>IF(B4040="","",IFERROR(D4040/I4040,""))</f>
        <v/>
      </c>
      <c r="K4040" s="71">
        <f>IF(B4040="","",IFERROR(AVERAGEIFS($J$4:$J4040,$B$4:$B4040,B4040,$J$4:$J4040,"&gt;"&amp;0),""))</f>
        <v/>
      </c>
      <c r="L4040" s="12" t="n"/>
    </row>
    <row r="4041" ht="14" customHeight="1" s="72">
      <c r="A4041" s="82" t="n"/>
      <c r="B4041" s="79" t="n"/>
      <c r="C4041" s="69">
        <f>IF(B4041="","",IFERROR(INDEX(Client_List!$B:$B,MATCH(B4041,Client_List!$A:$A,0)),"⚠ NOT FOUND"))</f>
        <v/>
      </c>
      <c r="D4041" s="44" t="n"/>
      <c r="E4041" s="32">
        <f>IF(B4041="","",IFERROR(INDEX(Client_List!$C:$C,MATCH(VALUE(B4041),Client_List!$A:$A,0)),""))</f>
        <v/>
      </c>
      <c r="F4041" s="53">
        <f>IF(B4041="","",IFERROR(INDEX(Client_List!$D:$D,MATCH(VALUE(B4041),Client_List!$A:$A,0)),""))</f>
        <v/>
      </c>
      <c r="G4041" s="53">
        <f>IF(B4041="","",IFERROR(INDEX(Client_List!$K:$K,MATCH(VALUE(B4041),Client_List!$A:$A,0)),""))</f>
        <v/>
      </c>
      <c r="H4041" s="32">
        <f>IF(B4041="","",IFERROR(INDEX(Client_List!$J:$J,MATCH(VALUE(B4041),Client_List!$A:$A,0)),""))</f>
        <v/>
      </c>
      <c r="I4041" s="70">
        <f>IF(B4041="","",IFERROR(A4041-LOOKUP(2,1/($B$4:$B4040=B4041),$A$4:$A4040),""))</f>
        <v/>
      </c>
      <c r="J4041" s="32">
        <f>IF(B4041="","",IFERROR(D4041/I4041,""))</f>
        <v/>
      </c>
      <c r="K4041" s="71">
        <f>IF(B4041="","",IFERROR(AVERAGEIFS($J$4:$J4041,$B$4:$B4041,B4041,$J$4:$J4041,"&gt;"&amp;0),""))</f>
        <v/>
      </c>
      <c r="L4041" s="11" t="n"/>
    </row>
    <row r="4042" ht="14" customHeight="1" s="72">
      <c r="A4042" s="83" t="n"/>
      <c r="B4042" s="81" t="n"/>
      <c r="C4042" s="69">
        <f>IF(B4042="","",IFERROR(INDEX(Client_List!$B:$B,MATCH(B4042,Client_List!$A:$A,0)),"⚠ NOT FOUND"))</f>
        <v/>
      </c>
      <c r="D4042" s="45" t="n"/>
      <c r="E4042" s="32">
        <f>IF(B4042="","",IFERROR(INDEX(Client_List!$C:$C,MATCH(VALUE(B4042),Client_List!$A:$A,0)),""))</f>
        <v/>
      </c>
      <c r="F4042" s="53">
        <f>IF(B4042="","",IFERROR(INDEX(Client_List!$D:$D,MATCH(VALUE(B4042),Client_List!$A:$A,0)),""))</f>
        <v/>
      </c>
      <c r="G4042" s="53">
        <f>IF(B4042="","",IFERROR(INDEX(Client_List!$K:$K,MATCH(VALUE(B4042),Client_List!$A:$A,0)),""))</f>
        <v/>
      </c>
      <c r="H4042" s="32">
        <f>IF(B4042="","",IFERROR(INDEX(Client_List!$J:$J,MATCH(VALUE(B4042),Client_List!$A:$A,0)),""))</f>
        <v/>
      </c>
      <c r="I4042" s="70">
        <f>IF(B4042="","",IFERROR(A4042-LOOKUP(2,1/($B$4:$B4041=B4042),$A$4:$A4041),""))</f>
        <v/>
      </c>
      <c r="J4042" s="32">
        <f>IF(B4042="","",IFERROR(D4042/I4042,""))</f>
        <v/>
      </c>
      <c r="K4042" s="71">
        <f>IF(B4042="","",IFERROR(AVERAGEIFS($J$4:$J4042,$B$4:$B4042,B4042,$J$4:$J4042,"&gt;"&amp;0),""))</f>
        <v/>
      </c>
      <c r="L4042" s="12" t="n"/>
    </row>
    <row r="4043" ht="14" customHeight="1" s="72">
      <c r="A4043" s="82" t="n"/>
      <c r="B4043" s="79" t="n"/>
      <c r="C4043" s="69">
        <f>IF(B4043="","",IFERROR(INDEX(Client_List!$B:$B,MATCH(B4043,Client_List!$A:$A,0)),"⚠ NOT FOUND"))</f>
        <v/>
      </c>
      <c r="D4043" s="44" t="n"/>
      <c r="E4043" s="32">
        <f>IF(B4043="","",IFERROR(INDEX(Client_List!$C:$C,MATCH(VALUE(B4043),Client_List!$A:$A,0)),""))</f>
        <v/>
      </c>
      <c r="F4043" s="53">
        <f>IF(B4043="","",IFERROR(INDEX(Client_List!$D:$D,MATCH(VALUE(B4043),Client_List!$A:$A,0)),""))</f>
        <v/>
      </c>
      <c r="G4043" s="53">
        <f>IF(B4043="","",IFERROR(INDEX(Client_List!$K:$K,MATCH(VALUE(B4043),Client_List!$A:$A,0)),""))</f>
        <v/>
      </c>
      <c r="H4043" s="32">
        <f>IF(B4043="","",IFERROR(INDEX(Client_List!$J:$J,MATCH(VALUE(B4043),Client_List!$A:$A,0)),""))</f>
        <v/>
      </c>
      <c r="I4043" s="70">
        <f>IF(B4043="","",IFERROR(A4043-LOOKUP(2,1/($B$4:$B4042=B4043),$A$4:$A4042),""))</f>
        <v/>
      </c>
      <c r="J4043" s="32">
        <f>IF(B4043="","",IFERROR(D4043/I4043,""))</f>
        <v/>
      </c>
      <c r="K4043" s="71">
        <f>IF(B4043="","",IFERROR(AVERAGEIFS($J$4:$J4043,$B$4:$B4043,B4043,$J$4:$J4043,"&gt;"&amp;0),""))</f>
        <v/>
      </c>
      <c r="L4043" s="11" t="n"/>
    </row>
    <row r="4044" ht="14" customHeight="1" s="72">
      <c r="A4044" s="83" t="n"/>
      <c r="B4044" s="81" t="n"/>
      <c r="C4044" s="69">
        <f>IF(B4044="","",IFERROR(INDEX(Client_List!$B:$B,MATCH(B4044,Client_List!$A:$A,0)),"⚠ NOT FOUND"))</f>
        <v/>
      </c>
      <c r="D4044" s="45" t="n"/>
      <c r="E4044" s="32">
        <f>IF(B4044="","",IFERROR(INDEX(Client_List!$C:$C,MATCH(VALUE(B4044),Client_List!$A:$A,0)),""))</f>
        <v/>
      </c>
      <c r="F4044" s="53">
        <f>IF(B4044="","",IFERROR(INDEX(Client_List!$D:$D,MATCH(VALUE(B4044),Client_List!$A:$A,0)),""))</f>
        <v/>
      </c>
      <c r="G4044" s="53">
        <f>IF(B4044="","",IFERROR(INDEX(Client_List!$K:$K,MATCH(VALUE(B4044),Client_List!$A:$A,0)),""))</f>
        <v/>
      </c>
      <c r="H4044" s="32">
        <f>IF(B4044="","",IFERROR(INDEX(Client_List!$J:$J,MATCH(VALUE(B4044),Client_List!$A:$A,0)),""))</f>
        <v/>
      </c>
      <c r="I4044" s="70">
        <f>IF(B4044="","",IFERROR(A4044-LOOKUP(2,1/($B$4:$B4043=B4044),$A$4:$A4043),""))</f>
        <v/>
      </c>
      <c r="J4044" s="32">
        <f>IF(B4044="","",IFERROR(D4044/I4044,""))</f>
        <v/>
      </c>
      <c r="K4044" s="71">
        <f>IF(B4044="","",IFERROR(AVERAGEIFS($J$4:$J4044,$B$4:$B4044,B4044,$J$4:$J4044,"&gt;"&amp;0),""))</f>
        <v/>
      </c>
      <c r="L4044" s="12" t="n"/>
    </row>
    <row r="4045" ht="14" customHeight="1" s="72">
      <c r="A4045" s="82" t="n"/>
      <c r="B4045" s="79" t="n"/>
      <c r="C4045" s="69">
        <f>IF(B4045="","",IFERROR(INDEX(Client_List!$B:$B,MATCH(B4045,Client_List!$A:$A,0)),"⚠ NOT FOUND"))</f>
        <v/>
      </c>
      <c r="D4045" s="44" t="n"/>
      <c r="E4045" s="32">
        <f>IF(B4045="","",IFERROR(INDEX(Client_List!$C:$C,MATCH(VALUE(B4045),Client_List!$A:$A,0)),""))</f>
        <v/>
      </c>
      <c r="F4045" s="53">
        <f>IF(B4045="","",IFERROR(INDEX(Client_List!$D:$D,MATCH(VALUE(B4045),Client_List!$A:$A,0)),""))</f>
        <v/>
      </c>
      <c r="G4045" s="53">
        <f>IF(B4045="","",IFERROR(INDEX(Client_List!$K:$K,MATCH(VALUE(B4045),Client_List!$A:$A,0)),""))</f>
        <v/>
      </c>
      <c r="H4045" s="32">
        <f>IF(B4045="","",IFERROR(INDEX(Client_List!$J:$J,MATCH(VALUE(B4045),Client_List!$A:$A,0)),""))</f>
        <v/>
      </c>
      <c r="I4045" s="70">
        <f>IF(B4045="","",IFERROR(A4045-LOOKUP(2,1/($B$4:$B4044=B4045),$A$4:$A4044),""))</f>
        <v/>
      </c>
      <c r="J4045" s="32">
        <f>IF(B4045="","",IFERROR(D4045/I4045,""))</f>
        <v/>
      </c>
      <c r="K4045" s="71">
        <f>IF(B4045="","",IFERROR(AVERAGEIFS($J$4:$J4045,$B$4:$B4045,B4045,$J$4:$J4045,"&gt;"&amp;0),""))</f>
        <v/>
      </c>
      <c r="L4045" s="11" t="n"/>
    </row>
    <row r="4046" ht="14" customHeight="1" s="72">
      <c r="A4046" s="83" t="n"/>
      <c r="B4046" s="81" t="n"/>
      <c r="C4046" s="69">
        <f>IF(B4046="","",IFERROR(INDEX(Client_List!$B:$B,MATCH(B4046,Client_List!$A:$A,0)),"⚠ NOT FOUND"))</f>
        <v/>
      </c>
      <c r="D4046" s="45" t="n"/>
      <c r="E4046" s="32">
        <f>IF(B4046="","",IFERROR(INDEX(Client_List!$C:$C,MATCH(VALUE(B4046),Client_List!$A:$A,0)),""))</f>
        <v/>
      </c>
      <c r="F4046" s="53">
        <f>IF(B4046="","",IFERROR(INDEX(Client_List!$D:$D,MATCH(VALUE(B4046),Client_List!$A:$A,0)),""))</f>
        <v/>
      </c>
      <c r="G4046" s="53">
        <f>IF(B4046="","",IFERROR(INDEX(Client_List!$K:$K,MATCH(VALUE(B4046),Client_List!$A:$A,0)),""))</f>
        <v/>
      </c>
      <c r="H4046" s="32">
        <f>IF(B4046="","",IFERROR(INDEX(Client_List!$J:$J,MATCH(VALUE(B4046),Client_List!$A:$A,0)),""))</f>
        <v/>
      </c>
      <c r="I4046" s="70">
        <f>IF(B4046="","",IFERROR(A4046-LOOKUP(2,1/($B$4:$B4045=B4046),$A$4:$A4045),""))</f>
        <v/>
      </c>
      <c r="J4046" s="32">
        <f>IF(B4046="","",IFERROR(D4046/I4046,""))</f>
        <v/>
      </c>
      <c r="K4046" s="71">
        <f>IF(B4046="","",IFERROR(AVERAGEIFS($J$4:$J4046,$B$4:$B4046,B4046,$J$4:$J4046,"&gt;"&amp;0),""))</f>
        <v/>
      </c>
      <c r="L4046" s="12" t="n"/>
    </row>
    <row r="4047" ht="14" customHeight="1" s="72">
      <c r="A4047" s="82" t="n"/>
      <c r="B4047" s="79" t="n"/>
      <c r="C4047" s="69">
        <f>IF(B4047="","",IFERROR(INDEX(Client_List!$B:$B,MATCH(B4047,Client_List!$A:$A,0)),"⚠ NOT FOUND"))</f>
        <v/>
      </c>
      <c r="D4047" s="44" t="n"/>
      <c r="E4047" s="32">
        <f>IF(B4047="","",IFERROR(INDEX(Client_List!$C:$C,MATCH(VALUE(B4047),Client_List!$A:$A,0)),""))</f>
        <v/>
      </c>
      <c r="F4047" s="53">
        <f>IF(B4047="","",IFERROR(INDEX(Client_List!$D:$D,MATCH(VALUE(B4047),Client_List!$A:$A,0)),""))</f>
        <v/>
      </c>
      <c r="G4047" s="53">
        <f>IF(B4047="","",IFERROR(INDEX(Client_List!$K:$K,MATCH(VALUE(B4047),Client_List!$A:$A,0)),""))</f>
        <v/>
      </c>
      <c r="H4047" s="32">
        <f>IF(B4047="","",IFERROR(INDEX(Client_List!$J:$J,MATCH(VALUE(B4047),Client_List!$A:$A,0)),""))</f>
        <v/>
      </c>
      <c r="I4047" s="70">
        <f>IF(B4047="","",IFERROR(A4047-LOOKUP(2,1/($B$4:$B4046=B4047),$A$4:$A4046),""))</f>
        <v/>
      </c>
      <c r="J4047" s="32">
        <f>IF(B4047="","",IFERROR(D4047/I4047,""))</f>
        <v/>
      </c>
      <c r="K4047" s="71">
        <f>IF(B4047="","",IFERROR(AVERAGEIFS($J$4:$J4047,$B$4:$B4047,B4047,$J$4:$J4047,"&gt;"&amp;0),""))</f>
        <v/>
      </c>
      <c r="L4047" s="11" t="n"/>
    </row>
    <row r="4048" ht="14" customHeight="1" s="72">
      <c r="A4048" s="83" t="n"/>
      <c r="B4048" s="81" t="n"/>
      <c r="C4048" s="69">
        <f>IF(B4048="","",IFERROR(INDEX(Client_List!$B:$B,MATCH(B4048,Client_List!$A:$A,0)),"⚠ NOT FOUND"))</f>
        <v/>
      </c>
      <c r="D4048" s="45" t="n"/>
      <c r="E4048" s="32">
        <f>IF(B4048="","",IFERROR(INDEX(Client_List!$C:$C,MATCH(VALUE(B4048),Client_List!$A:$A,0)),""))</f>
        <v/>
      </c>
      <c r="F4048" s="53">
        <f>IF(B4048="","",IFERROR(INDEX(Client_List!$D:$D,MATCH(VALUE(B4048),Client_List!$A:$A,0)),""))</f>
        <v/>
      </c>
      <c r="G4048" s="53">
        <f>IF(B4048="","",IFERROR(INDEX(Client_List!$K:$K,MATCH(VALUE(B4048),Client_List!$A:$A,0)),""))</f>
        <v/>
      </c>
      <c r="H4048" s="32">
        <f>IF(B4048="","",IFERROR(INDEX(Client_List!$J:$J,MATCH(VALUE(B4048),Client_List!$A:$A,0)),""))</f>
        <v/>
      </c>
      <c r="I4048" s="70">
        <f>IF(B4048="","",IFERROR(A4048-LOOKUP(2,1/($B$4:$B4047=B4048),$A$4:$A4047),""))</f>
        <v/>
      </c>
      <c r="J4048" s="32">
        <f>IF(B4048="","",IFERROR(D4048/I4048,""))</f>
        <v/>
      </c>
      <c r="K4048" s="71">
        <f>IF(B4048="","",IFERROR(AVERAGEIFS($J$4:$J4048,$B$4:$B4048,B4048,$J$4:$J4048,"&gt;"&amp;0),""))</f>
        <v/>
      </c>
      <c r="L4048" s="12" t="n"/>
    </row>
    <row r="4049" ht="14" customHeight="1" s="72">
      <c r="A4049" s="82" t="n"/>
      <c r="B4049" s="79" t="n"/>
      <c r="C4049" s="69">
        <f>IF(B4049="","",IFERROR(INDEX(Client_List!$B:$B,MATCH(B4049,Client_List!$A:$A,0)),"⚠ NOT FOUND"))</f>
        <v/>
      </c>
      <c r="D4049" s="44" t="n"/>
      <c r="E4049" s="32">
        <f>IF(B4049="","",IFERROR(INDEX(Client_List!$C:$C,MATCH(VALUE(B4049),Client_List!$A:$A,0)),""))</f>
        <v/>
      </c>
      <c r="F4049" s="53">
        <f>IF(B4049="","",IFERROR(INDEX(Client_List!$D:$D,MATCH(VALUE(B4049),Client_List!$A:$A,0)),""))</f>
        <v/>
      </c>
      <c r="G4049" s="53">
        <f>IF(B4049="","",IFERROR(INDEX(Client_List!$K:$K,MATCH(VALUE(B4049),Client_List!$A:$A,0)),""))</f>
        <v/>
      </c>
      <c r="H4049" s="32">
        <f>IF(B4049="","",IFERROR(INDEX(Client_List!$J:$J,MATCH(VALUE(B4049),Client_List!$A:$A,0)),""))</f>
        <v/>
      </c>
      <c r="I4049" s="70">
        <f>IF(B4049="","",IFERROR(A4049-LOOKUP(2,1/($B$4:$B4048=B4049),$A$4:$A4048),""))</f>
        <v/>
      </c>
      <c r="J4049" s="32">
        <f>IF(B4049="","",IFERROR(D4049/I4049,""))</f>
        <v/>
      </c>
      <c r="K4049" s="71">
        <f>IF(B4049="","",IFERROR(AVERAGEIFS($J$4:$J4049,$B$4:$B4049,B4049,$J$4:$J4049,"&gt;"&amp;0),""))</f>
        <v/>
      </c>
      <c r="L4049" s="11" t="n"/>
    </row>
    <row r="4050" ht="14" customHeight="1" s="72">
      <c r="A4050" s="83" t="n"/>
      <c r="B4050" s="81" t="n"/>
      <c r="C4050" s="69">
        <f>IF(B4050="","",IFERROR(INDEX(Client_List!$B:$B,MATCH(B4050,Client_List!$A:$A,0)),"⚠ NOT FOUND"))</f>
        <v/>
      </c>
      <c r="D4050" s="45" t="n"/>
      <c r="E4050" s="32">
        <f>IF(B4050="","",IFERROR(INDEX(Client_List!$C:$C,MATCH(VALUE(B4050),Client_List!$A:$A,0)),""))</f>
        <v/>
      </c>
      <c r="F4050" s="53">
        <f>IF(B4050="","",IFERROR(INDEX(Client_List!$D:$D,MATCH(VALUE(B4050),Client_List!$A:$A,0)),""))</f>
        <v/>
      </c>
      <c r="G4050" s="53">
        <f>IF(B4050="","",IFERROR(INDEX(Client_List!$K:$K,MATCH(VALUE(B4050),Client_List!$A:$A,0)),""))</f>
        <v/>
      </c>
      <c r="H4050" s="32">
        <f>IF(B4050="","",IFERROR(INDEX(Client_List!$J:$J,MATCH(VALUE(B4050),Client_List!$A:$A,0)),""))</f>
        <v/>
      </c>
      <c r="I4050" s="70">
        <f>IF(B4050="","",IFERROR(A4050-LOOKUP(2,1/($B$4:$B4049=B4050),$A$4:$A4049),""))</f>
        <v/>
      </c>
      <c r="J4050" s="32">
        <f>IF(B4050="","",IFERROR(D4050/I4050,""))</f>
        <v/>
      </c>
      <c r="K4050" s="71">
        <f>IF(B4050="","",IFERROR(AVERAGEIFS($J$4:$J4050,$B$4:$B4050,B4050,$J$4:$J4050,"&gt;"&amp;0),""))</f>
        <v/>
      </c>
      <c r="L4050" s="12" t="n"/>
    </row>
    <row r="4051" ht="14" customHeight="1" s="72">
      <c r="A4051" s="82" t="n"/>
      <c r="B4051" s="79" t="n"/>
      <c r="C4051" s="69">
        <f>IF(B4051="","",IFERROR(INDEX(Client_List!$B:$B,MATCH(B4051,Client_List!$A:$A,0)),"⚠ NOT FOUND"))</f>
        <v/>
      </c>
      <c r="D4051" s="44" t="n"/>
      <c r="E4051" s="32">
        <f>IF(B4051="","",IFERROR(INDEX(Client_List!$C:$C,MATCH(VALUE(B4051),Client_List!$A:$A,0)),""))</f>
        <v/>
      </c>
      <c r="F4051" s="53">
        <f>IF(B4051="","",IFERROR(INDEX(Client_List!$D:$D,MATCH(VALUE(B4051),Client_List!$A:$A,0)),""))</f>
        <v/>
      </c>
      <c r="G4051" s="53">
        <f>IF(B4051="","",IFERROR(INDEX(Client_List!$K:$K,MATCH(VALUE(B4051),Client_List!$A:$A,0)),""))</f>
        <v/>
      </c>
      <c r="H4051" s="32">
        <f>IF(B4051="","",IFERROR(INDEX(Client_List!$J:$J,MATCH(VALUE(B4051),Client_List!$A:$A,0)),""))</f>
        <v/>
      </c>
      <c r="I4051" s="70">
        <f>IF(B4051="","",IFERROR(A4051-LOOKUP(2,1/($B$4:$B4050=B4051),$A$4:$A4050),""))</f>
        <v/>
      </c>
      <c r="J4051" s="32">
        <f>IF(B4051="","",IFERROR(D4051/I4051,""))</f>
        <v/>
      </c>
      <c r="K4051" s="71">
        <f>IF(B4051="","",IFERROR(AVERAGEIFS($J$4:$J4051,$B$4:$B4051,B4051,$J$4:$J4051,"&gt;"&amp;0),""))</f>
        <v/>
      </c>
      <c r="L4051" s="11" t="n"/>
    </row>
    <row r="4052" ht="14" customHeight="1" s="72">
      <c r="A4052" s="83" t="n"/>
      <c r="B4052" s="81" t="n"/>
      <c r="C4052" s="69">
        <f>IF(B4052="","",IFERROR(INDEX(Client_List!$B:$B,MATCH(B4052,Client_List!$A:$A,0)),"⚠ NOT FOUND"))</f>
        <v/>
      </c>
      <c r="D4052" s="45" t="n"/>
      <c r="E4052" s="32">
        <f>IF(B4052="","",IFERROR(INDEX(Client_List!$C:$C,MATCH(VALUE(B4052),Client_List!$A:$A,0)),""))</f>
        <v/>
      </c>
      <c r="F4052" s="53">
        <f>IF(B4052="","",IFERROR(INDEX(Client_List!$D:$D,MATCH(VALUE(B4052),Client_List!$A:$A,0)),""))</f>
        <v/>
      </c>
      <c r="G4052" s="53">
        <f>IF(B4052="","",IFERROR(INDEX(Client_List!$K:$K,MATCH(VALUE(B4052),Client_List!$A:$A,0)),""))</f>
        <v/>
      </c>
      <c r="H4052" s="32">
        <f>IF(B4052="","",IFERROR(INDEX(Client_List!$J:$J,MATCH(VALUE(B4052),Client_List!$A:$A,0)),""))</f>
        <v/>
      </c>
      <c r="I4052" s="70">
        <f>IF(B4052="","",IFERROR(A4052-LOOKUP(2,1/($B$4:$B4051=B4052),$A$4:$A4051),""))</f>
        <v/>
      </c>
      <c r="J4052" s="32">
        <f>IF(B4052="","",IFERROR(D4052/I4052,""))</f>
        <v/>
      </c>
      <c r="K4052" s="71">
        <f>IF(B4052="","",IFERROR(AVERAGEIFS($J$4:$J4052,$B$4:$B4052,B4052,$J$4:$J4052,"&gt;"&amp;0),""))</f>
        <v/>
      </c>
      <c r="L4052" s="12" t="n"/>
    </row>
    <row r="4053" ht="14" customHeight="1" s="72">
      <c r="A4053" s="82" t="n"/>
      <c r="B4053" s="79" t="n"/>
      <c r="C4053" s="69">
        <f>IF(B4053="","",IFERROR(INDEX(Client_List!$B:$B,MATCH(B4053,Client_List!$A:$A,0)),"⚠ NOT FOUND"))</f>
        <v/>
      </c>
      <c r="D4053" s="44" t="n"/>
      <c r="E4053" s="32">
        <f>IF(B4053="","",IFERROR(INDEX(Client_List!$C:$C,MATCH(VALUE(B4053),Client_List!$A:$A,0)),""))</f>
        <v/>
      </c>
      <c r="F4053" s="53">
        <f>IF(B4053="","",IFERROR(INDEX(Client_List!$D:$D,MATCH(VALUE(B4053),Client_List!$A:$A,0)),""))</f>
        <v/>
      </c>
      <c r="G4053" s="53">
        <f>IF(B4053="","",IFERROR(INDEX(Client_List!$K:$K,MATCH(VALUE(B4053),Client_List!$A:$A,0)),""))</f>
        <v/>
      </c>
      <c r="H4053" s="32">
        <f>IF(B4053="","",IFERROR(INDEX(Client_List!$J:$J,MATCH(VALUE(B4053),Client_List!$A:$A,0)),""))</f>
        <v/>
      </c>
      <c r="I4053" s="70">
        <f>IF(B4053="","",IFERROR(A4053-LOOKUP(2,1/($B$4:$B4052=B4053),$A$4:$A4052),""))</f>
        <v/>
      </c>
      <c r="J4053" s="32">
        <f>IF(B4053="","",IFERROR(D4053/I4053,""))</f>
        <v/>
      </c>
      <c r="K4053" s="71">
        <f>IF(B4053="","",IFERROR(AVERAGEIFS($J$4:$J4053,$B$4:$B4053,B4053,$J$4:$J4053,"&gt;"&amp;0),""))</f>
        <v/>
      </c>
      <c r="L4053" s="11" t="n"/>
    </row>
    <row r="4054" ht="14" customHeight="1" s="72">
      <c r="A4054" s="83" t="n"/>
      <c r="B4054" s="81" t="n"/>
      <c r="C4054" s="69">
        <f>IF(B4054="","",IFERROR(INDEX(Client_List!$B:$B,MATCH(B4054,Client_List!$A:$A,0)),"⚠ NOT FOUND"))</f>
        <v/>
      </c>
      <c r="D4054" s="45" t="n"/>
      <c r="E4054" s="32">
        <f>IF(B4054="","",IFERROR(INDEX(Client_List!$C:$C,MATCH(VALUE(B4054),Client_List!$A:$A,0)),""))</f>
        <v/>
      </c>
      <c r="F4054" s="53">
        <f>IF(B4054="","",IFERROR(INDEX(Client_List!$D:$D,MATCH(VALUE(B4054),Client_List!$A:$A,0)),""))</f>
        <v/>
      </c>
      <c r="G4054" s="53">
        <f>IF(B4054="","",IFERROR(INDEX(Client_List!$K:$K,MATCH(VALUE(B4054),Client_List!$A:$A,0)),""))</f>
        <v/>
      </c>
      <c r="H4054" s="32">
        <f>IF(B4054="","",IFERROR(INDEX(Client_List!$J:$J,MATCH(VALUE(B4054),Client_List!$A:$A,0)),""))</f>
        <v/>
      </c>
      <c r="I4054" s="70">
        <f>IF(B4054="","",IFERROR(A4054-LOOKUP(2,1/($B$4:$B4053=B4054),$A$4:$A4053),""))</f>
        <v/>
      </c>
      <c r="J4054" s="32">
        <f>IF(B4054="","",IFERROR(D4054/I4054,""))</f>
        <v/>
      </c>
      <c r="K4054" s="71">
        <f>IF(B4054="","",IFERROR(AVERAGEIFS($J$4:$J4054,$B$4:$B4054,B4054,$J$4:$J4054,"&gt;"&amp;0),""))</f>
        <v/>
      </c>
      <c r="L4054" s="12" t="n"/>
    </row>
    <row r="4055" ht="14" customHeight="1" s="72">
      <c r="A4055" s="82" t="n"/>
      <c r="B4055" s="79" t="n"/>
      <c r="C4055" s="69">
        <f>IF(B4055="","",IFERROR(INDEX(Client_List!$B:$B,MATCH(B4055,Client_List!$A:$A,0)),"⚠ NOT FOUND"))</f>
        <v/>
      </c>
      <c r="D4055" s="44" t="n"/>
      <c r="E4055" s="32">
        <f>IF(B4055="","",IFERROR(INDEX(Client_List!$C:$C,MATCH(VALUE(B4055),Client_List!$A:$A,0)),""))</f>
        <v/>
      </c>
      <c r="F4055" s="53">
        <f>IF(B4055="","",IFERROR(INDEX(Client_List!$D:$D,MATCH(VALUE(B4055),Client_List!$A:$A,0)),""))</f>
        <v/>
      </c>
      <c r="G4055" s="53">
        <f>IF(B4055="","",IFERROR(INDEX(Client_List!$K:$K,MATCH(VALUE(B4055),Client_List!$A:$A,0)),""))</f>
        <v/>
      </c>
      <c r="H4055" s="32">
        <f>IF(B4055="","",IFERROR(INDEX(Client_List!$J:$J,MATCH(VALUE(B4055),Client_List!$A:$A,0)),""))</f>
        <v/>
      </c>
      <c r="I4055" s="70">
        <f>IF(B4055="","",IFERROR(A4055-LOOKUP(2,1/($B$4:$B4054=B4055),$A$4:$A4054),""))</f>
        <v/>
      </c>
      <c r="J4055" s="32">
        <f>IF(B4055="","",IFERROR(D4055/I4055,""))</f>
        <v/>
      </c>
      <c r="K4055" s="71">
        <f>IF(B4055="","",IFERROR(AVERAGEIFS($J$4:$J4055,$B$4:$B4055,B4055,$J$4:$J4055,"&gt;"&amp;0),""))</f>
        <v/>
      </c>
      <c r="L4055" s="11" t="n"/>
    </row>
    <row r="4056" ht="14" customHeight="1" s="72">
      <c r="A4056" s="83" t="n"/>
      <c r="B4056" s="81" t="n"/>
      <c r="C4056" s="69">
        <f>IF(B4056="","",IFERROR(INDEX(Client_List!$B:$B,MATCH(B4056,Client_List!$A:$A,0)),"⚠ NOT FOUND"))</f>
        <v/>
      </c>
      <c r="D4056" s="45" t="n"/>
      <c r="E4056" s="32">
        <f>IF(B4056="","",IFERROR(INDEX(Client_List!$C:$C,MATCH(VALUE(B4056),Client_List!$A:$A,0)),""))</f>
        <v/>
      </c>
      <c r="F4056" s="53">
        <f>IF(B4056="","",IFERROR(INDEX(Client_List!$D:$D,MATCH(VALUE(B4056),Client_List!$A:$A,0)),""))</f>
        <v/>
      </c>
      <c r="G4056" s="53">
        <f>IF(B4056="","",IFERROR(INDEX(Client_List!$K:$K,MATCH(VALUE(B4056),Client_List!$A:$A,0)),""))</f>
        <v/>
      </c>
      <c r="H4056" s="32">
        <f>IF(B4056="","",IFERROR(INDEX(Client_List!$J:$J,MATCH(VALUE(B4056),Client_List!$A:$A,0)),""))</f>
        <v/>
      </c>
      <c r="I4056" s="70">
        <f>IF(B4056="","",IFERROR(A4056-LOOKUP(2,1/($B$4:$B4055=B4056),$A$4:$A4055),""))</f>
        <v/>
      </c>
      <c r="J4056" s="32">
        <f>IF(B4056="","",IFERROR(D4056/I4056,""))</f>
        <v/>
      </c>
      <c r="K4056" s="71">
        <f>IF(B4056="","",IFERROR(AVERAGEIFS($J$4:$J4056,$B$4:$B4056,B4056,$J$4:$J4056,"&gt;"&amp;0),""))</f>
        <v/>
      </c>
      <c r="L4056" s="12" t="n"/>
    </row>
    <row r="4057" ht="14" customHeight="1" s="72">
      <c r="A4057" s="82" t="n"/>
      <c r="B4057" s="79" t="n"/>
      <c r="C4057" s="69">
        <f>IF(B4057="","",IFERROR(INDEX(Client_List!$B:$B,MATCH(B4057,Client_List!$A:$A,0)),"⚠ NOT FOUND"))</f>
        <v/>
      </c>
      <c r="D4057" s="44" t="n"/>
      <c r="E4057" s="32">
        <f>IF(B4057="","",IFERROR(INDEX(Client_List!$C:$C,MATCH(VALUE(B4057),Client_List!$A:$A,0)),""))</f>
        <v/>
      </c>
      <c r="F4057" s="53">
        <f>IF(B4057="","",IFERROR(INDEX(Client_List!$D:$D,MATCH(VALUE(B4057),Client_List!$A:$A,0)),""))</f>
        <v/>
      </c>
      <c r="G4057" s="53">
        <f>IF(B4057="","",IFERROR(INDEX(Client_List!$K:$K,MATCH(VALUE(B4057),Client_List!$A:$A,0)),""))</f>
        <v/>
      </c>
      <c r="H4057" s="32">
        <f>IF(B4057="","",IFERROR(INDEX(Client_List!$J:$J,MATCH(VALUE(B4057),Client_List!$A:$A,0)),""))</f>
        <v/>
      </c>
      <c r="I4057" s="70">
        <f>IF(B4057="","",IFERROR(A4057-LOOKUP(2,1/($B$4:$B4056=B4057),$A$4:$A4056),""))</f>
        <v/>
      </c>
      <c r="J4057" s="32">
        <f>IF(B4057="","",IFERROR(D4057/I4057,""))</f>
        <v/>
      </c>
      <c r="K4057" s="71">
        <f>IF(B4057="","",IFERROR(AVERAGEIFS($J$4:$J4057,$B$4:$B4057,B4057,$J$4:$J4057,"&gt;"&amp;0),""))</f>
        <v/>
      </c>
      <c r="L4057" s="11" t="n"/>
    </row>
    <row r="4058" ht="14" customHeight="1" s="72">
      <c r="A4058" s="83" t="n"/>
      <c r="B4058" s="81" t="n"/>
      <c r="C4058" s="69">
        <f>IF(B4058="","",IFERROR(INDEX(Client_List!$B:$B,MATCH(B4058,Client_List!$A:$A,0)),"⚠ NOT FOUND"))</f>
        <v/>
      </c>
      <c r="D4058" s="45" t="n"/>
      <c r="E4058" s="32">
        <f>IF(B4058="","",IFERROR(INDEX(Client_List!$C:$C,MATCH(VALUE(B4058),Client_List!$A:$A,0)),""))</f>
        <v/>
      </c>
      <c r="F4058" s="53">
        <f>IF(B4058="","",IFERROR(INDEX(Client_List!$D:$D,MATCH(VALUE(B4058),Client_List!$A:$A,0)),""))</f>
        <v/>
      </c>
      <c r="G4058" s="53">
        <f>IF(B4058="","",IFERROR(INDEX(Client_List!$K:$K,MATCH(VALUE(B4058),Client_List!$A:$A,0)),""))</f>
        <v/>
      </c>
      <c r="H4058" s="32">
        <f>IF(B4058="","",IFERROR(INDEX(Client_List!$J:$J,MATCH(VALUE(B4058),Client_List!$A:$A,0)),""))</f>
        <v/>
      </c>
      <c r="I4058" s="70">
        <f>IF(B4058="","",IFERROR(A4058-LOOKUP(2,1/($B$4:$B4057=B4058),$A$4:$A4057),""))</f>
        <v/>
      </c>
      <c r="J4058" s="32">
        <f>IF(B4058="","",IFERROR(D4058/I4058,""))</f>
        <v/>
      </c>
      <c r="K4058" s="71">
        <f>IF(B4058="","",IFERROR(AVERAGEIFS($J$4:$J4058,$B$4:$B4058,B4058,$J$4:$J4058,"&gt;"&amp;0),""))</f>
        <v/>
      </c>
      <c r="L4058" s="12" t="n"/>
    </row>
    <row r="4059" ht="14" customHeight="1" s="72">
      <c r="A4059" s="82" t="n"/>
      <c r="B4059" s="79" t="n"/>
      <c r="C4059" s="69">
        <f>IF(B4059="","",IFERROR(INDEX(Client_List!$B:$B,MATCH(B4059,Client_List!$A:$A,0)),"⚠ NOT FOUND"))</f>
        <v/>
      </c>
      <c r="D4059" s="44" t="n"/>
      <c r="E4059" s="32">
        <f>IF(B4059="","",IFERROR(INDEX(Client_List!$C:$C,MATCH(VALUE(B4059),Client_List!$A:$A,0)),""))</f>
        <v/>
      </c>
      <c r="F4059" s="53">
        <f>IF(B4059="","",IFERROR(INDEX(Client_List!$D:$D,MATCH(VALUE(B4059),Client_List!$A:$A,0)),""))</f>
        <v/>
      </c>
      <c r="G4059" s="53">
        <f>IF(B4059="","",IFERROR(INDEX(Client_List!$K:$K,MATCH(VALUE(B4059),Client_List!$A:$A,0)),""))</f>
        <v/>
      </c>
      <c r="H4059" s="32">
        <f>IF(B4059="","",IFERROR(INDEX(Client_List!$J:$J,MATCH(VALUE(B4059),Client_List!$A:$A,0)),""))</f>
        <v/>
      </c>
      <c r="I4059" s="70">
        <f>IF(B4059="","",IFERROR(A4059-LOOKUP(2,1/($B$4:$B4058=B4059),$A$4:$A4058),""))</f>
        <v/>
      </c>
      <c r="J4059" s="32">
        <f>IF(B4059="","",IFERROR(D4059/I4059,""))</f>
        <v/>
      </c>
      <c r="K4059" s="71">
        <f>IF(B4059="","",IFERROR(AVERAGEIFS($J$4:$J4059,$B$4:$B4059,B4059,$J$4:$J4059,"&gt;"&amp;0),""))</f>
        <v/>
      </c>
      <c r="L4059" s="11" t="n"/>
    </row>
    <row r="4060" ht="14" customHeight="1" s="72">
      <c r="A4060" s="83" t="n"/>
      <c r="B4060" s="81" t="n"/>
      <c r="C4060" s="69">
        <f>IF(B4060="","",IFERROR(INDEX(Client_List!$B:$B,MATCH(B4060,Client_List!$A:$A,0)),"⚠ NOT FOUND"))</f>
        <v/>
      </c>
      <c r="D4060" s="45" t="n"/>
      <c r="E4060" s="32">
        <f>IF(B4060="","",IFERROR(INDEX(Client_List!$C:$C,MATCH(VALUE(B4060),Client_List!$A:$A,0)),""))</f>
        <v/>
      </c>
      <c r="F4060" s="53">
        <f>IF(B4060="","",IFERROR(INDEX(Client_List!$D:$D,MATCH(VALUE(B4060),Client_List!$A:$A,0)),""))</f>
        <v/>
      </c>
      <c r="G4060" s="53">
        <f>IF(B4060="","",IFERROR(INDEX(Client_List!$K:$K,MATCH(VALUE(B4060),Client_List!$A:$A,0)),""))</f>
        <v/>
      </c>
      <c r="H4060" s="32">
        <f>IF(B4060="","",IFERROR(INDEX(Client_List!$J:$J,MATCH(VALUE(B4060),Client_List!$A:$A,0)),""))</f>
        <v/>
      </c>
      <c r="I4060" s="70">
        <f>IF(B4060="","",IFERROR(A4060-LOOKUP(2,1/($B$4:$B4059=B4060),$A$4:$A4059),""))</f>
        <v/>
      </c>
      <c r="J4060" s="32">
        <f>IF(B4060="","",IFERROR(D4060/I4060,""))</f>
        <v/>
      </c>
      <c r="K4060" s="71">
        <f>IF(B4060="","",IFERROR(AVERAGEIFS($J$4:$J4060,$B$4:$B4060,B4060,$J$4:$J4060,"&gt;"&amp;0),""))</f>
        <v/>
      </c>
      <c r="L4060" s="12" t="n"/>
    </row>
    <row r="4061" ht="14" customHeight="1" s="72">
      <c r="A4061" s="82" t="n"/>
      <c r="B4061" s="79" t="n"/>
      <c r="C4061" s="69">
        <f>IF(B4061="","",IFERROR(INDEX(Client_List!$B:$B,MATCH(B4061,Client_List!$A:$A,0)),"⚠ NOT FOUND"))</f>
        <v/>
      </c>
      <c r="D4061" s="44" t="n"/>
      <c r="E4061" s="32">
        <f>IF(B4061="","",IFERROR(INDEX(Client_List!$C:$C,MATCH(VALUE(B4061),Client_List!$A:$A,0)),""))</f>
        <v/>
      </c>
      <c r="F4061" s="53">
        <f>IF(B4061="","",IFERROR(INDEX(Client_List!$D:$D,MATCH(VALUE(B4061),Client_List!$A:$A,0)),""))</f>
        <v/>
      </c>
      <c r="G4061" s="53">
        <f>IF(B4061="","",IFERROR(INDEX(Client_List!$K:$K,MATCH(VALUE(B4061),Client_List!$A:$A,0)),""))</f>
        <v/>
      </c>
      <c r="H4061" s="32">
        <f>IF(B4061="","",IFERROR(INDEX(Client_List!$J:$J,MATCH(VALUE(B4061),Client_List!$A:$A,0)),""))</f>
        <v/>
      </c>
      <c r="I4061" s="70">
        <f>IF(B4061="","",IFERROR(A4061-LOOKUP(2,1/($B$4:$B4060=B4061),$A$4:$A4060),""))</f>
        <v/>
      </c>
      <c r="J4061" s="32">
        <f>IF(B4061="","",IFERROR(D4061/I4061,""))</f>
        <v/>
      </c>
      <c r="K4061" s="71">
        <f>IF(B4061="","",IFERROR(AVERAGEIFS($J$4:$J4061,$B$4:$B4061,B4061,$J$4:$J4061,"&gt;"&amp;0),""))</f>
        <v/>
      </c>
      <c r="L4061" s="11" t="n"/>
    </row>
    <row r="4062" ht="14" customHeight="1" s="72">
      <c r="A4062" s="83" t="n"/>
      <c r="B4062" s="81" t="n"/>
      <c r="C4062" s="69">
        <f>IF(B4062="","",IFERROR(INDEX(Client_List!$B:$B,MATCH(B4062,Client_List!$A:$A,0)),"⚠ NOT FOUND"))</f>
        <v/>
      </c>
      <c r="D4062" s="45" t="n"/>
      <c r="E4062" s="32">
        <f>IF(B4062="","",IFERROR(INDEX(Client_List!$C:$C,MATCH(VALUE(B4062),Client_List!$A:$A,0)),""))</f>
        <v/>
      </c>
      <c r="F4062" s="53">
        <f>IF(B4062="","",IFERROR(INDEX(Client_List!$D:$D,MATCH(VALUE(B4062),Client_List!$A:$A,0)),""))</f>
        <v/>
      </c>
      <c r="G4062" s="53">
        <f>IF(B4062="","",IFERROR(INDEX(Client_List!$K:$K,MATCH(VALUE(B4062),Client_List!$A:$A,0)),""))</f>
        <v/>
      </c>
      <c r="H4062" s="32">
        <f>IF(B4062="","",IFERROR(INDEX(Client_List!$J:$J,MATCH(VALUE(B4062),Client_List!$A:$A,0)),""))</f>
        <v/>
      </c>
      <c r="I4062" s="70">
        <f>IF(B4062="","",IFERROR(A4062-LOOKUP(2,1/($B$4:$B4061=B4062),$A$4:$A4061),""))</f>
        <v/>
      </c>
      <c r="J4062" s="32">
        <f>IF(B4062="","",IFERROR(D4062/I4062,""))</f>
        <v/>
      </c>
      <c r="K4062" s="71">
        <f>IF(B4062="","",IFERROR(AVERAGEIFS($J$4:$J4062,$B$4:$B4062,B4062,$J$4:$J4062,"&gt;"&amp;0),""))</f>
        <v/>
      </c>
      <c r="L4062" s="12" t="n"/>
    </row>
    <row r="4063" ht="14" customHeight="1" s="72">
      <c r="A4063" s="82" t="n"/>
      <c r="B4063" s="79" t="n"/>
      <c r="C4063" s="69">
        <f>IF(B4063="","",IFERROR(INDEX(Client_List!$B:$B,MATCH(B4063,Client_List!$A:$A,0)),"⚠ NOT FOUND"))</f>
        <v/>
      </c>
      <c r="D4063" s="44" t="n"/>
      <c r="E4063" s="32">
        <f>IF(B4063="","",IFERROR(INDEX(Client_List!$C:$C,MATCH(VALUE(B4063),Client_List!$A:$A,0)),""))</f>
        <v/>
      </c>
      <c r="F4063" s="53">
        <f>IF(B4063="","",IFERROR(INDEX(Client_List!$D:$D,MATCH(VALUE(B4063),Client_List!$A:$A,0)),""))</f>
        <v/>
      </c>
      <c r="G4063" s="53">
        <f>IF(B4063="","",IFERROR(INDEX(Client_List!$K:$K,MATCH(VALUE(B4063),Client_List!$A:$A,0)),""))</f>
        <v/>
      </c>
      <c r="H4063" s="32">
        <f>IF(B4063="","",IFERROR(INDEX(Client_List!$J:$J,MATCH(VALUE(B4063),Client_List!$A:$A,0)),""))</f>
        <v/>
      </c>
      <c r="I4063" s="70">
        <f>IF(B4063="","",IFERROR(A4063-LOOKUP(2,1/($B$4:$B4062=B4063),$A$4:$A4062),""))</f>
        <v/>
      </c>
      <c r="J4063" s="32">
        <f>IF(B4063="","",IFERROR(D4063/I4063,""))</f>
        <v/>
      </c>
      <c r="K4063" s="71">
        <f>IF(B4063="","",IFERROR(AVERAGEIFS($J$4:$J4063,$B$4:$B4063,B4063,$J$4:$J4063,"&gt;"&amp;0),""))</f>
        <v/>
      </c>
      <c r="L4063" s="11" t="n"/>
    </row>
    <row r="4064" ht="14" customHeight="1" s="72">
      <c r="A4064" s="83" t="n"/>
      <c r="B4064" s="81" t="n"/>
      <c r="C4064" s="69">
        <f>IF(B4064="","",IFERROR(INDEX(Client_List!$B:$B,MATCH(B4064,Client_List!$A:$A,0)),"⚠ NOT FOUND"))</f>
        <v/>
      </c>
      <c r="D4064" s="45" t="n"/>
      <c r="E4064" s="32">
        <f>IF(B4064="","",IFERROR(INDEX(Client_List!$C:$C,MATCH(VALUE(B4064),Client_List!$A:$A,0)),""))</f>
        <v/>
      </c>
      <c r="F4064" s="53">
        <f>IF(B4064="","",IFERROR(INDEX(Client_List!$D:$D,MATCH(VALUE(B4064),Client_List!$A:$A,0)),""))</f>
        <v/>
      </c>
      <c r="G4064" s="53">
        <f>IF(B4064="","",IFERROR(INDEX(Client_List!$K:$K,MATCH(VALUE(B4064),Client_List!$A:$A,0)),""))</f>
        <v/>
      </c>
      <c r="H4064" s="32">
        <f>IF(B4064="","",IFERROR(INDEX(Client_List!$J:$J,MATCH(VALUE(B4064),Client_List!$A:$A,0)),""))</f>
        <v/>
      </c>
      <c r="I4064" s="70">
        <f>IF(B4064="","",IFERROR(A4064-LOOKUP(2,1/($B$4:$B4063=B4064),$A$4:$A4063),""))</f>
        <v/>
      </c>
      <c r="J4064" s="32">
        <f>IF(B4064="","",IFERROR(D4064/I4064,""))</f>
        <v/>
      </c>
      <c r="K4064" s="71">
        <f>IF(B4064="","",IFERROR(AVERAGEIFS($J$4:$J4064,$B$4:$B4064,B4064,$J$4:$J4064,"&gt;"&amp;0),""))</f>
        <v/>
      </c>
      <c r="L4064" s="12" t="n"/>
    </row>
    <row r="4065" ht="14" customHeight="1" s="72">
      <c r="A4065" s="82" t="n"/>
      <c r="B4065" s="79" t="n"/>
      <c r="C4065" s="69">
        <f>IF(B4065="","",IFERROR(INDEX(Client_List!$B:$B,MATCH(B4065,Client_List!$A:$A,0)),"⚠ NOT FOUND"))</f>
        <v/>
      </c>
      <c r="D4065" s="44" t="n"/>
      <c r="E4065" s="32">
        <f>IF(B4065="","",IFERROR(INDEX(Client_List!$C:$C,MATCH(VALUE(B4065),Client_List!$A:$A,0)),""))</f>
        <v/>
      </c>
      <c r="F4065" s="53">
        <f>IF(B4065="","",IFERROR(INDEX(Client_List!$D:$D,MATCH(VALUE(B4065),Client_List!$A:$A,0)),""))</f>
        <v/>
      </c>
      <c r="G4065" s="53">
        <f>IF(B4065="","",IFERROR(INDEX(Client_List!$K:$K,MATCH(VALUE(B4065),Client_List!$A:$A,0)),""))</f>
        <v/>
      </c>
      <c r="H4065" s="32">
        <f>IF(B4065="","",IFERROR(INDEX(Client_List!$J:$J,MATCH(VALUE(B4065),Client_List!$A:$A,0)),""))</f>
        <v/>
      </c>
      <c r="I4065" s="70">
        <f>IF(B4065="","",IFERROR(A4065-LOOKUP(2,1/($B$4:$B4064=B4065),$A$4:$A4064),""))</f>
        <v/>
      </c>
      <c r="J4065" s="32">
        <f>IF(B4065="","",IFERROR(D4065/I4065,""))</f>
        <v/>
      </c>
      <c r="K4065" s="71">
        <f>IF(B4065="","",IFERROR(AVERAGEIFS($J$4:$J4065,$B$4:$B4065,B4065,$J$4:$J4065,"&gt;"&amp;0),""))</f>
        <v/>
      </c>
      <c r="L4065" s="11" t="n"/>
    </row>
    <row r="4066" ht="14" customHeight="1" s="72">
      <c r="A4066" s="83" t="n"/>
      <c r="B4066" s="81" t="n"/>
      <c r="C4066" s="69">
        <f>IF(B4066="","",IFERROR(INDEX(Client_List!$B:$B,MATCH(B4066,Client_List!$A:$A,0)),"⚠ NOT FOUND"))</f>
        <v/>
      </c>
      <c r="D4066" s="45" t="n"/>
      <c r="E4066" s="32">
        <f>IF(B4066="","",IFERROR(INDEX(Client_List!$C:$C,MATCH(VALUE(B4066),Client_List!$A:$A,0)),""))</f>
        <v/>
      </c>
      <c r="F4066" s="53">
        <f>IF(B4066="","",IFERROR(INDEX(Client_List!$D:$D,MATCH(VALUE(B4066),Client_List!$A:$A,0)),""))</f>
        <v/>
      </c>
      <c r="G4066" s="53">
        <f>IF(B4066="","",IFERROR(INDEX(Client_List!$K:$K,MATCH(VALUE(B4066),Client_List!$A:$A,0)),""))</f>
        <v/>
      </c>
      <c r="H4066" s="32">
        <f>IF(B4066="","",IFERROR(INDEX(Client_List!$J:$J,MATCH(VALUE(B4066),Client_List!$A:$A,0)),""))</f>
        <v/>
      </c>
      <c r="I4066" s="70">
        <f>IF(B4066="","",IFERROR(A4066-LOOKUP(2,1/($B$4:$B4065=B4066),$A$4:$A4065),""))</f>
        <v/>
      </c>
      <c r="J4066" s="32">
        <f>IF(B4066="","",IFERROR(D4066/I4066,""))</f>
        <v/>
      </c>
      <c r="K4066" s="71">
        <f>IF(B4066="","",IFERROR(AVERAGEIFS($J$4:$J4066,$B$4:$B4066,B4066,$J$4:$J4066,"&gt;"&amp;0),""))</f>
        <v/>
      </c>
      <c r="L4066" s="12" t="n"/>
    </row>
    <row r="4067" ht="14" customHeight="1" s="72">
      <c r="A4067" s="82" t="n"/>
      <c r="B4067" s="79" t="n"/>
      <c r="C4067" s="69">
        <f>IF(B4067="","",IFERROR(INDEX(Client_List!$B:$B,MATCH(B4067,Client_List!$A:$A,0)),"⚠ NOT FOUND"))</f>
        <v/>
      </c>
      <c r="D4067" s="44" t="n"/>
      <c r="E4067" s="32">
        <f>IF(B4067="","",IFERROR(INDEX(Client_List!$C:$C,MATCH(VALUE(B4067),Client_List!$A:$A,0)),""))</f>
        <v/>
      </c>
      <c r="F4067" s="53">
        <f>IF(B4067="","",IFERROR(INDEX(Client_List!$D:$D,MATCH(VALUE(B4067),Client_List!$A:$A,0)),""))</f>
        <v/>
      </c>
      <c r="G4067" s="53">
        <f>IF(B4067="","",IFERROR(INDEX(Client_List!$K:$K,MATCH(VALUE(B4067),Client_List!$A:$A,0)),""))</f>
        <v/>
      </c>
      <c r="H4067" s="32">
        <f>IF(B4067="","",IFERROR(INDEX(Client_List!$J:$J,MATCH(VALUE(B4067),Client_List!$A:$A,0)),""))</f>
        <v/>
      </c>
      <c r="I4067" s="70">
        <f>IF(B4067="","",IFERROR(A4067-LOOKUP(2,1/($B$4:$B4066=B4067),$A$4:$A4066),""))</f>
        <v/>
      </c>
      <c r="J4067" s="32">
        <f>IF(B4067="","",IFERROR(D4067/I4067,""))</f>
        <v/>
      </c>
      <c r="K4067" s="71">
        <f>IF(B4067="","",IFERROR(AVERAGEIFS($J$4:$J4067,$B$4:$B4067,B4067,$J$4:$J4067,"&gt;"&amp;0),""))</f>
        <v/>
      </c>
      <c r="L4067" s="11" t="n"/>
    </row>
    <row r="4068" ht="14" customHeight="1" s="72">
      <c r="A4068" s="83" t="n"/>
      <c r="B4068" s="81" t="n"/>
      <c r="C4068" s="69">
        <f>IF(B4068="","",IFERROR(INDEX(Client_List!$B:$B,MATCH(B4068,Client_List!$A:$A,0)),"⚠ NOT FOUND"))</f>
        <v/>
      </c>
      <c r="D4068" s="45" t="n"/>
      <c r="E4068" s="32">
        <f>IF(B4068="","",IFERROR(INDEX(Client_List!$C:$C,MATCH(VALUE(B4068),Client_List!$A:$A,0)),""))</f>
        <v/>
      </c>
      <c r="F4068" s="53">
        <f>IF(B4068="","",IFERROR(INDEX(Client_List!$D:$D,MATCH(VALUE(B4068),Client_List!$A:$A,0)),""))</f>
        <v/>
      </c>
      <c r="G4068" s="53">
        <f>IF(B4068="","",IFERROR(INDEX(Client_List!$K:$K,MATCH(VALUE(B4068),Client_List!$A:$A,0)),""))</f>
        <v/>
      </c>
      <c r="H4068" s="32">
        <f>IF(B4068="","",IFERROR(INDEX(Client_List!$J:$J,MATCH(VALUE(B4068),Client_List!$A:$A,0)),""))</f>
        <v/>
      </c>
      <c r="I4068" s="70">
        <f>IF(B4068="","",IFERROR(A4068-LOOKUP(2,1/($B$4:$B4067=B4068),$A$4:$A4067),""))</f>
        <v/>
      </c>
      <c r="J4068" s="32">
        <f>IF(B4068="","",IFERROR(D4068/I4068,""))</f>
        <v/>
      </c>
      <c r="K4068" s="71">
        <f>IF(B4068="","",IFERROR(AVERAGEIFS($J$4:$J4068,$B$4:$B4068,B4068,$J$4:$J4068,"&gt;"&amp;0),""))</f>
        <v/>
      </c>
      <c r="L4068" s="12" t="n"/>
    </row>
    <row r="4069" ht="14" customHeight="1" s="72">
      <c r="A4069" s="82" t="n"/>
      <c r="B4069" s="79" t="n"/>
      <c r="C4069" s="69">
        <f>IF(B4069="","",IFERROR(INDEX(Client_List!$B:$B,MATCH(B4069,Client_List!$A:$A,0)),"⚠ NOT FOUND"))</f>
        <v/>
      </c>
      <c r="D4069" s="44" t="n"/>
      <c r="E4069" s="32">
        <f>IF(B4069="","",IFERROR(INDEX(Client_List!$C:$C,MATCH(VALUE(B4069),Client_List!$A:$A,0)),""))</f>
        <v/>
      </c>
      <c r="F4069" s="53">
        <f>IF(B4069="","",IFERROR(INDEX(Client_List!$D:$D,MATCH(VALUE(B4069),Client_List!$A:$A,0)),""))</f>
        <v/>
      </c>
      <c r="G4069" s="53">
        <f>IF(B4069="","",IFERROR(INDEX(Client_List!$K:$K,MATCH(VALUE(B4069),Client_List!$A:$A,0)),""))</f>
        <v/>
      </c>
      <c r="H4069" s="32">
        <f>IF(B4069="","",IFERROR(INDEX(Client_List!$J:$J,MATCH(VALUE(B4069),Client_List!$A:$A,0)),""))</f>
        <v/>
      </c>
      <c r="I4069" s="70">
        <f>IF(B4069="","",IFERROR(A4069-LOOKUP(2,1/($B$4:$B4068=B4069),$A$4:$A4068),""))</f>
        <v/>
      </c>
      <c r="J4069" s="32">
        <f>IF(B4069="","",IFERROR(D4069/I4069,""))</f>
        <v/>
      </c>
      <c r="K4069" s="71">
        <f>IF(B4069="","",IFERROR(AVERAGEIFS($J$4:$J4069,$B$4:$B4069,B4069,$J$4:$J4069,"&gt;"&amp;0),""))</f>
        <v/>
      </c>
      <c r="L4069" s="11" t="n"/>
    </row>
    <row r="4070" ht="14" customHeight="1" s="72">
      <c r="A4070" s="83" t="n"/>
      <c r="B4070" s="81" t="n"/>
      <c r="C4070" s="69">
        <f>IF(B4070="","",IFERROR(INDEX(Client_List!$B:$B,MATCH(B4070,Client_List!$A:$A,0)),"⚠ NOT FOUND"))</f>
        <v/>
      </c>
      <c r="D4070" s="45" t="n"/>
      <c r="E4070" s="32">
        <f>IF(B4070="","",IFERROR(INDEX(Client_List!$C:$C,MATCH(VALUE(B4070),Client_List!$A:$A,0)),""))</f>
        <v/>
      </c>
      <c r="F4070" s="53">
        <f>IF(B4070="","",IFERROR(INDEX(Client_List!$D:$D,MATCH(VALUE(B4070),Client_List!$A:$A,0)),""))</f>
        <v/>
      </c>
      <c r="G4070" s="53">
        <f>IF(B4070="","",IFERROR(INDEX(Client_List!$K:$K,MATCH(VALUE(B4070),Client_List!$A:$A,0)),""))</f>
        <v/>
      </c>
      <c r="H4070" s="32">
        <f>IF(B4070="","",IFERROR(INDEX(Client_List!$J:$J,MATCH(VALUE(B4070),Client_List!$A:$A,0)),""))</f>
        <v/>
      </c>
      <c r="I4070" s="70">
        <f>IF(B4070="","",IFERROR(A4070-LOOKUP(2,1/($B$4:$B4069=B4070),$A$4:$A4069),""))</f>
        <v/>
      </c>
      <c r="J4070" s="32">
        <f>IF(B4070="","",IFERROR(D4070/I4070,""))</f>
        <v/>
      </c>
      <c r="K4070" s="71">
        <f>IF(B4070="","",IFERROR(AVERAGEIFS($J$4:$J4070,$B$4:$B4070,B4070,$J$4:$J4070,"&gt;"&amp;0),""))</f>
        <v/>
      </c>
      <c r="L4070" s="12" t="n"/>
    </row>
    <row r="4071" ht="14" customHeight="1" s="72">
      <c r="A4071" s="82" t="n"/>
      <c r="B4071" s="79" t="n"/>
      <c r="C4071" s="69">
        <f>IF(B4071="","",IFERROR(INDEX(Client_List!$B:$B,MATCH(B4071,Client_List!$A:$A,0)),"⚠ NOT FOUND"))</f>
        <v/>
      </c>
      <c r="D4071" s="44" t="n"/>
      <c r="E4071" s="32">
        <f>IF(B4071="","",IFERROR(INDEX(Client_List!$C:$C,MATCH(VALUE(B4071),Client_List!$A:$A,0)),""))</f>
        <v/>
      </c>
      <c r="F4071" s="53">
        <f>IF(B4071="","",IFERROR(INDEX(Client_List!$D:$D,MATCH(VALUE(B4071),Client_List!$A:$A,0)),""))</f>
        <v/>
      </c>
      <c r="G4071" s="53">
        <f>IF(B4071="","",IFERROR(INDEX(Client_List!$K:$K,MATCH(VALUE(B4071),Client_List!$A:$A,0)),""))</f>
        <v/>
      </c>
      <c r="H4071" s="32">
        <f>IF(B4071="","",IFERROR(INDEX(Client_List!$J:$J,MATCH(VALUE(B4071),Client_List!$A:$A,0)),""))</f>
        <v/>
      </c>
      <c r="I4071" s="70">
        <f>IF(B4071="","",IFERROR(A4071-LOOKUP(2,1/($B$4:$B4070=B4071),$A$4:$A4070),""))</f>
        <v/>
      </c>
      <c r="J4071" s="32">
        <f>IF(B4071="","",IFERROR(D4071/I4071,""))</f>
        <v/>
      </c>
      <c r="K4071" s="71">
        <f>IF(B4071="","",IFERROR(AVERAGEIFS($J$4:$J4071,$B$4:$B4071,B4071,$J$4:$J4071,"&gt;"&amp;0),""))</f>
        <v/>
      </c>
      <c r="L4071" s="11" t="n"/>
    </row>
    <row r="4072" ht="14" customHeight="1" s="72">
      <c r="A4072" s="83" t="n"/>
      <c r="B4072" s="81" t="n"/>
      <c r="C4072" s="69">
        <f>IF(B4072="","",IFERROR(INDEX(Client_List!$B:$B,MATCH(B4072,Client_List!$A:$A,0)),"⚠ NOT FOUND"))</f>
        <v/>
      </c>
      <c r="D4072" s="45" t="n"/>
      <c r="E4072" s="32">
        <f>IF(B4072="","",IFERROR(INDEX(Client_List!$C:$C,MATCH(VALUE(B4072),Client_List!$A:$A,0)),""))</f>
        <v/>
      </c>
      <c r="F4072" s="53">
        <f>IF(B4072="","",IFERROR(INDEX(Client_List!$D:$D,MATCH(VALUE(B4072),Client_List!$A:$A,0)),""))</f>
        <v/>
      </c>
      <c r="G4072" s="53">
        <f>IF(B4072="","",IFERROR(INDEX(Client_List!$K:$K,MATCH(VALUE(B4072),Client_List!$A:$A,0)),""))</f>
        <v/>
      </c>
      <c r="H4072" s="32">
        <f>IF(B4072="","",IFERROR(INDEX(Client_List!$J:$J,MATCH(VALUE(B4072),Client_List!$A:$A,0)),""))</f>
        <v/>
      </c>
      <c r="I4072" s="70">
        <f>IF(B4072="","",IFERROR(A4072-LOOKUP(2,1/($B$4:$B4071=B4072),$A$4:$A4071),""))</f>
        <v/>
      </c>
      <c r="J4072" s="32">
        <f>IF(B4072="","",IFERROR(D4072/I4072,""))</f>
        <v/>
      </c>
      <c r="K4072" s="71">
        <f>IF(B4072="","",IFERROR(AVERAGEIFS($J$4:$J4072,$B$4:$B4072,B4072,$J$4:$J4072,"&gt;"&amp;0),""))</f>
        <v/>
      </c>
      <c r="L4072" s="12" t="n"/>
    </row>
    <row r="4073" ht="14" customHeight="1" s="72">
      <c r="A4073" s="82" t="n"/>
      <c r="B4073" s="79" t="n"/>
      <c r="C4073" s="69">
        <f>IF(B4073="","",IFERROR(INDEX(Client_List!$B:$B,MATCH(B4073,Client_List!$A:$A,0)),"⚠ NOT FOUND"))</f>
        <v/>
      </c>
      <c r="D4073" s="44" t="n"/>
      <c r="E4073" s="32">
        <f>IF(B4073="","",IFERROR(INDEX(Client_List!$C:$C,MATCH(VALUE(B4073),Client_List!$A:$A,0)),""))</f>
        <v/>
      </c>
      <c r="F4073" s="53">
        <f>IF(B4073="","",IFERROR(INDEX(Client_List!$D:$D,MATCH(VALUE(B4073),Client_List!$A:$A,0)),""))</f>
        <v/>
      </c>
      <c r="G4073" s="53">
        <f>IF(B4073="","",IFERROR(INDEX(Client_List!$K:$K,MATCH(VALUE(B4073),Client_List!$A:$A,0)),""))</f>
        <v/>
      </c>
      <c r="H4073" s="32">
        <f>IF(B4073="","",IFERROR(INDEX(Client_List!$J:$J,MATCH(VALUE(B4073),Client_List!$A:$A,0)),""))</f>
        <v/>
      </c>
      <c r="I4073" s="70">
        <f>IF(B4073="","",IFERROR(A4073-LOOKUP(2,1/($B$4:$B4072=B4073),$A$4:$A4072),""))</f>
        <v/>
      </c>
      <c r="J4073" s="32">
        <f>IF(B4073="","",IFERROR(D4073/I4073,""))</f>
        <v/>
      </c>
      <c r="K4073" s="71">
        <f>IF(B4073="","",IFERROR(AVERAGEIFS($J$4:$J4073,$B$4:$B4073,B4073,$J$4:$J4073,"&gt;"&amp;0),""))</f>
        <v/>
      </c>
      <c r="L4073" s="11" t="n"/>
    </row>
    <row r="4074" ht="14" customHeight="1" s="72">
      <c r="A4074" s="83" t="n"/>
      <c r="B4074" s="81" t="n"/>
      <c r="C4074" s="69">
        <f>IF(B4074="","",IFERROR(INDEX(Client_List!$B:$B,MATCH(B4074,Client_List!$A:$A,0)),"⚠ NOT FOUND"))</f>
        <v/>
      </c>
      <c r="D4074" s="45" t="n"/>
      <c r="E4074" s="32">
        <f>IF(B4074="","",IFERROR(INDEX(Client_List!$C:$C,MATCH(VALUE(B4074),Client_List!$A:$A,0)),""))</f>
        <v/>
      </c>
      <c r="F4074" s="53">
        <f>IF(B4074="","",IFERROR(INDEX(Client_List!$D:$D,MATCH(VALUE(B4074),Client_List!$A:$A,0)),""))</f>
        <v/>
      </c>
      <c r="G4074" s="53">
        <f>IF(B4074="","",IFERROR(INDEX(Client_List!$K:$K,MATCH(VALUE(B4074),Client_List!$A:$A,0)),""))</f>
        <v/>
      </c>
      <c r="H4074" s="32">
        <f>IF(B4074="","",IFERROR(INDEX(Client_List!$J:$J,MATCH(VALUE(B4074),Client_List!$A:$A,0)),""))</f>
        <v/>
      </c>
      <c r="I4074" s="70">
        <f>IF(B4074="","",IFERROR(A4074-LOOKUP(2,1/($B$4:$B4073=B4074),$A$4:$A4073),""))</f>
        <v/>
      </c>
      <c r="J4074" s="32">
        <f>IF(B4074="","",IFERROR(D4074/I4074,""))</f>
        <v/>
      </c>
      <c r="K4074" s="71">
        <f>IF(B4074="","",IFERROR(AVERAGEIFS($J$4:$J4074,$B$4:$B4074,B4074,$J$4:$J4074,"&gt;"&amp;0),""))</f>
        <v/>
      </c>
      <c r="L4074" s="12" t="n"/>
    </row>
    <row r="4075" ht="14" customHeight="1" s="72">
      <c r="A4075" s="82" t="n"/>
      <c r="B4075" s="79" t="n"/>
      <c r="C4075" s="69">
        <f>IF(B4075="","",IFERROR(INDEX(Client_List!$B:$B,MATCH(B4075,Client_List!$A:$A,0)),"⚠ NOT FOUND"))</f>
        <v/>
      </c>
      <c r="D4075" s="44" t="n"/>
      <c r="E4075" s="32">
        <f>IF(B4075="","",IFERROR(INDEX(Client_List!$C:$C,MATCH(VALUE(B4075),Client_List!$A:$A,0)),""))</f>
        <v/>
      </c>
      <c r="F4075" s="53">
        <f>IF(B4075="","",IFERROR(INDEX(Client_List!$D:$D,MATCH(VALUE(B4075),Client_List!$A:$A,0)),""))</f>
        <v/>
      </c>
      <c r="G4075" s="53">
        <f>IF(B4075="","",IFERROR(INDEX(Client_List!$K:$K,MATCH(VALUE(B4075),Client_List!$A:$A,0)),""))</f>
        <v/>
      </c>
      <c r="H4075" s="32">
        <f>IF(B4075="","",IFERROR(INDEX(Client_List!$J:$J,MATCH(VALUE(B4075),Client_List!$A:$A,0)),""))</f>
        <v/>
      </c>
      <c r="I4075" s="70">
        <f>IF(B4075="","",IFERROR(A4075-LOOKUP(2,1/($B$4:$B4074=B4075),$A$4:$A4074),""))</f>
        <v/>
      </c>
      <c r="J4075" s="32">
        <f>IF(B4075="","",IFERROR(D4075/I4075,""))</f>
        <v/>
      </c>
      <c r="K4075" s="71">
        <f>IF(B4075="","",IFERROR(AVERAGEIFS($J$4:$J4075,$B$4:$B4075,B4075,$J$4:$J4075,"&gt;"&amp;0),""))</f>
        <v/>
      </c>
      <c r="L4075" s="11" t="n"/>
    </row>
    <row r="4076" ht="14" customHeight="1" s="72">
      <c r="A4076" s="83" t="n"/>
      <c r="B4076" s="81" t="n"/>
      <c r="C4076" s="69">
        <f>IF(B4076="","",IFERROR(INDEX(Client_List!$B:$B,MATCH(B4076,Client_List!$A:$A,0)),"⚠ NOT FOUND"))</f>
        <v/>
      </c>
      <c r="D4076" s="45" t="n"/>
      <c r="E4076" s="32">
        <f>IF(B4076="","",IFERROR(INDEX(Client_List!$C:$C,MATCH(VALUE(B4076),Client_List!$A:$A,0)),""))</f>
        <v/>
      </c>
      <c r="F4076" s="53">
        <f>IF(B4076="","",IFERROR(INDEX(Client_List!$D:$D,MATCH(VALUE(B4076),Client_List!$A:$A,0)),""))</f>
        <v/>
      </c>
      <c r="G4076" s="53">
        <f>IF(B4076="","",IFERROR(INDEX(Client_List!$K:$K,MATCH(VALUE(B4076),Client_List!$A:$A,0)),""))</f>
        <v/>
      </c>
      <c r="H4076" s="32">
        <f>IF(B4076="","",IFERROR(INDEX(Client_List!$J:$J,MATCH(VALUE(B4076),Client_List!$A:$A,0)),""))</f>
        <v/>
      </c>
      <c r="I4076" s="70">
        <f>IF(B4076="","",IFERROR(A4076-LOOKUP(2,1/($B$4:$B4075=B4076),$A$4:$A4075),""))</f>
        <v/>
      </c>
      <c r="J4076" s="32">
        <f>IF(B4076="","",IFERROR(D4076/I4076,""))</f>
        <v/>
      </c>
      <c r="K4076" s="71">
        <f>IF(B4076="","",IFERROR(AVERAGEIFS($J$4:$J4076,$B$4:$B4076,B4076,$J$4:$J4076,"&gt;"&amp;0),""))</f>
        <v/>
      </c>
      <c r="L4076" s="12" t="n"/>
    </row>
    <row r="4077" ht="14" customHeight="1" s="72">
      <c r="A4077" s="82" t="n"/>
      <c r="B4077" s="79" t="n"/>
      <c r="C4077" s="69">
        <f>IF(B4077="","",IFERROR(INDEX(Client_List!$B:$B,MATCH(B4077,Client_List!$A:$A,0)),"⚠ NOT FOUND"))</f>
        <v/>
      </c>
      <c r="D4077" s="44" t="n"/>
      <c r="E4077" s="32">
        <f>IF(B4077="","",IFERROR(INDEX(Client_List!$C:$C,MATCH(VALUE(B4077),Client_List!$A:$A,0)),""))</f>
        <v/>
      </c>
      <c r="F4077" s="53">
        <f>IF(B4077="","",IFERROR(INDEX(Client_List!$D:$D,MATCH(VALUE(B4077),Client_List!$A:$A,0)),""))</f>
        <v/>
      </c>
      <c r="G4077" s="53">
        <f>IF(B4077="","",IFERROR(INDEX(Client_List!$K:$K,MATCH(VALUE(B4077),Client_List!$A:$A,0)),""))</f>
        <v/>
      </c>
      <c r="H4077" s="32">
        <f>IF(B4077="","",IFERROR(INDEX(Client_List!$J:$J,MATCH(VALUE(B4077),Client_List!$A:$A,0)),""))</f>
        <v/>
      </c>
      <c r="I4077" s="70">
        <f>IF(B4077="","",IFERROR(A4077-LOOKUP(2,1/($B$4:$B4076=B4077),$A$4:$A4076),""))</f>
        <v/>
      </c>
      <c r="J4077" s="32">
        <f>IF(B4077="","",IFERROR(D4077/I4077,""))</f>
        <v/>
      </c>
      <c r="K4077" s="71">
        <f>IF(B4077="","",IFERROR(AVERAGEIFS($J$4:$J4077,$B$4:$B4077,B4077,$J$4:$J4077,"&gt;"&amp;0),""))</f>
        <v/>
      </c>
      <c r="L4077" s="11" t="n"/>
    </row>
    <row r="4078" ht="14" customHeight="1" s="72">
      <c r="A4078" s="83" t="n"/>
      <c r="B4078" s="81" t="n"/>
      <c r="C4078" s="69">
        <f>IF(B4078="","",IFERROR(INDEX(Client_List!$B:$B,MATCH(B4078,Client_List!$A:$A,0)),"⚠ NOT FOUND"))</f>
        <v/>
      </c>
      <c r="D4078" s="45" t="n"/>
      <c r="E4078" s="32">
        <f>IF(B4078="","",IFERROR(INDEX(Client_List!$C:$C,MATCH(VALUE(B4078),Client_List!$A:$A,0)),""))</f>
        <v/>
      </c>
      <c r="F4078" s="53">
        <f>IF(B4078="","",IFERROR(INDEX(Client_List!$D:$D,MATCH(VALUE(B4078),Client_List!$A:$A,0)),""))</f>
        <v/>
      </c>
      <c r="G4078" s="53">
        <f>IF(B4078="","",IFERROR(INDEX(Client_List!$K:$K,MATCH(VALUE(B4078),Client_List!$A:$A,0)),""))</f>
        <v/>
      </c>
      <c r="H4078" s="32">
        <f>IF(B4078="","",IFERROR(INDEX(Client_List!$J:$J,MATCH(VALUE(B4078),Client_List!$A:$A,0)),""))</f>
        <v/>
      </c>
      <c r="I4078" s="70">
        <f>IF(B4078="","",IFERROR(A4078-LOOKUP(2,1/($B$4:$B4077=B4078),$A$4:$A4077),""))</f>
        <v/>
      </c>
      <c r="J4078" s="32">
        <f>IF(B4078="","",IFERROR(D4078/I4078,""))</f>
        <v/>
      </c>
      <c r="K4078" s="71">
        <f>IF(B4078="","",IFERROR(AVERAGEIFS($J$4:$J4078,$B$4:$B4078,B4078,$J$4:$J4078,"&gt;"&amp;0),""))</f>
        <v/>
      </c>
      <c r="L4078" s="12" t="n"/>
    </row>
    <row r="4079" ht="14" customHeight="1" s="72">
      <c r="A4079" s="82" t="n"/>
      <c r="B4079" s="79" t="n"/>
      <c r="C4079" s="69">
        <f>IF(B4079="","",IFERROR(INDEX(Client_List!$B:$B,MATCH(B4079,Client_List!$A:$A,0)),"⚠ NOT FOUND"))</f>
        <v/>
      </c>
      <c r="D4079" s="44" t="n"/>
      <c r="E4079" s="32">
        <f>IF(B4079="","",IFERROR(INDEX(Client_List!$C:$C,MATCH(VALUE(B4079),Client_List!$A:$A,0)),""))</f>
        <v/>
      </c>
      <c r="F4079" s="53">
        <f>IF(B4079="","",IFERROR(INDEX(Client_List!$D:$D,MATCH(VALUE(B4079),Client_List!$A:$A,0)),""))</f>
        <v/>
      </c>
      <c r="G4079" s="53">
        <f>IF(B4079="","",IFERROR(INDEX(Client_List!$K:$K,MATCH(VALUE(B4079),Client_List!$A:$A,0)),""))</f>
        <v/>
      </c>
      <c r="H4079" s="32">
        <f>IF(B4079="","",IFERROR(INDEX(Client_List!$J:$J,MATCH(VALUE(B4079),Client_List!$A:$A,0)),""))</f>
        <v/>
      </c>
      <c r="I4079" s="70">
        <f>IF(B4079="","",IFERROR(A4079-LOOKUP(2,1/($B$4:$B4078=B4079),$A$4:$A4078),""))</f>
        <v/>
      </c>
      <c r="J4079" s="32">
        <f>IF(B4079="","",IFERROR(D4079/I4079,""))</f>
        <v/>
      </c>
      <c r="K4079" s="71">
        <f>IF(B4079="","",IFERROR(AVERAGEIFS($J$4:$J4079,$B$4:$B4079,B4079,$J$4:$J4079,"&gt;"&amp;0),""))</f>
        <v/>
      </c>
      <c r="L4079" s="11" t="n"/>
    </row>
    <row r="4080" ht="14" customHeight="1" s="72">
      <c r="A4080" s="83" t="n"/>
      <c r="B4080" s="81" t="n"/>
      <c r="C4080" s="69">
        <f>IF(B4080="","",IFERROR(INDEX(Client_List!$B:$B,MATCH(B4080,Client_List!$A:$A,0)),"⚠ NOT FOUND"))</f>
        <v/>
      </c>
      <c r="D4080" s="45" t="n"/>
      <c r="E4080" s="32">
        <f>IF(B4080="","",IFERROR(INDEX(Client_List!$C:$C,MATCH(VALUE(B4080),Client_List!$A:$A,0)),""))</f>
        <v/>
      </c>
      <c r="F4080" s="53">
        <f>IF(B4080="","",IFERROR(INDEX(Client_List!$D:$D,MATCH(VALUE(B4080),Client_List!$A:$A,0)),""))</f>
        <v/>
      </c>
      <c r="G4080" s="53">
        <f>IF(B4080="","",IFERROR(INDEX(Client_List!$K:$K,MATCH(VALUE(B4080),Client_List!$A:$A,0)),""))</f>
        <v/>
      </c>
      <c r="H4080" s="32">
        <f>IF(B4080="","",IFERROR(INDEX(Client_List!$J:$J,MATCH(VALUE(B4080),Client_List!$A:$A,0)),""))</f>
        <v/>
      </c>
      <c r="I4080" s="70">
        <f>IF(B4080="","",IFERROR(A4080-LOOKUP(2,1/($B$4:$B4079=B4080),$A$4:$A4079),""))</f>
        <v/>
      </c>
      <c r="J4080" s="32">
        <f>IF(B4080="","",IFERROR(D4080/I4080,""))</f>
        <v/>
      </c>
      <c r="K4080" s="71">
        <f>IF(B4080="","",IFERROR(AVERAGEIFS($J$4:$J4080,$B$4:$B4080,B4080,$J$4:$J4080,"&gt;"&amp;0),""))</f>
        <v/>
      </c>
      <c r="L4080" s="12" t="n"/>
    </row>
    <row r="4081" ht="14" customHeight="1" s="72">
      <c r="A4081" s="82" t="n"/>
      <c r="B4081" s="79" t="n"/>
      <c r="C4081" s="69">
        <f>IF(B4081="","",IFERROR(INDEX(Client_List!$B:$B,MATCH(B4081,Client_List!$A:$A,0)),"⚠ NOT FOUND"))</f>
        <v/>
      </c>
      <c r="D4081" s="44" t="n"/>
      <c r="E4081" s="32">
        <f>IF(B4081="","",IFERROR(INDEX(Client_List!$C:$C,MATCH(VALUE(B4081),Client_List!$A:$A,0)),""))</f>
        <v/>
      </c>
      <c r="F4081" s="53">
        <f>IF(B4081="","",IFERROR(INDEX(Client_List!$D:$D,MATCH(VALUE(B4081),Client_List!$A:$A,0)),""))</f>
        <v/>
      </c>
      <c r="G4081" s="53">
        <f>IF(B4081="","",IFERROR(INDEX(Client_List!$K:$K,MATCH(VALUE(B4081),Client_List!$A:$A,0)),""))</f>
        <v/>
      </c>
      <c r="H4081" s="32">
        <f>IF(B4081="","",IFERROR(INDEX(Client_List!$J:$J,MATCH(VALUE(B4081),Client_List!$A:$A,0)),""))</f>
        <v/>
      </c>
      <c r="I4081" s="70">
        <f>IF(B4081="","",IFERROR(A4081-LOOKUP(2,1/($B$4:$B4080=B4081),$A$4:$A4080),""))</f>
        <v/>
      </c>
      <c r="J4081" s="32">
        <f>IF(B4081="","",IFERROR(D4081/I4081,""))</f>
        <v/>
      </c>
      <c r="K4081" s="71">
        <f>IF(B4081="","",IFERROR(AVERAGEIFS($J$4:$J4081,$B$4:$B4081,B4081,$J$4:$J4081,"&gt;"&amp;0),""))</f>
        <v/>
      </c>
      <c r="L4081" s="11" t="n"/>
    </row>
    <row r="4082" ht="14" customHeight="1" s="72">
      <c r="A4082" s="83" t="n"/>
      <c r="B4082" s="81" t="n"/>
      <c r="C4082" s="69">
        <f>IF(B4082="","",IFERROR(INDEX(Client_List!$B:$B,MATCH(B4082,Client_List!$A:$A,0)),"⚠ NOT FOUND"))</f>
        <v/>
      </c>
      <c r="D4082" s="45" t="n"/>
      <c r="E4082" s="32">
        <f>IF(B4082="","",IFERROR(INDEX(Client_List!$C:$C,MATCH(VALUE(B4082),Client_List!$A:$A,0)),""))</f>
        <v/>
      </c>
      <c r="F4082" s="53">
        <f>IF(B4082="","",IFERROR(INDEX(Client_List!$D:$D,MATCH(VALUE(B4082),Client_List!$A:$A,0)),""))</f>
        <v/>
      </c>
      <c r="G4082" s="53">
        <f>IF(B4082="","",IFERROR(INDEX(Client_List!$K:$K,MATCH(VALUE(B4082),Client_List!$A:$A,0)),""))</f>
        <v/>
      </c>
      <c r="H4082" s="32">
        <f>IF(B4082="","",IFERROR(INDEX(Client_List!$J:$J,MATCH(VALUE(B4082),Client_List!$A:$A,0)),""))</f>
        <v/>
      </c>
      <c r="I4082" s="70">
        <f>IF(B4082="","",IFERROR(A4082-LOOKUP(2,1/($B$4:$B4081=B4082),$A$4:$A4081),""))</f>
        <v/>
      </c>
      <c r="J4082" s="32">
        <f>IF(B4082="","",IFERROR(D4082/I4082,""))</f>
        <v/>
      </c>
      <c r="K4082" s="71">
        <f>IF(B4082="","",IFERROR(AVERAGEIFS($J$4:$J4082,$B$4:$B4082,B4082,$J$4:$J4082,"&gt;"&amp;0),""))</f>
        <v/>
      </c>
      <c r="L4082" s="12" t="n"/>
    </row>
    <row r="4083" ht="14" customHeight="1" s="72">
      <c r="A4083" s="82" t="n"/>
      <c r="B4083" s="79" t="n"/>
      <c r="C4083" s="69">
        <f>IF(B4083="","",IFERROR(INDEX(Client_List!$B:$B,MATCH(B4083,Client_List!$A:$A,0)),"⚠ NOT FOUND"))</f>
        <v/>
      </c>
      <c r="D4083" s="44" t="n"/>
      <c r="E4083" s="32">
        <f>IF(B4083="","",IFERROR(INDEX(Client_List!$C:$C,MATCH(VALUE(B4083),Client_List!$A:$A,0)),""))</f>
        <v/>
      </c>
      <c r="F4083" s="53">
        <f>IF(B4083="","",IFERROR(INDEX(Client_List!$D:$D,MATCH(VALUE(B4083),Client_List!$A:$A,0)),""))</f>
        <v/>
      </c>
      <c r="G4083" s="53">
        <f>IF(B4083="","",IFERROR(INDEX(Client_List!$K:$K,MATCH(VALUE(B4083),Client_List!$A:$A,0)),""))</f>
        <v/>
      </c>
      <c r="H4083" s="32">
        <f>IF(B4083="","",IFERROR(INDEX(Client_List!$J:$J,MATCH(VALUE(B4083),Client_List!$A:$A,0)),""))</f>
        <v/>
      </c>
      <c r="I4083" s="70">
        <f>IF(B4083="","",IFERROR(A4083-LOOKUP(2,1/($B$4:$B4082=B4083),$A$4:$A4082),""))</f>
        <v/>
      </c>
      <c r="J4083" s="32">
        <f>IF(B4083="","",IFERROR(D4083/I4083,""))</f>
        <v/>
      </c>
      <c r="K4083" s="71">
        <f>IF(B4083="","",IFERROR(AVERAGEIFS($J$4:$J4083,$B$4:$B4083,B4083,$J$4:$J4083,"&gt;"&amp;0),""))</f>
        <v/>
      </c>
      <c r="L4083" s="11" t="n"/>
    </row>
    <row r="4084" ht="14" customHeight="1" s="72">
      <c r="A4084" s="83" t="n"/>
      <c r="B4084" s="81" t="n"/>
      <c r="C4084" s="69">
        <f>IF(B4084="","",IFERROR(INDEX(Client_List!$B:$B,MATCH(B4084,Client_List!$A:$A,0)),"⚠ NOT FOUND"))</f>
        <v/>
      </c>
      <c r="D4084" s="45" t="n"/>
      <c r="E4084" s="32">
        <f>IF(B4084="","",IFERROR(INDEX(Client_List!$C:$C,MATCH(VALUE(B4084),Client_List!$A:$A,0)),""))</f>
        <v/>
      </c>
      <c r="F4084" s="53">
        <f>IF(B4084="","",IFERROR(INDEX(Client_List!$D:$D,MATCH(VALUE(B4084),Client_List!$A:$A,0)),""))</f>
        <v/>
      </c>
      <c r="G4084" s="53">
        <f>IF(B4084="","",IFERROR(INDEX(Client_List!$K:$K,MATCH(VALUE(B4084),Client_List!$A:$A,0)),""))</f>
        <v/>
      </c>
      <c r="H4084" s="32">
        <f>IF(B4084="","",IFERROR(INDEX(Client_List!$J:$J,MATCH(VALUE(B4084),Client_List!$A:$A,0)),""))</f>
        <v/>
      </c>
      <c r="I4084" s="70">
        <f>IF(B4084="","",IFERROR(A4084-LOOKUP(2,1/($B$4:$B4083=B4084),$A$4:$A4083),""))</f>
        <v/>
      </c>
      <c r="J4084" s="32">
        <f>IF(B4084="","",IFERROR(D4084/I4084,""))</f>
        <v/>
      </c>
      <c r="K4084" s="71">
        <f>IF(B4084="","",IFERROR(AVERAGEIFS($J$4:$J4084,$B$4:$B4084,B4084,$J$4:$J4084,"&gt;"&amp;0),""))</f>
        <v/>
      </c>
      <c r="L4084" s="12" t="n"/>
    </row>
    <row r="4085" ht="14" customHeight="1" s="72">
      <c r="A4085" s="82" t="n"/>
      <c r="B4085" s="79" t="n"/>
      <c r="C4085" s="69">
        <f>IF(B4085="","",IFERROR(INDEX(Client_List!$B:$B,MATCH(B4085,Client_List!$A:$A,0)),"⚠ NOT FOUND"))</f>
        <v/>
      </c>
      <c r="D4085" s="44" t="n"/>
      <c r="E4085" s="32">
        <f>IF(B4085="","",IFERROR(INDEX(Client_List!$C:$C,MATCH(VALUE(B4085),Client_List!$A:$A,0)),""))</f>
        <v/>
      </c>
      <c r="F4085" s="53">
        <f>IF(B4085="","",IFERROR(INDEX(Client_List!$D:$D,MATCH(VALUE(B4085),Client_List!$A:$A,0)),""))</f>
        <v/>
      </c>
      <c r="G4085" s="53">
        <f>IF(B4085="","",IFERROR(INDEX(Client_List!$K:$K,MATCH(VALUE(B4085),Client_List!$A:$A,0)),""))</f>
        <v/>
      </c>
      <c r="H4085" s="32">
        <f>IF(B4085="","",IFERROR(INDEX(Client_List!$J:$J,MATCH(VALUE(B4085),Client_List!$A:$A,0)),""))</f>
        <v/>
      </c>
      <c r="I4085" s="70">
        <f>IF(B4085="","",IFERROR(A4085-LOOKUP(2,1/($B$4:$B4084=B4085),$A$4:$A4084),""))</f>
        <v/>
      </c>
      <c r="J4085" s="32">
        <f>IF(B4085="","",IFERROR(D4085/I4085,""))</f>
        <v/>
      </c>
      <c r="K4085" s="71">
        <f>IF(B4085="","",IFERROR(AVERAGEIFS($J$4:$J4085,$B$4:$B4085,B4085,$J$4:$J4085,"&gt;"&amp;0),""))</f>
        <v/>
      </c>
      <c r="L4085" s="11" t="n"/>
    </row>
    <row r="4086" ht="14" customHeight="1" s="72">
      <c r="A4086" s="83" t="n"/>
      <c r="B4086" s="81" t="n"/>
      <c r="C4086" s="69">
        <f>IF(B4086="","",IFERROR(INDEX(Client_List!$B:$B,MATCH(B4086,Client_List!$A:$A,0)),"⚠ NOT FOUND"))</f>
        <v/>
      </c>
      <c r="D4086" s="45" t="n"/>
      <c r="E4086" s="32">
        <f>IF(B4086="","",IFERROR(INDEX(Client_List!$C:$C,MATCH(VALUE(B4086),Client_List!$A:$A,0)),""))</f>
        <v/>
      </c>
      <c r="F4086" s="53">
        <f>IF(B4086="","",IFERROR(INDEX(Client_List!$D:$D,MATCH(VALUE(B4086),Client_List!$A:$A,0)),""))</f>
        <v/>
      </c>
      <c r="G4086" s="53">
        <f>IF(B4086="","",IFERROR(INDEX(Client_List!$K:$K,MATCH(VALUE(B4086),Client_List!$A:$A,0)),""))</f>
        <v/>
      </c>
      <c r="H4086" s="32">
        <f>IF(B4086="","",IFERROR(INDEX(Client_List!$J:$J,MATCH(VALUE(B4086),Client_List!$A:$A,0)),""))</f>
        <v/>
      </c>
      <c r="I4086" s="70">
        <f>IF(B4086="","",IFERROR(A4086-LOOKUP(2,1/($B$4:$B4085=B4086),$A$4:$A4085),""))</f>
        <v/>
      </c>
      <c r="J4086" s="32">
        <f>IF(B4086="","",IFERROR(D4086/I4086,""))</f>
        <v/>
      </c>
      <c r="K4086" s="71">
        <f>IF(B4086="","",IFERROR(AVERAGEIFS($J$4:$J4086,$B$4:$B4086,B4086,$J$4:$J4086,"&gt;"&amp;0),""))</f>
        <v/>
      </c>
      <c r="L4086" s="12" t="n"/>
    </row>
    <row r="4087" ht="14" customHeight="1" s="72">
      <c r="A4087" s="82" t="n"/>
      <c r="B4087" s="79" t="n"/>
      <c r="C4087" s="69">
        <f>IF(B4087="","",IFERROR(INDEX(Client_List!$B:$B,MATCH(B4087,Client_List!$A:$A,0)),"⚠ NOT FOUND"))</f>
        <v/>
      </c>
      <c r="D4087" s="44" t="n"/>
      <c r="E4087" s="32">
        <f>IF(B4087="","",IFERROR(INDEX(Client_List!$C:$C,MATCH(VALUE(B4087),Client_List!$A:$A,0)),""))</f>
        <v/>
      </c>
      <c r="F4087" s="53">
        <f>IF(B4087="","",IFERROR(INDEX(Client_List!$D:$D,MATCH(VALUE(B4087),Client_List!$A:$A,0)),""))</f>
        <v/>
      </c>
      <c r="G4087" s="53">
        <f>IF(B4087="","",IFERROR(INDEX(Client_List!$K:$K,MATCH(VALUE(B4087),Client_List!$A:$A,0)),""))</f>
        <v/>
      </c>
      <c r="H4087" s="32">
        <f>IF(B4087="","",IFERROR(INDEX(Client_List!$J:$J,MATCH(VALUE(B4087),Client_List!$A:$A,0)),""))</f>
        <v/>
      </c>
      <c r="I4087" s="70">
        <f>IF(B4087="","",IFERROR(A4087-LOOKUP(2,1/($B$4:$B4086=B4087),$A$4:$A4086),""))</f>
        <v/>
      </c>
      <c r="J4087" s="32">
        <f>IF(B4087="","",IFERROR(D4087/I4087,""))</f>
        <v/>
      </c>
      <c r="K4087" s="71">
        <f>IF(B4087="","",IFERROR(AVERAGEIFS($J$4:$J4087,$B$4:$B4087,B4087,$J$4:$J4087,"&gt;"&amp;0),""))</f>
        <v/>
      </c>
      <c r="L4087" s="11" t="n"/>
    </row>
    <row r="4088" ht="14" customHeight="1" s="72">
      <c r="A4088" s="83" t="n"/>
      <c r="B4088" s="81" t="n"/>
      <c r="C4088" s="69">
        <f>IF(B4088="","",IFERROR(INDEX(Client_List!$B:$B,MATCH(B4088,Client_List!$A:$A,0)),"⚠ NOT FOUND"))</f>
        <v/>
      </c>
      <c r="D4088" s="45" t="n"/>
      <c r="E4088" s="32">
        <f>IF(B4088="","",IFERROR(INDEX(Client_List!$C:$C,MATCH(VALUE(B4088),Client_List!$A:$A,0)),""))</f>
        <v/>
      </c>
      <c r="F4088" s="53">
        <f>IF(B4088="","",IFERROR(INDEX(Client_List!$D:$D,MATCH(VALUE(B4088),Client_List!$A:$A,0)),""))</f>
        <v/>
      </c>
      <c r="G4088" s="53">
        <f>IF(B4088="","",IFERROR(INDEX(Client_List!$K:$K,MATCH(VALUE(B4088),Client_List!$A:$A,0)),""))</f>
        <v/>
      </c>
      <c r="H4088" s="32">
        <f>IF(B4088="","",IFERROR(INDEX(Client_List!$J:$J,MATCH(VALUE(B4088),Client_List!$A:$A,0)),""))</f>
        <v/>
      </c>
      <c r="I4088" s="70">
        <f>IF(B4088="","",IFERROR(A4088-LOOKUP(2,1/($B$4:$B4087=B4088),$A$4:$A4087),""))</f>
        <v/>
      </c>
      <c r="J4088" s="32">
        <f>IF(B4088="","",IFERROR(D4088/I4088,""))</f>
        <v/>
      </c>
      <c r="K4088" s="71">
        <f>IF(B4088="","",IFERROR(AVERAGEIFS($J$4:$J4088,$B$4:$B4088,B4088,$J$4:$J4088,"&gt;"&amp;0),""))</f>
        <v/>
      </c>
      <c r="L4088" s="12" t="n"/>
    </row>
    <row r="4089" ht="14" customHeight="1" s="72">
      <c r="A4089" s="82" t="n"/>
      <c r="B4089" s="79" t="n"/>
      <c r="C4089" s="69">
        <f>IF(B4089="","",IFERROR(INDEX(Client_List!$B:$B,MATCH(B4089,Client_List!$A:$A,0)),"⚠ NOT FOUND"))</f>
        <v/>
      </c>
      <c r="D4089" s="44" t="n"/>
      <c r="E4089" s="32">
        <f>IF(B4089="","",IFERROR(INDEX(Client_List!$C:$C,MATCH(VALUE(B4089),Client_List!$A:$A,0)),""))</f>
        <v/>
      </c>
      <c r="F4089" s="53">
        <f>IF(B4089="","",IFERROR(INDEX(Client_List!$D:$D,MATCH(VALUE(B4089),Client_List!$A:$A,0)),""))</f>
        <v/>
      </c>
      <c r="G4089" s="53">
        <f>IF(B4089="","",IFERROR(INDEX(Client_List!$K:$K,MATCH(VALUE(B4089),Client_List!$A:$A,0)),""))</f>
        <v/>
      </c>
      <c r="H4089" s="32">
        <f>IF(B4089="","",IFERROR(INDEX(Client_List!$J:$J,MATCH(VALUE(B4089),Client_List!$A:$A,0)),""))</f>
        <v/>
      </c>
      <c r="I4089" s="70">
        <f>IF(B4089="","",IFERROR(A4089-LOOKUP(2,1/($B$4:$B4088=B4089),$A$4:$A4088),""))</f>
        <v/>
      </c>
      <c r="J4089" s="32">
        <f>IF(B4089="","",IFERROR(D4089/I4089,""))</f>
        <v/>
      </c>
      <c r="K4089" s="71">
        <f>IF(B4089="","",IFERROR(AVERAGEIFS($J$4:$J4089,$B$4:$B4089,B4089,$J$4:$J4089,"&gt;"&amp;0),""))</f>
        <v/>
      </c>
      <c r="L4089" s="11" t="n"/>
    </row>
    <row r="4090" ht="14" customHeight="1" s="72">
      <c r="A4090" s="83" t="n"/>
      <c r="B4090" s="81" t="n"/>
      <c r="C4090" s="69">
        <f>IF(B4090="","",IFERROR(INDEX(Client_List!$B:$B,MATCH(B4090,Client_List!$A:$A,0)),"⚠ NOT FOUND"))</f>
        <v/>
      </c>
      <c r="D4090" s="45" t="n"/>
      <c r="E4090" s="32">
        <f>IF(B4090="","",IFERROR(INDEX(Client_List!$C:$C,MATCH(VALUE(B4090),Client_List!$A:$A,0)),""))</f>
        <v/>
      </c>
      <c r="F4090" s="53">
        <f>IF(B4090="","",IFERROR(INDEX(Client_List!$D:$D,MATCH(VALUE(B4090),Client_List!$A:$A,0)),""))</f>
        <v/>
      </c>
      <c r="G4090" s="53">
        <f>IF(B4090="","",IFERROR(INDEX(Client_List!$K:$K,MATCH(VALUE(B4090),Client_List!$A:$A,0)),""))</f>
        <v/>
      </c>
      <c r="H4090" s="32">
        <f>IF(B4090="","",IFERROR(INDEX(Client_List!$J:$J,MATCH(VALUE(B4090),Client_List!$A:$A,0)),""))</f>
        <v/>
      </c>
      <c r="I4090" s="70">
        <f>IF(B4090="","",IFERROR(A4090-LOOKUP(2,1/($B$4:$B4089=B4090),$A$4:$A4089),""))</f>
        <v/>
      </c>
      <c r="J4090" s="32">
        <f>IF(B4090="","",IFERROR(D4090/I4090,""))</f>
        <v/>
      </c>
      <c r="K4090" s="71">
        <f>IF(B4090="","",IFERROR(AVERAGEIFS($J$4:$J4090,$B$4:$B4090,B4090,$J$4:$J4090,"&gt;"&amp;0),""))</f>
        <v/>
      </c>
      <c r="L4090" s="12" t="n"/>
    </row>
    <row r="4091" ht="14" customHeight="1" s="72">
      <c r="A4091" s="82" t="n"/>
      <c r="B4091" s="79" t="n"/>
      <c r="C4091" s="69">
        <f>IF(B4091="","",IFERROR(INDEX(Client_List!$B:$B,MATCH(B4091,Client_List!$A:$A,0)),"⚠ NOT FOUND"))</f>
        <v/>
      </c>
      <c r="D4091" s="44" t="n"/>
      <c r="E4091" s="32">
        <f>IF(B4091="","",IFERROR(INDEX(Client_List!$C:$C,MATCH(VALUE(B4091),Client_List!$A:$A,0)),""))</f>
        <v/>
      </c>
      <c r="F4091" s="53">
        <f>IF(B4091="","",IFERROR(INDEX(Client_List!$D:$D,MATCH(VALUE(B4091),Client_List!$A:$A,0)),""))</f>
        <v/>
      </c>
      <c r="G4091" s="53">
        <f>IF(B4091="","",IFERROR(INDEX(Client_List!$K:$K,MATCH(VALUE(B4091),Client_List!$A:$A,0)),""))</f>
        <v/>
      </c>
      <c r="H4091" s="32">
        <f>IF(B4091="","",IFERROR(INDEX(Client_List!$J:$J,MATCH(VALUE(B4091),Client_List!$A:$A,0)),""))</f>
        <v/>
      </c>
      <c r="I4091" s="70">
        <f>IF(B4091="","",IFERROR(A4091-LOOKUP(2,1/($B$4:$B4090=B4091),$A$4:$A4090),""))</f>
        <v/>
      </c>
      <c r="J4091" s="32">
        <f>IF(B4091="","",IFERROR(D4091/I4091,""))</f>
        <v/>
      </c>
      <c r="K4091" s="71">
        <f>IF(B4091="","",IFERROR(AVERAGEIFS($J$4:$J4091,$B$4:$B4091,B4091,$J$4:$J4091,"&gt;"&amp;0),""))</f>
        <v/>
      </c>
      <c r="L4091" s="11" t="n"/>
    </row>
    <row r="4092" ht="14" customHeight="1" s="72">
      <c r="A4092" s="83" t="n"/>
      <c r="B4092" s="81" t="n"/>
      <c r="C4092" s="69">
        <f>IF(B4092="","",IFERROR(INDEX(Client_List!$B:$B,MATCH(B4092,Client_List!$A:$A,0)),"⚠ NOT FOUND"))</f>
        <v/>
      </c>
      <c r="D4092" s="45" t="n"/>
      <c r="E4092" s="32">
        <f>IF(B4092="","",IFERROR(INDEX(Client_List!$C:$C,MATCH(VALUE(B4092),Client_List!$A:$A,0)),""))</f>
        <v/>
      </c>
      <c r="F4092" s="53">
        <f>IF(B4092="","",IFERROR(INDEX(Client_List!$D:$D,MATCH(VALUE(B4092),Client_List!$A:$A,0)),""))</f>
        <v/>
      </c>
      <c r="G4092" s="53">
        <f>IF(B4092="","",IFERROR(INDEX(Client_List!$K:$K,MATCH(VALUE(B4092),Client_List!$A:$A,0)),""))</f>
        <v/>
      </c>
      <c r="H4092" s="32">
        <f>IF(B4092="","",IFERROR(INDEX(Client_List!$J:$J,MATCH(VALUE(B4092),Client_List!$A:$A,0)),""))</f>
        <v/>
      </c>
      <c r="I4092" s="70">
        <f>IF(B4092="","",IFERROR(A4092-LOOKUP(2,1/($B$4:$B4091=B4092),$A$4:$A4091),""))</f>
        <v/>
      </c>
      <c r="J4092" s="32">
        <f>IF(B4092="","",IFERROR(D4092/I4092,""))</f>
        <v/>
      </c>
      <c r="K4092" s="71">
        <f>IF(B4092="","",IFERROR(AVERAGEIFS($J$4:$J4092,$B$4:$B4092,B4092,$J$4:$J4092,"&gt;"&amp;0),""))</f>
        <v/>
      </c>
      <c r="L4092" s="12" t="n"/>
    </row>
    <row r="4093" ht="14" customHeight="1" s="72">
      <c r="A4093" s="82" t="n"/>
      <c r="B4093" s="79" t="n"/>
      <c r="C4093" s="69">
        <f>IF(B4093="","",IFERROR(INDEX(Client_List!$B:$B,MATCH(B4093,Client_List!$A:$A,0)),"⚠ NOT FOUND"))</f>
        <v/>
      </c>
      <c r="D4093" s="44" t="n"/>
      <c r="E4093" s="32">
        <f>IF(B4093="","",IFERROR(INDEX(Client_List!$C:$C,MATCH(VALUE(B4093),Client_List!$A:$A,0)),""))</f>
        <v/>
      </c>
      <c r="F4093" s="53">
        <f>IF(B4093="","",IFERROR(INDEX(Client_List!$D:$D,MATCH(VALUE(B4093),Client_List!$A:$A,0)),""))</f>
        <v/>
      </c>
      <c r="G4093" s="53">
        <f>IF(B4093="","",IFERROR(INDEX(Client_List!$K:$K,MATCH(VALUE(B4093),Client_List!$A:$A,0)),""))</f>
        <v/>
      </c>
      <c r="H4093" s="32">
        <f>IF(B4093="","",IFERROR(INDEX(Client_List!$J:$J,MATCH(VALUE(B4093),Client_List!$A:$A,0)),""))</f>
        <v/>
      </c>
      <c r="I4093" s="70">
        <f>IF(B4093="","",IFERROR(A4093-LOOKUP(2,1/($B$4:$B4092=B4093),$A$4:$A4092),""))</f>
        <v/>
      </c>
      <c r="J4093" s="32">
        <f>IF(B4093="","",IFERROR(D4093/I4093,""))</f>
        <v/>
      </c>
      <c r="K4093" s="71">
        <f>IF(B4093="","",IFERROR(AVERAGEIFS($J$4:$J4093,$B$4:$B4093,B4093,$J$4:$J4093,"&gt;"&amp;0),""))</f>
        <v/>
      </c>
      <c r="L4093" s="11" t="n"/>
    </row>
    <row r="4094" ht="14" customHeight="1" s="72">
      <c r="A4094" s="83" t="n"/>
      <c r="B4094" s="81" t="n"/>
      <c r="C4094" s="69">
        <f>IF(B4094="","",IFERROR(INDEX(Client_List!$B:$B,MATCH(B4094,Client_List!$A:$A,0)),"⚠ NOT FOUND"))</f>
        <v/>
      </c>
      <c r="D4094" s="45" t="n"/>
      <c r="E4094" s="32">
        <f>IF(B4094="","",IFERROR(INDEX(Client_List!$C:$C,MATCH(VALUE(B4094),Client_List!$A:$A,0)),""))</f>
        <v/>
      </c>
      <c r="F4094" s="53">
        <f>IF(B4094="","",IFERROR(INDEX(Client_List!$D:$D,MATCH(VALUE(B4094),Client_List!$A:$A,0)),""))</f>
        <v/>
      </c>
      <c r="G4094" s="53">
        <f>IF(B4094="","",IFERROR(INDEX(Client_List!$K:$K,MATCH(VALUE(B4094),Client_List!$A:$A,0)),""))</f>
        <v/>
      </c>
      <c r="H4094" s="32">
        <f>IF(B4094="","",IFERROR(INDEX(Client_List!$J:$J,MATCH(VALUE(B4094),Client_List!$A:$A,0)),""))</f>
        <v/>
      </c>
      <c r="I4094" s="70">
        <f>IF(B4094="","",IFERROR(A4094-LOOKUP(2,1/($B$4:$B4093=B4094),$A$4:$A4093),""))</f>
        <v/>
      </c>
      <c r="J4094" s="32">
        <f>IF(B4094="","",IFERROR(D4094/I4094,""))</f>
        <v/>
      </c>
      <c r="K4094" s="71">
        <f>IF(B4094="","",IFERROR(AVERAGEIFS($J$4:$J4094,$B$4:$B4094,B4094,$J$4:$J4094,"&gt;"&amp;0),""))</f>
        <v/>
      </c>
      <c r="L4094" s="12" t="n"/>
    </row>
    <row r="4095" ht="14" customHeight="1" s="72">
      <c r="A4095" s="82" t="n"/>
      <c r="B4095" s="79" t="n"/>
      <c r="C4095" s="69">
        <f>IF(B4095="","",IFERROR(INDEX(Client_List!$B:$B,MATCH(B4095,Client_List!$A:$A,0)),"⚠ NOT FOUND"))</f>
        <v/>
      </c>
      <c r="D4095" s="44" t="n"/>
      <c r="E4095" s="32">
        <f>IF(B4095="","",IFERROR(INDEX(Client_List!$C:$C,MATCH(VALUE(B4095),Client_List!$A:$A,0)),""))</f>
        <v/>
      </c>
      <c r="F4095" s="53">
        <f>IF(B4095="","",IFERROR(INDEX(Client_List!$D:$D,MATCH(VALUE(B4095),Client_List!$A:$A,0)),""))</f>
        <v/>
      </c>
      <c r="G4095" s="53">
        <f>IF(B4095="","",IFERROR(INDEX(Client_List!$K:$K,MATCH(VALUE(B4095),Client_List!$A:$A,0)),""))</f>
        <v/>
      </c>
      <c r="H4095" s="32">
        <f>IF(B4095="","",IFERROR(INDEX(Client_List!$J:$J,MATCH(VALUE(B4095),Client_List!$A:$A,0)),""))</f>
        <v/>
      </c>
      <c r="I4095" s="70">
        <f>IF(B4095="","",IFERROR(A4095-LOOKUP(2,1/($B$4:$B4094=B4095),$A$4:$A4094),""))</f>
        <v/>
      </c>
      <c r="J4095" s="32">
        <f>IF(B4095="","",IFERROR(D4095/I4095,""))</f>
        <v/>
      </c>
      <c r="K4095" s="71">
        <f>IF(B4095="","",IFERROR(AVERAGEIFS($J$4:$J4095,$B$4:$B4095,B4095,$J$4:$J4095,"&gt;"&amp;0),""))</f>
        <v/>
      </c>
      <c r="L4095" s="11" t="n"/>
    </row>
    <row r="4096" ht="14" customHeight="1" s="72">
      <c r="A4096" s="83" t="n"/>
      <c r="B4096" s="81" t="n"/>
      <c r="C4096" s="69">
        <f>IF(B4096="","",IFERROR(INDEX(Client_List!$B:$B,MATCH(B4096,Client_List!$A:$A,0)),"⚠ NOT FOUND"))</f>
        <v/>
      </c>
      <c r="D4096" s="45" t="n"/>
      <c r="E4096" s="32">
        <f>IF(B4096="","",IFERROR(INDEX(Client_List!$C:$C,MATCH(VALUE(B4096),Client_List!$A:$A,0)),""))</f>
        <v/>
      </c>
      <c r="F4096" s="53">
        <f>IF(B4096="","",IFERROR(INDEX(Client_List!$D:$D,MATCH(VALUE(B4096),Client_List!$A:$A,0)),""))</f>
        <v/>
      </c>
      <c r="G4096" s="53">
        <f>IF(B4096="","",IFERROR(INDEX(Client_List!$K:$K,MATCH(VALUE(B4096),Client_List!$A:$A,0)),""))</f>
        <v/>
      </c>
      <c r="H4096" s="32">
        <f>IF(B4096="","",IFERROR(INDEX(Client_List!$J:$J,MATCH(VALUE(B4096),Client_List!$A:$A,0)),""))</f>
        <v/>
      </c>
      <c r="I4096" s="70">
        <f>IF(B4096="","",IFERROR(A4096-LOOKUP(2,1/($B$4:$B4095=B4096),$A$4:$A4095),""))</f>
        <v/>
      </c>
      <c r="J4096" s="32">
        <f>IF(B4096="","",IFERROR(D4096/I4096,""))</f>
        <v/>
      </c>
      <c r="K4096" s="71">
        <f>IF(B4096="","",IFERROR(AVERAGEIFS($J$4:$J4096,$B$4:$B4096,B4096,$J$4:$J4096,"&gt;"&amp;0),""))</f>
        <v/>
      </c>
      <c r="L4096" s="12" t="n"/>
    </row>
    <row r="4097" ht="14" customHeight="1" s="72">
      <c r="A4097" s="82" t="n"/>
      <c r="B4097" s="79" t="n"/>
      <c r="C4097" s="69">
        <f>IF(B4097="","",IFERROR(INDEX(Client_List!$B:$B,MATCH(B4097,Client_List!$A:$A,0)),"⚠ NOT FOUND"))</f>
        <v/>
      </c>
      <c r="D4097" s="44" t="n"/>
      <c r="E4097" s="32">
        <f>IF(B4097="","",IFERROR(INDEX(Client_List!$C:$C,MATCH(VALUE(B4097),Client_List!$A:$A,0)),""))</f>
        <v/>
      </c>
      <c r="F4097" s="53">
        <f>IF(B4097="","",IFERROR(INDEX(Client_List!$D:$D,MATCH(VALUE(B4097),Client_List!$A:$A,0)),""))</f>
        <v/>
      </c>
      <c r="G4097" s="53">
        <f>IF(B4097="","",IFERROR(INDEX(Client_List!$K:$K,MATCH(VALUE(B4097),Client_List!$A:$A,0)),""))</f>
        <v/>
      </c>
      <c r="H4097" s="32">
        <f>IF(B4097="","",IFERROR(INDEX(Client_List!$J:$J,MATCH(VALUE(B4097),Client_List!$A:$A,0)),""))</f>
        <v/>
      </c>
      <c r="I4097" s="70">
        <f>IF(B4097="","",IFERROR(A4097-LOOKUP(2,1/($B$4:$B4096=B4097),$A$4:$A4096),""))</f>
        <v/>
      </c>
      <c r="J4097" s="32">
        <f>IF(B4097="","",IFERROR(D4097/I4097,""))</f>
        <v/>
      </c>
      <c r="K4097" s="71">
        <f>IF(B4097="","",IFERROR(AVERAGEIFS($J$4:$J4097,$B$4:$B4097,B4097,$J$4:$J4097,"&gt;"&amp;0),""))</f>
        <v/>
      </c>
      <c r="L4097" s="11" t="n"/>
    </row>
    <row r="4098" ht="14" customHeight="1" s="72">
      <c r="A4098" s="83" t="n"/>
      <c r="B4098" s="81" t="n"/>
      <c r="C4098" s="69">
        <f>IF(B4098="","",IFERROR(INDEX(Client_List!$B:$B,MATCH(B4098,Client_List!$A:$A,0)),"⚠ NOT FOUND"))</f>
        <v/>
      </c>
      <c r="D4098" s="45" t="n"/>
      <c r="E4098" s="32">
        <f>IF(B4098="","",IFERROR(INDEX(Client_List!$C:$C,MATCH(VALUE(B4098),Client_List!$A:$A,0)),""))</f>
        <v/>
      </c>
      <c r="F4098" s="53">
        <f>IF(B4098="","",IFERROR(INDEX(Client_List!$D:$D,MATCH(VALUE(B4098),Client_List!$A:$A,0)),""))</f>
        <v/>
      </c>
      <c r="G4098" s="53">
        <f>IF(B4098="","",IFERROR(INDEX(Client_List!$K:$K,MATCH(VALUE(B4098),Client_List!$A:$A,0)),""))</f>
        <v/>
      </c>
      <c r="H4098" s="32">
        <f>IF(B4098="","",IFERROR(INDEX(Client_List!$J:$J,MATCH(VALUE(B4098),Client_List!$A:$A,0)),""))</f>
        <v/>
      </c>
      <c r="I4098" s="70">
        <f>IF(B4098="","",IFERROR(A4098-LOOKUP(2,1/($B$4:$B4097=B4098),$A$4:$A4097),""))</f>
        <v/>
      </c>
      <c r="J4098" s="32">
        <f>IF(B4098="","",IFERROR(D4098/I4098,""))</f>
        <v/>
      </c>
      <c r="K4098" s="71">
        <f>IF(B4098="","",IFERROR(AVERAGEIFS($J$4:$J4098,$B$4:$B4098,B4098,$J$4:$J4098,"&gt;"&amp;0),""))</f>
        <v/>
      </c>
      <c r="L4098" s="12" t="n"/>
    </row>
    <row r="4099" ht="14" customHeight="1" s="72">
      <c r="A4099" s="82" t="n"/>
      <c r="B4099" s="79" t="n"/>
      <c r="C4099" s="69">
        <f>IF(B4099="","",IFERROR(INDEX(Client_List!$B:$B,MATCH(B4099,Client_List!$A:$A,0)),"⚠ NOT FOUND"))</f>
        <v/>
      </c>
      <c r="D4099" s="44" t="n"/>
      <c r="E4099" s="32">
        <f>IF(B4099="","",IFERROR(INDEX(Client_List!$C:$C,MATCH(VALUE(B4099),Client_List!$A:$A,0)),""))</f>
        <v/>
      </c>
      <c r="F4099" s="53">
        <f>IF(B4099="","",IFERROR(INDEX(Client_List!$D:$D,MATCH(VALUE(B4099),Client_List!$A:$A,0)),""))</f>
        <v/>
      </c>
      <c r="G4099" s="53">
        <f>IF(B4099="","",IFERROR(INDEX(Client_List!$K:$K,MATCH(VALUE(B4099),Client_List!$A:$A,0)),""))</f>
        <v/>
      </c>
      <c r="H4099" s="32">
        <f>IF(B4099="","",IFERROR(INDEX(Client_List!$J:$J,MATCH(VALUE(B4099),Client_List!$A:$A,0)),""))</f>
        <v/>
      </c>
      <c r="I4099" s="70">
        <f>IF(B4099="","",IFERROR(A4099-LOOKUP(2,1/($B$4:$B4098=B4099),$A$4:$A4098),""))</f>
        <v/>
      </c>
      <c r="J4099" s="32">
        <f>IF(B4099="","",IFERROR(D4099/I4099,""))</f>
        <v/>
      </c>
      <c r="K4099" s="71">
        <f>IF(B4099="","",IFERROR(AVERAGEIFS($J$4:$J4099,$B$4:$B4099,B4099,$J$4:$J4099,"&gt;"&amp;0),""))</f>
        <v/>
      </c>
      <c r="L4099" s="11" t="n"/>
    </row>
    <row r="4100" ht="14" customHeight="1" s="72">
      <c r="A4100" s="83" t="n"/>
      <c r="B4100" s="81" t="n"/>
      <c r="C4100" s="69">
        <f>IF(B4100="","",IFERROR(INDEX(Client_List!$B:$B,MATCH(B4100,Client_List!$A:$A,0)),"⚠ NOT FOUND"))</f>
        <v/>
      </c>
      <c r="D4100" s="45" t="n"/>
      <c r="E4100" s="32">
        <f>IF(B4100="","",IFERROR(INDEX(Client_List!$C:$C,MATCH(VALUE(B4100),Client_List!$A:$A,0)),""))</f>
        <v/>
      </c>
      <c r="F4100" s="53">
        <f>IF(B4100="","",IFERROR(INDEX(Client_List!$D:$D,MATCH(VALUE(B4100),Client_List!$A:$A,0)),""))</f>
        <v/>
      </c>
      <c r="G4100" s="53">
        <f>IF(B4100="","",IFERROR(INDEX(Client_List!$K:$K,MATCH(VALUE(B4100),Client_List!$A:$A,0)),""))</f>
        <v/>
      </c>
      <c r="H4100" s="32">
        <f>IF(B4100="","",IFERROR(INDEX(Client_List!$J:$J,MATCH(VALUE(B4100),Client_List!$A:$A,0)),""))</f>
        <v/>
      </c>
      <c r="I4100" s="70">
        <f>IF(B4100="","",IFERROR(A4100-LOOKUP(2,1/($B$4:$B4099=B4100),$A$4:$A4099),""))</f>
        <v/>
      </c>
      <c r="J4100" s="32">
        <f>IF(B4100="","",IFERROR(D4100/I4100,""))</f>
        <v/>
      </c>
      <c r="K4100" s="71">
        <f>IF(B4100="","",IFERROR(AVERAGEIFS($J$4:$J4100,$B$4:$B4100,B4100,$J$4:$J4100,"&gt;"&amp;0),""))</f>
        <v/>
      </c>
      <c r="L4100" s="12" t="n"/>
    </row>
    <row r="4101" ht="14" customHeight="1" s="72">
      <c r="A4101" s="82" t="n"/>
      <c r="B4101" s="79" t="n"/>
      <c r="C4101" s="69">
        <f>IF(B4101="","",IFERROR(INDEX(Client_List!$B:$B,MATCH(B4101,Client_List!$A:$A,0)),"⚠ NOT FOUND"))</f>
        <v/>
      </c>
      <c r="D4101" s="44" t="n"/>
      <c r="E4101" s="32">
        <f>IF(B4101="","",IFERROR(INDEX(Client_List!$C:$C,MATCH(VALUE(B4101),Client_List!$A:$A,0)),""))</f>
        <v/>
      </c>
      <c r="F4101" s="53">
        <f>IF(B4101="","",IFERROR(INDEX(Client_List!$D:$D,MATCH(VALUE(B4101),Client_List!$A:$A,0)),""))</f>
        <v/>
      </c>
      <c r="G4101" s="53">
        <f>IF(B4101="","",IFERROR(INDEX(Client_List!$K:$K,MATCH(VALUE(B4101),Client_List!$A:$A,0)),""))</f>
        <v/>
      </c>
      <c r="H4101" s="32">
        <f>IF(B4101="","",IFERROR(INDEX(Client_List!$J:$J,MATCH(VALUE(B4101),Client_List!$A:$A,0)),""))</f>
        <v/>
      </c>
      <c r="I4101" s="70">
        <f>IF(B4101="","",IFERROR(A4101-LOOKUP(2,1/($B$4:$B4100=B4101),$A$4:$A4100),""))</f>
        <v/>
      </c>
      <c r="J4101" s="32">
        <f>IF(B4101="","",IFERROR(D4101/I4101,""))</f>
        <v/>
      </c>
      <c r="K4101" s="71">
        <f>IF(B4101="","",IFERROR(AVERAGEIFS($J$4:$J4101,$B$4:$B4101,B4101,$J$4:$J4101,"&gt;"&amp;0),""))</f>
        <v/>
      </c>
      <c r="L4101" s="11" t="n"/>
    </row>
    <row r="4102" ht="14" customHeight="1" s="72">
      <c r="A4102" s="83" t="n"/>
      <c r="B4102" s="81" t="n"/>
      <c r="C4102" s="69">
        <f>IF(B4102="","",IFERROR(INDEX(Client_List!$B:$B,MATCH(B4102,Client_List!$A:$A,0)),"⚠ NOT FOUND"))</f>
        <v/>
      </c>
      <c r="D4102" s="45" t="n"/>
      <c r="E4102" s="32">
        <f>IF(B4102="","",IFERROR(INDEX(Client_List!$C:$C,MATCH(VALUE(B4102),Client_List!$A:$A,0)),""))</f>
        <v/>
      </c>
      <c r="F4102" s="53">
        <f>IF(B4102="","",IFERROR(INDEX(Client_List!$D:$D,MATCH(VALUE(B4102),Client_List!$A:$A,0)),""))</f>
        <v/>
      </c>
      <c r="G4102" s="53">
        <f>IF(B4102="","",IFERROR(INDEX(Client_List!$K:$K,MATCH(VALUE(B4102),Client_List!$A:$A,0)),""))</f>
        <v/>
      </c>
      <c r="H4102" s="32">
        <f>IF(B4102="","",IFERROR(INDEX(Client_List!$J:$J,MATCH(VALUE(B4102),Client_List!$A:$A,0)),""))</f>
        <v/>
      </c>
      <c r="I4102" s="70">
        <f>IF(B4102="","",IFERROR(A4102-LOOKUP(2,1/($B$4:$B4101=B4102),$A$4:$A4101),""))</f>
        <v/>
      </c>
      <c r="J4102" s="32">
        <f>IF(B4102="","",IFERROR(D4102/I4102,""))</f>
        <v/>
      </c>
      <c r="K4102" s="71">
        <f>IF(B4102="","",IFERROR(AVERAGEIFS($J$4:$J4102,$B$4:$B4102,B4102,$J$4:$J4102,"&gt;"&amp;0),""))</f>
        <v/>
      </c>
      <c r="L4102" s="12" t="n"/>
    </row>
    <row r="4103" ht="14" customHeight="1" s="72">
      <c r="A4103" s="82" t="n"/>
      <c r="B4103" s="79" t="n"/>
      <c r="C4103" s="69">
        <f>IF(B4103="","",IFERROR(INDEX(Client_List!$B:$B,MATCH(B4103,Client_List!$A:$A,0)),"⚠ NOT FOUND"))</f>
        <v/>
      </c>
      <c r="D4103" s="44" t="n"/>
      <c r="E4103" s="32">
        <f>IF(B4103="","",IFERROR(INDEX(Client_List!$C:$C,MATCH(VALUE(B4103),Client_List!$A:$A,0)),""))</f>
        <v/>
      </c>
      <c r="F4103" s="53">
        <f>IF(B4103="","",IFERROR(INDEX(Client_List!$D:$D,MATCH(VALUE(B4103),Client_List!$A:$A,0)),""))</f>
        <v/>
      </c>
      <c r="G4103" s="53">
        <f>IF(B4103="","",IFERROR(INDEX(Client_List!$K:$K,MATCH(VALUE(B4103),Client_List!$A:$A,0)),""))</f>
        <v/>
      </c>
      <c r="H4103" s="32">
        <f>IF(B4103="","",IFERROR(INDEX(Client_List!$J:$J,MATCH(VALUE(B4103),Client_List!$A:$A,0)),""))</f>
        <v/>
      </c>
      <c r="I4103" s="70">
        <f>IF(B4103="","",IFERROR(A4103-LOOKUP(2,1/($B$4:$B4102=B4103),$A$4:$A4102),""))</f>
        <v/>
      </c>
      <c r="J4103" s="32">
        <f>IF(B4103="","",IFERROR(D4103/I4103,""))</f>
        <v/>
      </c>
      <c r="K4103" s="71">
        <f>IF(B4103="","",IFERROR(AVERAGEIFS($J$4:$J4103,$B$4:$B4103,B4103,$J$4:$J4103,"&gt;"&amp;0),""))</f>
        <v/>
      </c>
      <c r="L4103" s="11" t="n"/>
    </row>
    <row r="4104" ht="14" customHeight="1" s="72">
      <c r="A4104" s="83" t="n"/>
      <c r="B4104" s="81" t="n"/>
      <c r="C4104" s="69">
        <f>IF(B4104="","",IFERROR(INDEX(Client_List!$B:$B,MATCH(B4104,Client_List!$A:$A,0)),"⚠ NOT FOUND"))</f>
        <v/>
      </c>
      <c r="D4104" s="45" t="n"/>
      <c r="E4104" s="32">
        <f>IF(B4104="","",IFERROR(INDEX(Client_List!$C:$C,MATCH(VALUE(B4104),Client_List!$A:$A,0)),""))</f>
        <v/>
      </c>
      <c r="F4104" s="53">
        <f>IF(B4104="","",IFERROR(INDEX(Client_List!$D:$D,MATCH(VALUE(B4104),Client_List!$A:$A,0)),""))</f>
        <v/>
      </c>
      <c r="G4104" s="53">
        <f>IF(B4104="","",IFERROR(INDEX(Client_List!$K:$K,MATCH(VALUE(B4104),Client_List!$A:$A,0)),""))</f>
        <v/>
      </c>
      <c r="H4104" s="32">
        <f>IF(B4104="","",IFERROR(INDEX(Client_List!$J:$J,MATCH(VALUE(B4104),Client_List!$A:$A,0)),""))</f>
        <v/>
      </c>
      <c r="I4104" s="70">
        <f>IF(B4104="","",IFERROR(A4104-LOOKUP(2,1/($B$4:$B4103=B4104),$A$4:$A4103),""))</f>
        <v/>
      </c>
      <c r="J4104" s="32">
        <f>IF(B4104="","",IFERROR(D4104/I4104,""))</f>
        <v/>
      </c>
      <c r="K4104" s="71">
        <f>IF(B4104="","",IFERROR(AVERAGEIFS($J$4:$J4104,$B$4:$B4104,B4104,$J$4:$J4104,"&gt;"&amp;0),""))</f>
        <v/>
      </c>
      <c r="L4104" s="12" t="n"/>
    </row>
    <row r="4105" ht="14" customHeight="1" s="72">
      <c r="A4105" s="82" t="n"/>
      <c r="B4105" s="79" t="n"/>
      <c r="C4105" s="69">
        <f>IF(B4105="","",IFERROR(INDEX(Client_List!$B:$B,MATCH(B4105,Client_List!$A:$A,0)),"⚠ NOT FOUND"))</f>
        <v/>
      </c>
      <c r="D4105" s="44" t="n"/>
      <c r="E4105" s="32">
        <f>IF(B4105="","",IFERROR(INDEX(Client_List!$C:$C,MATCH(VALUE(B4105),Client_List!$A:$A,0)),""))</f>
        <v/>
      </c>
      <c r="F4105" s="53">
        <f>IF(B4105="","",IFERROR(INDEX(Client_List!$D:$D,MATCH(VALUE(B4105),Client_List!$A:$A,0)),""))</f>
        <v/>
      </c>
      <c r="G4105" s="53">
        <f>IF(B4105="","",IFERROR(INDEX(Client_List!$K:$K,MATCH(VALUE(B4105),Client_List!$A:$A,0)),""))</f>
        <v/>
      </c>
      <c r="H4105" s="32">
        <f>IF(B4105="","",IFERROR(INDEX(Client_List!$J:$J,MATCH(VALUE(B4105),Client_List!$A:$A,0)),""))</f>
        <v/>
      </c>
      <c r="I4105" s="70">
        <f>IF(B4105="","",IFERROR(A4105-LOOKUP(2,1/($B$4:$B4104=B4105),$A$4:$A4104),""))</f>
        <v/>
      </c>
      <c r="J4105" s="32">
        <f>IF(B4105="","",IFERROR(D4105/I4105,""))</f>
        <v/>
      </c>
      <c r="K4105" s="71">
        <f>IF(B4105="","",IFERROR(AVERAGEIFS($J$4:$J4105,$B$4:$B4105,B4105,$J$4:$J4105,"&gt;"&amp;0),""))</f>
        <v/>
      </c>
      <c r="L4105" s="11" t="n"/>
    </row>
    <row r="4106" ht="14" customHeight="1" s="72">
      <c r="A4106" s="83" t="n"/>
      <c r="B4106" s="81" t="n"/>
      <c r="C4106" s="69">
        <f>IF(B4106="","",IFERROR(INDEX(Client_List!$B:$B,MATCH(B4106,Client_List!$A:$A,0)),"⚠ NOT FOUND"))</f>
        <v/>
      </c>
      <c r="D4106" s="45" t="n"/>
      <c r="E4106" s="32">
        <f>IF(B4106="","",IFERROR(INDEX(Client_List!$C:$C,MATCH(VALUE(B4106),Client_List!$A:$A,0)),""))</f>
        <v/>
      </c>
      <c r="F4106" s="53">
        <f>IF(B4106="","",IFERROR(INDEX(Client_List!$D:$D,MATCH(VALUE(B4106),Client_List!$A:$A,0)),""))</f>
        <v/>
      </c>
      <c r="G4106" s="53">
        <f>IF(B4106="","",IFERROR(INDEX(Client_List!$K:$K,MATCH(VALUE(B4106),Client_List!$A:$A,0)),""))</f>
        <v/>
      </c>
      <c r="H4106" s="32">
        <f>IF(B4106="","",IFERROR(INDEX(Client_List!$J:$J,MATCH(VALUE(B4106),Client_List!$A:$A,0)),""))</f>
        <v/>
      </c>
      <c r="I4106" s="70">
        <f>IF(B4106="","",IFERROR(A4106-LOOKUP(2,1/($B$4:$B4105=B4106),$A$4:$A4105),""))</f>
        <v/>
      </c>
      <c r="J4106" s="32">
        <f>IF(B4106="","",IFERROR(D4106/I4106,""))</f>
        <v/>
      </c>
      <c r="K4106" s="71">
        <f>IF(B4106="","",IFERROR(AVERAGEIFS($J$4:$J4106,$B$4:$B4106,B4106,$J$4:$J4106,"&gt;"&amp;0),""))</f>
        <v/>
      </c>
      <c r="L4106" s="12" t="n"/>
    </row>
    <row r="4107" ht="14" customHeight="1" s="72">
      <c r="A4107" s="82" t="n"/>
      <c r="B4107" s="79" t="n"/>
      <c r="C4107" s="69">
        <f>IF(B4107="","",IFERROR(INDEX(Client_List!$B:$B,MATCH(B4107,Client_List!$A:$A,0)),"⚠ NOT FOUND"))</f>
        <v/>
      </c>
      <c r="D4107" s="44" t="n"/>
      <c r="E4107" s="32">
        <f>IF(B4107="","",IFERROR(INDEX(Client_List!$C:$C,MATCH(VALUE(B4107),Client_List!$A:$A,0)),""))</f>
        <v/>
      </c>
      <c r="F4107" s="53">
        <f>IF(B4107="","",IFERROR(INDEX(Client_List!$D:$D,MATCH(VALUE(B4107),Client_List!$A:$A,0)),""))</f>
        <v/>
      </c>
      <c r="G4107" s="53">
        <f>IF(B4107="","",IFERROR(INDEX(Client_List!$K:$K,MATCH(VALUE(B4107),Client_List!$A:$A,0)),""))</f>
        <v/>
      </c>
      <c r="H4107" s="32">
        <f>IF(B4107="","",IFERROR(INDEX(Client_List!$J:$J,MATCH(VALUE(B4107),Client_List!$A:$A,0)),""))</f>
        <v/>
      </c>
      <c r="I4107" s="70">
        <f>IF(B4107="","",IFERROR(A4107-LOOKUP(2,1/($B$4:$B4106=B4107),$A$4:$A4106),""))</f>
        <v/>
      </c>
      <c r="J4107" s="32">
        <f>IF(B4107="","",IFERROR(D4107/I4107,""))</f>
        <v/>
      </c>
      <c r="K4107" s="71">
        <f>IF(B4107="","",IFERROR(AVERAGEIFS($J$4:$J4107,$B$4:$B4107,B4107,$J$4:$J4107,"&gt;"&amp;0),""))</f>
        <v/>
      </c>
      <c r="L4107" s="11" t="n"/>
    </row>
    <row r="4108" ht="14" customHeight="1" s="72">
      <c r="A4108" s="83" t="n"/>
      <c r="B4108" s="81" t="n"/>
      <c r="C4108" s="69">
        <f>IF(B4108="","",IFERROR(INDEX(Client_List!$B:$B,MATCH(B4108,Client_List!$A:$A,0)),"⚠ NOT FOUND"))</f>
        <v/>
      </c>
      <c r="D4108" s="45" t="n"/>
      <c r="E4108" s="32">
        <f>IF(B4108="","",IFERROR(INDEX(Client_List!$C:$C,MATCH(VALUE(B4108),Client_List!$A:$A,0)),""))</f>
        <v/>
      </c>
      <c r="F4108" s="53">
        <f>IF(B4108="","",IFERROR(INDEX(Client_List!$D:$D,MATCH(VALUE(B4108),Client_List!$A:$A,0)),""))</f>
        <v/>
      </c>
      <c r="G4108" s="53">
        <f>IF(B4108="","",IFERROR(INDEX(Client_List!$K:$K,MATCH(VALUE(B4108),Client_List!$A:$A,0)),""))</f>
        <v/>
      </c>
      <c r="H4108" s="32">
        <f>IF(B4108="","",IFERROR(INDEX(Client_List!$J:$J,MATCH(VALUE(B4108),Client_List!$A:$A,0)),""))</f>
        <v/>
      </c>
      <c r="I4108" s="70">
        <f>IF(B4108="","",IFERROR(A4108-LOOKUP(2,1/($B$4:$B4107=B4108),$A$4:$A4107),""))</f>
        <v/>
      </c>
      <c r="J4108" s="32">
        <f>IF(B4108="","",IFERROR(D4108/I4108,""))</f>
        <v/>
      </c>
      <c r="K4108" s="71">
        <f>IF(B4108="","",IFERROR(AVERAGEIFS($J$4:$J4108,$B$4:$B4108,B4108,$J$4:$J4108,"&gt;"&amp;0),""))</f>
        <v/>
      </c>
      <c r="L4108" s="12" t="n"/>
    </row>
    <row r="4109" ht="14" customHeight="1" s="72">
      <c r="A4109" s="82" t="n"/>
      <c r="B4109" s="79" t="n"/>
      <c r="C4109" s="69">
        <f>IF(B4109="","",IFERROR(INDEX(Client_List!$B:$B,MATCH(B4109,Client_List!$A:$A,0)),"⚠ NOT FOUND"))</f>
        <v/>
      </c>
      <c r="D4109" s="44" t="n"/>
      <c r="E4109" s="32">
        <f>IF(B4109="","",IFERROR(INDEX(Client_List!$C:$C,MATCH(VALUE(B4109),Client_List!$A:$A,0)),""))</f>
        <v/>
      </c>
      <c r="F4109" s="53">
        <f>IF(B4109="","",IFERROR(INDEX(Client_List!$D:$D,MATCH(VALUE(B4109),Client_List!$A:$A,0)),""))</f>
        <v/>
      </c>
      <c r="G4109" s="53">
        <f>IF(B4109="","",IFERROR(INDEX(Client_List!$K:$K,MATCH(VALUE(B4109),Client_List!$A:$A,0)),""))</f>
        <v/>
      </c>
      <c r="H4109" s="32">
        <f>IF(B4109="","",IFERROR(INDEX(Client_List!$J:$J,MATCH(VALUE(B4109),Client_List!$A:$A,0)),""))</f>
        <v/>
      </c>
      <c r="I4109" s="70">
        <f>IF(B4109="","",IFERROR(A4109-LOOKUP(2,1/($B$4:$B4108=B4109),$A$4:$A4108),""))</f>
        <v/>
      </c>
      <c r="J4109" s="32">
        <f>IF(B4109="","",IFERROR(D4109/I4109,""))</f>
        <v/>
      </c>
      <c r="K4109" s="71">
        <f>IF(B4109="","",IFERROR(AVERAGEIFS($J$4:$J4109,$B$4:$B4109,B4109,$J$4:$J4109,"&gt;"&amp;0),""))</f>
        <v/>
      </c>
      <c r="L4109" s="11" t="n"/>
    </row>
    <row r="4110" ht="14" customHeight="1" s="72">
      <c r="A4110" s="83" t="n"/>
      <c r="B4110" s="81" t="n"/>
      <c r="C4110" s="69">
        <f>IF(B4110="","",IFERROR(INDEX(Client_List!$B:$B,MATCH(B4110,Client_List!$A:$A,0)),"⚠ NOT FOUND"))</f>
        <v/>
      </c>
      <c r="D4110" s="45" t="n"/>
      <c r="E4110" s="32">
        <f>IF(B4110="","",IFERROR(INDEX(Client_List!$C:$C,MATCH(VALUE(B4110),Client_List!$A:$A,0)),""))</f>
        <v/>
      </c>
      <c r="F4110" s="53">
        <f>IF(B4110="","",IFERROR(INDEX(Client_List!$D:$D,MATCH(VALUE(B4110),Client_List!$A:$A,0)),""))</f>
        <v/>
      </c>
      <c r="G4110" s="53">
        <f>IF(B4110="","",IFERROR(INDEX(Client_List!$K:$K,MATCH(VALUE(B4110),Client_List!$A:$A,0)),""))</f>
        <v/>
      </c>
      <c r="H4110" s="32">
        <f>IF(B4110="","",IFERROR(INDEX(Client_List!$J:$J,MATCH(VALUE(B4110),Client_List!$A:$A,0)),""))</f>
        <v/>
      </c>
      <c r="I4110" s="70">
        <f>IF(B4110="","",IFERROR(A4110-LOOKUP(2,1/($B$4:$B4109=B4110),$A$4:$A4109),""))</f>
        <v/>
      </c>
      <c r="J4110" s="32">
        <f>IF(B4110="","",IFERROR(D4110/I4110,""))</f>
        <v/>
      </c>
      <c r="K4110" s="71">
        <f>IF(B4110="","",IFERROR(AVERAGEIFS($J$4:$J4110,$B$4:$B4110,B4110,$J$4:$J4110,"&gt;"&amp;0),""))</f>
        <v/>
      </c>
      <c r="L4110" s="12" t="n"/>
    </row>
    <row r="4111" ht="14" customHeight="1" s="72">
      <c r="A4111" s="82" t="n"/>
      <c r="B4111" s="79" t="n"/>
      <c r="C4111" s="69">
        <f>IF(B4111="","",IFERROR(INDEX(Client_List!$B:$B,MATCH(B4111,Client_List!$A:$A,0)),"⚠ NOT FOUND"))</f>
        <v/>
      </c>
      <c r="D4111" s="44" t="n"/>
      <c r="E4111" s="32">
        <f>IF(B4111="","",IFERROR(INDEX(Client_List!$C:$C,MATCH(VALUE(B4111),Client_List!$A:$A,0)),""))</f>
        <v/>
      </c>
      <c r="F4111" s="53">
        <f>IF(B4111="","",IFERROR(INDEX(Client_List!$D:$D,MATCH(VALUE(B4111),Client_List!$A:$A,0)),""))</f>
        <v/>
      </c>
      <c r="G4111" s="53">
        <f>IF(B4111="","",IFERROR(INDEX(Client_List!$K:$K,MATCH(VALUE(B4111),Client_List!$A:$A,0)),""))</f>
        <v/>
      </c>
      <c r="H4111" s="32">
        <f>IF(B4111="","",IFERROR(INDEX(Client_List!$J:$J,MATCH(VALUE(B4111),Client_List!$A:$A,0)),""))</f>
        <v/>
      </c>
      <c r="I4111" s="70">
        <f>IF(B4111="","",IFERROR(A4111-LOOKUP(2,1/($B$4:$B4110=B4111),$A$4:$A4110),""))</f>
        <v/>
      </c>
      <c r="J4111" s="32">
        <f>IF(B4111="","",IFERROR(D4111/I4111,""))</f>
        <v/>
      </c>
      <c r="K4111" s="71">
        <f>IF(B4111="","",IFERROR(AVERAGEIFS($J$4:$J4111,$B$4:$B4111,B4111,$J$4:$J4111,"&gt;"&amp;0),""))</f>
        <v/>
      </c>
      <c r="L4111" s="11" t="n"/>
    </row>
    <row r="4112" ht="14" customHeight="1" s="72">
      <c r="A4112" s="83" t="n"/>
      <c r="B4112" s="81" t="n"/>
      <c r="C4112" s="69">
        <f>IF(B4112="","",IFERROR(INDEX(Client_List!$B:$B,MATCH(B4112,Client_List!$A:$A,0)),"⚠ NOT FOUND"))</f>
        <v/>
      </c>
      <c r="D4112" s="45" t="n"/>
      <c r="E4112" s="32">
        <f>IF(B4112="","",IFERROR(INDEX(Client_List!$C:$C,MATCH(VALUE(B4112),Client_List!$A:$A,0)),""))</f>
        <v/>
      </c>
      <c r="F4112" s="53">
        <f>IF(B4112="","",IFERROR(INDEX(Client_List!$D:$D,MATCH(VALUE(B4112),Client_List!$A:$A,0)),""))</f>
        <v/>
      </c>
      <c r="G4112" s="53">
        <f>IF(B4112="","",IFERROR(INDEX(Client_List!$K:$K,MATCH(VALUE(B4112),Client_List!$A:$A,0)),""))</f>
        <v/>
      </c>
      <c r="H4112" s="32">
        <f>IF(B4112="","",IFERROR(INDEX(Client_List!$J:$J,MATCH(VALUE(B4112),Client_List!$A:$A,0)),""))</f>
        <v/>
      </c>
      <c r="I4112" s="70">
        <f>IF(B4112="","",IFERROR(A4112-LOOKUP(2,1/($B$4:$B4111=B4112),$A$4:$A4111),""))</f>
        <v/>
      </c>
      <c r="J4112" s="32">
        <f>IF(B4112="","",IFERROR(D4112/I4112,""))</f>
        <v/>
      </c>
      <c r="K4112" s="71">
        <f>IF(B4112="","",IFERROR(AVERAGEIFS($J$4:$J4112,$B$4:$B4112,B4112,$J$4:$J4112,"&gt;"&amp;0),""))</f>
        <v/>
      </c>
      <c r="L4112" s="12" t="n"/>
    </row>
    <row r="4113" ht="14" customHeight="1" s="72">
      <c r="A4113" s="82" t="n"/>
      <c r="B4113" s="79" t="n"/>
      <c r="C4113" s="69">
        <f>IF(B4113="","",IFERROR(INDEX(Client_List!$B:$B,MATCH(B4113,Client_List!$A:$A,0)),"⚠ NOT FOUND"))</f>
        <v/>
      </c>
      <c r="D4113" s="44" t="n"/>
      <c r="E4113" s="32">
        <f>IF(B4113="","",IFERROR(INDEX(Client_List!$C:$C,MATCH(VALUE(B4113),Client_List!$A:$A,0)),""))</f>
        <v/>
      </c>
      <c r="F4113" s="53">
        <f>IF(B4113="","",IFERROR(INDEX(Client_List!$D:$D,MATCH(VALUE(B4113),Client_List!$A:$A,0)),""))</f>
        <v/>
      </c>
      <c r="G4113" s="53">
        <f>IF(B4113="","",IFERROR(INDEX(Client_List!$K:$K,MATCH(VALUE(B4113),Client_List!$A:$A,0)),""))</f>
        <v/>
      </c>
      <c r="H4113" s="32">
        <f>IF(B4113="","",IFERROR(INDEX(Client_List!$J:$J,MATCH(VALUE(B4113),Client_List!$A:$A,0)),""))</f>
        <v/>
      </c>
      <c r="I4113" s="70">
        <f>IF(B4113="","",IFERROR(A4113-LOOKUP(2,1/($B$4:$B4112=B4113),$A$4:$A4112),""))</f>
        <v/>
      </c>
      <c r="J4113" s="32">
        <f>IF(B4113="","",IFERROR(D4113/I4113,""))</f>
        <v/>
      </c>
      <c r="K4113" s="71">
        <f>IF(B4113="","",IFERROR(AVERAGEIFS($J$4:$J4113,$B$4:$B4113,B4113,$J$4:$J4113,"&gt;"&amp;0),""))</f>
        <v/>
      </c>
      <c r="L4113" s="11" t="n"/>
    </row>
    <row r="4114" ht="14" customHeight="1" s="72">
      <c r="A4114" s="83" t="n"/>
      <c r="B4114" s="81" t="n"/>
      <c r="C4114" s="69">
        <f>IF(B4114="","",IFERROR(INDEX(Client_List!$B:$B,MATCH(B4114,Client_List!$A:$A,0)),"⚠ NOT FOUND"))</f>
        <v/>
      </c>
      <c r="D4114" s="45" t="n"/>
      <c r="E4114" s="32">
        <f>IF(B4114="","",IFERROR(INDEX(Client_List!$C:$C,MATCH(VALUE(B4114),Client_List!$A:$A,0)),""))</f>
        <v/>
      </c>
      <c r="F4114" s="53">
        <f>IF(B4114="","",IFERROR(INDEX(Client_List!$D:$D,MATCH(VALUE(B4114),Client_List!$A:$A,0)),""))</f>
        <v/>
      </c>
      <c r="G4114" s="53">
        <f>IF(B4114="","",IFERROR(INDEX(Client_List!$K:$K,MATCH(VALUE(B4114),Client_List!$A:$A,0)),""))</f>
        <v/>
      </c>
      <c r="H4114" s="32">
        <f>IF(B4114="","",IFERROR(INDEX(Client_List!$J:$J,MATCH(VALUE(B4114),Client_List!$A:$A,0)),""))</f>
        <v/>
      </c>
      <c r="I4114" s="70">
        <f>IF(B4114="","",IFERROR(A4114-LOOKUP(2,1/($B$4:$B4113=B4114),$A$4:$A4113),""))</f>
        <v/>
      </c>
      <c r="J4114" s="32">
        <f>IF(B4114="","",IFERROR(D4114/I4114,""))</f>
        <v/>
      </c>
      <c r="K4114" s="71">
        <f>IF(B4114="","",IFERROR(AVERAGEIFS($J$4:$J4114,$B$4:$B4114,B4114,$J$4:$J4114,"&gt;"&amp;0),""))</f>
        <v/>
      </c>
      <c r="L4114" s="12" t="n"/>
    </row>
    <row r="4115" ht="14" customHeight="1" s="72">
      <c r="A4115" s="82" t="n"/>
      <c r="B4115" s="79" t="n"/>
      <c r="C4115" s="69">
        <f>IF(B4115="","",IFERROR(INDEX(Client_List!$B:$B,MATCH(B4115,Client_List!$A:$A,0)),"⚠ NOT FOUND"))</f>
        <v/>
      </c>
      <c r="D4115" s="44" t="n"/>
      <c r="E4115" s="32">
        <f>IF(B4115="","",IFERROR(INDEX(Client_List!$C:$C,MATCH(VALUE(B4115),Client_List!$A:$A,0)),""))</f>
        <v/>
      </c>
      <c r="F4115" s="53">
        <f>IF(B4115="","",IFERROR(INDEX(Client_List!$D:$D,MATCH(VALUE(B4115),Client_List!$A:$A,0)),""))</f>
        <v/>
      </c>
      <c r="G4115" s="53">
        <f>IF(B4115="","",IFERROR(INDEX(Client_List!$K:$K,MATCH(VALUE(B4115),Client_List!$A:$A,0)),""))</f>
        <v/>
      </c>
      <c r="H4115" s="32">
        <f>IF(B4115="","",IFERROR(INDEX(Client_List!$J:$J,MATCH(VALUE(B4115),Client_List!$A:$A,0)),""))</f>
        <v/>
      </c>
      <c r="I4115" s="70">
        <f>IF(B4115="","",IFERROR(A4115-LOOKUP(2,1/($B$4:$B4114=B4115),$A$4:$A4114),""))</f>
        <v/>
      </c>
      <c r="J4115" s="32">
        <f>IF(B4115="","",IFERROR(D4115/I4115,""))</f>
        <v/>
      </c>
      <c r="K4115" s="71">
        <f>IF(B4115="","",IFERROR(AVERAGEIFS($J$4:$J4115,$B$4:$B4115,B4115,$J$4:$J4115,"&gt;"&amp;0),""))</f>
        <v/>
      </c>
      <c r="L4115" s="11" t="n"/>
    </row>
    <row r="4116" ht="14" customHeight="1" s="72">
      <c r="A4116" s="83" t="n"/>
      <c r="B4116" s="81" t="n"/>
      <c r="C4116" s="69">
        <f>IF(B4116="","",IFERROR(INDEX(Client_List!$B:$B,MATCH(B4116,Client_List!$A:$A,0)),"⚠ NOT FOUND"))</f>
        <v/>
      </c>
      <c r="D4116" s="45" t="n"/>
      <c r="E4116" s="32">
        <f>IF(B4116="","",IFERROR(INDEX(Client_List!$C:$C,MATCH(VALUE(B4116),Client_List!$A:$A,0)),""))</f>
        <v/>
      </c>
      <c r="F4116" s="53">
        <f>IF(B4116="","",IFERROR(INDEX(Client_List!$D:$D,MATCH(VALUE(B4116),Client_List!$A:$A,0)),""))</f>
        <v/>
      </c>
      <c r="G4116" s="53">
        <f>IF(B4116="","",IFERROR(INDEX(Client_List!$K:$K,MATCH(VALUE(B4116),Client_List!$A:$A,0)),""))</f>
        <v/>
      </c>
      <c r="H4116" s="32">
        <f>IF(B4116="","",IFERROR(INDEX(Client_List!$J:$J,MATCH(VALUE(B4116),Client_List!$A:$A,0)),""))</f>
        <v/>
      </c>
      <c r="I4116" s="70">
        <f>IF(B4116="","",IFERROR(A4116-LOOKUP(2,1/($B$4:$B4115=B4116),$A$4:$A4115),""))</f>
        <v/>
      </c>
      <c r="J4116" s="32">
        <f>IF(B4116="","",IFERROR(D4116/I4116,""))</f>
        <v/>
      </c>
      <c r="K4116" s="71">
        <f>IF(B4116="","",IFERROR(AVERAGEIFS($J$4:$J4116,$B$4:$B4116,B4116,$J$4:$J4116,"&gt;"&amp;0),""))</f>
        <v/>
      </c>
      <c r="L4116" s="12" t="n"/>
    </row>
    <row r="4117" ht="14" customHeight="1" s="72">
      <c r="A4117" s="82" t="n"/>
      <c r="B4117" s="79" t="n"/>
      <c r="C4117" s="69">
        <f>IF(B4117="","",IFERROR(INDEX(Client_List!$B:$B,MATCH(B4117,Client_List!$A:$A,0)),"⚠ NOT FOUND"))</f>
        <v/>
      </c>
      <c r="D4117" s="44" t="n"/>
      <c r="E4117" s="32">
        <f>IF(B4117="","",IFERROR(INDEX(Client_List!$C:$C,MATCH(VALUE(B4117),Client_List!$A:$A,0)),""))</f>
        <v/>
      </c>
      <c r="F4117" s="53">
        <f>IF(B4117="","",IFERROR(INDEX(Client_List!$D:$D,MATCH(VALUE(B4117),Client_List!$A:$A,0)),""))</f>
        <v/>
      </c>
      <c r="G4117" s="53">
        <f>IF(B4117="","",IFERROR(INDEX(Client_List!$K:$K,MATCH(VALUE(B4117),Client_List!$A:$A,0)),""))</f>
        <v/>
      </c>
      <c r="H4117" s="32">
        <f>IF(B4117="","",IFERROR(INDEX(Client_List!$J:$J,MATCH(VALUE(B4117),Client_List!$A:$A,0)),""))</f>
        <v/>
      </c>
      <c r="I4117" s="70">
        <f>IF(B4117="","",IFERROR(A4117-LOOKUP(2,1/($B$4:$B4116=B4117),$A$4:$A4116),""))</f>
        <v/>
      </c>
      <c r="J4117" s="32">
        <f>IF(B4117="","",IFERROR(D4117/I4117,""))</f>
        <v/>
      </c>
      <c r="K4117" s="71">
        <f>IF(B4117="","",IFERROR(AVERAGEIFS($J$4:$J4117,$B$4:$B4117,B4117,$J$4:$J4117,"&gt;"&amp;0),""))</f>
        <v/>
      </c>
      <c r="L4117" s="11" t="n"/>
    </row>
    <row r="4118" ht="14" customHeight="1" s="72">
      <c r="A4118" s="83" t="n"/>
      <c r="B4118" s="81" t="n"/>
      <c r="C4118" s="69">
        <f>IF(B4118="","",IFERROR(INDEX(Client_List!$B:$B,MATCH(B4118,Client_List!$A:$A,0)),"⚠ NOT FOUND"))</f>
        <v/>
      </c>
      <c r="D4118" s="45" t="n"/>
      <c r="E4118" s="32">
        <f>IF(B4118="","",IFERROR(INDEX(Client_List!$C:$C,MATCH(VALUE(B4118),Client_List!$A:$A,0)),""))</f>
        <v/>
      </c>
      <c r="F4118" s="53">
        <f>IF(B4118="","",IFERROR(INDEX(Client_List!$D:$D,MATCH(VALUE(B4118),Client_List!$A:$A,0)),""))</f>
        <v/>
      </c>
      <c r="G4118" s="53">
        <f>IF(B4118="","",IFERROR(INDEX(Client_List!$K:$K,MATCH(VALUE(B4118),Client_List!$A:$A,0)),""))</f>
        <v/>
      </c>
      <c r="H4118" s="32">
        <f>IF(B4118="","",IFERROR(INDEX(Client_List!$J:$J,MATCH(VALUE(B4118),Client_List!$A:$A,0)),""))</f>
        <v/>
      </c>
      <c r="I4118" s="70">
        <f>IF(B4118="","",IFERROR(A4118-LOOKUP(2,1/($B$4:$B4117=B4118),$A$4:$A4117),""))</f>
        <v/>
      </c>
      <c r="J4118" s="32">
        <f>IF(B4118="","",IFERROR(D4118/I4118,""))</f>
        <v/>
      </c>
      <c r="K4118" s="71">
        <f>IF(B4118="","",IFERROR(AVERAGEIFS($J$4:$J4118,$B$4:$B4118,B4118,$J$4:$J4118,"&gt;"&amp;0),""))</f>
        <v/>
      </c>
      <c r="L4118" s="12" t="n"/>
    </row>
    <row r="4119" ht="14" customHeight="1" s="72">
      <c r="A4119" s="82" t="n"/>
      <c r="B4119" s="79" t="n"/>
      <c r="C4119" s="69">
        <f>IF(B4119="","",IFERROR(INDEX(Client_List!$B:$B,MATCH(B4119,Client_List!$A:$A,0)),"⚠ NOT FOUND"))</f>
        <v/>
      </c>
      <c r="D4119" s="44" t="n"/>
      <c r="E4119" s="32">
        <f>IF(B4119="","",IFERROR(INDEX(Client_List!$C:$C,MATCH(VALUE(B4119),Client_List!$A:$A,0)),""))</f>
        <v/>
      </c>
      <c r="F4119" s="53">
        <f>IF(B4119="","",IFERROR(INDEX(Client_List!$D:$D,MATCH(VALUE(B4119),Client_List!$A:$A,0)),""))</f>
        <v/>
      </c>
      <c r="G4119" s="53">
        <f>IF(B4119="","",IFERROR(INDEX(Client_List!$K:$K,MATCH(VALUE(B4119),Client_List!$A:$A,0)),""))</f>
        <v/>
      </c>
      <c r="H4119" s="32">
        <f>IF(B4119="","",IFERROR(INDEX(Client_List!$J:$J,MATCH(VALUE(B4119),Client_List!$A:$A,0)),""))</f>
        <v/>
      </c>
      <c r="I4119" s="70">
        <f>IF(B4119="","",IFERROR(A4119-LOOKUP(2,1/($B$4:$B4118=B4119),$A$4:$A4118),""))</f>
        <v/>
      </c>
      <c r="J4119" s="32">
        <f>IF(B4119="","",IFERROR(D4119/I4119,""))</f>
        <v/>
      </c>
      <c r="K4119" s="71">
        <f>IF(B4119="","",IFERROR(AVERAGEIFS($J$4:$J4119,$B$4:$B4119,B4119,$J$4:$J4119,"&gt;"&amp;0),""))</f>
        <v/>
      </c>
      <c r="L4119" s="11" t="n"/>
    </row>
    <row r="4120" ht="14" customHeight="1" s="72">
      <c r="A4120" s="83" t="n"/>
      <c r="B4120" s="81" t="n"/>
      <c r="C4120" s="69">
        <f>IF(B4120="","",IFERROR(INDEX(Client_List!$B:$B,MATCH(B4120,Client_List!$A:$A,0)),"⚠ NOT FOUND"))</f>
        <v/>
      </c>
      <c r="D4120" s="45" t="n"/>
      <c r="E4120" s="32">
        <f>IF(B4120="","",IFERROR(INDEX(Client_List!$C:$C,MATCH(VALUE(B4120),Client_List!$A:$A,0)),""))</f>
        <v/>
      </c>
      <c r="F4120" s="53">
        <f>IF(B4120="","",IFERROR(INDEX(Client_List!$D:$D,MATCH(VALUE(B4120),Client_List!$A:$A,0)),""))</f>
        <v/>
      </c>
      <c r="G4120" s="53">
        <f>IF(B4120="","",IFERROR(INDEX(Client_List!$K:$K,MATCH(VALUE(B4120),Client_List!$A:$A,0)),""))</f>
        <v/>
      </c>
      <c r="H4120" s="32">
        <f>IF(B4120="","",IFERROR(INDEX(Client_List!$J:$J,MATCH(VALUE(B4120),Client_List!$A:$A,0)),""))</f>
        <v/>
      </c>
      <c r="I4120" s="70">
        <f>IF(B4120="","",IFERROR(A4120-LOOKUP(2,1/($B$4:$B4119=B4120),$A$4:$A4119),""))</f>
        <v/>
      </c>
      <c r="J4120" s="32">
        <f>IF(B4120="","",IFERROR(D4120/I4120,""))</f>
        <v/>
      </c>
      <c r="K4120" s="71">
        <f>IF(B4120="","",IFERROR(AVERAGEIFS($J$4:$J4120,$B$4:$B4120,B4120,$J$4:$J4120,"&gt;"&amp;0),""))</f>
        <v/>
      </c>
      <c r="L4120" s="12" t="n"/>
    </row>
    <row r="4121" ht="14" customHeight="1" s="72">
      <c r="A4121" s="82" t="n"/>
      <c r="B4121" s="79" t="n"/>
      <c r="C4121" s="69">
        <f>IF(B4121="","",IFERROR(INDEX(Client_List!$B:$B,MATCH(B4121,Client_List!$A:$A,0)),"⚠ NOT FOUND"))</f>
        <v/>
      </c>
      <c r="D4121" s="44" t="n"/>
      <c r="E4121" s="32">
        <f>IF(B4121="","",IFERROR(INDEX(Client_List!$C:$C,MATCH(VALUE(B4121),Client_List!$A:$A,0)),""))</f>
        <v/>
      </c>
      <c r="F4121" s="53">
        <f>IF(B4121="","",IFERROR(INDEX(Client_List!$D:$D,MATCH(VALUE(B4121),Client_List!$A:$A,0)),""))</f>
        <v/>
      </c>
      <c r="G4121" s="53">
        <f>IF(B4121="","",IFERROR(INDEX(Client_List!$K:$K,MATCH(VALUE(B4121),Client_List!$A:$A,0)),""))</f>
        <v/>
      </c>
      <c r="H4121" s="32">
        <f>IF(B4121="","",IFERROR(INDEX(Client_List!$J:$J,MATCH(VALUE(B4121),Client_List!$A:$A,0)),""))</f>
        <v/>
      </c>
      <c r="I4121" s="70">
        <f>IF(B4121="","",IFERROR(A4121-LOOKUP(2,1/($B$4:$B4120=B4121),$A$4:$A4120),""))</f>
        <v/>
      </c>
      <c r="J4121" s="32">
        <f>IF(B4121="","",IFERROR(D4121/I4121,""))</f>
        <v/>
      </c>
      <c r="K4121" s="71">
        <f>IF(B4121="","",IFERROR(AVERAGEIFS($J$4:$J4121,$B$4:$B4121,B4121,$J$4:$J4121,"&gt;"&amp;0),""))</f>
        <v/>
      </c>
      <c r="L4121" s="11" t="n"/>
    </row>
    <row r="4122" ht="14" customHeight="1" s="72">
      <c r="A4122" s="83" t="n"/>
      <c r="B4122" s="81" t="n"/>
      <c r="C4122" s="69">
        <f>IF(B4122="","",IFERROR(INDEX(Client_List!$B:$B,MATCH(B4122,Client_List!$A:$A,0)),"⚠ NOT FOUND"))</f>
        <v/>
      </c>
      <c r="D4122" s="45" t="n"/>
      <c r="E4122" s="32">
        <f>IF(B4122="","",IFERROR(INDEX(Client_List!$C:$C,MATCH(VALUE(B4122),Client_List!$A:$A,0)),""))</f>
        <v/>
      </c>
      <c r="F4122" s="53">
        <f>IF(B4122="","",IFERROR(INDEX(Client_List!$D:$D,MATCH(VALUE(B4122),Client_List!$A:$A,0)),""))</f>
        <v/>
      </c>
      <c r="G4122" s="53">
        <f>IF(B4122="","",IFERROR(INDEX(Client_List!$K:$K,MATCH(VALUE(B4122),Client_List!$A:$A,0)),""))</f>
        <v/>
      </c>
      <c r="H4122" s="32">
        <f>IF(B4122="","",IFERROR(INDEX(Client_List!$J:$J,MATCH(VALUE(B4122),Client_List!$A:$A,0)),""))</f>
        <v/>
      </c>
      <c r="I4122" s="70">
        <f>IF(B4122="","",IFERROR(A4122-LOOKUP(2,1/($B$4:$B4121=B4122),$A$4:$A4121),""))</f>
        <v/>
      </c>
      <c r="J4122" s="32">
        <f>IF(B4122="","",IFERROR(D4122/I4122,""))</f>
        <v/>
      </c>
      <c r="K4122" s="71">
        <f>IF(B4122="","",IFERROR(AVERAGEIFS($J$4:$J4122,$B$4:$B4122,B4122,$J$4:$J4122,"&gt;"&amp;0),""))</f>
        <v/>
      </c>
      <c r="L4122" s="12" t="n"/>
    </row>
    <row r="4123" ht="14" customHeight="1" s="72">
      <c r="A4123" s="82" t="n"/>
      <c r="B4123" s="79" t="n"/>
      <c r="C4123" s="69">
        <f>IF(B4123="","",IFERROR(INDEX(Client_List!$B:$B,MATCH(B4123,Client_List!$A:$A,0)),"⚠ NOT FOUND"))</f>
        <v/>
      </c>
      <c r="D4123" s="44" t="n"/>
      <c r="E4123" s="32">
        <f>IF(B4123="","",IFERROR(INDEX(Client_List!$C:$C,MATCH(VALUE(B4123),Client_List!$A:$A,0)),""))</f>
        <v/>
      </c>
      <c r="F4123" s="53">
        <f>IF(B4123="","",IFERROR(INDEX(Client_List!$D:$D,MATCH(VALUE(B4123),Client_List!$A:$A,0)),""))</f>
        <v/>
      </c>
      <c r="G4123" s="53">
        <f>IF(B4123="","",IFERROR(INDEX(Client_List!$K:$K,MATCH(VALUE(B4123),Client_List!$A:$A,0)),""))</f>
        <v/>
      </c>
      <c r="H4123" s="32">
        <f>IF(B4123="","",IFERROR(INDEX(Client_List!$J:$J,MATCH(VALUE(B4123),Client_List!$A:$A,0)),""))</f>
        <v/>
      </c>
      <c r="I4123" s="70">
        <f>IF(B4123="","",IFERROR(A4123-LOOKUP(2,1/($B$4:$B4122=B4123),$A$4:$A4122),""))</f>
        <v/>
      </c>
      <c r="J4123" s="32">
        <f>IF(B4123="","",IFERROR(D4123/I4123,""))</f>
        <v/>
      </c>
      <c r="K4123" s="71">
        <f>IF(B4123="","",IFERROR(AVERAGEIFS($J$4:$J4123,$B$4:$B4123,B4123,$J$4:$J4123,"&gt;"&amp;0),""))</f>
        <v/>
      </c>
      <c r="L4123" s="11" t="n"/>
    </row>
    <row r="4124" ht="14" customHeight="1" s="72">
      <c r="A4124" s="83" t="n"/>
      <c r="B4124" s="81" t="n"/>
      <c r="C4124" s="69">
        <f>IF(B4124="","",IFERROR(INDEX(Client_List!$B:$B,MATCH(B4124,Client_List!$A:$A,0)),"⚠ NOT FOUND"))</f>
        <v/>
      </c>
      <c r="D4124" s="45" t="n"/>
      <c r="E4124" s="32">
        <f>IF(B4124="","",IFERROR(INDEX(Client_List!$C:$C,MATCH(VALUE(B4124),Client_List!$A:$A,0)),""))</f>
        <v/>
      </c>
      <c r="F4124" s="53">
        <f>IF(B4124="","",IFERROR(INDEX(Client_List!$D:$D,MATCH(VALUE(B4124),Client_List!$A:$A,0)),""))</f>
        <v/>
      </c>
      <c r="G4124" s="53">
        <f>IF(B4124="","",IFERROR(INDEX(Client_List!$K:$K,MATCH(VALUE(B4124),Client_List!$A:$A,0)),""))</f>
        <v/>
      </c>
      <c r="H4124" s="32">
        <f>IF(B4124="","",IFERROR(INDEX(Client_List!$J:$J,MATCH(VALUE(B4124),Client_List!$A:$A,0)),""))</f>
        <v/>
      </c>
      <c r="I4124" s="70">
        <f>IF(B4124="","",IFERROR(A4124-LOOKUP(2,1/($B$4:$B4123=B4124),$A$4:$A4123),""))</f>
        <v/>
      </c>
      <c r="J4124" s="32">
        <f>IF(B4124="","",IFERROR(D4124/I4124,""))</f>
        <v/>
      </c>
      <c r="K4124" s="71">
        <f>IF(B4124="","",IFERROR(AVERAGEIFS($J$4:$J4124,$B$4:$B4124,B4124,$J$4:$J4124,"&gt;"&amp;0),""))</f>
        <v/>
      </c>
      <c r="L4124" s="12" t="n"/>
    </row>
    <row r="4125" ht="14" customHeight="1" s="72">
      <c r="A4125" s="82" t="n"/>
      <c r="B4125" s="79" t="n"/>
      <c r="C4125" s="69">
        <f>IF(B4125="","",IFERROR(INDEX(Client_List!$B:$B,MATCH(B4125,Client_List!$A:$A,0)),"⚠ NOT FOUND"))</f>
        <v/>
      </c>
      <c r="D4125" s="44" t="n"/>
      <c r="E4125" s="32">
        <f>IF(B4125="","",IFERROR(INDEX(Client_List!$C:$C,MATCH(VALUE(B4125),Client_List!$A:$A,0)),""))</f>
        <v/>
      </c>
      <c r="F4125" s="53">
        <f>IF(B4125="","",IFERROR(INDEX(Client_List!$D:$D,MATCH(VALUE(B4125),Client_List!$A:$A,0)),""))</f>
        <v/>
      </c>
      <c r="G4125" s="53">
        <f>IF(B4125="","",IFERROR(INDEX(Client_List!$K:$K,MATCH(VALUE(B4125),Client_List!$A:$A,0)),""))</f>
        <v/>
      </c>
      <c r="H4125" s="32">
        <f>IF(B4125="","",IFERROR(INDEX(Client_List!$J:$J,MATCH(VALUE(B4125),Client_List!$A:$A,0)),""))</f>
        <v/>
      </c>
      <c r="I4125" s="70">
        <f>IF(B4125="","",IFERROR(A4125-LOOKUP(2,1/($B$4:$B4124=B4125),$A$4:$A4124),""))</f>
        <v/>
      </c>
      <c r="J4125" s="32">
        <f>IF(B4125="","",IFERROR(D4125/I4125,""))</f>
        <v/>
      </c>
      <c r="K4125" s="71">
        <f>IF(B4125="","",IFERROR(AVERAGEIFS($J$4:$J4125,$B$4:$B4125,B4125,$J$4:$J4125,"&gt;"&amp;0),""))</f>
        <v/>
      </c>
      <c r="L4125" s="11" t="n"/>
    </row>
    <row r="4126" ht="14" customHeight="1" s="72">
      <c r="A4126" s="83" t="n"/>
      <c r="B4126" s="81" t="n"/>
      <c r="C4126" s="69">
        <f>IF(B4126="","",IFERROR(INDEX(Client_List!$B:$B,MATCH(B4126,Client_List!$A:$A,0)),"⚠ NOT FOUND"))</f>
        <v/>
      </c>
      <c r="D4126" s="45" t="n"/>
      <c r="E4126" s="32">
        <f>IF(B4126="","",IFERROR(INDEX(Client_List!$C:$C,MATCH(VALUE(B4126),Client_List!$A:$A,0)),""))</f>
        <v/>
      </c>
      <c r="F4126" s="53">
        <f>IF(B4126="","",IFERROR(INDEX(Client_List!$D:$D,MATCH(VALUE(B4126),Client_List!$A:$A,0)),""))</f>
        <v/>
      </c>
      <c r="G4126" s="53">
        <f>IF(B4126="","",IFERROR(INDEX(Client_List!$K:$K,MATCH(VALUE(B4126),Client_List!$A:$A,0)),""))</f>
        <v/>
      </c>
      <c r="H4126" s="32">
        <f>IF(B4126="","",IFERROR(INDEX(Client_List!$J:$J,MATCH(VALUE(B4126),Client_List!$A:$A,0)),""))</f>
        <v/>
      </c>
      <c r="I4126" s="70">
        <f>IF(B4126="","",IFERROR(A4126-LOOKUP(2,1/($B$4:$B4125=B4126),$A$4:$A4125),""))</f>
        <v/>
      </c>
      <c r="J4126" s="32">
        <f>IF(B4126="","",IFERROR(D4126/I4126,""))</f>
        <v/>
      </c>
      <c r="K4126" s="71">
        <f>IF(B4126="","",IFERROR(AVERAGEIFS($J$4:$J4126,$B$4:$B4126,B4126,$J$4:$J4126,"&gt;"&amp;0),""))</f>
        <v/>
      </c>
      <c r="L4126" s="12" t="n"/>
    </row>
    <row r="4127" ht="14" customHeight="1" s="72">
      <c r="A4127" s="82" t="n"/>
      <c r="B4127" s="79" t="n"/>
      <c r="C4127" s="69">
        <f>IF(B4127="","",IFERROR(INDEX(Client_List!$B:$B,MATCH(B4127,Client_List!$A:$A,0)),"⚠ NOT FOUND"))</f>
        <v/>
      </c>
      <c r="D4127" s="44" t="n"/>
      <c r="E4127" s="32">
        <f>IF(B4127="","",IFERROR(INDEX(Client_List!$C:$C,MATCH(VALUE(B4127),Client_List!$A:$A,0)),""))</f>
        <v/>
      </c>
      <c r="F4127" s="53">
        <f>IF(B4127="","",IFERROR(INDEX(Client_List!$D:$D,MATCH(VALUE(B4127),Client_List!$A:$A,0)),""))</f>
        <v/>
      </c>
      <c r="G4127" s="53">
        <f>IF(B4127="","",IFERROR(INDEX(Client_List!$K:$K,MATCH(VALUE(B4127),Client_List!$A:$A,0)),""))</f>
        <v/>
      </c>
      <c r="H4127" s="32">
        <f>IF(B4127="","",IFERROR(INDEX(Client_List!$J:$J,MATCH(VALUE(B4127),Client_List!$A:$A,0)),""))</f>
        <v/>
      </c>
      <c r="I4127" s="70">
        <f>IF(B4127="","",IFERROR(A4127-LOOKUP(2,1/($B$4:$B4126=B4127),$A$4:$A4126),""))</f>
        <v/>
      </c>
      <c r="J4127" s="32">
        <f>IF(B4127="","",IFERROR(D4127/I4127,""))</f>
        <v/>
      </c>
      <c r="K4127" s="71">
        <f>IF(B4127="","",IFERROR(AVERAGEIFS($J$4:$J4127,$B$4:$B4127,B4127,$J$4:$J4127,"&gt;"&amp;0),""))</f>
        <v/>
      </c>
      <c r="L4127" s="11" t="n"/>
    </row>
    <row r="4128" ht="14" customHeight="1" s="72">
      <c r="A4128" s="83" t="n"/>
      <c r="B4128" s="81" t="n"/>
      <c r="C4128" s="69">
        <f>IF(B4128="","",IFERROR(INDEX(Client_List!$B:$B,MATCH(B4128,Client_List!$A:$A,0)),"⚠ NOT FOUND"))</f>
        <v/>
      </c>
      <c r="D4128" s="45" t="n"/>
      <c r="E4128" s="32">
        <f>IF(B4128="","",IFERROR(INDEX(Client_List!$C:$C,MATCH(VALUE(B4128),Client_List!$A:$A,0)),""))</f>
        <v/>
      </c>
      <c r="F4128" s="53">
        <f>IF(B4128="","",IFERROR(INDEX(Client_List!$D:$D,MATCH(VALUE(B4128),Client_List!$A:$A,0)),""))</f>
        <v/>
      </c>
      <c r="G4128" s="53">
        <f>IF(B4128="","",IFERROR(INDEX(Client_List!$K:$K,MATCH(VALUE(B4128),Client_List!$A:$A,0)),""))</f>
        <v/>
      </c>
      <c r="H4128" s="32">
        <f>IF(B4128="","",IFERROR(INDEX(Client_List!$J:$J,MATCH(VALUE(B4128),Client_List!$A:$A,0)),""))</f>
        <v/>
      </c>
      <c r="I4128" s="70">
        <f>IF(B4128="","",IFERROR(A4128-LOOKUP(2,1/($B$4:$B4127=B4128),$A$4:$A4127),""))</f>
        <v/>
      </c>
      <c r="J4128" s="32">
        <f>IF(B4128="","",IFERROR(D4128/I4128,""))</f>
        <v/>
      </c>
      <c r="K4128" s="71">
        <f>IF(B4128="","",IFERROR(AVERAGEIFS($J$4:$J4128,$B$4:$B4128,B4128,$J$4:$J4128,"&gt;"&amp;0),""))</f>
        <v/>
      </c>
      <c r="L4128" s="12" t="n"/>
    </row>
    <row r="4129" ht="14" customHeight="1" s="72">
      <c r="A4129" s="82" t="n"/>
      <c r="B4129" s="79" t="n"/>
      <c r="C4129" s="69">
        <f>IF(B4129="","",IFERROR(INDEX(Client_List!$B:$B,MATCH(B4129,Client_List!$A:$A,0)),"⚠ NOT FOUND"))</f>
        <v/>
      </c>
      <c r="D4129" s="44" t="n"/>
      <c r="E4129" s="32">
        <f>IF(B4129="","",IFERROR(INDEX(Client_List!$C:$C,MATCH(VALUE(B4129),Client_List!$A:$A,0)),""))</f>
        <v/>
      </c>
      <c r="F4129" s="53">
        <f>IF(B4129="","",IFERROR(INDEX(Client_List!$D:$D,MATCH(VALUE(B4129),Client_List!$A:$A,0)),""))</f>
        <v/>
      </c>
      <c r="G4129" s="53">
        <f>IF(B4129="","",IFERROR(INDEX(Client_List!$K:$K,MATCH(VALUE(B4129),Client_List!$A:$A,0)),""))</f>
        <v/>
      </c>
      <c r="H4129" s="32">
        <f>IF(B4129="","",IFERROR(INDEX(Client_List!$J:$J,MATCH(VALUE(B4129),Client_List!$A:$A,0)),""))</f>
        <v/>
      </c>
      <c r="I4129" s="70">
        <f>IF(B4129="","",IFERROR(A4129-LOOKUP(2,1/($B$4:$B4128=B4129),$A$4:$A4128),""))</f>
        <v/>
      </c>
      <c r="J4129" s="32">
        <f>IF(B4129="","",IFERROR(D4129/I4129,""))</f>
        <v/>
      </c>
      <c r="K4129" s="71">
        <f>IF(B4129="","",IFERROR(AVERAGEIFS($J$4:$J4129,$B$4:$B4129,B4129,$J$4:$J4129,"&gt;"&amp;0),""))</f>
        <v/>
      </c>
      <c r="L4129" s="11" t="n"/>
    </row>
    <row r="4130" ht="14" customHeight="1" s="72">
      <c r="A4130" s="83" t="n"/>
      <c r="B4130" s="81" t="n"/>
      <c r="C4130" s="69">
        <f>IF(B4130="","",IFERROR(INDEX(Client_List!$B:$B,MATCH(B4130,Client_List!$A:$A,0)),"⚠ NOT FOUND"))</f>
        <v/>
      </c>
      <c r="D4130" s="45" t="n"/>
      <c r="E4130" s="32">
        <f>IF(B4130="","",IFERROR(INDEX(Client_List!$C:$C,MATCH(VALUE(B4130),Client_List!$A:$A,0)),""))</f>
        <v/>
      </c>
      <c r="F4130" s="53">
        <f>IF(B4130="","",IFERROR(INDEX(Client_List!$D:$D,MATCH(VALUE(B4130),Client_List!$A:$A,0)),""))</f>
        <v/>
      </c>
      <c r="G4130" s="53">
        <f>IF(B4130="","",IFERROR(INDEX(Client_List!$K:$K,MATCH(VALUE(B4130),Client_List!$A:$A,0)),""))</f>
        <v/>
      </c>
      <c r="H4130" s="32">
        <f>IF(B4130="","",IFERROR(INDEX(Client_List!$J:$J,MATCH(VALUE(B4130),Client_List!$A:$A,0)),""))</f>
        <v/>
      </c>
      <c r="I4130" s="70">
        <f>IF(B4130="","",IFERROR(A4130-LOOKUP(2,1/($B$4:$B4129=B4130),$A$4:$A4129),""))</f>
        <v/>
      </c>
      <c r="J4130" s="32">
        <f>IF(B4130="","",IFERROR(D4130/I4130,""))</f>
        <v/>
      </c>
      <c r="K4130" s="71">
        <f>IF(B4130="","",IFERROR(AVERAGEIFS($J$4:$J4130,$B$4:$B4130,B4130,$J$4:$J4130,"&gt;"&amp;0),""))</f>
        <v/>
      </c>
      <c r="L4130" s="12" t="n"/>
    </row>
    <row r="4131" ht="14" customHeight="1" s="72">
      <c r="A4131" s="82" t="n"/>
      <c r="B4131" s="79" t="n"/>
      <c r="C4131" s="69">
        <f>IF(B4131="","",IFERROR(INDEX(Client_List!$B:$B,MATCH(B4131,Client_List!$A:$A,0)),"⚠ NOT FOUND"))</f>
        <v/>
      </c>
      <c r="D4131" s="44" t="n"/>
      <c r="E4131" s="32">
        <f>IF(B4131="","",IFERROR(INDEX(Client_List!$C:$C,MATCH(VALUE(B4131),Client_List!$A:$A,0)),""))</f>
        <v/>
      </c>
      <c r="F4131" s="53">
        <f>IF(B4131="","",IFERROR(INDEX(Client_List!$D:$D,MATCH(VALUE(B4131),Client_List!$A:$A,0)),""))</f>
        <v/>
      </c>
      <c r="G4131" s="53">
        <f>IF(B4131="","",IFERROR(INDEX(Client_List!$K:$K,MATCH(VALUE(B4131),Client_List!$A:$A,0)),""))</f>
        <v/>
      </c>
      <c r="H4131" s="32">
        <f>IF(B4131="","",IFERROR(INDEX(Client_List!$J:$J,MATCH(VALUE(B4131),Client_List!$A:$A,0)),""))</f>
        <v/>
      </c>
      <c r="I4131" s="70">
        <f>IF(B4131="","",IFERROR(A4131-LOOKUP(2,1/($B$4:$B4130=B4131),$A$4:$A4130),""))</f>
        <v/>
      </c>
      <c r="J4131" s="32">
        <f>IF(B4131="","",IFERROR(D4131/I4131,""))</f>
        <v/>
      </c>
      <c r="K4131" s="71">
        <f>IF(B4131="","",IFERROR(AVERAGEIFS($J$4:$J4131,$B$4:$B4131,B4131,$J$4:$J4131,"&gt;"&amp;0),""))</f>
        <v/>
      </c>
      <c r="L4131" s="11" t="n"/>
    </row>
    <row r="4132" ht="14" customHeight="1" s="72">
      <c r="A4132" s="83" t="n"/>
      <c r="B4132" s="81" t="n"/>
      <c r="C4132" s="69">
        <f>IF(B4132="","",IFERROR(INDEX(Client_List!$B:$B,MATCH(B4132,Client_List!$A:$A,0)),"⚠ NOT FOUND"))</f>
        <v/>
      </c>
      <c r="D4132" s="45" t="n"/>
      <c r="E4132" s="32">
        <f>IF(B4132="","",IFERROR(INDEX(Client_List!$C:$C,MATCH(VALUE(B4132),Client_List!$A:$A,0)),""))</f>
        <v/>
      </c>
      <c r="F4132" s="53">
        <f>IF(B4132="","",IFERROR(INDEX(Client_List!$D:$D,MATCH(VALUE(B4132),Client_List!$A:$A,0)),""))</f>
        <v/>
      </c>
      <c r="G4132" s="53">
        <f>IF(B4132="","",IFERROR(INDEX(Client_List!$K:$K,MATCH(VALUE(B4132),Client_List!$A:$A,0)),""))</f>
        <v/>
      </c>
      <c r="H4132" s="32">
        <f>IF(B4132="","",IFERROR(INDEX(Client_List!$J:$J,MATCH(VALUE(B4132),Client_List!$A:$A,0)),""))</f>
        <v/>
      </c>
      <c r="I4132" s="70">
        <f>IF(B4132="","",IFERROR(A4132-LOOKUP(2,1/($B$4:$B4131=B4132),$A$4:$A4131),""))</f>
        <v/>
      </c>
      <c r="J4132" s="32">
        <f>IF(B4132="","",IFERROR(D4132/I4132,""))</f>
        <v/>
      </c>
      <c r="K4132" s="71">
        <f>IF(B4132="","",IFERROR(AVERAGEIFS($J$4:$J4132,$B$4:$B4132,B4132,$J$4:$J4132,"&gt;"&amp;0),""))</f>
        <v/>
      </c>
      <c r="L4132" s="12" t="n"/>
    </row>
    <row r="4133" ht="14" customHeight="1" s="72">
      <c r="A4133" s="82" t="n"/>
      <c r="B4133" s="79" t="n"/>
      <c r="C4133" s="69">
        <f>IF(B4133="","",IFERROR(INDEX(Client_List!$B:$B,MATCH(B4133,Client_List!$A:$A,0)),"⚠ NOT FOUND"))</f>
        <v/>
      </c>
      <c r="D4133" s="44" t="n"/>
      <c r="E4133" s="32">
        <f>IF(B4133="","",IFERROR(INDEX(Client_List!$C:$C,MATCH(VALUE(B4133),Client_List!$A:$A,0)),""))</f>
        <v/>
      </c>
      <c r="F4133" s="53">
        <f>IF(B4133="","",IFERROR(INDEX(Client_List!$D:$D,MATCH(VALUE(B4133),Client_List!$A:$A,0)),""))</f>
        <v/>
      </c>
      <c r="G4133" s="53">
        <f>IF(B4133="","",IFERROR(INDEX(Client_List!$K:$K,MATCH(VALUE(B4133),Client_List!$A:$A,0)),""))</f>
        <v/>
      </c>
      <c r="H4133" s="32">
        <f>IF(B4133="","",IFERROR(INDEX(Client_List!$J:$J,MATCH(VALUE(B4133),Client_List!$A:$A,0)),""))</f>
        <v/>
      </c>
      <c r="I4133" s="70">
        <f>IF(B4133="","",IFERROR(A4133-LOOKUP(2,1/($B$4:$B4132=B4133),$A$4:$A4132),""))</f>
        <v/>
      </c>
      <c r="J4133" s="32">
        <f>IF(B4133="","",IFERROR(D4133/I4133,""))</f>
        <v/>
      </c>
      <c r="K4133" s="71">
        <f>IF(B4133="","",IFERROR(AVERAGEIFS($J$4:$J4133,$B$4:$B4133,B4133,$J$4:$J4133,"&gt;"&amp;0),""))</f>
        <v/>
      </c>
      <c r="L4133" s="11" t="n"/>
    </row>
    <row r="4134" ht="14" customHeight="1" s="72">
      <c r="A4134" s="83" t="n"/>
      <c r="B4134" s="81" t="n"/>
      <c r="C4134" s="69">
        <f>IF(B4134="","",IFERROR(INDEX(Client_List!$B:$B,MATCH(B4134,Client_List!$A:$A,0)),"⚠ NOT FOUND"))</f>
        <v/>
      </c>
      <c r="D4134" s="45" t="n"/>
      <c r="E4134" s="32">
        <f>IF(B4134="","",IFERROR(INDEX(Client_List!$C:$C,MATCH(VALUE(B4134),Client_List!$A:$A,0)),""))</f>
        <v/>
      </c>
      <c r="F4134" s="53">
        <f>IF(B4134="","",IFERROR(INDEX(Client_List!$D:$D,MATCH(VALUE(B4134),Client_List!$A:$A,0)),""))</f>
        <v/>
      </c>
      <c r="G4134" s="53">
        <f>IF(B4134="","",IFERROR(INDEX(Client_List!$K:$K,MATCH(VALUE(B4134),Client_List!$A:$A,0)),""))</f>
        <v/>
      </c>
      <c r="H4134" s="32">
        <f>IF(B4134="","",IFERROR(INDEX(Client_List!$J:$J,MATCH(VALUE(B4134),Client_List!$A:$A,0)),""))</f>
        <v/>
      </c>
      <c r="I4134" s="70">
        <f>IF(B4134="","",IFERROR(A4134-LOOKUP(2,1/($B$4:$B4133=B4134),$A$4:$A4133),""))</f>
        <v/>
      </c>
      <c r="J4134" s="32">
        <f>IF(B4134="","",IFERROR(D4134/I4134,""))</f>
        <v/>
      </c>
      <c r="K4134" s="71">
        <f>IF(B4134="","",IFERROR(AVERAGEIFS($J$4:$J4134,$B$4:$B4134,B4134,$J$4:$J4134,"&gt;"&amp;0),""))</f>
        <v/>
      </c>
      <c r="L4134" s="12" t="n"/>
    </row>
    <row r="4135" ht="14" customHeight="1" s="72">
      <c r="A4135" s="82" t="n"/>
      <c r="B4135" s="79" t="n"/>
      <c r="C4135" s="69">
        <f>IF(B4135="","",IFERROR(INDEX(Client_List!$B:$B,MATCH(B4135,Client_List!$A:$A,0)),"⚠ NOT FOUND"))</f>
        <v/>
      </c>
      <c r="D4135" s="44" t="n"/>
      <c r="E4135" s="32">
        <f>IF(B4135="","",IFERROR(INDEX(Client_List!$C:$C,MATCH(VALUE(B4135),Client_List!$A:$A,0)),""))</f>
        <v/>
      </c>
      <c r="F4135" s="53">
        <f>IF(B4135="","",IFERROR(INDEX(Client_List!$D:$D,MATCH(VALUE(B4135),Client_List!$A:$A,0)),""))</f>
        <v/>
      </c>
      <c r="G4135" s="53">
        <f>IF(B4135="","",IFERROR(INDEX(Client_List!$K:$K,MATCH(VALUE(B4135),Client_List!$A:$A,0)),""))</f>
        <v/>
      </c>
      <c r="H4135" s="32">
        <f>IF(B4135="","",IFERROR(INDEX(Client_List!$J:$J,MATCH(VALUE(B4135),Client_List!$A:$A,0)),""))</f>
        <v/>
      </c>
      <c r="I4135" s="70">
        <f>IF(B4135="","",IFERROR(A4135-LOOKUP(2,1/($B$4:$B4134=B4135),$A$4:$A4134),""))</f>
        <v/>
      </c>
      <c r="J4135" s="32">
        <f>IF(B4135="","",IFERROR(D4135/I4135,""))</f>
        <v/>
      </c>
      <c r="K4135" s="71">
        <f>IF(B4135="","",IFERROR(AVERAGEIFS($J$4:$J4135,$B$4:$B4135,B4135,$J$4:$J4135,"&gt;"&amp;0),""))</f>
        <v/>
      </c>
      <c r="L4135" s="11" t="n"/>
    </row>
    <row r="4136" ht="14" customHeight="1" s="72">
      <c r="A4136" s="83" t="n"/>
      <c r="B4136" s="81" t="n"/>
      <c r="C4136" s="69">
        <f>IF(B4136="","",IFERROR(INDEX(Client_List!$B:$B,MATCH(B4136,Client_List!$A:$A,0)),"⚠ NOT FOUND"))</f>
        <v/>
      </c>
      <c r="D4136" s="45" t="n"/>
      <c r="E4136" s="32">
        <f>IF(B4136="","",IFERROR(INDEX(Client_List!$C:$C,MATCH(VALUE(B4136),Client_List!$A:$A,0)),""))</f>
        <v/>
      </c>
      <c r="F4136" s="53">
        <f>IF(B4136="","",IFERROR(INDEX(Client_List!$D:$D,MATCH(VALUE(B4136),Client_List!$A:$A,0)),""))</f>
        <v/>
      </c>
      <c r="G4136" s="53">
        <f>IF(B4136="","",IFERROR(INDEX(Client_List!$K:$K,MATCH(VALUE(B4136),Client_List!$A:$A,0)),""))</f>
        <v/>
      </c>
      <c r="H4136" s="32">
        <f>IF(B4136="","",IFERROR(INDEX(Client_List!$J:$J,MATCH(VALUE(B4136),Client_List!$A:$A,0)),""))</f>
        <v/>
      </c>
      <c r="I4136" s="70">
        <f>IF(B4136="","",IFERROR(A4136-LOOKUP(2,1/($B$4:$B4135=B4136),$A$4:$A4135),""))</f>
        <v/>
      </c>
      <c r="J4136" s="32">
        <f>IF(B4136="","",IFERROR(D4136/I4136,""))</f>
        <v/>
      </c>
      <c r="K4136" s="71">
        <f>IF(B4136="","",IFERROR(AVERAGEIFS($J$4:$J4136,$B$4:$B4136,B4136,$J$4:$J4136,"&gt;"&amp;0),""))</f>
        <v/>
      </c>
      <c r="L4136" s="12" t="n"/>
    </row>
    <row r="4137" ht="14" customHeight="1" s="72">
      <c r="A4137" s="82" t="n"/>
      <c r="B4137" s="79" t="n"/>
      <c r="C4137" s="69">
        <f>IF(B4137="","",IFERROR(INDEX(Client_List!$B:$B,MATCH(B4137,Client_List!$A:$A,0)),"⚠ NOT FOUND"))</f>
        <v/>
      </c>
      <c r="D4137" s="44" t="n"/>
      <c r="E4137" s="32">
        <f>IF(B4137="","",IFERROR(INDEX(Client_List!$C:$C,MATCH(VALUE(B4137),Client_List!$A:$A,0)),""))</f>
        <v/>
      </c>
      <c r="F4137" s="53">
        <f>IF(B4137="","",IFERROR(INDEX(Client_List!$D:$D,MATCH(VALUE(B4137),Client_List!$A:$A,0)),""))</f>
        <v/>
      </c>
      <c r="G4137" s="53">
        <f>IF(B4137="","",IFERROR(INDEX(Client_List!$K:$K,MATCH(VALUE(B4137),Client_List!$A:$A,0)),""))</f>
        <v/>
      </c>
      <c r="H4137" s="32">
        <f>IF(B4137="","",IFERROR(INDEX(Client_List!$J:$J,MATCH(VALUE(B4137),Client_List!$A:$A,0)),""))</f>
        <v/>
      </c>
      <c r="I4137" s="70">
        <f>IF(B4137="","",IFERROR(A4137-LOOKUP(2,1/($B$4:$B4136=B4137),$A$4:$A4136),""))</f>
        <v/>
      </c>
      <c r="J4137" s="32">
        <f>IF(B4137="","",IFERROR(D4137/I4137,""))</f>
        <v/>
      </c>
      <c r="K4137" s="71">
        <f>IF(B4137="","",IFERROR(AVERAGEIFS($J$4:$J4137,$B$4:$B4137,B4137,$J$4:$J4137,"&gt;"&amp;0),""))</f>
        <v/>
      </c>
      <c r="L4137" s="11" t="n"/>
    </row>
    <row r="4138" ht="14" customHeight="1" s="72">
      <c r="A4138" s="83" t="n"/>
      <c r="B4138" s="81" t="n"/>
      <c r="C4138" s="69">
        <f>IF(B4138="","",IFERROR(INDEX(Client_List!$B:$B,MATCH(B4138,Client_List!$A:$A,0)),"⚠ NOT FOUND"))</f>
        <v/>
      </c>
      <c r="D4138" s="45" t="n"/>
      <c r="E4138" s="32">
        <f>IF(B4138="","",IFERROR(INDEX(Client_List!$C:$C,MATCH(VALUE(B4138),Client_List!$A:$A,0)),""))</f>
        <v/>
      </c>
      <c r="F4138" s="53">
        <f>IF(B4138="","",IFERROR(INDEX(Client_List!$D:$D,MATCH(VALUE(B4138),Client_List!$A:$A,0)),""))</f>
        <v/>
      </c>
      <c r="G4138" s="53">
        <f>IF(B4138="","",IFERROR(INDEX(Client_List!$K:$K,MATCH(VALUE(B4138),Client_List!$A:$A,0)),""))</f>
        <v/>
      </c>
      <c r="H4138" s="32">
        <f>IF(B4138="","",IFERROR(INDEX(Client_List!$J:$J,MATCH(VALUE(B4138),Client_List!$A:$A,0)),""))</f>
        <v/>
      </c>
      <c r="I4138" s="70">
        <f>IF(B4138="","",IFERROR(A4138-LOOKUP(2,1/($B$4:$B4137=B4138),$A$4:$A4137),""))</f>
        <v/>
      </c>
      <c r="J4138" s="32">
        <f>IF(B4138="","",IFERROR(D4138/I4138,""))</f>
        <v/>
      </c>
      <c r="K4138" s="71">
        <f>IF(B4138="","",IFERROR(AVERAGEIFS($J$4:$J4138,$B$4:$B4138,B4138,$J$4:$J4138,"&gt;"&amp;0),""))</f>
        <v/>
      </c>
      <c r="L4138" s="12" t="n"/>
    </row>
    <row r="4139" ht="14" customHeight="1" s="72">
      <c r="A4139" s="82" t="n"/>
      <c r="B4139" s="79" t="n"/>
      <c r="C4139" s="69">
        <f>IF(B4139="","",IFERROR(INDEX(Client_List!$B:$B,MATCH(B4139,Client_List!$A:$A,0)),"⚠ NOT FOUND"))</f>
        <v/>
      </c>
      <c r="D4139" s="44" t="n"/>
      <c r="E4139" s="32">
        <f>IF(B4139="","",IFERROR(INDEX(Client_List!$C:$C,MATCH(VALUE(B4139),Client_List!$A:$A,0)),""))</f>
        <v/>
      </c>
      <c r="F4139" s="53">
        <f>IF(B4139="","",IFERROR(INDEX(Client_List!$D:$D,MATCH(VALUE(B4139),Client_List!$A:$A,0)),""))</f>
        <v/>
      </c>
      <c r="G4139" s="53">
        <f>IF(B4139="","",IFERROR(INDEX(Client_List!$K:$K,MATCH(VALUE(B4139),Client_List!$A:$A,0)),""))</f>
        <v/>
      </c>
      <c r="H4139" s="32">
        <f>IF(B4139="","",IFERROR(INDEX(Client_List!$J:$J,MATCH(VALUE(B4139),Client_List!$A:$A,0)),""))</f>
        <v/>
      </c>
      <c r="I4139" s="70">
        <f>IF(B4139="","",IFERROR(A4139-LOOKUP(2,1/($B$4:$B4138=B4139),$A$4:$A4138),""))</f>
        <v/>
      </c>
      <c r="J4139" s="32">
        <f>IF(B4139="","",IFERROR(D4139/I4139,""))</f>
        <v/>
      </c>
      <c r="K4139" s="71">
        <f>IF(B4139="","",IFERROR(AVERAGEIFS($J$4:$J4139,$B$4:$B4139,B4139,$J$4:$J4139,"&gt;"&amp;0),""))</f>
        <v/>
      </c>
      <c r="L4139" s="11" t="n"/>
    </row>
    <row r="4140" ht="14" customHeight="1" s="72">
      <c r="A4140" s="83" t="n"/>
      <c r="B4140" s="81" t="n"/>
      <c r="C4140" s="69">
        <f>IF(B4140="","",IFERROR(INDEX(Client_List!$B:$B,MATCH(B4140,Client_List!$A:$A,0)),"⚠ NOT FOUND"))</f>
        <v/>
      </c>
      <c r="D4140" s="45" t="n"/>
      <c r="E4140" s="32">
        <f>IF(B4140="","",IFERROR(INDEX(Client_List!$C:$C,MATCH(VALUE(B4140),Client_List!$A:$A,0)),""))</f>
        <v/>
      </c>
      <c r="F4140" s="53">
        <f>IF(B4140="","",IFERROR(INDEX(Client_List!$D:$D,MATCH(VALUE(B4140),Client_List!$A:$A,0)),""))</f>
        <v/>
      </c>
      <c r="G4140" s="53">
        <f>IF(B4140="","",IFERROR(INDEX(Client_List!$K:$K,MATCH(VALUE(B4140),Client_List!$A:$A,0)),""))</f>
        <v/>
      </c>
      <c r="H4140" s="32">
        <f>IF(B4140="","",IFERROR(INDEX(Client_List!$J:$J,MATCH(VALUE(B4140),Client_List!$A:$A,0)),""))</f>
        <v/>
      </c>
      <c r="I4140" s="70">
        <f>IF(B4140="","",IFERROR(A4140-LOOKUP(2,1/($B$4:$B4139=B4140),$A$4:$A4139),""))</f>
        <v/>
      </c>
      <c r="J4140" s="32">
        <f>IF(B4140="","",IFERROR(D4140/I4140,""))</f>
        <v/>
      </c>
      <c r="K4140" s="71">
        <f>IF(B4140="","",IFERROR(AVERAGEIFS($J$4:$J4140,$B$4:$B4140,B4140,$J$4:$J4140,"&gt;"&amp;0),""))</f>
        <v/>
      </c>
      <c r="L4140" s="12" t="n"/>
    </row>
    <row r="4141" ht="14" customHeight="1" s="72">
      <c r="A4141" s="82" t="n"/>
      <c r="B4141" s="79" t="n"/>
      <c r="C4141" s="69">
        <f>IF(B4141="","",IFERROR(INDEX(Client_List!$B:$B,MATCH(B4141,Client_List!$A:$A,0)),"⚠ NOT FOUND"))</f>
        <v/>
      </c>
      <c r="D4141" s="44" t="n"/>
      <c r="E4141" s="32">
        <f>IF(B4141="","",IFERROR(INDEX(Client_List!$C:$C,MATCH(VALUE(B4141),Client_List!$A:$A,0)),""))</f>
        <v/>
      </c>
      <c r="F4141" s="53">
        <f>IF(B4141="","",IFERROR(INDEX(Client_List!$D:$D,MATCH(VALUE(B4141),Client_List!$A:$A,0)),""))</f>
        <v/>
      </c>
      <c r="G4141" s="53">
        <f>IF(B4141="","",IFERROR(INDEX(Client_List!$K:$K,MATCH(VALUE(B4141),Client_List!$A:$A,0)),""))</f>
        <v/>
      </c>
      <c r="H4141" s="32">
        <f>IF(B4141="","",IFERROR(INDEX(Client_List!$J:$J,MATCH(VALUE(B4141),Client_List!$A:$A,0)),""))</f>
        <v/>
      </c>
      <c r="I4141" s="70">
        <f>IF(B4141="","",IFERROR(A4141-LOOKUP(2,1/($B$4:$B4140=B4141),$A$4:$A4140),""))</f>
        <v/>
      </c>
      <c r="J4141" s="32">
        <f>IF(B4141="","",IFERROR(D4141/I4141,""))</f>
        <v/>
      </c>
      <c r="K4141" s="71">
        <f>IF(B4141="","",IFERROR(AVERAGEIFS($J$4:$J4141,$B$4:$B4141,B4141,$J$4:$J4141,"&gt;"&amp;0),""))</f>
        <v/>
      </c>
      <c r="L4141" s="11" t="n"/>
    </row>
    <row r="4142" ht="14" customHeight="1" s="72">
      <c r="A4142" s="83" t="n"/>
      <c r="B4142" s="81" t="n"/>
      <c r="C4142" s="69">
        <f>IF(B4142="","",IFERROR(INDEX(Client_List!$B:$B,MATCH(B4142,Client_List!$A:$A,0)),"⚠ NOT FOUND"))</f>
        <v/>
      </c>
      <c r="D4142" s="45" t="n"/>
      <c r="E4142" s="32">
        <f>IF(B4142="","",IFERROR(INDEX(Client_List!$C:$C,MATCH(VALUE(B4142),Client_List!$A:$A,0)),""))</f>
        <v/>
      </c>
      <c r="F4142" s="53">
        <f>IF(B4142="","",IFERROR(INDEX(Client_List!$D:$D,MATCH(VALUE(B4142),Client_List!$A:$A,0)),""))</f>
        <v/>
      </c>
      <c r="G4142" s="53">
        <f>IF(B4142="","",IFERROR(INDEX(Client_List!$K:$K,MATCH(VALUE(B4142),Client_List!$A:$A,0)),""))</f>
        <v/>
      </c>
      <c r="H4142" s="32">
        <f>IF(B4142="","",IFERROR(INDEX(Client_List!$J:$J,MATCH(VALUE(B4142),Client_List!$A:$A,0)),""))</f>
        <v/>
      </c>
      <c r="I4142" s="70">
        <f>IF(B4142="","",IFERROR(A4142-LOOKUP(2,1/($B$4:$B4141=B4142),$A$4:$A4141),""))</f>
        <v/>
      </c>
      <c r="J4142" s="32">
        <f>IF(B4142="","",IFERROR(D4142/I4142,""))</f>
        <v/>
      </c>
      <c r="K4142" s="71">
        <f>IF(B4142="","",IFERROR(AVERAGEIFS($J$4:$J4142,$B$4:$B4142,B4142,$J$4:$J4142,"&gt;"&amp;0),""))</f>
        <v/>
      </c>
      <c r="L4142" s="12" t="n"/>
    </row>
    <row r="4143" ht="14" customHeight="1" s="72">
      <c r="A4143" s="82" t="n"/>
      <c r="B4143" s="79" t="n"/>
      <c r="C4143" s="69">
        <f>IF(B4143="","",IFERROR(INDEX(Client_List!$B:$B,MATCH(B4143,Client_List!$A:$A,0)),"⚠ NOT FOUND"))</f>
        <v/>
      </c>
      <c r="D4143" s="44" t="n"/>
      <c r="E4143" s="32">
        <f>IF(B4143="","",IFERROR(INDEX(Client_List!$C:$C,MATCH(VALUE(B4143),Client_List!$A:$A,0)),""))</f>
        <v/>
      </c>
      <c r="F4143" s="53">
        <f>IF(B4143="","",IFERROR(INDEX(Client_List!$D:$D,MATCH(VALUE(B4143),Client_List!$A:$A,0)),""))</f>
        <v/>
      </c>
      <c r="G4143" s="53">
        <f>IF(B4143="","",IFERROR(INDEX(Client_List!$K:$K,MATCH(VALUE(B4143),Client_List!$A:$A,0)),""))</f>
        <v/>
      </c>
      <c r="H4143" s="32">
        <f>IF(B4143="","",IFERROR(INDEX(Client_List!$J:$J,MATCH(VALUE(B4143),Client_List!$A:$A,0)),""))</f>
        <v/>
      </c>
      <c r="I4143" s="70">
        <f>IF(B4143="","",IFERROR(A4143-LOOKUP(2,1/($B$4:$B4142=B4143),$A$4:$A4142),""))</f>
        <v/>
      </c>
      <c r="J4143" s="32">
        <f>IF(B4143="","",IFERROR(D4143/I4143,""))</f>
        <v/>
      </c>
      <c r="K4143" s="71">
        <f>IF(B4143="","",IFERROR(AVERAGEIFS($J$4:$J4143,$B$4:$B4143,B4143,$J$4:$J4143,"&gt;"&amp;0),""))</f>
        <v/>
      </c>
      <c r="L4143" s="11" t="n"/>
    </row>
    <row r="4144" ht="14" customHeight="1" s="72">
      <c r="A4144" s="83" t="n"/>
      <c r="B4144" s="81" t="n"/>
      <c r="C4144" s="69">
        <f>IF(B4144="","",IFERROR(INDEX(Client_List!$B:$B,MATCH(B4144,Client_List!$A:$A,0)),"⚠ NOT FOUND"))</f>
        <v/>
      </c>
      <c r="D4144" s="45" t="n"/>
      <c r="E4144" s="32">
        <f>IF(B4144="","",IFERROR(INDEX(Client_List!$C:$C,MATCH(VALUE(B4144),Client_List!$A:$A,0)),""))</f>
        <v/>
      </c>
      <c r="F4144" s="53">
        <f>IF(B4144="","",IFERROR(INDEX(Client_List!$D:$D,MATCH(VALUE(B4144),Client_List!$A:$A,0)),""))</f>
        <v/>
      </c>
      <c r="G4144" s="53">
        <f>IF(B4144="","",IFERROR(INDEX(Client_List!$K:$K,MATCH(VALUE(B4144),Client_List!$A:$A,0)),""))</f>
        <v/>
      </c>
      <c r="H4144" s="32">
        <f>IF(B4144="","",IFERROR(INDEX(Client_List!$J:$J,MATCH(VALUE(B4144),Client_List!$A:$A,0)),""))</f>
        <v/>
      </c>
      <c r="I4144" s="70">
        <f>IF(B4144="","",IFERROR(A4144-LOOKUP(2,1/($B$4:$B4143=B4144),$A$4:$A4143),""))</f>
        <v/>
      </c>
      <c r="J4144" s="32">
        <f>IF(B4144="","",IFERROR(D4144/I4144,""))</f>
        <v/>
      </c>
      <c r="K4144" s="71">
        <f>IF(B4144="","",IFERROR(AVERAGEIFS($J$4:$J4144,$B$4:$B4144,B4144,$J$4:$J4144,"&gt;"&amp;0),""))</f>
        <v/>
      </c>
      <c r="L4144" s="12" t="n"/>
    </row>
    <row r="4145" ht="14" customHeight="1" s="72">
      <c r="A4145" s="82" t="n"/>
      <c r="B4145" s="79" t="n"/>
      <c r="C4145" s="69">
        <f>IF(B4145="","",IFERROR(INDEX(Client_List!$B:$B,MATCH(B4145,Client_List!$A:$A,0)),"⚠ NOT FOUND"))</f>
        <v/>
      </c>
      <c r="D4145" s="44" t="n"/>
      <c r="E4145" s="32">
        <f>IF(B4145="","",IFERROR(INDEX(Client_List!$C:$C,MATCH(VALUE(B4145),Client_List!$A:$A,0)),""))</f>
        <v/>
      </c>
      <c r="F4145" s="53">
        <f>IF(B4145="","",IFERROR(INDEX(Client_List!$D:$D,MATCH(VALUE(B4145),Client_List!$A:$A,0)),""))</f>
        <v/>
      </c>
      <c r="G4145" s="53">
        <f>IF(B4145="","",IFERROR(INDEX(Client_List!$K:$K,MATCH(VALUE(B4145),Client_List!$A:$A,0)),""))</f>
        <v/>
      </c>
      <c r="H4145" s="32">
        <f>IF(B4145="","",IFERROR(INDEX(Client_List!$J:$J,MATCH(VALUE(B4145),Client_List!$A:$A,0)),""))</f>
        <v/>
      </c>
      <c r="I4145" s="70">
        <f>IF(B4145="","",IFERROR(A4145-LOOKUP(2,1/($B$4:$B4144=B4145),$A$4:$A4144),""))</f>
        <v/>
      </c>
      <c r="J4145" s="32">
        <f>IF(B4145="","",IFERROR(D4145/I4145,""))</f>
        <v/>
      </c>
      <c r="K4145" s="71">
        <f>IF(B4145="","",IFERROR(AVERAGEIFS($J$4:$J4145,$B$4:$B4145,B4145,$J$4:$J4145,"&gt;"&amp;0),""))</f>
        <v/>
      </c>
      <c r="L4145" s="11" t="n"/>
    </row>
    <row r="4146" ht="14" customHeight="1" s="72">
      <c r="A4146" s="83" t="n"/>
      <c r="B4146" s="81" t="n"/>
      <c r="C4146" s="69">
        <f>IF(B4146="","",IFERROR(INDEX(Client_List!$B:$B,MATCH(B4146,Client_List!$A:$A,0)),"⚠ NOT FOUND"))</f>
        <v/>
      </c>
      <c r="D4146" s="45" t="n"/>
      <c r="E4146" s="32">
        <f>IF(B4146="","",IFERROR(INDEX(Client_List!$C:$C,MATCH(VALUE(B4146),Client_List!$A:$A,0)),""))</f>
        <v/>
      </c>
      <c r="F4146" s="53">
        <f>IF(B4146="","",IFERROR(INDEX(Client_List!$D:$D,MATCH(VALUE(B4146),Client_List!$A:$A,0)),""))</f>
        <v/>
      </c>
      <c r="G4146" s="53">
        <f>IF(B4146="","",IFERROR(INDEX(Client_List!$K:$K,MATCH(VALUE(B4146),Client_List!$A:$A,0)),""))</f>
        <v/>
      </c>
      <c r="H4146" s="32">
        <f>IF(B4146="","",IFERROR(INDEX(Client_List!$J:$J,MATCH(VALUE(B4146),Client_List!$A:$A,0)),""))</f>
        <v/>
      </c>
      <c r="I4146" s="70">
        <f>IF(B4146="","",IFERROR(A4146-LOOKUP(2,1/($B$4:$B4145=B4146),$A$4:$A4145),""))</f>
        <v/>
      </c>
      <c r="J4146" s="32">
        <f>IF(B4146="","",IFERROR(D4146/I4146,""))</f>
        <v/>
      </c>
      <c r="K4146" s="71">
        <f>IF(B4146="","",IFERROR(AVERAGEIFS($J$4:$J4146,$B$4:$B4146,B4146,$J$4:$J4146,"&gt;"&amp;0),""))</f>
        <v/>
      </c>
      <c r="L4146" s="12" t="n"/>
    </row>
    <row r="4147" ht="14" customHeight="1" s="72">
      <c r="A4147" s="82" t="n"/>
      <c r="B4147" s="79" t="n"/>
      <c r="C4147" s="69">
        <f>IF(B4147="","",IFERROR(INDEX(Client_List!$B:$B,MATCH(B4147,Client_List!$A:$A,0)),"⚠ NOT FOUND"))</f>
        <v/>
      </c>
      <c r="D4147" s="44" t="n"/>
      <c r="E4147" s="32">
        <f>IF(B4147="","",IFERROR(INDEX(Client_List!$C:$C,MATCH(VALUE(B4147),Client_List!$A:$A,0)),""))</f>
        <v/>
      </c>
      <c r="F4147" s="53">
        <f>IF(B4147="","",IFERROR(INDEX(Client_List!$D:$D,MATCH(VALUE(B4147),Client_List!$A:$A,0)),""))</f>
        <v/>
      </c>
      <c r="G4147" s="53">
        <f>IF(B4147="","",IFERROR(INDEX(Client_List!$K:$K,MATCH(VALUE(B4147),Client_List!$A:$A,0)),""))</f>
        <v/>
      </c>
      <c r="H4147" s="32">
        <f>IF(B4147="","",IFERROR(INDEX(Client_List!$J:$J,MATCH(VALUE(B4147),Client_List!$A:$A,0)),""))</f>
        <v/>
      </c>
      <c r="I4147" s="70">
        <f>IF(B4147="","",IFERROR(A4147-LOOKUP(2,1/($B$4:$B4146=B4147),$A$4:$A4146),""))</f>
        <v/>
      </c>
      <c r="J4147" s="32">
        <f>IF(B4147="","",IFERROR(D4147/I4147,""))</f>
        <v/>
      </c>
      <c r="K4147" s="71">
        <f>IF(B4147="","",IFERROR(AVERAGEIFS($J$4:$J4147,$B$4:$B4147,B4147,$J$4:$J4147,"&gt;"&amp;0),""))</f>
        <v/>
      </c>
      <c r="L4147" s="11" t="n"/>
    </row>
    <row r="4148" ht="14" customHeight="1" s="72">
      <c r="A4148" s="83" t="n"/>
      <c r="B4148" s="81" t="n"/>
      <c r="C4148" s="69">
        <f>IF(B4148="","",IFERROR(INDEX(Client_List!$B:$B,MATCH(B4148,Client_List!$A:$A,0)),"⚠ NOT FOUND"))</f>
        <v/>
      </c>
      <c r="D4148" s="45" t="n"/>
      <c r="E4148" s="32">
        <f>IF(B4148="","",IFERROR(INDEX(Client_List!$C:$C,MATCH(VALUE(B4148),Client_List!$A:$A,0)),""))</f>
        <v/>
      </c>
      <c r="F4148" s="53">
        <f>IF(B4148="","",IFERROR(INDEX(Client_List!$D:$D,MATCH(VALUE(B4148),Client_List!$A:$A,0)),""))</f>
        <v/>
      </c>
      <c r="G4148" s="53">
        <f>IF(B4148="","",IFERROR(INDEX(Client_List!$K:$K,MATCH(VALUE(B4148),Client_List!$A:$A,0)),""))</f>
        <v/>
      </c>
      <c r="H4148" s="32">
        <f>IF(B4148="","",IFERROR(INDEX(Client_List!$J:$J,MATCH(VALUE(B4148),Client_List!$A:$A,0)),""))</f>
        <v/>
      </c>
      <c r="I4148" s="70">
        <f>IF(B4148="","",IFERROR(A4148-LOOKUP(2,1/($B$4:$B4147=B4148),$A$4:$A4147),""))</f>
        <v/>
      </c>
      <c r="J4148" s="32">
        <f>IF(B4148="","",IFERROR(D4148/I4148,""))</f>
        <v/>
      </c>
      <c r="K4148" s="71">
        <f>IF(B4148="","",IFERROR(AVERAGEIFS($J$4:$J4148,$B$4:$B4148,B4148,$J$4:$J4148,"&gt;"&amp;0),""))</f>
        <v/>
      </c>
      <c r="L4148" s="12" t="n"/>
    </row>
    <row r="4149" ht="14" customHeight="1" s="72">
      <c r="A4149" s="82" t="n"/>
      <c r="B4149" s="79" t="n"/>
      <c r="C4149" s="69">
        <f>IF(B4149="","",IFERROR(INDEX(Client_List!$B:$B,MATCH(B4149,Client_List!$A:$A,0)),"⚠ NOT FOUND"))</f>
        <v/>
      </c>
      <c r="D4149" s="44" t="n"/>
      <c r="E4149" s="32">
        <f>IF(B4149="","",IFERROR(INDEX(Client_List!$C:$C,MATCH(VALUE(B4149),Client_List!$A:$A,0)),""))</f>
        <v/>
      </c>
      <c r="F4149" s="53">
        <f>IF(B4149="","",IFERROR(INDEX(Client_List!$D:$D,MATCH(VALUE(B4149),Client_List!$A:$A,0)),""))</f>
        <v/>
      </c>
      <c r="G4149" s="53">
        <f>IF(B4149="","",IFERROR(INDEX(Client_List!$K:$K,MATCH(VALUE(B4149),Client_List!$A:$A,0)),""))</f>
        <v/>
      </c>
      <c r="H4149" s="32">
        <f>IF(B4149="","",IFERROR(INDEX(Client_List!$J:$J,MATCH(VALUE(B4149),Client_List!$A:$A,0)),""))</f>
        <v/>
      </c>
      <c r="I4149" s="70">
        <f>IF(B4149="","",IFERROR(A4149-LOOKUP(2,1/($B$4:$B4148=B4149),$A$4:$A4148),""))</f>
        <v/>
      </c>
      <c r="J4149" s="32">
        <f>IF(B4149="","",IFERROR(D4149/I4149,""))</f>
        <v/>
      </c>
      <c r="K4149" s="71">
        <f>IF(B4149="","",IFERROR(AVERAGEIFS($J$4:$J4149,$B$4:$B4149,B4149,$J$4:$J4149,"&gt;"&amp;0),""))</f>
        <v/>
      </c>
      <c r="L4149" s="11" t="n"/>
    </row>
    <row r="4150" ht="14" customHeight="1" s="72">
      <c r="A4150" s="83" t="n"/>
      <c r="B4150" s="81" t="n"/>
      <c r="C4150" s="69">
        <f>IF(B4150="","",IFERROR(INDEX(Client_List!$B:$B,MATCH(B4150,Client_List!$A:$A,0)),"⚠ NOT FOUND"))</f>
        <v/>
      </c>
      <c r="D4150" s="45" t="n"/>
      <c r="E4150" s="32">
        <f>IF(B4150="","",IFERROR(INDEX(Client_List!$C:$C,MATCH(VALUE(B4150),Client_List!$A:$A,0)),""))</f>
        <v/>
      </c>
      <c r="F4150" s="53">
        <f>IF(B4150="","",IFERROR(INDEX(Client_List!$D:$D,MATCH(VALUE(B4150),Client_List!$A:$A,0)),""))</f>
        <v/>
      </c>
      <c r="G4150" s="53">
        <f>IF(B4150="","",IFERROR(INDEX(Client_List!$K:$K,MATCH(VALUE(B4150),Client_List!$A:$A,0)),""))</f>
        <v/>
      </c>
      <c r="H4150" s="32">
        <f>IF(B4150="","",IFERROR(INDEX(Client_List!$J:$J,MATCH(VALUE(B4150),Client_List!$A:$A,0)),""))</f>
        <v/>
      </c>
      <c r="I4150" s="70">
        <f>IF(B4150="","",IFERROR(A4150-LOOKUP(2,1/($B$4:$B4149=B4150),$A$4:$A4149),""))</f>
        <v/>
      </c>
      <c r="J4150" s="32">
        <f>IF(B4150="","",IFERROR(D4150/I4150,""))</f>
        <v/>
      </c>
      <c r="K4150" s="71">
        <f>IF(B4150="","",IFERROR(AVERAGEIFS($J$4:$J4150,$B$4:$B4150,B4150,$J$4:$J4150,"&gt;"&amp;0),""))</f>
        <v/>
      </c>
      <c r="L4150" s="12" t="n"/>
    </row>
    <row r="4151" ht="14" customHeight="1" s="72">
      <c r="A4151" s="82" t="n"/>
      <c r="B4151" s="79" t="n"/>
      <c r="C4151" s="69">
        <f>IF(B4151="","",IFERROR(INDEX(Client_List!$B:$B,MATCH(B4151,Client_List!$A:$A,0)),"⚠ NOT FOUND"))</f>
        <v/>
      </c>
      <c r="D4151" s="44" t="n"/>
      <c r="E4151" s="32">
        <f>IF(B4151="","",IFERROR(INDEX(Client_List!$C:$C,MATCH(VALUE(B4151),Client_List!$A:$A,0)),""))</f>
        <v/>
      </c>
      <c r="F4151" s="53">
        <f>IF(B4151="","",IFERROR(INDEX(Client_List!$D:$D,MATCH(VALUE(B4151),Client_List!$A:$A,0)),""))</f>
        <v/>
      </c>
      <c r="G4151" s="53">
        <f>IF(B4151="","",IFERROR(INDEX(Client_List!$K:$K,MATCH(VALUE(B4151),Client_List!$A:$A,0)),""))</f>
        <v/>
      </c>
      <c r="H4151" s="32">
        <f>IF(B4151="","",IFERROR(INDEX(Client_List!$J:$J,MATCH(VALUE(B4151),Client_List!$A:$A,0)),""))</f>
        <v/>
      </c>
      <c r="I4151" s="70">
        <f>IF(B4151="","",IFERROR(A4151-LOOKUP(2,1/($B$4:$B4150=B4151),$A$4:$A4150),""))</f>
        <v/>
      </c>
      <c r="J4151" s="32">
        <f>IF(B4151="","",IFERROR(D4151/I4151,""))</f>
        <v/>
      </c>
      <c r="K4151" s="71">
        <f>IF(B4151="","",IFERROR(AVERAGEIFS($J$4:$J4151,$B$4:$B4151,B4151,$J$4:$J4151,"&gt;"&amp;0),""))</f>
        <v/>
      </c>
      <c r="L4151" s="11" t="n"/>
    </row>
    <row r="4152" ht="14" customHeight="1" s="72">
      <c r="A4152" s="83" t="n"/>
      <c r="B4152" s="81" t="n"/>
      <c r="C4152" s="69">
        <f>IF(B4152="","",IFERROR(INDEX(Client_List!$B:$B,MATCH(B4152,Client_List!$A:$A,0)),"⚠ NOT FOUND"))</f>
        <v/>
      </c>
      <c r="D4152" s="45" t="n"/>
      <c r="E4152" s="32">
        <f>IF(B4152="","",IFERROR(INDEX(Client_List!$C:$C,MATCH(VALUE(B4152),Client_List!$A:$A,0)),""))</f>
        <v/>
      </c>
      <c r="F4152" s="53">
        <f>IF(B4152="","",IFERROR(INDEX(Client_List!$D:$D,MATCH(VALUE(B4152),Client_List!$A:$A,0)),""))</f>
        <v/>
      </c>
      <c r="G4152" s="53">
        <f>IF(B4152="","",IFERROR(INDEX(Client_List!$K:$K,MATCH(VALUE(B4152),Client_List!$A:$A,0)),""))</f>
        <v/>
      </c>
      <c r="H4152" s="32">
        <f>IF(B4152="","",IFERROR(INDEX(Client_List!$J:$J,MATCH(VALUE(B4152),Client_List!$A:$A,0)),""))</f>
        <v/>
      </c>
      <c r="I4152" s="70">
        <f>IF(B4152="","",IFERROR(A4152-LOOKUP(2,1/($B$4:$B4151=B4152),$A$4:$A4151),""))</f>
        <v/>
      </c>
      <c r="J4152" s="32">
        <f>IF(B4152="","",IFERROR(D4152/I4152,""))</f>
        <v/>
      </c>
      <c r="K4152" s="71">
        <f>IF(B4152="","",IFERROR(AVERAGEIFS($J$4:$J4152,$B$4:$B4152,B4152,$J$4:$J4152,"&gt;"&amp;0),""))</f>
        <v/>
      </c>
      <c r="L4152" s="12" t="n"/>
    </row>
    <row r="4153" ht="14" customHeight="1" s="72">
      <c r="A4153" s="82" t="n"/>
      <c r="B4153" s="79" t="n"/>
      <c r="C4153" s="69">
        <f>IF(B4153="","",IFERROR(INDEX(Client_List!$B:$B,MATCH(B4153,Client_List!$A:$A,0)),"⚠ NOT FOUND"))</f>
        <v/>
      </c>
      <c r="D4153" s="44" t="n"/>
      <c r="E4153" s="32">
        <f>IF(B4153="","",IFERROR(INDEX(Client_List!$C:$C,MATCH(VALUE(B4153),Client_List!$A:$A,0)),""))</f>
        <v/>
      </c>
      <c r="F4153" s="53">
        <f>IF(B4153="","",IFERROR(INDEX(Client_List!$D:$D,MATCH(VALUE(B4153),Client_List!$A:$A,0)),""))</f>
        <v/>
      </c>
      <c r="G4153" s="53">
        <f>IF(B4153="","",IFERROR(INDEX(Client_List!$K:$K,MATCH(VALUE(B4153),Client_List!$A:$A,0)),""))</f>
        <v/>
      </c>
      <c r="H4153" s="32">
        <f>IF(B4153="","",IFERROR(INDEX(Client_List!$J:$J,MATCH(VALUE(B4153),Client_List!$A:$A,0)),""))</f>
        <v/>
      </c>
      <c r="I4153" s="70">
        <f>IF(B4153="","",IFERROR(A4153-LOOKUP(2,1/($B$4:$B4152=B4153),$A$4:$A4152),""))</f>
        <v/>
      </c>
      <c r="J4153" s="32">
        <f>IF(B4153="","",IFERROR(D4153/I4153,""))</f>
        <v/>
      </c>
      <c r="K4153" s="71">
        <f>IF(B4153="","",IFERROR(AVERAGEIFS($J$4:$J4153,$B$4:$B4153,B4153,$J$4:$J4153,"&gt;"&amp;0),""))</f>
        <v/>
      </c>
      <c r="L4153" s="11" t="n"/>
    </row>
    <row r="4154" ht="14" customHeight="1" s="72">
      <c r="A4154" s="83" t="n"/>
      <c r="B4154" s="81" t="n"/>
      <c r="C4154" s="69">
        <f>IF(B4154="","",IFERROR(INDEX(Client_List!$B:$B,MATCH(B4154,Client_List!$A:$A,0)),"⚠ NOT FOUND"))</f>
        <v/>
      </c>
      <c r="D4154" s="45" t="n"/>
      <c r="E4154" s="32">
        <f>IF(B4154="","",IFERROR(INDEX(Client_List!$C:$C,MATCH(VALUE(B4154),Client_List!$A:$A,0)),""))</f>
        <v/>
      </c>
      <c r="F4154" s="53">
        <f>IF(B4154="","",IFERROR(INDEX(Client_List!$D:$D,MATCH(VALUE(B4154),Client_List!$A:$A,0)),""))</f>
        <v/>
      </c>
      <c r="G4154" s="53">
        <f>IF(B4154="","",IFERROR(INDEX(Client_List!$K:$K,MATCH(VALUE(B4154),Client_List!$A:$A,0)),""))</f>
        <v/>
      </c>
      <c r="H4154" s="32">
        <f>IF(B4154="","",IFERROR(INDEX(Client_List!$J:$J,MATCH(VALUE(B4154),Client_List!$A:$A,0)),""))</f>
        <v/>
      </c>
      <c r="I4154" s="70">
        <f>IF(B4154="","",IFERROR(A4154-LOOKUP(2,1/($B$4:$B4153=B4154),$A$4:$A4153),""))</f>
        <v/>
      </c>
      <c r="J4154" s="32">
        <f>IF(B4154="","",IFERROR(D4154/I4154,""))</f>
        <v/>
      </c>
      <c r="K4154" s="71">
        <f>IF(B4154="","",IFERROR(AVERAGEIFS($J$4:$J4154,$B$4:$B4154,B4154,$J$4:$J4154,"&gt;"&amp;0),""))</f>
        <v/>
      </c>
      <c r="L4154" s="12" t="n"/>
    </row>
    <row r="4155" ht="14" customHeight="1" s="72">
      <c r="A4155" s="82" t="n"/>
      <c r="B4155" s="79" t="n"/>
      <c r="C4155" s="69">
        <f>IF(B4155="","",IFERROR(INDEX(Client_List!$B:$B,MATCH(B4155,Client_List!$A:$A,0)),"⚠ NOT FOUND"))</f>
        <v/>
      </c>
      <c r="D4155" s="44" t="n"/>
      <c r="E4155" s="32">
        <f>IF(B4155="","",IFERROR(INDEX(Client_List!$C:$C,MATCH(VALUE(B4155),Client_List!$A:$A,0)),""))</f>
        <v/>
      </c>
      <c r="F4155" s="53">
        <f>IF(B4155="","",IFERROR(INDEX(Client_List!$D:$D,MATCH(VALUE(B4155),Client_List!$A:$A,0)),""))</f>
        <v/>
      </c>
      <c r="G4155" s="53">
        <f>IF(B4155="","",IFERROR(INDEX(Client_List!$K:$K,MATCH(VALUE(B4155),Client_List!$A:$A,0)),""))</f>
        <v/>
      </c>
      <c r="H4155" s="32">
        <f>IF(B4155="","",IFERROR(INDEX(Client_List!$J:$J,MATCH(VALUE(B4155),Client_List!$A:$A,0)),""))</f>
        <v/>
      </c>
      <c r="I4155" s="70">
        <f>IF(B4155="","",IFERROR(A4155-LOOKUP(2,1/($B$4:$B4154=B4155),$A$4:$A4154),""))</f>
        <v/>
      </c>
      <c r="J4155" s="32">
        <f>IF(B4155="","",IFERROR(D4155/I4155,""))</f>
        <v/>
      </c>
      <c r="K4155" s="71">
        <f>IF(B4155="","",IFERROR(AVERAGEIFS($J$4:$J4155,$B$4:$B4155,B4155,$J$4:$J4155,"&gt;"&amp;0),""))</f>
        <v/>
      </c>
      <c r="L4155" s="11" t="n"/>
    </row>
    <row r="4156" ht="14" customHeight="1" s="72">
      <c r="A4156" s="83" t="n"/>
      <c r="B4156" s="81" t="n"/>
      <c r="C4156" s="69">
        <f>IF(B4156="","",IFERROR(INDEX(Client_List!$B:$B,MATCH(B4156,Client_List!$A:$A,0)),"⚠ NOT FOUND"))</f>
        <v/>
      </c>
      <c r="D4156" s="45" t="n"/>
      <c r="E4156" s="32">
        <f>IF(B4156="","",IFERROR(INDEX(Client_List!$C:$C,MATCH(VALUE(B4156),Client_List!$A:$A,0)),""))</f>
        <v/>
      </c>
      <c r="F4156" s="53">
        <f>IF(B4156="","",IFERROR(INDEX(Client_List!$D:$D,MATCH(VALUE(B4156),Client_List!$A:$A,0)),""))</f>
        <v/>
      </c>
      <c r="G4156" s="53">
        <f>IF(B4156="","",IFERROR(INDEX(Client_List!$K:$K,MATCH(VALUE(B4156),Client_List!$A:$A,0)),""))</f>
        <v/>
      </c>
      <c r="H4156" s="32">
        <f>IF(B4156="","",IFERROR(INDEX(Client_List!$J:$J,MATCH(VALUE(B4156),Client_List!$A:$A,0)),""))</f>
        <v/>
      </c>
      <c r="I4156" s="70">
        <f>IF(B4156="","",IFERROR(A4156-LOOKUP(2,1/($B$4:$B4155=B4156),$A$4:$A4155),""))</f>
        <v/>
      </c>
      <c r="J4156" s="32">
        <f>IF(B4156="","",IFERROR(D4156/I4156,""))</f>
        <v/>
      </c>
      <c r="K4156" s="71">
        <f>IF(B4156="","",IFERROR(AVERAGEIFS($J$4:$J4156,$B$4:$B4156,B4156,$J$4:$J4156,"&gt;"&amp;0),""))</f>
        <v/>
      </c>
      <c r="L4156" s="12" t="n"/>
    </row>
    <row r="4157" ht="14" customHeight="1" s="72">
      <c r="A4157" s="82" t="n"/>
      <c r="B4157" s="79" t="n"/>
      <c r="C4157" s="69">
        <f>IF(B4157="","",IFERROR(INDEX(Client_List!$B:$B,MATCH(B4157,Client_List!$A:$A,0)),"⚠ NOT FOUND"))</f>
        <v/>
      </c>
      <c r="D4157" s="44" t="n"/>
      <c r="E4157" s="32">
        <f>IF(B4157="","",IFERROR(INDEX(Client_List!$C:$C,MATCH(VALUE(B4157),Client_List!$A:$A,0)),""))</f>
        <v/>
      </c>
      <c r="F4157" s="53">
        <f>IF(B4157="","",IFERROR(INDEX(Client_List!$D:$D,MATCH(VALUE(B4157),Client_List!$A:$A,0)),""))</f>
        <v/>
      </c>
      <c r="G4157" s="53">
        <f>IF(B4157="","",IFERROR(INDEX(Client_List!$K:$K,MATCH(VALUE(B4157),Client_List!$A:$A,0)),""))</f>
        <v/>
      </c>
      <c r="H4157" s="32">
        <f>IF(B4157="","",IFERROR(INDEX(Client_List!$J:$J,MATCH(VALUE(B4157),Client_List!$A:$A,0)),""))</f>
        <v/>
      </c>
      <c r="I4157" s="70">
        <f>IF(B4157="","",IFERROR(A4157-LOOKUP(2,1/($B$4:$B4156=B4157),$A$4:$A4156),""))</f>
        <v/>
      </c>
      <c r="J4157" s="32">
        <f>IF(B4157="","",IFERROR(D4157/I4157,""))</f>
        <v/>
      </c>
      <c r="K4157" s="71">
        <f>IF(B4157="","",IFERROR(AVERAGEIFS($J$4:$J4157,$B$4:$B4157,B4157,$J$4:$J4157,"&gt;"&amp;0),""))</f>
        <v/>
      </c>
      <c r="L4157" s="11" t="n"/>
    </row>
    <row r="4158" ht="14" customHeight="1" s="72">
      <c r="A4158" s="83" t="n"/>
      <c r="B4158" s="81" t="n"/>
      <c r="C4158" s="69">
        <f>IF(B4158="","",IFERROR(INDEX(Client_List!$B:$B,MATCH(B4158,Client_List!$A:$A,0)),"⚠ NOT FOUND"))</f>
        <v/>
      </c>
      <c r="D4158" s="45" t="n"/>
      <c r="E4158" s="32">
        <f>IF(B4158="","",IFERROR(INDEX(Client_List!$C:$C,MATCH(VALUE(B4158),Client_List!$A:$A,0)),""))</f>
        <v/>
      </c>
      <c r="F4158" s="53">
        <f>IF(B4158="","",IFERROR(INDEX(Client_List!$D:$D,MATCH(VALUE(B4158),Client_List!$A:$A,0)),""))</f>
        <v/>
      </c>
      <c r="G4158" s="53">
        <f>IF(B4158="","",IFERROR(INDEX(Client_List!$K:$K,MATCH(VALUE(B4158),Client_List!$A:$A,0)),""))</f>
        <v/>
      </c>
      <c r="H4158" s="32">
        <f>IF(B4158="","",IFERROR(INDEX(Client_List!$J:$J,MATCH(VALUE(B4158),Client_List!$A:$A,0)),""))</f>
        <v/>
      </c>
      <c r="I4158" s="70">
        <f>IF(B4158="","",IFERROR(A4158-LOOKUP(2,1/($B$4:$B4157=B4158),$A$4:$A4157),""))</f>
        <v/>
      </c>
      <c r="J4158" s="32">
        <f>IF(B4158="","",IFERROR(D4158/I4158,""))</f>
        <v/>
      </c>
      <c r="K4158" s="71">
        <f>IF(B4158="","",IFERROR(AVERAGEIFS($J$4:$J4158,$B$4:$B4158,B4158,$J$4:$J4158,"&gt;"&amp;0),""))</f>
        <v/>
      </c>
      <c r="L4158" s="12" t="n"/>
    </row>
    <row r="4159" ht="14" customHeight="1" s="72">
      <c r="A4159" s="82" t="n"/>
      <c r="B4159" s="79" t="n"/>
      <c r="C4159" s="69">
        <f>IF(B4159="","",IFERROR(INDEX(Client_List!$B:$B,MATCH(B4159,Client_List!$A:$A,0)),"⚠ NOT FOUND"))</f>
        <v/>
      </c>
      <c r="D4159" s="44" t="n"/>
      <c r="E4159" s="32">
        <f>IF(B4159="","",IFERROR(INDEX(Client_List!$C:$C,MATCH(VALUE(B4159),Client_List!$A:$A,0)),""))</f>
        <v/>
      </c>
      <c r="F4159" s="53">
        <f>IF(B4159="","",IFERROR(INDEX(Client_List!$D:$D,MATCH(VALUE(B4159),Client_List!$A:$A,0)),""))</f>
        <v/>
      </c>
      <c r="G4159" s="53">
        <f>IF(B4159="","",IFERROR(INDEX(Client_List!$K:$K,MATCH(VALUE(B4159),Client_List!$A:$A,0)),""))</f>
        <v/>
      </c>
      <c r="H4159" s="32">
        <f>IF(B4159="","",IFERROR(INDEX(Client_List!$J:$J,MATCH(VALUE(B4159),Client_List!$A:$A,0)),""))</f>
        <v/>
      </c>
      <c r="I4159" s="70">
        <f>IF(B4159="","",IFERROR(A4159-LOOKUP(2,1/($B$4:$B4158=B4159),$A$4:$A4158),""))</f>
        <v/>
      </c>
      <c r="J4159" s="32">
        <f>IF(B4159="","",IFERROR(D4159/I4159,""))</f>
        <v/>
      </c>
      <c r="K4159" s="71">
        <f>IF(B4159="","",IFERROR(AVERAGEIFS($J$4:$J4159,$B$4:$B4159,B4159,$J$4:$J4159,"&gt;"&amp;0),""))</f>
        <v/>
      </c>
      <c r="L4159" s="11" t="n"/>
    </row>
    <row r="4160" ht="14" customHeight="1" s="72">
      <c r="A4160" s="83" t="n"/>
      <c r="B4160" s="81" t="n"/>
      <c r="C4160" s="69">
        <f>IF(B4160="","",IFERROR(INDEX(Client_List!$B:$B,MATCH(B4160,Client_List!$A:$A,0)),"⚠ NOT FOUND"))</f>
        <v/>
      </c>
      <c r="D4160" s="45" t="n"/>
      <c r="E4160" s="32">
        <f>IF(B4160="","",IFERROR(INDEX(Client_List!$C:$C,MATCH(VALUE(B4160),Client_List!$A:$A,0)),""))</f>
        <v/>
      </c>
      <c r="F4160" s="53">
        <f>IF(B4160="","",IFERROR(INDEX(Client_List!$D:$D,MATCH(VALUE(B4160),Client_List!$A:$A,0)),""))</f>
        <v/>
      </c>
      <c r="G4160" s="53">
        <f>IF(B4160="","",IFERROR(INDEX(Client_List!$K:$K,MATCH(VALUE(B4160),Client_List!$A:$A,0)),""))</f>
        <v/>
      </c>
      <c r="H4160" s="32">
        <f>IF(B4160="","",IFERROR(INDEX(Client_List!$J:$J,MATCH(VALUE(B4160),Client_List!$A:$A,0)),""))</f>
        <v/>
      </c>
      <c r="I4160" s="70">
        <f>IF(B4160="","",IFERROR(A4160-LOOKUP(2,1/($B$4:$B4159=B4160),$A$4:$A4159),""))</f>
        <v/>
      </c>
      <c r="J4160" s="32">
        <f>IF(B4160="","",IFERROR(D4160/I4160,""))</f>
        <v/>
      </c>
      <c r="K4160" s="71">
        <f>IF(B4160="","",IFERROR(AVERAGEIFS($J$4:$J4160,$B$4:$B4160,B4160,$J$4:$J4160,"&gt;"&amp;0),""))</f>
        <v/>
      </c>
      <c r="L4160" s="12" t="n"/>
    </row>
    <row r="4161" ht="14" customHeight="1" s="72">
      <c r="A4161" s="82" t="n"/>
      <c r="B4161" s="79" t="n"/>
      <c r="C4161" s="69">
        <f>IF(B4161="","",IFERROR(INDEX(Client_List!$B:$B,MATCH(B4161,Client_List!$A:$A,0)),"⚠ NOT FOUND"))</f>
        <v/>
      </c>
      <c r="D4161" s="44" t="n"/>
      <c r="E4161" s="32">
        <f>IF(B4161="","",IFERROR(INDEX(Client_List!$C:$C,MATCH(VALUE(B4161),Client_List!$A:$A,0)),""))</f>
        <v/>
      </c>
      <c r="F4161" s="53">
        <f>IF(B4161="","",IFERROR(INDEX(Client_List!$D:$D,MATCH(VALUE(B4161),Client_List!$A:$A,0)),""))</f>
        <v/>
      </c>
      <c r="G4161" s="53">
        <f>IF(B4161="","",IFERROR(INDEX(Client_List!$K:$K,MATCH(VALUE(B4161),Client_List!$A:$A,0)),""))</f>
        <v/>
      </c>
      <c r="H4161" s="32">
        <f>IF(B4161="","",IFERROR(INDEX(Client_List!$J:$J,MATCH(VALUE(B4161),Client_List!$A:$A,0)),""))</f>
        <v/>
      </c>
      <c r="I4161" s="70">
        <f>IF(B4161="","",IFERROR(A4161-LOOKUP(2,1/($B$4:$B4160=B4161),$A$4:$A4160),""))</f>
        <v/>
      </c>
      <c r="J4161" s="32">
        <f>IF(B4161="","",IFERROR(D4161/I4161,""))</f>
        <v/>
      </c>
      <c r="K4161" s="71">
        <f>IF(B4161="","",IFERROR(AVERAGEIFS($J$4:$J4161,$B$4:$B4161,B4161,$J$4:$J4161,"&gt;"&amp;0),""))</f>
        <v/>
      </c>
      <c r="L4161" s="11" t="n"/>
    </row>
    <row r="4162" ht="14" customHeight="1" s="72">
      <c r="A4162" s="83" t="n"/>
      <c r="B4162" s="81" t="n"/>
      <c r="C4162" s="69">
        <f>IF(B4162="","",IFERROR(INDEX(Client_List!$B:$B,MATCH(B4162,Client_List!$A:$A,0)),"⚠ NOT FOUND"))</f>
        <v/>
      </c>
      <c r="D4162" s="45" t="n"/>
      <c r="E4162" s="32">
        <f>IF(B4162="","",IFERROR(INDEX(Client_List!$C:$C,MATCH(VALUE(B4162),Client_List!$A:$A,0)),""))</f>
        <v/>
      </c>
      <c r="F4162" s="53">
        <f>IF(B4162="","",IFERROR(INDEX(Client_List!$D:$D,MATCH(VALUE(B4162),Client_List!$A:$A,0)),""))</f>
        <v/>
      </c>
      <c r="G4162" s="53">
        <f>IF(B4162="","",IFERROR(INDEX(Client_List!$K:$K,MATCH(VALUE(B4162),Client_List!$A:$A,0)),""))</f>
        <v/>
      </c>
      <c r="H4162" s="32">
        <f>IF(B4162="","",IFERROR(INDEX(Client_List!$J:$J,MATCH(VALUE(B4162),Client_List!$A:$A,0)),""))</f>
        <v/>
      </c>
      <c r="I4162" s="70">
        <f>IF(B4162="","",IFERROR(A4162-LOOKUP(2,1/($B$4:$B4161=B4162),$A$4:$A4161),""))</f>
        <v/>
      </c>
      <c r="J4162" s="32">
        <f>IF(B4162="","",IFERROR(D4162/I4162,""))</f>
        <v/>
      </c>
      <c r="K4162" s="71">
        <f>IF(B4162="","",IFERROR(AVERAGEIFS($J$4:$J4162,$B$4:$B4162,B4162,$J$4:$J4162,"&gt;"&amp;0),""))</f>
        <v/>
      </c>
      <c r="L4162" s="12" t="n"/>
    </row>
    <row r="4163" ht="14" customHeight="1" s="72">
      <c r="A4163" s="82" t="n"/>
      <c r="B4163" s="79" t="n"/>
      <c r="C4163" s="69">
        <f>IF(B4163="","",IFERROR(INDEX(Client_List!$B:$B,MATCH(B4163,Client_List!$A:$A,0)),"⚠ NOT FOUND"))</f>
        <v/>
      </c>
      <c r="D4163" s="44" t="n"/>
      <c r="E4163" s="32">
        <f>IF(B4163="","",IFERROR(INDEX(Client_List!$C:$C,MATCH(VALUE(B4163),Client_List!$A:$A,0)),""))</f>
        <v/>
      </c>
      <c r="F4163" s="53">
        <f>IF(B4163="","",IFERROR(INDEX(Client_List!$D:$D,MATCH(VALUE(B4163),Client_List!$A:$A,0)),""))</f>
        <v/>
      </c>
      <c r="G4163" s="53">
        <f>IF(B4163="","",IFERROR(INDEX(Client_List!$K:$K,MATCH(VALUE(B4163),Client_List!$A:$A,0)),""))</f>
        <v/>
      </c>
      <c r="H4163" s="32">
        <f>IF(B4163="","",IFERROR(INDEX(Client_List!$J:$J,MATCH(VALUE(B4163),Client_List!$A:$A,0)),""))</f>
        <v/>
      </c>
      <c r="I4163" s="70">
        <f>IF(B4163="","",IFERROR(A4163-LOOKUP(2,1/($B$4:$B4162=B4163),$A$4:$A4162),""))</f>
        <v/>
      </c>
      <c r="J4163" s="32">
        <f>IF(B4163="","",IFERROR(D4163/I4163,""))</f>
        <v/>
      </c>
      <c r="K4163" s="71">
        <f>IF(B4163="","",IFERROR(AVERAGEIFS($J$4:$J4163,$B$4:$B4163,B4163,$J$4:$J4163,"&gt;"&amp;0),""))</f>
        <v/>
      </c>
      <c r="L4163" s="11" t="n"/>
    </row>
    <row r="4164" ht="14" customHeight="1" s="72">
      <c r="A4164" s="83" t="n"/>
      <c r="B4164" s="81" t="n"/>
      <c r="C4164" s="69">
        <f>IF(B4164="","",IFERROR(INDEX(Client_List!$B:$B,MATCH(B4164,Client_List!$A:$A,0)),"⚠ NOT FOUND"))</f>
        <v/>
      </c>
      <c r="D4164" s="45" t="n"/>
      <c r="E4164" s="32">
        <f>IF(B4164="","",IFERROR(INDEX(Client_List!$C:$C,MATCH(VALUE(B4164),Client_List!$A:$A,0)),""))</f>
        <v/>
      </c>
      <c r="F4164" s="53">
        <f>IF(B4164="","",IFERROR(INDEX(Client_List!$D:$D,MATCH(VALUE(B4164),Client_List!$A:$A,0)),""))</f>
        <v/>
      </c>
      <c r="G4164" s="53">
        <f>IF(B4164="","",IFERROR(INDEX(Client_List!$K:$K,MATCH(VALUE(B4164),Client_List!$A:$A,0)),""))</f>
        <v/>
      </c>
      <c r="H4164" s="32">
        <f>IF(B4164="","",IFERROR(INDEX(Client_List!$J:$J,MATCH(VALUE(B4164),Client_List!$A:$A,0)),""))</f>
        <v/>
      </c>
      <c r="I4164" s="70">
        <f>IF(B4164="","",IFERROR(A4164-LOOKUP(2,1/($B$4:$B4163=B4164),$A$4:$A4163),""))</f>
        <v/>
      </c>
      <c r="J4164" s="32">
        <f>IF(B4164="","",IFERROR(D4164/I4164,""))</f>
        <v/>
      </c>
      <c r="K4164" s="71">
        <f>IF(B4164="","",IFERROR(AVERAGEIFS($J$4:$J4164,$B$4:$B4164,B4164,$J$4:$J4164,"&gt;"&amp;0),""))</f>
        <v/>
      </c>
      <c r="L4164" s="12" t="n"/>
    </row>
    <row r="4165" ht="14" customHeight="1" s="72">
      <c r="A4165" s="82" t="n"/>
      <c r="B4165" s="79" t="n"/>
      <c r="C4165" s="69">
        <f>IF(B4165="","",IFERROR(INDEX(Client_List!$B:$B,MATCH(B4165,Client_List!$A:$A,0)),"⚠ NOT FOUND"))</f>
        <v/>
      </c>
      <c r="D4165" s="44" t="n"/>
      <c r="E4165" s="32">
        <f>IF(B4165="","",IFERROR(INDEX(Client_List!$C:$C,MATCH(VALUE(B4165),Client_List!$A:$A,0)),""))</f>
        <v/>
      </c>
      <c r="F4165" s="53">
        <f>IF(B4165="","",IFERROR(INDEX(Client_List!$D:$D,MATCH(VALUE(B4165),Client_List!$A:$A,0)),""))</f>
        <v/>
      </c>
      <c r="G4165" s="53">
        <f>IF(B4165="","",IFERROR(INDEX(Client_List!$K:$K,MATCH(VALUE(B4165),Client_List!$A:$A,0)),""))</f>
        <v/>
      </c>
      <c r="H4165" s="32">
        <f>IF(B4165="","",IFERROR(INDEX(Client_List!$J:$J,MATCH(VALUE(B4165),Client_List!$A:$A,0)),""))</f>
        <v/>
      </c>
      <c r="I4165" s="70">
        <f>IF(B4165="","",IFERROR(A4165-LOOKUP(2,1/($B$4:$B4164=B4165),$A$4:$A4164),""))</f>
        <v/>
      </c>
      <c r="J4165" s="32">
        <f>IF(B4165="","",IFERROR(D4165/I4165,""))</f>
        <v/>
      </c>
      <c r="K4165" s="71">
        <f>IF(B4165="","",IFERROR(AVERAGEIFS($J$4:$J4165,$B$4:$B4165,B4165,$J$4:$J4165,"&gt;"&amp;0),""))</f>
        <v/>
      </c>
      <c r="L4165" s="11" t="n"/>
    </row>
    <row r="4166" ht="14" customHeight="1" s="72">
      <c r="A4166" s="83" t="n"/>
      <c r="B4166" s="81" t="n"/>
      <c r="C4166" s="69">
        <f>IF(B4166="","",IFERROR(INDEX(Client_List!$B:$B,MATCH(B4166,Client_List!$A:$A,0)),"⚠ NOT FOUND"))</f>
        <v/>
      </c>
      <c r="D4166" s="45" t="n"/>
      <c r="E4166" s="32">
        <f>IF(B4166="","",IFERROR(INDEX(Client_List!$C:$C,MATCH(VALUE(B4166),Client_List!$A:$A,0)),""))</f>
        <v/>
      </c>
      <c r="F4166" s="53">
        <f>IF(B4166="","",IFERROR(INDEX(Client_List!$D:$D,MATCH(VALUE(B4166),Client_List!$A:$A,0)),""))</f>
        <v/>
      </c>
      <c r="G4166" s="53">
        <f>IF(B4166="","",IFERROR(INDEX(Client_List!$K:$K,MATCH(VALUE(B4166),Client_List!$A:$A,0)),""))</f>
        <v/>
      </c>
      <c r="H4166" s="32">
        <f>IF(B4166="","",IFERROR(INDEX(Client_List!$J:$J,MATCH(VALUE(B4166),Client_List!$A:$A,0)),""))</f>
        <v/>
      </c>
      <c r="I4166" s="70">
        <f>IF(B4166="","",IFERROR(A4166-LOOKUP(2,1/($B$4:$B4165=B4166),$A$4:$A4165),""))</f>
        <v/>
      </c>
      <c r="J4166" s="32">
        <f>IF(B4166="","",IFERROR(D4166/I4166,""))</f>
        <v/>
      </c>
      <c r="K4166" s="71">
        <f>IF(B4166="","",IFERROR(AVERAGEIFS($J$4:$J4166,$B$4:$B4166,B4166,$J$4:$J4166,"&gt;"&amp;0),""))</f>
        <v/>
      </c>
      <c r="L4166" s="12" t="n"/>
    </row>
    <row r="4167" ht="14" customHeight="1" s="72">
      <c r="A4167" s="82" t="n"/>
      <c r="B4167" s="79" t="n"/>
      <c r="C4167" s="69">
        <f>IF(B4167="","",IFERROR(INDEX(Client_List!$B:$B,MATCH(B4167,Client_List!$A:$A,0)),"⚠ NOT FOUND"))</f>
        <v/>
      </c>
      <c r="D4167" s="44" t="n"/>
      <c r="E4167" s="32">
        <f>IF(B4167="","",IFERROR(INDEX(Client_List!$C:$C,MATCH(VALUE(B4167),Client_List!$A:$A,0)),""))</f>
        <v/>
      </c>
      <c r="F4167" s="53">
        <f>IF(B4167="","",IFERROR(INDEX(Client_List!$D:$D,MATCH(VALUE(B4167),Client_List!$A:$A,0)),""))</f>
        <v/>
      </c>
      <c r="G4167" s="53">
        <f>IF(B4167="","",IFERROR(INDEX(Client_List!$K:$K,MATCH(VALUE(B4167),Client_List!$A:$A,0)),""))</f>
        <v/>
      </c>
      <c r="H4167" s="32">
        <f>IF(B4167="","",IFERROR(INDEX(Client_List!$J:$J,MATCH(VALUE(B4167),Client_List!$A:$A,0)),""))</f>
        <v/>
      </c>
      <c r="I4167" s="70">
        <f>IF(B4167="","",IFERROR(A4167-LOOKUP(2,1/($B$4:$B4166=B4167),$A$4:$A4166),""))</f>
        <v/>
      </c>
      <c r="J4167" s="32">
        <f>IF(B4167="","",IFERROR(D4167/I4167,""))</f>
        <v/>
      </c>
      <c r="K4167" s="71">
        <f>IF(B4167="","",IFERROR(AVERAGEIFS($J$4:$J4167,$B$4:$B4167,B4167,$J$4:$J4167,"&gt;"&amp;0),""))</f>
        <v/>
      </c>
      <c r="L4167" s="11" t="n"/>
    </row>
    <row r="4168" ht="14" customHeight="1" s="72">
      <c r="A4168" s="83" t="n"/>
      <c r="B4168" s="81" t="n"/>
      <c r="C4168" s="69">
        <f>IF(B4168="","",IFERROR(INDEX(Client_List!$B:$B,MATCH(B4168,Client_List!$A:$A,0)),"⚠ NOT FOUND"))</f>
        <v/>
      </c>
      <c r="D4168" s="45" t="n"/>
      <c r="E4168" s="32">
        <f>IF(B4168="","",IFERROR(INDEX(Client_List!$C:$C,MATCH(VALUE(B4168),Client_List!$A:$A,0)),""))</f>
        <v/>
      </c>
      <c r="F4168" s="53">
        <f>IF(B4168="","",IFERROR(INDEX(Client_List!$D:$D,MATCH(VALUE(B4168),Client_List!$A:$A,0)),""))</f>
        <v/>
      </c>
      <c r="G4168" s="53">
        <f>IF(B4168="","",IFERROR(INDEX(Client_List!$K:$K,MATCH(VALUE(B4168),Client_List!$A:$A,0)),""))</f>
        <v/>
      </c>
      <c r="H4168" s="32">
        <f>IF(B4168="","",IFERROR(INDEX(Client_List!$J:$J,MATCH(VALUE(B4168),Client_List!$A:$A,0)),""))</f>
        <v/>
      </c>
      <c r="I4168" s="70">
        <f>IF(B4168="","",IFERROR(A4168-LOOKUP(2,1/($B$4:$B4167=B4168),$A$4:$A4167),""))</f>
        <v/>
      </c>
      <c r="J4168" s="32">
        <f>IF(B4168="","",IFERROR(D4168/I4168,""))</f>
        <v/>
      </c>
      <c r="K4168" s="71">
        <f>IF(B4168="","",IFERROR(AVERAGEIFS($J$4:$J4168,$B$4:$B4168,B4168,$J$4:$J4168,"&gt;"&amp;0),""))</f>
        <v/>
      </c>
      <c r="L4168" s="12" t="n"/>
    </row>
    <row r="4169" ht="14" customHeight="1" s="72">
      <c r="A4169" s="82" t="n"/>
      <c r="B4169" s="79" t="n"/>
      <c r="C4169" s="69">
        <f>IF(B4169="","",IFERROR(INDEX(Client_List!$B:$B,MATCH(B4169,Client_List!$A:$A,0)),"⚠ NOT FOUND"))</f>
        <v/>
      </c>
      <c r="D4169" s="44" t="n"/>
      <c r="E4169" s="32">
        <f>IF(B4169="","",IFERROR(INDEX(Client_List!$C:$C,MATCH(VALUE(B4169),Client_List!$A:$A,0)),""))</f>
        <v/>
      </c>
      <c r="F4169" s="53">
        <f>IF(B4169="","",IFERROR(INDEX(Client_List!$D:$D,MATCH(VALUE(B4169),Client_List!$A:$A,0)),""))</f>
        <v/>
      </c>
      <c r="G4169" s="53">
        <f>IF(B4169="","",IFERROR(INDEX(Client_List!$K:$K,MATCH(VALUE(B4169),Client_List!$A:$A,0)),""))</f>
        <v/>
      </c>
      <c r="H4169" s="32">
        <f>IF(B4169="","",IFERROR(INDEX(Client_List!$J:$J,MATCH(VALUE(B4169),Client_List!$A:$A,0)),""))</f>
        <v/>
      </c>
      <c r="I4169" s="70">
        <f>IF(B4169="","",IFERROR(A4169-LOOKUP(2,1/($B$4:$B4168=B4169),$A$4:$A4168),""))</f>
        <v/>
      </c>
      <c r="J4169" s="32">
        <f>IF(B4169="","",IFERROR(D4169/I4169,""))</f>
        <v/>
      </c>
      <c r="K4169" s="71">
        <f>IF(B4169="","",IFERROR(AVERAGEIFS($J$4:$J4169,$B$4:$B4169,B4169,$J$4:$J4169,"&gt;"&amp;0),""))</f>
        <v/>
      </c>
      <c r="L4169" s="11" t="n"/>
    </row>
    <row r="4170" ht="14" customHeight="1" s="72">
      <c r="A4170" s="83" t="n"/>
      <c r="B4170" s="81" t="n"/>
      <c r="C4170" s="69">
        <f>IF(B4170="","",IFERROR(INDEX(Client_List!$B:$B,MATCH(B4170,Client_List!$A:$A,0)),"⚠ NOT FOUND"))</f>
        <v/>
      </c>
      <c r="D4170" s="45" t="n"/>
      <c r="E4170" s="32">
        <f>IF(B4170="","",IFERROR(INDEX(Client_List!$C:$C,MATCH(VALUE(B4170),Client_List!$A:$A,0)),""))</f>
        <v/>
      </c>
      <c r="F4170" s="53">
        <f>IF(B4170="","",IFERROR(INDEX(Client_List!$D:$D,MATCH(VALUE(B4170),Client_List!$A:$A,0)),""))</f>
        <v/>
      </c>
      <c r="G4170" s="53">
        <f>IF(B4170="","",IFERROR(INDEX(Client_List!$K:$K,MATCH(VALUE(B4170),Client_List!$A:$A,0)),""))</f>
        <v/>
      </c>
      <c r="H4170" s="32">
        <f>IF(B4170="","",IFERROR(INDEX(Client_List!$J:$J,MATCH(VALUE(B4170),Client_List!$A:$A,0)),""))</f>
        <v/>
      </c>
      <c r="I4170" s="70">
        <f>IF(B4170="","",IFERROR(A4170-LOOKUP(2,1/($B$4:$B4169=B4170),$A$4:$A4169),""))</f>
        <v/>
      </c>
      <c r="J4170" s="32">
        <f>IF(B4170="","",IFERROR(D4170/I4170,""))</f>
        <v/>
      </c>
      <c r="K4170" s="71">
        <f>IF(B4170="","",IFERROR(AVERAGEIFS($J$4:$J4170,$B$4:$B4170,B4170,$J$4:$J4170,"&gt;"&amp;0),""))</f>
        <v/>
      </c>
      <c r="L4170" s="12" t="n"/>
    </row>
    <row r="4171" ht="14" customHeight="1" s="72">
      <c r="A4171" s="82" t="n"/>
      <c r="B4171" s="79" t="n"/>
      <c r="C4171" s="69">
        <f>IF(B4171="","",IFERROR(INDEX(Client_List!$B:$B,MATCH(B4171,Client_List!$A:$A,0)),"⚠ NOT FOUND"))</f>
        <v/>
      </c>
      <c r="D4171" s="44" t="n"/>
      <c r="E4171" s="32">
        <f>IF(B4171="","",IFERROR(INDEX(Client_List!$C:$C,MATCH(VALUE(B4171),Client_List!$A:$A,0)),""))</f>
        <v/>
      </c>
      <c r="F4171" s="53">
        <f>IF(B4171="","",IFERROR(INDEX(Client_List!$D:$D,MATCH(VALUE(B4171),Client_List!$A:$A,0)),""))</f>
        <v/>
      </c>
      <c r="G4171" s="53">
        <f>IF(B4171="","",IFERROR(INDEX(Client_List!$K:$K,MATCH(VALUE(B4171),Client_List!$A:$A,0)),""))</f>
        <v/>
      </c>
      <c r="H4171" s="32">
        <f>IF(B4171="","",IFERROR(INDEX(Client_List!$J:$J,MATCH(VALUE(B4171),Client_List!$A:$A,0)),""))</f>
        <v/>
      </c>
      <c r="I4171" s="70">
        <f>IF(B4171="","",IFERROR(A4171-LOOKUP(2,1/($B$4:$B4170=B4171),$A$4:$A4170),""))</f>
        <v/>
      </c>
      <c r="J4171" s="32">
        <f>IF(B4171="","",IFERROR(D4171/I4171,""))</f>
        <v/>
      </c>
      <c r="K4171" s="71">
        <f>IF(B4171="","",IFERROR(AVERAGEIFS($J$4:$J4171,$B$4:$B4171,B4171,$J$4:$J4171,"&gt;"&amp;0),""))</f>
        <v/>
      </c>
      <c r="L4171" s="11" t="n"/>
    </row>
    <row r="4172" ht="14" customHeight="1" s="72">
      <c r="A4172" s="83" t="n"/>
      <c r="B4172" s="81" t="n"/>
      <c r="C4172" s="69">
        <f>IF(B4172="","",IFERROR(INDEX(Client_List!$B:$B,MATCH(B4172,Client_List!$A:$A,0)),"⚠ NOT FOUND"))</f>
        <v/>
      </c>
      <c r="D4172" s="45" t="n"/>
      <c r="E4172" s="32">
        <f>IF(B4172="","",IFERROR(INDEX(Client_List!$C:$C,MATCH(VALUE(B4172),Client_List!$A:$A,0)),""))</f>
        <v/>
      </c>
      <c r="F4172" s="53">
        <f>IF(B4172="","",IFERROR(INDEX(Client_List!$D:$D,MATCH(VALUE(B4172),Client_List!$A:$A,0)),""))</f>
        <v/>
      </c>
      <c r="G4172" s="53">
        <f>IF(B4172="","",IFERROR(INDEX(Client_List!$K:$K,MATCH(VALUE(B4172),Client_List!$A:$A,0)),""))</f>
        <v/>
      </c>
      <c r="H4172" s="32">
        <f>IF(B4172="","",IFERROR(INDEX(Client_List!$J:$J,MATCH(VALUE(B4172),Client_List!$A:$A,0)),""))</f>
        <v/>
      </c>
      <c r="I4172" s="70">
        <f>IF(B4172="","",IFERROR(A4172-LOOKUP(2,1/($B$4:$B4171=B4172),$A$4:$A4171),""))</f>
        <v/>
      </c>
      <c r="J4172" s="32">
        <f>IF(B4172="","",IFERROR(D4172/I4172,""))</f>
        <v/>
      </c>
      <c r="K4172" s="71">
        <f>IF(B4172="","",IFERROR(AVERAGEIFS($J$4:$J4172,$B$4:$B4172,B4172,$J$4:$J4172,"&gt;"&amp;0),""))</f>
        <v/>
      </c>
      <c r="L4172" s="12" t="n"/>
    </row>
    <row r="4173" ht="14" customHeight="1" s="72">
      <c r="A4173" s="82" t="n"/>
      <c r="B4173" s="79" t="n"/>
      <c r="C4173" s="69">
        <f>IF(B4173="","",IFERROR(INDEX(Client_List!$B:$B,MATCH(B4173,Client_List!$A:$A,0)),"⚠ NOT FOUND"))</f>
        <v/>
      </c>
      <c r="D4173" s="44" t="n"/>
      <c r="E4173" s="32">
        <f>IF(B4173="","",IFERROR(INDEX(Client_List!$C:$C,MATCH(VALUE(B4173),Client_List!$A:$A,0)),""))</f>
        <v/>
      </c>
      <c r="F4173" s="53">
        <f>IF(B4173="","",IFERROR(INDEX(Client_List!$D:$D,MATCH(VALUE(B4173),Client_List!$A:$A,0)),""))</f>
        <v/>
      </c>
      <c r="G4173" s="53">
        <f>IF(B4173="","",IFERROR(INDEX(Client_List!$K:$K,MATCH(VALUE(B4173),Client_List!$A:$A,0)),""))</f>
        <v/>
      </c>
      <c r="H4173" s="32">
        <f>IF(B4173="","",IFERROR(INDEX(Client_List!$J:$J,MATCH(VALUE(B4173),Client_List!$A:$A,0)),""))</f>
        <v/>
      </c>
      <c r="I4173" s="70">
        <f>IF(B4173="","",IFERROR(A4173-LOOKUP(2,1/($B$4:$B4172=B4173),$A$4:$A4172),""))</f>
        <v/>
      </c>
      <c r="J4173" s="32">
        <f>IF(B4173="","",IFERROR(D4173/I4173,""))</f>
        <v/>
      </c>
      <c r="K4173" s="71">
        <f>IF(B4173="","",IFERROR(AVERAGEIFS($J$4:$J4173,$B$4:$B4173,B4173,$J$4:$J4173,"&gt;"&amp;0),""))</f>
        <v/>
      </c>
      <c r="L4173" s="11" t="n"/>
    </row>
    <row r="4174" ht="14" customHeight="1" s="72">
      <c r="A4174" s="83" t="n"/>
      <c r="B4174" s="81" t="n"/>
      <c r="C4174" s="69">
        <f>IF(B4174="","",IFERROR(INDEX(Client_List!$B:$B,MATCH(B4174,Client_List!$A:$A,0)),"⚠ NOT FOUND"))</f>
        <v/>
      </c>
      <c r="D4174" s="45" t="n"/>
      <c r="E4174" s="32">
        <f>IF(B4174="","",IFERROR(INDEX(Client_List!$C:$C,MATCH(VALUE(B4174),Client_List!$A:$A,0)),""))</f>
        <v/>
      </c>
      <c r="F4174" s="53">
        <f>IF(B4174="","",IFERROR(INDEX(Client_List!$D:$D,MATCH(VALUE(B4174),Client_List!$A:$A,0)),""))</f>
        <v/>
      </c>
      <c r="G4174" s="53">
        <f>IF(B4174="","",IFERROR(INDEX(Client_List!$K:$K,MATCH(VALUE(B4174),Client_List!$A:$A,0)),""))</f>
        <v/>
      </c>
      <c r="H4174" s="32">
        <f>IF(B4174="","",IFERROR(INDEX(Client_List!$J:$J,MATCH(VALUE(B4174),Client_List!$A:$A,0)),""))</f>
        <v/>
      </c>
      <c r="I4174" s="70">
        <f>IF(B4174="","",IFERROR(A4174-LOOKUP(2,1/($B$4:$B4173=B4174),$A$4:$A4173),""))</f>
        <v/>
      </c>
      <c r="J4174" s="32">
        <f>IF(B4174="","",IFERROR(D4174/I4174,""))</f>
        <v/>
      </c>
      <c r="K4174" s="71">
        <f>IF(B4174="","",IFERROR(AVERAGEIFS($J$4:$J4174,$B$4:$B4174,B4174,$J$4:$J4174,"&gt;"&amp;0),""))</f>
        <v/>
      </c>
      <c r="L4174" s="12" t="n"/>
    </row>
    <row r="4175" ht="14" customHeight="1" s="72">
      <c r="A4175" s="82" t="n"/>
      <c r="B4175" s="79" t="n"/>
      <c r="C4175" s="69">
        <f>IF(B4175="","",IFERROR(INDEX(Client_List!$B:$B,MATCH(B4175,Client_List!$A:$A,0)),"⚠ NOT FOUND"))</f>
        <v/>
      </c>
      <c r="D4175" s="44" t="n"/>
      <c r="E4175" s="32">
        <f>IF(B4175="","",IFERROR(INDEX(Client_List!$C:$C,MATCH(VALUE(B4175),Client_List!$A:$A,0)),""))</f>
        <v/>
      </c>
      <c r="F4175" s="53">
        <f>IF(B4175="","",IFERROR(INDEX(Client_List!$D:$D,MATCH(VALUE(B4175),Client_List!$A:$A,0)),""))</f>
        <v/>
      </c>
      <c r="G4175" s="53">
        <f>IF(B4175="","",IFERROR(INDEX(Client_List!$K:$K,MATCH(VALUE(B4175),Client_List!$A:$A,0)),""))</f>
        <v/>
      </c>
      <c r="H4175" s="32">
        <f>IF(B4175="","",IFERROR(INDEX(Client_List!$J:$J,MATCH(VALUE(B4175),Client_List!$A:$A,0)),""))</f>
        <v/>
      </c>
      <c r="I4175" s="70">
        <f>IF(B4175="","",IFERROR(A4175-LOOKUP(2,1/($B$4:$B4174=B4175),$A$4:$A4174),""))</f>
        <v/>
      </c>
      <c r="J4175" s="32">
        <f>IF(B4175="","",IFERROR(D4175/I4175,""))</f>
        <v/>
      </c>
      <c r="K4175" s="71">
        <f>IF(B4175="","",IFERROR(AVERAGEIFS($J$4:$J4175,$B$4:$B4175,B4175,$J$4:$J4175,"&gt;"&amp;0),""))</f>
        <v/>
      </c>
      <c r="L4175" s="11" t="n"/>
    </row>
    <row r="4176" ht="14" customHeight="1" s="72">
      <c r="A4176" s="83" t="n"/>
      <c r="B4176" s="81" t="n"/>
      <c r="C4176" s="69">
        <f>IF(B4176="","",IFERROR(INDEX(Client_List!$B:$B,MATCH(B4176,Client_List!$A:$A,0)),"⚠ NOT FOUND"))</f>
        <v/>
      </c>
      <c r="D4176" s="45" t="n"/>
      <c r="E4176" s="32">
        <f>IF(B4176="","",IFERROR(INDEX(Client_List!$C:$C,MATCH(VALUE(B4176),Client_List!$A:$A,0)),""))</f>
        <v/>
      </c>
      <c r="F4176" s="53">
        <f>IF(B4176="","",IFERROR(INDEX(Client_List!$D:$D,MATCH(VALUE(B4176),Client_List!$A:$A,0)),""))</f>
        <v/>
      </c>
      <c r="G4176" s="53">
        <f>IF(B4176="","",IFERROR(INDEX(Client_List!$K:$K,MATCH(VALUE(B4176),Client_List!$A:$A,0)),""))</f>
        <v/>
      </c>
      <c r="H4176" s="32">
        <f>IF(B4176="","",IFERROR(INDEX(Client_List!$J:$J,MATCH(VALUE(B4176),Client_List!$A:$A,0)),""))</f>
        <v/>
      </c>
      <c r="I4176" s="70">
        <f>IF(B4176="","",IFERROR(A4176-LOOKUP(2,1/($B$4:$B4175=B4176),$A$4:$A4175),""))</f>
        <v/>
      </c>
      <c r="J4176" s="32">
        <f>IF(B4176="","",IFERROR(D4176/I4176,""))</f>
        <v/>
      </c>
      <c r="K4176" s="71">
        <f>IF(B4176="","",IFERROR(AVERAGEIFS($J$4:$J4176,$B$4:$B4176,B4176,$J$4:$J4176,"&gt;"&amp;0),""))</f>
        <v/>
      </c>
      <c r="L4176" s="12" t="n"/>
    </row>
    <row r="4177" ht="14" customHeight="1" s="72">
      <c r="A4177" s="82" t="n"/>
      <c r="B4177" s="79" t="n"/>
      <c r="C4177" s="69">
        <f>IF(B4177="","",IFERROR(INDEX(Client_List!$B:$B,MATCH(B4177,Client_List!$A:$A,0)),"⚠ NOT FOUND"))</f>
        <v/>
      </c>
      <c r="D4177" s="44" t="n"/>
      <c r="E4177" s="32">
        <f>IF(B4177="","",IFERROR(INDEX(Client_List!$C:$C,MATCH(VALUE(B4177),Client_List!$A:$A,0)),""))</f>
        <v/>
      </c>
      <c r="F4177" s="53">
        <f>IF(B4177="","",IFERROR(INDEX(Client_List!$D:$D,MATCH(VALUE(B4177),Client_List!$A:$A,0)),""))</f>
        <v/>
      </c>
      <c r="G4177" s="53">
        <f>IF(B4177="","",IFERROR(INDEX(Client_List!$K:$K,MATCH(VALUE(B4177),Client_List!$A:$A,0)),""))</f>
        <v/>
      </c>
      <c r="H4177" s="32">
        <f>IF(B4177="","",IFERROR(INDEX(Client_List!$J:$J,MATCH(VALUE(B4177),Client_List!$A:$A,0)),""))</f>
        <v/>
      </c>
      <c r="I4177" s="70">
        <f>IF(B4177="","",IFERROR(A4177-LOOKUP(2,1/($B$4:$B4176=B4177),$A$4:$A4176),""))</f>
        <v/>
      </c>
      <c r="J4177" s="32">
        <f>IF(B4177="","",IFERROR(D4177/I4177,""))</f>
        <v/>
      </c>
      <c r="K4177" s="71">
        <f>IF(B4177="","",IFERROR(AVERAGEIFS($J$4:$J4177,$B$4:$B4177,B4177,$J$4:$J4177,"&gt;"&amp;0),""))</f>
        <v/>
      </c>
      <c r="L4177" s="11" t="n"/>
    </row>
    <row r="4178" ht="14" customHeight="1" s="72">
      <c r="A4178" s="83" t="n"/>
      <c r="B4178" s="81" t="n"/>
      <c r="C4178" s="69">
        <f>IF(B4178="","",IFERROR(INDEX(Client_List!$B:$B,MATCH(B4178,Client_List!$A:$A,0)),"⚠ NOT FOUND"))</f>
        <v/>
      </c>
      <c r="D4178" s="45" t="n"/>
      <c r="E4178" s="32">
        <f>IF(B4178="","",IFERROR(INDEX(Client_List!$C:$C,MATCH(VALUE(B4178),Client_List!$A:$A,0)),""))</f>
        <v/>
      </c>
      <c r="F4178" s="53">
        <f>IF(B4178="","",IFERROR(INDEX(Client_List!$D:$D,MATCH(VALUE(B4178),Client_List!$A:$A,0)),""))</f>
        <v/>
      </c>
      <c r="G4178" s="53">
        <f>IF(B4178="","",IFERROR(INDEX(Client_List!$K:$K,MATCH(VALUE(B4178),Client_List!$A:$A,0)),""))</f>
        <v/>
      </c>
      <c r="H4178" s="32">
        <f>IF(B4178="","",IFERROR(INDEX(Client_List!$J:$J,MATCH(VALUE(B4178),Client_List!$A:$A,0)),""))</f>
        <v/>
      </c>
      <c r="I4178" s="70">
        <f>IF(B4178="","",IFERROR(A4178-LOOKUP(2,1/($B$4:$B4177=B4178),$A$4:$A4177),""))</f>
        <v/>
      </c>
      <c r="J4178" s="32">
        <f>IF(B4178="","",IFERROR(D4178/I4178,""))</f>
        <v/>
      </c>
      <c r="K4178" s="71">
        <f>IF(B4178="","",IFERROR(AVERAGEIFS($J$4:$J4178,$B$4:$B4178,B4178,$J$4:$J4178,"&gt;"&amp;0),""))</f>
        <v/>
      </c>
      <c r="L4178" s="12" t="n"/>
    </row>
    <row r="4179" ht="14" customHeight="1" s="72">
      <c r="A4179" s="82" t="n"/>
      <c r="B4179" s="79" t="n"/>
      <c r="C4179" s="69">
        <f>IF(B4179="","",IFERROR(INDEX(Client_List!$B:$B,MATCH(B4179,Client_List!$A:$A,0)),"⚠ NOT FOUND"))</f>
        <v/>
      </c>
      <c r="D4179" s="44" t="n"/>
      <c r="E4179" s="32">
        <f>IF(B4179="","",IFERROR(INDEX(Client_List!$C:$C,MATCH(VALUE(B4179),Client_List!$A:$A,0)),""))</f>
        <v/>
      </c>
      <c r="F4179" s="53">
        <f>IF(B4179="","",IFERROR(INDEX(Client_List!$D:$D,MATCH(VALUE(B4179),Client_List!$A:$A,0)),""))</f>
        <v/>
      </c>
      <c r="G4179" s="53">
        <f>IF(B4179="","",IFERROR(INDEX(Client_List!$K:$K,MATCH(VALUE(B4179),Client_List!$A:$A,0)),""))</f>
        <v/>
      </c>
      <c r="H4179" s="32">
        <f>IF(B4179="","",IFERROR(INDEX(Client_List!$J:$J,MATCH(VALUE(B4179),Client_List!$A:$A,0)),""))</f>
        <v/>
      </c>
      <c r="I4179" s="70">
        <f>IF(B4179="","",IFERROR(A4179-LOOKUP(2,1/($B$4:$B4178=B4179),$A$4:$A4178),""))</f>
        <v/>
      </c>
      <c r="J4179" s="32">
        <f>IF(B4179="","",IFERROR(D4179/I4179,""))</f>
        <v/>
      </c>
      <c r="K4179" s="71">
        <f>IF(B4179="","",IFERROR(AVERAGEIFS($J$4:$J4179,$B$4:$B4179,B4179,$J$4:$J4179,"&gt;"&amp;0),""))</f>
        <v/>
      </c>
      <c r="L4179" s="11" t="n"/>
    </row>
    <row r="4180" ht="14" customHeight="1" s="72">
      <c r="A4180" s="83" t="n"/>
      <c r="B4180" s="81" t="n"/>
      <c r="C4180" s="69">
        <f>IF(B4180="","",IFERROR(INDEX(Client_List!$B:$B,MATCH(B4180,Client_List!$A:$A,0)),"⚠ NOT FOUND"))</f>
        <v/>
      </c>
      <c r="D4180" s="45" t="n"/>
      <c r="E4180" s="32">
        <f>IF(B4180="","",IFERROR(INDEX(Client_List!$C:$C,MATCH(VALUE(B4180),Client_List!$A:$A,0)),""))</f>
        <v/>
      </c>
      <c r="F4180" s="53">
        <f>IF(B4180="","",IFERROR(INDEX(Client_List!$D:$D,MATCH(VALUE(B4180),Client_List!$A:$A,0)),""))</f>
        <v/>
      </c>
      <c r="G4180" s="53">
        <f>IF(B4180="","",IFERROR(INDEX(Client_List!$K:$K,MATCH(VALUE(B4180),Client_List!$A:$A,0)),""))</f>
        <v/>
      </c>
      <c r="H4180" s="32">
        <f>IF(B4180="","",IFERROR(INDEX(Client_List!$J:$J,MATCH(VALUE(B4180),Client_List!$A:$A,0)),""))</f>
        <v/>
      </c>
      <c r="I4180" s="70">
        <f>IF(B4180="","",IFERROR(A4180-LOOKUP(2,1/($B$4:$B4179=B4180),$A$4:$A4179),""))</f>
        <v/>
      </c>
      <c r="J4180" s="32">
        <f>IF(B4180="","",IFERROR(D4180/I4180,""))</f>
        <v/>
      </c>
      <c r="K4180" s="71">
        <f>IF(B4180="","",IFERROR(AVERAGEIFS($J$4:$J4180,$B$4:$B4180,B4180,$J$4:$J4180,"&gt;"&amp;0),""))</f>
        <v/>
      </c>
      <c r="L4180" s="12" t="n"/>
    </row>
    <row r="4181" ht="14" customHeight="1" s="72">
      <c r="A4181" s="82" t="n"/>
      <c r="B4181" s="79" t="n"/>
      <c r="C4181" s="69">
        <f>IF(B4181="","",IFERROR(INDEX(Client_List!$B:$B,MATCH(B4181,Client_List!$A:$A,0)),"⚠ NOT FOUND"))</f>
        <v/>
      </c>
      <c r="D4181" s="44" t="n"/>
      <c r="E4181" s="32">
        <f>IF(B4181="","",IFERROR(INDEX(Client_List!$C:$C,MATCH(VALUE(B4181),Client_List!$A:$A,0)),""))</f>
        <v/>
      </c>
      <c r="F4181" s="53">
        <f>IF(B4181="","",IFERROR(INDEX(Client_List!$D:$D,MATCH(VALUE(B4181),Client_List!$A:$A,0)),""))</f>
        <v/>
      </c>
      <c r="G4181" s="53">
        <f>IF(B4181="","",IFERROR(INDEX(Client_List!$K:$K,MATCH(VALUE(B4181),Client_List!$A:$A,0)),""))</f>
        <v/>
      </c>
      <c r="H4181" s="32">
        <f>IF(B4181="","",IFERROR(INDEX(Client_List!$J:$J,MATCH(VALUE(B4181),Client_List!$A:$A,0)),""))</f>
        <v/>
      </c>
      <c r="I4181" s="70">
        <f>IF(B4181="","",IFERROR(A4181-LOOKUP(2,1/($B$4:$B4180=B4181),$A$4:$A4180),""))</f>
        <v/>
      </c>
      <c r="J4181" s="32">
        <f>IF(B4181="","",IFERROR(D4181/I4181,""))</f>
        <v/>
      </c>
      <c r="K4181" s="71">
        <f>IF(B4181="","",IFERROR(AVERAGEIFS($J$4:$J4181,$B$4:$B4181,B4181,$J$4:$J4181,"&gt;"&amp;0),""))</f>
        <v/>
      </c>
      <c r="L4181" s="11" t="n"/>
    </row>
    <row r="4182" ht="14" customHeight="1" s="72">
      <c r="A4182" s="83" t="n"/>
      <c r="B4182" s="81" t="n"/>
      <c r="C4182" s="69">
        <f>IF(B4182="","",IFERROR(INDEX(Client_List!$B:$B,MATCH(B4182,Client_List!$A:$A,0)),"⚠ NOT FOUND"))</f>
        <v/>
      </c>
      <c r="D4182" s="45" t="n"/>
      <c r="E4182" s="32">
        <f>IF(B4182="","",IFERROR(INDEX(Client_List!$C:$C,MATCH(VALUE(B4182),Client_List!$A:$A,0)),""))</f>
        <v/>
      </c>
      <c r="F4182" s="53">
        <f>IF(B4182="","",IFERROR(INDEX(Client_List!$D:$D,MATCH(VALUE(B4182),Client_List!$A:$A,0)),""))</f>
        <v/>
      </c>
      <c r="G4182" s="53">
        <f>IF(B4182="","",IFERROR(INDEX(Client_List!$K:$K,MATCH(VALUE(B4182),Client_List!$A:$A,0)),""))</f>
        <v/>
      </c>
      <c r="H4182" s="32">
        <f>IF(B4182="","",IFERROR(INDEX(Client_List!$J:$J,MATCH(VALUE(B4182),Client_List!$A:$A,0)),""))</f>
        <v/>
      </c>
      <c r="I4182" s="70">
        <f>IF(B4182="","",IFERROR(A4182-LOOKUP(2,1/($B$4:$B4181=B4182),$A$4:$A4181),""))</f>
        <v/>
      </c>
      <c r="J4182" s="32">
        <f>IF(B4182="","",IFERROR(D4182/I4182,""))</f>
        <v/>
      </c>
      <c r="K4182" s="71">
        <f>IF(B4182="","",IFERROR(AVERAGEIFS($J$4:$J4182,$B$4:$B4182,B4182,$J$4:$J4182,"&gt;"&amp;0),""))</f>
        <v/>
      </c>
      <c r="L4182" s="12" t="n"/>
    </row>
    <row r="4183" ht="14" customHeight="1" s="72">
      <c r="A4183" s="82" t="n"/>
      <c r="B4183" s="79" t="n"/>
      <c r="C4183" s="69">
        <f>IF(B4183="","",IFERROR(INDEX(Client_List!$B:$B,MATCH(B4183,Client_List!$A:$A,0)),"⚠ NOT FOUND"))</f>
        <v/>
      </c>
      <c r="D4183" s="44" t="n"/>
      <c r="E4183" s="32">
        <f>IF(B4183="","",IFERROR(INDEX(Client_List!$C:$C,MATCH(VALUE(B4183),Client_List!$A:$A,0)),""))</f>
        <v/>
      </c>
      <c r="F4183" s="53">
        <f>IF(B4183="","",IFERROR(INDEX(Client_List!$D:$D,MATCH(VALUE(B4183),Client_List!$A:$A,0)),""))</f>
        <v/>
      </c>
      <c r="G4183" s="53">
        <f>IF(B4183="","",IFERROR(INDEX(Client_List!$K:$K,MATCH(VALUE(B4183),Client_List!$A:$A,0)),""))</f>
        <v/>
      </c>
      <c r="H4183" s="32">
        <f>IF(B4183="","",IFERROR(INDEX(Client_List!$J:$J,MATCH(VALUE(B4183),Client_List!$A:$A,0)),""))</f>
        <v/>
      </c>
      <c r="I4183" s="70">
        <f>IF(B4183="","",IFERROR(A4183-LOOKUP(2,1/($B$4:$B4182=B4183),$A$4:$A4182),""))</f>
        <v/>
      </c>
      <c r="J4183" s="32">
        <f>IF(B4183="","",IFERROR(D4183/I4183,""))</f>
        <v/>
      </c>
      <c r="K4183" s="71">
        <f>IF(B4183="","",IFERROR(AVERAGEIFS($J$4:$J4183,$B$4:$B4183,B4183,$J$4:$J4183,"&gt;"&amp;0),""))</f>
        <v/>
      </c>
      <c r="L4183" s="11" t="n"/>
    </row>
    <row r="4184" ht="14" customHeight="1" s="72">
      <c r="A4184" s="83" t="n"/>
      <c r="B4184" s="81" t="n"/>
      <c r="C4184" s="69">
        <f>IF(B4184="","",IFERROR(INDEX(Client_List!$B:$B,MATCH(B4184,Client_List!$A:$A,0)),"⚠ NOT FOUND"))</f>
        <v/>
      </c>
      <c r="D4184" s="45" t="n"/>
      <c r="E4184" s="32">
        <f>IF(B4184="","",IFERROR(INDEX(Client_List!$C:$C,MATCH(VALUE(B4184),Client_List!$A:$A,0)),""))</f>
        <v/>
      </c>
      <c r="F4184" s="53">
        <f>IF(B4184="","",IFERROR(INDEX(Client_List!$D:$D,MATCH(VALUE(B4184),Client_List!$A:$A,0)),""))</f>
        <v/>
      </c>
      <c r="G4184" s="53">
        <f>IF(B4184="","",IFERROR(INDEX(Client_List!$K:$K,MATCH(VALUE(B4184),Client_List!$A:$A,0)),""))</f>
        <v/>
      </c>
      <c r="H4184" s="32">
        <f>IF(B4184="","",IFERROR(INDEX(Client_List!$J:$J,MATCH(VALUE(B4184),Client_List!$A:$A,0)),""))</f>
        <v/>
      </c>
      <c r="I4184" s="70">
        <f>IF(B4184="","",IFERROR(A4184-LOOKUP(2,1/($B$4:$B4183=B4184),$A$4:$A4183),""))</f>
        <v/>
      </c>
      <c r="J4184" s="32">
        <f>IF(B4184="","",IFERROR(D4184/I4184,""))</f>
        <v/>
      </c>
      <c r="K4184" s="71">
        <f>IF(B4184="","",IFERROR(AVERAGEIFS($J$4:$J4184,$B$4:$B4184,B4184,$J$4:$J4184,"&gt;"&amp;0),""))</f>
        <v/>
      </c>
      <c r="L4184" s="12" t="n"/>
    </row>
    <row r="4185" ht="14" customHeight="1" s="72">
      <c r="A4185" s="82" t="n"/>
      <c r="B4185" s="79" t="n"/>
      <c r="C4185" s="69">
        <f>IF(B4185="","",IFERROR(INDEX(Client_List!$B:$B,MATCH(B4185,Client_List!$A:$A,0)),"⚠ NOT FOUND"))</f>
        <v/>
      </c>
      <c r="D4185" s="44" t="n"/>
      <c r="E4185" s="32">
        <f>IF(B4185="","",IFERROR(INDEX(Client_List!$C:$C,MATCH(VALUE(B4185),Client_List!$A:$A,0)),""))</f>
        <v/>
      </c>
      <c r="F4185" s="53">
        <f>IF(B4185="","",IFERROR(INDEX(Client_List!$D:$D,MATCH(VALUE(B4185),Client_List!$A:$A,0)),""))</f>
        <v/>
      </c>
      <c r="G4185" s="53">
        <f>IF(B4185="","",IFERROR(INDEX(Client_List!$K:$K,MATCH(VALUE(B4185),Client_List!$A:$A,0)),""))</f>
        <v/>
      </c>
      <c r="H4185" s="32">
        <f>IF(B4185="","",IFERROR(INDEX(Client_List!$J:$J,MATCH(VALUE(B4185),Client_List!$A:$A,0)),""))</f>
        <v/>
      </c>
      <c r="I4185" s="70">
        <f>IF(B4185="","",IFERROR(A4185-LOOKUP(2,1/($B$4:$B4184=B4185),$A$4:$A4184),""))</f>
        <v/>
      </c>
      <c r="J4185" s="32">
        <f>IF(B4185="","",IFERROR(D4185/I4185,""))</f>
        <v/>
      </c>
      <c r="K4185" s="71">
        <f>IF(B4185="","",IFERROR(AVERAGEIFS($J$4:$J4185,$B$4:$B4185,B4185,$J$4:$J4185,"&gt;"&amp;0),""))</f>
        <v/>
      </c>
      <c r="L4185" s="11" t="n"/>
    </row>
    <row r="4186" ht="14" customHeight="1" s="72">
      <c r="A4186" s="83" t="n"/>
      <c r="B4186" s="81" t="n"/>
      <c r="C4186" s="69">
        <f>IF(B4186="","",IFERROR(INDEX(Client_List!$B:$B,MATCH(B4186,Client_List!$A:$A,0)),"⚠ NOT FOUND"))</f>
        <v/>
      </c>
      <c r="D4186" s="45" t="n"/>
      <c r="E4186" s="32">
        <f>IF(B4186="","",IFERROR(INDEX(Client_List!$C:$C,MATCH(VALUE(B4186),Client_List!$A:$A,0)),""))</f>
        <v/>
      </c>
      <c r="F4186" s="53">
        <f>IF(B4186="","",IFERROR(INDEX(Client_List!$D:$D,MATCH(VALUE(B4186),Client_List!$A:$A,0)),""))</f>
        <v/>
      </c>
      <c r="G4186" s="53">
        <f>IF(B4186="","",IFERROR(INDEX(Client_List!$K:$K,MATCH(VALUE(B4186),Client_List!$A:$A,0)),""))</f>
        <v/>
      </c>
      <c r="H4186" s="32">
        <f>IF(B4186="","",IFERROR(INDEX(Client_List!$J:$J,MATCH(VALUE(B4186),Client_List!$A:$A,0)),""))</f>
        <v/>
      </c>
      <c r="I4186" s="70">
        <f>IF(B4186="","",IFERROR(A4186-LOOKUP(2,1/($B$4:$B4185=B4186),$A$4:$A4185),""))</f>
        <v/>
      </c>
      <c r="J4186" s="32">
        <f>IF(B4186="","",IFERROR(D4186/I4186,""))</f>
        <v/>
      </c>
      <c r="K4186" s="71">
        <f>IF(B4186="","",IFERROR(AVERAGEIFS($J$4:$J4186,$B$4:$B4186,B4186,$J$4:$J4186,"&gt;"&amp;0),""))</f>
        <v/>
      </c>
      <c r="L4186" s="12" t="n"/>
    </row>
    <row r="4187" ht="14" customHeight="1" s="72">
      <c r="A4187" s="82" t="n"/>
      <c r="B4187" s="79" t="n"/>
      <c r="C4187" s="69">
        <f>IF(B4187="","",IFERROR(INDEX(Client_List!$B:$B,MATCH(B4187,Client_List!$A:$A,0)),"⚠ NOT FOUND"))</f>
        <v/>
      </c>
      <c r="D4187" s="44" t="n"/>
      <c r="E4187" s="32">
        <f>IF(B4187="","",IFERROR(INDEX(Client_List!$C:$C,MATCH(VALUE(B4187),Client_List!$A:$A,0)),""))</f>
        <v/>
      </c>
      <c r="F4187" s="53">
        <f>IF(B4187="","",IFERROR(INDEX(Client_List!$D:$D,MATCH(VALUE(B4187),Client_List!$A:$A,0)),""))</f>
        <v/>
      </c>
      <c r="G4187" s="53">
        <f>IF(B4187="","",IFERROR(INDEX(Client_List!$K:$K,MATCH(VALUE(B4187),Client_List!$A:$A,0)),""))</f>
        <v/>
      </c>
      <c r="H4187" s="32">
        <f>IF(B4187="","",IFERROR(INDEX(Client_List!$J:$J,MATCH(VALUE(B4187),Client_List!$A:$A,0)),""))</f>
        <v/>
      </c>
      <c r="I4187" s="70">
        <f>IF(B4187="","",IFERROR(A4187-LOOKUP(2,1/($B$4:$B4186=B4187),$A$4:$A4186),""))</f>
        <v/>
      </c>
      <c r="J4187" s="32">
        <f>IF(B4187="","",IFERROR(D4187/I4187,""))</f>
        <v/>
      </c>
      <c r="K4187" s="71">
        <f>IF(B4187="","",IFERROR(AVERAGEIFS($J$4:$J4187,$B$4:$B4187,B4187,$J$4:$J4187,"&gt;"&amp;0),""))</f>
        <v/>
      </c>
      <c r="L4187" s="11" t="n"/>
    </row>
    <row r="4188" ht="14" customHeight="1" s="72">
      <c r="A4188" s="83" t="n"/>
      <c r="B4188" s="81" t="n"/>
      <c r="C4188" s="69">
        <f>IF(B4188="","",IFERROR(INDEX(Client_List!$B:$B,MATCH(B4188,Client_List!$A:$A,0)),"⚠ NOT FOUND"))</f>
        <v/>
      </c>
      <c r="D4188" s="45" t="n"/>
      <c r="E4188" s="32">
        <f>IF(B4188="","",IFERROR(INDEX(Client_List!$C:$C,MATCH(VALUE(B4188),Client_List!$A:$A,0)),""))</f>
        <v/>
      </c>
      <c r="F4188" s="53">
        <f>IF(B4188="","",IFERROR(INDEX(Client_List!$D:$D,MATCH(VALUE(B4188),Client_List!$A:$A,0)),""))</f>
        <v/>
      </c>
      <c r="G4188" s="53">
        <f>IF(B4188="","",IFERROR(INDEX(Client_List!$K:$K,MATCH(VALUE(B4188),Client_List!$A:$A,0)),""))</f>
        <v/>
      </c>
      <c r="H4188" s="32">
        <f>IF(B4188="","",IFERROR(INDEX(Client_List!$J:$J,MATCH(VALUE(B4188),Client_List!$A:$A,0)),""))</f>
        <v/>
      </c>
      <c r="I4188" s="70">
        <f>IF(B4188="","",IFERROR(A4188-LOOKUP(2,1/($B$4:$B4187=B4188),$A$4:$A4187),""))</f>
        <v/>
      </c>
      <c r="J4188" s="32">
        <f>IF(B4188="","",IFERROR(D4188/I4188,""))</f>
        <v/>
      </c>
      <c r="K4188" s="71">
        <f>IF(B4188="","",IFERROR(AVERAGEIFS($J$4:$J4188,$B$4:$B4188,B4188,$J$4:$J4188,"&gt;"&amp;0),""))</f>
        <v/>
      </c>
      <c r="L4188" s="12" t="n"/>
    </row>
    <row r="4189" ht="14" customHeight="1" s="72">
      <c r="A4189" s="82" t="n"/>
      <c r="B4189" s="79" t="n"/>
      <c r="C4189" s="69">
        <f>IF(B4189="","",IFERROR(INDEX(Client_List!$B:$B,MATCH(B4189,Client_List!$A:$A,0)),"⚠ NOT FOUND"))</f>
        <v/>
      </c>
      <c r="D4189" s="44" t="n"/>
      <c r="E4189" s="32">
        <f>IF(B4189="","",IFERROR(INDEX(Client_List!$C:$C,MATCH(VALUE(B4189),Client_List!$A:$A,0)),""))</f>
        <v/>
      </c>
      <c r="F4189" s="53">
        <f>IF(B4189="","",IFERROR(INDEX(Client_List!$D:$D,MATCH(VALUE(B4189),Client_List!$A:$A,0)),""))</f>
        <v/>
      </c>
      <c r="G4189" s="53">
        <f>IF(B4189="","",IFERROR(INDEX(Client_List!$K:$K,MATCH(VALUE(B4189),Client_List!$A:$A,0)),""))</f>
        <v/>
      </c>
      <c r="H4189" s="32">
        <f>IF(B4189="","",IFERROR(INDEX(Client_List!$J:$J,MATCH(VALUE(B4189),Client_List!$A:$A,0)),""))</f>
        <v/>
      </c>
      <c r="I4189" s="70">
        <f>IF(B4189="","",IFERROR(A4189-LOOKUP(2,1/($B$4:$B4188=B4189),$A$4:$A4188),""))</f>
        <v/>
      </c>
      <c r="J4189" s="32">
        <f>IF(B4189="","",IFERROR(D4189/I4189,""))</f>
        <v/>
      </c>
      <c r="K4189" s="71">
        <f>IF(B4189="","",IFERROR(AVERAGEIFS($J$4:$J4189,$B$4:$B4189,B4189,$J$4:$J4189,"&gt;"&amp;0),""))</f>
        <v/>
      </c>
      <c r="L4189" s="11" t="n"/>
    </row>
    <row r="4190" ht="14" customHeight="1" s="72">
      <c r="A4190" s="83" t="n"/>
      <c r="B4190" s="81" t="n"/>
      <c r="C4190" s="69">
        <f>IF(B4190="","",IFERROR(INDEX(Client_List!$B:$B,MATCH(B4190,Client_List!$A:$A,0)),"⚠ NOT FOUND"))</f>
        <v/>
      </c>
      <c r="D4190" s="45" t="n"/>
      <c r="E4190" s="32">
        <f>IF(B4190="","",IFERROR(INDEX(Client_List!$C:$C,MATCH(VALUE(B4190),Client_List!$A:$A,0)),""))</f>
        <v/>
      </c>
      <c r="F4190" s="53">
        <f>IF(B4190="","",IFERROR(INDEX(Client_List!$D:$D,MATCH(VALUE(B4190),Client_List!$A:$A,0)),""))</f>
        <v/>
      </c>
      <c r="G4190" s="53">
        <f>IF(B4190="","",IFERROR(INDEX(Client_List!$K:$K,MATCH(VALUE(B4190),Client_List!$A:$A,0)),""))</f>
        <v/>
      </c>
      <c r="H4190" s="32">
        <f>IF(B4190="","",IFERROR(INDEX(Client_List!$J:$J,MATCH(VALUE(B4190),Client_List!$A:$A,0)),""))</f>
        <v/>
      </c>
      <c r="I4190" s="70">
        <f>IF(B4190="","",IFERROR(A4190-LOOKUP(2,1/($B$4:$B4189=B4190),$A$4:$A4189),""))</f>
        <v/>
      </c>
      <c r="J4190" s="32">
        <f>IF(B4190="","",IFERROR(D4190/I4190,""))</f>
        <v/>
      </c>
      <c r="K4190" s="71">
        <f>IF(B4190="","",IFERROR(AVERAGEIFS($J$4:$J4190,$B$4:$B4190,B4190,$J$4:$J4190,"&gt;"&amp;0),""))</f>
        <v/>
      </c>
      <c r="L4190" s="12" t="n"/>
    </row>
    <row r="4191" ht="14" customHeight="1" s="72">
      <c r="A4191" s="82" t="n"/>
      <c r="B4191" s="79" t="n"/>
      <c r="C4191" s="69">
        <f>IF(B4191="","",IFERROR(INDEX(Client_List!$B:$B,MATCH(B4191,Client_List!$A:$A,0)),"⚠ NOT FOUND"))</f>
        <v/>
      </c>
      <c r="D4191" s="44" t="n"/>
      <c r="E4191" s="32">
        <f>IF(B4191="","",IFERROR(INDEX(Client_List!$C:$C,MATCH(VALUE(B4191),Client_List!$A:$A,0)),""))</f>
        <v/>
      </c>
      <c r="F4191" s="53">
        <f>IF(B4191="","",IFERROR(INDEX(Client_List!$D:$D,MATCH(VALUE(B4191),Client_List!$A:$A,0)),""))</f>
        <v/>
      </c>
      <c r="G4191" s="53">
        <f>IF(B4191="","",IFERROR(INDEX(Client_List!$K:$K,MATCH(VALUE(B4191),Client_List!$A:$A,0)),""))</f>
        <v/>
      </c>
      <c r="H4191" s="32">
        <f>IF(B4191="","",IFERROR(INDEX(Client_List!$J:$J,MATCH(VALUE(B4191),Client_List!$A:$A,0)),""))</f>
        <v/>
      </c>
      <c r="I4191" s="70">
        <f>IF(B4191="","",IFERROR(A4191-LOOKUP(2,1/($B$4:$B4190=B4191),$A$4:$A4190),""))</f>
        <v/>
      </c>
      <c r="J4191" s="32">
        <f>IF(B4191="","",IFERROR(D4191/I4191,""))</f>
        <v/>
      </c>
      <c r="K4191" s="71">
        <f>IF(B4191="","",IFERROR(AVERAGEIFS($J$4:$J4191,$B$4:$B4191,B4191,$J$4:$J4191,"&gt;"&amp;0),""))</f>
        <v/>
      </c>
      <c r="L4191" s="11" t="n"/>
    </row>
    <row r="4192" ht="14" customHeight="1" s="72">
      <c r="A4192" s="83" t="n"/>
      <c r="B4192" s="81" t="n"/>
      <c r="C4192" s="69">
        <f>IF(B4192="","",IFERROR(INDEX(Client_List!$B:$B,MATCH(B4192,Client_List!$A:$A,0)),"⚠ NOT FOUND"))</f>
        <v/>
      </c>
      <c r="D4192" s="45" t="n"/>
      <c r="E4192" s="32">
        <f>IF(B4192="","",IFERROR(INDEX(Client_List!$C:$C,MATCH(VALUE(B4192),Client_List!$A:$A,0)),""))</f>
        <v/>
      </c>
      <c r="F4192" s="53">
        <f>IF(B4192="","",IFERROR(INDEX(Client_List!$D:$D,MATCH(VALUE(B4192),Client_List!$A:$A,0)),""))</f>
        <v/>
      </c>
      <c r="G4192" s="53">
        <f>IF(B4192="","",IFERROR(INDEX(Client_List!$K:$K,MATCH(VALUE(B4192),Client_List!$A:$A,0)),""))</f>
        <v/>
      </c>
      <c r="H4192" s="32">
        <f>IF(B4192="","",IFERROR(INDEX(Client_List!$J:$J,MATCH(VALUE(B4192),Client_List!$A:$A,0)),""))</f>
        <v/>
      </c>
      <c r="I4192" s="70">
        <f>IF(B4192="","",IFERROR(A4192-LOOKUP(2,1/($B$4:$B4191=B4192),$A$4:$A4191),""))</f>
        <v/>
      </c>
      <c r="J4192" s="32">
        <f>IF(B4192="","",IFERROR(D4192/I4192,""))</f>
        <v/>
      </c>
      <c r="K4192" s="71">
        <f>IF(B4192="","",IFERROR(AVERAGEIFS($J$4:$J4192,$B$4:$B4192,B4192,$J$4:$J4192,"&gt;"&amp;0),""))</f>
        <v/>
      </c>
      <c r="L4192" s="12" t="n"/>
    </row>
    <row r="4193" ht="14" customHeight="1" s="72">
      <c r="A4193" s="82" t="n"/>
      <c r="B4193" s="79" t="n"/>
      <c r="C4193" s="69">
        <f>IF(B4193="","",IFERROR(INDEX(Client_List!$B:$B,MATCH(B4193,Client_List!$A:$A,0)),"⚠ NOT FOUND"))</f>
        <v/>
      </c>
      <c r="D4193" s="44" t="n"/>
      <c r="E4193" s="32">
        <f>IF(B4193="","",IFERROR(INDEX(Client_List!$C:$C,MATCH(VALUE(B4193),Client_List!$A:$A,0)),""))</f>
        <v/>
      </c>
      <c r="F4193" s="53">
        <f>IF(B4193="","",IFERROR(INDEX(Client_List!$D:$D,MATCH(VALUE(B4193),Client_List!$A:$A,0)),""))</f>
        <v/>
      </c>
      <c r="G4193" s="53">
        <f>IF(B4193="","",IFERROR(INDEX(Client_List!$K:$K,MATCH(VALUE(B4193),Client_List!$A:$A,0)),""))</f>
        <v/>
      </c>
      <c r="H4193" s="32">
        <f>IF(B4193="","",IFERROR(INDEX(Client_List!$J:$J,MATCH(VALUE(B4193),Client_List!$A:$A,0)),""))</f>
        <v/>
      </c>
      <c r="I4193" s="70">
        <f>IF(B4193="","",IFERROR(A4193-LOOKUP(2,1/($B$4:$B4192=B4193),$A$4:$A4192),""))</f>
        <v/>
      </c>
      <c r="J4193" s="32">
        <f>IF(B4193="","",IFERROR(D4193/I4193,""))</f>
        <v/>
      </c>
      <c r="K4193" s="71">
        <f>IF(B4193="","",IFERROR(AVERAGEIFS($J$4:$J4193,$B$4:$B4193,B4193,$J$4:$J4193,"&gt;"&amp;0),""))</f>
        <v/>
      </c>
      <c r="L4193" s="11" t="n"/>
    </row>
    <row r="4194" ht="14" customHeight="1" s="72">
      <c r="A4194" s="83" t="n"/>
      <c r="B4194" s="81" t="n"/>
      <c r="C4194" s="69">
        <f>IF(B4194="","",IFERROR(INDEX(Client_List!$B:$B,MATCH(B4194,Client_List!$A:$A,0)),"⚠ NOT FOUND"))</f>
        <v/>
      </c>
      <c r="D4194" s="45" t="n"/>
      <c r="E4194" s="32">
        <f>IF(B4194="","",IFERROR(INDEX(Client_List!$C:$C,MATCH(VALUE(B4194),Client_List!$A:$A,0)),""))</f>
        <v/>
      </c>
      <c r="F4194" s="53">
        <f>IF(B4194="","",IFERROR(INDEX(Client_List!$D:$D,MATCH(VALUE(B4194),Client_List!$A:$A,0)),""))</f>
        <v/>
      </c>
      <c r="G4194" s="53">
        <f>IF(B4194="","",IFERROR(INDEX(Client_List!$K:$K,MATCH(VALUE(B4194),Client_List!$A:$A,0)),""))</f>
        <v/>
      </c>
      <c r="H4194" s="32">
        <f>IF(B4194="","",IFERROR(INDEX(Client_List!$J:$J,MATCH(VALUE(B4194),Client_List!$A:$A,0)),""))</f>
        <v/>
      </c>
      <c r="I4194" s="70">
        <f>IF(B4194="","",IFERROR(A4194-LOOKUP(2,1/($B$4:$B4193=B4194),$A$4:$A4193),""))</f>
        <v/>
      </c>
      <c r="J4194" s="32">
        <f>IF(B4194="","",IFERROR(D4194/I4194,""))</f>
        <v/>
      </c>
      <c r="K4194" s="71">
        <f>IF(B4194="","",IFERROR(AVERAGEIFS($J$4:$J4194,$B$4:$B4194,B4194,$J$4:$J4194,"&gt;"&amp;0),""))</f>
        <v/>
      </c>
      <c r="L4194" s="12" t="n"/>
    </row>
    <row r="4195" ht="14" customHeight="1" s="72">
      <c r="A4195" s="82" t="n"/>
      <c r="B4195" s="79" t="n"/>
      <c r="C4195" s="69">
        <f>IF(B4195="","",IFERROR(INDEX(Client_List!$B:$B,MATCH(B4195,Client_List!$A:$A,0)),"⚠ NOT FOUND"))</f>
        <v/>
      </c>
      <c r="D4195" s="44" t="n"/>
      <c r="E4195" s="32">
        <f>IF(B4195="","",IFERROR(INDEX(Client_List!$C:$C,MATCH(VALUE(B4195),Client_List!$A:$A,0)),""))</f>
        <v/>
      </c>
      <c r="F4195" s="53">
        <f>IF(B4195="","",IFERROR(INDEX(Client_List!$D:$D,MATCH(VALUE(B4195),Client_List!$A:$A,0)),""))</f>
        <v/>
      </c>
      <c r="G4195" s="53">
        <f>IF(B4195="","",IFERROR(INDEX(Client_List!$K:$K,MATCH(VALUE(B4195),Client_List!$A:$A,0)),""))</f>
        <v/>
      </c>
      <c r="H4195" s="32">
        <f>IF(B4195="","",IFERROR(INDEX(Client_List!$J:$J,MATCH(VALUE(B4195),Client_List!$A:$A,0)),""))</f>
        <v/>
      </c>
      <c r="I4195" s="70">
        <f>IF(B4195="","",IFERROR(A4195-LOOKUP(2,1/($B$4:$B4194=B4195),$A$4:$A4194),""))</f>
        <v/>
      </c>
      <c r="J4195" s="32">
        <f>IF(B4195="","",IFERROR(D4195/I4195,""))</f>
        <v/>
      </c>
      <c r="K4195" s="71">
        <f>IF(B4195="","",IFERROR(AVERAGEIFS($J$4:$J4195,$B$4:$B4195,B4195,$J$4:$J4195,"&gt;"&amp;0),""))</f>
        <v/>
      </c>
      <c r="L4195" s="11" t="n"/>
    </row>
    <row r="4196" ht="14" customHeight="1" s="72">
      <c r="A4196" s="83" t="n"/>
      <c r="B4196" s="81" t="n"/>
      <c r="C4196" s="69">
        <f>IF(B4196="","",IFERROR(INDEX(Client_List!$B:$B,MATCH(B4196,Client_List!$A:$A,0)),"⚠ NOT FOUND"))</f>
        <v/>
      </c>
      <c r="D4196" s="45" t="n"/>
      <c r="E4196" s="32">
        <f>IF(B4196="","",IFERROR(INDEX(Client_List!$C:$C,MATCH(VALUE(B4196),Client_List!$A:$A,0)),""))</f>
        <v/>
      </c>
      <c r="F4196" s="53">
        <f>IF(B4196="","",IFERROR(INDEX(Client_List!$D:$D,MATCH(VALUE(B4196),Client_List!$A:$A,0)),""))</f>
        <v/>
      </c>
      <c r="G4196" s="53">
        <f>IF(B4196="","",IFERROR(INDEX(Client_List!$K:$K,MATCH(VALUE(B4196),Client_List!$A:$A,0)),""))</f>
        <v/>
      </c>
      <c r="H4196" s="32">
        <f>IF(B4196="","",IFERROR(INDEX(Client_List!$J:$J,MATCH(VALUE(B4196),Client_List!$A:$A,0)),""))</f>
        <v/>
      </c>
      <c r="I4196" s="70">
        <f>IF(B4196="","",IFERROR(A4196-LOOKUP(2,1/($B$4:$B4195=B4196),$A$4:$A4195),""))</f>
        <v/>
      </c>
      <c r="J4196" s="32">
        <f>IF(B4196="","",IFERROR(D4196/I4196,""))</f>
        <v/>
      </c>
      <c r="K4196" s="71">
        <f>IF(B4196="","",IFERROR(AVERAGEIFS($J$4:$J4196,$B$4:$B4196,B4196,$J$4:$J4196,"&gt;"&amp;0),""))</f>
        <v/>
      </c>
      <c r="L4196" s="12" t="n"/>
    </row>
    <row r="4197" ht="14" customHeight="1" s="72">
      <c r="A4197" s="82" t="n"/>
      <c r="B4197" s="79" t="n"/>
      <c r="C4197" s="69">
        <f>IF(B4197="","",IFERROR(INDEX(Client_List!$B:$B,MATCH(B4197,Client_List!$A:$A,0)),"⚠ NOT FOUND"))</f>
        <v/>
      </c>
      <c r="D4197" s="44" t="n"/>
      <c r="E4197" s="32">
        <f>IF(B4197="","",IFERROR(INDEX(Client_List!$C:$C,MATCH(VALUE(B4197),Client_List!$A:$A,0)),""))</f>
        <v/>
      </c>
      <c r="F4197" s="53">
        <f>IF(B4197="","",IFERROR(INDEX(Client_List!$D:$D,MATCH(VALUE(B4197),Client_List!$A:$A,0)),""))</f>
        <v/>
      </c>
      <c r="G4197" s="53">
        <f>IF(B4197="","",IFERROR(INDEX(Client_List!$K:$K,MATCH(VALUE(B4197),Client_List!$A:$A,0)),""))</f>
        <v/>
      </c>
      <c r="H4197" s="32">
        <f>IF(B4197="","",IFERROR(INDEX(Client_List!$J:$J,MATCH(VALUE(B4197),Client_List!$A:$A,0)),""))</f>
        <v/>
      </c>
      <c r="I4197" s="70">
        <f>IF(B4197="","",IFERROR(A4197-LOOKUP(2,1/($B$4:$B4196=B4197),$A$4:$A4196),""))</f>
        <v/>
      </c>
      <c r="J4197" s="32">
        <f>IF(B4197="","",IFERROR(D4197/I4197,""))</f>
        <v/>
      </c>
      <c r="K4197" s="71">
        <f>IF(B4197="","",IFERROR(AVERAGEIFS($J$4:$J4197,$B$4:$B4197,B4197,$J$4:$J4197,"&gt;"&amp;0),""))</f>
        <v/>
      </c>
      <c r="L4197" s="11" t="n"/>
    </row>
    <row r="4198" ht="14" customHeight="1" s="72">
      <c r="A4198" s="83" t="n"/>
      <c r="B4198" s="81" t="n"/>
      <c r="C4198" s="69">
        <f>IF(B4198="","",IFERROR(INDEX(Client_List!$B:$B,MATCH(B4198,Client_List!$A:$A,0)),"⚠ NOT FOUND"))</f>
        <v/>
      </c>
      <c r="D4198" s="45" t="n"/>
      <c r="E4198" s="32">
        <f>IF(B4198="","",IFERROR(INDEX(Client_List!$C:$C,MATCH(VALUE(B4198),Client_List!$A:$A,0)),""))</f>
        <v/>
      </c>
      <c r="F4198" s="53">
        <f>IF(B4198="","",IFERROR(INDEX(Client_List!$D:$D,MATCH(VALUE(B4198),Client_List!$A:$A,0)),""))</f>
        <v/>
      </c>
      <c r="G4198" s="53">
        <f>IF(B4198="","",IFERROR(INDEX(Client_List!$K:$K,MATCH(VALUE(B4198),Client_List!$A:$A,0)),""))</f>
        <v/>
      </c>
      <c r="H4198" s="32">
        <f>IF(B4198="","",IFERROR(INDEX(Client_List!$J:$J,MATCH(VALUE(B4198),Client_List!$A:$A,0)),""))</f>
        <v/>
      </c>
      <c r="I4198" s="70">
        <f>IF(B4198="","",IFERROR(A4198-LOOKUP(2,1/($B$4:$B4197=B4198),$A$4:$A4197),""))</f>
        <v/>
      </c>
      <c r="J4198" s="32">
        <f>IF(B4198="","",IFERROR(D4198/I4198,""))</f>
        <v/>
      </c>
      <c r="K4198" s="71">
        <f>IF(B4198="","",IFERROR(AVERAGEIFS($J$4:$J4198,$B$4:$B4198,B4198,$J$4:$J4198,"&gt;"&amp;0),""))</f>
        <v/>
      </c>
      <c r="L4198" s="12" t="n"/>
    </row>
    <row r="4199" ht="14" customHeight="1" s="72">
      <c r="A4199" s="82" t="n"/>
      <c r="B4199" s="79" t="n"/>
      <c r="C4199" s="69">
        <f>IF(B4199="","",IFERROR(INDEX(Client_List!$B:$B,MATCH(B4199,Client_List!$A:$A,0)),"⚠ NOT FOUND"))</f>
        <v/>
      </c>
      <c r="D4199" s="44" t="n"/>
      <c r="E4199" s="32">
        <f>IF(B4199="","",IFERROR(INDEX(Client_List!$C:$C,MATCH(VALUE(B4199),Client_List!$A:$A,0)),""))</f>
        <v/>
      </c>
      <c r="F4199" s="53">
        <f>IF(B4199="","",IFERROR(INDEX(Client_List!$D:$D,MATCH(VALUE(B4199),Client_List!$A:$A,0)),""))</f>
        <v/>
      </c>
      <c r="G4199" s="53">
        <f>IF(B4199="","",IFERROR(INDEX(Client_List!$K:$K,MATCH(VALUE(B4199),Client_List!$A:$A,0)),""))</f>
        <v/>
      </c>
      <c r="H4199" s="32">
        <f>IF(B4199="","",IFERROR(INDEX(Client_List!$J:$J,MATCH(VALUE(B4199),Client_List!$A:$A,0)),""))</f>
        <v/>
      </c>
      <c r="I4199" s="70">
        <f>IF(B4199="","",IFERROR(A4199-LOOKUP(2,1/($B$4:$B4198=B4199),$A$4:$A4198),""))</f>
        <v/>
      </c>
      <c r="J4199" s="32">
        <f>IF(B4199="","",IFERROR(D4199/I4199,""))</f>
        <v/>
      </c>
      <c r="K4199" s="71">
        <f>IF(B4199="","",IFERROR(AVERAGEIFS($J$4:$J4199,$B$4:$B4199,B4199,$J$4:$J4199,"&gt;"&amp;0),""))</f>
        <v/>
      </c>
      <c r="L4199" s="11" t="n"/>
    </row>
    <row r="4200" ht="14" customHeight="1" s="72">
      <c r="A4200" s="83" t="n"/>
      <c r="B4200" s="81" t="n"/>
      <c r="C4200" s="69">
        <f>IF(B4200="","",IFERROR(INDEX(Client_List!$B:$B,MATCH(B4200,Client_List!$A:$A,0)),"⚠ NOT FOUND"))</f>
        <v/>
      </c>
      <c r="D4200" s="45" t="n"/>
      <c r="E4200" s="32">
        <f>IF(B4200="","",IFERROR(INDEX(Client_List!$C:$C,MATCH(VALUE(B4200),Client_List!$A:$A,0)),""))</f>
        <v/>
      </c>
      <c r="F4200" s="53">
        <f>IF(B4200="","",IFERROR(INDEX(Client_List!$D:$D,MATCH(VALUE(B4200),Client_List!$A:$A,0)),""))</f>
        <v/>
      </c>
      <c r="G4200" s="53">
        <f>IF(B4200="","",IFERROR(INDEX(Client_List!$K:$K,MATCH(VALUE(B4200),Client_List!$A:$A,0)),""))</f>
        <v/>
      </c>
      <c r="H4200" s="32">
        <f>IF(B4200="","",IFERROR(INDEX(Client_List!$J:$J,MATCH(VALUE(B4200),Client_List!$A:$A,0)),""))</f>
        <v/>
      </c>
      <c r="I4200" s="70">
        <f>IF(B4200="","",IFERROR(A4200-LOOKUP(2,1/($B$4:$B4199=B4200),$A$4:$A4199),""))</f>
        <v/>
      </c>
      <c r="J4200" s="32">
        <f>IF(B4200="","",IFERROR(D4200/I4200,""))</f>
        <v/>
      </c>
      <c r="K4200" s="71">
        <f>IF(B4200="","",IFERROR(AVERAGEIFS($J$4:$J4200,$B$4:$B4200,B4200,$J$4:$J4200,"&gt;"&amp;0),""))</f>
        <v/>
      </c>
      <c r="L4200" s="12" t="n"/>
    </row>
    <row r="4201" ht="14" customHeight="1" s="72">
      <c r="A4201" s="82" t="n"/>
      <c r="B4201" s="79" t="n"/>
      <c r="C4201" s="69">
        <f>IF(B4201="","",IFERROR(INDEX(Client_List!$B:$B,MATCH(B4201,Client_List!$A:$A,0)),"⚠ NOT FOUND"))</f>
        <v/>
      </c>
      <c r="D4201" s="44" t="n"/>
      <c r="E4201" s="32">
        <f>IF(B4201="","",IFERROR(INDEX(Client_List!$C:$C,MATCH(VALUE(B4201),Client_List!$A:$A,0)),""))</f>
        <v/>
      </c>
      <c r="F4201" s="53">
        <f>IF(B4201="","",IFERROR(INDEX(Client_List!$D:$D,MATCH(VALUE(B4201),Client_List!$A:$A,0)),""))</f>
        <v/>
      </c>
      <c r="G4201" s="53">
        <f>IF(B4201="","",IFERROR(INDEX(Client_List!$K:$K,MATCH(VALUE(B4201),Client_List!$A:$A,0)),""))</f>
        <v/>
      </c>
      <c r="H4201" s="32">
        <f>IF(B4201="","",IFERROR(INDEX(Client_List!$J:$J,MATCH(VALUE(B4201),Client_List!$A:$A,0)),""))</f>
        <v/>
      </c>
      <c r="I4201" s="70">
        <f>IF(B4201="","",IFERROR(A4201-LOOKUP(2,1/($B$4:$B4200=B4201),$A$4:$A4200),""))</f>
        <v/>
      </c>
      <c r="J4201" s="32">
        <f>IF(B4201="","",IFERROR(D4201/I4201,""))</f>
        <v/>
      </c>
      <c r="K4201" s="71">
        <f>IF(B4201="","",IFERROR(AVERAGEIFS($J$4:$J4201,$B$4:$B4201,B4201,$J$4:$J4201,"&gt;"&amp;0),""))</f>
        <v/>
      </c>
      <c r="L4201" s="11" t="n"/>
    </row>
    <row r="4202" ht="14" customHeight="1" s="72">
      <c r="A4202" s="83" t="n"/>
      <c r="B4202" s="81" t="n"/>
      <c r="C4202" s="69">
        <f>IF(B4202="","",IFERROR(INDEX(Client_List!$B:$B,MATCH(B4202,Client_List!$A:$A,0)),"⚠ NOT FOUND"))</f>
        <v/>
      </c>
      <c r="D4202" s="45" t="n"/>
      <c r="E4202" s="32">
        <f>IF(B4202="","",IFERROR(INDEX(Client_List!$C:$C,MATCH(VALUE(B4202),Client_List!$A:$A,0)),""))</f>
        <v/>
      </c>
      <c r="F4202" s="53">
        <f>IF(B4202="","",IFERROR(INDEX(Client_List!$D:$D,MATCH(VALUE(B4202),Client_List!$A:$A,0)),""))</f>
        <v/>
      </c>
      <c r="G4202" s="53">
        <f>IF(B4202="","",IFERROR(INDEX(Client_List!$K:$K,MATCH(VALUE(B4202),Client_List!$A:$A,0)),""))</f>
        <v/>
      </c>
      <c r="H4202" s="32">
        <f>IF(B4202="","",IFERROR(INDEX(Client_List!$J:$J,MATCH(VALUE(B4202),Client_List!$A:$A,0)),""))</f>
        <v/>
      </c>
      <c r="I4202" s="70">
        <f>IF(B4202="","",IFERROR(A4202-LOOKUP(2,1/($B$4:$B4201=B4202),$A$4:$A4201),""))</f>
        <v/>
      </c>
      <c r="J4202" s="32">
        <f>IF(B4202="","",IFERROR(D4202/I4202,""))</f>
        <v/>
      </c>
      <c r="K4202" s="71">
        <f>IF(B4202="","",IFERROR(AVERAGEIFS($J$4:$J4202,$B$4:$B4202,B4202,$J$4:$J4202,"&gt;"&amp;0),""))</f>
        <v/>
      </c>
      <c r="L4202" s="12" t="n"/>
    </row>
    <row r="4203" ht="14" customHeight="1" s="72">
      <c r="A4203" s="82" t="n"/>
      <c r="B4203" s="79" t="n"/>
      <c r="C4203" s="69">
        <f>IF(B4203="","",IFERROR(INDEX(Client_List!$B:$B,MATCH(B4203,Client_List!$A:$A,0)),"⚠ NOT FOUND"))</f>
        <v/>
      </c>
      <c r="D4203" s="44" t="n"/>
      <c r="E4203" s="32">
        <f>IF(B4203="","",IFERROR(INDEX(Client_List!$C:$C,MATCH(VALUE(B4203),Client_List!$A:$A,0)),""))</f>
        <v/>
      </c>
      <c r="F4203" s="53">
        <f>IF(B4203="","",IFERROR(INDEX(Client_List!$D:$D,MATCH(VALUE(B4203),Client_List!$A:$A,0)),""))</f>
        <v/>
      </c>
      <c r="G4203" s="53">
        <f>IF(B4203="","",IFERROR(INDEX(Client_List!$K:$K,MATCH(VALUE(B4203),Client_List!$A:$A,0)),""))</f>
        <v/>
      </c>
      <c r="H4203" s="32">
        <f>IF(B4203="","",IFERROR(INDEX(Client_List!$J:$J,MATCH(VALUE(B4203),Client_List!$A:$A,0)),""))</f>
        <v/>
      </c>
      <c r="I4203" s="70">
        <f>IF(B4203="","",IFERROR(A4203-LOOKUP(2,1/($B$4:$B4202=B4203),$A$4:$A4202),""))</f>
        <v/>
      </c>
      <c r="J4203" s="32">
        <f>IF(B4203="","",IFERROR(D4203/I4203,""))</f>
        <v/>
      </c>
      <c r="K4203" s="71">
        <f>IF(B4203="","",IFERROR(AVERAGEIFS($J$4:$J4203,$B$4:$B4203,B4203,$J$4:$J4203,"&gt;"&amp;0),""))</f>
        <v/>
      </c>
      <c r="L4203" s="11" t="n"/>
    </row>
    <row r="4204" ht="14" customHeight="1" s="72">
      <c r="A4204" s="83" t="n"/>
      <c r="B4204" s="81" t="n"/>
      <c r="C4204" s="69">
        <f>IF(B4204="","",IFERROR(INDEX(Client_List!$B:$B,MATCH(B4204,Client_List!$A:$A,0)),"⚠ NOT FOUND"))</f>
        <v/>
      </c>
      <c r="D4204" s="45" t="n"/>
      <c r="E4204" s="32">
        <f>IF(B4204="","",IFERROR(INDEX(Client_List!$C:$C,MATCH(VALUE(B4204),Client_List!$A:$A,0)),""))</f>
        <v/>
      </c>
      <c r="F4204" s="53">
        <f>IF(B4204="","",IFERROR(INDEX(Client_List!$D:$D,MATCH(VALUE(B4204),Client_List!$A:$A,0)),""))</f>
        <v/>
      </c>
      <c r="G4204" s="53">
        <f>IF(B4204="","",IFERROR(INDEX(Client_List!$K:$K,MATCH(VALUE(B4204),Client_List!$A:$A,0)),""))</f>
        <v/>
      </c>
      <c r="H4204" s="32">
        <f>IF(B4204="","",IFERROR(INDEX(Client_List!$J:$J,MATCH(VALUE(B4204),Client_List!$A:$A,0)),""))</f>
        <v/>
      </c>
      <c r="I4204" s="70">
        <f>IF(B4204="","",IFERROR(A4204-LOOKUP(2,1/($B$4:$B4203=B4204),$A$4:$A4203),""))</f>
        <v/>
      </c>
      <c r="J4204" s="32">
        <f>IF(B4204="","",IFERROR(D4204/I4204,""))</f>
        <v/>
      </c>
      <c r="K4204" s="71">
        <f>IF(B4204="","",IFERROR(AVERAGEIFS($J$4:$J4204,$B$4:$B4204,B4204,$J$4:$J4204,"&gt;"&amp;0),""))</f>
        <v/>
      </c>
      <c r="L4204" s="12" t="n"/>
    </row>
    <row r="4205" ht="14" customHeight="1" s="72">
      <c r="A4205" s="82" t="n"/>
      <c r="B4205" s="79" t="n"/>
      <c r="C4205" s="69">
        <f>IF(B4205="","",IFERROR(INDEX(Client_List!$B:$B,MATCH(B4205,Client_List!$A:$A,0)),"⚠ NOT FOUND"))</f>
        <v/>
      </c>
      <c r="D4205" s="44" t="n"/>
      <c r="E4205" s="32">
        <f>IF(B4205="","",IFERROR(INDEX(Client_List!$C:$C,MATCH(VALUE(B4205),Client_List!$A:$A,0)),""))</f>
        <v/>
      </c>
      <c r="F4205" s="53">
        <f>IF(B4205="","",IFERROR(INDEX(Client_List!$D:$D,MATCH(VALUE(B4205),Client_List!$A:$A,0)),""))</f>
        <v/>
      </c>
      <c r="G4205" s="53">
        <f>IF(B4205="","",IFERROR(INDEX(Client_List!$K:$K,MATCH(VALUE(B4205),Client_List!$A:$A,0)),""))</f>
        <v/>
      </c>
      <c r="H4205" s="32">
        <f>IF(B4205="","",IFERROR(INDEX(Client_List!$J:$J,MATCH(VALUE(B4205),Client_List!$A:$A,0)),""))</f>
        <v/>
      </c>
      <c r="I4205" s="70">
        <f>IF(B4205="","",IFERROR(A4205-LOOKUP(2,1/($B$4:$B4204=B4205),$A$4:$A4204),""))</f>
        <v/>
      </c>
      <c r="J4205" s="32">
        <f>IF(B4205="","",IFERROR(D4205/I4205,""))</f>
        <v/>
      </c>
      <c r="K4205" s="71">
        <f>IF(B4205="","",IFERROR(AVERAGEIFS($J$4:$J4205,$B$4:$B4205,B4205,$J$4:$J4205,"&gt;"&amp;0),""))</f>
        <v/>
      </c>
      <c r="L4205" s="11" t="n"/>
    </row>
    <row r="4206" ht="14" customHeight="1" s="72">
      <c r="A4206" s="83" t="n"/>
      <c r="B4206" s="81" t="n"/>
      <c r="C4206" s="69">
        <f>IF(B4206="","",IFERROR(INDEX(Client_List!$B:$B,MATCH(B4206,Client_List!$A:$A,0)),"⚠ NOT FOUND"))</f>
        <v/>
      </c>
      <c r="D4206" s="45" t="n"/>
      <c r="E4206" s="32">
        <f>IF(B4206="","",IFERROR(INDEX(Client_List!$C:$C,MATCH(VALUE(B4206),Client_List!$A:$A,0)),""))</f>
        <v/>
      </c>
      <c r="F4206" s="53">
        <f>IF(B4206="","",IFERROR(INDEX(Client_List!$D:$D,MATCH(VALUE(B4206),Client_List!$A:$A,0)),""))</f>
        <v/>
      </c>
      <c r="G4206" s="53">
        <f>IF(B4206="","",IFERROR(INDEX(Client_List!$K:$K,MATCH(VALUE(B4206),Client_List!$A:$A,0)),""))</f>
        <v/>
      </c>
      <c r="H4206" s="32">
        <f>IF(B4206="","",IFERROR(INDEX(Client_List!$J:$J,MATCH(VALUE(B4206),Client_List!$A:$A,0)),""))</f>
        <v/>
      </c>
      <c r="I4206" s="70">
        <f>IF(B4206="","",IFERROR(A4206-LOOKUP(2,1/($B$4:$B4205=B4206),$A$4:$A4205),""))</f>
        <v/>
      </c>
      <c r="J4206" s="32">
        <f>IF(B4206="","",IFERROR(D4206/I4206,""))</f>
        <v/>
      </c>
      <c r="K4206" s="71">
        <f>IF(B4206="","",IFERROR(AVERAGEIFS($J$4:$J4206,$B$4:$B4206,B4206,$J$4:$J4206,"&gt;"&amp;0),""))</f>
        <v/>
      </c>
      <c r="L4206" s="12" t="n"/>
    </row>
    <row r="4207" ht="14" customHeight="1" s="72">
      <c r="A4207" s="82" t="n"/>
      <c r="B4207" s="79" t="n"/>
      <c r="C4207" s="69">
        <f>IF(B4207="","",IFERROR(INDEX(Client_List!$B:$B,MATCH(B4207,Client_List!$A:$A,0)),"⚠ NOT FOUND"))</f>
        <v/>
      </c>
      <c r="D4207" s="44" t="n"/>
      <c r="E4207" s="32">
        <f>IF(B4207="","",IFERROR(INDEX(Client_List!$C:$C,MATCH(VALUE(B4207),Client_List!$A:$A,0)),""))</f>
        <v/>
      </c>
      <c r="F4207" s="53">
        <f>IF(B4207="","",IFERROR(INDEX(Client_List!$D:$D,MATCH(VALUE(B4207),Client_List!$A:$A,0)),""))</f>
        <v/>
      </c>
      <c r="G4207" s="53">
        <f>IF(B4207="","",IFERROR(INDEX(Client_List!$K:$K,MATCH(VALUE(B4207),Client_List!$A:$A,0)),""))</f>
        <v/>
      </c>
      <c r="H4207" s="32">
        <f>IF(B4207="","",IFERROR(INDEX(Client_List!$J:$J,MATCH(VALUE(B4207),Client_List!$A:$A,0)),""))</f>
        <v/>
      </c>
      <c r="I4207" s="70">
        <f>IF(B4207="","",IFERROR(A4207-LOOKUP(2,1/($B$4:$B4206=B4207),$A$4:$A4206),""))</f>
        <v/>
      </c>
      <c r="J4207" s="32">
        <f>IF(B4207="","",IFERROR(D4207/I4207,""))</f>
        <v/>
      </c>
      <c r="K4207" s="71">
        <f>IF(B4207="","",IFERROR(AVERAGEIFS($J$4:$J4207,$B$4:$B4207,B4207,$J$4:$J4207,"&gt;"&amp;0),""))</f>
        <v/>
      </c>
      <c r="L4207" s="11" t="n"/>
    </row>
    <row r="4208" ht="14" customHeight="1" s="72">
      <c r="A4208" s="83" t="n"/>
      <c r="B4208" s="81" t="n"/>
      <c r="C4208" s="69">
        <f>IF(B4208="","",IFERROR(INDEX(Client_List!$B:$B,MATCH(B4208,Client_List!$A:$A,0)),"⚠ NOT FOUND"))</f>
        <v/>
      </c>
      <c r="D4208" s="45" t="n"/>
      <c r="E4208" s="32">
        <f>IF(B4208="","",IFERROR(INDEX(Client_List!$C:$C,MATCH(VALUE(B4208),Client_List!$A:$A,0)),""))</f>
        <v/>
      </c>
      <c r="F4208" s="53">
        <f>IF(B4208="","",IFERROR(INDEX(Client_List!$D:$D,MATCH(VALUE(B4208),Client_List!$A:$A,0)),""))</f>
        <v/>
      </c>
      <c r="G4208" s="53">
        <f>IF(B4208="","",IFERROR(INDEX(Client_List!$K:$K,MATCH(VALUE(B4208),Client_List!$A:$A,0)),""))</f>
        <v/>
      </c>
      <c r="H4208" s="32">
        <f>IF(B4208="","",IFERROR(INDEX(Client_List!$J:$J,MATCH(VALUE(B4208),Client_List!$A:$A,0)),""))</f>
        <v/>
      </c>
      <c r="I4208" s="70">
        <f>IF(B4208="","",IFERROR(A4208-LOOKUP(2,1/($B$4:$B4207=B4208),$A$4:$A4207),""))</f>
        <v/>
      </c>
      <c r="J4208" s="32">
        <f>IF(B4208="","",IFERROR(D4208/I4208,""))</f>
        <v/>
      </c>
      <c r="K4208" s="71">
        <f>IF(B4208="","",IFERROR(AVERAGEIFS($J$4:$J4208,$B$4:$B4208,B4208,$J$4:$J4208,"&gt;"&amp;0),""))</f>
        <v/>
      </c>
      <c r="L4208" s="12" t="n"/>
    </row>
    <row r="4209" ht="14" customHeight="1" s="72">
      <c r="A4209" s="82" t="n"/>
      <c r="B4209" s="79" t="n"/>
      <c r="C4209" s="69">
        <f>IF(B4209="","",IFERROR(INDEX(Client_List!$B:$B,MATCH(B4209,Client_List!$A:$A,0)),"⚠ NOT FOUND"))</f>
        <v/>
      </c>
      <c r="D4209" s="44" t="n"/>
      <c r="E4209" s="32">
        <f>IF(B4209="","",IFERROR(INDEX(Client_List!$C:$C,MATCH(VALUE(B4209),Client_List!$A:$A,0)),""))</f>
        <v/>
      </c>
      <c r="F4209" s="53">
        <f>IF(B4209="","",IFERROR(INDEX(Client_List!$D:$D,MATCH(VALUE(B4209),Client_List!$A:$A,0)),""))</f>
        <v/>
      </c>
      <c r="G4209" s="53">
        <f>IF(B4209="","",IFERROR(INDEX(Client_List!$K:$K,MATCH(VALUE(B4209),Client_List!$A:$A,0)),""))</f>
        <v/>
      </c>
      <c r="H4209" s="32">
        <f>IF(B4209="","",IFERROR(INDEX(Client_List!$J:$J,MATCH(VALUE(B4209),Client_List!$A:$A,0)),""))</f>
        <v/>
      </c>
      <c r="I4209" s="70">
        <f>IF(B4209="","",IFERROR(A4209-LOOKUP(2,1/($B$4:$B4208=B4209),$A$4:$A4208),""))</f>
        <v/>
      </c>
      <c r="J4209" s="32">
        <f>IF(B4209="","",IFERROR(D4209/I4209,""))</f>
        <v/>
      </c>
      <c r="K4209" s="71">
        <f>IF(B4209="","",IFERROR(AVERAGEIFS($J$4:$J4209,$B$4:$B4209,B4209,$J$4:$J4209,"&gt;"&amp;0),""))</f>
        <v/>
      </c>
      <c r="L4209" s="11" t="n"/>
    </row>
    <row r="4210" ht="14" customHeight="1" s="72">
      <c r="A4210" s="83" t="n"/>
      <c r="B4210" s="81" t="n"/>
      <c r="C4210" s="69">
        <f>IF(B4210="","",IFERROR(INDEX(Client_List!$B:$B,MATCH(B4210,Client_List!$A:$A,0)),"⚠ NOT FOUND"))</f>
        <v/>
      </c>
      <c r="D4210" s="45" t="n"/>
      <c r="E4210" s="32">
        <f>IF(B4210="","",IFERROR(INDEX(Client_List!$C:$C,MATCH(VALUE(B4210),Client_List!$A:$A,0)),""))</f>
        <v/>
      </c>
      <c r="F4210" s="53">
        <f>IF(B4210="","",IFERROR(INDEX(Client_List!$D:$D,MATCH(VALUE(B4210),Client_List!$A:$A,0)),""))</f>
        <v/>
      </c>
      <c r="G4210" s="53">
        <f>IF(B4210="","",IFERROR(INDEX(Client_List!$K:$K,MATCH(VALUE(B4210),Client_List!$A:$A,0)),""))</f>
        <v/>
      </c>
      <c r="H4210" s="32">
        <f>IF(B4210="","",IFERROR(INDEX(Client_List!$J:$J,MATCH(VALUE(B4210),Client_List!$A:$A,0)),""))</f>
        <v/>
      </c>
      <c r="I4210" s="70">
        <f>IF(B4210="","",IFERROR(A4210-LOOKUP(2,1/($B$4:$B4209=B4210),$A$4:$A4209),""))</f>
        <v/>
      </c>
      <c r="J4210" s="32">
        <f>IF(B4210="","",IFERROR(D4210/I4210,""))</f>
        <v/>
      </c>
      <c r="K4210" s="71">
        <f>IF(B4210="","",IFERROR(AVERAGEIFS($J$4:$J4210,$B$4:$B4210,B4210,$J$4:$J4210,"&gt;"&amp;0),""))</f>
        <v/>
      </c>
      <c r="L4210" s="12" t="n"/>
    </row>
    <row r="4211" ht="14" customHeight="1" s="72">
      <c r="A4211" s="82" t="n"/>
      <c r="B4211" s="79" t="n"/>
      <c r="C4211" s="69">
        <f>IF(B4211="","",IFERROR(INDEX(Client_List!$B:$B,MATCH(B4211,Client_List!$A:$A,0)),"⚠ NOT FOUND"))</f>
        <v/>
      </c>
      <c r="D4211" s="44" t="n"/>
      <c r="E4211" s="32">
        <f>IF(B4211="","",IFERROR(INDEX(Client_List!$C:$C,MATCH(VALUE(B4211),Client_List!$A:$A,0)),""))</f>
        <v/>
      </c>
      <c r="F4211" s="53">
        <f>IF(B4211="","",IFERROR(INDEX(Client_List!$D:$D,MATCH(VALUE(B4211),Client_List!$A:$A,0)),""))</f>
        <v/>
      </c>
      <c r="G4211" s="53">
        <f>IF(B4211="","",IFERROR(INDEX(Client_List!$K:$K,MATCH(VALUE(B4211),Client_List!$A:$A,0)),""))</f>
        <v/>
      </c>
      <c r="H4211" s="32">
        <f>IF(B4211="","",IFERROR(INDEX(Client_List!$J:$J,MATCH(VALUE(B4211),Client_List!$A:$A,0)),""))</f>
        <v/>
      </c>
      <c r="I4211" s="70">
        <f>IF(B4211="","",IFERROR(A4211-LOOKUP(2,1/($B$4:$B4210=B4211),$A$4:$A4210),""))</f>
        <v/>
      </c>
      <c r="J4211" s="32">
        <f>IF(B4211="","",IFERROR(D4211/I4211,""))</f>
        <v/>
      </c>
      <c r="K4211" s="71">
        <f>IF(B4211="","",IFERROR(AVERAGEIFS($J$4:$J4211,$B$4:$B4211,B4211,$J$4:$J4211,"&gt;"&amp;0),""))</f>
        <v/>
      </c>
      <c r="L4211" s="11" t="n"/>
    </row>
    <row r="4212" ht="14" customHeight="1" s="72">
      <c r="A4212" s="83" t="n"/>
      <c r="B4212" s="81" t="n"/>
      <c r="C4212" s="69">
        <f>IF(B4212="","",IFERROR(INDEX(Client_List!$B:$B,MATCH(B4212,Client_List!$A:$A,0)),"⚠ NOT FOUND"))</f>
        <v/>
      </c>
      <c r="D4212" s="45" t="n"/>
      <c r="E4212" s="32">
        <f>IF(B4212="","",IFERROR(INDEX(Client_List!$C:$C,MATCH(VALUE(B4212),Client_List!$A:$A,0)),""))</f>
        <v/>
      </c>
      <c r="F4212" s="53">
        <f>IF(B4212="","",IFERROR(INDEX(Client_List!$D:$D,MATCH(VALUE(B4212),Client_List!$A:$A,0)),""))</f>
        <v/>
      </c>
      <c r="G4212" s="53">
        <f>IF(B4212="","",IFERROR(INDEX(Client_List!$K:$K,MATCH(VALUE(B4212),Client_List!$A:$A,0)),""))</f>
        <v/>
      </c>
      <c r="H4212" s="32">
        <f>IF(B4212="","",IFERROR(INDEX(Client_List!$J:$J,MATCH(VALUE(B4212),Client_List!$A:$A,0)),""))</f>
        <v/>
      </c>
      <c r="I4212" s="70">
        <f>IF(B4212="","",IFERROR(A4212-LOOKUP(2,1/($B$4:$B4211=B4212),$A$4:$A4211),""))</f>
        <v/>
      </c>
      <c r="J4212" s="32">
        <f>IF(B4212="","",IFERROR(D4212/I4212,""))</f>
        <v/>
      </c>
      <c r="K4212" s="71">
        <f>IF(B4212="","",IFERROR(AVERAGEIFS($J$4:$J4212,$B$4:$B4212,B4212,$J$4:$J4212,"&gt;"&amp;0),""))</f>
        <v/>
      </c>
      <c r="L4212" s="12" t="n"/>
    </row>
    <row r="4213" ht="14" customHeight="1" s="72">
      <c r="A4213" s="82" t="n"/>
      <c r="B4213" s="79" t="n"/>
      <c r="C4213" s="69">
        <f>IF(B4213="","",IFERROR(INDEX(Client_List!$B:$B,MATCH(B4213,Client_List!$A:$A,0)),"⚠ NOT FOUND"))</f>
        <v/>
      </c>
      <c r="D4213" s="44" t="n"/>
      <c r="E4213" s="32">
        <f>IF(B4213="","",IFERROR(INDEX(Client_List!$C:$C,MATCH(VALUE(B4213),Client_List!$A:$A,0)),""))</f>
        <v/>
      </c>
      <c r="F4213" s="53">
        <f>IF(B4213="","",IFERROR(INDEX(Client_List!$D:$D,MATCH(VALUE(B4213),Client_List!$A:$A,0)),""))</f>
        <v/>
      </c>
      <c r="G4213" s="53">
        <f>IF(B4213="","",IFERROR(INDEX(Client_List!$K:$K,MATCH(VALUE(B4213),Client_List!$A:$A,0)),""))</f>
        <v/>
      </c>
      <c r="H4213" s="32">
        <f>IF(B4213="","",IFERROR(INDEX(Client_List!$J:$J,MATCH(VALUE(B4213),Client_List!$A:$A,0)),""))</f>
        <v/>
      </c>
      <c r="I4213" s="70">
        <f>IF(B4213="","",IFERROR(A4213-LOOKUP(2,1/($B$4:$B4212=B4213),$A$4:$A4212),""))</f>
        <v/>
      </c>
      <c r="J4213" s="32">
        <f>IF(B4213="","",IFERROR(D4213/I4213,""))</f>
        <v/>
      </c>
      <c r="K4213" s="71">
        <f>IF(B4213="","",IFERROR(AVERAGEIFS($J$4:$J4213,$B$4:$B4213,B4213,$J$4:$J4213,"&gt;"&amp;0),""))</f>
        <v/>
      </c>
      <c r="L4213" s="11" t="n"/>
    </row>
    <row r="4214" ht="14" customHeight="1" s="72">
      <c r="A4214" s="83" t="n"/>
      <c r="B4214" s="81" t="n"/>
      <c r="C4214" s="69">
        <f>IF(B4214="","",IFERROR(INDEX(Client_List!$B:$B,MATCH(B4214,Client_List!$A:$A,0)),"⚠ NOT FOUND"))</f>
        <v/>
      </c>
      <c r="D4214" s="45" t="n"/>
      <c r="E4214" s="32">
        <f>IF(B4214="","",IFERROR(INDEX(Client_List!$C:$C,MATCH(VALUE(B4214),Client_List!$A:$A,0)),""))</f>
        <v/>
      </c>
      <c r="F4214" s="53">
        <f>IF(B4214="","",IFERROR(INDEX(Client_List!$D:$D,MATCH(VALUE(B4214),Client_List!$A:$A,0)),""))</f>
        <v/>
      </c>
      <c r="G4214" s="53">
        <f>IF(B4214="","",IFERROR(INDEX(Client_List!$K:$K,MATCH(VALUE(B4214),Client_List!$A:$A,0)),""))</f>
        <v/>
      </c>
      <c r="H4214" s="32">
        <f>IF(B4214="","",IFERROR(INDEX(Client_List!$J:$J,MATCH(VALUE(B4214),Client_List!$A:$A,0)),""))</f>
        <v/>
      </c>
      <c r="I4214" s="70">
        <f>IF(B4214="","",IFERROR(A4214-LOOKUP(2,1/($B$4:$B4213=B4214),$A$4:$A4213),""))</f>
        <v/>
      </c>
      <c r="J4214" s="32">
        <f>IF(B4214="","",IFERROR(D4214/I4214,""))</f>
        <v/>
      </c>
      <c r="K4214" s="71">
        <f>IF(B4214="","",IFERROR(AVERAGEIFS($J$4:$J4214,$B$4:$B4214,B4214,$J$4:$J4214,"&gt;"&amp;0),""))</f>
        <v/>
      </c>
      <c r="L4214" s="12" t="n"/>
    </row>
    <row r="4215" ht="14" customHeight="1" s="72">
      <c r="A4215" s="82" t="n"/>
      <c r="B4215" s="79" t="n"/>
      <c r="C4215" s="69">
        <f>IF(B4215="","",IFERROR(INDEX(Client_List!$B:$B,MATCH(B4215,Client_List!$A:$A,0)),"⚠ NOT FOUND"))</f>
        <v/>
      </c>
      <c r="D4215" s="44" t="n"/>
      <c r="E4215" s="32">
        <f>IF(B4215="","",IFERROR(INDEX(Client_List!$C:$C,MATCH(VALUE(B4215),Client_List!$A:$A,0)),""))</f>
        <v/>
      </c>
      <c r="F4215" s="53">
        <f>IF(B4215="","",IFERROR(INDEX(Client_List!$D:$D,MATCH(VALUE(B4215),Client_List!$A:$A,0)),""))</f>
        <v/>
      </c>
      <c r="G4215" s="53">
        <f>IF(B4215="","",IFERROR(INDEX(Client_List!$K:$K,MATCH(VALUE(B4215),Client_List!$A:$A,0)),""))</f>
        <v/>
      </c>
      <c r="H4215" s="32">
        <f>IF(B4215="","",IFERROR(INDEX(Client_List!$J:$J,MATCH(VALUE(B4215),Client_List!$A:$A,0)),""))</f>
        <v/>
      </c>
      <c r="I4215" s="70">
        <f>IF(B4215="","",IFERROR(A4215-LOOKUP(2,1/($B$4:$B4214=B4215),$A$4:$A4214),""))</f>
        <v/>
      </c>
      <c r="J4215" s="32">
        <f>IF(B4215="","",IFERROR(D4215/I4215,""))</f>
        <v/>
      </c>
      <c r="K4215" s="71">
        <f>IF(B4215="","",IFERROR(AVERAGEIFS($J$4:$J4215,$B$4:$B4215,B4215,$J$4:$J4215,"&gt;"&amp;0),""))</f>
        <v/>
      </c>
      <c r="L4215" s="11" t="n"/>
    </row>
    <row r="4216" ht="14" customHeight="1" s="72">
      <c r="A4216" s="83" t="n"/>
      <c r="B4216" s="81" t="n"/>
      <c r="C4216" s="69">
        <f>IF(B4216="","",IFERROR(INDEX(Client_List!$B:$B,MATCH(B4216,Client_List!$A:$A,0)),"⚠ NOT FOUND"))</f>
        <v/>
      </c>
      <c r="D4216" s="45" t="n"/>
      <c r="E4216" s="32">
        <f>IF(B4216="","",IFERROR(INDEX(Client_List!$C:$C,MATCH(VALUE(B4216),Client_List!$A:$A,0)),""))</f>
        <v/>
      </c>
      <c r="F4216" s="53">
        <f>IF(B4216="","",IFERROR(INDEX(Client_List!$D:$D,MATCH(VALUE(B4216),Client_List!$A:$A,0)),""))</f>
        <v/>
      </c>
      <c r="G4216" s="53">
        <f>IF(B4216="","",IFERROR(INDEX(Client_List!$K:$K,MATCH(VALUE(B4216),Client_List!$A:$A,0)),""))</f>
        <v/>
      </c>
      <c r="H4216" s="32">
        <f>IF(B4216="","",IFERROR(INDEX(Client_List!$J:$J,MATCH(VALUE(B4216),Client_List!$A:$A,0)),""))</f>
        <v/>
      </c>
      <c r="I4216" s="70">
        <f>IF(B4216="","",IFERROR(A4216-LOOKUP(2,1/($B$4:$B4215=B4216),$A$4:$A4215),""))</f>
        <v/>
      </c>
      <c r="J4216" s="32">
        <f>IF(B4216="","",IFERROR(D4216/I4216,""))</f>
        <v/>
      </c>
      <c r="K4216" s="71">
        <f>IF(B4216="","",IFERROR(AVERAGEIFS($J$4:$J4216,$B$4:$B4216,B4216,$J$4:$J4216,"&gt;"&amp;0),""))</f>
        <v/>
      </c>
      <c r="L4216" s="12" t="n"/>
    </row>
    <row r="4217" ht="14" customHeight="1" s="72">
      <c r="A4217" s="82" t="n"/>
      <c r="B4217" s="79" t="n"/>
      <c r="C4217" s="69">
        <f>IF(B4217="","",IFERROR(INDEX(Client_List!$B:$B,MATCH(B4217,Client_List!$A:$A,0)),"⚠ NOT FOUND"))</f>
        <v/>
      </c>
      <c r="D4217" s="44" t="n"/>
      <c r="E4217" s="32">
        <f>IF(B4217="","",IFERROR(INDEX(Client_List!$C:$C,MATCH(VALUE(B4217),Client_List!$A:$A,0)),""))</f>
        <v/>
      </c>
      <c r="F4217" s="53">
        <f>IF(B4217="","",IFERROR(INDEX(Client_List!$D:$D,MATCH(VALUE(B4217),Client_List!$A:$A,0)),""))</f>
        <v/>
      </c>
      <c r="G4217" s="53">
        <f>IF(B4217="","",IFERROR(INDEX(Client_List!$K:$K,MATCH(VALUE(B4217),Client_List!$A:$A,0)),""))</f>
        <v/>
      </c>
      <c r="H4217" s="32">
        <f>IF(B4217="","",IFERROR(INDEX(Client_List!$J:$J,MATCH(VALUE(B4217),Client_List!$A:$A,0)),""))</f>
        <v/>
      </c>
      <c r="I4217" s="70">
        <f>IF(B4217="","",IFERROR(A4217-LOOKUP(2,1/($B$4:$B4216=B4217),$A$4:$A4216),""))</f>
        <v/>
      </c>
      <c r="J4217" s="32">
        <f>IF(B4217="","",IFERROR(D4217/I4217,""))</f>
        <v/>
      </c>
      <c r="K4217" s="71">
        <f>IF(B4217="","",IFERROR(AVERAGEIFS($J$4:$J4217,$B$4:$B4217,B4217,$J$4:$J4217,"&gt;"&amp;0),""))</f>
        <v/>
      </c>
      <c r="L4217" s="11" t="n"/>
    </row>
    <row r="4218" ht="14" customHeight="1" s="72">
      <c r="A4218" s="83" t="n"/>
      <c r="B4218" s="81" t="n"/>
      <c r="C4218" s="69">
        <f>IF(B4218="","",IFERROR(INDEX(Client_List!$B:$B,MATCH(B4218,Client_List!$A:$A,0)),"⚠ NOT FOUND"))</f>
        <v/>
      </c>
      <c r="D4218" s="45" t="n"/>
      <c r="E4218" s="32">
        <f>IF(B4218="","",IFERROR(INDEX(Client_List!$C:$C,MATCH(VALUE(B4218),Client_List!$A:$A,0)),""))</f>
        <v/>
      </c>
      <c r="F4218" s="53">
        <f>IF(B4218="","",IFERROR(INDEX(Client_List!$D:$D,MATCH(VALUE(B4218),Client_List!$A:$A,0)),""))</f>
        <v/>
      </c>
      <c r="G4218" s="53">
        <f>IF(B4218="","",IFERROR(INDEX(Client_List!$K:$K,MATCH(VALUE(B4218),Client_List!$A:$A,0)),""))</f>
        <v/>
      </c>
      <c r="H4218" s="32">
        <f>IF(B4218="","",IFERROR(INDEX(Client_List!$J:$J,MATCH(VALUE(B4218),Client_List!$A:$A,0)),""))</f>
        <v/>
      </c>
      <c r="I4218" s="70">
        <f>IF(B4218="","",IFERROR(A4218-LOOKUP(2,1/($B$4:$B4217=B4218),$A$4:$A4217),""))</f>
        <v/>
      </c>
      <c r="J4218" s="32">
        <f>IF(B4218="","",IFERROR(D4218/I4218,""))</f>
        <v/>
      </c>
      <c r="K4218" s="71">
        <f>IF(B4218="","",IFERROR(AVERAGEIFS($J$4:$J4218,$B$4:$B4218,B4218,$J$4:$J4218,"&gt;"&amp;0),""))</f>
        <v/>
      </c>
      <c r="L4218" s="12" t="n"/>
    </row>
    <row r="4219" ht="14" customHeight="1" s="72">
      <c r="A4219" s="82" t="n"/>
      <c r="B4219" s="79" t="n"/>
      <c r="C4219" s="69">
        <f>IF(B4219="","",IFERROR(INDEX(Client_List!$B:$B,MATCH(B4219,Client_List!$A:$A,0)),"⚠ NOT FOUND"))</f>
        <v/>
      </c>
      <c r="D4219" s="44" t="n"/>
      <c r="E4219" s="32">
        <f>IF(B4219="","",IFERROR(INDEX(Client_List!$C:$C,MATCH(VALUE(B4219),Client_List!$A:$A,0)),""))</f>
        <v/>
      </c>
      <c r="F4219" s="53">
        <f>IF(B4219="","",IFERROR(INDEX(Client_List!$D:$D,MATCH(VALUE(B4219),Client_List!$A:$A,0)),""))</f>
        <v/>
      </c>
      <c r="G4219" s="53">
        <f>IF(B4219="","",IFERROR(INDEX(Client_List!$K:$K,MATCH(VALUE(B4219),Client_List!$A:$A,0)),""))</f>
        <v/>
      </c>
      <c r="H4219" s="32">
        <f>IF(B4219="","",IFERROR(INDEX(Client_List!$J:$J,MATCH(VALUE(B4219),Client_List!$A:$A,0)),""))</f>
        <v/>
      </c>
      <c r="I4219" s="70">
        <f>IF(B4219="","",IFERROR(A4219-LOOKUP(2,1/($B$4:$B4218=B4219),$A$4:$A4218),""))</f>
        <v/>
      </c>
      <c r="J4219" s="32">
        <f>IF(B4219="","",IFERROR(D4219/I4219,""))</f>
        <v/>
      </c>
      <c r="K4219" s="71">
        <f>IF(B4219="","",IFERROR(AVERAGEIFS($J$4:$J4219,$B$4:$B4219,B4219,$J$4:$J4219,"&gt;"&amp;0),""))</f>
        <v/>
      </c>
      <c r="L4219" s="11" t="n"/>
    </row>
    <row r="4220" ht="14" customHeight="1" s="72">
      <c r="A4220" s="83" t="n"/>
      <c r="B4220" s="81" t="n"/>
      <c r="C4220" s="69">
        <f>IF(B4220="","",IFERROR(INDEX(Client_List!$B:$B,MATCH(B4220,Client_List!$A:$A,0)),"⚠ NOT FOUND"))</f>
        <v/>
      </c>
      <c r="D4220" s="45" t="n"/>
      <c r="E4220" s="32">
        <f>IF(B4220="","",IFERROR(INDEX(Client_List!$C:$C,MATCH(VALUE(B4220),Client_List!$A:$A,0)),""))</f>
        <v/>
      </c>
      <c r="F4220" s="53">
        <f>IF(B4220="","",IFERROR(INDEX(Client_List!$D:$D,MATCH(VALUE(B4220),Client_List!$A:$A,0)),""))</f>
        <v/>
      </c>
      <c r="G4220" s="53">
        <f>IF(B4220="","",IFERROR(INDEX(Client_List!$K:$K,MATCH(VALUE(B4220),Client_List!$A:$A,0)),""))</f>
        <v/>
      </c>
      <c r="H4220" s="32">
        <f>IF(B4220="","",IFERROR(INDEX(Client_List!$J:$J,MATCH(VALUE(B4220),Client_List!$A:$A,0)),""))</f>
        <v/>
      </c>
      <c r="I4220" s="70">
        <f>IF(B4220="","",IFERROR(A4220-LOOKUP(2,1/($B$4:$B4219=B4220),$A$4:$A4219),""))</f>
        <v/>
      </c>
      <c r="J4220" s="32">
        <f>IF(B4220="","",IFERROR(D4220/I4220,""))</f>
        <v/>
      </c>
      <c r="K4220" s="71">
        <f>IF(B4220="","",IFERROR(AVERAGEIFS($J$4:$J4220,$B$4:$B4220,B4220,$J$4:$J4220,"&gt;"&amp;0),""))</f>
        <v/>
      </c>
      <c r="L4220" s="12" t="n"/>
    </row>
    <row r="4221" ht="14" customHeight="1" s="72">
      <c r="A4221" s="82" t="n"/>
      <c r="B4221" s="79" t="n"/>
      <c r="C4221" s="69">
        <f>IF(B4221="","",IFERROR(INDEX(Client_List!$B:$B,MATCH(B4221,Client_List!$A:$A,0)),"⚠ NOT FOUND"))</f>
        <v/>
      </c>
      <c r="D4221" s="44" t="n"/>
      <c r="E4221" s="32">
        <f>IF(B4221="","",IFERROR(INDEX(Client_List!$C:$C,MATCH(VALUE(B4221),Client_List!$A:$A,0)),""))</f>
        <v/>
      </c>
      <c r="F4221" s="53">
        <f>IF(B4221="","",IFERROR(INDEX(Client_List!$D:$D,MATCH(VALUE(B4221),Client_List!$A:$A,0)),""))</f>
        <v/>
      </c>
      <c r="G4221" s="53">
        <f>IF(B4221="","",IFERROR(INDEX(Client_List!$K:$K,MATCH(VALUE(B4221),Client_List!$A:$A,0)),""))</f>
        <v/>
      </c>
      <c r="H4221" s="32">
        <f>IF(B4221="","",IFERROR(INDEX(Client_List!$J:$J,MATCH(VALUE(B4221),Client_List!$A:$A,0)),""))</f>
        <v/>
      </c>
      <c r="I4221" s="70">
        <f>IF(B4221="","",IFERROR(A4221-LOOKUP(2,1/($B$4:$B4220=B4221),$A$4:$A4220),""))</f>
        <v/>
      </c>
      <c r="J4221" s="32">
        <f>IF(B4221="","",IFERROR(D4221/I4221,""))</f>
        <v/>
      </c>
      <c r="K4221" s="71">
        <f>IF(B4221="","",IFERROR(AVERAGEIFS($J$4:$J4221,$B$4:$B4221,B4221,$J$4:$J4221,"&gt;"&amp;0),""))</f>
        <v/>
      </c>
      <c r="L4221" s="11" t="n"/>
    </row>
    <row r="4222" ht="14" customHeight="1" s="72">
      <c r="A4222" s="83" t="n"/>
      <c r="B4222" s="81" t="n"/>
      <c r="C4222" s="69">
        <f>IF(B4222="","",IFERROR(INDEX(Client_List!$B:$B,MATCH(B4222,Client_List!$A:$A,0)),"⚠ NOT FOUND"))</f>
        <v/>
      </c>
      <c r="D4222" s="45" t="n"/>
      <c r="E4222" s="32">
        <f>IF(B4222="","",IFERROR(INDEX(Client_List!$C:$C,MATCH(VALUE(B4222),Client_List!$A:$A,0)),""))</f>
        <v/>
      </c>
      <c r="F4222" s="53">
        <f>IF(B4222="","",IFERROR(INDEX(Client_List!$D:$D,MATCH(VALUE(B4222),Client_List!$A:$A,0)),""))</f>
        <v/>
      </c>
      <c r="G4222" s="53">
        <f>IF(B4222="","",IFERROR(INDEX(Client_List!$K:$K,MATCH(VALUE(B4222),Client_List!$A:$A,0)),""))</f>
        <v/>
      </c>
      <c r="H4222" s="32">
        <f>IF(B4222="","",IFERROR(INDEX(Client_List!$J:$J,MATCH(VALUE(B4222),Client_List!$A:$A,0)),""))</f>
        <v/>
      </c>
      <c r="I4222" s="70">
        <f>IF(B4222="","",IFERROR(A4222-LOOKUP(2,1/($B$4:$B4221=B4222),$A$4:$A4221),""))</f>
        <v/>
      </c>
      <c r="J4222" s="32">
        <f>IF(B4222="","",IFERROR(D4222/I4222,""))</f>
        <v/>
      </c>
      <c r="K4222" s="71">
        <f>IF(B4222="","",IFERROR(AVERAGEIFS($J$4:$J4222,$B$4:$B4222,B4222,$J$4:$J4222,"&gt;"&amp;0),""))</f>
        <v/>
      </c>
      <c r="L4222" s="12" t="n"/>
    </row>
    <row r="4223" ht="14" customHeight="1" s="72">
      <c r="A4223" s="82" t="n"/>
      <c r="B4223" s="79" t="n"/>
      <c r="C4223" s="69">
        <f>IF(B4223="","",IFERROR(INDEX(Client_List!$B:$B,MATCH(B4223,Client_List!$A:$A,0)),"⚠ NOT FOUND"))</f>
        <v/>
      </c>
      <c r="D4223" s="44" t="n"/>
      <c r="E4223" s="32">
        <f>IF(B4223="","",IFERROR(INDEX(Client_List!$C:$C,MATCH(VALUE(B4223),Client_List!$A:$A,0)),""))</f>
        <v/>
      </c>
      <c r="F4223" s="53">
        <f>IF(B4223="","",IFERROR(INDEX(Client_List!$D:$D,MATCH(VALUE(B4223),Client_List!$A:$A,0)),""))</f>
        <v/>
      </c>
      <c r="G4223" s="53">
        <f>IF(B4223="","",IFERROR(INDEX(Client_List!$K:$K,MATCH(VALUE(B4223),Client_List!$A:$A,0)),""))</f>
        <v/>
      </c>
      <c r="H4223" s="32">
        <f>IF(B4223="","",IFERROR(INDEX(Client_List!$J:$J,MATCH(VALUE(B4223),Client_List!$A:$A,0)),""))</f>
        <v/>
      </c>
      <c r="I4223" s="70">
        <f>IF(B4223="","",IFERROR(A4223-LOOKUP(2,1/($B$4:$B4222=B4223),$A$4:$A4222),""))</f>
        <v/>
      </c>
      <c r="J4223" s="32">
        <f>IF(B4223="","",IFERROR(D4223/I4223,""))</f>
        <v/>
      </c>
      <c r="K4223" s="71">
        <f>IF(B4223="","",IFERROR(AVERAGEIFS($J$4:$J4223,$B$4:$B4223,B4223,$J$4:$J4223,"&gt;"&amp;0),""))</f>
        <v/>
      </c>
      <c r="L4223" s="11" t="n"/>
    </row>
    <row r="4224" ht="14" customHeight="1" s="72">
      <c r="A4224" s="83" t="n"/>
      <c r="B4224" s="81" t="n"/>
      <c r="C4224" s="69">
        <f>IF(B4224="","",IFERROR(INDEX(Client_List!$B:$B,MATCH(B4224,Client_List!$A:$A,0)),"⚠ NOT FOUND"))</f>
        <v/>
      </c>
      <c r="D4224" s="45" t="n"/>
      <c r="E4224" s="32">
        <f>IF(B4224="","",IFERROR(INDEX(Client_List!$C:$C,MATCH(VALUE(B4224),Client_List!$A:$A,0)),""))</f>
        <v/>
      </c>
      <c r="F4224" s="53">
        <f>IF(B4224="","",IFERROR(INDEX(Client_List!$D:$D,MATCH(VALUE(B4224),Client_List!$A:$A,0)),""))</f>
        <v/>
      </c>
      <c r="G4224" s="53">
        <f>IF(B4224="","",IFERROR(INDEX(Client_List!$K:$K,MATCH(VALUE(B4224),Client_List!$A:$A,0)),""))</f>
        <v/>
      </c>
      <c r="H4224" s="32">
        <f>IF(B4224="","",IFERROR(INDEX(Client_List!$J:$J,MATCH(VALUE(B4224),Client_List!$A:$A,0)),""))</f>
        <v/>
      </c>
      <c r="I4224" s="70">
        <f>IF(B4224="","",IFERROR(A4224-LOOKUP(2,1/($B$4:$B4223=B4224),$A$4:$A4223),""))</f>
        <v/>
      </c>
      <c r="J4224" s="32">
        <f>IF(B4224="","",IFERROR(D4224/I4224,""))</f>
        <v/>
      </c>
      <c r="K4224" s="71">
        <f>IF(B4224="","",IFERROR(AVERAGEIFS($J$4:$J4224,$B$4:$B4224,B4224,$J$4:$J4224,"&gt;"&amp;0),""))</f>
        <v/>
      </c>
      <c r="L4224" s="12" t="n"/>
    </row>
    <row r="4225" ht="14" customHeight="1" s="72">
      <c r="A4225" s="82" t="n"/>
      <c r="B4225" s="79" t="n"/>
      <c r="C4225" s="69">
        <f>IF(B4225="","",IFERROR(INDEX(Client_List!$B:$B,MATCH(B4225,Client_List!$A:$A,0)),"⚠ NOT FOUND"))</f>
        <v/>
      </c>
      <c r="D4225" s="44" t="n"/>
      <c r="E4225" s="32">
        <f>IF(B4225="","",IFERROR(INDEX(Client_List!$C:$C,MATCH(VALUE(B4225),Client_List!$A:$A,0)),""))</f>
        <v/>
      </c>
      <c r="F4225" s="53">
        <f>IF(B4225="","",IFERROR(INDEX(Client_List!$D:$D,MATCH(VALUE(B4225),Client_List!$A:$A,0)),""))</f>
        <v/>
      </c>
      <c r="G4225" s="53">
        <f>IF(B4225="","",IFERROR(INDEX(Client_List!$K:$K,MATCH(VALUE(B4225),Client_List!$A:$A,0)),""))</f>
        <v/>
      </c>
      <c r="H4225" s="32">
        <f>IF(B4225="","",IFERROR(INDEX(Client_List!$J:$J,MATCH(VALUE(B4225),Client_List!$A:$A,0)),""))</f>
        <v/>
      </c>
      <c r="I4225" s="70">
        <f>IF(B4225="","",IFERROR(A4225-LOOKUP(2,1/($B$4:$B4224=B4225),$A$4:$A4224),""))</f>
        <v/>
      </c>
      <c r="J4225" s="32">
        <f>IF(B4225="","",IFERROR(D4225/I4225,""))</f>
        <v/>
      </c>
      <c r="K4225" s="71">
        <f>IF(B4225="","",IFERROR(AVERAGEIFS($J$4:$J4225,$B$4:$B4225,B4225,$J$4:$J4225,"&gt;"&amp;0),""))</f>
        <v/>
      </c>
      <c r="L4225" s="11" t="n"/>
    </row>
    <row r="4226" ht="14" customHeight="1" s="72">
      <c r="A4226" s="83" t="n"/>
      <c r="B4226" s="81" t="n"/>
      <c r="C4226" s="69">
        <f>IF(B4226="","",IFERROR(INDEX(Client_List!$B:$B,MATCH(B4226,Client_List!$A:$A,0)),"⚠ NOT FOUND"))</f>
        <v/>
      </c>
      <c r="D4226" s="45" t="n"/>
      <c r="E4226" s="32">
        <f>IF(B4226="","",IFERROR(INDEX(Client_List!$C:$C,MATCH(VALUE(B4226),Client_List!$A:$A,0)),""))</f>
        <v/>
      </c>
      <c r="F4226" s="53">
        <f>IF(B4226="","",IFERROR(INDEX(Client_List!$D:$D,MATCH(VALUE(B4226),Client_List!$A:$A,0)),""))</f>
        <v/>
      </c>
      <c r="G4226" s="53">
        <f>IF(B4226="","",IFERROR(INDEX(Client_List!$K:$K,MATCH(VALUE(B4226),Client_List!$A:$A,0)),""))</f>
        <v/>
      </c>
      <c r="H4226" s="32">
        <f>IF(B4226="","",IFERROR(INDEX(Client_List!$J:$J,MATCH(VALUE(B4226),Client_List!$A:$A,0)),""))</f>
        <v/>
      </c>
      <c r="I4226" s="70">
        <f>IF(B4226="","",IFERROR(A4226-LOOKUP(2,1/($B$4:$B4225=B4226),$A$4:$A4225),""))</f>
        <v/>
      </c>
      <c r="J4226" s="32">
        <f>IF(B4226="","",IFERROR(D4226/I4226,""))</f>
        <v/>
      </c>
      <c r="K4226" s="71">
        <f>IF(B4226="","",IFERROR(AVERAGEIFS($J$4:$J4226,$B$4:$B4226,B4226,$J$4:$J4226,"&gt;"&amp;0),""))</f>
        <v/>
      </c>
      <c r="L4226" s="12" t="n"/>
    </row>
    <row r="4227" ht="14" customHeight="1" s="72">
      <c r="A4227" s="82" t="n"/>
      <c r="B4227" s="79" t="n"/>
      <c r="C4227" s="69">
        <f>IF(B4227="","",IFERROR(INDEX(Client_List!$B:$B,MATCH(B4227,Client_List!$A:$A,0)),"⚠ NOT FOUND"))</f>
        <v/>
      </c>
      <c r="D4227" s="44" t="n"/>
      <c r="E4227" s="32">
        <f>IF(B4227="","",IFERROR(INDEX(Client_List!$C:$C,MATCH(VALUE(B4227),Client_List!$A:$A,0)),""))</f>
        <v/>
      </c>
      <c r="F4227" s="53">
        <f>IF(B4227="","",IFERROR(INDEX(Client_List!$D:$D,MATCH(VALUE(B4227),Client_List!$A:$A,0)),""))</f>
        <v/>
      </c>
      <c r="G4227" s="53">
        <f>IF(B4227="","",IFERROR(INDEX(Client_List!$K:$K,MATCH(VALUE(B4227),Client_List!$A:$A,0)),""))</f>
        <v/>
      </c>
      <c r="H4227" s="32">
        <f>IF(B4227="","",IFERROR(INDEX(Client_List!$J:$J,MATCH(VALUE(B4227),Client_List!$A:$A,0)),""))</f>
        <v/>
      </c>
      <c r="I4227" s="70">
        <f>IF(B4227="","",IFERROR(A4227-LOOKUP(2,1/($B$4:$B4226=B4227),$A$4:$A4226),""))</f>
        <v/>
      </c>
      <c r="J4227" s="32">
        <f>IF(B4227="","",IFERROR(D4227/I4227,""))</f>
        <v/>
      </c>
      <c r="K4227" s="71">
        <f>IF(B4227="","",IFERROR(AVERAGEIFS($J$4:$J4227,$B$4:$B4227,B4227,$J$4:$J4227,"&gt;"&amp;0),""))</f>
        <v/>
      </c>
      <c r="L4227" s="11" t="n"/>
    </row>
    <row r="4228" ht="14" customHeight="1" s="72">
      <c r="A4228" s="83" t="n"/>
      <c r="B4228" s="81" t="n"/>
      <c r="C4228" s="69">
        <f>IF(B4228="","",IFERROR(INDEX(Client_List!$B:$B,MATCH(B4228,Client_List!$A:$A,0)),"⚠ NOT FOUND"))</f>
        <v/>
      </c>
      <c r="D4228" s="45" t="n"/>
      <c r="E4228" s="32">
        <f>IF(B4228="","",IFERROR(INDEX(Client_List!$C:$C,MATCH(VALUE(B4228),Client_List!$A:$A,0)),""))</f>
        <v/>
      </c>
      <c r="F4228" s="53">
        <f>IF(B4228="","",IFERROR(INDEX(Client_List!$D:$D,MATCH(VALUE(B4228),Client_List!$A:$A,0)),""))</f>
        <v/>
      </c>
      <c r="G4228" s="53">
        <f>IF(B4228="","",IFERROR(INDEX(Client_List!$K:$K,MATCH(VALUE(B4228),Client_List!$A:$A,0)),""))</f>
        <v/>
      </c>
      <c r="H4228" s="32">
        <f>IF(B4228="","",IFERROR(INDEX(Client_List!$J:$J,MATCH(VALUE(B4228),Client_List!$A:$A,0)),""))</f>
        <v/>
      </c>
      <c r="I4228" s="70">
        <f>IF(B4228="","",IFERROR(A4228-LOOKUP(2,1/($B$4:$B4227=B4228),$A$4:$A4227),""))</f>
        <v/>
      </c>
      <c r="J4228" s="32">
        <f>IF(B4228="","",IFERROR(D4228/I4228,""))</f>
        <v/>
      </c>
      <c r="K4228" s="71">
        <f>IF(B4228="","",IFERROR(AVERAGEIFS($J$4:$J4228,$B$4:$B4228,B4228,$J$4:$J4228,"&gt;"&amp;0),""))</f>
        <v/>
      </c>
      <c r="L4228" s="12" t="n"/>
    </row>
    <row r="4229" ht="14" customHeight="1" s="72">
      <c r="A4229" s="82" t="n"/>
      <c r="B4229" s="79" t="n"/>
      <c r="C4229" s="69">
        <f>IF(B4229="","",IFERROR(INDEX(Client_List!$B:$B,MATCH(B4229,Client_List!$A:$A,0)),"⚠ NOT FOUND"))</f>
        <v/>
      </c>
      <c r="D4229" s="44" t="n"/>
      <c r="E4229" s="32">
        <f>IF(B4229="","",IFERROR(INDEX(Client_List!$C:$C,MATCH(VALUE(B4229),Client_List!$A:$A,0)),""))</f>
        <v/>
      </c>
      <c r="F4229" s="53">
        <f>IF(B4229="","",IFERROR(INDEX(Client_List!$D:$D,MATCH(VALUE(B4229),Client_List!$A:$A,0)),""))</f>
        <v/>
      </c>
      <c r="G4229" s="53">
        <f>IF(B4229="","",IFERROR(INDEX(Client_List!$K:$K,MATCH(VALUE(B4229),Client_List!$A:$A,0)),""))</f>
        <v/>
      </c>
      <c r="H4229" s="32">
        <f>IF(B4229="","",IFERROR(INDEX(Client_List!$J:$J,MATCH(VALUE(B4229),Client_List!$A:$A,0)),""))</f>
        <v/>
      </c>
      <c r="I4229" s="70">
        <f>IF(B4229="","",IFERROR(A4229-LOOKUP(2,1/($B$4:$B4228=B4229),$A$4:$A4228),""))</f>
        <v/>
      </c>
      <c r="J4229" s="32">
        <f>IF(B4229="","",IFERROR(D4229/I4229,""))</f>
        <v/>
      </c>
      <c r="K4229" s="71">
        <f>IF(B4229="","",IFERROR(AVERAGEIFS($J$4:$J4229,$B$4:$B4229,B4229,$J$4:$J4229,"&gt;"&amp;0),""))</f>
        <v/>
      </c>
      <c r="L4229" s="11" t="n"/>
    </row>
    <row r="4230" ht="14" customHeight="1" s="72">
      <c r="A4230" s="83" t="n"/>
      <c r="B4230" s="81" t="n"/>
      <c r="C4230" s="69">
        <f>IF(B4230="","",IFERROR(INDEX(Client_List!$B:$B,MATCH(B4230,Client_List!$A:$A,0)),"⚠ NOT FOUND"))</f>
        <v/>
      </c>
      <c r="D4230" s="45" t="n"/>
      <c r="E4230" s="32">
        <f>IF(B4230="","",IFERROR(INDEX(Client_List!$C:$C,MATCH(VALUE(B4230),Client_List!$A:$A,0)),""))</f>
        <v/>
      </c>
      <c r="F4230" s="53">
        <f>IF(B4230="","",IFERROR(INDEX(Client_List!$D:$D,MATCH(VALUE(B4230),Client_List!$A:$A,0)),""))</f>
        <v/>
      </c>
      <c r="G4230" s="53">
        <f>IF(B4230="","",IFERROR(INDEX(Client_List!$K:$K,MATCH(VALUE(B4230),Client_List!$A:$A,0)),""))</f>
        <v/>
      </c>
      <c r="H4230" s="32">
        <f>IF(B4230="","",IFERROR(INDEX(Client_List!$J:$J,MATCH(VALUE(B4230),Client_List!$A:$A,0)),""))</f>
        <v/>
      </c>
      <c r="I4230" s="70">
        <f>IF(B4230="","",IFERROR(A4230-LOOKUP(2,1/($B$4:$B4229=B4230),$A$4:$A4229),""))</f>
        <v/>
      </c>
      <c r="J4230" s="32">
        <f>IF(B4230="","",IFERROR(D4230/I4230,""))</f>
        <v/>
      </c>
      <c r="K4230" s="71">
        <f>IF(B4230="","",IFERROR(AVERAGEIFS($J$4:$J4230,$B$4:$B4230,B4230,$J$4:$J4230,"&gt;"&amp;0),""))</f>
        <v/>
      </c>
      <c r="L4230" s="12" t="n"/>
    </row>
    <row r="4231" ht="14" customHeight="1" s="72">
      <c r="A4231" s="82" t="n"/>
      <c r="B4231" s="79" t="n"/>
      <c r="C4231" s="69">
        <f>IF(B4231="","",IFERROR(INDEX(Client_List!$B:$B,MATCH(B4231,Client_List!$A:$A,0)),"⚠ NOT FOUND"))</f>
        <v/>
      </c>
      <c r="D4231" s="44" t="n"/>
      <c r="E4231" s="32">
        <f>IF(B4231="","",IFERROR(INDEX(Client_List!$C:$C,MATCH(VALUE(B4231),Client_List!$A:$A,0)),""))</f>
        <v/>
      </c>
      <c r="F4231" s="53">
        <f>IF(B4231="","",IFERROR(INDEX(Client_List!$D:$D,MATCH(VALUE(B4231),Client_List!$A:$A,0)),""))</f>
        <v/>
      </c>
      <c r="G4231" s="53">
        <f>IF(B4231="","",IFERROR(INDEX(Client_List!$K:$K,MATCH(VALUE(B4231),Client_List!$A:$A,0)),""))</f>
        <v/>
      </c>
      <c r="H4231" s="32">
        <f>IF(B4231="","",IFERROR(INDEX(Client_List!$J:$J,MATCH(VALUE(B4231),Client_List!$A:$A,0)),""))</f>
        <v/>
      </c>
      <c r="I4231" s="70">
        <f>IF(B4231="","",IFERROR(A4231-LOOKUP(2,1/($B$4:$B4230=B4231),$A$4:$A4230),""))</f>
        <v/>
      </c>
      <c r="J4231" s="32">
        <f>IF(B4231="","",IFERROR(D4231/I4231,""))</f>
        <v/>
      </c>
      <c r="K4231" s="71">
        <f>IF(B4231="","",IFERROR(AVERAGEIFS($J$4:$J4231,$B$4:$B4231,B4231,$J$4:$J4231,"&gt;"&amp;0),""))</f>
        <v/>
      </c>
      <c r="L4231" s="11" t="n"/>
    </row>
    <row r="4232" ht="14" customHeight="1" s="72">
      <c r="A4232" s="83" t="n"/>
      <c r="B4232" s="81" t="n"/>
      <c r="C4232" s="69">
        <f>IF(B4232="","",IFERROR(INDEX(Client_List!$B:$B,MATCH(B4232,Client_List!$A:$A,0)),"⚠ NOT FOUND"))</f>
        <v/>
      </c>
      <c r="D4232" s="45" t="n"/>
      <c r="E4232" s="32">
        <f>IF(B4232="","",IFERROR(INDEX(Client_List!$C:$C,MATCH(VALUE(B4232),Client_List!$A:$A,0)),""))</f>
        <v/>
      </c>
      <c r="F4232" s="53">
        <f>IF(B4232="","",IFERROR(INDEX(Client_List!$D:$D,MATCH(VALUE(B4232),Client_List!$A:$A,0)),""))</f>
        <v/>
      </c>
      <c r="G4232" s="53">
        <f>IF(B4232="","",IFERROR(INDEX(Client_List!$K:$K,MATCH(VALUE(B4232),Client_List!$A:$A,0)),""))</f>
        <v/>
      </c>
      <c r="H4232" s="32">
        <f>IF(B4232="","",IFERROR(INDEX(Client_List!$J:$J,MATCH(VALUE(B4232),Client_List!$A:$A,0)),""))</f>
        <v/>
      </c>
      <c r="I4232" s="70">
        <f>IF(B4232="","",IFERROR(A4232-LOOKUP(2,1/($B$4:$B4231=B4232),$A$4:$A4231),""))</f>
        <v/>
      </c>
      <c r="J4232" s="32">
        <f>IF(B4232="","",IFERROR(D4232/I4232,""))</f>
        <v/>
      </c>
      <c r="K4232" s="71">
        <f>IF(B4232="","",IFERROR(AVERAGEIFS($J$4:$J4232,$B$4:$B4232,B4232,$J$4:$J4232,"&gt;"&amp;0),""))</f>
        <v/>
      </c>
      <c r="L4232" s="12" t="n"/>
    </row>
    <row r="4233" ht="14" customHeight="1" s="72">
      <c r="A4233" s="82" t="n"/>
      <c r="B4233" s="79" t="n"/>
      <c r="C4233" s="69">
        <f>IF(B4233="","",IFERROR(INDEX(Client_List!$B:$B,MATCH(B4233,Client_List!$A:$A,0)),"⚠ NOT FOUND"))</f>
        <v/>
      </c>
      <c r="D4233" s="44" t="n"/>
      <c r="E4233" s="32">
        <f>IF(B4233="","",IFERROR(INDEX(Client_List!$C:$C,MATCH(VALUE(B4233),Client_List!$A:$A,0)),""))</f>
        <v/>
      </c>
      <c r="F4233" s="53">
        <f>IF(B4233="","",IFERROR(INDEX(Client_List!$D:$D,MATCH(VALUE(B4233),Client_List!$A:$A,0)),""))</f>
        <v/>
      </c>
      <c r="G4233" s="53">
        <f>IF(B4233="","",IFERROR(INDEX(Client_List!$K:$K,MATCH(VALUE(B4233),Client_List!$A:$A,0)),""))</f>
        <v/>
      </c>
      <c r="H4233" s="32">
        <f>IF(B4233="","",IFERROR(INDEX(Client_List!$J:$J,MATCH(VALUE(B4233),Client_List!$A:$A,0)),""))</f>
        <v/>
      </c>
      <c r="I4233" s="70">
        <f>IF(B4233="","",IFERROR(A4233-LOOKUP(2,1/($B$4:$B4232=B4233),$A$4:$A4232),""))</f>
        <v/>
      </c>
      <c r="J4233" s="32">
        <f>IF(B4233="","",IFERROR(D4233/I4233,""))</f>
        <v/>
      </c>
      <c r="K4233" s="71">
        <f>IF(B4233="","",IFERROR(AVERAGEIFS($J$4:$J4233,$B$4:$B4233,B4233,$J$4:$J4233,"&gt;"&amp;0),""))</f>
        <v/>
      </c>
      <c r="L4233" s="11" t="n"/>
    </row>
    <row r="4234" ht="14" customHeight="1" s="72">
      <c r="A4234" s="83" t="n"/>
      <c r="B4234" s="81" t="n"/>
      <c r="C4234" s="69">
        <f>IF(B4234="","",IFERROR(INDEX(Client_List!$B:$B,MATCH(B4234,Client_List!$A:$A,0)),"⚠ NOT FOUND"))</f>
        <v/>
      </c>
      <c r="D4234" s="45" t="n"/>
      <c r="E4234" s="32">
        <f>IF(B4234="","",IFERROR(INDEX(Client_List!$C:$C,MATCH(VALUE(B4234),Client_List!$A:$A,0)),""))</f>
        <v/>
      </c>
      <c r="F4234" s="53">
        <f>IF(B4234="","",IFERROR(INDEX(Client_List!$D:$D,MATCH(VALUE(B4234),Client_List!$A:$A,0)),""))</f>
        <v/>
      </c>
      <c r="G4234" s="53">
        <f>IF(B4234="","",IFERROR(INDEX(Client_List!$K:$K,MATCH(VALUE(B4234),Client_List!$A:$A,0)),""))</f>
        <v/>
      </c>
      <c r="H4234" s="32">
        <f>IF(B4234="","",IFERROR(INDEX(Client_List!$J:$J,MATCH(VALUE(B4234),Client_List!$A:$A,0)),""))</f>
        <v/>
      </c>
      <c r="I4234" s="70">
        <f>IF(B4234="","",IFERROR(A4234-LOOKUP(2,1/($B$4:$B4233=B4234),$A$4:$A4233),""))</f>
        <v/>
      </c>
      <c r="J4234" s="32">
        <f>IF(B4234="","",IFERROR(D4234/I4234,""))</f>
        <v/>
      </c>
      <c r="K4234" s="71">
        <f>IF(B4234="","",IFERROR(AVERAGEIFS($J$4:$J4234,$B$4:$B4234,B4234,$J$4:$J4234,"&gt;"&amp;0),""))</f>
        <v/>
      </c>
      <c r="L4234" s="12" t="n"/>
    </row>
    <row r="4235" ht="14" customHeight="1" s="72">
      <c r="A4235" s="82" t="n"/>
      <c r="B4235" s="79" t="n"/>
      <c r="C4235" s="69">
        <f>IF(B4235="","",IFERROR(INDEX(Client_List!$B:$B,MATCH(B4235,Client_List!$A:$A,0)),"⚠ NOT FOUND"))</f>
        <v/>
      </c>
      <c r="D4235" s="44" t="n"/>
      <c r="E4235" s="32">
        <f>IF(B4235="","",IFERROR(INDEX(Client_List!$C:$C,MATCH(VALUE(B4235),Client_List!$A:$A,0)),""))</f>
        <v/>
      </c>
      <c r="F4235" s="53">
        <f>IF(B4235="","",IFERROR(INDEX(Client_List!$D:$D,MATCH(VALUE(B4235),Client_List!$A:$A,0)),""))</f>
        <v/>
      </c>
      <c r="G4235" s="53">
        <f>IF(B4235="","",IFERROR(INDEX(Client_List!$K:$K,MATCH(VALUE(B4235),Client_List!$A:$A,0)),""))</f>
        <v/>
      </c>
      <c r="H4235" s="32">
        <f>IF(B4235="","",IFERROR(INDEX(Client_List!$J:$J,MATCH(VALUE(B4235),Client_List!$A:$A,0)),""))</f>
        <v/>
      </c>
      <c r="I4235" s="70">
        <f>IF(B4235="","",IFERROR(A4235-LOOKUP(2,1/($B$4:$B4234=B4235),$A$4:$A4234),""))</f>
        <v/>
      </c>
      <c r="J4235" s="32">
        <f>IF(B4235="","",IFERROR(D4235/I4235,""))</f>
        <v/>
      </c>
      <c r="K4235" s="71">
        <f>IF(B4235="","",IFERROR(AVERAGEIFS($J$4:$J4235,$B$4:$B4235,B4235,$J$4:$J4235,"&gt;"&amp;0),""))</f>
        <v/>
      </c>
      <c r="L4235" s="11" t="n"/>
    </row>
    <row r="4236" ht="14" customHeight="1" s="72">
      <c r="A4236" s="83" t="n"/>
      <c r="B4236" s="81" t="n"/>
      <c r="C4236" s="69">
        <f>IF(B4236="","",IFERROR(INDEX(Client_List!$B:$B,MATCH(B4236,Client_List!$A:$A,0)),"⚠ NOT FOUND"))</f>
        <v/>
      </c>
      <c r="D4236" s="45" t="n"/>
      <c r="E4236" s="32">
        <f>IF(B4236="","",IFERROR(INDEX(Client_List!$C:$C,MATCH(VALUE(B4236),Client_List!$A:$A,0)),""))</f>
        <v/>
      </c>
      <c r="F4236" s="53">
        <f>IF(B4236="","",IFERROR(INDEX(Client_List!$D:$D,MATCH(VALUE(B4236),Client_List!$A:$A,0)),""))</f>
        <v/>
      </c>
      <c r="G4236" s="53">
        <f>IF(B4236="","",IFERROR(INDEX(Client_List!$K:$K,MATCH(VALUE(B4236),Client_List!$A:$A,0)),""))</f>
        <v/>
      </c>
      <c r="H4236" s="32">
        <f>IF(B4236="","",IFERROR(INDEX(Client_List!$J:$J,MATCH(VALUE(B4236),Client_List!$A:$A,0)),""))</f>
        <v/>
      </c>
      <c r="I4236" s="70">
        <f>IF(B4236="","",IFERROR(A4236-LOOKUP(2,1/($B$4:$B4235=B4236),$A$4:$A4235),""))</f>
        <v/>
      </c>
      <c r="J4236" s="32">
        <f>IF(B4236="","",IFERROR(D4236/I4236,""))</f>
        <v/>
      </c>
      <c r="K4236" s="71">
        <f>IF(B4236="","",IFERROR(AVERAGEIFS($J$4:$J4236,$B$4:$B4236,B4236,$J$4:$J4236,"&gt;"&amp;0),""))</f>
        <v/>
      </c>
      <c r="L4236" s="12" t="n"/>
    </row>
    <row r="4237" ht="14" customHeight="1" s="72">
      <c r="A4237" s="82" t="n"/>
      <c r="B4237" s="79" t="n"/>
      <c r="C4237" s="69">
        <f>IF(B4237="","",IFERROR(INDEX(Client_List!$B:$B,MATCH(B4237,Client_List!$A:$A,0)),"⚠ NOT FOUND"))</f>
        <v/>
      </c>
      <c r="D4237" s="44" t="n"/>
      <c r="E4237" s="32">
        <f>IF(B4237="","",IFERROR(INDEX(Client_List!$C:$C,MATCH(VALUE(B4237),Client_List!$A:$A,0)),""))</f>
        <v/>
      </c>
      <c r="F4237" s="53">
        <f>IF(B4237="","",IFERROR(INDEX(Client_List!$D:$D,MATCH(VALUE(B4237),Client_List!$A:$A,0)),""))</f>
        <v/>
      </c>
      <c r="G4237" s="53">
        <f>IF(B4237="","",IFERROR(INDEX(Client_List!$K:$K,MATCH(VALUE(B4237),Client_List!$A:$A,0)),""))</f>
        <v/>
      </c>
      <c r="H4237" s="32">
        <f>IF(B4237="","",IFERROR(INDEX(Client_List!$J:$J,MATCH(VALUE(B4237),Client_List!$A:$A,0)),""))</f>
        <v/>
      </c>
      <c r="I4237" s="70">
        <f>IF(B4237="","",IFERROR(A4237-LOOKUP(2,1/($B$4:$B4236=B4237),$A$4:$A4236),""))</f>
        <v/>
      </c>
      <c r="J4237" s="32">
        <f>IF(B4237="","",IFERROR(D4237/I4237,""))</f>
        <v/>
      </c>
      <c r="K4237" s="71">
        <f>IF(B4237="","",IFERROR(AVERAGEIFS($J$4:$J4237,$B$4:$B4237,B4237,$J$4:$J4237,"&gt;"&amp;0),""))</f>
        <v/>
      </c>
      <c r="L4237" s="11" t="n"/>
    </row>
    <row r="4238" ht="14" customHeight="1" s="72">
      <c r="A4238" s="83" t="n"/>
      <c r="B4238" s="81" t="n"/>
      <c r="C4238" s="69">
        <f>IF(B4238="","",IFERROR(INDEX(Client_List!$B:$B,MATCH(B4238,Client_List!$A:$A,0)),"⚠ NOT FOUND"))</f>
        <v/>
      </c>
      <c r="D4238" s="45" t="n"/>
      <c r="E4238" s="32">
        <f>IF(B4238="","",IFERROR(INDEX(Client_List!$C:$C,MATCH(VALUE(B4238),Client_List!$A:$A,0)),""))</f>
        <v/>
      </c>
      <c r="F4238" s="53">
        <f>IF(B4238="","",IFERROR(INDEX(Client_List!$D:$D,MATCH(VALUE(B4238),Client_List!$A:$A,0)),""))</f>
        <v/>
      </c>
      <c r="G4238" s="53">
        <f>IF(B4238="","",IFERROR(INDEX(Client_List!$K:$K,MATCH(VALUE(B4238),Client_List!$A:$A,0)),""))</f>
        <v/>
      </c>
      <c r="H4238" s="32">
        <f>IF(B4238="","",IFERROR(INDEX(Client_List!$J:$J,MATCH(VALUE(B4238),Client_List!$A:$A,0)),""))</f>
        <v/>
      </c>
      <c r="I4238" s="70">
        <f>IF(B4238="","",IFERROR(A4238-LOOKUP(2,1/($B$4:$B4237=B4238),$A$4:$A4237),""))</f>
        <v/>
      </c>
      <c r="J4238" s="32">
        <f>IF(B4238="","",IFERROR(D4238/I4238,""))</f>
        <v/>
      </c>
      <c r="K4238" s="71">
        <f>IF(B4238="","",IFERROR(AVERAGEIFS($J$4:$J4238,$B$4:$B4238,B4238,$J$4:$J4238,"&gt;"&amp;0),""))</f>
        <v/>
      </c>
      <c r="L4238" s="12" t="n"/>
    </row>
    <row r="4239" ht="14" customHeight="1" s="72">
      <c r="A4239" s="82" t="n"/>
      <c r="B4239" s="79" t="n"/>
      <c r="C4239" s="69">
        <f>IF(B4239="","",IFERROR(INDEX(Client_List!$B:$B,MATCH(B4239,Client_List!$A:$A,0)),"⚠ NOT FOUND"))</f>
        <v/>
      </c>
      <c r="D4239" s="44" t="n"/>
      <c r="E4239" s="32">
        <f>IF(B4239="","",IFERROR(INDEX(Client_List!$C:$C,MATCH(VALUE(B4239),Client_List!$A:$A,0)),""))</f>
        <v/>
      </c>
      <c r="F4239" s="53">
        <f>IF(B4239="","",IFERROR(INDEX(Client_List!$D:$D,MATCH(VALUE(B4239),Client_List!$A:$A,0)),""))</f>
        <v/>
      </c>
      <c r="G4239" s="53">
        <f>IF(B4239="","",IFERROR(INDEX(Client_List!$K:$K,MATCH(VALUE(B4239),Client_List!$A:$A,0)),""))</f>
        <v/>
      </c>
      <c r="H4239" s="32">
        <f>IF(B4239="","",IFERROR(INDEX(Client_List!$J:$J,MATCH(VALUE(B4239),Client_List!$A:$A,0)),""))</f>
        <v/>
      </c>
      <c r="I4239" s="70">
        <f>IF(B4239="","",IFERROR(A4239-LOOKUP(2,1/($B$4:$B4238=B4239),$A$4:$A4238),""))</f>
        <v/>
      </c>
      <c r="J4239" s="32">
        <f>IF(B4239="","",IFERROR(D4239/I4239,""))</f>
        <v/>
      </c>
      <c r="K4239" s="71">
        <f>IF(B4239="","",IFERROR(AVERAGEIFS($J$4:$J4239,$B$4:$B4239,B4239,$J$4:$J4239,"&gt;"&amp;0),""))</f>
        <v/>
      </c>
      <c r="L4239" s="11" t="n"/>
    </row>
    <row r="4240" ht="14" customHeight="1" s="72">
      <c r="A4240" s="83" t="n"/>
      <c r="B4240" s="81" t="n"/>
      <c r="C4240" s="69">
        <f>IF(B4240="","",IFERROR(INDEX(Client_List!$B:$B,MATCH(B4240,Client_List!$A:$A,0)),"⚠ NOT FOUND"))</f>
        <v/>
      </c>
      <c r="D4240" s="45" t="n"/>
      <c r="E4240" s="32">
        <f>IF(B4240="","",IFERROR(INDEX(Client_List!$C:$C,MATCH(VALUE(B4240),Client_List!$A:$A,0)),""))</f>
        <v/>
      </c>
      <c r="F4240" s="53">
        <f>IF(B4240="","",IFERROR(INDEX(Client_List!$D:$D,MATCH(VALUE(B4240),Client_List!$A:$A,0)),""))</f>
        <v/>
      </c>
      <c r="G4240" s="53">
        <f>IF(B4240="","",IFERROR(INDEX(Client_List!$K:$K,MATCH(VALUE(B4240),Client_List!$A:$A,0)),""))</f>
        <v/>
      </c>
      <c r="H4240" s="32">
        <f>IF(B4240="","",IFERROR(INDEX(Client_List!$J:$J,MATCH(VALUE(B4240),Client_List!$A:$A,0)),""))</f>
        <v/>
      </c>
      <c r="I4240" s="70">
        <f>IF(B4240="","",IFERROR(A4240-LOOKUP(2,1/($B$4:$B4239=B4240),$A$4:$A4239),""))</f>
        <v/>
      </c>
      <c r="J4240" s="32">
        <f>IF(B4240="","",IFERROR(D4240/I4240,""))</f>
        <v/>
      </c>
      <c r="K4240" s="71">
        <f>IF(B4240="","",IFERROR(AVERAGEIFS($J$4:$J4240,$B$4:$B4240,B4240,$J$4:$J4240,"&gt;"&amp;0),""))</f>
        <v/>
      </c>
      <c r="L4240" s="12" t="n"/>
    </row>
    <row r="4241" ht="14" customHeight="1" s="72">
      <c r="A4241" s="82" t="n"/>
      <c r="B4241" s="79" t="n"/>
      <c r="C4241" s="69">
        <f>IF(B4241="","",IFERROR(INDEX(Client_List!$B:$B,MATCH(B4241,Client_List!$A:$A,0)),"⚠ NOT FOUND"))</f>
        <v/>
      </c>
      <c r="D4241" s="44" t="n"/>
      <c r="E4241" s="32">
        <f>IF(B4241="","",IFERROR(INDEX(Client_List!$C:$C,MATCH(VALUE(B4241),Client_List!$A:$A,0)),""))</f>
        <v/>
      </c>
      <c r="F4241" s="53">
        <f>IF(B4241="","",IFERROR(INDEX(Client_List!$D:$D,MATCH(VALUE(B4241),Client_List!$A:$A,0)),""))</f>
        <v/>
      </c>
      <c r="G4241" s="53">
        <f>IF(B4241="","",IFERROR(INDEX(Client_List!$K:$K,MATCH(VALUE(B4241),Client_List!$A:$A,0)),""))</f>
        <v/>
      </c>
      <c r="H4241" s="32">
        <f>IF(B4241="","",IFERROR(INDEX(Client_List!$J:$J,MATCH(VALUE(B4241),Client_List!$A:$A,0)),""))</f>
        <v/>
      </c>
      <c r="I4241" s="70">
        <f>IF(B4241="","",IFERROR(A4241-LOOKUP(2,1/($B$4:$B4240=B4241),$A$4:$A4240),""))</f>
        <v/>
      </c>
      <c r="J4241" s="32">
        <f>IF(B4241="","",IFERROR(D4241/I4241,""))</f>
        <v/>
      </c>
      <c r="K4241" s="71">
        <f>IF(B4241="","",IFERROR(AVERAGEIFS($J$4:$J4241,$B$4:$B4241,B4241,$J$4:$J4241,"&gt;"&amp;0),""))</f>
        <v/>
      </c>
      <c r="L4241" s="11" t="n"/>
    </row>
    <row r="4242" ht="14" customHeight="1" s="72">
      <c r="A4242" s="83" t="n"/>
      <c r="B4242" s="81" t="n"/>
      <c r="C4242" s="69">
        <f>IF(B4242="","",IFERROR(INDEX(Client_List!$B:$B,MATCH(B4242,Client_List!$A:$A,0)),"⚠ NOT FOUND"))</f>
        <v/>
      </c>
      <c r="D4242" s="45" t="n"/>
      <c r="E4242" s="32">
        <f>IF(B4242="","",IFERROR(INDEX(Client_List!$C:$C,MATCH(VALUE(B4242),Client_List!$A:$A,0)),""))</f>
        <v/>
      </c>
      <c r="F4242" s="53">
        <f>IF(B4242="","",IFERROR(INDEX(Client_List!$D:$D,MATCH(VALUE(B4242),Client_List!$A:$A,0)),""))</f>
        <v/>
      </c>
      <c r="G4242" s="53">
        <f>IF(B4242="","",IFERROR(INDEX(Client_List!$K:$K,MATCH(VALUE(B4242),Client_List!$A:$A,0)),""))</f>
        <v/>
      </c>
      <c r="H4242" s="32">
        <f>IF(B4242="","",IFERROR(INDEX(Client_List!$J:$J,MATCH(VALUE(B4242),Client_List!$A:$A,0)),""))</f>
        <v/>
      </c>
      <c r="I4242" s="70">
        <f>IF(B4242="","",IFERROR(A4242-LOOKUP(2,1/($B$4:$B4241=B4242),$A$4:$A4241),""))</f>
        <v/>
      </c>
      <c r="J4242" s="32">
        <f>IF(B4242="","",IFERROR(D4242/I4242,""))</f>
        <v/>
      </c>
      <c r="K4242" s="71">
        <f>IF(B4242="","",IFERROR(AVERAGEIFS($J$4:$J4242,$B$4:$B4242,B4242,$J$4:$J4242,"&gt;"&amp;0),""))</f>
        <v/>
      </c>
      <c r="L4242" s="12" t="n"/>
    </row>
    <row r="4243" ht="14" customHeight="1" s="72">
      <c r="A4243" s="82" t="n"/>
      <c r="B4243" s="79" t="n"/>
      <c r="C4243" s="69">
        <f>IF(B4243="","",IFERROR(INDEX(Client_List!$B:$B,MATCH(B4243,Client_List!$A:$A,0)),"⚠ NOT FOUND"))</f>
        <v/>
      </c>
      <c r="D4243" s="44" t="n"/>
      <c r="E4243" s="32">
        <f>IF(B4243="","",IFERROR(INDEX(Client_List!$C:$C,MATCH(VALUE(B4243),Client_List!$A:$A,0)),""))</f>
        <v/>
      </c>
      <c r="F4243" s="53">
        <f>IF(B4243="","",IFERROR(INDEX(Client_List!$D:$D,MATCH(VALUE(B4243),Client_List!$A:$A,0)),""))</f>
        <v/>
      </c>
      <c r="G4243" s="53">
        <f>IF(B4243="","",IFERROR(INDEX(Client_List!$K:$K,MATCH(VALUE(B4243),Client_List!$A:$A,0)),""))</f>
        <v/>
      </c>
      <c r="H4243" s="32">
        <f>IF(B4243="","",IFERROR(INDEX(Client_List!$J:$J,MATCH(VALUE(B4243),Client_List!$A:$A,0)),""))</f>
        <v/>
      </c>
      <c r="I4243" s="70">
        <f>IF(B4243="","",IFERROR(A4243-LOOKUP(2,1/($B$4:$B4242=B4243),$A$4:$A4242),""))</f>
        <v/>
      </c>
      <c r="J4243" s="32">
        <f>IF(B4243="","",IFERROR(D4243/I4243,""))</f>
        <v/>
      </c>
      <c r="K4243" s="71">
        <f>IF(B4243="","",IFERROR(AVERAGEIFS($J$4:$J4243,$B$4:$B4243,B4243,$J$4:$J4243,"&gt;"&amp;0),""))</f>
        <v/>
      </c>
      <c r="L4243" s="11" t="n"/>
    </row>
    <row r="4244" ht="14" customHeight="1" s="72">
      <c r="A4244" s="83" t="n"/>
      <c r="B4244" s="81" t="n"/>
      <c r="C4244" s="69">
        <f>IF(B4244="","",IFERROR(INDEX(Client_List!$B:$B,MATCH(B4244,Client_List!$A:$A,0)),"⚠ NOT FOUND"))</f>
        <v/>
      </c>
      <c r="D4244" s="45" t="n"/>
      <c r="E4244" s="32">
        <f>IF(B4244="","",IFERROR(INDEX(Client_List!$C:$C,MATCH(VALUE(B4244),Client_List!$A:$A,0)),""))</f>
        <v/>
      </c>
      <c r="F4244" s="53">
        <f>IF(B4244="","",IFERROR(INDEX(Client_List!$D:$D,MATCH(VALUE(B4244),Client_List!$A:$A,0)),""))</f>
        <v/>
      </c>
      <c r="G4244" s="53">
        <f>IF(B4244="","",IFERROR(INDEX(Client_List!$K:$K,MATCH(VALUE(B4244),Client_List!$A:$A,0)),""))</f>
        <v/>
      </c>
      <c r="H4244" s="32">
        <f>IF(B4244="","",IFERROR(INDEX(Client_List!$J:$J,MATCH(VALUE(B4244),Client_List!$A:$A,0)),""))</f>
        <v/>
      </c>
      <c r="I4244" s="70">
        <f>IF(B4244="","",IFERROR(A4244-LOOKUP(2,1/($B$4:$B4243=B4244),$A$4:$A4243),""))</f>
        <v/>
      </c>
      <c r="J4244" s="32">
        <f>IF(B4244="","",IFERROR(D4244/I4244,""))</f>
        <v/>
      </c>
      <c r="K4244" s="71">
        <f>IF(B4244="","",IFERROR(AVERAGEIFS($J$4:$J4244,$B$4:$B4244,B4244,$J$4:$J4244,"&gt;"&amp;0),""))</f>
        <v/>
      </c>
      <c r="L4244" s="12" t="n"/>
    </row>
    <row r="4245" ht="14" customHeight="1" s="72">
      <c r="A4245" s="82" t="n"/>
      <c r="B4245" s="79" t="n"/>
      <c r="C4245" s="69">
        <f>IF(B4245="","",IFERROR(INDEX(Client_List!$B:$B,MATCH(B4245,Client_List!$A:$A,0)),"⚠ NOT FOUND"))</f>
        <v/>
      </c>
      <c r="D4245" s="44" t="n"/>
      <c r="E4245" s="32">
        <f>IF(B4245="","",IFERROR(INDEX(Client_List!$C:$C,MATCH(VALUE(B4245),Client_List!$A:$A,0)),""))</f>
        <v/>
      </c>
      <c r="F4245" s="53">
        <f>IF(B4245="","",IFERROR(INDEX(Client_List!$D:$D,MATCH(VALUE(B4245),Client_List!$A:$A,0)),""))</f>
        <v/>
      </c>
      <c r="G4245" s="53">
        <f>IF(B4245="","",IFERROR(INDEX(Client_List!$K:$K,MATCH(VALUE(B4245),Client_List!$A:$A,0)),""))</f>
        <v/>
      </c>
      <c r="H4245" s="32">
        <f>IF(B4245="","",IFERROR(INDEX(Client_List!$J:$J,MATCH(VALUE(B4245),Client_List!$A:$A,0)),""))</f>
        <v/>
      </c>
      <c r="I4245" s="70">
        <f>IF(B4245="","",IFERROR(A4245-LOOKUP(2,1/($B$4:$B4244=B4245),$A$4:$A4244),""))</f>
        <v/>
      </c>
      <c r="J4245" s="32">
        <f>IF(B4245="","",IFERROR(D4245/I4245,""))</f>
        <v/>
      </c>
      <c r="K4245" s="71">
        <f>IF(B4245="","",IFERROR(AVERAGEIFS($J$4:$J4245,$B$4:$B4245,B4245,$J$4:$J4245,"&gt;"&amp;0),""))</f>
        <v/>
      </c>
      <c r="L4245" s="11" t="n"/>
    </row>
    <row r="4246" ht="14" customHeight="1" s="72">
      <c r="A4246" s="83" t="n"/>
      <c r="B4246" s="81" t="n"/>
      <c r="C4246" s="69">
        <f>IF(B4246="","",IFERROR(INDEX(Client_List!$B:$B,MATCH(B4246,Client_List!$A:$A,0)),"⚠ NOT FOUND"))</f>
        <v/>
      </c>
      <c r="D4246" s="45" t="n"/>
      <c r="E4246" s="32">
        <f>IF(B4246="","",IFERROR(INDEX(Client_List!$C:$C,MATCH(VALUE(B4246),Client_List!$A:$A,0)),""))</f>
        <v/>
      </c>
      <c r="F4246" s="53">
        <f>IF(B4246="","",IFERROR(INDEX(Client_List!$D:$D,MATCH(VALUE(B4246),Client_List!$A:$A,0)),""))</f>
        <v/>
      </c>
      <c r="G4246" s="53">
        <f>IF(B4246="","",IFERROR(INDEX(Client_List!$K:$K,MATCH(VALUE(B4246),Client_List!$A:$A,0)),""))</f>
        <v/>
      </c>
      <c r="H4246" s="32">
        <f>IF(B4246="","",IFERROR(INDEX(Client_List!$J:$J,MATCH(VALUE(B4246),Client_List!$A:$A,0)),""))</f>
        <v/>
      </c>
      <c r="I4246" s="70">
        <f>IF(B4246="","",IFERROR(A4246-LOOKUP(2,1/($B$4:$B4245=B4246),$A$4:$A4245),""))</f>
        <v/>
      </c>
      <c r="J4246" s="32">
        <f>IF(B4246="","",IFERROR(D4246/I4246,""))</f>
        <v/>
      </c>
      <c r="K4246" s="71">
        <f>IF(B4246="","",IFERROR(AVERAGEIFS($J$4:$J4246,$B$4:$B4246,B4246,$J$4:$J4246,"&gt;"&amp;0),""))</f>
        <v/>
      </c>
      <c r="L4246" s="12" t="n"/>
    </row>
    <row r="4247" ht="14" customHeight="1" s="72">
      <c r="A4247" s="82" t="n"/>
      <c r="B4247" s="79" t="n"/>
      <c r="C4247" s="69">
        <f>IF(B4247="","",IFERROR(INDEX(Client_List!$B:$B,MATCH(B4247,Client_List!$A:$A,0)),"⚠ NOT FOUND"))</f>
        <v/>
      </c>
      <c r="D4247" s="44" t="n"/>
      <c r="E4247" s="32">
        <f>IF(B4247="","",IFERROR(INDEX(Client_List!$C:$C,MATCH(VALUE(B4247),Client_List!$A:$A,0)),""))</f>
        <v/>
      </c>
      <c r="F4247" s="53">
        <f>IF(B4247="","",IFERROR(INDEX(Client_List!$D:$D,MATCH(VALUE(B4247),Client_List!$A:$A,0)),""))</f>
        <v/>
      </c>
      <c r="G4247" s="53">
        <f>IF(B4247="","",IFERROR(INDEX(Client_List!$K:$K,MATCH(VALUE(B4247),Client_List!$A:$A,0)),""))</f>
        <v/>
      </c>
      <c r="H4247" s="32">
        <f>IF(B4247="","",IFERROR(INDEX(Client_List!$J:$J,MATCH(VALUE(B4247),Client_List!$A:$A,0)),""))</f>
        <v/>
      </c>
      <c r="I4247" s="70">
        <f>IF(B4247="","",IFERROR(A4247-LOOKUP(2,1/($B$4:$B4246=B4247),$A$4:$A4246),""))</f>
        <v/>
      </c>
      <c r="J4247" s="32">
        <f>IF(B4247="","",IFERROR(D4247/I4247,""))</f>
        <v/>
      </c>
      <c r="K4247" s="71">
        <f>IF(B4247="","",IFERROR(AVERAGEIFS($J$4:$J4247,$B$4:$B4247,B4247,$J$4:$J4247,"&gt;"&amp;0),""))</f>
        <v/>
      </c>
      <c r="L4247" s="11" t="n"/>
    </row>
    <row r="4248" ht="14" customHeight="1" s="72">
      <c r="A4248" s="83" t="n"/>
      <c r="B4248" s="81" t="n"/>
      <c r="C4248" s="69">
        <f>IF(B4248="","",IFERROR(INDEX(Client_List!$B:$B,MATCH(B4248,Client_List!$A:$A,0)),"⚠ NOT FOUND"))</f>
        <v/>
      </c>
      <c r="D4248" s="45" t="n"/>
      <c r="E4248" s="32">
        <f>IF(B4248="","",IFERROR(INDEX(Client_List!$C:$C,MATCH(VALUE(B4248),Client_List!$A:$A,0)),""))</f>
        <v/>
      </c>
      <c r="F4248" s="53">
        <f>IF(B4248="","",IFERROR(INDEX(Client_List!$D:$D,MATCH(VALUE(B4248),Client_List!$A:$A,0)),""))</f>
        <v/>
      </c>
      <c r="G4248" s="53">
        <f>IF(B4248="","",IFERROR(INDEX(Client_List!$K:$K,MATCH(VALUE(B4248),Client_List!$A:$A,0)),""))</f>
        <v/>
      </c>
      <c r="H4248" s="32">
        <f>IF(B4248="","",IFERROR(INDEX(Client_List!$J:$J,MATCH(VALUE(B4248),Client_List!$A:$A,0)),""))</f>
        <v/>
      </c>
      <c r="I4248" s="70">
        <f>IF(B4248="","",IFERROR(A4248-LOOKUP(2,1/($B$4:$B4247=B4248),$A$4:$A4247),""))</f>
        <v/>
      </c>
      <c r="J4248" s="32">
        <f>IF(B4248="","",IFERROR(D4248/I4248,""))</f>
        <v/>
      </c>
      <c r="K4248" s="71">
        <f>IF(B4248="","",IFERROR(AVERAGEIFS($J$4:$J4248,$B$4:$B4248,B4248,$J$4:$J4248,"&gt;"&amp;0),""))</f>
        <v/>
      </c>
      <c r="L4248" s="12" t="n"/>
    </row>
    <row r="4249" ht="14" customHeight="1" s="72">
      <c r="A4249" s="82" t="n"/>
      <c r="B4249" s="79" t="n"/>
      <c r="C4249" s="69">
        <f>IF(B4249="","",IFERROR(INDEX(Client_List!$B:$B,MATCH(B4249,Client_List!$A:$A,0)),"⚠ NOT FOUND"))</f>
        <v/>
      </c>
      <c r="D4249" s="44" t="n"/>
      <c r="E4249" s="32">
        <f>IF(B4249="","",IFERROR(INDEX(Client_List!$C:$C,MATCH(VALUE(B4249),Client_List!$A:$A,0)),""))</f>
        <v/>
      </c>
      <c r="F4249" s="53">
        <f>IF(B4249="","",IFERROR(INDEX(Client_List!$D:$D,MATCH(VALUE(B4249),Client_List!$A:$A,0)),""))</f>
        <v/>
      </c>
      <c r="G4249" s="53">
        <f>IF(B4249="","",IFERROR(INDEX(Client_List!$K:$K,MATCH(VALUE(B4249),Client_List!$A:$A,0)),""))</f>
        <v/>
      </c>
      <c r="H4249" s="32">
        <f>IF(B4249="","",IFERROR(INDEX(Client_List!$J:$J,MATCH(VALUE(B4249),Client_List!$A:$A,0)),""))</f>
        <v/>
      </c>
      <c r="I4249" s="70">
        <f>IF(B4249="","",IFERROR(A4249-LOOKUP(2,1/($B$4:$B4248=B4249),$A$4:$A4248),""))</f>
        <v/>
      </c>
      <c r="J4249" s="32">
        <f>IF(B4249="","",IFERROR(D4249/I4249,""))</f>
        <v/>
      </c>
      <c r="K4249" s="71">
        <f>IF(B4249="","",IFERROR(AVERAGEIFS($J$4:$J4249,$B$4:$B4249,B4249,$J$4:$J4249,"&gt;"&amp;0),""))</f>
        <v/>
      </c>
      <c r="L4249" s="11" t="n"/>
    </row>
    <row r="4250" ht="14" customHeight="1" s="72">
      <c r="A4250" s="83" t="n"/>
      <c r="B4250" s="81" t="n"/>
      <c r="C4250" s="69">
        <f>IF(B4250="","",IFERROR(INDEX(Client_List!$B:$B,MATCH(B4250,Client_List!$A:$A,0)),"⚠ NOT FOUND"))</f>
        <v/>
      </c>
      <c r="D4250" s="45" t="n"/>
      <c r="E4250" s="32">
        <f>IF(B4250="","",IFERROR(INDEX(Client_List!$C:$C,MATCH(VALUE(B4250),Client_List!$A:$A,0)),""))</f>
        <v/>
      </c>
      <c r="F4250" s="53">
        <f>IF(B4250="","",IFERROR(INDEX(Client_List!$D:$D,MATCH(VALUE(B4250),Client_List!$A:$A,0)),""))</f>
        <v/>
      </c>
      <c r="G4250" s="53">
        <f>IF(B4250="","",IFERROR(INDEX(Client_List!$K:$K,MATCH(VALUE(B4250),Client_List!$A:$A,0)),""))</f>
        <v/>
      </c>
      <c r="H4250" s="32">
        <f>IF(B4250="","",IFERROR(INDEX(Client_List!$J:$J,MATCH(VALUE(B4250),Client_List!$A:$A,0)),""))</f>
        <v/>
      </c>
      <c r="I4250" s="70">
        <f>IF(B4250="","",IFERROR(A4250-LOOKUP(2,1/($B$4:$B4249=B4250),$A$4:$A4249),""))</f>
        <v/>
      </c>
      <c r="J4250" s="32">
        <f>IF(B4250="","",IFERROR(D4250/I4250,""))</f>
        <v/>
      </c>
      <c r="K4250" s="71">
        <f>IF(B4250="","",IFERROR(AVERAGEIFS($J$4:$J4250,$B$4:$B4250,B4250,$J$4:$J4250,"&gt;"&amp;0),""))</f>
        <v/>
      </c>
      <c r="L4250" s="12" t="n"/>
    </row>
    <row r="4251" ht="14" customHeight="1" s="72">
      <c r="A4251" s="82" t="n"/>
      <c r="B4251" s="79" t="n"/>
      <c r="C4251" s="69">
        <f>IF(B4251="","",IFERROR(INDEX(Client_List!$B:$B,MATCH(B4251,Client_List!$A:$A,0)),"⚠ NOT FOUND"))</f>
        <v/>
      </c>
      <c r="D4251" s="44" t="n"/>
      <c r="E4251" s="32">
        <f>IF(B4251="","",IFERROR(INDEX(Client_List!$C:$C,MATCH(VALUE(B4251),Client_List!$A:$A,0)),""))</f>
        <v/>
      </c>
      <c r="F4251" s="53">
        <f>IF(B4251="","",IFERROR(INDEX(Client_List!$D:$D,MATCH(VALUE(B4251),Client_List!$A:$A,0)),""))</f>
        <v/>
      </c>
      <c r="G4251" s="53">
        <f>IF(B4251="","",IFERROR(INDEX(Client_List!$K:$K,MATCH(VALUE(B4251),Client_List!$A:$A,0)),""))</f>
        <v/>
      </c>
      <c r="H4251" s="32">
        <f>IF(B4251="","",IFERROR(INDEX(Client_List!$J:$J,MATCH(VALUE(B4251),Client_List!$A:$A,0)),""))</f>
        <v/>
      </c>
      <c r="I4251" s="70">
        <f>IF(B4251="","",IFERROR(A4251-LOOKUP(2,1/($B$4:$B4250=B4251),$A$4:$A4250),""))</f>
        <v/>
      </c>
      <c r="J4251" s="32">
        <f>IF(B4251="","",IFERROR(D4251/I4251,""))</f>
        <v/>
      </c>
      <c r="K4251" s="71">
        <f>IF(B4251="","",IFERROR(AVERAGEIFS($J$4:$J4251,$B$4:$B4251,B4251,$J$4:$J4251,"&gt;"&amp;0),""))</f>
        <v/>
      </c>
      <c r="L4251" s="11" t="n"/>
    </row>
    <row r="4252" ht="14" customHeight="1" s="72">
      <c r="A4252" s="83" t="n"/>
      <c r="B4252" s="81" t="n"/>
      <c r="C4252" s="69">
        <f>IF(B4252="","",IFERROR(INDEX(Client_List!$B:$B,MATCH(B4252,Client_List!$A:$A,0)),"⚠ NOT FOUND"))</f>
        <v/>
      </c>
      <c r="D4252" s="45" t="n"/>
      <c r="E4252" s="32">
        <f>IF(B4252="","",IFERROR(INDEX(Client_List!$C:$C,MATCH(VALUE(B4252),Client_List!$A:$A,0)),""))</f>
        <v/>
      </c>
      <c r="F4252" s="53">
        <f>IF(B4252="","",IFERROR(INDEX(Client_List!$D:$D,MATCH(VALUE(B4252),Client_List!$A:$A,0)),""))</f>
        <v/>
      </c>
      <c r="G4252" s="53">
        <f>IF(B4252="","",IFERROR(INDEX(Client_List!$K:$K,MATCH(VALUE(B4252),Client_List!$A:$A,0)),""))</f>
        <v/>
      </c>
      <c r="H4252" s="32">
        <f>IF(B4252="","",IFERROR(INDEX(Client_List!$J:$J,MATCH(VALUE(B4252),Client_List!$A:$A,0)),""))</f>
        <v/>
      </c>
      <c r="I4252" s="70">
        <f>IF(B4252="","",IFERROR(A4252-LOOKUP(2,1/($B$4:$B4251=B4252),$A$4:$A4251),""))</f>
        <v/>
      </c>
      <c r="J4252" s="32">
        <f>IF(B4252="","",IFERROR(D4252/I4252,""))</f>
        <v/>
      </c>
      <c r="K4252" s="71">
        <f>IF(B4252="","",IFERROR(AVERAGEIFS($J$4:$J4252,$B$4:$B4252,B4252,$J$4:$J4252,"&gt;"&amp;0),""))</f>
        <v/>
      </c>
      <c r="L4252" s="12" t="n"/>
    </row>
    <row r="4253" ht="14" customHeight="1" s="72">
      <c r="A4253" s="82" t="n"/>
      <c r="B4253" s="79" t="n"/>
      <c r="C4253" s="69">
        <f>IF(B4253="","",IFERROR(INDEX(Client_List!$B:$B,MATCH(B4253,Client_List!$A:$A,0)),"⚠ NOT FOUND"))</f>
        <v/>
      </c>
      <c r="D4253" s="44" t="n"/>
      <c r="E4253" s="32">
        <f>IF(B4253="","",IFERROR(INDEX(Client_List!$C:$C,MATCH(VALUE(B4253),Client_List!$A:$A,0)),""))</f>
        <v/>
      </c>
      <c r="F4253" s="53">
        <f>IF(B4253="","",IFERROR(INDEX(Client_List!$D:$D,MATCH(VALUE(B4253),Client_List!$A:$A,0)),""))</f>
        <v/>
      </c>
      <c r="G4253" s="53">
        <f>IF(B4253="","",IFERROR(INDEX(Client_List!$K:$K,MATCH(VALUE(B4253),Client_List!$A:$A,0)),""))</f>
        <v/>
      </c>
      <c r="H4253" s="32">
        <f>IF(B4253="","",IFERROR(INDEX(Client_List!$J:$J,MATCH(VALUE(B4253),Client_List!$A:$A,0)),""))</f>
        <v/>
      </c>
      <c r="I4253" s="70">
        <f>IF(B4253="","",IFERROR(A4253-LOOKUP(2,1/($B$4:$B4252=B4253),$A$4:$A4252),""))</f>
        <v/>
      </c>
      <c r="J4253" s="32">
        <f>IF(B4253="","",IFERROR(D4253/I4253,""))</f>
        <v/>
      </c>
      <c r="K4253" s="71">
        <f>IF(B4253="","",IFERROR(AVERAGEIFS($J$4:$J4253,$B$4:$B4253,B4253,$J$4:$J4253,"&gt;"&amp;0),""))</f>
        <v/>
      </c>
      <c r="L4253" s="11" t="n"/>
    </row>
    <row r="4254" ht="14" customHeight="1" s="72">
      <c r="A4254" s="83" t="n"/>
      <c r="B4254" s="81" t="n"/>
      <c r="C4254" s="69">
        <f>IF(B4254="","",IFERROR(INDEX(Client_List!$B:$B,MATCH(B4254,Client_List!$A:$A,0)),"⚠ NOT FOUND"))</f>
        <v/>
      </c>
      <c r="D4254" s="45" t="n"/>
      <c r="E4254" s="32">
        <f>IF(B4254="","",IFERROR(INDEX(Client_List!$C:$C,MATCH(VALUE(B4254),Client_List!$A:$A,0)),""))</f>
        <v/>
      </c>
      <c r="F4254" s="53">
        <f>IF(B4254="","",IFERROR(INDEX(Client_List!$D:$D,MATCH(VALUE(B4254),Client_List!$A:$A,0)),""))</f>
        <v/>
      </c>
      <c r="G4254" s="53">
        <f>IF(B4254="","",IFERROR(INDEX(Client_List!$K:$K,MATCH(VALUE(B4254),Client_List!$A:$A,0)),""))</f>
        <v/>
      </c>
      <c r="H4254" s="32">
        <f>IF(B4254="","",IFERROR(INDEX(Client_List!$J:$J,MATCH(VALUE(B4254),Client_List!$A:$A,0)),""))</f>
        <v/>
      </c>
      <c r="I4254" s="70">
        <f>IF(B4254="","",IFERROR(A4254-LOOKUP(2,1/($B$4:$B4253=B4254),$A$4:$A4253),""))</f>
        <v/>
      </c>
      <c r="J4254" s="32">
        <f>IF(B4254="","",IFERROR(D4254/I4254,""))</f>
        <v/>
      </c>
      <c r="K4254" s="71">
        <f>IF(B4254="","",IFERROR(AVERAGEIFS($J$4:$J4254,$B$4:$B4254,B4254,$J$4:$J4254,"&gt;"&amp;0),""))</f>
        <v/>
      </c>
      <c r="L4254" s="12" t="n"/>
    </row>
    <row r="4255" ht="14" customHeight="1" s="72">
      <c r="A4255" s="82" t="n"/>
      <c r="B4255" s="79" t="n"/>
      <c r="C4255" s="69">
        <f>IF(B4255="","",IFERROR(INDEX(Client_List!$B:$B,MATCH(B4255,Client_List!$A:$A,0)),"⚠ NOT FOUND"))</f>
        <v/>
      </c>
      <c r="D4255" s="44" t="n"/>
      <c r="E4255" s="32">
        <f>IF(B4255="","",IFERROR(INDEX(Client_List!$C:$C,MATCH(VALUE(B4255),Client_List!$A:$A,0)),""))</f>
        <v/>
      </c>
      <c r="F4255" s="53">
        <f>IF(B4255="","",IFERROR(INDEX(Client_List!$D:$D,MATCH(VALUE(B4255),Client_List!$A:$A,0)),""))</f>
        <v/>
      </c>
      <c r="G4255" s="53">
        <f>IF(B4255="","",IFERROR(INDEX(Client_List!$K:$K,MATCH(VALUE(B4255),Client_List!$A:$A,0)),""))</f>
        <v/>
      </c>
      <c r="H4255" s="32">
        <f>IF(B4255="","",IFERROR(INDEX(Client_List!$J:$J,MATCH(VALUE(B4255),Client_List!$A:$A,0)),""))</f>
        <v/>
      </c>
      <c r="I4255" s="70">
        <f>IF(B4255="","",IFERROR(A4255-LOOKUP(2,1/($B$4:$B4254=B4255),$A$4:$A4254),""))</f>
        <v/>
      </c>
      <c r="J4255" s="32">
        <f>IF(B4255="","",IFERROR(D4255/I4255,""))</f>
        <v/>
      </c>
      <c r="K4255" s="71">
        <f>IF(B4255="","",IFERROR(AVERAGEIFS($J$4:$J4255,$B$4:$B4255,B4255,$J$4:$J4255,"&gt;"&amp;0),""))</f>
        <v/>
      </c>
      <c r="L4255" s="11" t="n"/>
    </row>
    <row r="4256" ht="14" customHeight="1" s="72">
      <c r="A4256" s="83" t="n"/>
      <c r="B4256" s="81" t="n"/>
      <c r="C4256" s="69">
        <f>IF(B4256="","",IFERROR(INDEX(Client_List!$B:$B,MATCH(B4256,Client_List!$A:$A,0)),"⚠ NOT FOUND"))</f>
        <v/>
      </c>
      <c r="D4256" s="45" t="n"/>
      <c r="E4256" s="32">
        <f>IF(B4256="","",IFERROR(INDEX(Client_List!$C:$C,MATCH(VALUE(B4256),Client_List!$A:$A,0)),""))</f>
        <v/>
      </c>
      <c r="F4256" s="53">
        <f>IF(B4256="","",IFERROR(INDEX(Client_List!$D:$D,MATCH(VALUE(B4256),Client_List!$A:$A,0)),""))</f>
        <v/>
      </c>
      <c r="G4256" s="53">
        <f>IF(B4256="","",IFERROR(INDEX(Client_List!$K:$K,MATCH(VALUE(B4256),Client_List!$A:$A,0)),""))</f>
        <v/>
      </c>
      <c r="H4256" s="32">
        <f>IF(B4256="","",IFERROR(INDEX(Client_List!$J:$J,MATCH(VALUE(B4256),Client_List!$A:$A,0)),""))</f>
        <v/>
      </c>
      <c r="I4256" s="70">
        <f>IF(B4256="","",IFERROR(A4256-LOOKUP(2,1/($B$4:$B4255=B4256),$A$4:$A4255),""))</f>
        <v/>
      </c>
      <c r="J4256" s="32">
        <f>IF(B4256="","",IFERROR(D4256/I4256,""))</f>
        <v/>
      </c>
      <c r="K4256" s="71">
        <f>IF(B4256="","",IFERROR(AVERAGEIFS($J$4:$J4256,$B$4:$B4256,B4256,$J$4:$J4256,"&gt;"&amp;0),""))</f>
        <v/>
      </c>
      <c r="L4256" s="12" t="n"/>
    </row>
    <row r="4257" ht="14" customHeight="1" s="72">
      <c r="A4257" s="82" t="n"/>
      <c r="B4257" s="79" t="n"/>
      <c r="C4257" s="69">
        <f>IF(B4257="","",IFERROR(INDEX(Client_List!$B:$B,MATCH(B4257,Client_List!$A:$A,0)),"⚠ NOT FOUND"))</f>
        <v/>
      </c>
      <c r="D4257" s="44" t="n"/>
      <c r="E4257" s="32">
        <f>IF(B4257="","",IFERROR(INDEX(Client_List!$C:$C,MATCH(VALUE(B4257),Client_List!$A:$A,0)),""))</f>
        <v/>
      </c>
      <c r="F4257" s="53">
        <f>IF(B4257="","",IFERROR(INDEX(Client_List!$D:$D,MATCH(VALUE(B4257),Client_List!$A:$A,0)),""))</f>
        <v/>
      </c>
      <c r="G4257" s="53">
        <f>IF(B4257="","",IFERROR(INDEX(Client_List!$K:$K,MATCH(VALUE(B4257),Client_List!$A:$A,0)),""))</f>
        <v/>
      </c>
      <c r="H4257" s="32">
        <f>IF(B4257="","",IFERROR(INDEX(Client_List!$J:$J,MATCH(VALUE(B4257),Client_List!$A:$A,0)),""))</f>
        <v/>
      </c>
      <c r="I4257" s="70">
        <f>IF(B4257="","",IFERROR(A4257-LOOKUP(2,1/($B$4:$B4256=B4257),$A$4:$A4256),""))</f>
        <v/>
      </c>
      <c r="J4257" s="32">
        <f>IF(B4257="","",IFERROR(D4257/I4257,""))</f>
        <v/>
      </c>
      <c r="K4257" s="71">
        <f>IF(B4257="","",IFERROR(AVERAGEIFS($J$4:$J4257,$B$4:$B4257,B4257,$J$4:$J4257,"&gt;"&amp;0),""))</f>
        <v/>
      </c>
      <c r="L4257" s="11" t="n"/>
    </row>
    <row r="4258" ht="14" customHeight="1" s="72">
      <c r="A4258" s="83" t="n"/>
      <c r="B4258" s="81" t="n"/>
      <c r="C4258" s="69">
        <f>IF(B4258="","",IFERROR(INDEX(Client_List!$B:$B,MATCH(B4258,Client_List!$A:$A,0)),"⚠ NOT FOUND"))</f>
        <v/>
      </c>
      <c r="D4258" s="45" t="n"/>
      <c r="E4258" s="32">
        <f>IF(B4258="","",IFERROR(INDEX(Client_List!$C:$C,MATCH(VALUE(B4258),Client_List!$A:$A,0)),""))</f>
        <v/>
      </c>
      <c r="F4258" s="53">
        <f>IF(B4258="","",IFERROR(INDEX(Client_List!$D:$D,MATCH(VALUE(B4258),Client_List!$A:$A,0)),""))</f>
        <v/>
      </c>
      <c r="G4258" s="53">
        <f>IF(B4258="","",IFERROR(INDEX(Client_List!$K:$K,MATCH(VALUE(B4258),Client_List!$A:$A,0)),""))</f>
        <v/>
      </c>
      <c r="H4258" s="32">
        <f>IF(B4258="","",IFERROR(INDEX(Client_List!$J:$J,MATCH(VALUE(B4258),Client_List!$A:$A,0)),""))</f>
        <v/>
      </c>
      <c r="I4258" s="70">
        <f>IF(B4258="","",IFERROR(A4258-LOOKUP(2,1/($B$4:$B4257=B4258),$A$4:$A4257),""))</f>
        <v/>
      </c>
      <c r="J4258" s="32">
        <f>IF(B4258="","",IFERROR(D4258/I4258,""))</f>
        <v/>
      </c>
      <c r="K4258" s="71">
        <f>IF(B4258="","",IFERROR(AVERAGEIFS($J$4:$J4258,$B$4:$B4258,B4258,$J$4:$J4258,"&gt;"&amp;0),""))</f>
        <v/>
      </c>
      <c r="L4258" s="12" t="n"/>
    </row>
    <row r="4259" ht="14" customHeight="1" s="72">
      <c r="A4259" s="82" t="n"/>
      <c r="B4259" s="79" t="n"/>
      <c r="C4259" s="69">
        <f>IF(B4259="","",IFERROR(INDEX(Client_List!$B:$B,MATCH(B4259,Client_List!$A:$A,0)),"⚠ NOT FOUND"))</f>
        <v/>
      </c>
      <c r="D4259" s="44" t="n"/>
      <c r="E4259" s="32">
        <f>IF(B4259="","",IFERROR(INDEX(Client_List!$C:$C,MATCH(VALUE(B4259),Client_List!$A:$A,0)),""))</f>
        <v/>
      </c>
      <c r="F4259" s="53">
        <f>IF(B4259="","",IFERROR(INDEX(Client_List!$D:$D,MATCH(VALUE(B4259),Client_List!$A:$A,0)),""))</f>
        <v/>
      </c>
      <c r="G4259" s="53">
        <f>IF(B4259="","",IFERROR(INDEX(Client_List!$K:$K,MATCH(VALUE(B4259),Client_List!$A:$A,0)),""))</f>
        <v/>
      </c>
      <c r="H4259" s="32">
        <f>IF(B4259="","",IFERROR(INDEX(Client_List!$J:$J,MATCH(VALUE(B4259),Client_List!$A:$A,0)),""))</f>
        <v/>
      </c>
      <c r="I4259" s="70">
        <f>IF(B4259="","",IFERROR(A4259-LOOKUP(2,1/($B$4:$B4258=B4259),$A$4:$A4258),""))</f>
        <v/>
      </c>
      <c r="J4259" s="32">
        <f>IF(B4259="","",IFERROR(D4259/I4259,""))</f>
        <v/>
      </c>
      <c r="K4259" s="71">
        <f>IF(B4259="","",IFERROR(AVERAGEIFS($J$4:$J4259,$B$4:$B4259,B4259,$J$4:$J4259,"&gt;"&amp;0),""))</f>
        <v/>
      </c>
      <c r="L4259" s="11" t="n"/>
    </row>
    <row r="4260" ht="14" customHeight="1" s="72">
      <c r="A4260" s="83" t="n"/>
      <c r="B4260" s="81" t="n"/>
      <c r="C4260" s="69">
        <f>IF(B4260="","",IFERROR(INDEX(Client_List!$B:$B,MATCH(B4260,Client_List!$A:$A,0)),"⚠ NOT FOUND"))</f>
        <v/>
      </c>
      <c r="D4260" s="45" t="n"/>
      <c r="E4260" s="32">
        <f>IF(B4260="","",IFERROR(INDEX(Client_List!$C:$C,MATCH(VALUE(B4260),Client_List!$A:$A,0)),""))</f>
        <v/>
      </c>
      <c r="F4260" s="53">
        <f>IF(B4260="","",IFERROR(INDEX(Client_List!$D:$D,MATCH(VALUE(B4260),Client_List!$A:$A,0)),""))</f>
        <v/>
      </c>
      <c r="G4260" s="53">
        <f>IF(B4260="","",IFERROR(INDEX(Client_List!$K:$K,MATCH(VALUE(B4260),Client_List!$A:$A,0)),""))</f>
        <v/>
      </c>
      <c r="H4260" s="32">
        <f>IF(B4260="","",IFERROR(INDEX(Client_List!$J:$J,MATCH(VALUE(B4260),Client_List!$A:$A,0)),""))</f>
        <v/>
      </c>
      <c r="I4260" s="70">
        <f>IF(B4260="","",IFERROR(A4260-LOOKUP(2,1/($B$4:$B4259=B4260),$A$4:$A4259),""))</f>
        <v/>
      </c>
      <c r="J4260" s="32">
        <f>IF(B4260="","",IFERROR(D4260/I4260,""))</f>
        <v/>
      </c>
      <c r="K4260" s="71">
        <f>IF(B4260="","",IFERROR(AVERAGEIFS($J$4:$J4260,$B$4:$B4260,B4260,$J$4:$J4260,"&gt;"&amp;0),""))</f>
        <v/>
      </c>
      <c r="L4260" s="12" t="n"/>
    </row>
    <row r="4261" ht="14" customHeight="1" s="72">
      <c r="A4261" s="82" t="n"/>
      <c r="B4261" s="79" t="n"/>
      <c r="C4261" s="69">
        <f>IF(B4261="","",IFERROR(INDEX(Client_List!$B:$B,MATCH(B4261,Client_List!$A:$A,0)),"⚠ NOT FOUND"))</f>
        <v/>
      </c>
      <c r="D4261" s="44" t="n"/>
      <c r="E4261" s="32">
        <f>IF(B4261="","",IFERROR(INDEX(Client_List!$C:$C,MATCH(VALUE(B4261),Client_List!$A:$A,0)),""))</f>
        <v/>
      </c>
      <c r="F4261" s="53">
        <f>IF(B4261="","",IFERROR(INDEX(Client_List!$D:$D,MATCH(VALUE(B4261),Client_List!$A:$A,0)),""))</f>
        <v/>
      </c>
      <c r="G4261" s="53">
        <f>IF(B4261="","",IFERROR(INDEX(Client_List!$K:$K,MATCH(VALUE(B4261),Client_List!$A:$A,0)),""))</f>
        <v/>
      </c>
      <c r="H4261" s="32">
        <f>IF(B4261="","",IFERROR(INDEX(Client_List!$J:$J,MATCH(VALUE(B4261),Client_List!$A:$A,0)),""))</f>
        <v/>
      </c>
      <c r="I4261" s="70">
        <f>IF(B4261="","",IFERROR(A4261-LOOKUP(2,1/($B$4:$B4260=B4261),$A$4:$A4260),""))</f>
        <v/>
      </c>
      <c r="J4261" s="32">
        <f>IF(B4261="","",IFERROR(D4261/I4261,""))</f>
        <v/>
      </c>
      <c r="K4261" s="71">
        <f>IF(B4261="","",IFERROR(AVERAGEIFS($J$4:$J4261,$B$4:$B4261,B4261,$J$4:$J4261,"&gt;"&amp;0),""))</f>
        <v/>
      </c>
      <c r="L4261" s="11" t="n"/>
    </row>
    <row r="4262" ht="14" customHeight="1" s="72">
      <c r="A4262" s="83" t="n"/>
      <c r="B4262" s="81" t="n"/>
      <c r="C4262" s="69">
        <f>IF(B4262="","",IFERROR(INDEX(Client_List!$B:$B,MATCH(B4262,Client_List!$A:$A,0)),"⚠ NOT FOUND"))</f>
        <v/>
      </c>
      <c r="D4262" s="45" t="n"/>
      <c r="E4262" s="32">
        <f>IF(B4262="","",IFERROR(INDEX(Client_List!$C:$C,MATCH(VALUE(B4262),Client_List!$A:$A,0)),""))</f>
        <v/>
      </c>
      <c r="F4262" s="53">
        <f>IF(B4262="","",IFERROR(INDEX(Client_List!$D:$D,MATCH(VALUE(B4262),Client_List!$A:$A,0)),""))</f>
        <v/>
      </c>
      <c r="G4262" s="53">
        <f>IF(B4262="","",IFERROR(INDEX(Client_List!$K:$K,MATCH(VALUE(B4262),Client_List!$A:$A,0)),""))</f>
        <v/>
      </c>
      <c r="H4262" s="32">
        <f>IF(B4262="","",IFERROR(INDEX(Client_List!$J:$J,MATCH(VALUE(B4262),Client_List!$A:$A,0)),""))</f>
        <v/>
      </c>
      <c r="I4262" s="70">
        <f>IF(B4262="","",IFERROR(A4262-LOOKUP(2,1/($B$4:$B4261=B4262),$A$4:$A4261),""))</f>
        <v/>
      </c>
      <c r="J4262" s="32">
        <f>IF(B4262="","",IFERROR(D4262/I4262,""))</f>
        <v/>
      </c>
      <c r="K4262" s="71">
        <f>IF(B4262="","",IFERROR(AVERAGEIFS($J$4:$J4262,$B$4:$B4262,B4262,$J$4:$J4262,"&gt;"&amp;0),""))</f>
        <v/>
      </c>
      <c r="L4262" s="12" t="n"/>
    </row>
    <row r="4263" ht="14" customHeight="1" s="72">
      <c r="A4263" s="82" t="n"/>
      <c r="B4263" s="79" t="n"/>
      <c r="C4263" s="69">
        <f>IF(B4263="","",IFERROR(INDEX(Client_List!$B:$B,MATCH(B4263,Client_List!$A:$A,0)),"⚠ NOT FOUND"))</f>
        <v/>
      </c>
      <c r="D4263" s="44" t="n"/>
      <c r="E4263" s="32">
        <f>IF(B4263="","",IFERROR(INDEX(Client_List!$C:$C,MATCH(VALUE(B4263),Client_List!$A:$A,0)),""))</f>
        <v/>
      </c>
      <c r="F4263" s="53">
        <f>IF(B4263="","",IFERROR(INDEX(Client_List!$D:$D,MATCH(VALUE(B4263),Client_List!$A:$A,0)),""))</f>
        <v/>
      </c>
      <c r="G4263" s="53">
        <f>IF(B4263="","",IFERROR(INDEX(Client_List!$K:$K,MATCH(VALUE(B4263),Client_List!$A:$A,0)),""))</f>
        <v/>
      </c>
      <c r="H4263" s="32">
        <f>IF(B4263="","",IFERROR(INDEX(Client_List!$J:$J,MATCH(VALUE(B4263),Client_List!$A:$A,0)),""))</f>
        <v/>
      </c>
      <c r="I4263" s="70">
        <f>IF(B4263="","",IFERROR(A4263-LOOKUP(2,1/($B$4:$B4262=B4263),$A$4:$A4262),""))</f>
        <v/>
      </c>
      <c r="J4263" s="32">
        <f>IF(B4263="","",IFERROR(D4263/I4263,""))</f>
        <v/>
      </c>
      <c r="K4263" s="71">
        <f>IF(B4263="","",IFERROR(AVERAGEIFS($J$4:$J4263,$B$4:$B4263,B4263,$J$4:$J4263,"&gt;"&amp;0),""))</f>
        <v/>
      </c>
      <c r="L4263" s="11" t="n"/>
    </row>
    <row r="4264" ht="14" customHeight="1" s="72">
      <c r="A4264" s="83" t="n"/>
      <c r="B4264" s="81" t="n"/>
      <c r="C4264" s="69">
        <f>IF(B4264="","",IFERROR(INDEX(Client_List!$B:$B,MATCH(B4264,Client_List!$A:$A,0)),"⚠ NOT FOUND"))</f>
        <v/>
      </c>
      <c r="D4264" s="45" t="n"/>
      <c r="E4264" s="32">
        <f>IF(B4264="","",IFERROR(INDEX(Client_List!$C:$C,MATCH(VALUE(B4264),Client_List!$A:$A,0)),""))</f>
        <v/>
      </c>
      <c r="F4264" s="53">
        <f>IF(B4264="","",IFERROR(INDEX(Client_List!$D:$D,MATCH(VALUE(B4264),Client_List!$A:$A,0)),""))</f>
        <v/>
      </c>
      <c r="G4264" s="53">
        <f>IF(B4264="","",IFERROR(INDEX(Client_List!$K:$K,MATCH(VALUE(B4264),Client_List!$A:$A,0)),""))</f>
        <v/>
      </c>
      <c r="H4264" s="32">
        <f>IF(B4264="","",IFERROR(INDEX(Client_List!$J:$J,MATCH(VALUE(B4264),Client_List!$A:$A,0)),""))</f>
        <v/>
      </c>
      <c r="I4264" s="70">
        <f>IF(B4264="","",IFERROR(A4264-LOOKUP(2,1/($B$4:$B4263=B4264),$A$4:$A4263),""))</f>
        <v/>
      </c>
      <c r="J4264" s="32">
        <f>IF(B4264="","",IFERROR(D4264/I4264,""))</f>
        <v/>
      </c>
      <c r="K4264" s="71">
        <f>IF(B4264="","",IFERROR(AVERAGEIFS($J$4:$J4264,$B$4:$B4264,B4264,$J$4:$J4264,"&gt;"&amp;0),""))</f>
        <v/>
      </c>
      <c r="L4264" s="12" t="n"/>
    </row>
    <row r="4265" ht="14" customHeight="1" s="72">
      <c r="A4265" s="82" t="n"/>
      <c r="B4265" s="79" t="n"/>
      <c r="C4265" s="69">
        <f>IF(B4265="","",IFERROR(INDEX(Client_List!$B:$B,MATCH(B4265,Client_List!$A:$A,0)),"⚠ NOT FOUND"))</f>
        <v/>
      </c>
      <c r="D4265" s="44" t="n"/>
      <c r="E4265" s="32">
        <f>IF(B4265="","",IFERROR(INDEX(Client_List!$C:$C,MATCH(VALUE(B4265),Client_List!$A:$A,0)),""))</f>
        <v/>
      </c>
      <c r="F4265" s="53">
        <f>IF(B4265="","",IFERROR(INDEX(Client_List!$D:$D,MATCH(VALUE(B4265),Client_List!$A:$A,0)),""))</f>
        <v/>
      </c>
      <c r="G4265" s="53">
        <f>IF(B4265="","",IFERROR(INDEX(Client_List!$K:$K,MATCH(VALUE(B4265),Client_List!$A:$A,0)),""))</f>
        <v/>
      </c>
      <c r="H4265" s="32">
        <f>IF(B4265="","",IFERROR(INDEX(Client_List!$J:$J,MATCH(VALUE(B4265),Client_List!$A:$A,0)),""))</f>
        <v/>
      </c>
      <c r="I4265" s="70">
        <f>IF(B4265="","",IFERROR(A4265-LOOKUP(2,1/($B$4:$B4264=B4265),$A$4:$A4264),""))</f>
        <v/>
      </c>
      <c r="J4265" s="32">
        <f>IF(B4265="","",IFERROR(D4265/I4265,""))</f>
        <v/>
      </c>
      <c r="K4265" s="71">
        <f>IF(B4265="","",IFERROR(AVERAGEIFS($J$4:$J4265,$B$4:$B4265,B4265,$J$4:$J4265,"&gt;"&amp;0),""))</f>
        <v/>
      </c>
      <c r="L4265" s="11" t="n"/>
    </row>
    <row r="4266" ht="14" customHeight="1" s="72">
      <c r="A4266" s="83" t="n"/>
      <c r="B4266" s="81" t="n"/>
      <c r="C4266" s="69">
        <f>IF(B4266="","",IFERROR(INDEX(Client_List!$B:$B,MATCH(B4266,Client_List!$A:$A,0)),"⚠ NOT FOUND"))</f>
        <v/>
      </c>
      <c r="D4266" s="45" t="n"/>
      <c r="E4266" s="32">
        <f>IF(B4266="","",IFERROR(INDEX(Client_List!$C:$C,MATCH(VALUE(B4266),Client_List!$A:$A,0)),""))</f>
        <v/>
      </c>
      <c r="F4266" s="53">
        <f>IF(B4266="","",IFERROR(INDEX(Client_List!$D:$D,MATCH(VALUE(B4266),Client_List!$A:$A,0)),""))</f>
        <v/>
      </c>
      <c r="G4266" s="53">
        <f>IF(B4266="","",IFERROR(INDEX(Client_List!$K:$K,MATCH(VALUE(B4266),Client_List!$A:$A,0)),""))</f>
        <v/>
      </c>
      <c r="H4266" s="32">
        <f>IF(B4266="","",IFERROR(INDEX(Client_List!$J:$J,MATCH(VALUE(B4266),Client_List!$A:$A,0)),""))</f>
        <v/>
      </c>
      <c r="I4266" s="70">
        <f>IF(B4266="","",IFERROR(A4266-LOOKUP(2,1/($B$4:$B4265=B4266),$A$4:$A4265),""))</f>
        <v/>
      </c>
      <c r="J4266" s="32">
        <f>IF(B4266="","",IFERROR(D4266/I4266,""))</f>
        <v/>
      </c>
      <c r="K4266" s="71">
        <f>IF(B4266="","",IFERROR(AVERAGEIFS($J$4:$J4266,$B$4:$B4266,B4266,$J$4:$J4266,"&gt;"&amp;0),""))</f>
        <v/>
      </c>
      <c r="L4266" s="12" t="n"/>
    </row>
    <row r="4267" ht="14" customHeight="1" s="72">
      <c r="A4267" s="82" t="n"/>
      <c r="B4267" s="79" t="n"/>
      <c r="C4267" s="69">
        <f>IF(B4267="","",IFERROR(INDEX(Client_List!$B:$B,MATCH(B4267,Client_List!$A:$A,0)),"⚠ NOT FOUND"))</f>
        <v/>
      </c>
      <c r="D4267" s="44" t="n"/>
      <c r="E4267" s="32">
        <f>IF(B4267="","",IFERROR(INDEX(Client_List!$C:$C,MATCH(VALUE(B4267),Client_List!$A:$A,0)),""))</f>
        <v/>
      </c>
      <c r="F4267" s="53">
        <f>IF(B4267="","",IFERROR(INDEX(Client_List!$D:$D,MATCH(VALUE(B4267),Client_List!$A:$A,0)),""))</f>
        <v/>
      </c>
      <c r="G4267" s="53">
        <f>IF(B4267="","",IFERROR(INDEX(Client_List!$K:$K,MATCH(VALUE(B4267),Client_List!$A:$A,0)),""))</f>
        <v/>
      </c>
      <c r="H4267" s="32">
        <f>IF(B4267="","",IFERROR(INDEX(Client_List!$J:$J,MATCH(VALUE(B4267),Client_List!$A:$A,0)),""))</f>
        <v/>
      </c>
      <c r="I4267" s="70">
        <f>IF(B4267="","",IFERROR(A4267-LOOKUP(2,1/($B$4:$B4266=B4267),$A$4:$A4266),""))</f>
        <v/>
      </c>
      <c r="J4267" s="32">
        <f>IF(B4267="","",IFERROR(D4267/I4267,""))</f>
        <v/>
      </c>
      <c r="K4267" s="71">
        <f>IF(B4267="","",IFERROR(AVERAGEIFS($J$4:$J4267,$B$4:$B4267,B4267,$J$4:$J4267,"&gt;"&amp;0),""))</f>
        <v/>
      </c>
      <c r="L4267" s="11" t="n"/>
    </row>
    <row r="4268" ht="14" customHeight="1" s="72">
      <c r="A4268" s="83" t="n"/>
      <c r="B4268" s="81" t="n"/>
      <c r="C4268" s="69">
        <f>IF(B4268="","",IFERROR(INDEX(Client_List!$B:$B,MATCH(B4268,Client_List!$A:$A,0)),"⚠ NOT FOUND"))</f>
        <v/>
      </c>
      <c r="D4268" s="45" t="n"/>
      <c r="E4268" s="32">
        <f>IF(B4268="","",IFERROR(INDEX(Client_List!$C:$C,MATCH(VALUE(B4268),Client_List!$A:$A,0)),""))</f>
        <v/>
      </c>
      <c r="F4268" s="53">
        <f>IF(B4268="","",IFERROR(INDEX(Client_List!$D:$D,MATCH(VALUE(B4268),Client_List!$A:$A,0)),""))</f>
        <v/>
      </c>
      <c r="G4268" s="53">
        <f>IF(B4268="","",IFERROR(INDEX(Client_List!$K:$K,MATCH(VALUE(B4268),Client_List!$A:$A,0)),""))</f>
        <v/>
      </c>
      <c r="H4268" s="32">
        <f>IF(B4268="","",IFERROR(INDEX(Client_List!$J:$J,MATCH(VALUE(B4268),Client_List!$A:$A,0)),""))</f>
        <v/>
      </c>
      <c r="I4268" s="70">
        <f>IF(B4268="","",IFERROR(A4268-LOOKUP(2,1/($B$4:$B4267=B4268),$A$4:$A4267),""))</f>
        <v/>
      </c>
      <c r="J4268" s="32">
        <f>IF(B4268="","",IFERROR(D4268/I4268,""))</f>
        <v/>
      </c>
      <c r="K4268" s="71">
        <f>IF(B4268="","",IFERROR(AVERAGEIFS($J$4:$J4268,$B$4:$B4268,B4268,$J$4:$J4268,"&gt;"&amp;0),""))</f>
        <v/>
      </c>
      <c r="L4268" s="12" t="n"/>
    </row>
    <row r="4269" ht="14" customHeight="1" s="72">
      <c r="A4269" s="82" t="n"/>
      <c r="B4269" s="79" t="n"/>
      <c r="C4269" s="69">
        <f>IF(B4269="","",IFERROR(INDEX(Client_List!$B:$B,MATCH(B4269,Client_List!$A:$A,0)),"⚠ NOT FOUND"))</f>
        <v/>
      </c>
      <c r="D4269" s="44" t="n"/>
      <c r="E4269" s="32">
        <f>IF(B4269="","",IFERROR(INDEX(Client_List!$C:$C,MATCH(VALUE(B4269),Client_List!$A:$A,0)),""))</f>
        <v/>
      </c>
      <c r="F4269" s="53">
        <f>IF(B4269="","",IFERROR(INDEX(Client_List!$D:$D,MATCH(VALUE(B4269),Client_List!$A:$A,0)),""))</f>
        <v/>
      </c>
      <c r="G4269" s="53">
        <f>IF(B4269="","",IFERROR(INDEX(Client_List!$K:$K,MATCH(VALUE(B4269),Client_List!$A:$A,0)),""))</f>
        <v/>
      </c>
      <c r="H4269" s="32">
        <f>IF(B4269="","",IFERROR(INDEX(Client_List!$J:$J,MATCH(VALUE(B4269),Client_List!$A:$A,0)),""))</f>
        <v/>
      </c>
      <c r="I4269" s="70">
        <f>IF(B4269="","",IFERROR(A4269-LOOKUP(2,1/($B$4:$B4268=B4269),$A$4:$A4268),""))</f>
        <v/>
      </c>
      <c r="J4269" s="32">
        <f>IF(B4269="","",IFERROR(D4269/I4269,""))</f>
        <v/>
      </c>
      <c r="K4269" s="71">
        <f>IF(B4269="","",IFERROR(AVERAGEIFS($J$4:$J4269,$B$4:$B4269,B4269,$J$4:$J4269,"&gt;"&amp;0),""))</f>
        <v/>
      </c>
      <c r="L4269" s="11" t="n"/>
    </row>
    <row r="4270" ht="14" customHeight="1" s="72">
      <c r="A4270" s="83" t="n"/>
      <c r="B4270" s="81" t="n"/>
      <c r="C4270" s="69">
        <f>IF(B4270="","",IFERROR(INDEX(Client_List!$B:$B,MATCH(B4270,Client_List!$A:$A,0)),"⚠ NOT FOUND"))</f>
        <v/>
      </c>
      <c r="D4270" s="45" t="n"/>
      <c r="E4270" s="32">
        <f>IF(B4270="","",IFERROR(INDEX(Client_List!$C:$C,MATCH(VALUE(B4270),Client_List!$A:$A,0)),""))</f>
        <v/>
      </c>
      <c r="F4270" s="53">
        <f>IF(B4270="","",IFERROR(INDEX(Client_List!$D:$D,MATCH(VALUE(B4270),Client_List!$A:$A,0)),""))</f>
        <v/>
      </c>
      <c r="G4270" s="53">
        <f>IF(B4270="","",IFERROR(INDEX(Client_List!$K:$K,MATCH(VALUE(B4270),Client_List!$A:$A,0)),""))</f>
        <v/>
      </c>
      <c r="H4270" s="32">
        <f>IF(B4270="","",IFERROR(INDEX(Client_List!$J:$J,MATCH(VALUE(B4270),Client_List!$A:$A,0)),""))</f>
        <v/>
      </c>
      <c r="I4270" s="70">
        <f>IF(B4270="","",IFERROR(A4270-LOOKUP(2,1/($B$4:$B4269=B4270),$A$4:$A4269),""))</f>
        <v/>
      </c>
      <c r="J4270" s="32">
        <f>IF(B4270="","",IFERROR(D4270/I4270,""))</f>
        <v/>
      </c>
      <c r="K4270" s="71">
        <f>IF(B4270="","",IFERROR(AVERAGEIFS($J$4:$J4270,$B$4:$B4270,B4270,$J$4:$J4270,"&gt;"&amp;0),""))</f>
        <v/>
      </c>
      <c r="L4270" s="12" t="n"/>
    </row>
    <row r="4271" ht="14" customHeight="1" s="72">
      <c r="A4271" s="82" t="n"/>
      <c r="B4271" s="79" t="n"/>
      <c r="C4271" s="69">
        <f>IF(B4271="","",IFERROR(INDEX(Client_List!$B:$B,MATCH(B4271,Client_List!$A:$A,0)),"⚠ NOT FOUND"))</f>
        <v/>
      </c>
      <c r="D4271" s="44" t="n"/>
      <c r="E4271" s="32">
        <f>IF(B4271="","",IFERROR(INDEX(Client_List!$C:$C,MATCH(VALUE(B4271),Client_List!$A:$A,0)),""))</f>
        <v/>
      </c>
      <c r="F4271" s="53">
        <f>IF(B4271="","",IFERROR(INDEX(Client_List!$D:$D,MATCH(VALUE(B4271),Client_List!$A:$A,0)),""))</f>
        <v/>
      </c>
      <c r="G4271" s="53">
        <f>IF(B4271="","",IFERROR(INDEX(Client_List!$K:$K,MATCH(VALUE(B4271),Client_List!$A:$A,0)),""))</f>
        <v/>
      </c>
      <c r="H4271" s="32">
        <f>IF(B4271="","",IFERROR(INDEX(Client_List!$J:$J,MATCH(VALUE(B4271),Client_List!$A:$A,0)),""))</f>
        <v/>
      </c>
      <c r="I4271" s="70">
        <f>IF(B4271="","",IFERROR(A4271-LOOKUP(2,1/($B$4:$B4270=B4271),$A$4:$A4270),""))</f>
        <v/>
      </c>
      <c r="J4271" s="32">
        <f>IF(B4271="","",IFERROR(D4271/I4271,""))</f>
        <v/>
      </c>
      <c r="K4271" s="71">
        <f>IF(B4271="","",IFERROR(AVERAGEIFS($J$4:$J4271,$B$4:$B4271,B4271,$J$4:$J4271,"&gt;"&amp;0),""))</f>
        <v/>
      </c>
      <c r="L4271" s="11" t="n"/>
    </row>
    <row r="4272" ht="14" customHeight="1" s="72">
      <c r="A4272" s="83" t="n"/>
      <c r="B4272" s="81" t="n"/>
      <c r="C4272" s="69">
        <f>IF(B4272="","",IFERROR(INDEX(Client_List!$B:$B,MATCH(B4272,Client_List!$A:$A,0)),"⚠ NOT FOUND"))</f>
        <v/>
      </c>
      <c r="D4272" s="45" t="n"/>
      <c r="E4272" s="32">
        <f>IF(B4272="","",IFERROR(INDEX(Client_List!$C:$C,MATCH(VALUE(B4272),Client_List!$A:$A,0)),""))</f>
        <v/>
      </c>
      <c r="F4272" s="53">
        <f>IF(B4272="","",IFERROR(INDEX(Client_List!$D:$D,MATCH(VALUE(B4272),Client_List!$A:$A,0)),""))</f>
        <v/>
      </c>
      <c r="G4272" s="53">
        <f>IF(B4272="","",IFERROR(INDEX(Client_List!$K:$K,MATCH(VALUE(B4272),Client_List!$A:$A,0)),""))</f>
        <v/>
      </c>
      <c r="H4272" s="32">
        <f>IF(B4272="","",IFERROR(INDEX(Client_List!$J:$J,MATCH(VALUE(B4272),Client_List!$A:$A,0)),""))</f>
        <v/>
      </c>
      <c r="I4272" s="70">
        <f>IF(B4272="","",IFERROR(A4272-LOOKUP(2,1/($B$4:$B4271=B4272),$A$4:$A4271),""))</f>
        <v/>
      </c>
      <c r="J4272" s="32">
        <f>IF(B4272="","",IFERROR(D4272/I4272,""))</f>
        <v/>
      </c>
      <c r="K4272" s="71">
        <f>IF(B4272="","",IFERROR(AVERAGEIFS($J$4:$J4272,$B$4:$B4272,B4272,$J$4:$J4272,"&gt;"&amp;0),""))</f>
        <v/>
      </c>
      <c r="L4272" s="12" t="n"/>
    </row>
    <row r="4273" ht="14" customHeight="1" s="72">
      <c r="A4273" s="82" t="n"/>
      <c r="B4273" s="79" t="n"/>
      <c r="C4273" s="69">
        <f>IF(B4273="","",IFERROR(INDEX(Client_List!$B:$B,MATCH(B4273,Client_List!$A:$A,0)),"⚠ NOT FOUND"))</f>
        <v/>
      </c>
      <c r="D4273" s="44" t="n"/>
      <c r="E4273" s="32">
        <f>IF(B4273="","",IFERROR(INDEX(Client_List!$C:$C,MATCH(VALUE(B4273),Client_List!$A:$A,0)),""))</f>
        <v/>
      </c>
      <c r="F4273" s="53">
        <f>IF(B4273="","",IFERROR(INDEX(Client_List!$D:$D,MATCH(VALUE(B4273),Client_List!$A:$A,0)),""))</f>
        <v/>
      </c>
      <c r="G4273" s="53">
        <f>IF(B4273="","",IFERROR(INDEX(Client_List!$K:$K,MATCH(VALUE(B4273),Client_List!$A:$A,0)),""))</f>
        <v/>
      </c>
      <c r="H4273" s="32">
        <f>IF(B4273="","",IFERROR(INDEX(Client_List!$J:$J,MATCH(VALUE(B4273),Client_List!$A:$A,0)),""))</f>
        <v/>
      </c>
      <c r="I4273" s="70">
        <f>IF(B4273="","",IFERROR(A4273-LOOKUP(2,1/($B$4:$B4272=B4273),$A$4:$A4272),""))</f>
        <v/>
      </c>
      <c r="J4273" s="32">
        <f>IF(B4273="","",IFERROR(D4273/I4273,""))</f>
        <v/>
      </c>
      <c r="K4273" s="71">
        <f>IF(B4273="","",IFERROR(AVERAGEIFS($J$4:$J4273,$B$4:$B4273,B4273,$J$4:$J4273,"&gt;"&amp;0),""))</f>
        <v/>
      </c>
      <c r="L4273" s="11" t="n"/>
    </row>
    <row r="4274" ht="14" customHeight="1" s="72">
      <c r="A4274" s="83" t="n"/>
      <c r="B4274" s="81" t="n"/>
      <c r="C4274" s="69">
        <f>IF(B4274="","",IFERROR(INDEX(Client_List!$B:$B,MATCH(B4274,Client_List!$A:$A,0)),"⚠ NOT FOUND"))</f>
        <v/>
      </c>
      <c r="D4274" s="45" t="n"/>
      <c r="E4274" s="32">
        <f>IF(B4274="","",IFERROR(INDEX(Client_List!$C:$C,MATCH(VALUE(B4274),Client_List!$A:$A,0)),""))</f>
        <v/>
      </c>
      <c r="F4274" s="53">
        <f>IF(B4274="","",IFERROR(INDEX(Client_List!$D:$D,MATCH(VALUE(B4274),Client_List!$A:$A,0)),""))</f>
        <v/>
      </c>
      <c r="G4274" s="53">
        <f>IF(B4274="","",IFERROR(INDEX(Client_List!$K:$K,MATCH(VALUE(B4274),Client_List!$A:$A,0)),""))</f>
        <v/>
      </c>
      <c r="H4274" s="32">
        <f>IF(B4274="","",IFERROR(INDEX(Client_List!$J:$J,MATCH(VALUE(B4274),Client_List!$A:$A,0)),""))</f>
        <v/>
      </c>
      <c r="I4274" s="70">
        <f>IF(B4274="","",IFERROR(A4274-LOOKUP(2,1/($B$4:$B4273=B4274),$A$4:$A4273),""))</f>
        <v/>
      </c>
      <c r="J4274" s="32">
        <f>IF(B4274="","",IFERROR(D4274/I4274,""))</f>
        <v/>
      </c>
      <c r="K4274" s="71">
        <f>IF(B4274="","",IFERROR(AVERAGEIFS($J$4:$J4274,$B$4:$B4274,B4274,$J$4:$J4274,"&gt;"&amp;0),""))</f>
        <v/>
      </c>
      <c r="L4274" s="12" t="n"/>
    </row>
    <row r="4275" ht="14" customHeight="1" s="72">
      <c r="A4275" s="82" t="n"/>
      <c r="B4275" s="79" t="n"/>
      <c r="C4275" s="69">
        <f>IF(B4275="","",IFERROR(INDEX(Client_List!$B:$B,MATCH(B4275,Client_List!$A:$A,0)),"⚠ NOT FOUND"))</f>
        <v/>
      </c>
      <c r="D4275" s="44" t="n"/>
      <c r="E4275" s="32">
        <f>IF(B4275="","",IFERROR(INDEX(Client_List!$C:$C,MATCH(VALUE(B4275),Client_List!$A:$A,0)),""))</f>
        <v/>
      </c>
      <c r="F4275" s="53">
        <f>IF(B4275="","",IFERROR(INDEX(Client_List!$D:$D,MATCH(VALUE(B4275),Client_List!$A:$A,0)),""))</f>
        <v/>
      </c>
      <c r="G4275" s="53">
        <f>IF(B4275="","",IFERROR(INDEX(Client_List!$K:$K,MATCH(VALUE(B4275),Client_List!$A:$A,0)),""))</f>
        <v/>
      </c>
      <c r="H4275" s="32">
        <f>IF(B4275="","",IFERROR(INDEX(Client_List!$J:$J,MATCH(VALUE(B4275),Client_List!$A:$A,0)),""))</f>
        <v/>
      </c>
      <c r="I4275" s="70">
        <f>IF(B4275="","",IFERROR(A4275-LOOKUP(2,1/($B$4:$B4274=B4275),$A$4:$A4274),""))</f>
        <v/>
      </c>
      <c r="J4275" s="32">
        <f>IF(B4275="","",IFERROR(D4275/I4275,""))</f>
        <v/>
      </c>
      <c r="K4275" s="71">
        <f>IF(B4275="","",IFERROR(AVERAGEIFS($J$4:$J4275,$B$4:$B4275,B4275,$J$4:$J4275,"&gt;"&amp;0),""))</f>
        <v/>
      </c>
      <c r="L4275" s="11" t="n"/>
    </row>
    <row r="4276" ht="14" customHeight="1" s="72">
      <c r="A4276" s="83" t="n"/>
      <c r="B4276" s="81" t="n"/>
      <c r="C4276" s="69">
        <f>IF(B4276="","",IFERROR(INDEX(Client_List!$B:$B,MATCH(B4276,Client_List!$A:$A,0)),"⚠ NOT FOUND"))</f>
        <v/>
      </c>
      <c r="D4276" s="45" t="n"/>
      <c r="E4276" s="32">
        <f>IF(B4276="","",IFERROR(INDEX(Client_List!$C:$C,MATCH(VALUE(B4276),Client_List!$A:$A,0)),""))</f>
        <v/>
      </c>
      <c r="F4276" s="53">
        <f>IF(B4276="","",IFERROR(INDEX(Client_List!$D:$D,MATCH(VALUE(B4276),Client_List!$A:$A,0)),""))</f>
        <v/>
      </c>
      <c r="G4276" s="53">
        <f>IF(B4276="","",IFERROR(INDEX(Client_List!$K:$K,MATCH(VALUE(B4276),Client_List!$A:$A,0)),""))</f>
        <v/>
      </c>
      <c r="H4276" s="32">
        <f>IF(B4276="","",IFERROR(INDEX(Client_List!$J:$J,MATCH(VALUE(B4276),Client_List!$A:$A,0)),""))</f>
        <v/>
      </c>
      <c r="I4276" s="70">
        <f>IF(B4276="","",IFERROR(A4276-LOOKUP(2,1/($B$4:$B4275=B4276),$A$4:$A4275),""))</f>
        <v/>
      </c>
      <c r="J4276" s="32">
        <f>IF(B4276="","",IFERROR(D4276/I4276,""))</f>
        <v/>
      </c>
      <c r="K4276" s="71">
        <f>IF(B4276="","",IFERROR(AVERAGEIFS($J$4:$J4276,$B$4:$B4276,B4276,$J$4:$J4276,"&gt;"&amp;0),""))</f>
        <v/>
      </c>
      <c r="L4276" s="12" t="n"/>
    </row>
    <row r="4277" ht="14" customHeight="1" s="72">
      <c r="A4277" s="82" t="n"/>
      <c r="B4277" s="79" t="n"/>
      <c r="C4277" s="69">
        <f>IF(B4277="","",IFERROR(INDEX(Client_List!$B:$B,MATCH(B4277,Client_List!$A:$A,0)),"⚠ NOT FOUND"))</f>
        <v/>
      </c>
      <c r="D4277" s="44" t="n"/>
      <c r="E4277" s="32">
        <f>IF(B4277="","",IFERROR(INDEX(Client_List!$C:$C,MATCH(VALUE(B4277),Client_List!$A:$A,0)),""))</f>
        <v/>
      </c>
      <c r="F4277" s="53">
        <f>IF(B4277="","",IFERROR(INDEX(Client_List!$D:$D,MATCH(VALUE(B4277),Client_List!$A:$A,0)),""))</f>
        <v/>
      </c>
      <c r="G4277" s="53">
        <f>IF(B4277="","",IFERROR(INDEX(Client_List!$K:$K,MATCH(VALUE(B4277),Client_List!$A:$A,0)),""))</f>
        <v/>
      </c>
      <c r="H4277" s="32">
        <f>IF(B4277="","",IFERROR(INDEX(Client_List!$J:$J,MATCH(VALUE(B4277),Client_List!$A:$A,0)),""))</f>
        <v/>
      </c>
      <c r="I4277" s="70">
        <f>IF(B4277="","",IFERROR(A4277-LOOKUP(2,1/($B$4:$B4276=B4277),$A$4:$A4276),""))</f>
        <v/>
      </c>
      <c r="J4277" s="32">
        <f>IF(B4277="","",IFERROR(D4277/I4277,""))</f>
        <v/>
      </c>
      <c r="K4277" s="71">
        <f>IF(B4277="","",IFERROR(AVERAGEIFS($J$4:$J4277,$B$4:$B4277,B4277,$J$4:$J4277,"&gt;"&amp;0),""))</f>
        <v/>
      </c>
      <c r="L4277" s="11" t="n"/>
    </row>
    <row r="4278" ht="14" customHeight="1" s="72">
      <c r="A4278" s="83" t="n"/>
      <c r="B4278" s="81" t="n"/>
      <c r="C4278" s="69">
        <f>IF(B4278="","",IFERROR(INDEX(Client_List!$B:$B,MATCH(B4278,Client_List!$A:$A,0)),"⚠ NOT FOUND"))</f>
        <v/>
      </c>
      <c r="D4278" s="45" t="n"/>
      <c r="E4278" s="32">
        <f>IF(B4278="","",IFERROR(INDEX(Client_List!$C:$C,MATCH(VALUE(B4278),Client_List!$A:$A,0)),""))</f>
        <v/>
      </c>
      <c r="F4278" s="53">
        <f>IF(B4278="","",IFERROR(INDEX(Client_List!$D:$D,MATCH(VALUE(B4278),Client_List!$A:$A,0)),""))</f>
        <v/>
      </c>
      <c r="G4278" s="53">
        <f>IF(B4278="","",IFERROR(INDEX(Client_List!$K:$K,MATCH(VALUE(B4278),Client_List!$A:$A,0)),""))</f>
        <v/>
      </c>
      <c r="H4278" s="32">
        <f>IF(B4278="","",IFERROR(INDEX(Client_List!$J:$J,MATCH(VALUE(B4278),Client_List!$A:$A,0)),""))</f>
        <v/>
      </c>
      <c r="I4278" s="70">
        <f>IF(B4278="","",IFERROR(A4278-LOOKUP(2,1/($B$4:$B4277=B4278),$A$4:$A4277),""))</f>
        <v/>
      </c>
      <c r="J4278" s="32">
        <f>IF(B4278="","",IFERROR(D4278/I4278,""))</f>
        <v/>
      </c>
      <c r="K4278" s="71">
        <f>IF(B4278="","",IFERROR(AVERAGEIFS($J$4:$J4278,$B$4:$B4278,B4278,$J$4:$J4278,"&gt;"&amp;0),""))</f>
        <v/>
      </c>
      <c r="L4278" s="12" t="n"/>
    </row>
    <row r="4279" ht="14" customHeight="1" s="72">
      <c r="A4279" s="82" t="n"/>
      <c r="B4279" s="79" t="n"/>
      <c r="C4279" s="69">
        <f>IF(B4279="","",IFERROR(INDEX(Client_List!$B:$B,MATCH(B4279,Client_List!$A:$A,0)),"⚠ NOT FOUND"))</f>
        <v/>
      </c>
      <c r="D4279" s="44" t="n"/>
      <c r="E4279" s="32">
        <f>IF(B4279="","",IFERROR(INDEX(Client_List!$C:$C,MATCH(VALUE(B4279),Client_List!$A:$A,0)),""))</f>
        <v/>
      </c>
      <c r="F4279" s="53">
        <f>IF(B4279="","",IFERROR(INDEX(Client_List!$D:$D,MATCH(VALUE(B4279),Client_List!$A:$A,0)),""))</f>
        <v/>
      </c>
      <c r="G4279" s="53">
        <f>IF(B4279="","",IFERROR(INDEX(Client_List!$K:$K,MATCH(VALUE(B4279),Client_List!$A:$A,0)),""))</f>
        <v/>
      </c>
      <c r="H4279" s="32">
        <f>IF(B4279="","",IFERROR(INDEX(Client_List!$J:$J,MATCH(VALUE(B4279),Client_List!$A:$A,0)),""))</f>
        <v/>
      </c>
      <c r="I4279" s="70">
        <f>IF(B4279="","",IFERROR(A4279-LOOKUP(2,1/($B$4:$B4278=B4279),$A$4:$A4278),""))</f>
        <v/>
      </c>
      <c r="J4279" s="32">
        <f>IF(B4279="","",IFERROR(D4279/I4279,""))</f>
        <v/>
      </c>
      <c r="K4279" s="71">
        <f>IF(B4279="","",IFERROR(AVERAGEIFS($J$4:$J4279,$B$4:$B4279,B4279,$J$4:$J4279,"&gt;"&amp;0),""))</f>
        <v/>
      </c>
      <c r="L4279" s="11" t="n"/>
    </row>
    <row r="4280" ht="14" customHeight="1" s="72">
      <c r="A4280" s="83" t="n"/>
      <c r="B4280" s="81" t="n"/>
      <c r="C4280" s="69">
        <f>IF(B4280="","",IFERROR(INDEX(Client_List!$B:$B,MATCH(B4280,Client_List!$A:$A,0)),"⚠ NOT FOUND"))</f>
        <v/>
      </c>
      <c r="D4280" s="45" t="n"/>
      <c r="E4280" s="32">
        <f>IF(B4280="","",IFERROR(INDEX(Client_List!$C:$C,MATCH(VALUE(B4280),Client_List!$A:$A,0)),""))</f>
        <v/>
      </c>
      <c r="F4280" s="53">
        <f>IF(B4280="","",IFERROR(INDEX(Client_List!$D:$D,MATCH(VALUE(B4280),Client_List!$A:$A,0)),""))</f>
        <v/>
      </c>
      <c r="G4280" s="53">
        <f>IF(B4280="","",IFERROR(INDEX(Client_List!$K:$K,MATCH(VALUE(B4280),Client_List!$A:$A,0)),""))</f>
        <v/>
      </c>
      <c r="H4280" s="32">
        <f>IF(B4280="","",IFERROR(INDEX(Client_List!$J:$J,MATCH(VALUE(B4280),Client_List!$A:$A,0)),""))</f>
        <v/>
      </c>
      <c r="I4280" s="70">
        <f>IF(B4280="","",IFERROR(A4280-LOOKUP(2,1/($B$4:$B4279=B4280),$A$4:$A4279),""))</f>
        <v/>
      </c>
      <c r="J4280" s="32">
        <f>IF(B4280="","",IFERROR(D4280/I4280,""))</f>
        <v/>
      </c>
      <c r="K4280" s="71">
        <f>IF(B4280="","",IFERROR(AVERAGEIFS($J$4:$J4280,$B$4:$B4280,B4280,$J$4:$J4280,"&gt;"&amp;0),""))</f>
        <v/>
      </c>
      <c r="L4280" s="12" t="n"/>
    </row>
    <row r="4281" ht="14" customHeight="1" s="72">
      <c r="A4281" s="82" t="n"/>
      <c r="B4281" s="79" t="n"/>
      <c r="C4281" s="69">
        <f>IF(B4281="","",IFERROR(INDEX(Client_List!$B:$B,MATCH(B4281,Client_List!$A:$A,0)),"⚠ NOT FOUND"))</f>
        <v/>
      </c>
      <c r="D4281" s="44" t="n"/>
      <c r="E4281" s="32">
        <f>IF(B4281="","",IFERROR(INDEX(Client_List!$C:$C,MATCH(VALUE(B4281),Client_List!$A:$A,0)),""))</f>
        <v/>
      </c>
      <c r="F4281" s="53">
        <f>IF(B4281="","",IFERROR(INDEX(Client_List!$D:$D,MATCH(VALUE(B4281),Client_List!$A:$A,0)),""))</f>
        <v/>
      </c>
      <c r="G4281" s="53">
        <f>IF(B4281="","",IFERROR(INDEX(Client_List!$K:$K,MATCH(VALUE(B4281),Client_List!$A:$A,0)),""))</f>
        <v/>
      </c>
      <c r="H4281" s="32">
        <f>IF(B4281="","",IFERROR(INDEX(Client_List!$J:$J,MATCH(VALUE(B4281),Client_List!$A:$A,0)),""))</f>
        <v/>
      </c>
      <c r="I4281" s="70">
        <f>IF(B4281="","",IFERROR(A4281-LOOKUP(2,1/($B$4:$B4280=B4281),$A$4:$A4280),""))</f>
        <v/>
      </c>
      <c r="J4281" s="32">
        <f>IF(B4281="","",IFERROR(D4281/I4281,""))</f>
        <v/>
      </c>
      <c r="K4281" s="71">
        <f>IF(B4281="","",IFERROR(AVERAGEIFS($J$4:$J4281,$B$4:$B4281,B4281,$J$4:$J4281,"&gt;"&amp;0),""))</f>
        <v/>
      </c>
      <c r="L4281" s="11" t="n"/>
    </row>
    <row r="4282" ht="14" customHeight="1" s="72">
      <c r="A4282" s="83" t="n"/>
      <c r="B4282" s="81" t="n"/>
      <c r="C4282" s="69">
        <f>IF(B4282="","",IFERROR(INDEX(Client_List!$B:$B,MATCH(B4282,Client_List!$A:$A,0)),"⚠ NOT FOUND"))</f>
        <v/>
      </c>
      <c r="D4282" s="45" t="n"/>
      <c r="E4282" s="32">
        <f>IF(B4282="","",IFERROR(INDEX(Client_List!$C:$C,MATCH(VALUE(B4282),Client_List!$A:$A,0)),""))</f>
        <v/>
      </c>
      <c r="F4282" s="53">
        <f>IF(B4282="","",IFERROR(INDEX(Client_List!$D:$D,MATCH(VALUE(B4282),Client_List!$A:$A,0)),""))</f>
        <v/>
      </c>
      <c r="G4282" s="53">
        <f>IF(B4282="","",IFERROR(INDEX(Client_List!$K:$K,MATCH(VALUE(B4282),Client_List!$A:$A,0)),""))</f>
        <v/>
      </c>
      <c r="H4282" s="32">
        <f>IF(B4282="","",IFERROR(INDEX(Client_List!$J:$J,MATCH(VALUE(B4282),Client_List!$A:$A,0)),""))</f>
        <v/>
      </c>
      <c r="I4282" s="70">
        <f>IF(B4282="","",IFERROR(A4282-LOOKUP(2,1/($B$4:$B4281=B4282),$A$4:$A4281),""))</f>
        <v/>
      </c>
      <c r="J4282" s="32">
        <f>IF(B4282="","",IFERROR(D4282/I4282,""))</f>
        <v/>
      </c>
      <c r="K4282" s="71">
        <f>IF(B4282="","",IFERROR(AVERAGEIFS($J$4:$J4282,$B$4:$B4282,B4282,$J$4:$J4282,"&gt;"&amp;0),""))</f>
        <v/>
      </c>
      <c r="L4282" s="12" t="n"/>
    </row>
    <row r="4283" ht="14" customHeight="1" s="72">
      <c r="A4283" s="82" t="n"/>
      <c r="B4283" s="79" t="n"/>
      <c r="C4283" s="69">
        <f>IF(B4283="","",IFERROR(INDEX(Client_List!$B:$B,MATCH(B4283,Client_List!$A:$A,0)),"⚠ NOT FOUND"))</f>
        <v/>
      </c>
      <c r="D4283" s="44" t="n"/>
      <c r="E4283" s="32">
        <f>IF(B4283="","",IFERROR(INDEX(Client_List!$C:$C,MATCH(VALUE(B4283),Client_List!$A:$A,0)),""))</f>
        <v/>
      </c>
      <c r="F4283" s="53">
        <f>IF(B4283="","",IFERROR(INDEX(Client_List!$D:$D,MATCH(VALUE(B4283),Client_List!$A:$A,0)),""))</f>
        <v/>
      </c>
      <c r="G4283" s="53">
        <f>IF(B4283="","",IFERROR(INDEX(Client_List!$K:$K,MATCH(VALUE(B4283),Client_List!$A:$A,0)),""))</f>
        <v/>
      </c>
      <c r="H4283" s="32">
        <f>IF(B4283="","",IFERROR(INDEX(Client_List!$J:$J,MATCH(VALUE(B4283),Client_List!$A:$A,0)),""))</f>
        <v/>
      </c>
      <c r="I4283" s="70">
        <f>IF(B4283="","",IFERROR(A4283-LOOKUP(2,1/($B$4:$B4282=B4283),$A$4:$A4282),""))</f>
        <v/>
      </c>
      <c r="J4283" s="32">
        <f>IF(B4283="","",IFERROR(D4283/I4283,""))</f>
        <v/>
      </c>
      <c r="K4283" s="71">
        <f>IF(B4283="","",IFERROR(AVERAGEIFS($J$4:$J4283,$B$4:$B4283,B4283,$J$4:$J4283,"&gt;"&amp;0),""))</f>
        <v/>
      </c>
      <c r="L4283" s="11" t="n"/>
    </row>
    <row r="4284" ht="14" customHeight="1" s="72">
      <c r="A4284" s="83" t="n"/>
      <c r="B4284" s="81" t="n"/>
      <c r="C4284" s="69">
        <f>IF(B4284="","",IFERROR(INDEX(Client_List!$B:$B,MATCH(B4284,Client_List!$A:$A,0)),"⚠ NOT FOUND"))</f>
        <v/>
      </c>
      <c r="D4284" s="45" t="n"/>
      <c r="E4284" s="32">
        <f>IF(B4284="","",IFERROR(INDEX(Client_List!$C:$C,MATCH(VALUE(B4284),Client_List!$A:$A,0)),""))</f>
        <v/>
      </c>
      <c r="F4284" s="53">
        <f>IF(B4284="","",IFERROR(INDEX(Client_List!$D:$D,MATCH(VALUE(B4284),Client_List!$A:$A,0)),""))</f>
        <v/>
      </c>
      <c r="G4284" s="53">
        <f>IF(B4284="","",IFERROR(INDEX(Client_List!$K:$K,MATCH(VALUE(B4284),Client_List!$A:$A,0)),""))</f>
        <v/>
      </c>
      <c r="H4284" s="32">
        <f>IF(B4284="","",IFERROR(INDEX(Client_List!$J:$J,MATCH(VALUE(B4284),Client_List!$A:$A,0)),""))</f>
        <v/>
      </c>
      <c r="I4284" s="70">
        <f>IF(B4284="","",IFERROR(A4284-LOOKUP(2,1/($B$4:$B4283=B4284),$A$4:$A4283),""))</f>
        <v/>
      </c>
      <c r="J4284" s="32">
        <f>IF(B4284="","",IFERROR(D4284/I4284,""))</f>
        <v/>
      </c>
      <c r="K4284" s="71">
        <f>IF(B4284="","",IFERROR(AVERAGEIFS($J$4:$J4284,$B$4:$B4284,B4284,$J$4:$J4284,"&gt;"&amp;0),""))</f>
        <v/>
      </c>
      <c r="L4284" s="12" t="n"/>
    </row>
    <row r="4285" ht="14" customHeight="1" s="72">
      <c r="A4285" s="82" t="n"/>
      <c r="B4285" s="79" t="n"/>
      <c r="C4285" s="69">
        <f>IF(B4285="","",IFERROR(INDEX(Client_List!$B:$B,MATCH(B4285,Client_List!$A:$A,0)),"⚠ NOT FOUND"))</f>
        <v/>
      </c>
      <c r="D4285" s="44" t="n"/>
      <c r="E4285" s="32">
        <f>IF(B4285="","",IFERROR(INDEX(Client_List!$C:$C,MATCH(VALUE(B4285),Client_List!$A:$A,0)),""))</f>
        <v/>
      </c>
      <c r="F4285" s="53">
        <f>IF(B4285="","",IFERROR(INDEX(Client_List!$D:$D,MATCH(VALUE(B4285),Client_List!$A:$A,0)),""))</f>
        <v/>
      </c>
      <c r="G4285" s="53">
        <f>IF(B4285="","",IFERROR(INDEX(Client_List!$K:$K,MATCH(VALUE(B4285),Client_List!$A:$A,0)),""))</f>
        <v/>
      </c>
      <c r="H4285" s="32">
        <f>IF(B4285="","",IFERROR(INDEX(Client_List!$J:$J,MATCH(VALUE(B4285),Client_List!$A:$A,0)),""))</f>
        <v/>
      </c>
      <c r="I4285" s="70">
        <f>IF(B4285="","",IFERROR(A4285-LOOKUP(2,1/($B$4:$B4284=B4285),$A$4:$A4284),""))</f>
        <v/>
      </c>
      <c r="J4285" s="32">
        <f>IF(B4285="","",IFERROR(D4285/I4285,""))</f>
        <v/>
      </c>
      <c r="K4285" s="71">
        <f>IF(B4285="","",IFERROR(AVERAGEIFS($J$4:$J4285,$B$4:$B4285,B4285,$J$4:$J4285,"&gt;"&amp;0),""))</f>
        <v/>
      </c>
      <c r="L4285" s="11" t="n"/>
    </row>
    <row r="4286" ht="14" customHeight="1" s="72">
      <c r="A4286" s="83" t="n"/>
      <c r="B4286" s="81" t="n"/>
      <c r="C4286" s="69">
        <f>IF(B4286="","",IFERROR(INDEX(Client_List!$B:$B,MATCH(B4286,Client_List!$A:$A,0)),"⚠ NOT FOUND"))</f>
        <v/>
      </c>
      <c r="D4286" s="45" t="n"/>
      <c r="E4286" s="32">
        <f>IF(B4286="","",IFERROR(INDEX(Client_List!$C:$C,MATCH(VALUE(B4286),Client_List!$A:$A,0)),""))</f>
        <v/>
      </c>
      <c r="F4286" s="53">
        <f>IF(B4286="","",IFERROR(INDEX(Client_List!$D:$D,MATCH(VALUE(B4286),Client_List!$A:$A,0)),""))</f>
        <v/>
      </c>
      <c r="G4286" s="53">
        <f>IF(B4286="","",IFERROR(INDEX(Client_List!$K:$K,MATCH(VALUE(B4286),Client_List!$A:$A,0)),""))</f>
        <v/>
      </c>
      <c r="H4286" s="32">
        <f>IF(B4286="","",IFERROR(INDEX(Client_List!$J:$J,MATCH(VALUE(B4286),Client_List!$A:$A,0)),""))</f>
        <v/>
      </c>
      <c r="I4286" s="70">
        <f>IF(B4286="","",IFERROR(A4286-LOOKUP(2,1/($B$4:$B4285=B4286),$A$4:$A4285),""))</f>
        <v/>
      </c>
      <c r="J4286" s="32">
        <f>IF(B4286="","",IFERROR(D4286/I4286,""))</f>
        <v/>
      </c>
      <c r="K4286" s="71">
        <f>IF(B4286="","",IFERROR(AVERAGEIFS($J$4:$J4286,$B$4:$B4286,B4286,$J$4:$J4286,"&gt;"&amp;0),""))</f>
        <v/>
      </c>
      <c r="L4286" s="12" t="n"/>
    </row>
    <row r="4287" ht="14" customHeight="1" s="72">
      <c r="A4287" s="82" t="n"/>
      <c r="B4287" s="79" t="n"/>
      <c r="C4287" s="69">
        <f>IF(B4287="","",IFERROR(INDEX(Client_List!$B:$B,MATCH(B4287,Client_List!$A:$A,0)),"⚠ NOT FOUND"))</f>
        <v/>
      </c>
      <c r="D4287" s="44" t="n"/>
      <c r="E4287" s="32">
        <f>IF(B4287="","",IFERROR(INDEX(Client_List!$C:$C,MATCH(VALUE(B4287),Client_List!$A:$A,0)),""))</f>
        <v/>
      </c>
      <c r="F4287" s="53">
        <f>IF(B4287="","",IFERROR(INDEX(Client_List!$D:$D,MATCH(VALUE(B4287),Client_List!$A:$A,0)),""))</f>
        <v/>
      </c>
      <c r="G4287" s="53">
        <f>IF(B4287="","",IFERROR(INDEX(Client_List!$K:$K,MATCH(VALUE(B4287),Client_List!$A:$A,0)),""))</f>
        <v/>
      </c>
      <c r="H4287" s="32">
        <f>IF(B4287="","",IFERROR(INDEX(Client_List!$J:$J,MATCH(VALUE(B4287),Client_List!$A:$A,0)),""))</f>
        <v/>
      </c>
      <c r="I4287" s="70">
        <f>IF(B4287="","",IFERROR(A4287-LOOKUP(2,1/($B$4:$B4286=B4287),$A$4:$A4286),""))</f>
        <v/>
      </c>
      <c r="J4287" s="32">
        <f>IF(B4287="","",IFERROR(D4287/I4287,""))</f>
        <v/>
      </c>
      <c r="K4287" s="71">
        <f>IF(B4287="","",IFERROR(AVERAGEIFS($J$4:$J4287,$B$4:$B4287,B4287,$J$4:$J4287,"&gt;"&amp;0),""))</f>
        <v/>
      </c>
      <c r="L4287" s="11" t="n"/>
    </row>
    <row r="4288" ht="14" customHeight="1" s="72">
      <c r="A4288" s="83" t="n"/>
      <c r="B4288" s="81" t="n"/>
      <c r="C4288" s="69">
        <f>IF(B4288="","",IFERROR(INDEX(Client_List!$B:$B,MATCH(B4288,Client_List!$A:$A,0)),"⚠ NOT FOUND"))</f>
        <v/>
      </c>
      <c r="D4288" s="45" t="n"/>
      <c r="E4288" s="32">
        <f>IF(B4288="","",IFERROR(INDEX(Client_List!$C:$C,MATCH(VALUE(B4288),Client_List!$A:$A,0)),""))</f>
        <v/>
      </c>
      <c r="F4288" s="53">
        <f>IF(B4288="","",IFERROR(INDEX(Client_List!$D:$D,MATCH(VALUE(B4288),Client_List!$A:$A,0)),""))</f>
        <v/>
      </c>
      <c r="G4288" s="53">
        <f>IF(B4288="","",IFERROR(INDEX(Client_List!$K:$K,MATCH(VALUE(B4288),Client_List!$A:$A,0)),""))</f>
        <v/>
      </c>
      <c r="H4288" s="32">
        <f>IF(B4288="","",IFERROR(INDEX(Client_List!$J:$J,MATCH(VALUE(B4288),Client_List!$A:$A,0)),""))</f>
        <v/>
      </c>
      <c r="I4288" s="70">
        <f>IF(B4288="","",IFERROR(A4288-LOOKUP(2,1/($B$4:$B4287=B4288),$A$4:$A4287),""))</f>
        <v/>
      </c>
      <c r="J4288" s="32">
        <f>IF(B4288="","",IFERROR(D4288/I4288,""))</f>
        <v/>
      </c>
      <c r="K4288" s="71">
        <f>IF(B4288="","",IFERROR(AVERAGEIFS($J$4:$J4288,$B$4:$B4288,B4288,$J$4:$J4288,"&gt;"&amp;0),""))</f>
        <v/>
      </c>
      <c r="L4288" s="12" t="n"/>
    </row>
    <row r="4289" ht="14" customHeight="1" s="72">
      <c r="A4289" s="82" t="n"/>
      <c r="B4289" s="79" t="n"/>
      <c r="C4289" s="69">
        <f>IF(B4289="","",IFERROR(INDEX(Client_List!$B:$B,MATCH(B4289,Client_List!$A:$A,0)),"⚠ NOT FOUND"))</f>
        <v/>
      </c>
      <c r="D4289" s="44" t="n"/>
      <c r="E4289" s="32">
        <f>IF(B4289="","",IFERROR(INDEX(Client_List!$C:$C,MATCH(VALUE(B4289),Client_List!$A:$A,0)),""))</f>
        <v/>
      </c>
      <c r="F4289" s="53">
        <f>IF(B4289="","",IFERROR(INDEX(Client_List!$D:$D,MATCH(VALUE(B4289),Client_List!$A:$A,0)),""))</f>
        <v/>
      </c>
      <c r="G4289" s="53">
        <f>IF(B4289="","",IFERROR(INDEX(Client_List!$K:$K,MATCH(VALUE(B4289),Client_List!$A:$A,0)),""))</f>
        <v/>
      </c>
      <c r="H4289" s="32">
        <f>IF(B4289="","",IFERROR(INDEX(Client_List!$J:$J,MATCH(VALUE(B4289),Client_List!$A:$A,0)),""))</f>
        <v/>
      </c>
      <c r="I4289" s="70">
        <f>IF(B4289="","",IFERROR(A4289-LOOKUP(2,1/($B$4:$B4288=B4289),$A$4:$A4288),""))</f>
        <v/>
      </c>
      <c r="J4289" s="32">
        <f>IF(B4289="","",IFERROR(D4289/I4289,""))</f>
        <v/>
      </c>
      <c r="K4289" s="71">
        <f>IF(B4289="","",IFERROR(AVERAGEIFS($J$4:$J4289,$B$4:$B4289,B4289,$J$4:$J4289,"&gt;"&amp;0),""))</f>
        <v/>
      </c>
      <c r="L4289" s="11" t="n"/>
    </row>
    <row r="4290" ht="14" customHeight="1" s="72">
      <c r="A4290" s="83" t="n"/>
      <c r="B4290" s="81" t="n"/>
      <c r="C4290" s="69">
        <f>IF(B4290="","",IFERROR(INDEX(Client_List!$B:$B,MATCH(B4290,Client_List!$A:$A,0)),"⚠ NOT FOUND"))</f>
        <v/>
      </c>
      <c r="D4290" s="45" t="n"/>
      <c r="E4290" s="32">
        <f>IF(B4290="","",IFERROR(INDEX(Client_List!$C:$C,MATCH(VALUE(B4290),Client_List!$A:$A,0)),""))</f>
        <v/>
      </c>
      <c r="F4290" s="53">
        <f>IF(B4290="","",IFERROR(INDEX(Client_List!$D:$D,MATCH(VALUE(B4290),Client_List!$A:$A,0)),""))</f>
        <v/>
      </c>
      <c r="G4290" s="53">
        <f>IF(B4290="","",IFERROR(INDEX(Client_List!$K:$K,MATCH(VALUE(B4290),Client_List!$A:$A,0)),""))</f>
        <v/>
      </c>
      <c r="H4290" s="32">
        <f>IF(B4290="","",IFERROR(INDEX(Client_List!$J:$J,MATCH(VALUE(B4290),Client_List!$A:$A,0)),""))</f>
        <v/>
      </c>
      <c r="I4290" s="70">
        <f>IF(B4290="","",IFERROR(A4290-LOOKUP(2,1/($B$4:$B4289=B4290),$A$4:$A4289),""))</f>
        <v/>
      </c>
      <c r="J4290" s="32">
        <f>IF(B4290="","",IFERROR(D4290/I4290,""))</f>
        <v/>
      </c>
      <c r="K4290" s="71">
        <f>IF(B4290="","",IFERROR(AVERAGEIFS($J$4:$J4290,$B$4:$B4290,B4290,$J$4:$J4290,"&gt;"&amp;0),""))</f>
        <v/>
      </c>
      <c r="L4290" s="12" t="n"/>
    </row>
    <row r="4291" ht="14" customHeight="1" s="72">
      <c r="A4291" s="82" t="n"/>
      <c r="B4291" s="79" t="n"/>
      <c r="C4291" s="69">
        <f>IF(B4291="","",IFERROR(INDEX(Client_List!$B:$B,MATCH(B4291,Client_List!$A:$A,0)),"⚠ NOT FOUND"))</f>
        <v/>
      </c>
      <c r="D4291" s="44" t="n"/>
      <c r="E4291" s="32">
        <f>IF(B4291="","",IFERROR(INDEX(Client_List!$C:$C,MATCH(VALUE(B4291),Client_List!$A:$A,0)),""))</f>
        <v/>
      </c>
      <c r="F4291" s="53">
        <f>IF(B4291="","",IFERROR(INDEX(Client_List!$D:$D,MATCH(VALUE(B4291),Client_List!$A:$A,0)),""))</f>
        <v/>
      </c>
      <c r="G4291" s="53">
        <f>IF(B4291="","",IFERROR(INDEX(Client_List!$K:$K,MATCH(VALUE(B4291),Client_List!$A:$A,0)),""))</f>
        <v/>
      </c>
      <c r="H4291" s="32">
        <f>IF(B4291="","",IFERROR(INDEX(Client_List!$J:$J,MATCH(VALUE(B4291),Client_List!$A:$A,0)),""))</f>
        <v/>
      </c>
      <c r="I4291" s="70">
        <f>IF(B4291="","",IFERROR(A4291-LOOKUP(2,1/($B$4:$B4290=B4291),$A$4:$A4290),""))</f>
        <v/>
      </c>
      <c r="J4291" s="32">
        <f>IF(B4291="","",IFERROR(D4291/I4291,""))</f>
        <v/>
      </c>
      <c r="K4291" s="71">
        <f>IF(B4291="","",IFERROR(AVERAGEIFS($J$4:$J4291,$B$4:$B4291,B4291,$J$4:$J4291,"&gt;"&amp;0),""))</f>
        <v/>
      </c>
      <c r="L4291" s="11" t="n"/>
    </row>
    <row r="4292" ht="14" customHeight="1" s="72">
      <c r="A4292" s="83" t="n"/>
      <c r="B4292" s="81" t="n"/>
      <c r="C4292" s="69">
        <f>IF(B4292="","",IFERROR(INDEX(Client_List!$B:$B,MATCH(B4292,Client_List!$A:$A,0)),"⚠ NOT FOUND"))</f>
        <v/>
      </c>
      <c r="D4292" s="45" t="n"/>
      <c r="E4292" s="32">
        <f>IF(B4292="","",IFERROR(INDEX(Client_List!$C:$C,MATCH(VALUE(B4292),Client_List!$A:$A,0)),""))</f>
        <v/>
      </c>
      <c r="F4292" s="53">
        <f>IF(B4292="","",IFERROR(INDEX(Client_List!$D:$D,MATCH(VALUE(B4292),Client_List!$A:$A,0)),""))</f>
        <v/>
      </c>
      <c r="G4292" s="53">
        <f>IF(B4292="","",IFERROR(INDEX(Client_List!$K:$K,MATCH(VALUE(B4292),Client_List!$A:$A,0)),""))</f>
        <v/>
      </c>
      <c r="H4292" s="32">
        <f>IF(B4292="","",IFERROR(INDEX(Client_List!$J:$J,MATCH(VALUE(B4292),Client_List!$A:$A,0)),""))</f>
        <v/>
      </c>
      <c r="I4292" s="70">
        <f>IF(B4292="","",IFERROR(A4292-LOOKUP(2,1/($B$4:$B4291=B4292),$A$4:$A4291),""))</f>
        <v/>
      </c>
      <c r="J4292" s="32">
        <f>IF(B4292="","",IFERROR(D4292/I4292,""))</f>
        <v/>
      </c>
      <c r="K4292" s="71">
        <f>IF(B4292="","",IFERROR(AVERAGEIFS($J$4:$J4292,$B$4:$B4292,B4292,$J$4:$J4292,"&gt;"&amp;0),""))</f>
        <v/>
      </c>
      <c r="L4292" s="12" t="n"/>
    </row>
    <row r="4293" ht="14" customHeight="1" s="72">
      <c r="A4293" s="82" t="n"/>
      <c r="B4293" s="79" t="n"/>
      <c r="C4293" s="69">
        <f>IF(B4293="","",IFERROR(INDEX(Client_List!$B:$B,MATCH(B4293,Client_List!$A:$A,0)),"⚠ NOT FOUND"))</f>
        <v/>
      </c>
      <c r="D4293" s="44" t="n"/>
      <c r="E4293" s="32">
        <f>IF(B4293="","",IFERROR(INDEX(Client_List!$C:$C,MATCH(VALUE(B4293),Client_List!$A:$A,0)),""))</f>
        <v/>
      </c>
      <c r="F4293" s="53">
        <f>IF(B4293="","",IFERROR(INDEX(Client_List!$D:$D,MATCH(VALUE(B4293),Client_List!$A:$A,0)),""))</f>
        <v/>
      </c>
      <c r="G4293" s="53">
        <f>IF(B4293="","",IFERROR(INDEX(Client_List!$K:$K,MATCH(VALUE(B4293),Client_List!$A:$A,0)),""))</f>
        <v/>
      </c>
      <c r="H4293" s="32">
        <f>IF(B4293="","",IFERROR(INDEX(Client_List!$J:$J,MATCH(VALUE(B4293),Client_List!$A:$A,0)),""))</f>
        <v/>
      </c>
      <c r="I4293" s="70">
        <f>IF(B4293="","",IFERROR(A4293-LOOKUP(2,1/($B$4:$B4292=B4293),$A$4:$A4292),""))</f>
        <v/>
      </c>
      <c r="J4293" s="32">
        <f>IF(B4293="","",IFERROR(D4293/I4293,""))</f>
        <v/>
      </c>
      <c r="K4293" s="71">
        <f>IF(B4293="","",IFERROR(AVERAGEIFS($J$4:$J4293,$B$4:$B4293,B4293,$J$4:$J4293,"&gt;"&amp;0),""))</f>
        <v/>
      </c>
      <c r="L4293" s="11" t="n"/>
    </row>
    <row r="4294" ht="14" customHeight="1" s="72">
      <c r="A4294" s="83" t="n"/>
      <c r="B4294" s="81" t="n"/>
      <c r="C4294" s="69">
        <f>IF(B4294="","",IFERROR(INDEX(Client_List!$B:$B,MATCH(B4294,Client_List!$A:$A,0)),"⚠ NOT FOUND"))</f>
        <v/>
      </c>
      <c r="D4294" s="45" t="n"/>
      <c r="E4294" s="32">
        <f>IF(B4294="","",IFERROR(INDEX(Client_List!$C:$C,MATCH(VALUE(B4294),Client_List!$A:$A,0)),""))</f>
        <v/>
      </c>
      <c r="F4294" s="53">
        <f>IF(B4294="","",IFERROR(INDEX(Client_List!$D:$D,MATCH(VALUE(B4294),Client_List!$A:$A,0)),""))</f>
        <v/>
      </c>
      <c r="G4294" s="53">
        <f>IF(B4294="","",IFERROR(INDEX(Client_List!$K:$K,MATCH(VALUE(B4294),Client_List!$A:$A,0)),""))</f>
        <v/>
      </c>
      <c r="H4294" s="32">
        <f>IF(B4294="","",IFERROR(INDEX(Client_List!$J:$J,MATCH(VALUE(B4294),Client_List!$A:$A,0)),""))</f>
        <v/>
      </c>
      <c r="I4294" s="70">
        <f>IF(B4294="","",IFERROR(A4294-LOOKUP(2,1/($B$4:$B4293=B4294),$A$4:$A4293),""))</f>
        <v/>
      </c>
      <c r="J4294" s="32">
        <f>IF(B4294="","",IFERROR(D4294/I4294,""))</f>
        <v/>
      </c>
      <c r="K4294" s="71">
        <f>IF(B4294="","",IFERROR(AVERAGEIFS($J$4:$J4294,$B$4:$B4294,B4294,$J$4:$J4294,"&gt;"&amp;0),""))</f>
        <v/>
      </c>
      <c r="L4294" s="12" t="n"/>
    </row>
    <row r="4295" ht="14" customHeight="1" s="72">
      <c r="A4295" s="82" t="n"/>
      <c r="B4295" s="79" t="n"/>
      <c r="C4295" s="69">
        <f>IF(B4295="","",IFERROR(INDEX(Client_List!$B:$B,MATCH(B4295,Client_List!$A:$A,0)),"⚠ NOT FOUND"))</f>
        <v/>
      </c>
      <c r="D4295" s="44" t="n"/>
      <c r="E4295" s="32">
        <f>IF(B4295="","",IFERROR(INDEX(Client_List!$C:$C,MATCH(VALUE(B4295),Client_List!$A:$A,0)),""))</f>
        <v/>
      </c>
      <c r="F4295" s="53">
        <f>IF(B4295="","",IFERROR(INDEX(Client_List!$D:$D,MATCH(VALUE(B4295),Client_List!$A:$A,0)),""))</f>
        <v/>
      </c>
      <c r="G4295" s="53">
        <f>IF(B4295="","",IFERROR(INDEX(Client_List!$K:$K,MATCH(VALUE(B4295),Client_List!$A:$A,0)),""))</f>
        <v/>
      </c>
      <c r="H4295" s="32">
        <f>IF(B4295="","",IFERROR(INDEX(Client_List!$J:$J,MATCH(VALUE(B4295),Client_List!$A:$A,0)),""))</f>
        <v/>
      </c>
      <c r="I4295" s="70">
        <f>IF(B4295="","",IFERROR(A4295-LOOKUP(2,1/($B$4:$B4294=B4295),$A$4:$A4294),""))</f>
        <v/>
      </c>
      <c r="J4295" s="32">
        <f>IF(B4295="","",IFERROR(D4295/I4295,""))</f>
        <v/>
      </c>
      <c r="K4295" s="71">
        <f>IF(B4295="","",IFERROR(AVERAGEIFS($J$4:$J4295,$B$4:$B4295,B4295,$J$4:$J4295,"&gt;"&amp;0),""))</f>
        <v/>
      </c>
      <c r="L4295" s="11" t="n"/>
    </row>
    <row r="4296" ht="14" customHeight="1" s="72">
      <c r="A4296" s="83" t="n"/>
      <c r="B4296" s="81" t="n"/>
      <c r="C4296" s="69">
        <f>IF(B4296="","",IFERROR(INDEX(Client_List!$B:$B,MATCH(B4296,Client_List!$A:$A,0)),"⚠ NOT FOUND"))</f>
        <v/>
      </c>
      <c r="D4296" s="45" t="n"/>
      <c r="E4296" s="32">
        <f>IF(B4296="","",IFERROR(INDEX(Client_List!$C:$C,MATCH(VALUE(B4296),Client_List!$A:$A,0)),""))</f>
        <v/>
      </c>
      <c r="F4296" s="53">
        <f>IF(B4296="","",IFERROR(INDEX(Client_List!$D:$D,MATCH(VALUE(B4296),Client_List!$A:$A,0)),""))</f>
        <v/>
      </c>
      <c r="G4296" s="53">
        <f>IF(B4296="","",IFERROR(INDEX(Client_List!$K:$K,MATCH(VALUE(B4296),Client_List!$A:$A,0)),""))</f>
        <v/>
      </c>
      <c r="H4296" s="32">
        <f>IF(B4296="","",IFERROR(INDEX(Client_List!$J:$J,MATCH(VALUE(B4296),Client_List!$A:$A,0)),""))</f>
        <v/>
      </c>
      <c r="I4296" s="70">
        <f>IF(B4296="","",IFERROR(A4296-LOOKUP(2,1/($B$4:$B4295=B4296),$A$4:$A4295),""))</f>
        <v/>
      </c>
      <c r="J4296" s="32">
        <f>IF(B4296="","",IFERROR(D4296/I4296,""))</f>
        <v/>
      </c>
      <c r="K4296" s="71">
        <f>IF(B4296="","",IFERROR(AVERAGEIFS($J$4:$J4296,$B$4:$B4296,B4296,$J$4:$J4296,"&gt;"&amp;0),""))</f>
        <v/>
      </c>
      <c r="L4296" s="12" t="n"/>
    </row>
    <row r="4297" ht="14" customHeight="1" s="72">
      <c r="A4297" s="82" t="n"/>
      <c r="B4297" s="79" t="n"/>
      <c r="C4297" s="69">
        <f>IF(B4297="","",IFERROR(INDEX(Client_List!$B:$B,MATCH(B4297,Client_List!$A:$A,0)),"⚠ NOT FOUND"))</f>
        <v/>
      </c>
      <c r="D4297" s="44" t="n"/>
      <c r="E4297" s="32">
        <f>IF(B4297="","",IFERROR(INDEX(Client_List!$C:$C,MATCH(VALUE(B4297),Client_List!$A:$A,0)),""))</f>
        <v/>
      </c>
      <c r="F4297" s="53">
        <f>IF(B4297="","",IFERROR(INDEX(Client_List!$D:$D,MATCH(VALUE(B4297),Client_List!$A:$A,0)),""))</f>
        <v/>
      </c>
      <c r="G4297" s="53">
        <f>IF(B4297="","",IFERROR(INDEX(Client_List!$K:$K,MATCH(VALUE(B4297),Client_List!$A:$A,0)),""))</f>
        <v/>
      </c>
      <c r="H4297" s="32">
        <f>IF(B4297="","",IFERROR(INDEX(Client_List!$J:$J,MATCH(VALUE(B4297),Client_List!$A:$A,0)),""))</f>
        <v/>
      </c>
      <c r="I4297" s="70">
        <f>IF(B4297="","",IFERROR(A4297-LOOKUP(2,1/($B$4:$B4296=B4297),$A$4:$A4296),""))</f>
        <v/>
      </c>
      <c r="J4297" s="32">
        <f>IF(B4297="","",IFERROR(D4297/I4297,""))</f>
        <v/>
      </c>
      <c r="K4297" s="71">
        <f>IF(B4297="","",IFERROR(AVERAGEIFS($J$4:$J4297,$B$4:$B4297,B4297,$J$4:$J4297,"&gt;"&amp;0),""))</f>
        <v/>
      </c>
      <c r="L4297" s="11" t="n"/>
    </row>
    <row r="4298" ht="14" customHeight="1" s="72">
      <c r="A4298" s="83" t="n"/>
      <c r="B4298" s="81" t="n"/>
      <c r="C4298" s="69">
        <f>IF(B4298="","",IFERROR(INDEX(Client_List!$B:$B,MATCH(B4298,Client_List!$A:$A,0)),"⚠ NOT FOUND"))</f>
        <v/>
      </c>
      <c r="D4298" s="45" t="n"/>
      <c r="E4298" s="32">
        <f>IF(B4298="","",IFERROR(INDEX(Client_List!$C:$C,MATCH(VALUE(B4298),Client_List!$A:$A,0)),""))</f>
        <v/>
      </c>
      <c r="F4298" s="53">
        <f>IF(B4298="","",IFERROR(INDEX(Client_List!$D:$D,MATCH(VALUE(B4298),Client_List!$A:$A,0)),""))</f>
        <v/>
      </c>
      <c r="G4298" s="53">
        <f>IF(B4298="","",IFERROR(INDEX(Client_List!$K:$K,MATCH(VALUE(B4298),Client_List!$A:$A,0)),""))</f>
        <v/>
      </c>
      <c r="H4298" s="32">
        <f>IF(B4298="","",IFERROR(INDEX(Client_List!$J:$J,MATCH(VALUE(B4298),Client_List!$A:$A,0)),""))</f>
        <v/>
      </c>
      <c r="I4298" s="70">
        <f>IF(B4298="","",IFERROR(A4298-LOOKUP(2,1/($B$4:$B4297=B4298),$A$4:$A4297),""))</f>
        <v/>
      </c>
      <c r="J4298" s="32">
        <f>IF(B4298="","",IFERROR(D4298/I4298,""))</f>
        <v/>
      </c>
      <c r="K4298" s="71">
        <f>IF(B4298="","",IFERROR(AVERAGEIFS($J$4:$J4298,$B$4:$B4298,B4298,$J$4:$J4298,"&gt;"&amp;0),""))</f>
        <v/>
      </c>
      <c r="L4298" s="12" t="n"/>
    </row>
    <row r="4299" ht="14" customHeight="1" s="72">
      <c r="A4299" s="82" t="n"/>
      <c r="B4299" s="79" t="n"/>
      <c r="C4299" s="69">
        <f>IF(B4299="","",IFERROR(INDEX(Client_List!$B:$B,MATCH(B4299,Client_List!$A:$A,0)),"⚠ NOT FOUND"))</f>
        <v/>
      </c>
      <c r="D4299" s="44" t="n"/>
      <c r="E4299" s="32">
        <f>IF(B4299="","",IFERROR(INDEX(Client_List!$C:$C,MATCH(VALUE(B4299),Client_List!$A:$A,0)),""))</f>
        <v/>
      </c>
      <c r="F4299" s="53">
        <f>IF(B4299="","",IFERROR(INDEX(Client_List!$D:$D,MATCH(VALUE(B4299),Client_List!$A:$A,0)),""))</f>
        <v/>
      </c>
      <c r="G4299" s="53">
        <f>IF(B4299="","",IFERROR(INDEX(Client_List!$K:$K,MATCH(VALUE(B4299),Client_List!$A:$A,0)),""))</f>
        <v/>
      </c>
      <c r="H4299" s="32">
        <f>IF(B4299="","",IFERROR(INDEX(Client_List!$J:$J,MATCH(VALUE(B4299),Client_List!$A:$A,0)),""))</f>
        <v/>
      </c>
      <c r="I4299" s="70">
        <f>IF(B4299="","",IFERROR(A4299-LOOKUP(2,1/($B$4:$B4298=B4299),$A$4:$A4298),""))</f>
        <v/>
      </c>
      <c r="J4299" s="32">
        <f>IF(B4299="","",IFERROR(D4299/I4299,""))</f>
        <v/>
      </c>
      <c r="K4299" s="71">
        <f>IF(B4299="","",IFERROR(AVERAGEIFS($J$4:$J4299,$B$4:$B4299,B4299,$J$4:$J4299,"&gt;"&amp;0),""))</f>
        <v/>
      </c>
      <c r="L4299" s="11" t="n"/>
    </row>
    <row r="4300" ht="14" customHeight="1" s="72">
      <c r="A4300" s="83" t="n"/>
      <c r="B4300" s="81" t="n"/>
      <c r="C4300" s="69">
        <f>IF(B4300="","",IFERROR(INDEX(Client_List!$B:$B,MATCH(B4300,Client_List!$A:$A,0)),"⚠ NOT FOUND"))</f>
        <v/>
      </c>
      <c r="D4300" s="45" t="n"/>
      <c r="E4300" s="32">
        <f>IF(B4300="","",IFERROR(INDEX(Client_List!$C:$C,MATCH(VALUE(B4300),Client_List!$A:$A,0)),""))</f>
        <v/>
      </c>
      <c r="F4300" s="53">
        <f>IF(B4300="","",IFERROR(INDEX(Client_List!$D:$D,MATCH(VALUE(B4300),Client_List!$A:$A,0)),""))</f>
        <v/>
      </c>
      <c r="G4300" s="53">
        <f>IF(B4300="","",IFERROR(INDEX(Client_List!$K:$K,MATCH(VALUE(B4300),Client_List!$A:$A,0)),""))</f>
        <v/>
      </c>
      <c r="H4300" s="32">
        <f>IF(B4300="","",IFERROR(INDEX(Client_List!$J:$J,MATCH(VALUE(B4300),Client_List!$A:$A,0)),""))</f>
        <v/>
      </c>
      <c r="I4300" s="70">
        <f>IF(B4300="","",IFERROR(A4300-LOOKUP(2,1/($B$4:$B4299=B4300),$A$4:$A4299),""))</f>
        <v/>
      </c>
      <c r="J4300" s="32">
        <f>IF(B4300="","",IFERROR(D4300/I4300,""))</f>
        <v/>
      </c>
      <c r="K4300" s="71">
        <f>IF(B4300="","",IFERROR(AVERAGEIFS($J$4:$J4300,$B$4:$B4300,B4300,$J$4:$J4300,"&gt;"&amp;0),""))</f>
        <v/>
      </c>
      <c r="L4300" s="12" t="n"/>
    </row>
    <row r="4301" ht="14" customHeight="1" s="72">
      <c r="A4301" s="82" t="n"/>
      <c r="B4301" s="79" t="n"/>
      <c r="C4301" s="69">
        <f>IF(B4301="","",IFERROR(INDEX(Client_List!$B:$B,MATCH(B4301,Client_List!$A:$A,0)),"⚠ NOT FOUND"))</f>
        <v/>
      </c>
      <c r="D4301" s="44" t="n"/>
      <c r="E4301" s="32">
        <f>IF(B4301="","",IFERROR(INDEX(Client_List!$C:$C,MATCH(VALUE(B4301),Client_List!$A:$A,0)),""))</f>
        <v/>
      </c>
      <c r="F4301" s="53">
        <f>IF(B4301="","",IFERROR(INDEX(Client_List!$D:$D,MATCH(VALUE(B4301),Client_List!$A:$A,0)),""))</f>
        <v/>
      </c>
      <c r="G4301" s="53">
        <f>IF(B4301="","",IFERROR(INDEX(Client_List!$K:$K,MATCH(VALUE(B4301),Client_List!$A:$A,0)),""))</f>
        <v/>
      </c>
      <c r="H4301" s="32">
        <f>IF(B4301="","",IFERROR(INDEX(Client_List!$J:$J,MATCH(VALUE(B4301),Client_List!$A:$A,0)),""))</f>
        <v/>
      </c>
      <c r="I4301" s="70">
        <f>IF(B4301="","",IFERROR(A4301-LOOKUP(2,1/($B$4:$B4300=B4301),$A$4:$A4300),""))</f>
        <v/>
      </c>
      <c r="J4301" s="32">
        <f>IF(B4301="","",IFERROR(D4301/I4301,""))</f>
        <v/>
      </c>
      <c r="K4301" s="71">
        <f>IF(B4301="","",IFERROR(AVERAGEIFS($J$4:$J4301,$B$4:$B4301,B4301,$J$4:$J4301,"&gt;"&amp;0),""))</f>
        <v/>
      </c>
      <c r="L4301" s="11" t="n"/>
    </row>
    <row r="4302" ht="14" customHeight="1" s="72">
      <c r="A4302" s="83" t="n"/>
      <c r="B4302" s="81" t="n"/>
      <c r="C4302" s="69">
        <f>IF(B4302="","",IFERROR(INDEX(Client_List!$B:$B,MATCH(B4302,Client_List!$A:$A,0)),"⚠ NOT FOUND"))</f>
        <v/>
      </c>
      <c r="D4302" s="45" t="n"/>
      <c r="E4302" s="32">
        <f>IF(B4302="","",IFERROR(INDEX(Client_List!$C:$C,MATCH(VALUE(B4302),Client_List!$A:$A,0)),""))</f>
        <v/>
      </c>
      <c r="F4302" s="53">
        <f>IF(B4302="","",IFERROR(INDEX(Client_List!$D:$D,MATCH(VALUE(B4302),Client_List!$A:$A,0)),""))</f>
        <v/>
      </c>
      <c r="G4302" s="53">
        <f>IF(B4302="","",IFERROR(INDEX(Client_List!$K:$K,MATCH(VALUE(B4302),Client_List!$A:$A,0)),""))</f>
        <v/>
      </c>
      <c r="H4302" s="32">
        <f>IF(B4302="","",IFERROR(INDEX(Client_List!$J:$J,MATCH(VALUE(B4302),Client_List!$A:$A,0)),""))</f>
        <v/>
      </c>
      <c r="I4302" s="70">
        <f>IF(B4302="","",IFERROR(A4302-LOOKUP(2,1/($B$4:$B4301=B4302),$A$4:$A4301),""))</f>
        <v/>
      </c>
      <c r="J4302" s="32">
        <f>IF(B4302="","",IFERROR(D4302/I4302,""))</f>
        <v/>
      </c>
      <c r="K4302" s="71">
        <f>IF(B4302="","",IFERROR(AVERAGEIFS($J$4:$J4302,$B$4:$B4302,B4302,$J$4:$J4302,"&gt;"&amp;0),""))</f>
        <v/>
      </c>
      <c r="L4302" s="12" t="n"/>
    </row>
    <row r="4303" ht="14" customHeight="1" s="72">
      <c r="A4303" s="82" t="n"/>
      <c r="B4303" s="79" t="n"/>
      <c r="C4303" s="69">
        <f>IF(B4303="","",IFERROR(INDEX(Client_List!$B:$B,MATCH(B4303,Client_List!$A:$A,0)),"⚠ NOT FOUND"))</f>
        <v/>
      </c>
      <c r="D4303" s="44" t="n"/>
      <c r="E4303" s="32">
        <f>IF(B4303="","",IFERROR(INDEX(Client_List!$C:$C,MATCH(VALUE(B4303),Client_List!$A:$A,0)),""))</f>
        <v/>
      </c>
      <c r="F4303" s="53">
        <f>IF(B4303="","",IFERROR(INDEX(Client_List!$D:$D,MATCH(VALUE(B4303),Client_List!$A:$A,0)),""))</f>
        <v/>
      </c>
      <c r="G4303" s="53">
        <f>IF(B4303="","",IFERROR(INDEX(Client_List!$K:$K,MATCH(VALUE(B4303),Client_List!$A:$A,0)),""))</f>
        <v/>
      </c>
      <c r="H4303" s="32">
        <f>IF(B4303="","",IFERROR(INDEX(Client_List!$J:$J,MATCH(VALUE(B4303),Client_List!$A:$A,0)),""))</f>
        <v/>
      </c>
      <c r="I4303" s="70">
        <f>IF(B4303="","",IFERROR(A4303-LOOKUP(2,1/($B$4:$B4302=B4303),$A$4:$A4302),""))</f>
        <v/>
      </c>
      <c r="J4303" s="32">
        <f>IF(B4303="","",IFERROR(D4303/I4303,""))</f>
        <v/>
      </c>
      <c r="K4303" s="71">
        <f>IF(B4303="","",IFERROR(AVERAGEIFS($J$4:$J4303,$B$4:$B4303,B4303,$J$4:$J4303,"&gt;"&amp;0),""))</f>
        <v/>
      </c>
      <c r="L4303" s="11" t="n"/>
    </row>
    <row r="4304" ht="14" customHeight="1" s="72">
      <c r="A4304" s="83" t="n"/>
      <c r="B4304" s="81" t="n"/>
      <c r="C4304" s="69">
        <f>IF(B4304="","",IFERROR(INDEX(Client_List!$B:$B,MATCH(B4304,Client_List!$A:$A,0)),"⚠ NOT FOUND"))</f>
        <v/>
      </c>
      <c r="D4304" s="45" t="n"/>
      <c r="E4304" s="32">
        <f>IF(B4304="","",IFERROR(INDEX(Client_List!$C:$C,MATCH(VALUE(B4304),Client_List!$A:$A,0)),""))</f>
        <v/>
      </c>
      <c r="F4304" s="53">
        <f>IF(B4304="","",IFERROR(INDEX(Client_List!$D:$D,MATCH(VALUE(B4304),Client_List!$A:$A,0)),""))</f>
        <v/>
      </c>
      <c r="G4304" s="53">
        <f>IF(B4304="","",IFERROR(INDEX(Client_List!$K:$K,MATCH(VALUE(B4304),Client_List!$A:$A,0)),""))</f>
        <v/>
      </c>
      <c r="H4304" s="32">
        <f>IF(B4304="","",IFERROR(INDEX(Client_List!$J:$J,MATCH(VALUE(B4304),Client_List!$A:$A,0)),""))</f>
        <v/>
      </c>
      <c r="I4304" s="70">
        <f>IF(B4304="","",IFERROR(A4304-LOOKUP(2,1/($B$4:$B4303=B4304),$A$4:$A4303),""))</f>
        <v/>
      </c>
      <c r="J4304" s="32">
        <f>IF(B4304="","",IFERROR(D4304/I4304,""))</f>
        <v/>
      </c>
      <c r="K4304" s="71">
        <f>IF(B4304="","",IFERROR(AVERAGEIFS($J$4:$J4304,$B$4:$B4304,B4304,$J$4:$J4304,"&gt;"&amp;0),""))</f>
        <v/>
      </c>
      <c r="L4304" s="12" t="n"/>
    </row>
    <row r="4305" ht="14" customHeight="1" s="72">
      <c r="A4305" s="82" t="n"/>
      <c r="B4305" s="79" t="n"/>
      <c r="C4305" s="69">
        <f>IF(B4305="","",IFERROR(INDEX(Client_List!$B:$B,MATCH(B4305,Client_List!$A:$A,0)),"⚠ NOT FOUND"))</f>
        <v/>
      </c>
      <c r="D4305" s="44" t="n"/>
      <c r="E4305" s="32">
        <f>IF(B4305="","",IFERROR(INDEX(Client_List!$C:$C,MATCH(VALUE(B4305),Client_List!$A:$A,0)),""))</f>
        <v/>
      </c>
      <c r="F4305" s="53">
        <f>IF(B4305="","",IFERROR(INDEX(Client_List!$D:$D,MATCH(VALUE(B4305),Client_List!$A:$A,0)),""))</f>
        <v/>
      </c>
      <c r="G4305" s="53">
        <f>IF(B4305="","",IFERROR(INDEX(Client_List!$K:$K,MATCH(VALUE(B4305),Client_List!$A:$A,0)),""))</f>
        <v/>
      </c>
      <c r="H4305" s="32">
        <f>IF(B4305="","",IFERROR(INDEX(Client_List!$J:$J,MATCH(VALUE(B4305),Client_List!$A:$A,0)),""))</f>
        <v/>
      </c>
      <c r="I4305" s="70">
        <f>IF(B4305="","",IFERROR(A4305-LOOKUP(2,1/($B$4:$B4304=B4305),$A$4:$A4304),""))</f>
        <v/>
      </c>
      <c r="J4305" s="32">
        <f>IF(B4305="","",IFERROR(D4305/I4305,""))</f>
        <v/>
      </c>
      <c r="K4305" s="71">
        <f>IF(B4305="","",IFERROR(AVERAGEIFS($J$4:$J4305,$B$4:$B4305,B4305,$J$4:$J4305,"&gt;"&amp;0),""))</f>
        <v/>
      </c>
      <c r="L4305" s="11" t="n"/>
    </row>
    <row r="4306" ht="14" customHeight="1" s="72">
      <c r="A4306" s="83" t="n"/>
      <c r="B4306" s="81" t="n"/>
      <c r="C4306" s="69">
        <f>IF(B4306="","",IFERROR(INDEX(Client_List!$B:$B,MATCH(B4306,Client_List!$A:$A,0)),"⚠ NOT FOUND"))</f>
        <v/>
      </c>
      <c r="D4306" s="45" t="n"/>
      <c r="E4306" s="32">
        <f>IF(B4306="","",IFERROR(INDEX(Client_List!$C:$C,MATCH(VALUE(B4306),Client_List!$A:$A,0)),""))</f>
        <v/>
      </c>
      <c r="F4306" s="53">
        <f>IF(B4306="","",IFERROR(INDEX(Client_List!$D:$D,MATCH(VALUE(B4306),Client_List!$A:$A,0)),""))</f>
        <v/>
      </c>
      <c r="G4306" s="53">
        <f>IF(B4306="","",IFERROR(INDEX(Client_List!$K:$K,MATCH(VALUE(B4306),Client_List!$A:$A,0)),""))</f>
        <v/>
      </c>
      <c r="H4306" s="32">
        <f>IF(B4306="","",IFERROR(INDEX(Client_List!$J:$J,MATCH(VALUE(B4306),Client_List!$A:$A,0)),""))</f>
        <v/>
      </c>
      <c r="I4306" s="70">
        <f>IF(B4306="","",IFERROR(A4306-LOOKUP(2,1/($B$4:$B4305=B4306),$A$4:$A4305),""))</f>
        <v/>
      </c>
      <c r="J4306" s="32">
        <f>IF(B4306="","",IFERROR(D4306/I4306,""))</f>
        <v/>
      </c>
      <c r="K4306" s="71">
        <f>IF(B4306="","",IFERROR(AVERAGEIFS($J$4:$J4306,$B$4:$B4306,B4306,$J$4:$J4306,"&gt;"&amp;0),""))</f>
        <v/>
      </c>
      <c r="L4306" s="12" t="n"/>
    </row>
    <row r="4307" ht="14" customHeight="1" s="72">
      <c r="A4307" s="82" t="n"/>
      <c r="B4307" s="79" t="n"/>
      <c r="C4307" s="69">
        <f>IF(B4307="","",IFERROR(INDEX(Client_List!$B:$B,MATCH(B4307,Client_List!$A:$A,0)),"⚠ NOT FOUND"))</f>
        <v/>
      </c>
      <c r="D4307" s="44" t="n"/>
      <c r="E4307" s="32">
        <f>IF(B4307="","",IFERROR(INDEX(Client_List!$C:$C,MATCH(VALUE(B4307),Client_List!$A:$A,0)),""))</f>
        <v/>
      </c>
      <c r="F4307" s="53">
        <f>IF(B4307="","",IFERROR(INDEX(Client_List!$D:$D,MATCH(VALUE(B4307),Client_List!$A:$A,0)),""))</f>
        <v/>
      </c>
      <c r="G4307" s="53">
        <f>IF(B4307="","",IFERROR(INDEX(Client_List!$K:$K,MATCH(VALUE(B4307),Client_List!$A:$A,0)),""))</f>
        <v/>
      </c>
      <c r="H4307" s="32">
        <f>IF(B4307="","",IFERROR(INDEX(Client_List!$J:$J,MATCH(VALUE(B4307),Client_List!$A:$A,0)),""))</f>
        <v/>
      </c>
      <c r="I4307" s="70">
        <f>IF(B4307="","",IFERROR(A4307-LOOKUP(2,1/($B$4:$B4306=B4307),$A$4:$A4306),""))</f>
        <v/>
      </c>
      <c r="J4307" s="32">
        <f>IF(B4307="","",IFERROR(D4307/I4307,""))</f>
        <v/>
      </c>
      <c r="K4307" s="71">
        <f>IF(B4307="","",IFERROR(AVERAGEIFS($J$4:$J4307,$B$4:$B4307,B4307,$J$4:$J4307,"&gt;"&amp;0),""))</f>
        <v/>
      </c>
      <c r="L4307" s="11" t="n"/>
    </row>
    <row r="4308" ht="14" customHeight="1" s="72">
      <c r="A4308" s="83" t="n"/>
      <c r="B4308" s="81" t="n"/>
      <c r="C4308" s="69">
        <f>IF(B4308="","",IFERROR(INDEX(Client_List!$B:$B,MATCH(B4308,Client_List!$A:$A,0)),"⚠ NOT FOUND"))</f>
        <v/>
      </c>
      <c r="D4308" s="45" t="n"/>
      <c r="E4308" s="32">
        <f>IF(B4308="","",IFERROR(INDEX(Client_List!$C:$C,MATCH(VALUE(B4308),Client_List!$A:$A,0)),""))</f>
        <v/>
      </c>
      <c r="F4308" s="53">
        <f>IF(B4308="","",IFERROR(INDEX(Client_List!$D:$D,MATCH(VALUE(B4308),Client_List!$A:$A,0)),""))</f>
        <v/>
      </c>
      <c r="G4308" s="53">
        <f>IF(B4308="","",IFERROR(INDEX(Client_List!$K:$K,MATCH(VALUE(B4308),Client_List!$A:$A,0)),""))</f>
        <v/>
      </c>
      <c r="H4308" s="32">
        <f>IF(B4308="","",IFERROR(INDEX(Client_List!$J:$J,MATCH(VALUE(B4308),Client_List!$A:$A,0)),""))</f>
        <v/>
      </c>
      <c r="I4308" s="70">
        <f>IF(B4308="","",IFERROR(A4308-LOOKUP(2,1/($B$4:$B4307=B4308),$A$4:$A4307),""))</f>
        <v/>
      </c>
      <c r="J4308" s="32">
        <f>IF(B4308="","",IFERROR(D4308/I4308,""))</f>
        <v/>
      </c>
      <c r="K4308" s="71">
        <f>IF(B4308="","",IFERROR(AVERAGEIFS($J$4:$J4308,$B$4:$B4308,B4308,$J$4:$J4308,"&gt;"&amp;0),""))</f>
        <v/>
      </c>
      <c r="L4308" s="12" t="n"/>
    </row>
    <row r="4309" ht="14" customHeight="1" s="72">
      <c r="A4309" s="82" t="n"/>
      <c r="B4309" s="79" t="n"/>
      <c r="C4309" s="69">
        <f>IF(B4309="","",IFERROR(INDEX(Client_List!$B:$B,MATCH(B4309,Client_List!$A:$A,0)),"⚠ NOT FOUND"))</f>
        <v/>
      </c>
      <c r="D4309" s="44" t="n"/>
      <c r="E4309" s="32">
        <f>IF(B4309="","",IFERROR(INDEX(Client_List!$C:$C,MATCH(VALUE(B4309),Client_List!$A:$A,0)),""))</f>
        <v/>
      </c>
      <c r="F4309" s="53">
        <f>IF(B4309="","",IFERROR(INDEX(Client_List!$D:$D,MATCH(VALUE(B4309),Client_List!$A:$A,0)),""))</f>
        <v/>
      </c>
      <c r="G4309" s="53">
        <f>IF(B4309="","",IFERROR(INDEX(Client_List!$K:$K,MATCH(VALUE(B4309),Client_List!$A:$A,0)),""))</f>
        <v/>
      </c>
      <c r="H4309" s="32">
        <f>IF(B4309="","",IFERROR(INDEX(Client_List!$J:$J,MATCH(VALUE(B4309),Client_List!$A:$A,0)),""))</f>
        <v/>
      </c>
      <c r="I4309" s="70">
        <f>IF(B4309="","",IFERROR(A4309-LOOKUP(2,1/($B$4:$B4308=B4309),$A$4:$A4308),""))</f>
        <v/>
      </c>
      <c r="J4309" s="32">
        <f>IF(B4309="","",IFERROR(D4309/I4309,""))</f>
        <v/>
      </c>
      <c r="K4309" s="71">
        <f>IF(B4309="","",IFERROR(AVERAGEIFS($J$4:$J4309,$B$4:$B4309,B4309,$J$4:$J4309,"&gt;"&amp;0),""))</f>
        <v/>
      </c>
      <c r="L4309" s="11" t="n"/>
    </row>
    <row r="4310" ht="14" customHeight="1" s="72">
      <c r="A4310" s="83" t="n"/>
      <c r="B4310" s="81" t="n"/>
      <c r="C4310" s="69">
        <f>IF(B4310="","",IFERROR(INDEX(Client_List!$B:$B,MATCH(B4310,Client_List!$A:$A,0)),"⚠ NOT FOUND"))</f>
        <v/>
      </c>
      <c r="D4310" s="45" t="n"/>
      <c r="E4310" s="32">
        <f>IF(B4310="","",IFERROR(INDEX(Client_List!$C:$C,MATCH(VALUE(B4310),Client_List!$A:$A,0)),""))</f>
        <v/>
      </c>
      <c r="F4310" s="53">
        <f>IF(B4310="","",IFERROR(INDEX(Client_List!$D:$D,MATCH(VALUE(B4310),Client_List!$A:$A,0)),""))</f>
        <v/>
      </c>
      <c r="G4310" s="53">
        <f>IF(B4310="","",IFERROR(INDEX(Client_List!$K:$K,MATCH(VALUE(B4310),Client_List!$A:$A,0)),""))</f>
        <v/>
      </c>
      <c r="H4310" s="32">
        <f>IF(B4310="","",IFERROR(INDEX(Client_List!$J:$J,MATCH(VALUE(B4310),Client_List!$A:$A,0)),""))</f>
        <v/>
      </c>
      <c r="I4310" s="70">
        <f>IF(B4310="","",IFERROR(A4310-LOOKUP(2,1/($B$4:$B4309=B4310),$A$4:$A4309),""))</f>
        <v/>
      </c>
      <c r="J4310" s="32">
        <f>IF(B4310="","",IFERROR(D4310/I4310,""))</f>
        <v/>
      </c>
      <c r="K4310" s="71">
        <f>IF(B4310="","",IFERROR(AVERAGEIFS($J$4:$J4310,$B$4:$B4310,B4310,$J$4:$J4310,"&gt;"&amp;0),""))</f>
        <v/>
      </c>
      <c r="L4310" s="12" t="n"/>
    </row>
    <row r="4311" ht="14" customHeight="1" s="72">
      <c r="A4311" s="82" t="n"/>
      <c r="B4311" s="79" t="n"/>
      <c r="C4311" s="69">
        <f>IF(B4311="","",IFERROR(INDEX(Client_List!$B:$B,MATCH(B4311,Client_List!$A:$A,0)),"⚠ NOT FOUND"))</f>
        <v/>
      </c>
      <c r="D4311" s="44" t="n"/>
      <c r="E4311" s="32">
        <f>IF(B4311="","",IFERROR(INDEX(Client_List!$C:$C,MATCH(VALUE(B4311),Client_List!$A:$A,0)),""))</f>
        <v/>
      </c>
      <c r="F4311" s="53">
        <f>IF(B4311="","",IFERROR(INDEX(Client_List!$D:$D,MATCH(VALUE(B4311),Client_List!$A:$A,0)),""))</f>
        <v/>
      </c>
      <c r="G4311" s="53">
        <f>IF(B4311="","",IFERROR(INDEX(Client_List!$K:$K,MATCH(VALUE(B4311),Client_List!$A:$A,0)),""))</f>
        <v/>
      </c>
      <c r="H4311" s="32">
        <f>IF(B4311="","",IFERROR(INDEX(Client_List!$J:$J,MATCH(VALUE(B4311),Client_List!$A:$A,0)),""))</f>
        <v/>
      </c>
      <c r="I4311" s="70">
        <f>IF(B4311="","",IFERROR(A4311-LOOKUP(2,1/($B$4:$B4310=B4311),$A$4:$A4310),""))</f>
        <v/>
      </c>
      <c r="J4311" s="32">
        <f>IF(B4311="","",IFERROR(D4311/I4311,""))</f>
        <v/>
      </c>
      <c r="K4311" s="71">
        <f>IF(B4311="","",IFERROR(AVERAGEIFS($J$4:$J4311,$B$4:$B4311,B4311,$J$4:$J4311,"&gt;"&amp;0),""))</f>
        <v/>
      </c>
      <c r="L4311" s="11" t="n"/>
    </row>
    <row r="4312" ht="14" customHeight="1" s="72">
      <c r="A4312" s="83" t="n"/>
      <c r="B4312" s="81" t="n"/>
      <c r="C4312" s="69">
        <f>IF(B4312="","",IFERROR(INDEX(Client_List!$B:$B,MATCH(B4312,Client_List!$A:$A,0)),"⚠ NOT FOUND"))</f>
        <v/>
      </c>
      <c r="D4312" s="45" t="n"/>
      <c r="E4312" s="32">
        <f>IF(B4312="","",IFERROR(INDEX(Client_List!$C:$C,MATCH(VALUE(B4312),Client_List!$A:$A,0)),""))</f>
        <v/>
      </c>
      <c r="F4312" s="53">
        <f>IF(B4312="","",IFERROR(INDEX(Client_List!$D:$D,MATCH(VALUE(B4312),Client_List!$A:$A,0)),""))</f>
        <v/>
      </c>
      <c r="G4312" s="53">
        <f>IF(B4312="","",IFERROR(INDEX(Client_List!$K:$K,MATCH(VALUE(B4312),Client_List!$A:$A,0)),""))</f>
        <v/>
      </c>
      <c r="H4312" s="32">
        <f>IF(B4312="","",IFERROR(INDEX(Client_List!$J:$J,MATCH(VALUE(B4312),Client_List!$A:$A,0)),""))</f>
        <v/>
      </c>
      <c r="I4312" s="70">
        <f>IF(B4312="","",IFERROR(A4312-LOOKUP(2,1/($B$4:$B4311=B4312),$A$4:$A4311),""))</f>
        <v/>
      </c>
      <c r="J4312" s="32">
        <f>IF(B4312="","",IFERROR(D4312/I4312,""))</f>
        <v/>
      </c>
      <c r="K4312" s="71">
        <f>IF(B4312="","",IFERROR(AVERAGEIFS($J$4:$J4312,$B$4:$B4312,B4312,$J$4:$J4312,"&gt;"&amp;0),""))</f>
        <v/>
      </c>
      <c r="L4312" s="12" t="n"/>
    </row>
    <row r="4313" ht="14" customHeight="1" s="72">
      <c r="A4313" s="82" t="n"/>
      <c r="B4313" s="79" t="n"/>
      <c r="C4313" s="69">
        <f>IF(B4313="","",IFERROR(INDEX(Client_List!$B:$B,MATCH(B4313,Client_List!$A:$A,0)),"⚠ NOT FOUND"))</f>
        <v/>
      </c>
      <c r="D4313" s="44" t="n"/>
      <c r="E4313" s="32">
        <f>IF(B4313="","",IFERROR(INDEX(Client_List!$C:$C,MATCH(VALUE(B4313),Client_List!$A:$A,0)),""))</f>
        <v/>
      </c>
      <c r="F4313" s="53">
        <f>IF(B4313="","",IFERROR(INDEX(Client_List!$D:$D,MATCH(VALUE(B4313),Client_List!$A:$A,0)),""))</f>
        <v/>
      </c>
      <c r="G4313" s="53">
        <f>IF(B4313="","",IFERROR(INDEX(Client_List!$K:$K,MATCH(VALUE(B4313),Client_List!$A:$A,0)),""))</f>
        <v/>
      </c>
      <c r="H4313" s="32">
        <f>IF(B4313="","",IFERROR(INDEX(Client_List!$J:$J,MATCH(VALUE(B4313),Client_List!$A:$A,0)),""))</f>
        <v/>
      </c>
      <c r="I4313" s="70">
        <f>IF(B4313="","",IFERROR(A4313-LOOKUP(2,1/($B$4:$B4312=B4313),$A$4:$A4312),""))</f>
        <v/>
      </c>
      <c r="J4313" s="32">
        <f>IF(B4313="","",IFERROR(D4313/I4313,""))</f>
        <v/>
      </c>
      <c r="K4313" s="71">
        <f>IF(B4313="","",IFERROR(AVERAGEIFS($J$4:$J4313,$B$4:$B4313,B4313,$J$4:$J4313,"&gt;"&amp;0),""))</f>
        <v/>
      </c>
      <c r="L4313" s="11" t="n"/>
    </row>
    <row r="4314" ht="14" customHeight="1" s="72">
      <c r="A4314" s="83" t="n"/>
      <c r="B4314" s="81" t="n"/>
      <c r="C4314" s="69">
        <f>IF(B4314="","",IFERROR(INDEX(Client_List!$B:$B,MATCH(B4314,Client_List!$A:$A,0)),"⚠ NOT FOUND"))</f>
        <v/>
      </c>
      <c r="D4314" s="45" t="n"/>
      <c r="E4314" s="32">
        <f>IF(B4314="","",IFERROR(INDEX(Client_List!$C:$C,MATCH(VALUE(B4314),Client_List!$A:$A,0)),""))</f>
        <v/>
      </c>
      <c r="F4314" s="53">
        <f>IF(B4314="","",IFERROR(INDEX(Client_List!$D:$D,MATCH(VALUE(B4314),Client_List!$A:$A,0)),""))</f>
        <v/>
      </c>
      <c r="G4314" s="53">
        <f>IF(B4314="","",IFERROR(INDEX(Client_List!$K:$K,MATCH(VALUE(B4314),Client_List!$A:$A,0)),""))</f>
        <v/>
      </c>
      <c r="H4314" s="32">
        <f>IF(B4314="","",IFERROR(INDEX(Client_List!$J:$J,MATCH(VALUE(B4314),Client_List!$A:$A,0)),""))</f>
        <v/>
      </c>
      <c r="I4314" s="70">
        <f>IF(B4314="","",IFERROR(A4314-LOOKUP(2,1/($B$4:$B4313=B4314),$A$4:$A4313),""))</f>
        <v/>
      </c>
      <c r="J4314" s="32">
        <f>IF(B4314="","",IFERROR(D4314/I4314,""))</f>
        <v/>
      </c>
      <c r="K4314" s="71">
        <f>IF(B4314="","",IFERROR(AVERAGEIFS($J$4:$J4314,$B$4:$B4314,B4314,$J$4:$J4314,"&gt;"&amp;0),""))</f>
        <v/>
      </c>
      <c r="L4314" s="12" t="n"/>
    </row>
    <row r="4315" ht="14" customHeight="1" s="72">
      <c r="A4315" s="82" t="n"/>
      <c r="B4315" s="79" t="n"/>
      <c r="C4315" s="69">
        <f>IF(B4315="","",IFERROR(INDEX(Client_List!$B:$B,MATCH(B4315,Client_List!$A:$A,0)),"⚠ NOT FOUND"))</f>
        <v/>
      </c>
      <c r="D4315" s="44" t="n"/>
      <c r="E4315" s="32">
        <f>IF(B4315="","",IFERROR(INDEX(Client_List!$C:$C,MATCH(VALUE(B4315),Client_List!$A:$A,0)),""))</f>
        <v/>
      </c>
      <c r="F4315" s="53">
        <f>IF(B4315="","",IFERROR(INDEX(Client_List!$D:$D,MATCH(VALUE(B4315),Client_List!$A:$A,0)),""))</f>
        <v/>
      </c>
      <c r="G4315" s="53">
        <f>IF(B4315="","",IFERROR(INDEX(Client_List!$K:$K,MATCH(VALUE(B4315),Client_List!$A:$A,0)),""))</f>
        <v/>
      </c>
      <c r="H4315" s="32">
        <f>IF(B4315="","",IFERROR(INDEX(Client_List!$J:$J,MATCH(VALUE(B4315),Client_List!$A:$A,0)),""))</f>
        <v/>
      </c>
      <c r="I4315" s="70">
        <f>IF(B4315="","",IFERROR(A4315-LOOKUP(2,1/($B$4:$B4314=B4315),$A$4:$A4314),""))</f>
        <v/>
      </c>
      <c r="J4315" s="32">
        <f>IF(B4315="","",IFERROR(D4315/I4315,""))</f>
        <v/>
      </c>
      <c r="K4315" s="71">
        <f>IF(B4315="","",IFERROR(AVERAGEIFS($J$4:$J4315,$B$4:$B4315,B4315,$J$4:$J4315,"&gt;"&amp;0),""))</f>
        <v/>
      </c>
      <c r="L4315" s="11" t="n"/>
    </row>
    <row r="4316" ht="14" customHeight="1" s="72">
      <c r="A4316" s="83" t="n"/>
      <c r="B4316" s="81" t="n"/>
      <c r="C4316" s="69">
        <f>IF(B4316="","",IFERROR(INDEX(Client_List!$B:$B,MATCH(B4316,Client_List!$A:$A,0)),"⚠ NOT FOUND"))</f>
        <v/>
      </c>
      <c r="D4316" s="45" t="n"/>
      <c r="E4316" s="32">
        <f>IF(B4316="","",IFERROR(INDEX(Client_List!$C:$C,MATCH(VALUE(B4316),Client_List!$A:$A,0)),""))</f>
        <v/>
      </c>
      <c r="F4316" s="53">
        <f>IF(B4316="","",IFERROR(INDEX(Client_List!$D:$D,MATCH(VALUE(B4316),Client_List!$A:$A,0)),""))</f>
        <v/>
      </c>
      <c r="G4316" s="53">
        <f>IF(B4316="","",IFERROR(INDEX(Client_List!$K:$K,MATCH(VALUE(B4316),Client_List!$A:$A,0)),""))</f>
        <v/>
      </c>
      <c r="H4316" s="32">
        <f>IF(B4316="","",IFERROR(INDEX(Client_List!$J:$J,MATCH(VALUE(B4316),Client_List!$A:$A,0)),""))</f>
        <v/>
      </c>
      <c r="I4316" s="70">
        <f>IF(B4316="","",IFERROR(A4316-LOOKUP(2,1/($B$4:$B4315=B4316),$A$4:$A4315),""))</f>
        <v/>
      </c>
      <c r="J4316" s="32">
        <f>IF(B4316="","",IFERROR(D4316/I4316,""))</f>
        <v/>
      </c>
      <c r="K4316" s="71">
        <f>IF(B4316="","",IFERROR(AVERAGEIFS($J$4:$J4316,$B$4:$B4316,B4316,$J$4:$J4316,"&gt;"&amp;0),""))</f>
        <v/>
      </c>
      <c r="L4316" s="12" t="n"/>
    </row>
    <row r="4317" ht="14" customHeight="1" s="72">
      <c r="A4317" s="82" t="n"/>
      <c r="B4317" s="79" t="n"/>
      <c r="C4317" s="69">
        <f>IF(B4317="","",IFERROR(INDEX(Client_List!$B:$B,MATCH(B4317,Client_List!$A:$A,0)),"⚠ NOT FOUND"))</f>
        <v/>
      </c>
      <c r="D4317" s="44" t="n"/>
      <c r="E4317" s="32">
        <f>IF(B4317="","",IFERROR(INDEX(Client_List!$C:$C,MATCH(VALUE(B4317),Client_List!$A:$A,0)),""))</f>
        <v/>
      </c>
      <c r="F4317" s="53">
        <f>IF(B4317="","",IFERROR(INDEX(Client_List!$D:$D,MATCH(VALUE(B4317),Client_List!$A:$A,0)),""))</f>
        <v/>
      </c>
      <c r="G4317" s="53">
        <f>IF(B4317="","",IFERROR(INDEX(Client_List!$K:$K,MATCH(VALUE(B4317),Client_List!$A:$A,0)),""))</f>
        <v/>
      </c>
      <c r="H4317" s="32">
        <f>IF(B4317="","",IFERROR(INDEX(Client_List!$J:$J,MATCH(VALUE(B4317),Client_List!$A:$A,0)),""))</f>
        <v/>
      </c>
      <c r="I4317" s="70">
        <f>IF(B4317="","",IFERROR(A4317-LOOKUP(2,1/($B$4:$B4316=B4317),$A$4:$A4316),""))</f>
        <v/>
      </c>
      <c r="J4317" s="32">
        <f>IF(B4317="","",IFERROR(D4317/I4317,""))</f>
        <v/>
      </c>
      <c r="K4317" s="71">
        <f>IF(B4317="","",IFERROR(AVERAGEIFS($J$4:$J4317,$B$4:$B4317,B4317,$J$4:$J4317,"&gt;"&amp;0),""))</f>
        <v/>
      </c>
      <c r="L4317" s="11" t="n"/>
    </row>
    <row r="4318" ht="14" customHeight="1" s="72">
      <c r="A4318" s="83" t="n"/>
      <c r="B4318" s="81" t="n"/>
      <c r="C4318" s="69">
        <f>IF(B4318="","",IFERROR(INDEX(Client_List!$B:$B,MATCH(B4318,Client_List!$A:$A,0)),"⚠ NOT FOUND"))</f>
        <v/>
      </c>
      <c r="D4318" s="45" t="n"/>
      <c r="E4318" s="32">
        <f>IF(B4318="","",IFERROR(INDEX(Client_List!$C:$C,MATCH(VALUE(B4318),Client_List!$A:$A,0)),""))</f>
        <v/>
      </c>
      <c r="F4318" s="53">
        <f>IF(B4318="","",IFERROR(INDEX(Client_List!$D:$D,MATCH(VALUE(B4318),Client_List!$A:$A,0)),""))</f>
        <v/>
      </c>
      <c r="G4318" s="53">
        <f>IF(B4318="","",IFERROR(INDEX(Client_List!$K:$K,MATCH(VALUE(B4318),Client_List!$A:$A,0)),""))</f>
        <v/>
      </c>
      <c r="H4318" s="32">
        <f>IF(B4318="","",IFERROR(INDEX(Client_List!$J:$J,MATCH(VALUE(B4318),Client_List!$A:$A,0)),""))</f>
        <v/>
      </c>
      <c r="I4318" s="70">
        <f>IF(B4318="","",IFERROR(A4318-LOOKUP(2,1/($B$4:$B4317=B4318),$A$4:$A4317),""))</f>
        <v/>
      </c>
      <c r="J4318" s="32">
        <f>IF(B4318="","",IFERROR(D4318/I4318,""))</f>
        <v/>
      </c>
      <c r="K4318" s="71">
        <f>IF(B4318="","",IFERROR(AVERAGEIFS($J$4:$J4318,$B$4:$B4318,B4318,$J$4:$J4318,"&gt;"&amp;0),""))</f>
        <v/>
      </c>
      <c r="L4318" s="12" t="n"/>
    </row>
    <row r="4319" ht="14" customHeight="1" s="72">
      <c r="A4319" s="82" t="n"/>
      <c r="B4319" s="79" t="n"/>
      <c r="C4319" s="69">
        <f>IF(B4319="","",IFERROR(INDEX(Client_List!$B:$B,MATCH(B4319,Client_List!$A:$A,0)),"⚠ NOT FOUND"))</f>
        <v/>
      </c>
      <c r="D4319" s="44" t="n"/>
      <c r="E4319" s="32">
        <f>IF(B4319="","",IFERROR(INDEX(Client_List!$C:$C,MATCH(VALUE(B4319),Client_List!$A:$A,0)),""))</f>
        <v/>
      </c>
      <c r="F4319" s="53">
        <f>IF(B4319="","",IFERROR(INDEX(Client_List!$D:$D,MATCH(VALUE(B4319),Client_List!$A:$A,0)),""))</f>
        <v/>
      </c>
      <c r="G4319" s="53">
        <f>IF(B4319="","",IFERROR(INDEX(Client_List!$K:$K,MATCH(VALUE(B4319),Client_List!$A:$A,0)),""))</f>
        <v/>
      </c>
      <c r="H4319" s="32">
        <f>IF(B4319="","",IFERROR(INDEX(Client_List!$J:$J,MATCH(VALUE(B4319),Client_List!$A:$A,0)),""))</f>
        <v/>
      </c>
      <c r="I4319" s="70">
        <f>IF(B4319="","",IFERROR(A4319-LOOKUP(2,1/($B$4:$B4318=B4319),$A$4:$A4318),""))</f>
        <v/>
      </c>
      <c r="J4319" s="32">
        <f>IF(B4319="","",IFERROR(D4319/I4319,""))</f>
        <v/>
      </c>
      <c r="K4319" s="71">
        <f>IF(B4319="","",IFERROR(AVERAGEIFS($J$4:$J4319,$B$4:$B4319,B4319,$J$4:$J4319,"&gt;"&amp;0),""))</f>
        <v/>
      </c>
      <c r="L4319" s="11" t="n"/>
    </row>
    <row r="4320" ht="14" customHeight="1" s="72">
      <c r="A4320" s="83" t="n"/>
      <c r="B4320" s="81" t="n"/>
      <c r="C4320" s="69">
        <f>IF(B4320="","",IFERROR(INDEX(Client_List!$B:$B,MATCH(B4320,Client_List!$A:$A,0)),"⚠ NOT FOUND"))</f>
        <v/>
      </c>
      <c r="D4320" s="45" t="n"/>
      <c r="E4320" s="32">
        <f>IF(B4320="","",IFERROR(INDEX(Client_List!$C:$C,MATCH(VALUE(B4320),Client_List!$A:$A,0)),""))</f>
        <v/>
      </c>
      <c r="F4320" s="53">
        <f>IF(B4320="","",IFERROR(INDEX(Client_List!$D:$D,MATCH(VALUE(B4320),Client_List!$A:$A,0)),""))</f>
        <v/>
      </c>
      <c r="G4320" s="53">
        <f>IF(B4320="","",IFERROR(INDEX(Client_List!$K:$K,MATCH(VALUE(B4320),Client_List!$A:$A,0)),""))</f>
        <v/>
      </c>
      <c r="H4320" s="32">
        <f>IF(B4320="","",IFERROR(INDEX(Client_List!$J:$J,MATCH(VALUE(B4320),Client_List!$A:$A,0)),""))</f>
        <v/>
      </c>
      <c r="I4320" s="70">
        <f>IF(B4320="","",IFERROR(A4320-LOOKUP(2,1/($B$4:$B4319=B4320),$A$4:$A4319),""))</f>
        <v/>
      </c>
      <c r="J4320" s="32">
        <f>IF(B4320="","",IFERROR(D4320/I4320,""))</f>
        <v/>
      </c>
      <c r="K4320" s="71">
        <f>IF(B4320="","",IFERROR(AVERAGEIFS($J$4:$J4320,$B$4:$B4320,B4320,$J$4:$J4320,"&gt;"&amp;0),""))</f>
        <v/>
      </c>
      <c r="L4320" s="12" t="n"/>
    </row>
    <row r="4321" ht="14" customHeight="1" s="72">
      <c r="A4321" s="82" t="n"/>
      <c r="B4321" s="79" t="n"/>
      <c r="C4321" s="69">
        <f>IF(B4321="","",IFERROR(INDEX(Client_List!$B:$B,MATCH(B4321,Client_List!$A:$A,0)),"⚠ NOT FOUND"))</f>
        <v/>
      </c>
      <c r="D4321" s="44" t="n"/>
      <c r="E4321" s="32">
        <f>IF(B4321="","",IFERROR(INDEX(Client_List!$C:$C,MATCH(VALUE(B4321),Client_List!$A:$A,0)),""))</f>
        <v/>
      </c>
      <c r="F4321" s="53">
        <f>IF(B4321="","",IFERROR(INDEX(Client_List!$D:$D,MATCH(VALUE(B4321),Client_List!$A:$A,0)),""))</f>
        <v/>
      </c>
      <c r="G4321" s="53">
        <f>IF(B4321="","",IFERROR(INDEX(Client_List!$K:$K,MATCH(VALUE(B4321),Client_List!$A:$A,0)),""))</f>
        <v/>
      </c>
      <c r="H4321" s="32">
        <f>IF(B4321="","",IFERROR(INDEX(Client_List!$J:$J,MATCH(VALUE(B4321),Client_List!$A:$A,0)),""))</f>
        <v/>
      </c>
      <c r="I4321" s="70">
        <f>IF(B4321="","",IFERROR(A4321-LOOKUP(2,1/($B$4:$B4320=B4321),$A$4:$A4320),""))</f>
        <v/>
      </c>
      <c r="J4321" s="32">
        <f>IF(B4321="","",IFERROR(D4321/I4321,""))</f>
        <v/>
      </c>
      <c r="K4321" s="71">
        <f>IF(B4321="","",IFERROR(AVERAGEIFS($J$4:$J4321,$B$4:$B4321,B4321,$J$4:$J4321,"&gt;"&amp;0),""))</f>
        <v/>
      </c>
      <c r="L4321" s="11" t="n"/>
    </row>
    <row r="4322" ht="14" customHeight="1" s="72">
      <c r="A4322" s="83" t="n"/>
      <c r="B4322" s="81" t="n"/>
      <c r="C4322" s="69">
        <f>IF(B4322="","",IFERROR(INDEX(Client_List!$B:$B,MATCH(B4322,Client_List!$A:$A,0)),"⚠ NOT FOUND"))</f>
        <v/>
      </c>
      <c r="D4322" s="45" t="n"/>
      <c r="E4322" s="32">
        <f>IF(B4322="","",IFERROR(INDEX(Client_List!$C:$C,MATCH(VALUE(B4322),Client_List!$A:$A,0)),""))</f>
        <v/>
      </c>
      <c r="F4322" s="53">
        <f>IF(B4322="","",IFERROR(INDEX(Client_List!$D:$D,MATCH(VALUE(B4322),Client_List!$A:$A,0)),""))</f>
        <v/>
      </c>
      <c r="G4322" s="53">
        <f>IF(B4322="","",IFERROR(INDEX(Client_List!$K:$K,MATCH(VALUE(B4322),Client_List!$A:$A,0)),""))</f>
        <v/>
      </c>
      <c r="H4322" s="32">
        <f>IF(B4322="","",IFERROR(INDEX(Client_List!$J:$J,MATCH(VALUE(B4322),Client_List!$A:$A,0)),""))</f>
        <v/>
      </c>
      <c r="I4322" s="70">
        <f>IF(B4322="","",IFERROR(A4322-LOOKUP(2,1/($B$4:$B4321=B4322),$A$4:$A4321),""))</f>
        <v/>
      </c>
      <c r="J4322" s="32">
        <f>IF(B4322="","",IFERROR(D4322/I4322,""))</f>
        <v/>
      </c>
      <c r="K4322" s="71">
        <f>IF(B4322="","",IFERROR(AVERAGEIFS($J$4:$J4322,$B$4:$B4322,B4322,$J$4:$J4322,"&gt;"&amp;0),""))</f>
        <v/>
      </c>
      <c r="L4322" s="12" t="n"/>
    </row>
    <row r="4323" ht="14" customHeight="1" s="72">
      <c r="A4323" s="82" t="n"/>
      <c r="B4323" s="79" t="n"/>
      <c r="C4323" s="69">
        <f>IF(B4323="","",IFERROR(INDEX(Client_List!$B:$B,MATCH(B4323,Client_List!$A:$A,0)),"⚠ NOT FOUND"))</f>
        <v/>
      </c>
      <c r="D4323" s="44" t="n"/>
      <c r="E4323" s="32">
        <f>IF(B4323="","",IFERROR(INDEX(Client_List!$C:$C,MATCH(VALUE(B4323),Client_List!$A:$A,0)),""))</f>
        <v/>
      </c>
      <c r="F4323" s="53">
        <f>IF(B4323="","",IFERROR(INDEX(Client_List!$D:$D,MATCH(VALUE(B4323),Client_List!$A:$A,0)),""))</f>
        <v/>
      </c>
      <c r="G4323" s="53">
        <f>IF(B4323="","",IFERROR(INDEX(Client_List!$K:$K,MATCH(VALUE(B4323),Client_List!$A:$A,0)),""))</f>
        <v/>
      </c>
      <c r="H4323" s="32">
        <f>IF(B4323="","",IFERROR(INDEX(Client_List!$J:$J,MATCH(VALUE(B4323),Client_List!$A:$A,0)),""))</f>
        <v/>
      </c>
      <c r="I4323" s="70">
        <f>IF(B4323="","",IFERROR(A4323-LOOKUP(2,1/($B$4:$B4322=B4323),$A$4:$A4322),""))</f>
        <v/>
      </c>
      <c r="J4323" s="32">
        <f>IF(B4323="","",IFERROR(D4323/I4323,""))</f>
        <v/>
      </c>
      <c r="K4323" s="71">
        <f>IF(B4323="","",IFERROR(AVERAGEIFS($J$4:$J4323,$B$4:$B4323,B4323,$J$4:$J4323,"&gt;"&amp;0),""))</f>
        <v/>
      </c>
      <c r="L4323" s="11" t="n"/>
    </row>
    <row r="4324" ht="14" customHeight="1" s="72">
      <c r="A4324" s="83" t="n"/>
      <c r="B4324" s="81" t="n"/>
      <c r="C4324" s="69">
        <f>IF(B4324="","",IFERROR(INDEX(Client_List!$B:$B,MATCH(B4324,Client_List!$A:$A,0)),"⚠ NOT FOUND"))</f>
        <v/>
      </c>
      <c r="D4324" s="45" t="n"/>
      <c r="E4324" s="32">
        <f>IF(B4324="","",IFERROR(INDEX(Client_List!$C:$C,MATCH(VALUE(B4324),Client_List!$A:$A,0)),""))</f>
        <v/>
      </c>
      <c r="F4324" s="53">
        <f>IF(B4324="","",IFERROR(INDEX(Client_List!$D:$D,MATCH(VALUE(B4324),Client_List!$A:$A,0)),""))</f>
        <v/>
      </c>
      <c r="G4324" s="53">
        <f>IF(B4324="","",IFERROR(INDEX(Client_List!$K:$K,MATCH(VALUE(B4324),Client_List!$A:$A,0)),""))</f>
        <v/>
      </c>
      <c r="H4324" s="32">
        <f>IF(B4324="","",IFERROR(INDEX(Client_List!$J:$J,MATCH(VALUE(B4324),Client_List!$A:$A,0)),""))</f>
        <v/>
      </c>
      <c r="I4324" s="70">
        <f>IF(B4324="","",IFERROR(A4324-LOOKUP(2,1/($B$4:$B4323=B4324),$A$4:$A4323),""))</f>
        <v/>
      </c>
      <c r="J4324" s="32">
        <f>IF(B4324="","",IFERROR(D4324/I4324,""))</f>
        <v/>
      </c>
      <c r="K4324" s="71">
        <f>IF(B4324="","",IFERROR(AVERAGEIFS($J$4:$J4324,$B$4:$B4324,B4324,$J$4:$J4324,"&gt;"&amp;0),""))</f>
        <v/>
      </c>
      <c r="L4324" s="12" t="n"/>
    </row>
    <row r="4325" ht="14" customHeight="1" s="72">
      <c r="A4325" s="82" t="n"/>
      <c r="B4325" s="79" t="n"/>
      <c r="C4325" s="69">
        <f>IF(B4325="","",IFERROR(INDEX(Client_List!$B:$B,MATCH(B4325,Client_List!$A:$A,0)),"⚠ NOT FOUND"))</f>
        <v/>
      </c>
      <c r="D4325" s="44" t="n"/>
      <c r="E4325" s="32">
        <f>IF(B4325="","",IFERROR(INDEX(Client_List!$C:$C,MATCH(VALUE(B4325),Client_List!$A:$A,0)),""))</f>
        <v/>
      </c>
      <c r="F4325" s="53">
        <f>IF(B4325="","",IFERROR(INDEX(Client_List!$D:$D,MATCH(VALUE(B4325),Client_List!$A:$A,0)),""))</f>
        <v/>
      </c>
      <c r="G4325" s="53">
        <f>IF(B4325="","",IFERROR(INDEX(Client_List!$K:$K,MATCH(VALUE(B4325),Client_List!$A:$A,0)),""))</f>
        <v/>
      </c>
      <c r="H4325" s="32">
        <f>IF(B4325="","",IFERROR(INDEX(Client_List!$J:$J,MATCH(VALUE(B4325),Client_List!$A:$A,0)),""))</f>
        <v/>
      </c>
      <c r="I4325" s="70">
        <f>IF(B4325="","",IFERROR(A4325-LOOKUP(2,1/($B$4:$B4324=B4325),$A$4:$A4324),""))</f>
        <v/>
      </c>
      <c r="J4325" s="32">
        <f>IF(B4325="","",IFERROR(D4325/I4325,""))</f>
        <v/>
      </c>
      <c r="K4325" s="71">
        <f>IF(B4325="","",IFERROR(AVERAGEIFS($J$4:$J4325,$B$4:$B4325,B4325,$J$4:$J4325,"&gt;"&amp;0),""))</f>
        <v/>
      </c>
      <c r="L4325" s="11" t="n"/>
    </row>
    <row r="4326" ht="14" customHeight="1" s="72">
      <c r="A4326" s="83" t="n"/>
      <c r="B4326" s="81" t="n"/>
      <c r="C4326" s="69">
        <f>IF(B4326="","",IFERROR(INDEX(Client_List!$B:$B,MATCH(B4326,Client_List!$A:$A,0)),"⚠ NOT FOUND"))</f>
        <v/>
      </c>
      <c r="D4326" s="45" t="n"/>
      <c r="E4326" s="32">
        <f>IF(B4326="","",IFERROR(INDEX(Client_List!$C:$C,MATCH(VALUE(B4326),Client_List!$A:$A,0)),""))</f>
        <v/>
      </c>
      <c r="F4326" s="53">
        <f>IF(B4326="","",IFERROR(INDEX(Client_List!$D:$D,MATCH(VALUE(B4326),Client_List!$A:$A,0)),""))</f>
        <v/>
      </c>
      <c r="G4326" s="53">
        <f>IF(B4326="","",IFERROR(INDEX(Client_List!$K:$K,MATCH(VALUE(B4326),Client_List!$A:$A,0)),""))</f>
        <v/>
      </c>
      <c r="H4326" s="32">
        <f>IF(B4326="","",IFERROR(INDEX(Client_List!$J:$J,MATCH(VALUE(B4326),Client_List!$A:$A,0)),""))</f>
        <v/>
      </c>
      <c r="I4326" s="70">
        <f>IF(B4326="","",IFERROR(A4326-LOOKUP(2,1/($B$4:$B4325=B4326),$A$4:$A4325),""))</f>
        <v/>
      </c>
      <c r="J4326" s="32">
        <f>IF(B4326="","",IFERROR(D4326/I4326,""))</f>
        <v/>
      </c>
      <c r="K4326" s="71">
        <f>IF(B4326="","",IFERROR(AVERAGEIFS($J$4:$J4326,$B$4:$B4326,B4326,$J$4:$J4326,"&gt;"&amp;0),""))</f>
        <v/>
      </c>
      <c r="L4326" s="12" t="n"/>
    </row>
    <row r="4327" ht="14" customHeight="1" s="72">
      <c r="A4327" s="82" t="n"/>
      <c r="B4327" s="79" t="n"/>
      <c r="C4327" s="69">
        <f>IF(B4327="","",IFERROR(INDEX(Client_List!$B:$B,MATCH(B4327,Client_List!$A:$A,0)),"⚠ NOT FOUND"))</f>
        <v/>
      </c>
      <c r="D4327" s="44" t="n"/>
      <c r="E4327" s="32">
        <f>IF(B4327="","",IFERROR(INDEX(Client_List!$C:$C,MATCH(VALUE(B4327),Client_List!$A:$A,0)),""))</f>
        <v/>
      </c>
      <c r="F4327" s="53">
        <f>IF(B4327="","",IFERROR(INDEX(Client_List!$D:$D,MATCH(VALUE(B4327),Client_List!$A:$A,0)),""))</f>
        <v/>
      </c>
      <c r="G4327" s="53">
        <f>IF(B4327="","",IFERROR(INDEX(Client_List!$K:$K,MATCH(VALUE(B4327),Client_List!$A:$A,0)),""))</f>
        <v/>
      </c>
      <c r="H4327" s="32">
        <f>IF(B4327="","",IFERROR(INDEX(Client_List!$J:$J,MATCH(VALUE(B4327),Client_List!$A:$A,0)),""))</f>
        <v/>
      </c>
      <c r="I4327" s="70">
        <f>IF(B4327="","",IFERROR(A4327-LOOKUP(2,1/($B$4:$B4326=B4327),$A$4:$A4326),""))</f>
        <v/>
      </c>
      <c r="J4327" s="32">
        <f>IF(B4327="","",IFERROR(D4327/I4327,""))</f>
        <v/>
      </c>
      <c r="K4327" s="71">
        <f>IF(B4327="","",IFERROR(AVERAGEIFS($J$4:$J4327,$B$4:$B4327,B4327,$J$4:$J4327,"&gt;"&amp;0),""))</f>
        <v/>
      </c>
      <c r="L4327" s="11" t="n"/>
    </row>
    <row r="4328" ht="14" customHeight="1" s="72">
      <c r="A4328" s="83" t="n"/>
      <c r="B4328" s="81" t="n"/>
      <c r="C4328" s="69">
        <f>IF(B4328="","",IFERROR(INDEX(Client_List!$B:$B,MATCH(B4328,Client_List!$A:$A,0)),"⚠ NOT FOUND"))</f>
        <v/>
      </c>
      <c r="D4328" s="45" t="n"/>
      <c r="E4328" s="32">
        <f>IF(B4328="","",IFERROR(INDEX(Client_List!$C:$C,MATCH(VALUE(B4328),Client_List!$A:$A,0)),""))</f>
        <v/>
      </c>
      <c r="F4328" s="53">
        <f>IF(B4328="","",IFERROR(INDEX(Client_List!$D:$D,MATCH(VALUE(B4328),Client_List!$A:$A,0)),""))</f>
        <v/>
      </c>
      <c r="G4328" s="53">
        <f>IF(B4328="","",IFERROR(INDEX(Client_List!$K:$K,MATCH(VALUE(B4328),Client_List!$A:$A,0)),""))</f>
        <v/>
      </c>
      <c r="H4328" s="32">
        <f>IF(B4328="","",IFERROR(INDEX(Client_List!$J:$J,MATCH(VALUE(B4328),Client_List!$A:$A,0)),""))</f>
        <v/>
      </c>
      <c r="I4328" s="70">
        <f>IF(B4328="","",IFERROR(A4328-LOOKUP(2,1/($B$4:$B4327=B4328),$A$4:$A4327),""))</f>
        <v/>
      </c>
      <c r="J4328" s="32">
        <f>IF(B4328="","",IFERROR(D4328/I4328,""))</f>
        <v/>
      </c>
      <c r="K4328" s="71">
        <f>IF(B4328="","",IFERROR(AVERAGEIFS($J$4:$J4328,$B$4:$B4328,B4328,$J$4:$J4328,"&gt;"&amp;0),""))</f>
        <v/>
      </c>
      <c r="L4328" s="12" t="n"/>
    </row>
    <row r="4329" ht="14" customHeight="1" s="72">
      <c r="A4329" s="82" t="n"/>
      <c r="B4329" s="79" t="n"/>
      <c r="C4329" s="69">
        <f>IF(B4329="","",IFERROR(INDEX(Client_List!$B:$B,MATCH(B4329,Client_List!$A:$A,0)),"⚠ NOT FOUND"))</f>
        <v/>
      </c>
      <c r="D4329" s="44" t="n"/>
      <c r="E4329" s="32">
        <f>IF(B4329="","",IFERROR(INDEX(Client_List!$C:$C,MATCH(VALUE(B4329),Client_List!$A:$A,0)),""))</f>
        <v/>
      </c>
      <c r="F4329" s="53">
        <f>IF(B4329="","",IFERROR(INDEX(Client_List!$D:$D,MATCH(VALUE(B4329),Client_List!$A:$A,0)),""))</f>
        <v/>
      </c>
      <c r="G4329" s="53">
        <f>IF(B4329="","",IFERROR(INDEX(Client_List!$K:$K,MATCH(VALUE(B4329),Client_List!$A:$A,0)),""))</f>
        <v/>
      </c>
      <c r="H4329" s="32">
        <f>IF(B4329="","",IFERROR(INDEX(Client_List!$J:$J,MATCH(VALUE(B4329),Client_List!$A:$A,0)),""))</f>
        <v/>
      </c>
      <c r="I4329" s="70">
        <f>IF(B4329="","",IFERROR(A4329-LOOKUP(2,1/($B$4:$B4328=B4329),$A$4:$A4328),""))</f>
        <v/>
      </c>
      <c r="J4329" s="32">
        <f>IF(B4329="","",IFERROR(D4329/I4329,""))</f>
        <v/>
      </c>
      <c r="K4329" s="71">
        <f>IF(B4329="","",IFERROR(AVERAGEIFS($J$4:$J4329,$B$4:$B4329,B4329,$J$4:$J4329,"&gt;"&amp;0),""))</f>
        <v/>
      </c>
      <c r="L4329" s="11" t="n"/>
    </row>
    <row r="4330" ht="14" customHeight="1" s="72">
      <c r="A4330" s="83" t="n"/>
      <c r="B4330" s="81" t="n"/>
      <c r="C4330" s="69">
        <f>IF(B4330="","",IFERROR(INDEX(Client_List!$B:$B,MATCH(B4330,Client_List!$A:$A,0)),"⚠ NOT FOUND"))</f>
        <v/>
      </c>
      <c r="D4330" s="45" t="n"/>
      <c r="E4330" s="32">
        <f>IF(B4330="","",IFERROR(INDEX(Client_List!$C:$C,MATCH(VALUE(B4330),Client_List!$A:$A,0)),""))</f>
        <v/>
      </c>
      <c r="F4330" s="53">
        <f>IF(B4330="","",IFERROR(INDEX(Client_List!$D:$D,MATCH(VALUE(B4330),Client_List!$A:$A,0)),""))</f>
        <v/>
      </c>
      <c r="G4330" s="53">
        <f>IF(B4330="","",IFERROR(INDEX(Client_List!$K:$K,MATCH(VALUE(B4330),Client_List!$A:$A,0)),""))</f>
        <v/>
      </c>
      <c r="H4330" s="32">
        <f>IF(B4330="","",IFERROR(INDEX(Client_List!$J:$J,MATCH(VALUE(B4330),Client_List!$A:$A,0)),""))</f>
        <v/>
      </c>
      <c r="I4330" s="70">
        <f>IF(B4330="","",IFERROR(A4330-LOOKUP(2,1/($B$4:$B4329=B4330),$A$4:$A4329),""))</f>
        <v/>
      </c>
      <c r="J4330" s="32">
        <f>IF(B4330="","",IFERROR(D4330/I4330,""))</f>
        <v/>
      </c>
      <c r="K4330" s="71">
        <f>IF(B4330="","",IFERROR(AVERAGEIFS($J$4:$J4330,$B$4:$B4330,B4330,$J$4:$J4330,"&gt;"&amp;0),""))</f>
        <v/>
      </c>
      <c r="L4330" s="12" t="n"/>
    </row>
    <row r="4331" ht="14" customHeight="1" s="72">
      <c r="A4331" s="82" t="n"/>
      <c r="B4331" s="79" t="n"/>
      <c r="C4331" s="69">
        <f>IF(B4331="","",IFERROR(INDEX(Client_List!$B:$B,MATCH(B4331,Client_List!$A:$A,0)),"⚠ NOT FOUND"))</f>
        <v/>
      </c>
      <c r="D4331" s="44" t="n"/>
      <c r="E4331" s="32">
        <f>IF(B4331="","",IFERROR(INDEX(Client_List!$C:$C,MATCH(VALUE(B4331),Client_List!$A:$A,0)),""))</f>
        <v/>
      </c>
      <c r="F4331" s="53">
        <f>IF(B4331="","",IFERROR(INDEX(Client_List!$D:$D,MATCH(VALUE(B4331),Client_List!$A:$A,0)),""))</f>
        <v/>
      </c>
      <c r="G4331" s="53">
        <f>IF(B4331="","",IFERROR(INDEX(Client_List!$K:$K,MATCH(VALUE(B4331),Client_List!$A:$A,0)),""))</f>
        <v/>
      </c>
      <c r="H4331" s="32">
        <f>IF(B4331="","",IFERROR(INDEX(Client_List!$J:$J,MATCH(VALUE(B4331),Client_List!$A:$A,0)),""))</f>
        <v/>
      </c>
      <c r="I4331" s="70">
        <f>IF(B4331="","",IFERROR(A4331-LOOKUP(2,1/($B$4:$B4330=B4331),$A$4:$A4330),""))</f>
        <v/>
      </c>
      <c r="J4331" s="32">
        <f>IF(B4331="","",IFERROR(D4331/I4331,""))</f>
        <v/>
      </c>
      <c r="K4331" s="71">
        <f>IF(B4331="","",IFERROR(AVERAGEIFS($J$4:$J4331,$B$4:$B4331,B4331,$J$4:$J4331,"&gt;"&amp;0),""))</f>
        <v/>
      </c>
      <c r="L4331" s="11" t="n"/>
    </row>
    <row r="4332" ht="14" customHeight="1" s="72">
      <c r="A4332" s="83" t="n"/>
      <c r="B4332" s="81" t="n"/>
      <c r="C4332" s="69">
        <f>IF(B4332="","",IFERROR(INDEX(Client_List!$B:$B,MATCH(B4332,Client_List!$A:$A,0)),"⚠ NOT FOUND"))</f>
        <v/>
      </c>
      <c r="D4332" s="45" t="n"/>
      <c r="E4332" s="32">
        <f>IF(B4332="","",IFERROR(INDEX(Client_List!$C:$C,MATCH(VALUE(B4332),Client_List!$A:$A,0)),""))</f>
        <v/>
      </c>
      <c r="F4332" s="53">
        <f>IF(B4332="","",IFERROR(INDEX(Client_List!$D:$D,MATCH(VALUE(B4332),Client_List!$A:$A,0)),""))</f>
        <v/>
      </c>
      <c r="G4332" s="53">
        <f>IF(B4332="","",IFERROR(INDEX(Client_List!$K:$K,MATCH(VALUE(B4332),Client_List!$A:$A,0)),""))</f>
        <v/>
      </c>
      <c r="H4332" s="32">
        <f>IF(B4332="","",IFERROR(INDEX(Client_List!$J:$J,MATCH(VALUE(B4332),Client_List!$A:$A,0)),""))</f>
        <v/>
      </c>
      <c r="I4332" s="70">
        <f>IF(B4332="","",IFERROR(A4332-LOOKUP(2,1/($B$4:$B4331=B4332),$A$4:$A4331),""))</f>
        <v/>
      </c>
      <c r="J4332" s="32">
        <f>IF(B4332="","",IFERROR(D4332/I4332,""))</f>
        <v/>
      </c>
      <c r="K4332" s="71">
        <f>IF(B4332="","",IFERROR(AVERAGEIFS($J$4:$J4332,$B$4:$B4332,B4332,$J$4:$J4332,"&gt;"&amp;0),""))</f>
        <v/>
      </c>
      <c r="L4332" s="12" t="n"/>
    </row>
    <row r="4333" ht="14" customHeight="1" s="72">
      <c r="A4333" s="82" t="n"/>
      <c r="B4333" s="79" t="n"/>
      <c r="C4333" s="69">
        <f>IF(B4333="","",IFERROR(INDEX(Client_List!$B:$B,MATCH(B4333,Client_List!$A:$A,0)),"⚠ NOT FOUND"))</f>
        <v/>
      </c>
      <c r="D4333" s="44" t="n"/>
      <c r="E4333" s="32">
        <f>IF(B4333="","",IFERROR(INDEX(Client_List!$C:$C,MATCH(VALUE(B4333),Client_List!$A:$A,0)),""))</f>
        <v/>
      </c>
      <c r="F4333" s="53">
        <f>IF(B4333="","",IFERROR(INDEX(Client_List!$D:$D,MATCH(VALUE(B4333),Client_List!$A:$A,0)),""))</f>
        <v/>
      </c>
      <c r="G4333" s="53">
        <f>IF(B4333="","",IFERROR(INDEX(Client_List!$K:$K,MATCH(VALUE(B4333),Client_List!$A:$A,0)),""))</f>
        <v/>
      </c>
      <c r="H4333" s="32">
        <f>IF(B4333="","",IFERROR(INDEX(Client_List!$J:$J,MATCH(VALUE(B4333),Client_List!$A:$A,0)),""))</f>
        <v/>
      </c>
      <c r="I4333" s="70">
        <f>IF(B4333="","",IFERROR(A4333-LOOKUP(2,1/($B$4:$B4332=B4333),$A$4:$A4332),""))</f>
        <v/>
      </c>
      <c r="J4333" s="32">
        <f>IF(B4333="","",IFERROR(D4333/I4333,""))</f>
        <v/>
      </c>
      <c r="K4333" s="71">
        <f>IF(B4333="","",IFERROR(AVERAGEIFS($J$4:$J4333,$B$4:$B4333,B4333,$J$4:$J4333,"&gt;"&amp;0),""))</f>
        <v/>
      </c>
      <c r="L4333" s="11" t="n"/>
    </row>
    <row r="4334" ht="14" customHeight="1" s="72">
      <c r="A4334" s="83" t="n"/>
      <c r="B4334" s="81" t="n"/>
      <c r="C4334" s="69">
        <f>IF(B4334="","",IFERROR(INDEX(Client_List!$B:$B,MATCH(B4334,Client_List!$A:$A,0)),"⚠ NOT FOUND"))</f>
        <v/>
      </c>
      <c r="D4334" s="45" t="n"/>
      <c r="E4334" s="32">
        <f>IF(B4334="","",IFERROR(INDEX(Client_List!$C:$C,MATCH(VALUE(B4334),Client_List!$A:$A,0)),""))</f>
        <v/>
      </c>
      <c r="F4334" s="53">
        <f>IF(B4334="","",IFERROR(INDEX(Client_List!$D:$D,MATCH(VALUE(B4334),Client_List!$A:$A,0)),""))</f>
        <v/>
      </c>
      <c r="G4334" s="53">
        <f>IF(B4334="","",IFERROR(INDEX(Client_List!$K:$K,MATCH(VALUE(B4334),Client_List!$A:$A,0)),""))</f>
        <v/>
      </c>
      <c r="H4334" s="32">
        <f>IF(B4334="","",IFERROR(INDEX(Client_List!$J:$J,MATCH(VALUE(B4334),Client_List!$A:$A,0)),""))</f>
        <v/>
      </c>
      <c r="I4334" s="70">
        <f>IF(B4334="","",IFERROR(A4334-LOOKUP(2,1/($B$4:$B4333=B4334),$A$4:$A4333),""))</f>
        <v/>
      </c>
      <c r="J4334" s="32">
        <f>IF(B4334="","",IFERROR(D4334/I4334,""))</f>
        <v/>
      </c>
      <c r="K4334" s="71">
        <f>IF(B4334="","",IFERROR(AVERAGEIFS($J$4:$J4334,$B$4:$B4334,B4334,$J$4:$J4334,"&gt;"&amp;0),""))</f>
        <v/>
      </c>
      <c r="L4334" s="12" t="n"/>
    </row>
    <row r="4335" ht="14" customHeight="1" s="72">
      <c r="A4335" s="82" t="n"/>
      <c r="B4335" s="79" t="n"/>
      <c r="C4335" s="69">
        <f>IF(B4335="","",IFERROR(INDEX(Client_List!$B:$B,MATCH(B4335,Client_List!$A:$A,0)),"⚠ NOT FOUND"))</f>
        <v/>
      </c>
      <c r="D4335" s="44" t="n"/>
      <c r="E4335" s="32">
        <f>IF(B4335="","",IFERROR(INDEX(Client_List!$C:$C,MATCH(VALUE(B4335),Client_List!$A:$A,0)),""))</f>
        <v/>
      </c>
      <c r="F4335" s="53">
        <f>IF(B4335="","",IFERROR(INDEX(Client_List!$D:$D,MATCH(VALUE(B4335),Client_List!$A:$A,0)),""))</f>
        <v/>
      </c>
      <c r="G4335" s="53">
        <f>IF(B4335="","",IFERROR(INDEX(Client_List!$K:$K,MATCH(VALUE(B4335),Client_List!$A:$A,0)),""))</f>
        <v/>
      </c>
      <c r="H4335" s="32">
        <f>IF(B4335="","",IFERROR(INDEX(Client_List!$J:$J,MATCH(VALUE(B4335),Client_List!$A:$A,0)),""))</f>
        <v/>
      </c>
      <c r="I4335" s="70">
        <f>IF(B4335="","",IFERROR(A4335-LOOKUP(2,1/($B$4:$B4334=B4335),$A$4:$A4334),""))</f>
        <v/>
      </c>
      <c r="J4335" s="32">
        <f>IF(B4335="","",IFERROR(D4335/I4335,""))</f>
        <v/>
      </c>
      <c r="K4335" s="71">
        <f>IF(B4335="","",IFERROR(AVERAGEIFS($J$4:$J4335,$B$4:$B4335,B4335,$J$4:$J4335,"&gt;"&amp;0),""))</f>
        <v/>
      </c>
      <c r="L4335" s="11" t="n"/>
    </row>
    <row r="4336" ht="14" customHeight="1" s="72">
      <c r="A4336" s="83" t="n"/>
      <c r="B4336" s="81" t="n"/>
      <c r="C4336" s="69">
        <f>IF(B4336="","",IFERROR(INDEX(Client_List!$B:$B,MATCH(B4336,Client_List!$A:$A,0)),"⚠ NOT FOUND"))</f>
        <v/>
      </c>
      <c r="D4336" s="45" t="n"/>
      <c r="E4336" s="32">
        <f>IF(B4336="","",IFERROR(INDEX(Client_List!$C:$C,MATCH(VALUE(B4336),Client_List!$A:$A,0)),""))</f>
        <v/>
      </c>
      <c r="F4336" s="53">
        <f>IF(B4336="","",IFERROR(INDEX(Client_List!$D:$D,MATCH(VALUE(B4336),Client_List!$A:$A,0)),""))</f>
        <v/>
      </c>
      <c r="G4336" s="53">
        <f>IF(B4336="","",IFERROR(INDEX(Client_List!$K:$K,MATCH(VALUE(B4336),Client_List!$A:$A,0)),""))</f>
        <v/>
      </c>
      <c r="H4336" s="32">
        <f>IF(B4336="","",IFERROR(INDEX(Client_List!$J:$J,MATCH(VALUE(B4336),Client_List!$A:$A,0)),""))</f>
        <v/>
      </c>
      <c r="I4336" s="70">
        <f>IF(B4336="","",IFERROR(A4336-LOOKUP(2,1/($B$4:$B4335=B4336),$A$4:$A4335),""))</f>
        <v/>
      </c>
      <c r="J4336" s="32">
        <f>IF(B4336="","",IFERROR(D4336/I4336,""))</f>
        <v/>
      </c>
      <c r="K4336" s="71">
        <f>IF(B4336="","",IFERROR(AVERAGEIFS($J$4:$J4336,$B$4:$B4336,B4336,$J$4:$J4336,"&gt;"&amp;0),""))</f>
        <v/>
      </c>
      <c r="L4336" s="12" t="n"/>
    </row>
    <row r="4337" ht="14" customHeight="1" s="72">
      <c r="A4337" s="82" t="n"/>
      <c r="B4337" s="79" t="n"/>
      <c r="C4337" s="69">
        <f>IF(B4337="","",IFERROR(INDEX(Client_List!$B:$B,MATCH(B4337,Client_List!$A:$A,0)),"⚠ NOT FOUND"))</f>
        <v/>
      </c>
      <c r="D4337" s="44" t="n"/>
      <c r="E4337" s="32">
        <f>IF(B4337="","",IFERROR(INDEX(Client_List!$C:$C,MATCH(VALUE(B4337),Client_List!$A:$A,0)),""))</f>
        <v/>
      </c>
      <c r="F4337" s="53">
        <f>IF(B4337="","",IFERROR(INDEX(Client_List!$D:$D,MATCH(VALUE(B4337),Client_List!$A:$A,0)),""))</f>
        <v/>
      </c>
      <c r="G4337" s="53">
        <f>IF(B4337="","",IFERROR(INDEX(Client_List!$K:$K,MATCH(VALUE(B4337),Client_List!$A:$A,0)),""))</f>
        <v/>
      </c>
      <c r="H4337" s="32">
        <f>IF(B4337="","",IFERROR(INDEX(Client_List!$J:$J,MATCH(VALUE(B4337),Client_List!$A:$A,0)),""))</f>
        <v/>
      </c>
      <c r="I4337" s="70">
        <f>IF(B4337="","",IFERROR(A4337-LOOKUP(2,1/($B$4:$B4336=B4337),$A$4:$A4336),""))</f>
        <v/>
      </c>
      <c r="J4337" s="32">
        <f>IF(B4337="","",IFERROR(D4337/I4337,""))</f>
        <v/>
      </c>
      <c r="K4337" s="71">
        <f>IF(B4337="","",IFERROR(AVERAGEIFS($J$4:$J4337,$B$4:$B4337,B4337,$J$4:$J4337,"&gt;"&amp;0),""))</f>
        <v/>
      </c>
      <c r="L4337" s="11" t="n"/>
    </row>
    <row r="4338" ht="14" customHeight="1" s="72">
      <c r="A4338" s="83" t="n"/>
      <c r="B4338" s="81" t="n"/>
      <c r="C4338" s="69">
        <f>IF(B4338="","",IFERROR(INDEX(Client_List!$B:$B,MATCH(B4338,Client_List!$A:$A,0)),"⚠ NOT FOUND"))</f>
        <v/>
      </c>
      <c r="D4338" s="45" t="n"/>
      <c r="E4338" s="32">
        <f>IF(B4338="","",IFERROR(INDEX(Client_List!$C:$C,MATCH(VALUE(B4338),Client_List!$A:$A,0)),""))</f>
        <v/>
      </c>
      <c r="F4338" s="53">
        <f>IF(B4338="","",IFERROR(INDEX(Client_List!$D:$D,MATCH(VALUE(B4338),Client_List!$A:$A,0)),""))</f>
        <v/>
      </c>
      <c r="G4338" s="53">
        <f>IF(B4338="","",IFERROR(INDEX(Client_List!$K:$K,MATCH(VALUE(B4338),Client_List!$A:$A,0)),""))</f>
        <v/>
      </c>
      <c r="H4338" s="32">
        <f>IF(B4338="","",IFERROR(INDEX(Client_List!$J:$J,MATCH(VALUE(B4338),Client_List!$A:$A,0)),""))</f>
        <v/>
      </c>
      <c r="I4338" s="70">
        <f>IF(B4338="","",IFERROR(A4338-LOOKUP(2,1/($B$4:$B4337=B4338),$A$4:$A4337),""))</f>
        <v/>
      </c>
      <c r="J4338" s="32">
        <f>IF(B4338="","",IFERROR(D4338/I4338,""))</f>
        <v/>
      </c>
      <c r="K4338" s="71">
        <f>IF(B4338="","",IFERROR(AVERAGEIFS($J$4:$J4338,$B$4:$B4338,B4338,$J$4:$J4338,"&gt;"&amp;0),""))</f>
        <v/>
      </c>
      <c r="L4338" s="12" t="n"/>
    </row>
    <row r="4339" ht="14" customHeight="1" s="72">
      <c r="A4339" s="82" t="n"/>
      <c r="B4339" s="79" t="n"/>
      <c r="C4339" s="69">
        <f>IF(B4339="","",IFERROR(INDEX(Client_List!$B:$B,MATCH(B4339,Client_List!$A:$A,0)),"⚠ NOT FOUND"))</f>
        <v/>
      </c>
      <c r="D4339" s="44" t="n"/>
      <c r="E4339" s="32">
        <f>IF(B4339="","",IFERROR(INDEX(Client_List!$C:$C,MATCH(VALUE(B4339),Client_List!$A:$A,0)),""))</f>
        <v/>
      </c>
      <c r="F4339" s="53">
        <f>IF(B4339="","",IFERROR(INDEX(Client_List!$D:$D,MATCH(VALUE(B4339),Client_List!$A:$A,0)),""))</f>
        <v/>
      </c>
      <c r="G4339" s="53">
        <f>IF(B4339="","",IFERROR(INDEX(Client_List!$K:$K,MATCH(VALUE(B4339),Client_List!$A:$A,0)),""))</f>
        <v/>
      </c>
      <c r="H4339" s="32">
        <f>IF(B4339="","",IFERROR(INDEX(Client_List!$J:$J,MATCH(VALUE(B4339),Client_List!$A:$A,0)),""))</f>
        <v/>
      </c>
      <c r="I4339" s="70">
        <f>IF(B4339="","",IFERROR(A4339-LOOKUP(2,1/($B$4:$B4338=B4339),$A$4:$A4338),""))</f>
        <v/>
      </c>
      <c r="J4339" s="32">
        <f>IF(B4339="","",IFERROR(D4339/I4339,""))</f>
        <v/>
      </c>
      <c r="K4339" s="71">
        <f>IF(B4339="","",IFERROR(AVERAGEIFS($J$4:$J4339,$B$4:$B4339,B4339,$J$4:$J4339,"&gt;"&amp;0),""))</f>
        <v/>
      </c>
      <c r="L4339" s="11" t="n"/>
    </row>
    <row r="4340" ht="14" customHeight="1" s="72">
      <c r="A4340" s="83" t="n"/>
      <c r="B4340" s="81" t="n"/>
      <c r="C4340" s="69">
        <f>IF(B4340="","",IFERROR(INDEX(Client_List!$B:$B,MATCH(B4340,Client_List!$A:$A,0)),"⚠ NOT FOUND"))</f>
        <v/>
      </c>
      <c r="D4340" s="45" t="n"/>
      <c r="E4340" s="32">
        <f>IF(B4340="","",IFERROR(INDEX(Client_List!$C:$C,MATCH(VALUE(B4340),Client_List!$A:$A,0)),""))</f>
        <v/>
      </c>
      <c r="F4340" s="53">
        <f>IF(B4340="","",IFERROR(INDEX(Client_List!$D:$D,MATCH(VALUE(B4340),Client_List!$A:$A,0)),""))</f>
        <v/>
      </c>
      <c r="G4340" s="53">
        <f>IF(B4340="","",IFERROR(INDEX(Client_List!$K:$K,MATCH(VALUE(B4340),Client_List!$A:$A,0)),""))</f>
        <v/>
      </c>
      <c r="H4340" s="32">
        <f>IF(B4340="","",IFERROR(INDEX(Client_List!$J:$J,MATCH(VALUE(B4340),Client_List!$A:$A,0)),""))</f>
        <v/>
      </c>
      <c r="I4340" s="70">
        <f>IF(B4340="","",IFERROR(A4340-LOOKUP(2,1/($B$4:$B4339=B4340),$A$4:$A4339),""))</f>
        <v/>
      </c>
      <c r="J4340" s="32">
        <f>IF(B4340="","",IFERROR(D4340/I4340,""))</f>
        <v/>
      </c>
      <c r="K4340" s="71">
        <f>IF(B4340="","",IFERROR(AVERAGEIFS($J$4:$J4340,$B$4:$B4340,B4340,$J$4:$J4340,"&gt;"&amp;0),""))</f>
        <v/>
      </c>
      <c r="L4340" s="12" t="n"/>
    </row>
    <row r="4341" ht="14" customHeight="1" s="72">
      <c r="A4341" s="82" t="n"/>
      <c r="B4341" s="79" t="n"/>
      <c r="C4341" s="69">
        <f>IF(B4341="","",IFERROR(INDEX(Client_List!$B:$B,MATCH(B4341,Client_List!$A:$A,0)),"⚠ NOT FOUND"))</f>
        <v/>
      </c>
      <c r="D4341" s="44" t="n"/>
      <c r="E4341" s="32">
        <f>IF(B4341="","",IFERROR(INDEX(Client_List!$C:$C,MATCH(VALUE(B4341),Client_List!$A:$A,0)),""))</f>
        <v/>
      </c>
      <c r="F4341" s="53">
        <f>IF(B4341="","",IFERROR(INDEX(Client_List!$D:$D,MATCH(VALUE(B4341),Client_List!$A:$A,0)),""))</f>
        <v/>
      </c>
      <c r="G4341" s="53">
        <f>IF(B4341="","",IFERROR(INDEX(Client_List!$K:$K,MATCH(VALUE(B4341),Client_List!$A:$A,0)),""))</f>
        <v/>
      </c>
      <c r="H4341" s="32">
        <f>IF(B4341="","",IFERROR(INDEX(Client_List!$J:$J,MATCH(VALUE(B4341),Client_List!$A:$A,0)),""))</f>
        <v/>
      </c>
      <c r="I4341" s="70">
        <f>IF(B4341="","",IFERROR(A4341-LOOKUP(2,1/($B$4:$B4340=B4341),$A$4:$A4340),""))</f>
        <v/>
      </c>
      <c r="J4341" s="32">
        <f>IF(B4341="","",IFERROR(D4341/I4341,""))</f>
        <v/>
      </c>
      <c r="K4341" s="71">
        <f>IF(B4341="","",IFERROR(AVERAGEIFS($J$4:$J4341,$B$4:$B4341,B4341,$J$4:$J4341,"&gt;"&amp;0),""))</f>
        <v/>
      </c>
      <c r="L4341" s="11" t="n"/>
    </row>
    <row r="4342" ht="14" customHeight="1" s="72">
      <c r="A4342" s="83" t="n"/>
      <c r="B4342" s="81" t="n"/>
      <c r="C4342" s="69">
        <f>IF(B4342="","",IFERROR(INDEX(Client_List!$B:$B,MATCH(B4342,Client_List!$A:$A,0)),"⚠ NOT FOUND"))</f>
        <v/>
      </c>
      <c r="D4342" s="45" t="n"/>
      <c r="E4342" s="32">
        <f>IF(B4342="","",IFERROR(INDEX(Client_List!$C:$C,MATCH(VALUE(B4342),Client_List!$A:$A,0)),""))</f>
        <v/>
      </c>
      <c r="F4342" s="53">
        <f>IF(B4342="","",IFERROR(INDEX(Client_List!$D:$D,MATCH(VALUE(B4342),Client_List!$A:$A,0)),""))</f>
        <v/>
      </c>
      <c r="G4342" s="53">
        <f>IF(B4342="","",IFERROR(INDEX(Client_List!$K:$K,MATCH(VALUE(B4342),Client_List!$A:$A,0)),""))</f>
        <v/>
      </c>
      <c r="H4342" s="32">
        <f>IF(B4342="","",IFERROR(INDEX(Client_List!$J:$J,MATCH(VALUE(B4342),Client_List!$A:$A,0)),""))</f>
        <v/>
      </c>
      <c r="I4342" s="70">
        <f>IF(B4342="","",IFERROR(A4342-LOOKUP(2,1/($B$4:$B4341=B4342),$A$4:$A4341),""))</f>
        <v/>
      </c>
      <c r="J4342" s="32">
        <f>IF(B4342="","",IFERROR(D4342/I4342,""))</f>
        <v/>
      </c>
      <c r="K4342" s="71">
        <f>IF(B4342="","",IFERROR(AVERAGEIFS($J$4:$J4342,$B$4:$B4342,B4342,$J$4:$J4342,"&gt;"&amp;0),""))</f>
        <v/>
      </c>
      <c r="L4342" s="12" t="n"/>
    </row>
    <row r="4343" ht="14" customHeight="1" s="72">
      <c r="A4343" s="82" t="n"/>
      <c r="B4343" s="79" t="n"/>
      <c r="C4343" s="69">
        <f>IF(B4343="","",IFERROR(INDEX(Client_List!$B:$B,MATCH(B4343,Client_List!$A:$A,0)),"⚠ NOT FOUND"))</f>
        <v/>
      </c>
      <c r="D4343" s="44" t="n"/>
      <c r="E4343" s="32">
        <f>IF(B4343="","",IFERROR(INDEX(Client_List!$C:$C,MATCH(VALUE(B4343),Client_List!$A:$A,0)),""))</f>
        <v/>
      </c>
      <c r="F4343" s="53">
        <f>IF(B4343="","",IFERROR(INDEX(Client_List!$D:$D,MATCH(VALUE(B4343),Client_List!$A:$A,0)),""))</f>
        <v/>
      </c>
      <c r="G4343" s="53">
        <f>IF(B4343="","",IFERROR(INDEX(Client_List!$K:$K,MATCH(VALUE(B4343),Client_List!$A:$A,0)),""))</f>
        <v/>
      </c>
      <c r="H4343" s="32">
        <f>IF(B4343="","",IFERROR(INDEX(Client_List!$J:$J,MATCH(VALUE(B4343),Client_List!$A:$A,0)),""))</f>
        <v/>
      </c>
      <c r="I4343" s="70">
        <f>IF(B4343="","",IFERROR(A4343-LOOKUP(2,1/($B$4:$B4342=B4343),$A$4:$A4342),""))</f>
        <v/>
      </c>
      <c r="J4343" s="32">
        <f>IF(B4343="","",IFERROR(D4343/I4343,""))</f>
        <v/>
      </c>
      <c r="K4343" s="71">
        <f>IF(B4343="","",IFERROR(AVERAGEIFS($J$4:$J4343,$B$4:$B4343,B4343,$J$4:$J4343,"&gt;"&amp;0),""))</f>
        <v/>
      </c>
      <c r="L4343" s="11" t="n"/>
    </row>
    <row r="4344" ht="14" customHeight="1" s="72">
      <c r="A4344" s="83" t="n"/>
      <c r="B4344" s="81" t="n"/>
      <c r="C4344" s="69">
        <f>IF(B4344="","",IFERROR(INDEX(Client_List!$B:$B,MATCH(B4344,Client_List!$A:$A,0)),"⚠ NOT FOUND"))</f>
        <v/>
      </c>
      <c r="D4344" s="45" t="n"/>
      <c r="E4344" s="32">
        <f>IF(B4344="","",IFERROR(INDEX(Client_List!$C:$C,MATCH(VALUE(B4344),Client_List!$A:$A,0)),""))</f>
        <v/>
      </c>
      <c r="F4344" s="53">
        <f>IF(B4344="","",IFERROR(INDEX(Client_List!$D:$D,MATCH(VALUE(B4344),Client_List!$A:$A,0)),""))</f>
        <v/>
      </c>
      <c r="G4344" s="53">
        <f>IF(B4344="","",IFERROR(INDEX(Client_List!$K:$K,MATCH(VALUE(B4344),Client_List!$A:$A,0)),""))</f>
        <v/>
      </c>
      <c r="H4344" s="32">
        <f>IF(B4344="","",IFERROR(INDEX(Client_List!$J:$J,MATCH(VALUE(B4344),Client_List!$A:$A,0)),""))</f>
        <v/>
      </c>
      <c r="I4344" s="70">
        <f>IF(B4344="","",IFERROR(A4344-LOOKUP(2,1/($B$4:$B4343=B4344),$A$4:$A4343),""))</f>
        <v/>
      </c>
      <c r="J4344" s="32">
        <f>IF(B4344="","",IFERROR(D4344/I4344,""))</f>
        <v/>
      </c>
      <c r="K4344" s="71">
        <f>IF(B4344="","",IFERROR(AVERAGEIFS($J$4:$J4344,$B$4:$B4344,B4344,$J$4:$J4344,"&gt;"&amp;0),""))</f>
        <v/>
      </c>
      <c r="L4344" s="12" t="n"/>
    </row>
    <row r="4345" ht="14" customHeight="1" s="72">
      <c r="A4345" s="82" t="n"/>
      <c r="B4345" s="79" t="n"/>
      <c r="C4345" s="69">
        <f>IF(B4345="","",IFERROR(INDEX(Client_List!$B:$B,MATCH(B4345,Client_List!$A:$A,0)),"⚠ NOT FOUND"))</f>
        <v/>
      </c>
      <c r="D4345" s="44" t="n"/>
      <c r="E4345" s="32">
        <f>IF(B4345="","",IFERROR(INDEX(Client_List!$C:$C,MATCH(VALUE(B4345),Client_List!$A:$A,0)),""))</f>
        <v/>
      </c>
      <c r="F4345" s="53">
        <f>IF(B4345="","",IFERROR(INDEX(Client_List!$D:$D,MATCH(VALUE(B4345),Client_List!$A:$A,0)),""))</f>
        <v/>
      </c>
      <c r="G4345" s="53">
        <f>IF(B4345="","",IFERROR(INDEX(Client_List!$K:$K,MATCH(VALUE(B4345),Client_List!$A:$A,0)),""))</f>
        <v/>
      </c>
      <c r="H4345" s="32">
        <f>IF(B4345="","",IFERROR(INDEX(Client_List!$J:$J,MATCH(VALUE(B4345),Client_List!$A:$A,0)),""))</f>
        <v/>
      </c>
      <c r="I4345" s="70">
        <f>IF(B4345="","",IFERROR(A4345-LOOKUP(2,1/($B$4:$B4344=B4345),$A$4:$A4344),""))</f>
        <v/>
      </c>
      <c r="J4345" s="32">
        <f>IF(B4345="","",IFERROR(D4345/I4345,""))</f>
        <v/>
      </c>
      <c r="K4345" s="71">
        <f>IF(B4345="","",IFERROR(AVERAGEIFS($J$4:$J4345,$B$4:$B4345,B4345,$J$4:$J4345,"&gt;"&amp;0),""))</f>
        <v/>
      </c>
      <c r="L4345" s="11" t="n"/>
    </row>
    <row r="4346" ht="14" customHeight="1" s="72">
      <c r="A4346" s="83" t="n"/>
      <c r="B4346" s="81" t="n"/>
      <c r="C4346" s="69">
        <f>IF(B4346="","",IFERROR(INDEX(Client_List!$B:$B,MATCH(B4346,Client_List!$A:$A,0)),"⚠ NOT FOUND"))</f>
        <v/>
      </c>
      <c r="D4346" s="45" t="n"/>
      <c r="E4346" s="32">
        <f>IF(B4346="","",IFERROR(INDEX(Client_List!$C:$C,MATCH(VALUE(B4346),Client_List!$A:$A,0)),""))</f>
        <v/>
      </c>
      <c r="F4346" s="53">
        <f>IF(B4346="","",IFERROR(INDEX(Client_List!$D:$D,MATCH(VALUE(B4346),Client_List!$A:$A,0)),""))</f>
        <v/>
      </c>
      <c r="G4346" s="53">
        <f>IF(B4346="","",IFERROR(INDEX(Client_List!$K:$K,MATCH(VALUE(B4346),Client_List!$A:$A,0)),""))</f>
        <v/>
      </c>
      <c r="H4346" s="32">
        <f>IF(B4346="","",IFERROR(INDEX(Client_List!$J:$J,MATCH(VALUE(B4346),Client_List!$A:$A,0)),""))</f>
        <v/>
      </c>
      <c r="I4346" s="70">
        <f>IF(B4346="","",IFERROR(A4346-LOOKUP(2,1/($B$4:$B4345=B4346),$A$4:$A4345),""))</f>
        <v/>
      </c>
      <c r="J4346" s="32">
        <f>IF(B4346="","",IFERROR(D4346/I4346,""))</f>
        <v/>
      </c>
      <c r="K4346" s="71">
        <f>IF(B4346="","",IFERROR(AVERAGEIFS($J$4:$J4346,$B$4:$B4346,B4346,$J$4:$J4346,"&gt;"&amp;0),""))</f>
        <v/>
      </c>
      <c r="L4346" s="12" t="n"/>
    </row>
    <row r="4347" ht="14" customHeight="1" s="72">
      <c r="A4347" s="82" t="n"/>
      <c r="B4347" s="79" t="n"/>
      <c r="C4347" s="69">
        <f>IF(B4347="","",IFERROR(INDEX(Client_List!$B:$B,MATCH(B4347,Client_List!$A:$A,0)),"⚠ NOT FOUND"))</f>
        <v/>
      </c>
      <c r="D4347" s="44" t="n"/>
      <c r="E4347" s="32">
        <f>IF(B4347="","",IFERROR(INDEX(Client_List!$C:$C,MATCH(VALUE(B4347),Client_List!$A:$A,0)),""))</f>
        <v/>
      </c>
      <c r="F4347" s="53">
        <f>IF(B4347="","",IFERROR(INDEX(Client_List!$D:$D,MATCH(VALUE(B4347),Client_List!$A:$A,0)),""))</f>
        <v/>
      </c>
      <c r="G4347" s="53">
        <f>IF(B4347="","",IFERROR(INDEX(Client_List!$K:$K,MATCH(VALUE(B4347),Client_List!$A:$A,0)),""))</f>
        <v/>
      </c>
      <c r="H4347" s="32">
        <f>IF(B4347="","",IFERROR(INDEX(Client_List!$J:$J,MATCH(VALUE(B4347),Client_List!$A:$A,0)),""))</f>
        <v/>
      </c>
      <c r="I4347" s="70">
        <f>IF(B4347="","",IFERROR(A4347-LOOKUP(2,1/($B$4:$B4346=B4347),$A$4:$A4346),""))</f>
        <v/>
      </c>
      <c r="J4347" s="32">
        <f>IF(B4347="","",IFERROR(D4347/I4347,""))</f>
        <v/>
      </c>
      <c r="K4347" s="71">
        <f>IF(B4347="","",IFERROR(AVERAGEIFS($J$4:$J4347,$B$4:$B4347,B4347,$J$4:$J4347,"&gt;"&amp;0),""))</f>
        <v/>
      </c>
      <c r="L4347" s="11" t="n"/>
    </row>
    <row r="4348" ht="14" customHeight="1" s="72">
      <c r="A4348" s="83" t="n"/>
      <c r="B4348" s="81" t="n"/>
      <c r="C4348" s="69">
        <f>IF(B4348="","",IFERROR(INDEX(Client_List!$B:$B,MATCH(B4348,Client_List!$A:$A,0)),"⚠ NOT FOUND"))</f>
        <v/>
      </c>
      <c r="D4348" s="45" t="n"/>
      <c r="E4348" s="32">
        <f>IF(B4348="","",IFERROR(INDEX(Client_List!$C:$C,MATCH(VALUE(B4348),Client_List!$A:$A,0)),""))</f>
        <v/>
      </c>
      <c r="F4348" s="53">
        <f>IF(B4348="","",IFERROR(INDEX(Client_List!$D:$D,MATCH(VALUE(B4348),Client_List!$A:$A,0)),""))</f>
        <v/>
      </c>
      <c r="G4348" s="53">
        <f>IF(B4348="","",IFERROR(INDEX(Client_List!$K:$K,MATCH(VALUE(B4348),Client_List!$A:$A,0)),""))</f>
        <v/>
      </c>
      <c r="H4348" s="32">
        <f>IF(B4348="","",IFERROR(INDEX(Client_List!$J:$J,MATCH(VALUE(B4348),Client_List!$A:$A,0)),""))</f>
        <v/>
      </c>
      <c r="I4348" s="70">
        <f>IF(B4348="","",IFERROR(A4348-LOOKUP(2,1/($B$4:$B4347=B4348),$A$4:$A4347),""))</f>
        <v/>
      </c>
      <c r="J4348" s="32">
        <f>IF(B4348="","",IFERROR(D4348/I4348,""))</f>
        <v/>
      </c>
      <c r="K4348" s="71">
        <f>IF(B4348="","",IFERROR(AVERAGEIFS($J$4:$J4348,$B$4:$B4348,B4348,$J$4:$J4348,"&gt;"&amp;0),""))</f>
        <v/>
      </c>
      <c r="L4348" s="12" t="n"/>
    </row>
    <row r="4349" ht="14" customHeight="1" s="72">
      <c r="A4349" s="82" t="n"/>
      <c r="B4349" s="79" t="n"/>
      <c r="C4349" s="69">
        <f>IF(B4349="","",IFERROR(INDEX(Client_List!$B:$B,MATCH(B4349,Client_List!$A:$A,0)),"⚠ NOT FOUND"))</f>
        <v/>
      </c>
      <c r="D4349" s="44" t="n"/>
      <c r="E4349" s="32">
        <f>IF(B4349="","",IFERROR(INDEX(Client_List!$C:$C,MATCH(VALUE(B4349),Client_List!$A:$A,0)),""))</f>
        <v/>
      </c>
      <c r="F4349" s="53">
        <f>IF(B4349="","",IFERROR(INDEX(Client_List!$D:$D,MATCH(VALUE(B4349),Client_List!$A:$A,0)),""))</f>
        <v/>
      </c>
      <c r="G4349" s="53">
        <f>IF(B4349="","",IFERROR(INDEX(Client_List!$K:$K,MATCH(VALUE(B4349),Client_List!$A:$A,0)),""))</f>
        <v/>
      </c>
      <c r="H4349" s="32">
        <f>IF(B4349="","",IFERROR(INDEX(Client_List!$J:$J,MATCH(VALUE(B4349),Client_List!$A:$A,0)),""))</f>
        <v/>
      </c>
      <c r="I4349" s="70">
        <f>IF(B4349="","",IFERROR(A4349-LOOKUP(2,1/($B$4:$B4348=B4349),$A$4:$A4348),""))</f>
        <v/>
      </c>
      <c r="J4349" s="32">
        <f>IF(B4349="","",IFERROR(D4349/I4349,""))</f>
        <v/>
      </c>
      <c r="K4349" s="71">
        <f>IF(B4349="","",IFERROR(AVERAGEIFS($J$4:$J4349,$B$4:$B4349,B4349,$J$4:$J4349,"&gt;"&amp;0),""))</f>
        <v/>
      </c>
      <c r="L4349" s="11" t="n"/>
    </row>
    <row r="4350" ht="14" customHeight="1" s="72">
      <c r="A4350" s="83" t="n"/>
      <c r="B4350" s="81" t="n"/>
      <c r="C4350" s="69">
        <f>IF(B4350="","",IFERROR(INDEX(Client_List!$B:$B,MATCH(B4350,Client_List!$A:$A,0)),"⚠ NOT FOUND"))</f>
        <v/>
      </c>
      <c r="D4350" s="45" t="n"/>
      <c r="E4350" s="32">
        <f>IF(B4350="","",IFERROR(INDEX(Client_List!$C:$C,MATCH(VALUE(B4350),Client_List!$A:$A,0)),""))</f>
        <v/>
      </c>
      <c r="F4350" s="53">
        <f>IF(B4350="","",IFERROR(INDEX(Client_List!$D:$D,MATCH(VALUE(B4350),Client_List!$A:$A,0)),""))</f>
        <v/>
      </c>
      <c r="G4350" s="53">
        <f>IF(B4350="","",IFERROR(INDEX(Client_List!$K:$K,MATCH(VALUE(B4350),Client_List!$A:$A,0)),""))</f>
        <v/>
      </c>
      <c r="H4350" s="32">
        <f>IF(B4350="","",IFERROR(INDEX(Client_List!$J:$J,MATCH(VALUE(B4350),Client_List!$A:$A,0)),""))</f>
        <v/>
      </c>
      <c r="I4350" s="70">
        <f>IF(B4350="","",IFERROR(A4350-LOOKUP(2,1/($B$4:$B4349=B4350),$A$4:$A4349),""))</f>
        <v/>
      </c>
      <c r="J4350" s="32">
        <f>IF(B4350="","",IFERROR(D4350/I4350,""))</f>
        <v/>
      </c>
      <c r="K4350" s="71">
        <f>IF(B4350="","",IFERROR(AVERAGEIFS($J$4:$J4350,$B$4:$B4350,B4350,$J$4:$J4350,"&gt;"&amp;0),""))</f>
        <v/>
      </c>
      <c r="L4350" s="12" t="n"/>
    </row>
    <row r="4351" ht="14" customHeight="1" s="72">
      <c r="A4351" s="82" t="n"/>
      <c r="B4351" s="79" t="n"/>
      <c r="C4351" s="69">
        <f>IF(B4351="","",IFERROR(INDEX(Client_List!$B:$B,MATCH(B4351,Client_List!$A:$A,0)),"⚠ NOT FOUND"))</f>
        <v/>
      </c>
      <c r="D4351" s="44" t="n"/>
      <c r="E4351" s="32">
        <f>IF(B4351="","",IFERROR(INDEX(Client_List!$C:$C,MATCH(VALUE(B4351),Client_List!$A:$A,0)),""))</f>
        <v/>
      </c>
      <c r="F4351" s="53">
        <f>IF(B4351="","",IFERROR(INDEX(Client_List!$D:$D,MATCH(VALUE(B4351),Client_List!$A:$A,0)),""))</f>
        <v/>
      </c>
      <c r="G4351" s="53">
        <f>IF(B4351="","",IFERROR(INDEX(Client_List!$K:$K,MATCH(VALUE(B4351),Client_List!$A:$A,0)),""))</f>
        <v/>
      </c>
      <c r="H4351" s="32">
        <f>IF(B4351="","",IFERROR(INDEX(Client_List!$J:$J,MATCH(VALUE(B4351),Client_List!$A:$A,0)),""))</f>
        <v/>
      </c>
      <c r="I4351" s="70">
        <f>IF(B4351="","",IFERROR(A4351-LOOKUP(2,1/($B$4:$B4350=B4351),$A$4:$A4350),""))</f>
        <v/>
      </c>
      <c r="J4351" s="32">
        <f>IF(B4351="","",IFERROR(D4351/I4351,""))</f>
        <v/>
      </c>
      <c r="K4351" s="71">
        <f>IF(B4351="","",IFERROR(AVERAGEIFS($J$4:$J4351,$B$4:$B4351,B4351,$J$4:$J4351,"&gt;"&amp;0),""))</f>
        <v/>
      </c>
      <c r="L4351" s="11" t="n"/>
    </row>
    <row r="4352" ht="14" customHeight="1" s="72">
      <c r="A4352" s="83" t="n"/>
      <c r="B4352" s="81" t="n"/>
      <c r="C4352" s="69">
        <f>IF(B4352="","",IFERROR(INDEX(Client_List!$B:$B,MATCH(B4352,Client_List!$A:$A,0)),"⚠ NOT FOUND"))</f>
        <v/>
      </c>
      <c r="D4352" s="45" t="n"/>
      <c r="E4352" s="32">
        <f>IF(B4352="","",IFERROR(INDEX(Client_List!$C:$C,MATCH(VALUE(B4352),Client_List!$A:$A,0)),""))</f>
        <v/>
      </c>
      <c r="F4352" s="53">
        <f>IF(B4352="","",IFERROR(INDEX(Client_List!$D:$D,MATCH(VALUE(B4352),Client_List!$A:$A,0)),""))</f>
        <v/>
      </c>
      <c r="G4352" s="53">
        <f>IF(B4352="","",IFERROR(INDEX(Client_List!$K:$K,MATCH(VALUE(B4352),Client_List!$A:$A,0)),""))</f>
        <v/>
      </c>
      <c r="H4352" s="32">
        <f>IF(B4352="","",IFERROR(INDEX(Client_List!$J:$J,MATCH(VALUE(B4352),Client_List!$A:$A,0)),""))</f>
        <v/>
      </c>
      <c r="I4352" s="70">
        <f>IF(B4352="","",IFERROR(A4352-LOOKUP(2,1/($B$4:$B4351=B4352),$A$4:$A4351),""))</f>
        <v/>
      </c>
      <c r="J4352" s="32">
        <f>IF(B4352="","",IFERROR(D4352/I4352,""))</f>
        <v/>
      </c>
      <c r="K4352" s="71">
        <f>IF(B4352="","",IFERROR(AVERAGEIFS($J$4:$J4352,$B$4:$B4352,B4352,$J$4:$J4352,"&gt;"&amp;0),""))</f>
        <v/>
      </c>
      <c r="L4352" s="12" t="n"/>
    </row>
    <row r="4353" ht="14" customHeight="1" s="72">
      <c r="A4353" s="82" t="n"/>
      <c r="B4353" s="79" t="n"/>
      <c r="C4353" s="69">
        <f>IF(B4353="","",IFERROR(INDEX(Client_List!$B:$B,MATCH(B4353,Client_List!$A:$A,0)),"⚠ NOT FOUND"))</f>
        <v/>
      </c>
      <c r="D4353" s="44" t="n"/>
      <c r="E4353" s="32">
        <f>IF(B4353="","",IFERROR(INDEX(Client_List!$C:$C,MATCH(VALUE(B4353),Client_List!$A:$A,0)),""))</f>
        <v/>
      </c>
      <c r="F4353" s="53">
        <f>IF(B4353="","",IFERROR(INDEX(Client_List!$D:$D,MATCH(VALUE(B4353),Client_List!$A:$A,0)),""))</f>
        <v/>
      </c>
      <c r="G4353" s="53">
        <f>IF(B4353="","",IFERROR(INDEX(Client_List!$K:$K,MATCH(VALUE(B4353),Client_List!$A:$A,0)),""))</f>
        <v/>
      </c>
      <c r="H4353" s="32">
        <f>IF(B4353="","",IFERROR(INDEX(Client_List!$J:$J,MATCH(VALUE(B4353),Client_List!$A:$A,0)),""))</f>
        <v/>
      </c>
      <c r="I4353" s="70">
        <f>IF(B4353="","",IFERROR(A4353-LOOKUP(2,1/($B$4:$B4352=B4353),$A$4:$A4352),""))</f>
        <v/>
      </c>
      <c r="J4353" s="32">
        <f>IF(B4353="","",IFERROR(D4353/I4353,""))</f>
        <v/>
      </c>
      <c r="K4353" s="71">
        <f>IF(B4353="","",IFERROR(AVERAGEIFS($J$4:$J4353,$B$4:$B4353,B4353,$J$4:$J4353,"&gt;"&amp;0),""))</f>
        <v/>
      </c>
      <c r="L4353" s="11" t="n"/>
    </row>
    <row r="4354" ht="14" customHeight="1" s="72">
      <c r="A4354" s="83" t="n"/>
      <c r="B4354" s="81" t="n"/>
      <c r="C4354" s="69">
        <f>IF(B4354="","",IFERROR(INDEX(Client_List!$B:$B,MATCH(B4354,Client_List!$A:$A,0)),"⚠ NOT FOUND"))</f>
        <v/>
      </c>
      <c r="D4354" s="45" t="n"/>
      <c r="E4354" s="32">
        <f>IF(B4354="","",IFERROR(INDEX(Client_List!$C:$C,MATCH(VALUE(B4354),Client_List!$A:$A,0)),""))</f>
        <v/>
      </c>
      <c r="F4354" s="53">
        <f>IF(B4354="","",IFERROR(INDEX(Client_List!$D:$D,MATCH(VALUE(B4354),Client_List!$A:$A,0)),""))</f>
        <v/>
      </c>
      <c r="G4354" s="53">
        <f>IF(B4354="","",IFERROR(INDEX(Client_List!$K:$K,MATCH(VALUE(B4354),Client_List!$A:$A,0)),""))</f>
        <v/>
      </c>
      <c r="H4354" s="32">
        <f>IF(B4354="","",IFERROR(INDEX(Client_List!$J:$J,MATCH(VALUE(B4354),Client_List!$A:$A,0)),""))</f>
        <v/>
      </c>
      <c r="I4354" s="70">
        <f>IF(B4354="","",IFERROR(A4354-LOOKUP(2,1/($B$4:$B4353=B4354),$A$4:$A4353),""))</f>
        <v/>
      </c>
      <c r="J4354" s="32">
        <f>IF(B4354="","",IFERROR(D4354/I4354,""))</f>
        <v/>
      </c>
      <c r="K4354" s="71">
        <f>IF(B4354="","",IFERROR(AVERAGEIFS($J$4:$J4354,$B$4:$B4354,B4354,$J$4:$J4354,"&gt;"&amp;0),""))</f>
        <v/>
      </c>
      <c r="L4354" s="12" t="n"/>
    </row>
    <row r="4355" ht="14" customHeight="1" s="72">
      <c r="A4355" s="82" t="n"/>
      <c r="B4355" s="79" t="n"/>
      <c r="C4355" s="69">
        <f>IF(B4355="","",IFERROR(INDEX(Client_List!$B:$B,MATCH(B4355,Client_List!$A:$A,0)),"⚠ NOT FOUND"))</f>
        <v/>
      </c>
      <c r="D4355" s="44" t="n"/>
      <c r="E4355" s="32">
        <f>IF(B4355="","",IFERROR(INDEX(Client_List!$C:$C,MATCH(VALUE(B4355),Client_List!$A:$A,0)),""))</f>
        <v/>
      </c>
      <c r="F4355" s="53">
        <f>IF(B4355="","",IFERROR(INDEX(Client_List!$D:$D,MATCH(VALUE(B4355),Client_List!$A:$A,0)),""))</f>
        <v/>
      </c>
      <c r="G4355" s="53">
        <f>IF(B4355="","",IFERROR(INDEX(Client_List!$K:$K,MATCH(VALUE(B4355),Client_List!$A:$A,0)),""))</f>
        <v/>
      </c>
      <c r="H4355" s="32">
        <f>IF(B4355="","",IFERROR(INDEX(Client_List!$J:$J,MATCH(VALUE(B4355),Client_List!$A:$A,0)),""))</f>
        <v/>
      </c>
      <c r="I4355" s="70">
        <f>IF(B4355="","",IFERROR(A4355-LOOKUP(2,1/($B$4:$B4354=B4355),$A$4:$A4354),""))</f>
        <v/>
      </c>
      <c r="J4355" s="32">
        <f>IF(B4355="","",IFERROR(D4355/I4355,""))</f>
        <v/>
      </c>
      <c r="K4355" s="71">
        <f>IF(B4355="","",IFERROR(AVERAGEIFS($J$4:$J4355,$B$4:$B4355,B4355,$J$4:$J4355,"&gt;"&amp;0),""))</f>
        <v/>
      </c>
      <c r="L4355" s="11" t="n"/>
    </row>
    <row r="4356" ht="14" customHeight="1" s="72">
      <c r="A4356" s="83" t="n"/>
      <c r="B4356" s="81" t="n"/>
      <c r="C4356" s="69">
        <f>IF(B4356="","",IFERROR(INDEX(Client_List!$B:$B,MATCH(B4356,Client_List!$A:$A,0)),"⚠ NOT FOUND"))</f>
        <v/>
      </c>
      <c r="D4356" s="45" t="n"/>
      <c r="E4356" s="32">
        <f>IF(B4356="","",IFERROR(INDEX(Client_List!$C:$C,MATCH(VALUE(B4356),Client_List!$A:$A,0)),""))</f>
        <v/>
      </c>
      <c r="F4356" s="53">
        <f>IF(B4356="","",IFERROR(INDEX(Client_List!$D:$D,MATCH(VALUE(B4356),Client_List!$A:$A,0)),""))</f>
        <v/>
      </c>
      <c r="G4356" s="53">
        <f>IF(B4356="","",IFERROR(INDEX(Client_List!$K:$K,MATCH(VALUE(B4356),Client_List!$A:$A,0)),""))</f>
        <v/>
      </c>
      <c r="H4356" s="32">
        <f>IF(B4356="","",IFERROR(INDEX(Client_List!$J:$J,MATCH(VALUE(B4356),Client_List!$A:$A,0)),""))</f>
        <v/>
      </c>
      <c r="I4356" s="70">
        <f>IF(B4356="","",IFERROR(A4356-LOOKUP(2,1/($B$4:$B4355=B4356),$A$4:$A4355),""))</f>
        <v/>
      </c>
      <c r="J4356" s="32">
        <f>IF(B4356="","",IFERROR(D4356/I4356,""))</f>
        <v/>
      </c>
      <c r="K4356" s="71">
        <f>IF(B4356="","",IFERROR(AVERAGEIFS($J$4:$J4356,$B$4:$B4356,B4356,$J$4:$J4356,"&gt;"&amp;0),""))</f>
        <v/>
      </c>
      <c r="L4356" s="12" t="n"/>
    </row>
    <row r="4357" ht="14" customHeight="1" s="72">
      <c r="A4357" s="82" t="n"/>
      <c r="B4357" s="79" t="n"/>
      <c r="C4357" s="69">
        <f>IF(B4357="","",IFERROR(INDEX(Client_List!$B:$B,MATCH(B4357,Client_List!$A:$A,0)),"⚠ NOT FOUND"))</f>
        <v/>
      </c>
      <c r="D4357" s="44" t="n"/>
      <c r="E4357" s="32">
        <f>IF(B4357="","",IFERROR(INDEX(Client_List!$C:$C,MATCH(VALUE(B4357),Client_List!$A:$A,0)),""))</f>
        <v/>
      </c>
      <c r="F4357" s="53">
        <f>IF(B4357="","",IFERROR(INDEX(Client_List!$D:$D,MATCH(VALUE(B4357),Client_List!$A:$A,0)),""))</f>
        <v/>
      </c>
      <c r="G4357" s="53">
        <f>IF(B4357="","",IFERROR(INDEX(Client_List!$K:$K,MATCH(VALUE(B4357),Client_List!$A:$A,0)),""))</f>
        <v/>
      </c>
      <c r="H4357" s="32">
        <f>IF(B4357="","",IFERROR(INDEX(Client_List!$J:$J,MATCH(VALUE(B4357),Client_List!$A:$A,0)),""))</f>
        <v/>
      </c>
      <c r="I4357" s="70">
        <f>IF(B4357="","",IFERROR(A4357-LOOKUP(2,1/($B$4:$B4356=B4357),$A$4:$A4356),""))</f>
        <v/>
      </c>
      <c r="J4357" s="32">
        <f>IF(B4357="","",IFERROR(D4357/I4357,""))</f>
        <v/>
      </c>
      <c r="K4357" s="71">
        <f>IF(B4357="","",IFERROR(AVERAGEIFS($J$4:$J4357,$B$4:$B4357,B4357,$J$4:$J4357,"&gt;"&amp;0),""))</f>
        <v/>
      </c>
      <c r="L4357" s="11" t="n"/>
    </row>
    <row r="4358" ht="14" customHeight="1" s="72">
      <c r="A4358" s="83" t="n"/>
      <c r="B4358" s="81" t="n"/>
      <c r="C4358" s="69">
        <f>IF(B4358="","",IFERROR(INDEX(Client_List!$B:$B,MATCH(B4358,Client_List!$A:$A,0)),"⚠ NOT FOUND"))</f>
        <v/>
      </c>
      <c r="D4358" s="45" t="n"/>
      <c r="E4358" s="32">
        <f>IF(B4358="","",IFERROR(INDEX(Client_List!$C:$C,MATCH(VALUE(B4358),Client_List!$A:$A,0)),""))</f>
        <v/>
      </c>
      <c r="F4358" s="53">
        <f>IF(B4358="","",IFERROR(INDEX(Client_List!$D:$D,MATCH(VALUE(B4358),Client_List!$A:$A,0)),""))</f>
        <v/>
      </c>
      <c r="G4358" s="53">
        <f>IF(B4358="","",IFERROR(INDEX(Client_List!$K:$K,MATCH(VALUE(B4358),Client_List!$A:$A,0)),""))</f>
        <v/>
      </c>
      <c r="H4358" s="32">
        <f>IF(B4358="","",IFERROR(INDEX(Client_List!$J:$J,MATCH(VALUE(B4358),Client_List!$A:$A,0)),""))</f>
        <v/>
      </c>
      <c r="I4358" s="70">
        <f>IF(B4358="","",IFERROR(A4358-LOOKUP(2,1/($B$4:$B4357=B4358),$A$4:$A4357),""))</f>
        <v/>
      </c>
      <c r="J4358" s="32">
        <f>IF(B4358="","",IFERROR(D4358/I4358,""))</f>
        <v/>
      </c>
      <c r="K4358" s="71">
        <f>IF(B4358="","",IFERROR(AVERAGEIFS($J$4:$J4358,$B$4:$B4358,B4358,$J$4:$J4358,"&gt;"&amp;0),""))</f>
        <v/>
      </c>
      <c r="L4358" s="12" t="n"/>
    </row>
    <row r="4359" ht="14" customHeight="1" s="72">
      <c r="A4359" s="82" t="n"/>
      <c r="B4359" s="79" t="n"/>
      <c r="C4359" s="69">
        <f>IF(B4359="","",IFERROR(INDEX(Client_List!$B:$B,MATCH(B4359,Client_List!$A:$A,0)),"⚠ NOT FOUND"))</f>
        <v/>
      </c>
      <c r="D4359" s="44" t="n"/>
      <c r="E4359" s="32">
        <f>IF(B4359="","",IFERROR(INDEX(Client_List!$C:$C,MATCH(VALUE(B4359),Client_List!$A:$A,0)),""))</f>
        <v/>
      </c>
      <c r="F4359" s="53">
        <f>IF(B4359="","",IFERROR(INDEX(Client_List!$D:$D,MATCH(VALUE(B4359),Client_List!$A:$A,0)),""))</f>
        <v/>
      </c>
      <c r="G4359" s="53">
        <f>IF(B4359="","",IFERROR(INDEX(Client_List!$K:$K,MATCH(VALUE(B4359),Client_List!$A:$A,0)),""))</f>
        <v/>
      </c>
      <c r="H4359" s="32">
        <f>IF(B4359="","",IFERROR(INDEX(Client_List!$J:$J,MATCH(VALUE(B4359),Client_List!$A:$A,0)),""))</f>
        <v/>
      </c>
      <c r="I4359" s="70">
        <f>IF(B4359="","",IFERROR(A4359-LOOKUP(2,1/($B$4:$B4358=B4359),$A$4:$A4358),""))</f>
        <v/>
      </c>
      <c r="J4359" s="32">
        <f>IF(B4359="","",IFERROR(D4359/I4359,""))</f>
        <v/>
      </c>
      <c r="K4359" s="71">
        <f>IF(B4359="","",IFERROR(AVERAGEIFS($J$4:$J4359,$B$4:$B4359,B4359,$J$4:$J4359,"&gt;"&amp;0),""))</f>
        <v/>
      </c>
      <c r="L4359" s="11" t="n"/>
    </row>
    <row r="4360" ht="14" customHeight="1" s="72">
      <c r="A4360" s="83" t="n"/>
      <c r="B4360" s="81" t="n"/>
      <c r="C4360" s="69">
        <f>IF(B4360="","",IFERROR(INDEX(Client_List!$B:$B,MATCH(B4360,Client_List!$A:$A,0)),"⚠ NOT FOUND"))</f>
        <v/>
      </c>
      <c r="D4360" s="45" t="n"/>
      <c r="E4360" s="32">
        <f>IF(B4360="","",IFERROR(INDEX(Client_List!$C:$C,MATCH(VALUE(B4360),Client_List!$A:$A,0)),""))</f>
        <v/>
      </c>
      <c r="F4360" s="53">
        <f>IF(B4360="","",IFERROR(INDEX(Client_List!$D:$D,MATCH(VALUE(B4360),Client_List!$A:$A,0)),""))</f>
        <v/>
      </c>
      <c r="G4360" s="53">
        <f>IF(B4360="","",IFERROR(INDEX(Client_List!$K:$K,MATCH(VALUE(B4360),Client_List!$A:$A,0)),""))</f>
        <v/>
      </c>
      <c r="H4360" s="32">
        <f>IF(B4360="","",IFERROR(INDEX(Client_List!$J:$J,MATCH(VALUE(B4360),Client_List!$A:$A,0)),""))</f>
        <v/>
      </c>
      <c r="I4360" s="70">
        <f>IF(B4360="","",IFERROR(A4360-LOOKUP(2,1/($B$4:$B4359=B4360),$A$4:$A4359),""))</f>
        <v/>
      </c>
      <c r="J4360" s="32">
        <f>IF(B4360="","",IFERROR(D4360/I4360,""))</f>
        <v/>
      </c>
      <c r="K4360" s="71">
        <f>IF(B4360="","",IFERROR(AVERAGEIFS($J$4:$J4360,$B$4:$B4360,B4360,$J$4:$J4360,"&gt;"&amp;0),""))</f>
        <v/>
      </c>
      <c r="L4360" s="12" t="n"/>
    </row>
    <row r="4361" ht="14" customHeight="1" s="72">
      <c r="A4361" s="82" t="n"/>
      <c r="B4361" s="79" t="n"/>
      <c r="C4361" s="69">
        <f>IF(B4361="","",IFERROR(INDEX(Client_List!$B:$B,MATCH(B4361,Client_List!$A:$A,0)),"⚠ NOT FOUND"))</f>
        <v/>
      </c>
      <c r="D4361" s="44" t="n"/>
      <c r="E4361" s="32">
        <f>IF(B4361="","",IFERROR(INDEX(Client_List!$C:$C,MATCH(VALUE(B4361),Client_List!$A:$A,0)),""))</f>
        <v/>
      </c>
      <c r="F4361" s="53">
        <f>IF(B4361="","",IFERROR(INDEX(Client_List!$D:$D,MATCH(VALUE(B4361),Client_List!$A:$A,0)),""))</f>
        <v/>
      </c>
      <c r="G4361" s="53">
        <f>IF(B4361="","",IFERROR(INDEX(Client_List!$K:$K,MATCH(VALUE(B4361),Client_List!$A:$A,0)),""))</f>
        <v/>
      </c>
      <c r="H4361" s="32">
        <f>IF(B4361="","",IFERROR(INDEX(Client_List!$J:$J,MATCH(VALUE(B4361),Client_List!$A:$A,0)),""))</f>
        <v/>
      </c>
      <c r="I4361" s="70">
        <f>IF(B4361="","",IFERROR(A4361-LOOKUP(2,1/($B$4:$B4360=B4361),$A$4:$A4360),""))</f>
        <v/>
      </c>
      <c r="J4361" s="32">
        <f>IF(B4361="","",IFERROR(D4361/I4361,""))</f>
        <v/>
      </c>
      <c r="K4361" s="71">
        <f>IF(B4361="","",IFERROR(AVERAGEIFS($J$4:$J4361,$B$4:$B4361,B4361,$J$4:$J4361,"&gt;"&amp;0),""))</f>
        <v/>
      </c>
      <c r="L4361" s="11" t="n"/>
    </row>
    <row r="4362" ht="14" customHeight="1" s="72">
      <c r="A4362" s="83" t="n"/>
      <c r="B4362" s="81" t="n"/>
      <c r="C4362" s="69">
        <f>IF(B4362="","",IFERROR(INDEX(Client_List!$B:$B,MATCH(B4362,Client_List!$A:$A,0)),"⚠ NOT FOUND"))</f>
        <v/>
      </c>
      <c r="D4362" s="45" t="n"/>
      <c r="E4362" s="32">
        <f>IF(B4362="","",IFERROR(INDEX(Client_List!$C:$C,MATCH(VALUE(B4362),Client_List!$A:$A,0)),""))</f>
        <v/>
      </c>
      <c r="F4362" s="53">
        <f>IF(B4362="","",IFERROR(INDEX(Client_List!$D:$D,MATCH(VALUE(B4362),Client_List!$A:$A,0)),""))</f>
        <v/>
      </c>
      <c r="G4362" s="53">
        <f>IF(B4362="","",IFERROR(INDEX(Client_List!$K:$K,MATCH(VALUE(B4362),Client_List!$A:$A,0)),""))</f>
        <v/>
      </c>
      <c r="H4362" s="32">
        <f>IF(B4362="","",IFERROR(INDEX(Client_List!$J:$J,MATCH(VALUE(B4362),Client_List!$A:$A,0)),""))</f>
        <v/>
      </c>
      <c r="I4362" s="70">
        <f>IF(B4362="","",IFERROR(A4362-LOOKUP(2,1/($B$4:$B4361=B4362),$A$4:$A4361),""))</f>
        <v/>
      </c>
      <c r="J4362" s="32">
        <f>IF(B4362="","",IFERROR(D4362/I4362,""))</f>
        <v/>
      </c>
      <c r="K4362" s="71">
        <f>IF(B4362="","",IFERROR(AVERAGEIFS($J$4:$J4362,$B$4:$B4362,B4362,$J$4:$J4362,"&gt;"&amp;0),""))</f>
        <v/>
      </c>
      <c r="L4362" s="12" t="n"/>
    </row>
    <row r="4363" ht="14" customHeight="1" s="72">
      <c r="A4363" s="82" t="n"/>
      <c r="B4363" s="79" t="n"/>
      <c r="C4363" s="69">
        <f>IF(B4363="","",IFERROR(INDEX(Client_List!$B:$B,MATCH(B4363,Client_List!$A:$A,0)),"⚠ NOT FOUND"))</f>
        <v/>
      </c>
      <c r="D4363" s="44" t="n"/>
      <c r="E4363" s="32">
        <f>IF(B4363="","",IFERROR(INDEX(Client_List!$C:$C,MATCH(VALUE(B4363),Client_List!$A:$A,0)),""))</f>
        <v/>
      </c>
      <c r="F4363" s="53">
        <f>IF(B4363="","",IFERROR(INDEX(Client_List!$D:$D,MATCH(VALUE(B4363),Client_List!$A:$A,0)),""))</f>
        <v/>
      </c>
      <c r="G4363" s="53">
        <f>IF(B4363="","",IFERROR(INDEX(Client_List!$K:$K,MATCH(VALUE(B4363),Client_List!$A:$A,0)),""))</f>
        <v/>
      </c>
      <c r="H4363" s="32">
        <f>IF(B4363="","",IFERROR(INDEX(Client_List!$J:$J,MATCH(VALUE(B4363),Client_List!$A:$A,0)),""))</f>
        <v/>
      </c>
      <c r="I4363" s="70">
        <f>IF(B4363="","",IFERROR(A4363-LOOKUP(2,1/($B$4:$B4362=B4363),$A$4:$A4362),""))</f>
        <v/>
      </c>
      <c r="J4363" s="32">
        <f>IF(B4363="","",IFERROR(D4363/I4363,""))</f>
        <v/>
      </c>
      <c r="K4363" s="71">
        <f>IF(B4363="","",IFERROR(AVERAGEIFS($J$4:$J4363,$B$4:$B4363,B4363,$J$4:$J4363,"&gt;"&amp;0),""))</f>
        <v/>
      </c>
      <c r="L4363" s="11" t="n"/>
    </row>
    <row r="4364" ht="14" customHeight="1" s="72">
      <c r="A4364" s="83" t="n"/>
      <c r="B4364" s="81" t="n"/>
      <c r="C4364" s="69">
        <f>IF(B4364="","",IFERROR(INDEX(Client_List!$B:$B,MATCH(B4364,Client_List!$A:$A,0)),"⚠ NOT FOUND"))</f>
        <v/>
      </c>
      <c r="D4364" s="45" t="n"/>
      <c r="E4364" s="32">
        <f>IF(B4364="","",IFERROR(INDEX(Client_List!$C:$C,MATCH(VALUE(B4364),Client_List!$A:$A,0)),""))</f>
        <v/>
      </c>
      <c r="F4364" s="53">
        <f>IF(B4364="","",IFERROR(INDEX(Client_List!$D:$D,MATCH(VALUE(B4364),Client_List!$A:$A,0)),""))</f>
        <v/>
      </c>
      <c r="G4364" s="53">
        <f>IF(B4364="","",IFERROR(INDEX(Client_List!$K:$K,MATCH(VALUE(B4364),Client_List!$A:$A,0)),""))</f>
        <v/>
      </c>
      <c r="H4364" s="32">
        <f>IF(B4364="","",IFERROR(INDEX(Client_List!$J:$J,MATCH(VALUE(B4364),Client_List!$A:$A,0)),""))</f>
        <v/>
      </c>
      <c r="I4364" s="70">
        <f>IF(B4364="","",IFERROR(A4364-LOOKUP(2,1/($B$4:$B4363=B4364),$A$4:$A4363),""))</f>
        <v/>
      </c>
      <c r="J4364" s="32">
        <f>IF(B4364="","",IFERROR(D4364/I4364,""))</f>
        <v/>
      </c>
      <c r="K4364" s="71">
        <f>IF(B4364="","",IFERROR(AVERAGEIFS($J$4:$J4364,$B$4:$B4364,B4364,$J$4:$J4364,"&gt;"&amp;0),""))</f>
        <v/>
      </c>
      <c r="L4364" s="12" t="n"/>
    </row>
    <row r="4365" ht="14" customHeight="1" s="72">
      <c r="A4365" s="82" t="n"/>
      <c r="B4365" s="79" t="n"/>
      <c r="C4365" s="69">
        <f>IF(B4365="","",IFERROR(INDEX(Client_List!$B:$B,MATCH(B4365,Client_List!$A:$A,0)),"⚠ NOT FOUND"))</f>
        <v/>
      </c>
      <c r="D4365" s="44" t="n"/>
      <c r="E4365" s="32">
        <f>IF(B4365="","",IFERROR(INDEX(Client_List!$C:$C,MATCH(VALUE(B4365),Client_List!$A:$A,0)),""))</f>
        <v/>
      </c>
      <c r="F4365" s="53">
        <f>IF(B4365="","",IFERROR(INDEX(Client_List!$D:$D,MATCH(VALUE(B4365),Client_List!$A:$A,0)),""))</f>
        <v/>
      </c>
      <c r="G4365" s="53">
        <f>IF(B4365="","",IFERROR(INDEX(Client_List!$K:$K,MATCH(VALUE(B4365),Client_List!$A:$A,0)),""))</f>
        <v/>
      </c>
      <c r="H4365" s="32">
        <f>IF(B4365="","",IFERROR(INDEX(Client_List!$J:$J,MATCH(VALUE(B4365),Client_List!$A:$A,0)),""))</f>
        <v/>
      </c>
      <c r="I4365" s="70">
        <f>IF(B4365="","",IFERROR(A4365-LOOKUP(2,1/($B$4:$B4364=B4365),$A$4:$A4364),""))</f>
        <v/>
      </c>
      <c r="J4365" s="32">
        <f>IF(B4365="","",IFERROR(D4365/I4365,""))</f>
        <v/>
      </c>
      <c r="K4365" s="71">
        <f>IF(B4365="","",IFERROR(AVERAGEIFS($J$4:$J4365,$B$4:$B4365,B4365,$J$4:$J4365,"&gt;"&amp;0),""))</f>
        <v/>
      </c>
      <c r="L4365" s="11" t="n"/>
    </row>
    <row r="4366" ht="14" customHeight="1" s="72">
      <c r="A4366" s="83" t="n"/>
      <c r="B4366" s="81" t="n"/>
      <c r="C4366" s="69">
        <f>IF(B4366="","",IFERROR(INDEX(Client_List!$B:$B,MATCH(B4366,Client_List!$A:$A,0)),"⚠ NOT FOUND"))</f>
        <v/>
      </c>
      <c r="D4366" s="45" t="n"/>
      <c r="E4366" s="32">
        <f>IF(B4366="","",IFERROR(INDEX(Client_List!$C:$C,MATCH(VALUE(B4366),Client_List!$A:$A,0)),""))</f>
        <v/>
      </c>
      <c r="F4366" s="53">
        <f>IF(B4366="","",IFERROR(INDEX(Client_List!$D:$D,MATCH(VALUE(B4366),Client_List!$A:$A,0)),""))</f>
        <v/>
      </c>
      <c r="G4366" s="53">
        <f>IF(B4366="","",IFERROR(INDEX(Client_List!$K:$K,MATCH(VALUE(B4366),Client_List!$A:$A,0)),""))</f>
        <v/>
      </c>
      <c r="H4366" s="32">
        <f>IF(B4366="","",IFERROR(INDEX(Client_List!$J:$J,MATCH(VALUE(B4366),Client_List!$A:$A,0)),""))</f>
        <v/>
      </c>
      <c r="I4366" s="70">
        <f>IF(B4366="","",IFERROR(A4366-LOOKUP(2,1/($B$4:$B4365=B4366),$A$4:$A4365),""))</f>
        <v/>
      </c>
      <c r="J4366" s="32">
        <f>IF(B4366="","",IFERROR(D4366/I4366,""))</f>
        <v/>
      </c>
      <c r="K4366" s="71">
        <f>IF(B4366="","",IFERROR(AVERAGEIFS($J$4:$J4366,$B$4:$B4366,B4366,$J$4:$J4366,"&gt;"&amp;0),""))</f>
        <v/>
      </c>
      <c r="L4366" s="12" t="n"/>
    </row>
    <row r="4367" ht="14" customHeight="1" s="72">
      <c r="A4367" s="82" t="n"/>
      <c r="B4367" s="79" t="n"/>
      <c r="C4367" s="69">
        <f>IF(B4367="","",IFERROR(INDEX(Client_List!$B:$B,MATCH(B4367,Client_List!$A:$A,0)),"⚠ NOT FOUND"))</f>
        <v/>
      </c>
      <c r="D4367" s="44" t="n"/>
      <c r="E4367" s="32">
        <f>IF(B4367="","",IFERROR(INDEX(Client_List!$C:$C,MATCH(VALUE(B4367),Client_List!$A:$A,0)),""))</f>
        <v/>
      </c>
      <c r="F4367" s="53">
        <f>IF(B4367="","",IFERROR(INDEX(Client_List!$D:$D,MATCH(VALUE(B4367),Client_List!$A:$A,0)),""))</f>
        <v/>
      </c>
      <c r="G4367" s="53">
        <f>IF(B4367="","",IFERROR(INDEX(Client_List!$K:$K,MATCH(VALUE(B4367),Client_List!$A:$A,0)),""))</f>
        <v/>
      </c>
      <c r="H4367" s="32">
        <f>IF(B4367="","",IFERROR(INDEX(Client_List!$J:$J,MATCH(VALUE(B4367),Client_List!$A:$A,0)),""))</f>
        <v/>
      </c>
      <c r="I4367" s="70">
        <f>IF(B4367="","",IFERROR(A4367-LOOKUP(2,1/($B$4:$B4366=B4367),$A$4:$A4366),""))</f>
        <v/>
      </c>
      <c r="J4367" s="32">
        <f>IF(B4367="","",IFERROR(D4367/I4367,""))</f>
        <v/>
      </c>
      <c r="K4367" s="71">
        <f>IF(B4367="","",IFERROR(AVERAGEIFS($J$4:$J4367,$B$4:$B4367,B4367,$J$4:$J4367,"&gt;"&amp;0),""))</f>
        <v/>
      </c>
      <c r="L4367" s="11" t="n"/>
    </row>
    <row r="4368" ht="14" customHeight="1" s="72">
      <c r="A4368" s="83" t="n"/>
      <c r="B4368" s="81" t="n"/>
      <c r="C4368" s="69">
        <f>IF(B4368="","",IFERROR(INDEX(Client_List!$B:$B,MATCH(B4368,Client_List!$A:$A,0)),"⚠ NOT FOUND"))</f>
        <v/>
      </c>
      <c r="D4368" s="45" t="n"/>
      <c r="E4368" s="32">
        <f>IF(B4368="","",IFERROR(INDEX(Client_List!$C:$C,MATCH(VALUE(B4368),Client_List!$A:$A,0)),""))</f>
        <v/>
      </c>
      <c r="F4368" s="53">
        <f>IF(B4368="","",IFERROR(INDEX(Client_List!$D:$D,MATCH(VALUE(B4368),Client_List!$A:$A,0)),""))</f>
        <v/>
      </c>
      <c r="G4368" s="53">
        <f>IF(B4368="","",IFERROR(INDEX(Client_List!$K:$K,MATCH(VALUE(B4368),Client_List!$A:$A,0)),""))</f>
        <v/>
      </c>
      <c r="H4368" s="32">
        <f>IF(B4368="","",IFERROR(INDEX(Client_List!$J:$J,MATCH(VALUE(B4368),Client_List!$A:$A,0)),""))</f>
        <v/>
      </c>
      <c r="I4368" s="70">
        <f>IF(B4368="","",IFERROR(A4368-LOOKUP(2,1/($B$4:$B4367=B4368),$A$4:$A4367),""))</f>
        <v/>
      </c>
      <c r="J4368" s="32">
        <f>IF(B4368="","",IFERROR(D4368/I4368,""))</f>
        <v/>
      </c>
      <c r="K4368" s="71">
        <f>IF(B4368="","",IFERROR(AVERAGEIFS($J$4:$J4368,$B$4:$B4368,B4368,$J$4:$J4368,"&gt;"&amp;0),""))</f>
        <v/>
      </c>
      <c r="L4368" s="12" t="n"/>
    </row>
    <row r="4369" ht="14" customHeight="1" s="72">
      <c r="A4369" s="82" t="n"/>
      <c r="B4369" s="79" t="n"/>
      <c r="C4369" s="69">
        <f>IF(B4369="","",IFERROR(INDEX(Client_List!$B:$B,MATCH(B4369,Client_List!$A:$A,0)),"⚠ NOT FOUND"))</f>
        <v/>
      </c>
      <c r="D4369" s="44" t="n"/>
      <c r="E4369" s="32">
        <f>IF(B4369="","",IFERROR(INDEX(Client_List!$C:$C,MATCH(VALUE(B4369),Client_List!$A:$A,0)),""))</f>
        <v/>
      </c>
      <c r="F4369" s="53">
        <f>IF(B4369="","",IFERROR(INDEX(Client_List!$D:$D,MATCH(VALUE(B4369),Client_List!$A:$A,0)),""))</f>
        <v/>
      </c>
      <c r="G4369" s="53">
        <f>IF(B4369="","",IFERROR(INDEX(Client_List!$K:$K,MATCH(VALUE(B4369),Client_List!$A:$A,0)),""))</f>
        <v/>
      </c>
      <c r="H4369" s="32">
        <f>IF(B4369="","",IFERROR(INDEX(Client_List!$J:$J,MATCH(VALUE(B4369),Client_List!$A:$A,0)),""))</f>
        <v/>
      </c>
      <c r="I4369" s="70">
        <f>IF(B4369="","",IFERROR(A4369-LOOKUP(2,1/($B$4:$B4368=B4369),$A$4:$A4368),""))</f>
        <v/>
      </c>
      <c r="J4369" s="32">
        <f>IF(B4369="","",IFERROR(D4369/I4369,""))</f>
        <v/>
      </c>
      <c r="K4369" s="71">
        <f>IF(B4369="","",IFERROR(AVERAGEIFS($J$4:$J4369,$B$4:$B4369,B4369,$J$4:$J4369,"&gt;"&amp;0),""))</f>
        <v/>
      </c>
      <c r="L4369" s="11" t="n"/>
    </row>
    <row r="4370" ht="14" customHeight="1" s="72">
      <c r="A4370" s="83" t="n"/>
      <c r="B4370" s="81" t="n"/>
      <c r="C4370" s="69">
        <f>IF(B4370="","",IFERROR(INDEX(Client_List!$B:$B,MATCH(B4370,Client_List!$A:$A,0)),"⚠ NOT FOUND"))</f>
        <v/>
      </c>
      <c r="D4370" s="45" t="n"/>
      <c r="E4370" s="32">
        <f>IF(B4370="","",IFERROR(INDEX(Client_List!$C:$C,MATCH(VALUE(B4370),Client_List!$A:$A,0)),""))</f>
        <v/>
      </c>
      <c r="F4370" s="53">
        <f>IF(B4370="","",IFERROR(INDEX(Client_List!$D:$D,MATCH(VALUE(B4370),Client_List!$A:$A,0)),""))</f>
        <v/>
      </c>
      <c r="G4370" s="53">
        <f>IF(B4370="","",IFERROR(INDEX(Client_List!$K:$K,MATCH(VALUE(B4370),Client_List!$A:$A,0)),""))</f>
        <v/>
      </c>
      <c r="H4370" s="32">
        <f>IF(B4370="","",IFERROR(INDEX(Client_List!$J:$J,MATCH(VALUE(B4370),Client_List!$A:$A,0)),""))</f>
        <v/>
      </c>
      <c r="I4370" s="70">
        <f>IF(B4370="","",IFERROR(A4370-LOOKUP(2,1/($B$4:$B4369=B4370),$A$4:$A4369),""))</f>
        <v/>
      </c>
      <c r="J4370" s="32">
        <f>IF(B4370="","",IFERROR(D4370/I4370,""))</f>
        <v/>
      </c>
      <c r="K4370" s="71">
        <f>IF(B4370="","",IFERROR(AVERAGEIFS($J$4:$J4370,$B$4:$B4370,B4370,$J$4:$J4370,"&gt;"&amp;0),""))</f>
        <v/>
      </c>
      <c r="L4370" s="12" t="n"/>
    </row>
    <row r="4371" ht="14" customHeight="1" s="72">
      <c r="A4371" s="82" t="n"/>
      <c r="B4371" s="79" t="n"/>
      <c r="C4371" s="69">
        <f>IF(B4371="","",IFERROR(INDEX(Client_List!$B:$B,MATCH(B4371,Client_List!$A:$A,0)),"⚠ NOT FOUND"))</f>
        <v/>
      </c>
      <c r="D4371" s="44" t="n"/>
      <c r="E4371" s="32">
        <f>IF(B4371="","",IFERROR(INDEX(Client_List!$C:$C,MATCH(VALUE(B4371),Client_List!$A:$A,0)),""))</f>
        <v/>
      </c>
      <c r="F4371" s="53">
        <f>IF(B4371="","",IFERROR(INDEX(Client_List!$D:$D,MATCH(VALUE(B4371),Client_List!$A:$A,0)),""))</f>
        <v/>
      </c>
      <c r="G4371" s="53">
        <f>IF(B4371="","",IFERROR(INDEX(Client_List!$K:$K,MATCH(VALUE(B4371),Client_List!$A:$A,0)),""))</f>
        <v/>
      </c>
      <c r="H4371" s="32">
        <f>IF(B4371="","",IFERROR(INDEX(Client_List!$J:$J,MATCH(VALUE(B4371),Client_List!$A:$A,0)),""))</f>
        <v/>
      </c>
      <c r="I4371" s="70">
        <f>IF(B4371="","",IFERROR(A4371-LOOKUP(2,1/($B$4:$B4370=B4371),$A$4:$A4370),""))</f>
        <v/>
      </c>
      <c r="J4371" s="32">
        <f>IF(B4371="","",IFERROR(D4371/I4371,""))</f>
        <v/>
      </c>
      <c r="K4371" s="71">
        <f>IF(B4371="","",IFERROR(AVERAGEIFS($J$4:$J4371,$B$4:$B4371,B4371,$J$4:$J4371,"&gt;"&amp;0),""))</f>
        <v/>
      </c>
      <c r="L4371" s="11" t="n"/>
    </row>
    <row r="4372" ht="14" customHeight="1" s="72">
      <c r="A4372" s="83" t="n"/>
      <c r="B4372" s="81" t="n"/>
      <c r="C4372" s="69">
        <f>IF(B4372="","",IFERROR(INDEX(Client_List!$B:$B,MATCH(B4372,Client_List!$A:$A,0)),"⚠ NOT FOUND"))</f>
        <v/>
      </c>
      <c r="D4372" s="45" t="n"/>
      <c r="E4372" s="32">
        <f>IF(B4372="","",IFERROR(INDEX(Client_List!$C:$C,MATCH(VALUE(B4372),Client_List!$A:$A,0)),""))</f>
        <v/>
      </c>
      <c r="F4372" s="53">
        <f>IF(B4372="","",IFERROR(INDEX(Client_List!$D:$D,MATCH(VALUE(B4372),Client_List!$A:$A,0)),""))</f>
        <v/>
      </c>
      <c r="G4372" s="53">
        <f>IF(B4372="","",IFERROR(INDEX(Client_List!$K:$K,MATCH(VALUE(B4372),Client_List!$A:$A,0)),""))</f>
        <v/>
      </c>
      <c r="H4372" s="32">
        <f>IF(B4372="","",IFERROR(INDEX(Client_List!$J:$J,MATCH(VALUE(B4372),Client_List!$A:$A,0)),""))</f>
        <v/>
      </c>
      <c r="I4372" s="70">
        <f>IF(B4372="","",IFERROR(A4372-LOOKUP(2,1/($B$4:$B4371=B4372),$A$4:$A4371),""))</f>
        <v/>
      </c>
      <c r="J4372" s="32">
        <f>IF(B4372="","",IFERROR(D4372/I4372,""))</f>
        <v/>
      </c>
      <c r="K4372" s="71">
        <f>IF(B4372="","",IFERROR(AVERAGEIFS($J$4:$J4372,$B$4:$B4372,B4372,$J$4:$J4372,"&gt;"&amp;0),""))</f>
        <v/>
      </c>
      <c r="L4372" s="12" t="n"/>
    </row>
    <row r="4373" ht="14" customHeight="1" s="72">
      <c r="A4373" s="82" t="n"/>
      <c r="B4373" s="79" t="n"/>
      <c r="C4373" s="69">
        <f>IF(B4373="","",IFERROR(INDEX(Client_List!$B:$B,MATCH(B4373,Client_List!$A:$A,0)),"⚠ NOT FOUND"))</f>
        <v/>
      </c>
      <c r="D4373" s="44" t="n"/>
      <c r="E4373" s="32">
        <f>IF(B4373="","",IFERROR(INDEX(Client_List!$C:$C,MATCH(VALUE(B4373),Client_List!$A:$A,0)),""))</f>
        <v/>
      </c>
      <c r="F4373" s="53">
        <f>IF(B4373="","",IFERROR(INDEX(Client_List!$D:$D,MATCH(VALUE(B4373),Client_List!$A:$A,0)),""))</f>
        <v/>
      </c>
      <c r="G4373" s="53">
        <f>IF(B4373="","",IFERROR(INDEX(Client_List!$K:$K,MATCH(VALUE(B4373),Client_List!$A:$A,0)),""))</f>
        <v/>
      </c>
      <c r="H4373" s="32">
        <f>IF(B4373="","",IFERROR(INDEX(Client_List!$J:$J,MATCH(VALUE(B4373),Client_List!$A:$A,0)),""))</f>
        <v/>
      </c>
      <c r="I4373" s="70">
        <f>IF(B4373="","",IFERROR(A4373-LOOKUP(2,1/($B$4:$B4372=B4373),$A$4:$A4372),""))</f>
        <v/>
      </c>
      <c r="J4373" s="32">
        <f>IF(B4373="","",IFERROR(D4373/I4373,""))</f>
        <v/>
      </c>
      <c r="K4373" s="71">
        <f>IF(B4373="","",IFERROR(AVERAGEIFS($J$4:$J4373,$B$4:$B4373,B4373,$J$4:$J4373,"&gt;"&amp;0),""))</f>
        <v/>
      </c>
      <c r="L4373" s="11" t="n"/>
    </row>
    <row r="4374" ht="14" customHeight="1" s="72">
      <c r="A4374" s="83" t="n"/>
      <c r="B4374" s="81" t="n"/>
      <c r="C4374" s="69">
        <f>IF(B4374="","",IFERROR(INDEX(Client_List!$B:$B,MATCH(B4374,Client_List!$A:$A,0)),"⚠ NOT FOUND"))</f>
        <v/>
      </c>
      <c r="D4374" s="45" t="n"/>
      <c r="E4374" s="32">
        <f>IF(B4374="","",IFERROR(INDEX(Client_List!$C:$C,MATCH(VALUE(B4374),Client_List!$A:$A,0)),""))</f>
        <v/>
      </c>
      <c r="F4374" s="53">
        <f>IF(B4374="","",IFERROR(INDEX(Client_List!$D:$D,MATCH(VALUE(B4374),Client_List!$A:$A,0)),""))</f>
        <v/>
      </c>
      <c r="G4374" s="53">
        <f>IF(B4374="","",IFERROR(INDEX(Client_List!$K:$K,MATCH(VALUE(B4374),Client_List!$A:$A,0)),""))</f>
        <v/>
      </c>
      <c r="H4374" s="32">
        <f>IF(B4374="","",IFERROR(INDEX(Client_List!$J:$J,MATCH(VALUE(B4374),Client_List!$A:$A,0)),""))</f>
        <v/>
      </c>
      <c r="I4374" s="70">
        <f>IF(B4374="","",IFERROR(A4374-LOOKUP(2,1/($B$4:$B4373=B4374),$A$4:$A4373),""))</f>
        <v/>
      </c>
      <c r="J4374" s="32">
        <f>IF(B4374="","",IFERROR(D4374/I4374,""))</f>
        <v/>
      </c>
      <c r="K4374" s="71">
        <f>IF(B4374="","",IFERROR(AVERAGEIFS($J$4:$J4374,$B$4:$B4374,B4374,$J$4:$J4374,"&gt;"&amp;0),""))</f>
        <v/>
      </c>
      <c r="L4374" s="12" t="n"/>
    </row>
    <row r="4375" ht="14" customHeight="1" s="72">
      <c r="A4375" s="82" t="n"/>
      <c r="B4375" s="79" t="n"/>
      <c r="C4375" s="69">
        <f>IF(B4375="","",IFERROR(INDEX(Client_List!$B:$B,MATCH(B4375,Client_List!$A:$A,0)),"⚠ NOT FOUND"))</f>
        <v/>
      </c>
      <c r="D4375" s="44" t="n"/>
      <c r="E4375" s="32">
        <f>IF(B4375="","",IFERROR(INDEX(Client_List!$C:$C,MATCH(VALUE(B4375),Client_List!$A:$A,0)),""))</f>
        <v/>
      </c>
      <c r="F4375" s="53">
        <f>IF(B4375="","",IFERROR(INDEX(Client_List!$D:$D,MATCH(VALUE(B4375),Client_List!$A:$A,0)),""))</f>
        <v/>
      </c>
      <c r="G4375" s="53">
        <f>IF(B4375="","",IFERROR(INDEX(Client_List!$K:$K,MATCH(VALUE(B4375),Client_List!$A:$A,0)),""))</f>
        <v/>
      </c>
      <c r="H4375" s="32">
        <f>IF(B4375="","",IFERROR(INDEX(Client_List!$J:$J,MATCH(VALUE(B4375),Client_List!$A:$A,0)),""))</f>
        <v/>
      </c>
      <c r="I4375" s="70">
        <f>IF(B4375="","",IFERROR(A4375-LOOKUP(2,1/($B$4:$B4374=B4375),$A$4:$A4374),""))</f>
        <v/>
      </c>
      <c r="J4375" s="32">
        <f>IF(B4375="","",IFERROR(D4375/I4375,""))</f>
        <v/>
      </c>
      <c r="K4375" s="71">
        <f>IF(B4375="","",IFERROR(AVERAGEIFS($J$4:$J4375,$B$4:$B4375,B4375,$J$4:$J4375,"&gt;"&amp;0),""))</f>
        <v/>
      </c>
      <c r="L4375" s="11" t="n"/>
    </row>
    <row r="4376" ht="14" customHeight="1" s="72">
      <c r="A4376" s="83" t="n"/>
      <c r="B4376" s="81" t="n"/>
      <c r="C4376" s="69">
        <f>IF(B4376="","",IFERROR(INDEX(Client_List!$B:$B,MATCH(B4376,Client_List!$A:$A,0)),"⚠ NOT FOUND"))</f>
        <v/>
      </c>
      <c r="D4376" s="45" t="n"/>
      <c r="E4376" s="32">
        <f>IF(B4376="","",IFERROR(INDEX(Client_List!$C:$C,MATCH(VALUE(B4376),Client_List!$A:$A,0)),""))</f>
        <v/>
      </c>
      <c r="F4376" s="53">
        <f>IF(B4376="","",IFERROR(INDEX(Client_List!$D:$D,MATCH(VALUE(B4376),Client_List!$A:$A,0)),""))</f>
        <v/>
      </c>
      <c r="G4376" s="53">
        <f>IF(B4376="","",IFERROR(INDEX(Client_List!$K:$K,MATCH(VALUE(B4376),Client_List!$A:$A,0)),""))</f>
        <v/>
      </c>
      <c r="H4376" s="32">
        <f>IF(B4376="","",IFERROR(INDEX(Client_List!$J:$J,MATCH(VALUE(B4376),Client_List!$A:$A,0)),""))</f>
        <v/>
      </c>
      <c r="I4376" s="70">
        <f>IF(B4376="","",IFERROR(A4376-LOOKUP(2,1/($B$4:$B4375=B4376),$A$4:$A4375),""))</f>
        <v/>
      </c>
      <c r="J4376" s="32">
        <f>IF(B4376="","",IFERROR(D4376/I4376,""))</f>
        <v/>
      </c>
      <c r="K4376" s="71">
        <f>IF(B4376="","",IFERROR(AVERAGEIFS($J$4:$J4376,$B$4:$B4376,B4376,$J$4:$J4376,"&gt;"&amp;0),""))</f>
        <v/>
      </c>
      <c r="L4376" s="12" t="n"/>
    </row>
    <row r="4377" ht="14" customHeight="1" s="72">
      <c r="A4377" s="82" t="n"/>
      <c r="B4377" s="79" t="n"/>
      <c r="C4377" s="69">
        <f>IF(B4377="","",IFERROR(INDEX(Client_List!$B:$B,MATCH(B4377,Client_List!$A:$A,0)),"⚠ NOT FOUND"))</f>
        <v/>
      </c>
      <c r="D4377" s="44" t="n"/>
      <c r="E4377" s="32">
        <f>IF(B4377="","",IFERROR(INDEX(Client_List!$C:$C,MATCH(VALUE(B4377),Client_List!$A:$A,0)),""))</f>
        <v/>
      </c>
      <c r="F4377" s="53">
        <f>IF(B4377="","",IFERROR(INDEX(Client_List!$D:$D,MATCH(VALUE(B4377),Client_List!$A:$A,0)),""))</f>
        <v/>
      </c>
      <c r="G4377" s="53">
        <f>IF(B4377="","",IFERROR(INDEX(Client_List!$K:$K,MATCH(VALUE(B4377),Client_List!$A:$A,0)),""))</f>
        <v/>
      </c>
      <c r="H4377" s="32">
        <f>IF(B4377="","",IFERROR(INDEX(Client_List!$J:$J,MATCH(VALUE(B4377),Client_List!$A:$A,0)),""))</f>
        <v/>
      </c>
      <c r="I4377" s="70">
        <f>IF(B4377="","",IFERROR(A4377-LOOKUP(2,1/($B$4:$B4376=B4377),$A$4:$A4376),""))</f>
        <v/>
      </c>
      <c r="J4377" s="32">
        <f>IF(B4377="","",IFERROR(D4377/I4377,""))</f>
        <v/>
      </c>
      <c r="K4377" s="71">
        <f>IF(B4377="","",IFERROR(AVERAGEIFS($J$4:$J4377,$B$4:$B4377,B4377,$J$4:$J4377,"&gt;"&amp;0),""))</f>
        <v/>
      </c>
      <c r="L4377" s="11" t="n"/>
    </row>
    <row r="4378" ht="14" customHeight="1" s="72">
      <c r="A4378" s="83" t="n"/>
      <c r="B4378" s="81" t="n"/>
      <c r="C4378" s="69">
        <f>IF(B4378="","",IFERROR(INDEX(Client_List!$B:$B,MATCH(B4378,Client_List!$A:$A,0)),"⚠ NOT FOUND"))</f>
        <v/>
      </c>
      <c r="D4378" s="45" t="n"/>
      <c r="E4378" s="32">
        <f>IF(B4378="","",IFERROR(INDEX(Client_List!$C:$C,MATCH(VALUE(B4378),Client_List!$A:$A,0)),""))</f>
        <v/>
      </c>
      <c r="F4378" s="53">
        <f>IF(B4378="","",IFERROR(INDEX(Client_List!$D:$D,MATCH(VALUE(B4378),Client_List!$A:$A,0)),""))</f>
        <v/>
      </c>
      <c r="G4378" s="53">
        <f>IF(B4378="","",IFERROR(INDEX(Client_List!$K:$K,MATCH(VALUE(B4378),Client_List!$A:$A,0)),""))</f>
        <v/>
      </c>
      <c r="H4378" s="32">
        <f>IF(B4378="","",IFERROR(INDEX(Client_List!$J:$J,MATCH(VALUE(B4378),Client_List!$A:$A,0)),""))</f>
        <v/>
      </c>
      <c r="I4378" s="70">
        <f>IF(B4378="","",IFERROR(A4378-LOOKUP(2,1/($B$4:$B4377=B4378),$A$4:$A4377),""))</f>
        <v/>
      </c>
      <c r="J4378" s="32">
        <f>IF(B4378="","",IFERROR(D4378/I4378,""))</f>
        <v/>
      </c>
      <c r="K4378" s="71">
        <f>IF(B4378="","",IFERROR(AVERAGEIFS($J$4:$J4378,$B$4:$B4378,B4378,$J$4:$J4378,"&gt;"&amp;0),""))</f>
        <v/>
      </c>
      <c r="L4378" s="12" t="n"/>
    </row>
    <row r="4379" ht="14" customHeight="1" s="72">
      <c r="A4379" s="82" t="n"/>
      <c r="B4379" s="79" t="n"/>
      <c r="C4379" s="69">
        <f>IF(B4379="","",IFERROR(INDEX(Client_List!$B:$B,MATCH(B4379,Client_List!$A:$A,0)),"⚠ NOT FOUND"))</f>
        <v/>
      </c>
      <c r="D4379" s="44" t="n"/>
      <c r="E4379" s="32">
        <f>IF(B4379="","",IFERROR(INDEX(Client_List!$C:$C,MATCH(VALUE(B4379),Client_List!$A:$A,0)),""))</f>
        <v/>
      </c>
      <c r="F4379" s="53">
        <f>IF(B4379="","",IFERROR(INDEX(Client_List!$D:$D,MATCH(VALUE(B4379),Client_List!$A:$A,0)),""))</f>
        <v/>
      </c>
      <c r="G4379" s="53">
        <f>IF(B4379="","",IFERROR(INDEX(Client_List!$K:$K,MATCH(VALUE(B4379),Client_List!$A:$A,0)),""))</f>
        <v/>
      </c>
      <c r="H4379" s="32">
        <f>IF(B4379="","",IFERROR(INDEX(Client_List!$J:$J,MATCH(VALUE(B4379),Client_List!$A:$A,0)),""))</f>
        <v/>
      </c>
      <c r="I4379" s="70">
        <f>IF(B4379="","",IFERROR(A4379-LOOKUP(2,1/($B$4:$B4378=B4379),$A$4:$A4378),""))</f>
        <v/>
      </c>
      <c r="J4379" s="32">
        <f>IF(B4379="","",IFERROR(D4379/I4379,""))</f>
        <v/>
      </c>
      <c r="K4379" s="71">
        <f>IF(B4379="","",IFERROR(AVERAGEIFS($J$4:$J4379,$B$4:$B4379,B4379,$J$4:$J4379,"&gt;"&amp;0),""))</f>
        <v/>
      </c>
      <c r="L4379" s="11" t="n"/>
    </row>
    <row r="4380" ht="14" customHeight="1" s="72">
      <c r="A4380" s="83" t="n"/>
      <c r="B4380" s="81" t="n"/>
      <c r="C4380" s="69">
        <f>IF(B4380="","",IFERROR(INDEX(Client_List!$B:$B,MATCH(B4380,Client_List!$A:$A,0)),"⚠ NOT FOUND"))</f>
        <v/>
      </c>
      <c r="D4380" s="45" t="n"/>
      <c r="E4380" s="32">
        <f>IF(B4380="","",IFERROR(INDEX(Client_List!$C:$C,MATCH(VALUE(B4380),Client_List!$A:$A,0)),""))</f>
        <v/>
      </c>
      <c r="F4380" s="53">
        <f>IF(B4380="","",IFERROR(INDEX(Client_List!$D:$D,MATCH(VALUE(B4380),Client_List!$A:$A,0)),""))</f>
        <v/>
      </c>
      <c r="G4380" s="53">
        <f>IF(B4380="","",IFERROR(INDEX(Client_List!$K:$K,MATCH(VALUE(B4380),Client_List!$A:$A,0)),""))</f>
        <v/>
      </c>
      <c r="H4380" s="32">
        <f>IF(B4380="","",IFERROR(INDEX(Client_List!$J:$J,MATCH(VALUE(B4380),Client_List!$A:$A,0)),""))</f>
        <v/>
      </c>
      <c r="I4380" s="70">
        <f>IF(B4380="","",IFERROR(A4380-LOOKUP(2,1/($B$4:$B4379=B4380),$A$4:$A4379),""))</f>
        <v/>
      </c>
      <c r="J4380" s="32">
        <f>IF(B4380="","",IFERROR(D4380/I4380,""))</f>
        <v/>
      </c>
      <c r="K4380" s="71">
        <f>IF(B4380="","",IFERROR(AVERAGEIFS($J$4:$J4380,$B$4:$B4380,B4380,$J$4:$J4380,"&gt;"&amp;0),""))</f>
        <v/>
      </c>
      <c r="L4380" s="12" t="n"/>
    </row>
    <row r="4381" ht="14" customHeight="1" s="72">
      <c r="A4381" s="82" t="n"/>
      <c r="B4381" s="79" t="n"/>
      <c r="C4381" s="69">
        <f>IF(B4381="","",IFERROR(INDEX(Client_List!$B:$B,MATCH(B4381,Client_List!$A:$A,0)),"⚠ NOT FOUND"))</f>
        <v/>
      </c>
      <c r="D4381" s="44" t="n"/>
      <c r="E4381" s="32">
        <f>IF(B4381="","",IFERROR(INDEX(Client_List!$C:$C,MATCH(VALUE(B4381),Client_List!$A:$A,0)),""))</f>
        <v/>
      </c>
      <c r="F4381" s="53">
        <f>IF(B4381="","",IFERROR(INDEX(Client_List!$D:$D,MATCH(VALUE(B4381),Client_List!$A:$A,0)),""))</f>
        <v/>
      </c>
      <c r="G4381" s="53">
        <f>IF(B4381="","",IFERROR(INDEX(Client_List!$K:$K,MATCH(VALUE(B4381),Client_List!$A:$A,0)),""))</f>
        <v/>
      </c>
      <c r="H4381" s="32">
        <f>IF(B4381="","",IFERROR(INDEX(Client_List!$J:$J,MATCH(VALUE(B4381),Client_List!$A:$A,0)),""))</f>
        <v/>
      </c>
      <c r="I4381" s="70">
        <f>IF(B4381="","",IFERROR(A4381-LOOKUP(2,1/($B$4:$B4380=B4381),$A$4:$A4380),""))</f>
        <v/>
      </c>
      <c r="J4381" s="32">
        <f>IF(B4381="","",IFERROR(D4381/I4381,""))</f>
        <v/>
      </c>
      <c r="K4381" s="71">
        <f>IF(B4381="","",IFERROR(AVERAGEIFS($J$4:$J4381,$B$4:$B4381,B4381,$J$4:$J4381,"&gt;"&amp;0),""))</f>
        <v/>
      </c>
      <c r="L4381" s="11" t="n"/>
    </row>
    <row r="4382" ht="14" customHeight="1" s="72">
      <c r="A4382" s="83" t="n"/>
      <c r="B4382" s="81" t="n"/>
      <c r="C4382" s="69">
        <f>IF(B4382="","",IFERROR(INDEX(Client_List!$B:$B,MATCH(B4382,Client_List!$A:$A,0)),"⚠ NOT FOUND"))</f>
        <v/>
      </c>
      <c r="D4382" s="45" t="n"/>
      <c r="E4382" s="32">
        <f>IF(B4382="","",IFERROR(INDEX(Client_List!$C:$C,MATCH(VALUE(B4382),Client_List!$A:$A,0)),""))</f>
        <v/>
      </c>
      <c r="F4382" s="53">
        <f>IF(B4382="","",IFERROR(INDEX(Client_List!$D:$D,MATCH(VALUE(B4382),Client_List!$A:$A,0)),""))</f>
        <v/>
      </c>
      <c r="G4382" s="53">
        <f>IF(B4382="","",IFERROR(INDEX(Client_List!$K:$K,MATCH(VALUE(B4382),Client_List!$A:$A,0)),""))</f>
        <v/>
      </c>
      <c r="H4382" s="32">
        <f>IF(B4382="","",IFERROR(INDEX(Client_List!$J:$J,MATCH(VALUE(B4382),Client_List!$A:$A,0)),""))</f>
        <v/>
      </c>
      <c r="I4382" s="70">
        <f>IF(B4382="","",IFERROR(A4382-LOOKUP(2,1/($B$4:$B4381=B4382),$A$4:$A4381),""))</f>
        <v/>
      </c>
      <c r="J4382" s="32">
        <f>IF(B4382="","",IFERROR(D4382/I4382,""))</f>
        <v/>
      </c>
      <c r="K4382" s="71">
        <f>IF(B4382="","",IFERROR(AVERAGEIFS($J$4:$J4382,$B$4:$B4382,B4382,$J$4:$J4382,"&gt;"&amp;0),""))</f>
        <v/>
      </c>
      <c r="L4382" s="12" t="n"/>
    </row>
    <row r="4383" ht="14" customHeight="1" s="72">
      <c r="A4383" s="82" t="n"/>
      <c r="B4383" s="79" t="n"/>
      <c r="C4383" s="69">
        <f>IF(B4383="","",IFERROR(INDEX(Client_List!$B:$B,MATCH(B4383,Client_List!$A:$A,0)),"⚠ NOT FOUND"))</f>
        <v/>
      </c>
      <c r="D4383" s="44" t="n"/>
      <c r="E4383" s="32">
        <f>IF(B4383="","",IFERROR(INDEX(Client_List!$C:$C,MATCH(VALUE(B4383),Client_List!$A:$A,0)),""))</f>
        <v/>
      </c>
      <c r="F4383" s="53">
        <f>IF(B4383="","",IFERROR(INDEX(Client_List!$D:$D,MATCH(VALUE(B4383),Client_List!$A:$A,0)),""))</f>
        <v/>
      </c>
      <c r="G4383" s="53">
        <f>IF(B4383="","",IFERROR(INDEX(Client_List!$K:$K,MATCH(VALUE(B4383),Client_List!$A:$A,0)),""))</f>
        <v/>
      </c>
      <c r="H4383" s="32">
        <f>IF(B4383="","",IFERROR(INDEX(Client_List!$J:$J,MATCH(VALUE(B4383),Client_List!$A:$A,0)),""))</f>
        <v/>
      </c>
      <c r="I4383" s="70">
        <f>IF(B4383="","",IFERROR(A4383-LOOKUP(2,1/($B$4:$B4382=B4383),$A$4:$A4382),""))</f>
        <v/>
      </c>
      <c r="J4383" s="32">
        <f>IF(B4383="","",IFERROR(D4383/I4383,""))</f>
        <v/>
      </c>
      <c r="K4383" s="71">
        <f>IF(B4383="","",IFERROR(AVERAGEIFS($J$4:$J4383,$B$4:$B4383,B4383,$J$4:$J4383,"&gt;"&amp;0),""))</f>
        <v/>
      </c>
      <c r="L4383" s="11" t="n"/>
    </row>
    <row r="4384" ht="14" customHeight="1" s="72">
      <c r="A4384" s="83" t="n"/>
      <c r="B4384" s="81" t="n"/>
      <c r="C4384" s="69">
        <f>IF(B4384="","",IFERROR(INDEX(Client_List!$B:$B,MATCH(B4384,Client_List!$A:$A,0)),"⚠ NOT FOUND"))</f>
        <v/>
      </c>
      <c r="D4384" s="45" t="n"/>
      <c r="E4384" s="32">
        <f>IF(B4384="","",IFERROR(INDEX(Client_List!$C:$C,MATCH(VALUE(B4384),Client_List!$A:$A,0)),""))</f>
        <v/>
      </c>
      <c r="F4384" s="53">
        <f>IF(B4384="","",IFERROR(INDEX(Client_List!$D:$D,MATCH(VALUE(B4384),Client_List!$A:$A,0)),""))</f>
        <v/>
      </c>
      <c r="G4384" s="53">
        <f>IF(B4384="","",IFERROR(INDEX(Client_List!$K:$K,MATCH(VALUE(B4384),Client_List!$A:$A,0)),""))</f>
        <v/>
      </c>
      <c r="H4384" s="32">
        <f>IF(B4384="","",IFERROR(INDEX(Client_List!$J:$J,MATCH(VALUE(B4384),Client_List!$A:$A,0)),""))</f>
        <v/>
      </c>
      <c r="I4384" s="70">
        <f>IF(B4384="","",IFERROR(A4384-LOOKUP(2,1/($B$4:$B4383=B4384),$A$4:$A4383),""))</f>
        <v/>
      </c>
      <c r="J4384" s="32">
        <f>IF(B4384="","",IFERROR(D4384/I4384,""))</f>
        <v/>
      </c>
      <c r="K4384" s="71">
        <f>IF(B4384="","",IFERROR(AVERAGEIFS($J$4:$J4384,$B$4:$B4384,B4384,$J$4:$J4384,"&gt;"&amp;0),""))</f>
        <v/>
      </c>
      <c r="L4384" s="12" t="n"/>
    </row>
    <row r="4385" ht="14" customHeight="1" s="72">
      <c r="A4385" s="82" t="n"/>
      <c r="B4385" s="79" t="n"/>
      <c r="C4385" s="69">
        <f>IF(B4385="","",IFERROR(INDEX(Client_List!$B:$B,MATCH(B4385,Client_List!$A:$A,0)),"⚠ NOT FOUND"))</f>
        <v/>
      </c>
      <c r="D4385" s="44" t="n"/>
      <c r="E4385" s="32">
        <f>IF(B4385="","",IFERROR(INDEX(Client_List!$C:$C,MATCH(VALUE(B4385),Client_List!$A:$A,0)),""))</f>
        <v/>
      </c>
      <c r="F4385" s="53">
        <f>IF(B4385="","",IFERROR(INDEX(Client_List!$D:$D,MATCH(VALUE(B4385),Client_List!$A:$A,0)),""))</f>
        <v/>
      </c>
      <c r="G4385" s="53">
        <f>IF(B4385="","",IFERROR(INDEX(Client_List!$K:$K,MATCH(VALUE(B4385),Client_List!$A:$A,0)),""))</f>
        <v/>
      </c>
      <c r="H4385" s="32">
        <f>IF(B4385="","",IFERROR(INDEX(Client_List!$J:$J,MATCH(VALUE(B4385),Client_List!$A:$A,0)),""))</f>
        <v/>
      </c>
      <c r="I4385" s="70">
        <f>IF(B4385="","",IFERROR(A4385-LOOKUP(2,1/($B$4:$B4384=B4385),$A$4:$A4384),""))</f>
        <v/>
      </c>
      <c r="J4385" s="32">
        <f>IF(B4385="","",IFERROR(D4385/I4385,""))</f>
        <v/>
      </c>
      <c r="K4385" s="71">
        <f>IF(B4385="","",IFERROR(AVERAGEIFS($J$4:$J4385,$B$4:$B4385,B4385,$J$4:$J4385,"&gt;"&amp;0),""))</f>
        <v/>
      </c>
      <c r="L4385" s="11" t="n"/>
    </row>
    <row r="4386" ht="14" customHeight="1" s="72">
      <c r="A4386" s="83" t="n"/>
      <c r="B4386" s="81" t="n"/>
      <c r="C4386" s="69">
        <f>IF(B4386="","",IFERROR(INDEX(Client_List!$B:$B,MATCH(B4386,Client_List!$A:$A,0)),"⚠ NOT FOUND"))</f>
        <v/>
      </c>
      <c r="D4386" s="45" t="n"/>
      <c r="E4386" s="32">
        <f>IF(B4386="","",IFERROR(INDEX(Client_List!$C:$C,MATCH(VALUE(B4386),Client_List!$A:$A,0)),""))</f>
        <v/>
      </c>
      <c r="F4386" s="53">
        <f>IF(B4386="","",IFERROR(INDEX(Client_List!$D:$D,MATCH(VALUE(B4386),Client_List!$A:$A,0)),""))</f>
        <v/>
      </c>
      <c r="G4386" s="53">
        <f>IF(B4386="","",IFERROR(INDEX(Client_List!$K:$K,MATCH(VALUE(B4386),Client_List!$A:$A,0)),""))</f>
        <v/>
      </c>
      <c r="H4386" s="32">
        <f>IF(B4386="","",IFERROR(INDEX(Client_List!$J:$J,MATCH(VALUE(B4386),Client_List!$A:$A,0)),""))</f>
        <v/>
      </c>
      <c r="I4386" s="70">
        <f>IF(B4386="","",IFERROR(A4386-LOOKUP(2,1/($B$4:$B4385=B4386),$A$4:$A4385),""))</f>
        <v/>
      </c>
      <c r="J4386" s="32">
        <f>IF(B4386="","",IFERROR(D4386/I4386,""))</f>
        <v/>
      </c>
      <c r="K4386" s="71">
        <f>IF(B4386="","",IFERROR(AVERAGEIFS($J$4:$J4386,$B$4:$B4386,B4386,$J$4:$J4386,"&gt;"&amp;0),""))</f>
        <v/>
      </c>
      <c r="L4386" s="12" t="n"/>
    </row>
    <row r="4387" ht="14" customHeight="1" s="72">
      <c r="A4387" s="82" t="n"/>
      <c r="B4387" s="79" t="n"/>
      <c r="C4387" s="69">
        <f>IF(B4387="","",IFERROR(INDEX(Client_List!$B:$B,MATCH(B4387,Client_List!$A:$A,0)),"⚠ NOT FOUND"))</f>
        <v/>
      </c>
      <c r="D4387" s="44" t="n"/>
      <c r="E4387" s="32">
        <f>IF(B4387="","",IFERROR(INDEX(Client_List!$C:$C,MATCH(VALUE(B4387),Client_List!$A:$A,0)),""))</f>
        <v/>
      </c>
      <c r="F4387" s="53">
        <f>IF(B4387="","",IFERROR(INDEX(Client_List!$D:$D,MATCH(VALUE(B4387),Client_List!$A:$A,0)),""))</f>
        <v/>
      </c>
      <c r="G4387" s="53">
        <f>IF(B4387="","",IFERROR(INDEX(Client_List!$K:$K,MATCH(VALUE(B4387),Client_List!$A:$A,0)),""))</f>
        <v/>
      </c>
      <c r="H4387" s="32">
        <f>IF(B4387="","",IFERROR(INDEX(Client_List!$J:$J,MATCH(VALUE(B4387),Client_List!$A:$A,0)),""))</f>
        <v/>
      </c>
      <c r="I4387" s="70">
        <f>IF(B4387="","",IFERROR(A4387-LOOKUP(2,1/($B$4:$B4386=B4387),$A$4:$A4386),""))</f>
        <v/>
      </c>
      <c r="J4387" s="32">
        <f>IF(B4387="","",IFERROR(D4387/I4387,""))</f>
        <v/>
      </c>
      <c r="K4387" s="71">
        <f>IF(B4387="","",IFERROR(AVERAGEIFS($J$4:$J4387,$B$4:$B4387,B4387,$J$4:$J4387,"&gt;"&amp;0),""))</f>
        <v/>
      </c>
      <c r="L4387" s="11" t="n"/>
    </row>
    <row r="4388" ht="14" customHeight="1" s="72">
      <c r="A4388" s="83" t="n"/>
      <c r="B4388" s="81" t="n"/>
      <c r="C4388" s="69">
        <f>IF(B4388="","",IFERROR(INDEX(Client_List!$B:$B,MATCH(B4388,Client_List!$A:$A,0)),"⚠ NOT FOUND"))</f>
        <v/>
      </c>
      <c r="D4388" s="45" t="n"/>
      <c r="E4388" s="32">
        <f>IF(B4388="","",IFERROR(INDEX(Client_List!$C:$C,MATCH(VALUE(B4388),Client_List!$A:$A,0)),""))</f>
        <v/>
      </c>
      <c r="F4388" s="53">
        <f>IF(B4388="","",IFERROR(INDEX(Client_List!$D:$D,MATCH(VALUE(B4388),Client_List!$A:$A,0)),""))</f>
        <v/>
      </c>
      <c r="G4388" s="53">
        <f>IF(B4388="","",IFERROR(INDEX(Client_List!$K:$K,MATCH(VALUE(B4388),Client_List!$A:$A,0)),""))</f>
        <v/>
      </c>
      <c r="H4388" s="32">
        <f>IF(B4388="","",IFERROR(INDEX(Client_List!$J:$J,MATCH(VALUE(B4388),Client_List!$A:$A,0)),""))</f>
        <v/>
      </c>
      <c r="I4388" s="70">
        <f>IF(B4388="","",IFERROR(A4388-LOOKUP(2,1/($B$4:$B4387=B4388),$A$4:$A4387),""))</f>
        <v/>
      </c>
      <c r="J4388" s="32">
        <f>IF(B4388="","",IFERROR(D4388/I4388,""))</f>
        <v/>
      </c>
      <c r="K4388" s="71">
        <f>IF(B4388="","",IFERROR(AVERAGEIFS($J$4:$J4388,$B$4:$B4388,B4388,$J$4:$J4388,"&gt;"&amp;0),""))</f>
        <v/>
      </c>
      <c r="L4388" s="12" t="n"/>
    </row>
    <row r="4389" ht="14" customHeight="1" s="72">
      <c r="A4389" s="82" t="n"/>
      <c r="B4389" s="79" t="n"/>
      <c r="C4389" s="69">
        <f>IF(B4389="","",IFERROR(INDEX(Client_List!$B:$B,MATCH(B4389,Client_List!$A:$A,0)),"⚠ NOT FOUND"))</f>
        <v/>
      </c>
      <c r="D4389" s="44" t="n"/>
      <c r="E4389" s="32">
        <f>IF(B4389="","",IFERROR(INDEX(Client_List!$C:$C,MATCH(VALUE(B4389),Client_List!$A:$A,0)),""))</f>
        <v/>
      </c>
      <c r="F4389" s="53">
        <f>IF(B4389="","",IFERROR(INDEX(Client_List!$D:$D,MATCH(VALUE(B4389),Client_List!$A:$A,0)),""))</f>
        <v/>
      </c>
      <c r="G4389" s="53">
        <f>IF(B4389="","",IFERROR(INDEX(Client_List!$K:$K,MATCH(VALUE(B4389),Client_List!$A:$A,0)),""))</f>
        <v/>
      </c>
      <c r="H4389" s="32">
        <f>IF(B4389="","",IFERROR(INDEX(Client_List!$J:$J,MATCH(VALUE(B4389),Client_List!$A:$A,0)),""))</f>
        <v/>
      </c>
      <c r="I4389" s="70">
        <f>IF(B4389="","",IFERROR(A4389-LOOKUP(2,1/($B$4:$B4388=B4389),$A$4:$A4388),""))</f>
        <v/>
      </c>
      <c r="J4389" s="32">
        <f>IF(B4389="","",IFERROR(D4389/I4389,""))</f>
        <v/>
      </c>
      <c r="K4389" s="71">
        <f>IF(B4389="","",IFERROR(AVERAGEIFS($J$4:$J4389,$B$4:$B4389,B4389,$J$4:$J4389,"&gt;"&amp;0),""))</f>
        <v/>
      </c>
      <c r="L4389" s="11" t="n"/>
    </row>
    <row r="4390" ht="14" customHeight="1" s="72">
      <c r="A4390" s="83" t="n"/>
      <c r="B4390" s="81" t="n"/>
      <c r="C4390" s="69">
        <f>IF(B4390="","",IFERROR(INDEX(Client_List!$B:$B,MATCH(B4390,Client_List!$A:$A,0)),"⚠ NOT FOUND"))</f>
        <v/>
      </c>
      <c r="D4390" s="45" t="n"/>
      <c r="E4390" s="32">
        <f>IF(B4390="","",IFERROR(INDEX(Client_List!$C:$C,MATCH(VALUE(B4390),Client_List!$A:$A,0)),""))</f>
        <v/>
      </c>
      <c r="F4390" s="53">
        <f>IF(B4390="","",IFERROR(INDEX(Client_List!$D:$D,MATCH(VALUE(B4390),Client_List!$A:$A,0)),""))</f>
        <v/>
      </c>
      <c r="G4390" s="53">
        <f>IF(B4390="","",IFERROR(INDEX(Client_List!$K:$K,MATCH(VALUE(B4390),Client_List!$A:$A,0)),""))</f>
        <v/>
      </c>
      <c r="H4390" s="32">
        <f>IF(B4390="","",IFERROR(INDEX(Client_List!$J:$J,MATCH(VALUE(B4390),Client_List!$A:$A,0)),""))</f>
        <v/>
      </c>
      <c r="I4390" s="70">
        <f>IF(B4390="","",IFERROR(A4390-LOOKUP(2,1/($B$4:$B4389=B4390),$A$4:$A4389),""))</f>
        <v/>
      </c>
      <c r="J4390" s="32">
        <f>IF(B4390="","",IFERROR(D4390/I4390,""))</f>
        <v/>
      </c>
      <c r="K4390" s="71">
        <f>IF(B4390="","",IFERROR(AVERAGEIFS($J$4:$J4390,$B$4:$B4390,B4390,$J$4:$J4390,"&gt;"&amp;0),""))</f>
        <v/>
      </c>
      <c r="L4390" s="12" t="n"/>
    </row>
    <row r="4391" ht="14" customHeight="1" s="72">
      <c r="A4391" s="82" t="n"/>
      <c r="B4391" s="79" t="n"/>
      <c r="C4391" s="69">
        <f>IF(B4391="","",IFERROR(INDEX(Client_List!$B:$B,MATCH(B4391,Client_List!$A:$A,0)),"⚠ NOT FOUND"))</f>
        <v/>
      </c>
      <c r="D4391" s="44" t="n"/>
      <c r="E4391" s="32">
        <f>IF(B4391="","",IFERROR(INDEX(Client_List!$C:$C,MATCH(VALUE(B4391),Client_List!$A:$A,0)),""))</f>
        <v/>
      </c>
      <c r="F4391" s="53">
        <f>IF(B4391="","",IFERROR(INDEX(Client_List!$D:$D,MATCH(VALUE(B4391),Client_List!$A:$A,0)),""))</f>
        <v/>
      </c>
      <c r="G4391" s="53">
        <f>IF(B4391="","",IFERROR(INDEX(Client_List!$K:$K,MATCH(VALUE(B4391),Client_List!$A:$A,0)),""))</f>
        <v/>
      </c>
      <c r="H4391" s="32">
        <f>IF(B4391="","",IFERROR(INDEX(Client_List!$J:$J,MATCH(VALUE(B4391),Client_List!$A:$A,0)),""))</f>
        <v/>
      </c>
      <c r="I4391" s="70">
        <f>IF(B4391="","",IFERROR(A4391-LOOKUP(2,1/($B$4:$B4390=B4391),$A$4:$A4390),""))</f>
        <v/>
      </c>
      <c r="J4391" s="32">
        <f>IF(B4391="","",IFERROR(D4391/I4391,""))</f>
        <v/>
      </c>
      <c r="K4391" s="71">
        <f>IF(B4391="","",IFERROR(AVERAGEIFS($J$4:$J4391,$B$4:$B4391,B4391,$J$4:$J4391,"&gt;"&amp;0),""))</f>
        <v/>
      </c>
      <c r="L4391" s="11" t="n"/>
    </row>
    <row r="4392" ht="14" customHeight="1" s="72">
      <c r="A4392" s="83" t="n"/>
      <c r="B4392" s="81" t="n"/>
      <c r="C4392" s="69">
        <f>IF(B4392="","",IFERROR(INDEX(Client_List!$B:$B,MATCH(B4392,Client_List!$A:$A,0)),"⚠ NOT FOUND"))</f>
        <v/>
      </c>
      <c r="D4392" s="45" t="n"/>
      <c r="E4392" s="32">
        <f>IF(B4392="","",IFERROR(INDEX(Client_List!$C:$C,MATCH(VALUE(B4392),Client_List!$A:$A,0)),""))</f>
        <v/>
      </c>
      <c r="F4392" s="53">
        <f>IF(B4392="","",IFERROR(INDEX(Client_List!$D:$D,MATCH(VALUE(B4392),Client_List!$A:$A,0)),""))</f>
        <v/>
      </c>
      <c r="G4392" s="53">
        <f>IF(B4392="","",IFERROR(INDEX(Client_List!$K:$K,MATCH(VALUE(B4392),Client_List!$A:$A,0)),""))</f>
        <v/>
      </c>
      <c r="H4392" s="32">
        <f>IF(B4392="","",IFERROR(INDEX(Client_List!$J:$J,MATCH(VALUE(B4392),Client_List!$A:$A,0)),""))</f>
        <v/>
      </c>
      <c r="I4392" s="70">
        <f>IF(B4392="","",IFERROR(A4392-LOOKUP(2,1/($B$4:$B4391=B4392),$A$4:$A4391),""))</f>
        <v/>
      </c>
      <c r="J4392" s="32">
        <f>IF(B4392="","",IFERROR(D4392/I4392,""))</f>
        <v/>
      </c>
      <c r="K4392" s="71">
        <f>IF(B4392="","",IFERROR(AVERAGEIFS($J$4:$J4392,$B$4:$B4392,B4392,$J$4:$J4392,"&gt;"&amp;0),""))</f>
        <v/>
      </c>
      <c r="L4392" s="12" t="n"/>
    </row>
    <row r="4393" ht="14" customHeight="1" s="72">
      <c r="A4393" s="82" t="n"/>
      <c r="B4393" s="79" t="n"/>
      <c r="C4393" s="69">
        <f>IF(B4393="","",IFERROR(INDEX(Client_List!$B:$B,MATCH(B4393,Client_List!$A:$A,0)),"⚠ NOT FOUND"))</f>
        <v/>
      </c>
      <c r="D4393" s="44" t="n"/>
      <c r="E4393" s="32">
        <f>IF(B4393="","",IFERROR(INDEX(Client_List!$C:$C,MATCH(VALUE(B4393),Client_List!$A:$A,0)),""))</f>
        <v/>
      </c>
      <c r="F4393" s="53">
        <f>IF(B4393="","",IFERROR(INDEX(Client_List!$D:$D,MATCH(VALUE(B4393),Client_List!$A:$A,0)),""))</f>
        <v/>
      </c>
      <c r="G4393" s="53">
        <f>IF(B4393="","",IFERROR(INDEX(Client_List!$K:$K,MATCH(VALUE(B4393),Client_List!$A:$A,0)),""))</f>
        <v/>
      </c>
      <c r="H4393" s="32">
        <f>IF(B4393="","",IFERROR(INDEX(Client_List!$J:$J,MATCH(VALUE(B4393),Client_List!$A:$A,0)),""))</f>
        <v/>
      </c>
      <c r="I4393" s="70">
        <f>IF(B4393="","",IFERROR(A4393-LOOKUP(2,1/($B$4:$B4392=B4393),$A$4:$A4392),""))</f>
        <v/>
      </c>
      <c r="J4393" s="32">
        <f>IF(B4393="","",IFERROR(D4393/I4393,""))</f>
        <v/>
      </c>
      <c r="K4393" s="71">
        <f>IF(B4393="","",IFERROR(AVERAGEIFS($J$4:$J4393,$B$4:$B4393,B4393,$J$4:$J4393,"&gt;"&amp;0),""))</f>
        <v/>
      </c>
      <c r="L4393" s="11" t="n"/>
    </row>
    <row r="4394" ht="14" customHeight="1" s="72">
      <c r="A4394" s="83" t="n"/>
      <c r="B4394" s="81" t="n"/>
      <c r="C4394" s="69">
        <f>IF(B4394="","",IFERROR(INDEX(Client_List!$B:$B,MATCH(B4394,Client_List!$A:$A,0)),"⚠ NOT FOUND"))</f>
        <v/>
      </c>
      <c r="D4394" s="45" t="n"/>
      <c r="E4394" s="32">
        <f>IF(B4394="","",IFERROR(INDEX(Client_List!$C:$C,MATCH(VALUE(B4394),Client_List!$A:$A,0)),""))</f>
        <v/>
      </c>
      <c r="F4394" s="53">
        <f>IF(B4394="","",IFERROR(INDEX(Client_List!$D:$D,MATCH(VALUE(B4394),Client_List!$A:$A,0)),""))</f>
        <v/>
      </c>
      <c r="G4394" s="53">
        <f>IF(B4394="","",IFERROR(INDEX(Client_List!$K:$K,MATCH(VALUE(B4394),Client_List!$A:$A,0)),""))</f>
        <v/>
      </c>
      <c r="H4394" s="32">
        <f>IF(B4394="","",IFERROR(INDEX(Client_List!$J:$J,MATCH(VALUE(B4394),Client_List!$A:$A,0)),""))</f>
        <v/>
      </c>
      <c r="I4394" s="70">
        <f>IF(B4394="","",IFERROR(A4394-LOOKUP(2,1/($B$4:$B4393=B4394),$A$4:$A4393),""))</f>
        <v/>
      </c>
      <c r="J4394" s="32">
        <f>IF(B4394="","",IFERROR(D4394/I4394,""))</f>
        <v/>
      </c>
      <c r="K4394" s="71">
        <f>IF(B4394="","",IFERROR(AVERAGEIFS($J$4:$J4394,$B$4:$B4394,B4394,$J$4:$J4394,"&gt;"&amp;0),""))</f>
        <v/>
      </c>
      <c r="L4394" s="12" t="n"/>
    </row>
    <row r="4395" ht="14" customHeight="1" s="72">
      <c r="A4395" s="82" t="n"/>
      <c r="B4395" s="79" t="n"/>
      <c r="C4395" s="69">
        <f>IF(B4395="","",IFERROR(INDEX(Client_List!$B:$B,MATCH(B4395,Client_List!$A:$A,0)),"⚠ NOT FOUND"))</f>
        <v/>
      </c>
      <c r="D4395" s="44" t="n"/>
      <c r="E4395" s="32">
        <f>IF(B4395="","",IFERROR(INDEX(Client_List!$C:$C,MATCH(VALUE(B4395),Client_List!$A:$A,0)),""))</f>
        <v/>
      </c>
      <c r="F4395" s="53">
        <f>IF(B4395="","",IFERROR(INDEX(Client_List!$D:$D,MATCH(VALUE(B4395),Client_List!$A:$A,0)),""))</f>
        <v/>
      </c>
      <c r="G4395" s="53">
        <f>IF(B4395="","",IFERROR(INDEX(Client_List!$K:$K,MATCH(VALUE(B4395),Client_List!$A:$A,0)),""))</f>
        <v/>
      </c>
      <c r="H4395" s="32">
        <f>IF(B4395="","",IFERROR(INDEX(Client_List!$J:$J,MATCH(VALUE(B4395),Client_List!$A:$A,0)),""))</f>
        <v/>
      </c>
      <c r="I4395" s="70">
        <f>IF(B4395="","",IFERROR(A4395-LOOKUP(2,1/($B$4:$B4394=B4395),$A$4:$A4394),""))</f>
        <v/>
      </c>
      <c r="J4395" s="32">
        <f>IF(B4395="","",IFERROR(D4395/I4395,""))</f>
        <v/>
      </c>
      <c r="K4395" s="71">
        <f>IF(B4395="","",IFERROR(AVERAGEIFS($J$4:$J4395,$B$4:$B4395,B4395,$J$4:$J4395,"&gt;"&amp;0),""))</f>
        <v/>
      </c>
      <c r="L4395" s="11" t="n"/>
    </row>
    <row r="4396" ht="14" customHeight="1" s="72">
      <c r="A4396" s="83" t="n"/>
      <c r="B4396" s="81" t="n"/>
      <c r="C4396" s="69">
        <f>IF(B4396="","",IFERROR(INDEX(Client_List!$B:$B,MATCH(B4396,Client_List!$A:$A,0)),"⚠ NOT FOUND"))</f>
        <v/>
      </c>
      <c r="D4396" s="45" t="n"/>
      <c r="E4396" s="32">
        <f>IF(B4396="","",IFERROR(INDEX(Client_List!$C:$C,MATCH(VALUE(B4396),Client_List!$A:$A,0)),""))</f>
        <v/>
      </c>
      <c r="F4396" s="53">
        <f>IF(B4396="","",IFERROR(INDEX(Client_List!$D:$D,MATCH(VALUE(B4396),Client_List!$A:$A,0)),""))</f>
        <v/>
      </c>
      <c r="G4396" s="53">
        <f>IF(B4396="","",IFERROR(INDEX(Client_List!$K:$K,MATCH(VALUE(B4396),Client_List!$A:$A,0)),""))</f>
        <v/>
      </c>
      <c r="H4396" s="32">
        <f>IF(B4396="","",IFERROR(INDEX(Client_List!$J:$J,MATCH(VALUE(B4396),Client_List!$A:$A,0)),""))</f>
        <v/>
      </c>
      <c r="I4396" s="70">
        <f>IF(B4396="","",IFERROR(A4396-LOOKUP(2,1/($B$4:$B4395=B4396),$A$4:$A4395),""))</f>
        <v/>
      </c>
      <c r="J4396" s="32">
        <f>IF(B4396="","",IFERROR(D4396/I4396,""))</f>
        <v/>
      </c>
      <c r="K4396" s="71">
        <f>IF(B4396="","",IFERROR(AVERAGEIFS($J$4:$J4396,$B$4:$B4396,B4396,$J$4:$J4396,"&gt;"&amp;0),""))</f>
        <v/>
      </c>
      <c r="L4396" s="12" t="n"/>
    </row>
    <row r="4397" ht="14" customHeight="1" s="72">
      <c r="A4397" s="82" t="n"/>
      <c r="B4397" s="79" t="n"/>
      <c r="C4397" s="69">
        <f>IF(B4397="","",IFERROR(INDEX(Client_List!$B:$B,MATCH(B4397,Client_List!$A:$A,0)),"⚠ NOT FOUND"))</f>
        <v/>
      </c>
      <c r="D4397" s="44" t="n"/>
      <c r="E4397" s="32">
        <f>IF(B4397="","",IFERROR(INDEX(Client_List!$C:$C,MATCH(VALUE(B4397),Client_List!$A:$A,0)),""))</f>
        <v/>
      </c>
      <c r="F4397" s="53">
        <f>IF(B4397="","",IFERROR(INDEX(Client_List!$D:$D,MATCH(VALUE(B4397),Client_List!$A:$A,0)),""))</f>
        <v/>
      </c>
      <c r="G4397" s="53">
        <f>IF(B4397="","",IFERROR(INDEX(Client_List!$K:$K,MATCH(VALUE(B4397),Client_List!$A:$A,0)),""))</f>
        <v/>
      </c>
      <c r="H4397" s="32">
        <f>IF(B4397="","",IFERROR(INDEX(Client_List!$J:$J,MATCH(VALUE(B4397),Client_List!$A:$A,0)),""))</f>
        <v/>
      </c>
      <c r="I4397" s="70">
        <f>IF(B4397="","",IFERROR(A4397-LOOKUP(2,1/($B$4:$B4396=B4397),$A$4:$A4396),""))</f>
        <v/>
      </c>
      <c r="J4397" s="32">
        <f>IF(B4397="","",IFERROR(D4397/I4397,""))</f>
        <v/>
      </c>
      <c r="K4397" s="71">
        <f>IF(B4397="","",IFERROR(AVERAGEIFS($J$4:$J4397,$B$4:$B4397,B4397,$J$4:$J4397,"&gt;"&amp;0),""))</f>
        <v/>
      </c>
      <c r="L4397" s="11" t="n"/>
    </row>
    <row r="4398" ht="14" customHeight="1" s="72">
      <c r="A4398" s="83" t="n"/>
      <c r="B4398" s="81" t="n"/>
      <c r="C4398" s="69">
        <f>IF(B4398="","",IFERROR(INDEX(Client_List!$B:$B,MATCH(B4398,Client_List!$A:$A,0)),"⚠ NOT FOUND"))</f>
        <v/>
      </c>
      <c r="D4398" s="45" t="n"/>
      <c r="E4398" s="32">
        <f>IF(B4398="","",IFERROR(INDEX(Client_List!$C:$C,MATCH(VALUE(B4398),Client_List!$A:$A,0)),""))</f>
        <v/>
      </c>
      <c r="F4398" s="53">
        <f>IF(B4398="","",IFERROR(INDEX(Client_List!$D:$D,MATCH(VALUE(B4398),Client_List!$A:$A,0)),""))</f>
        <v/>
      </c>
      <c r="G4398" s="53">
        <f>IF(B4398="","",IFERROR(INDEX(Client_List!$K:$K,MATCH(VALUE(B4398),Client_List!$A:$A,0)),""))</f>
        <v/>
      </c>
      <c r="H4398" s="32">
        <f>IF(B4398="","",IFERROR(INDEX(Client_List!$J:$J,MATCH(VALUE(B4398),Client_List!$A:$A,0)),""))</f>
        <v/>
      </c>
      <c r="I4398" s="70">
        <f>IF(B4398="","",IFERROR(A4398-LOOKUP(2,1/($B$4:$B4397=B4398),$A$4:$A4397),""))</f>
        <v/>
      </c>
      <c r="J4398" s="32">
        <f>IF(B4398="","",IFERROR(D4398/I4398,""))</f>
        <v/>
      </c>
      <c r="K4398" s="71">
        <f>IF(B4398="","",IFERROR(AVERAGEIFS($J$4:$J4398,$B$4:$B4398,B4398,$J$4:$J4398,"&gt;"&amp;0),""))</f>
        <v/>
      </c>
      <c r="L4398" s="12" t="n"/>
    </row>
    <row r="4399" ht="14" customHeight="1" s="72">
      <c r="A4399" s="82" t="n"/>
      <c r="B4399" s="79" t="n"/>
      <c r="C4399" s="69">
        <f>IF(B4399="","",IFERROR(INDEX(Client_List!$B:$B,MATCH(B4399,Client_List!$A:$A,0)),"⚠ NOT FOUND"))</f>
        <v/>
      </c>
      <c r="D4399" s="44" t="n"/>
      <c r="E4399" s="32">
        <f>IF(B4399="","",IFERROR(INDEX(Client_List!$C:$C,MATCH(VALUE(B4399),Client_List!$A:$A,0)),""))</f>
        <v/>
      </c>
      <c r="F4399" s="53">
        <f>IF(B4399="","",IFERROR(INDEX(Client_List!$D:$D,MATCH(VALUE(B4399),Client_List!$A:$A,0)),""))</f>
        <v/>
      </c>
      <c r="G4399" s="53">
        <f>IF(B4399="","",IFERROR(INDEX(Client_List!$K:$K,MATCH(VALUE(B4399),Client_List!$A:$A,0)),""))</f>
        <v/>
      </c>
      <c r="H4399" s="32">
        <f>IF(B4399="","",IFERROR(INDEX(Client_List!$J:$J,MATCH(VALUE(B4399),Client_List!$A:$A,0)),""))</f>
        <v/>
      </c>
      <c r="I4399" s="70">
        <f>IF(B4399="","",IFERROR(A4399-LOOKUP(2,1/($B$4:$B4398=B4399),$A$4:$A4398),""))</f>
        <v/>
      </c>
      <c r="J4399" s="32">
        <f>IF(B4399="","",IFERROR(D4399/I4399,""))</f>
        <v/>
      </c>
      <c r="K4399" s="71">
        <f>IF(B4399="","",IFERROR(AVERAGEIFS($J$4:$J4399,$B$4:$B4399,B4399,$J$4:$J4399,"&gt;"&amp;0),""))</f>
        <v/>
      </c>
      <c r="L4399" s="11" t="n"/>
    </row>
    <row r="4400" ht="14" customHeight="1" s="72">
      <c r="A4400" s="83" t="n"/>
      <c r="B4400" s="81" t="n"/>
      <c r="C4400" s="69">
        <f>IF(B4400="","",IFERROR(INDEX(Client_List!$B:$B,MATCH(B4400,Client_List!$A:$A,0)),"⚠ NOT FOUND"))</f>
        <v/>
      </c>
      <c r="D4400" s="45" t="n"/>
      <c r="E4400" s="32">
        <f>IF(B4400="","",IFERROR(INDEX(Client_List!$C:$C,MATCH(VALUE(B4400),Client_List!$A:$A,0)),""))</f>
        <v/>
      </c>
      <c r="F4400" s="53">
        <f>IF(B4400="","",IFERROR(INDEX(Client_List!$D:$D,MATCH(VALUE(B4400),Client_List!$A:$A,0)),""))</f>
        <v/>
      </c>
      <c r="G4400" s="53">
        <f>IF(B4400="","",IFERROR(INDEX(Client_List!$K:$K,MATCH(VALUE(B4400),Client_List!$A:$A,0)),""))</f>
        <v/>
      </c>
      <c r="H4400" s="32">
        <f>IF(B4400="","",IFERROR(INDEX(Client_List!$J:$J,MATCH(VALUE(B4400),Client_List!$A:$A,0)),""))</f>
        <v/>
      </c>
      <c r="I4400" s="70">
        <f>IF(B4400="","",IFERROR(A4400-LOOKUP(2,1/($B$4:$B4399=B4400),$A$4:$A4399),""))</f>
        <v/>
      </c>
      <c r="J4400" s="32">
        <f>IF(B4400="","",IFERROR(D4400/I4400,""))</f>
        <v/>
      </c>
      <c r="K4400" s="71">
        <f>IF(B4400="","",IFERROR(AVERAGEIFS($J$4:$J4400,$B$4:$B4400,B4400,$J$4:$J4400,"&gt;"&amp;0),""))</f>
        <v/>
      </c>
      <c r="L4400" s="12" t="n"/>
    </row>
    <row r="4401" ht="14" customHeight="1" s="72">
      <c r="A4401" s="82" t="n"/>
      <c r="B4401" s="79" t="n"/>
      <c r="C4401" s="69">
        <f>IF(B4401="","",IFERROR(INDEX(Client_List!$B:$B,MATCH(B4401,Client_List!$A:$A,0)),"⚠ NOT FOUND"))</f>
        <v/>
      </c>
      <c r="D4401" s="44" t="n"/>
      <c r="E4401" s="32">
        <f>IF(B4401="","",IFERROR(INDEX(Client_List!$C:$C,MATCH(VALUE(B4401),Client_List!$A:$A,0)),""))</f>
        <v/>
      </c>
      <c r="F4401" s="53">
        <f>IF(B4401="","",IFERROR(INDEX(Client_List!$D:$D,MATCH(VALUE(B4401),Client_List!$A:$A,0)),""))</f>
        <v/>
      </c>
      <c r="G4401" s="53">
        <f>IF(B4401="","",IFERROR(INDEX(Client_List!$K:$K,MATCH(VALUE(B4401),Client_List!$A:$A,0)),""))</f>
        <v/>
      </c>
      <c r="H4401" s="32">
        <f>IF(B4401="","",IFERROR(INDEX(Client_List!$J:$J,MATCH(VALUE(B4401),Client_List!$A:$A,0)),""))</f>
        <v/>
      </c>
      <c r="I4401" s="70">
        <f>IF(B4401="","",IFERROR(A4401-LOOKUP(2,1/($B$4:$B4400=B4401),$A$4:$A4400),""))</f>
        <v/>
      </c>
      <c r="J4401" s="32">
        <f>IF(B4401="","",IFERROR(D4401/I4401,""))</f>
        <v/>
      </c>
      <c r="K4401" s="71">
        <f>IF(B4401="","",IFERROR(AVERAGEIFS($J$4:$J4401,$B$4:$B4401,B4401,$J$4:$J4401,"&gt;"&amp;0),""))</f>
        <v/>
      </c>
      <c r="L4401" s="11" t="n"/>
    </row>
    <row r="4402" ht="14" customHeight="1" s="72">
      <c r="A4402" s="83" t="n"/>
      <c r="B4402" s="81" t="n"/>
      <c r="C4402" s="69">
        <f>IF(B4402="","",IFERROR(INDEX(Client_List!$B:$B,MATCH(B4402,Client_List!$A:$A,0)),"⚠ NOT FOUND"))</f>
        <v/>
      </c>
      <c r="D4402" s="45" t="n"/>
      <c r="E4402" s="32">
        <f>IF(B4402="","",IFERROR(INDEX(Client_List!$C:$C,MATCH(VALUE(B4402),Client_List!$A:$A,0)),""))</f>
        <v/>
      </c>
      <c r="F4402" s="53">
        <f>IF(B4402="","",IFERROR(INDEX(Client_List!$D:$D,MATCH(VALUE(B4402),Client_List!$A:$A,0)),""))</f>
        <v/>
      </c>
      <c r="G4402" s="53">
        <f>IF(B4402="","",IFERROR(INDEX(Client_List!$K:$K,MATCH(VALUE(B4402),Client_List!$A:$A,0)),""))</f>
        <v/>
      </c>
      <c r="H4402" s="32">
        <f>IF(B4402="","",IFERROR(INDEX(Client_List!$J:$J,MATCH(VALUE(B4402),Client_List!$A:$A,0)),""))</f>
        <v/>
      </c>
      <c r="I4402" s="70">
        <f>IF(B4402="","",IFERROR(A4402-LOOKUP(2,1/($B$4:$B4401=B4402),$A$4:$A4401),""))</f>
        <v/>
      </c>
      <c r="J4402" s="32">
        <f>IF(B4402="","",IFERROR(D4402/I4402,""))</f>
        <v/>
      </c>
      <c r="K4402" s="71">
        <f>IF(B4402="","",IFERROR(AVERAGEIFS($J$4:$J4402,$B$4:$B4402,B4402,$J$4:$J4402,"&gt;"&amp;0),""))</f>
        <v/>
      </c>
      <c r="L4402" s="12" t="n"/>
    </row>
    <row r="4403" ht="14" customHeight="1" s="72">
      <c r="A4403" s="82" t="n"/>
      <c r="B4403" s="79" t="n"/>
      <c r="C4403" s="69">
        <f>IF(B4403="","",IFERROR(INDEX(Client_List!$B:$B,MATCH(B4403,Client_List!$A:$A,0)),"⚠ NOT FOUND"))</f>
        <v/>
      </c>
      <c r="D4403" s="44" t="n"/>
      <c r="E4403" s="32">
        <f>IF(B4403="","",IFERROR(INDEX(Client_List!$C:$C,MATCH(VALUE(B4403),Client_List!$A:$A,0)),""))</f>
        <v/>
      </c>
      <c r="F4403" s="53">
        <f>IF(B4403="","",IFERROR(INDEX(Client_List!$D:$D,MATCH(VALUE(B4403),Client_List!$A:$A,0)),""))</f>
        <v/>
      </c>
      <c r="G4403" s="53">
        <f>IF(B4403="","",IFERROR(INDEX(Client_List!$K:$K,MATCH(VALUE(B4403),Client_List!$A:$A,0)),""))</f>
        <v/>
      </c>
      <c r="H4403" s="32">
        <f>IF(B4403="","",IFERROR(INDEX(Client_List!$J:$J,MATCH(VALUE(B4403),Client_List!$A:$A,0)),""))</f>
        <v/>
      </c>
      <c r="I4403" s="70">
        <f>IF(B4403="","",IFERROR(A4403-LOOKUP(2,1/($B$4:$B4402=B4403),$A$4:$A4402),""))</f>
        <v/>
      </c>
      <c r="J4403" s="32">
        <f>IF(B4403="","",IFERROR(D4403/I4403,""))</f>
        <v/>
      </c>
      <c r="K4403" s="71">
        <f>IF(B4403="","",IFERROR(AVERAGEIFS($J$4:$J4403,$B$4:$B4403,B4403,$J$4:$J4403,"&gt;"&amp;0),""))</f>
        <v/>
      </c>
      <c r="L4403" s="11" t="n"/>
    </row>
    <row r="4404" ht="14" customHeight="1" s="72">
      <c r="A4404" s="83" t="n"/>
      <c r="B4404" s="81" t="n"/>
      <c r="C4404" s="69">
        <f>IF(B4404="","",IFERROR(INDEX(Client_List!$B:$B,MATCH(B4404,Client_List!$A:$A,0)),"⚠ NOT FOUND"))</f>
        <v/>
      </c>
      <c r="D4404" s="45" t="n"/>
      <c r="E4404" s="32">
        <f>IF(B4404="","",IFERROR(INDEX(Client_List!$C:$C,MATCH(VALUE(B4404),Client_List!$A:$A,0)),""))</f>
        <v/>
      </c>
      <c r="F4404" s="53">
        <f>IF(B4404="","",IFERROR(INDEX(Client_List!$D:$D,MATCH(VALUE(B4404),Client_List!$A:$A,0)),""))</f>
        <v/>
      </c>
      <c r="G4404" s="53">
        <f>IF(B4404="","",IFERROR(INDEX(Client_List!$K:$K,MATCH(VALUE(B4404),Client_List!$A:$A,0)),""))</f>
        <v/>
      </c>
      <c r="H4404" s="32">
        <f>IF(B4404="","",IFERROR(INDEX(Client_List!$J:$J,MATCH(VALUE(B4404),Client_List!$A:$A,0)),""))</f>
        <v/>
      </c>
      <c r="I4404" s="70">
        <f>IF(B4404="","",IFERROR(A4404-LOOKUP(2,1/($B$4:$B4403=B4404),$A$4:$A4403),""))</f>
        <v/>
      </c>
      <c r="J4404" s="32">
        <f>IF(B4404="","",IFERROR(D4404/I4404,""))</f>
        <v/>
      </c>
      <c r="K4404" s="71">
        <f>IF(B4404="","",IFERROR(AVERAGEIFS($J$4:$J4404,$B$4:$B4404,B4404,$J$4:$J4404,"&gt;"&amp;0),""))</f>
        <v/>
      </c>
      <c r="L4404" s="12" t="n"/>
    </row>
    <row r="4405" ht="14" customHeight="1" s="72">
      <c r="A4405" s="82" t="n"/>
      <c r="B4405" s="79" t="n"/>
      <c r="C4405" s="69">
        <f>IF(B4405="","",IFERROR(INDEX(Client_List!$B:$B,MATCH(B4405,Client_List!$A:$A,0)),"⚠ NOT FOUND"))</f>
        <v/>
      </c>
      <c r="D4405" s="44" t="n"/>
      <c r="E4405" s="32">
        <f>IF(B4405="","",IFERROR(INDEX(Client_List!$C:$C,MATCH(VALUE(B4405),Client_List!$A:$A,0)),""))</f>
        <v/>
      </c>
      <c r="F4405" s="53">
        <f>IF(B4405="","",IFERROR(INDEX(Client_List!$D:$D,MATCH(VALUE(B4405),Client_List!$A:$A,0)),""))</f>
        <v/>
      </c>
      <c r="G4405" s="53">
        <f>IF(B4405="","",IFERROR(INDEX(Client_List!$K:$K,MATCH(VALUE(B4405),Client_List!$A:$A,0)),""))</f>
        <v/>
      </c>
      <c r="H4405" s="32">
        <f>IF(B4405="","",IFERROR(INDEX(Client_List!$J:$J,MATCH(VALUE(B4405),Client_List!$A:$A,0)),""))</f>
        <v/>
      </c>
      <c r="I4405" s="70">
        <f>IF(B4405="","",IFERROR(A4405-LOOKUP(2,1/($B$4:$B4404=B4405),$A$4:$A4404),""))</f>
        <v/>
      </c>
      <c r="J4405" s="32">
        <f>IF(B4405="","",IFERROR(D4405/I4405,""))</f>
        <v/>
      </c>
      <c r="K4405" s="71">
        <f>IF(B4405="","",IFERROR(AVERAGEIFS($J$4:$J4405,$B$4:$B4405,B4405,$J$4:$J4405,"&gt;"&amp;0),""))</f>
        <v/>
      </c>
      <c r="L4405" s="11" t="n"/>
    </row>
    <row r="4406" ht="14" customHeight="1" s="72">
      <c r="A4406" s="83" t="n"/>
      <c r="B4406" s="81" t="n"/>
      <c r="C4406" s="69">
        <f>IF(B4406="","",IFERROR(INDEX(Client_List!$B:$B,MATCH(B4406,Client_List!$A:$A,0)),"⚠ NOT FOUND"))</f>
        <v/>
      </c>
      <c r="D4406" s="45" t="n"/>
      <c r="E4406" s="32">
        <f>IF(B4406="","",IFERROR(INDEX(Client_List!$C:$C,MATCH(VALUE(B4406),Client_List!$A:$A,0)),""))</f>
        <v/>
      </c>
      <c r="F4406" s="53">
        <f>IF(B4406="","",IFERROR(INDEX(Client_List!$D:$D,MATCH(VALUE(B4406),Client_List!$A:$A,0)),""))</f>
        <v/>
      </c>
      <c r="G4406" s="53">
        <f>IF(B4406="","",IFERROR(INDEX(Client_List!$K:$K,MATCH(VALUE(B4406),Client_List!$A:$A,0)),""))</f>
        <v/>
      </c>
      <c r="H4406" s="32">
        <f>IF(B4406="","",IFERROR(INDEX(Client_List!$J:$J,MATCH(VALUE(B4406),Client_List!$A:$A,0)),""))</f>
        <v/>
      </c>
      <c r="I4406" s="70">
        <f>IF(B4406="","",IFERROR(A4406-LOOKUP(2,1/($B$4:$B4405=B4406),$A$4:$A4405),""))</f>
        <v/>
      </c>
      <c r="J4406" s="32">
        <f>IF(B4406="","",IFERROR(D4406/I4406,""))</f>
        <v/>
      </c>
      <c r="K4406" s="71">
        <f>IF(B4406="","",IFERROR(AVERAGEIFS($J$4:$J4406,$B$4:$B4406,B4406,$J$4:$J4406,"&gt;"&amp;0),""))</f>
        <v/>
      </c>
      <c r="L4406" s="12" t="n"/>
    </row>
    <row r="4407" ht="14" customHeight="1" s="72">
      <c r="A4407" s="82" t="n"/>
      <c r="B4407" s="79" t="n"/>
      <c r="C4407" s="69">
        <f>IF(B4407="","",IFERROR(INDEX(Client_List!$B:$B,MATCH(B4407,Client_List!$A:$A,0)),"⚠ NOT FOUND"))</f>
        <v/>
      </c>
      <c r="D4407" s="44" t="n"/>
      <c r="E4407" s="32">
        <f>IF(B4407="","",IFERROR(INDEX(Client_List!$C:$C,MATCH(VALUE(B4407),Client_List!$A:$A,0)),""))</f>
        <v/>
      </c>
      <c r="F4407" s="53">
        <f>IF(B4407="","",IFERROR(INDEX(Client_List!$D:$D,MATCH(VALUE(B4407),Client_List!$A:$A,0)),""))</f>
        <v/>
      </c>
      <c r="G4407" s="53">
        <f>IF(B4407="","",IFERROR(INDEX(Client_List!$K:$K,MATCH(VALUE(B4407),Client_List!$A:$A,0)),""))</f>
        <v/>
      </c>
      <c r="H4407" s="32">
        <f>IF(B4407="","",IFERROR(INDEX(Client_List!$J:$J,MATCH(VALUE(B4407),Client_List!$A:$A,0)),""))</f>
        <v/>
      </c>
      <c r="I4407" s="70">
        <f>IF(B4407="","",IFERROR(A4407-LOOKUP(2,1/($B$4:$B4406=B4407),$A$4:$A4406),""))</f>
        <v/>
      </c>
      <c r="J4407" s="32">
        <f>IF(B4407="","",IFERROR(D4407/I4407,""))</f>
        <v/>
      </c>
      <c r="K4407" s="71">
        <f>IF(B4407="","",IFERROR(AVERAGEIFS($J$4:$J4407,$B$4:$B4407,B4407,$J$4:$J4407,"&gt;"&amp;0),""))</f>
        <v/>
      </c>
      <c r="L4407" s="11" t="n"/>
    </row>
    <row r="4408" ht="14" customHeight="1" s="72">
      <c r="A4408" s="83" t="n"/>
      <c r="B4408" s="81" t="n"/>
      <c r="C4408" s="69">
        <f>IF(B4408="","",IFERROR(INDEX(Client_List!$B:$B,MATCH(B4408,Client_List!$A:$A,0)),"⚠ NOT FOUND"))</f>
        <v/>
      </c>
      <c r="D4408" s="45" t="n"/>
      <c r="E4408" s="32">
        <f>IF(B4408="","",IFERROR(INDEX(Client_List!$C:$C,MATCH(VALUE(B4408),Client_List!$A:$A,0)),""))</f>
        <v/>
      </c>
      <c r="F4408" s="53">
        <f>IF(B4408="","",IFERROR(INDEX(Client_List!$D:$D,MATCH(VALUE(B4408),Client_List!$A:$A,0)),""))</f>
        <v/>
      </c>
      <c r="G4408" s="53">
        <f>IF(B4408="","",IFERROR(INDEX(Client_List!$K:$K,MATCH(VALUE(B4408),Client_List!$A:$A,0)),""))</f>
        <v/>
      </c>
      <c r="H4408" s="32">
        <f>IF(B4408="","",IFERROR(INDEX(Client_List!$J:$J,MATCH(VALUE(B4408),Client_List!$A:$A,0)),""))</f>
        <v/>
      </c>
      <c r="I4408" s="70">
        <f>IF(B4408="","",IFERROR(A4408-LOOKUP(2,1/($B$4:$B4407=B4408),$A$4:$A4407),""))</f>
        <v/>
      </c>
      <c r="J4408" s="32">
        <f>IF(B4408="","",IFERROR(D4408/I4408,""))</f>
        <v/>
      </c>
      <c r="K4408" s="71">
        <f>IF(B4408="","",IFERROR(AVERAGEIFS($J$4:$J4408,$B$4:$B4408,B4408,$J$4:$J4408,"&gt;"&amp;0),""))</f>
        <v/>
      </c>
      <c r="L4408" s="12" t="n"/>
    </row>
    <row r="4409" ht="14" customHeight="1" s="72">
      <c r="A4409" s="82" t="n"/>
      <c r="B4409" s="79" t="n"/>
      <c r="C4409" s="69">
        <f>IF(B4409="","",IFERROR(INDEX(Client_List!$B:$B,MATCH(B4409,Client_List!$A:$A,0)),"⚠ NOT FOUND"))</f>
        <v/>
      </c>
      <c r="D4409" s="44" t="n"/>
      <c r="E4409" s="32">
        <f>IF(B4409="","",IFERROR(INDEX(Client_List!$C:$C,MATCH(VALUE(B4409),Client_List!$A:$A,0)),""))</f>
        <v/>
      </c>
      <c r="F4409" s="53">
        <f>IF(B4409="","",IFERROR(INDEX(Client_List!$D:$D,MATCH(VALUE(B4409),Client_List!$A:$A,0)),""))</f>
        <v/>
      </c>
      <c r="G4409" s="53">
        <f>IF(B4409="","",IFERROR(INDEX(Client_List!$K:$K,MATCH(VALUE(B4409),Client_List!$A:$A,0)),""))</f>
        <v/>
      </c>
      <c r="H4409" s="32">
        <f>IF(B4409="","",IFERROR(INDEX(Client_List!$J:$J,MATCH(VALUE(B4409),Client_List!$A:$A,0)),""))</f>
        <v/>
      </c>
      <c r="I4409" s="70">
        <f>IF(B4409="","",IFERROR(A4409-LOOKUP(2,1/($B$4:$B4408=B4409),$A$4:$A4408),""))</f>
        <v/>
      </c>
      <c r="J4409" s="32">
        <f>IF(B4409="","",IFERROR(D4409/I4409,""))</f>
        <v/>
      </c>
      <c r="K4409" s="71">
        <f>IF(B4409="","",IFERROR(AVERAGEIFS($J$4:$J4409,$B$4:$B4409,B4409,$J$4:$J4409,"&gt;"&amp;0),""))</f>
        <v/>
      </c>
      <c r="L4409" s="11" t="n"/>
    </row>
    <row r="4410" ht="14" customHeight="1" s="72">
      <c r="A4410" s="83" t="n"/>
      <c r="B4410" s="81" t="n"/>
      <c r="C4410" s="69">
        <f>IF(B4410="","",IFERROR(INDEX(Client_List!$B:$B,MATCH(B4410,Client_List!$A:$A,0)),"⚠ NOT FOUND"))</f>
        <v/>
      </c>
      <c r="D4410" s="45" t="n"/>
      <c r="E4410" s="32">
        <f>IF(B4410="","",IFERROR(INDEX(Client_List!$C:$C,MATCH(VALUE(B4410),Client_List!$A:$A,0)),""))</f>
        <v/>
      </c>
      <c r="F4410" s="53">
        <f>IF(B4410="","",IFERROR(INDEX(Client_List!$D:$D,MATCH(VALUE(B4410),Client_List!$A:$A,0)),""))</f>
        <v/>
      </c>
      <c r="G4410" s="53">
        <f>IF(B4410="","",IFERROR(INDEX(Client_List!$K:$K,MATCH(VALUE(B4410),Client_List!$A:$A,0)),""))</f>
        <v/>
      </c>
      <c r="H4410" s="32">
        <f>IF(B4410="","",IFERROR(INDEX(Client_List!$J:$J,MATCH(VALUE(B4410),Client_List!$A:$A,0)),""))</f>
        <v/>
      </c>
      <c r="I4410" s="70">
        <f>IF(B4410="","",IFERROR(A4410-LOOKUP(2,1/($B$4:$B4409=B4410),$A$4:$A4409),""))</f>
        <v/>
      </c>
      <c r="J4410" s="32">
        <f>IF(B4410="","",IFERROR(D4410/I4410,""))</f>
        <v/>
      </c>
      <c r="K4410" s="71">
        <f>IF(B4410="","",IFERROR(AVERAGEIFS($J$4:$J4410,$B$4:$B4410,B4410,$J$4:$J4410,"&gt;"&amp;0),""))</f>
        <v/>
      </c>
      <c r="L4410" s="12" t="n"/>
    </row>
    <row r="4411" ht="14" customHeight="1" s="72">
      <c r="A4411" s="82" t="n"/>
      <c r="B4411" s="79" t="n"/>
      <c r="C4411" s="69">
        <f>IF(B4411="","",IFERROR(INDEX(Client_List!$B:$B,MATCH(B4411,Client_List!$A:$A,0)),"⚠ NOT FOUND"))</f>
        <v/>
      </c>
      <c r="D4411" s="44" t="n"/>
      <c r="E4411" s="32">
        <f>IF(B4411="","",IFERROR(INDEX(Client_List!$C:$C,MATCH(VALUE(B4411),Client_List!$A:$A,0)),""))</f>
        <v/>
      </c>
      <c r="F4411" s="53">
        <f>IF(B4411="","",IFERROR(INDEX(Client_List!$D:$D,MATCH(VALUE(B4411),Client_List!$A:$A,0)),""))</f>
        <v/>
      </c>
      <c r="G4411" s="53">
        <f>IF(B4411="","",IFERROR(INDEX(Client_List!$K:$K,MATCH(VALUE(B4411),Client_List!$A:$A,0)),""))</f>
        <v/>
      </c>
      <c r="H4411" s="32">
        <f>IF(B4411="","",IFERROR(INDEX(Client_List!$J:$J,MATCH(VALUE(B4411),Client_List!$A:$A,0)),""))</f>
        <v/>
      </c>
      <c r="I4411" s="70">
        <f>IF(B4411="","",IFERROR(A4411-LOOKUP(2,1/($B$4:$B4410=B4411),$A$4:$A4410),""))</f>
        <v/>
      </c>
      <c r="J4411" s="32">
        <f>IF(B4411="","",IFERROR(D4411/I4411,""))</f>
        <v/>
      </c>
      <c r="K4411" s="71">
        <f>IF(B4411="","",IFERROR(AVERAGEIFS($J$4:$J4411,$B$4:$B4411,B4411,$J$4:$J4411,"&gt;"&amp;0),""))</f>
        <v/>
      </c>
      <c r="L4411" s="11" t="n"/>
    </row>
    <row r="4412" ht="14" customHeight="1" s="72">
      <c r="A4412" s="83" t="n"/>
      <c r="B4412" s="81" t="n"/>
      <c r="C4412" s="69">
        <f>IF(B4412="","",IFERROR(INDEX(Client_List!$B:$B,MATCH(B4412,Client_List!$A:$A,0)),"⚠ NOT FOUND"))</f>
        <v/>
      </c>
      <c r="D4412" s="45" t="n"/>
      <c r="E4412" s="32">
        <f>IF(B4412="","",IFERROR(INDEX(Client_List!$C:$C,MATCH(VALUE(B4412),Client_List!$A:$A,0)),""))</f>
        <v/>
      </c>
      <c r="F4412" s="53">
        <f>IF(B4412="","",IFERROR(INDEX(Client_List!$D:$D,MATCH(VALUE(B4412),Client_List!$A:$A,0)),""))</f>
        <v/>
      </c>
      <c r="G4412" s="53">
        <f>IF(B4412="","",IFERROR(INDEX(Client_List!$K:$K,MATCH(VALUE(B4412),Client_List!$A:$A,0)),""))</f>
        <v/>
      </c>
      <c r="H4412" s="32">
        <f>IF(B4412="","",IFERROR(INDEX(Client_List!$J:$J,MATCH(VALUE(B4412),Client_List!$A:$A,0)),""))</f>
        <v/>
      </c>
      <c r="I4412" s="70">
        <f>IF(B4412="","",IFERROR(A4412-LOOKUP(2,1/($B$4:$B4411=B4412),$A$4:$A4411),""))</f>
        <v/>
      </c>
      <c r="J4412" s="32">
        <f>IF(B4412="","",IFERROR(D4412/I4412,""))</f>
        <v/>
      </c>
      <c r="K4412" s="71">
        <f>IF(B4412="","",IFERROR(AVERAGEIFS($J$4:$J4412,$B$4:$B4412,B4412,$J$4:$J4412,"&gt;"&amp;0),""))</f>
        <v/>
      </c>
      <c r="L4412" s="12" t="n"/>
    </row>
    <row r="4413" ht="14" customHeight="1" s="72">
      <c r="A4413" s="82" t="n"/>
      <c r="B4413" s="79" t="n"/>
      <c r="C4413" s="69">
        <f>IF(B4413="","",IFERROR(INDEX(Client_List!$B:$B,MATCH(B4413,Client_List!$A:$A,0)),"⚠ NOT FOUND"))</f>
        <v/>
      </c>
      <c r="D4413" s="44" t="n"/>
      <c r="E4413" s="32">
        <f>IF(B4413="","",IFERROR(INDEX(Client_List!$C:$C,MATCH(VALUE(B4413),Client_List!$A:$A,0)),""))</f>
        <v/>
      </c>
      <c r="F4413" s="53">
        <f>IF(B4413="","",IFERROR(INDEX(Client_List!$D:$D,MATCH(VALUE(B4413),Client_List!$A:$A,0)),""))</f>
        <v/>
      </c>
      <c r="G4413" s="53">
        <f>IF(B4413="","",IFERROR(INDEX(Client_List!$K:$K,MATCH(VALUE(B4413),Client_List!$A:$A,0)),""))</f>
        <v/>
      </c>
      <c r="H4413" s="32">
        <f>IF(B4413="","",IFERROR(INDEX(Client_List!$J:$J,MATCH(VALUE(B4413),Client_List!$A:$A,0)),""))</f>
        <v/>
      </c>
      <c r="I4413" s="70">
        <f>IF(B4413="","",IFERROR(A4413-LOOKUP(2,1/($B$4:$B4412=B4413),$A$4:$A4412),""))</f>
        <v/>
      </c>
      <c r="J4413" s="32">
        <f>IF(B4413="","",IFERROR(D4413/I4413,""))</f>
        <v/>
      </c>
      <c r="K4413" s="71">
        <f>IF(B4413="","",IFERROR(AVERAGEIFS($J$4:$J4413,$B$4:$B4413,B4413,$J$4:$J4413,"&gt;"&amp;0),""))</f>
        <v/>
      </c>
      <c r="L4413" s="11" t="n"/>
    </row>
    <row r="4414" ht="14" customHeight="1" s="72">
      <c r="A4414" s="83" t="n"/>
      <c r="B4414" s="81" t="n"/>
      <c r="C4414" s="69">
        <f>IF(B4414="","",IFERROR(INDEX(Client_List!$B:$B,MATCH(B4414,Client_List!$A:$A,0)),"⚠ NOT FOUND"))</f>
        <v/>
      </c>
      <c r="D4414" s="45" t="n"/>
      <c r="E4414" s="32">
        <f>IF(B4414="","",IFERROR(INDEX(Client_List!$C:$C,MATCH(VALUE(B4414),Client_List!$A:$A,0)),""))</f>
        <v/>
      </c>
      <c r="F4414" s="53">
        <f>IF(B4414="","",IFERROR(INDEX(Client_List!$D:$D,MATCH(VALUE(B4414),Client_List!$A:$A,0)),""))</f>
        <v/>
      </c>
      <c r="G4414" s="53">
        <f>IF(B4414="","",IFERROR(INDEX(Client_List!$K:$K,MATCH(VALUE(B4414),Client_List!$A:$A,0)),""))</f>
        <v/>
      </c>
      <c r="H4414" s="32">
        <f>IF(B4414="","",IFERROR(INDEX(Client_List!$J:$J,MATCH(VALUE(B4414),Client_List!$A:$A,0)),""))</f>
        <v/>
      </c>
      <c r="I4414" s="70">
        <f>IF(B4414="","",IFERROR(A4414-LOOKUP(2,1/($B$4:$B4413=B4414),$A$4:$A4413),""))</f>
        <v/>
      </c>
      <c r="J4414" s="32">
        <f>IF(B4414="","",IFERROR(D4414/I4414,""))</f>
        <v/>
      </c>
      <c r="K4414" s="71">
        <f>IF(B4414="","",IFERROR(AVERAGEIFS($J$4:$J4414,$B$4:$B4414,B4414,$J$4:$J4414,"&gt;"&amp;0),""))</f>
        <v/>
      </c>
      <c r="L4414" s="12" t="n"/>
    </row>
    <row r="4415" ht="14" customHeight="1" s="72">
      <c r="A4415" s="82" t="n"/>
      <c r="B4415" s="79" t="n"/>
      <c r="C4415" s="69">
        <f>IF(B4415="","",IFERROR(INDEX(Client_List!$B:$B,MATCH(B4415,Client_List!$A:$A,0)),"⚠ NOT FOUND"))</f>
        <v/>
      </c>
      <c r="D4415" s="44" t="n"/>
      <c r="E4415" s="32">
        <f>IF(B4415="","",IFERROR(INDEX(Client_List!$C:$C,MATCH(VALUE(B4415),Client_List!$A:$A,0)),""))</f>
        <v/>
      </c>
      <c r="F4415" s="53">
        <f>IF(B4415="","",IFERROR(INDEX(Client_List!$D:$D,MATCH(VALUE(B4415),Client_List!$A:$A,0)),""))</f>
        <v/>
      </c>
      <c r="G4415" s="53">
        <f>IF(B4415="","",IFERROR(INDEX(Client_List!$K:$K,MATCH(VALUE(B4415),Client_List!$A:$A,0)),""))</f>
        <v/>
      </c>
      <c r="H4415" s="32">
        <f>IF(B4415="","",IFERROR(INDEX(Client_List!$J:$J,MATCH(VALUE(B4415),Client_List!$A:$A,0)),""))</f>
        <v/>
      </c>
      <c r="I4415" s="70">
        <f>IF(B4415="","",IFERROR(A4415-LOOKUP(2,1/($B$4:$B4414=B4415),$A$4:$A4414),""))</f>
        <v/>
      </c>
      <c r="J4415" s="32">
        <f>IF(B4415="","",IFERROR(D4415/I4415,""))</f>
        <v/>
      </c>
      <c r="K4415" s="71">
        <f>IF(B4415="","",IFERROR(AVERAGEIFS($J$4:$J4415,$B$4:$B4415,B4415,$J$4:$J4415,"&gt;"&amp;0),""))</f>
        <v/>
      </c>
      <c r="L4415" s="11" t="n"/>
    </row>
    <row r="4416" ht="14" customHeight="1" s="72">
      <c r="A4416" s="83" t="n"/>
      <c r="B4416" s="81" t="n"/>
      <c r="C4416" s="69">
        <f>IF(B4416="","",IFERROR(INDEX(Client_List!$B:$B,MATCH(B4416,Client_List!$A:$A,0)),"⚠ NOT FOUND"))</f>
        <v/>
      </c>
      <c r="D4416" s="45" t="n"/>
      <c r="E4416" s="32">
        <f>IF(B4416="","",IFERROR(INDEX(Client_List!$C:$C,MATCH(VALUE(B4416),Client_List!$A:$A,0)),""))</f>
        <v/>
      </c>
      <c r="F4416" s="53">
        <f>IF(B4416="","",IFERROR(INDEX(Client_List!$D:$D,MATCH(VALUE(B4416),Client_List!$A:$A,0)),""))</f>
        <v/>
      </c>
      <c r="G4416" s="53">
        <f>IF(B4416="","",IFERROR(INDEX(Client_List!$K:$K,MATCH(VALUE(B4416),Client_List!$A:$A,0)),""))</f>
        <v/>
      </c>
      <c r="H4416" s="32">
        <f>IF(B4416="","",IFERROR(INDEX(Client_List!$J:$J,MATCH(VALUE(B4416),Client_List!$A:$A,0)),""))</f>
        <v/>
      </c>
      <c r="I4416" s="70">
        <f>IF(B4416="","",IFERROR(A4416-LOOKUP(2,1/($B$4:$B4415=B4416),$A$4:$A4415),""))</f>
        <v/>
      </c>
      <c r="J4416" s="32">
        <f>IF(B4416="","",IFERROR(D4416/I4416,""))</f>
        <v/>
      </c>
      <c r="K4416" s="71">
        <f>IF(B4416="","",IFERROR(AVERAGEIFS($J$4:$J4416,$B$4:$B4416,B4416,$J$4:$J4416,"&gt;"&amp;0),""))</f>
        <v/>
      </c>
      <c r="L4416" s="12" t="n"/>
    </row>
    <row r="4417" ht="14" customHeight="1" s="72">
      <c r="A4417" s="82" t="n"/>
      <c r="B4417" s="79" t="n"/>
      <c r="C4417" s="69">
        <f>IF(B4417="","",IFERROR(INDEX(Client_List!$B:$B,MATCH(B4417,Client_List!$A:$A,0)),"⚠ NOT FOUND"))</f>
        <v/>
      </c>
      <c r="D4417" s="44" t="n"/>
      <c r="E4417" s="32">
        <f>IF(B4417="","",IFERROR(INDEX(Client_List!$C:$C,MATCH(VALUE(B4417),Client_List!$A:$A,0)),""))</f>
        <v/>
      </c>
      <c r="F4417" s="53">
        <f>IF(B4417="","",IFERROR(INDEX(Client_List!$D:$D,MATCH(VALUE(B4417),Client_List!$A:$A,0)),""))</f>
        <v/>
      </c>
      <c r="G4417" s="53">
        <f>IF(B4417="","",IFERROR(INDEX(Client_List!$K:$K,MATCH(VALUE(B4417),Client_List!$A:$A,0)),""))</f>
        <v/>
      </c>
      <c r="H4417" s="32">
        <f>IF(B4417="","",IFERROR(INDEX(Client_List!$J:$J,MATCH(VALUE(B4417),Client_List!$A:$A,0)),""))</f>
        <v/>
      </c>
      <c r="I4417" s="70">
        <f>IF(B4417="","",IFERROR(A4417-LOOKUP(2,1/($B$4:$B4416=B4417),$A$4:$A4416),""))</f>
        <v/>
      </c>
      <c r="J4417" s="32">
        <f>IF(B4417="","",IFERROR(D4417/I4417,""))</f>
        <v/>
      </c>
      <c r="K4417" s="71">
        <f>IF(B4417="","",IFERROR(AVERAGEIFS($J$4:$J4417,$B$4:$B4417,B4417,$J$4:$J4417,"&gt;"&amp;0),""))</f>
        <v/>
      </c>
      <c r="L4417" s="11" t="n"/>
    </row>
    <row r="4418" ht="14" customHeight="1" s="72">
      <c r="A4418" s="83" t="n"/>
      <c r="B4418" s="81" t="n"/>
      <c r="C4418" s="69">
        <f>IF(B4418="","",IFERROR(INDEX(Client_List!$B:$B,MATCH(B4418,Client_List!$A:$A,0)),"⚠ NOT FOUND"))</f>
        <v/>
      </c>
      <c r="D4418" s="45" t="n"/>
      <c r="E4418" s="32">
        <f>IF(B4418="","",IFERROR(INDEX(Client_List!$C:$C,MATCH(VALUE(B4418),Client_List!$A:$A,0)),""))</f>
        <v/>
      </c>
      <c r="F4418" s="53">
        <f>IF(B4418="","",IFERROR(INDEX(Client_List!$D:$D,MATCH(VALUE(B4418),Client_List!$A:$A,0)),""))</f>
        <v/>
      </c>
      <c r="G4418" s="53">
        <f>IF(B4418="","",IFERROR(INDEX(Client_List!$K:$K,MATCH(VALUE(B4418),Client_List!$A:$A,0)),""))</f>
        <v/>
      </c>
      <c r="H4418" s="32">
        <f>IF(B4418="","",IFERROR(INDEX(Client_List!$J:$J,MATCH(VALUE(B4418),Client_List!$A:$A,0)),""))</f>
        <v/>
      </c>
      <c r="I4418" s="70">
        <f>IF(B4418="","",IFERROR(A4418-LOOKUP(2,1/($B$4:$B4417=B4418),$A$4:$A4417),""))</f>
        <v/>
      </c>
      <c r="J4418" s="32">
        <f>IF(B4418="","",IFERROR(D4418/I4418,""))</f>
        <v/>
      </c>
      <c r="K4418" s="71">
        <f>IF(B4418="","",IFERROR(AVERAGEIFS($J$4:$J4418,$B$4:$B4418,B4418,$J$4:$J4418,"&gt;"&amp;0),""))</f>
        <v/>
      </c>
      <c r="L4418" s="12" t="n"/>
    </row>
    <row r="4419" ht="14" customHeight="1" s="72">
      <c r="A4419" s="82" t="n"/>
      <c r="B4419" s="79" t="n"/>
      <c r="C4419" s="69">
        <f>IF(B4419="","",IFERROR(INDEX(Client_List!$B:$B,MATCH(B4419,Client_List!$A:$A,0)),"⚠ NOT FOUND"))</f>
        <v/>
      </c>
      <c r="D4419" s="44" t="n"/>
      <c r="E4419" s="32">
        <f>IF(B4419="","",IFERROR(INDEX(Client_List!$C:$C,MATCH(VALUE(B4419),Client_List!$A:$A,0)),""))</f>
        <v/>
      </c>
      <c r="F4419" s="53">
        <f>IF(B4419="","",IFERROR(INDEX(Client_List!$D:$D,MATCH(VALUE(B4419),Client_List!$A:$A,0)),""))</f>
        <v/>
      </c>
      <c r="G4419" s="53">
        <f>IF(B4419="","",IFERROR(INDEX(Client_List!$K:$K,MATCH(VALUE(B4419),Client_List!$A:$A,0)),""))</f>
        <v/>
      </c>
      <c r="H4419" s="32">
        <f>IF(B4419="","",IFERROR(INDEX(Client_List!$J:$J,MATCH(VALUE(B4419),Client_List!$A:$A,0)),""))</f>
        <v/>
      </c>
      <c r="I4419" s="70">
        <f>IF(B4419="","",IFERROR(A4419-LOOKUP(2,1/($B$4:$B4418=B4419),$A$4:$A4418),""))</f>
        <v/>
      </c>
      <c r="J4419" s="32">
        <f>IF(B4419="","",IFERROR(D4419/I4419,""))</f>
        <v/>
      </c>
      <c r="K4419" s="71">
        <f>IF(B4419="","",IFERROR(AVERAGEIFS($J$4:$J4419,$B$4:$B4419,B4419,$J$4:$J4419,"&gt;"&amp;0),""))</f>
        <v/>
      </c>
      <c r="L4419" s="11" t="n"/>
    </row>
    <row r="4420" ht="14" customHeight="1" s="72">
      <c r="A4420" s="83" t="n"/>
      <c r="B4420" s="81" t="n"/>
      <c r="C4420" s="69">
        <f>IF(B4420="","",IFERROR(INDEX(Client_List!$B:$B,MATCH(B4420,Client_List!$A:$A,0)),"⚠ NOT FOUND"))</f>
        <v/>
      </c>
      <c r="D4420" s="45" t="n"/>
      <c r="E4420" s="32">
        <f>IF(B4420="","",IFERROR(INDEX(Client_List!$C:$C,MATCH(VALUE(B4420),Client_List!$A:$A,0)),""))</f>
        <v/>
      </c>
      <c r="F4420" s="53">
        <f>IF(B4420="","",IFERROR(INDEX(Client_List!$D:$D,MATCH(VALUE(B4420),Client_List!$A:$A,0)),""))</f>
        <v/>
      </c>
      <c r="G4420" s="53">
        <f>IF(B4420="","",IFERROR(INDEX(Client_List!$K:$K,MATCH(VALUE(B4420),Client_List!$A:$A,0)),""))</f>
        <v/>
      </c>
      <c r="H4420" s="32">
        <f>IF(B4420="","",IFERROR(INDEX(Client_List!$J:$J,MATCH(VALUE(B4420),Client_List!$A:$A,0)),""))</f>
        <v/>
      </c>
      <c r="I4420" s="70">
        <f>IF(B4420="","",IFERROR(A4420-LOOKUP(2,1/($B$4:$B4419=B4420),$A$4:$A4419),""))</f>
        <v/>
      </c>
      <c r="J4420" s="32">
        <f>IF(B4420="","",IFERROR(D4420/I4420,""))</f>
        <v/>
      </c>
      <c r="K4420" s="71">
        <f>IF(B4420="","",IFERROR(AVERAGEIFS($J$4:$J4420,$B$4:$B4420,B4420,$J$4:$J4420,"&gt;"&amp;0),""))</f>
        <v/>
      </c>
      <c r="L4420" s="12" t="n"/>
    </row>
    <row r="4421" ht="14" customHeight="1" s="72">
      <c r="A4421" s="82" t="n"/>
      <c r="B4421" s="79" t="n"/>
      <c r="C4421" s="69">
        <f>IF(B4421="","",IFERROR(INDEX(Client_List!$B:$B,MATCH(B4421,Client_List!$A:$A,0)),"⚠ NOT FOUND"))</f>
        <v/>
      </c>
      <c r="D4421" s="44" t="n"/>
      <c r="E4421" s="32">
        <f>IF(B4421="","",IFERROR(INDEX(Client_List!$C:$C,MATCH(VALUE(B4421),Client_List!$A:$A,0)),""))</f>
        <v/>
      </c>
      <c r="F4421" s="53">
        <f>IF(B4421="","",IFERROR(INDEX(Client_List!$D:$D,MATCH(VALUE(B4421),Client_List!$A:$A,0)),""))</f>
        <v/>
      </c>
      <c r="G4421" s="53">
        <f>IF(B4421="","",IFERROR(INDEX(Client_List!$K:$K,MATCH(VALUE(B4421),Client_List!$A:$A,0)),""))</f>
        <v/>
      </c>
      <c r="H4421" s="32">
        <f>IF(B4421="","",IFERROR(INDEX(Client_List!$J:$J,MATCH(VALUE(B4421),Client_List!$A:$A,0)),""))</f>
        <v/>
      </c>
      <c r="I4421" s="70">
        <f>IF(B4421="","",IFERROR(A4421-LOOKUP(2,1/($B$4:$B4420=B4421),$A$4:$A4420),""))</f>
        <v/>
      </c>
      <c r="J4421" s="32">
        <f>IF(B4421="","",IFERROR(D4421/I4421,""))</f>
        <v/>
      </c>
      <c r="K4421" s="71">
        <f>IF(B4421="","",IFERROR(AVERAGEIFS($J$4:$J4421,$B$4:$B4421,B4421,$J$4:$J4421,"&gt;"&amp;0),""))</f>
        <v/>
      </c>
      <c r="L4421" s="11" t="n"/>
    </row>
    <row r="4422" ht="14" customHeight="1" s="72">
      <c r="A4422" s="83" t="n"/>
      <c r="B4422" s="81" t="n"/>
      <c r="C4422" s="69">
        <f>IF(B4422="","",IFERROR(INDEX(Client_List!$B:$B,MATCH(B4422,Client_List!$A:$A,0)),"⚠ NOT FOUND"))</f>
        <v/>
      </c>
      <c r="D4422" s="45" t="n"/>
      <c r="E4422" s="32">
        <f>IF(B4422="","",IFERROR(INDEX(Client_List!$C:$C,MATCH(VALUE(B4422),Client_List!$A:$A,0)),""))</f>
        <v/>
      </c>
      <c r="F4422" s="53">
        <f>IF(B4422="","",IFERROR(INDEX(Client_List!$D:$D,MATCH(VALUE(B4422),Client_List!$A:$A,0)),""))</f>
        <v/>
      </c>
      <c r="G4422" s="53">
        <f>IF(B4422="","",IFERROR(INDEX(Client_List!$K:$K,MATCH(VALUE(B4422),Client_List!$A:$A,0)),""))</f>
        <v/>
      </c>
      <c r="H4422" s="32">
        <f>IF(B4422="","",IFERROR(INDEX(Client_List!$J:$J,MATCH(VALUE(B4422),Client_List!$A:$A,0)),""))</f>
        <v/>
      </c>
      <c r="I4422" s="70">
        <f>IF(B4422="","",IFERROR(A4422-LOOKUP(2,1/($B$4:$B4421=B4422),$A$4:$A4421),""))</f>
        <v/>
      </c>
      <c r="J4422" s="32">
        <f>IF(B4422="","",IFERROR(D4422/I4422,""))</f>
        <v/>
      </c>
      <c r="K4422" s="71">
        <f>IF(B4422="","",IFERROR(AVERAGEIFS($J$4:$J4422,$B$4:$B4422,B4422,$J$4:$J4422,"&gt;"&amp;0),""))</f>
        <v/>
      </c>
      <c r="L4422" s="12" t="n"/>
    </row>
    <row r="4423" ht="14" customHeight="1" s="72">
      <c r="A4423" s="82" t="n"/>
      <c r="B4423" s="79" t="n"/>
      <c r="C4423" s="69">
        <f>IF(B4423="","",IFERROR(INDEX(Client_List!$B:$B,MATCH(B4423,Client_List!$A:$A,0)),"⚠ NOT FOUND"))</f>
        <v/>
      </c>
      <c r="D4423" s="44" t="n"/>
      <c r="E4423" s="32">
        <f>IF(B4423="","",IFERROR(INDEX(Client_List!$C:$C,MATCH(VALUE(B4423),Client_List!$A:$A,0)),""))</f>
        <v/>
      </c>
      <c r="F4423" s="53">
        <f>IF(B4423="","",IFERROR(INDEX(Client_List!$D:$D,MATCH(VALUE(B4423),Client_List!$A:$A,0)),""))</f>
        <v/>
      </c>
      <c r="G4423" s="53">
        <f>IF(B4423="","",IFERROR(INDEX(Client_List!$K:$K,MATCH(VALUE(B4423),Client_List!$A:$A,0)),""))</f>
        <v/>
      </c>
      <c r="H4423" s="32">
        <f>IF(B4423="","",IFERROR(INDEX(Client_List!$J:$J,MATCH(VALUE(B4423),Client_List!$A:$A,0)),""))</f>
        <v/>
      </c>
      <c r="I4423" s="70">
        <f>IF(B4423="","",IFERROR(A4423-LOOKUP(2,1/($B$4:$B4422=B4423),$A$4:$A4422),""))</f>
        <v/>
      </c>
      <c r="J4423" s="32">
        <f>IF(B4423="","",IFERROR(D4423/I4423,""))</f>
        <v/>
      </c>
      <c r="K4423" s="71">
        <f>IF(B4423="","",IFERROR(AVERAGEIFS($J$4:$J4423,$B$4:$B4423,B4423,$J$4:$J4423,"&gt;"&amp;0),""))</f>
        <v/>
      </c>
      <c r="L4423" s="11" t="n"/>
    </row>
    <row r="4424" ht="14" customHeight="1" s="72">
      <c r="A4424" s="83" t="n"/>
      <c r="B4424" s="81" t="n"/>
      <c r="C4424" s="69">
        <f>IF(B4424="","",IFERROR(INDEX(Client_List!$B:$B,MATCH(B4424,Client_List!$A:$A,0)),"⚠ NOT FOUND"))</f>
        <v/>
      </c>
      <c r="D4424" s="45" t="n"/>
      <c r="E4424" s="32">
        <f>IF(B4424="","",IFERROR(INDEX(Client_List!$C:$C,MATCH(VALUE(B4424),Client_List!$A:$A,0)),""))</f>
        <v/>
      </c>
      <c r="F4424" s="53">
        <f>IF(B4424="","",IFERROR(INDEX(Client_List!$D:$D,MATCH(VALUE(B4424),Client_List!$A:$A,0)),""))</f>
        <v/>
      </c>
      <c r="G4424" s="53">
        <f>IF(B4424="","",IFERROR(INDEX(Client_List!$K:$K,MATCH(VALUE(B4424),Client_List!$A:$A,0)),""))</f>
        <v/>
      </c>
      <c r="H4424" s="32">
        <f>IF(B4424="","",IFERROR(INDEX(Client_List!$J:$J,MATCH(VALUE(B4424),Client_List!$A:$A,0)),""))</f>
        <v/>
      </c>
      <c r="I4424" s="70">
        <f>IF(B4424="","",IFERROR(A4424-LOOKUP(2,1/($B$4:$B4423=B4424),$A$4:$A4423),""))</f>
        <v/>
      </c>
      <c r="J4424" s="32">
        <f>IF(B4424="","",IFERROR(D4424/I4424,""))</f>
        <v/>
      </c>
      <c r="K4424" s="71">
        <f>IF(B4424="","",IFERROR(AVERAGEIFS($J$4:$J4424,$B$4:$B4424,B4424,$J$4:$J4424,"&gt;"&amp;0),""))</f>
        <v/>
      </c>
      <c r="L4424" s="12" t="n"/>
    </row>
    <row r="4425" ht="14" customHeight="1" s="72">
      <c r="A4425" s="82" t="n"/>
      <c r="B4425" s="79" t="n"/>
      <c r="C4425" s="69">
        <f>IF(B4425="","",IFERROR(INDEX(Client_List!$B:$B,MATCH(B4425,Client_List!$A:$A,0)),"⚠ NOT FOUND"))</f>
        <v/>
      </c>
      <c r="D4425" s="44" t="n"/>
      <c r="E4425" s="32">
        <f>IF(B4425="","",IFERROR(INDEX(Client_List!$C:$C,MATCH(VALUE(B4425),Client_List!$A:$A,0)),""))</f>
        <v/>
      </c>
      <c r="F4425" s="53">
        <f>IF(B4425="","",IFERROR(INDEX(Client_List!$D:$D,MATCH(VALUE(B4425),Client_List!$A:$A,0)),""))</f>
        <v/>
      </c>
      <c r="G4425" s="53">
        <f>IF(B4425="","",IFERROR(INDEX(Client_List!$K:$K,MATCH(VALUE(B4425),Client_List!$A:$A,0)),""))</f>
        <v/>
      </c>
      <c r="H4425" s="32">
        <f>IF(B4425="","",IFERROR(INDEX(Client_List!$J:$J,MATCH(VALUE(B4425),Client_List!$A:$A,0)),""))</f>
        <v/>
      </c>
      <c r="I4425" s="70">
        <f>IF(B4425="","",IFERROR(A4425-LOOKUP(2,1/($B$4:$B4424=B4425),$A$4:$A4424),""))</f>
        <v/>
      </c>
      <c r="J4425" s="32">
        <f>IF(B4425="","",IFERROR(D4425/I4425,""))</f>
        <v/>
      </c>
      <c r="K4425" s="71">
        <f>IF(B4425="","",IFERROR(AVERAGEIFS($J$4:$J4425,$B$4:$B4425,B4425,$J$4:$J4425,"&gt;"&amp;0),""))</f>
        <v/>
      </c>
      <c r="L4425" s="11" t="n"/>
    </row>
    <row r="4426" ht="14" customHeight="1" s="72">
      <c r="A4426" s="83" t="n"/>
      <c r="B4426" s="81" t="n"/>
      <c r="C4426" s="69">
        <f>IF(B4426="","",IFERROR(INDEX(Client_List!$B:$B,MATCH(B4426,Client_List!$A:$A,0)),"⚠ NOT FOUND"))</f>
        <v/>
      </c>
      <c r="D4426" s="45" t="n"/>
      <c r="E4426" s="32">
        <f>IF(B4426="","",IFERROR(INDEX(Client_List!$C:$C,MATCH(VALUE(B4426),Client_List!$A:$A,0)),""))</f>
        <v/>
      </c>
      <c r="F4426" s="53">
        <f>IF(B4426="","",IFERROR(INDEX(Client_List!$D:$D,MATCH(VALUE(B4426),Client_List!$A:$A,0)),""))</f>
        <v/>
      </c>
      <c r="G4426" s="53">
        <f>IF(B4426="","",IFERROR(INDEX(Client_List!$K:$K,MATCH(VALUE(B4426),Client_List!$A:$A,0)),""))</f>
        <v/>
      </c>
      <c r="H4426" s="32">
        <f>IF(B4426="","",IFERROR(INDEX(Client_List!$J:$J,MATCH(VALUE(B4426),Client_List!$A:$A,0)),""))</f>
        <v/>
      </c>
      <c r="I4426" s="70">
        <f>IF(B4426="","",IFERROR(A4426-LOOKUP(2,1/($B$4:$B4425=B4426),$A$4:$A4425),""))</f>
        <v/>
      </c>
      <c r="J4426" s="32">
        <f>IF(B4426="","",IFERROR(D4426/I4426,""))</f>
        <v/>
      </c>
      <c r="K4426" s="71">
        <f>IF(B4426="","",IFERROR(AVERAGEIFS($J$4:$J4426,$B$4:$B4426,B4426,$J$4:$J4426,"&gt;"&amp;0),""))</f>
        <v/>
      </c>
      <c r="L4426" s="12" t="n"/>
    </row>
    <row r="4427" ht="14" customHeight="1" s="72">
      <c r="A4427" s="82" t="n"/>
      <c r="B4427" s="79" t="n"/>
      <c r="C4427" s="69">
        <f>IF(B4427="","",IFERROR(INDEX(Client_List!$B:$B,MATCH(B4427,Client_List!$A:$A,0)),"⚠ NOT FOUND"))</f>
        <v/>
      </c>
      <c r="D4427" s="44" t="n"/>
      <c r="E4427" s="32">
        <f>IF(B4427="","",IFERROR(INDEX(Client_List!$C:$C,MATCH(VALUE(B4427),Client_List!$A:$A,0)),""))</f>
        <v/>
      </c>
      <c r="F4427" s="53">
        <f>IF(B4427="","",IFERROR(INDEX(Client_List!$D:$D,MATCH(VALUE(B4427),Client_List!$A:$A,0)),""))</f>
        <v/>
      </c>
      <c r="G4427" s="53">
        <f>IF(B4427="","",IFERROR(INDEX(Client_List!$K:$K,MATCH(VALUE(B4427),Client_List!$A:$A,0)),""))</f>
        <v/>
      </c>
      <c r="H4427" s="32">
        <f>IF(B4427="","",IFERROR(INDEX(Client_List!$J:$J,MATCH(VALUE(B4427),Client_List!$A:$A,0)),""))</f>
        <v/>
      </c>
      <c r="I4427" s="70">
        <f>IF(B4427="","",IFERROR(A4427-LOOKUP(2,1/($B$4:$B4426=B4427),$A$4:$A4426),""))</f>
        <v/>
      </c>
      <c r="J4427" s="32">
        <f>IF(B4427="","",IFERROR(D4427/I4427,""))</f>
        <v/>
      </c>
      <c r="K4427" s="71">
        <f>IF(B4427="","",IFERROR(AVERAGEIFS($J$4:$J4427,$B$4:$B4427,B4427,$J$4:$J4427,"&gt;"&amp;0),""))</f>
        <v/>
      </c>
      <c r="L4427" s="11" t="n"/>
    </row>
    <row r="4428" ht="14" customHeight="1" s="72">
      <c r="A4428" s="83" t="n"/>
      <c r="B4428" s="81" t="n"/>
      <c r="C4428" s="69">
        <f>IF(B4428="","",IFERROR(INDEX(Client_List!$B:$B,MATCH(B4428,Client_List!$A:$A,0)),"⚠ NOT FOUND"))</f>
        <v/>
      </c>
      <c r="D4428" s="45" t="n"/>
      <c r="E4428" s="32">
        <f>IF(B4428="","",IFERROR(INDEX(Client_List!$C:$C,MATCH(VALUE(B4428),Client_List!$A:$A,0)),""))</f>
        <v/>
      </c>
      <c r="F4428" s="53">
        <f>IF(B4428="","",IFERROR(INDEX(Client_List!$D:$D,MATCH(VALUE(B4428),Client_List!$A:$A,0)),""))</f>
        <v/>
      </c>
      <c r="G4428" s="53">
        <f>IF(B4428="","",IFERROR(INDEX(Client_List!$K:$K,MATCH(VALUE(B4428),Client_List!$A:$A,0)),""))</f>
        <v/>
      </c>
      <c r="H4428" s="32">
        <f>IF(B4428="","",IFERROR(INDEX(Client_List!$J:$J,MATCH(VALUE(B4428),Client_List!$A:$A,0)),""))</f>
        <v/>
      </c>
      <c r="I4428" s="70">
        <f>IF(B4428="","",IFERROR(A4428-LOOKUP(2,1/($B$4:$B4427=B4428),$A$4:$A4427),""))</f>
        <v/>
      </c>
      <c r="J4428" s="32">
        <f>IF(B4428="","",IFERROR(D4428/I4428,""))</f>
        <v/>
      </c>
      <c r="K4428" s="71">
        <f>IF(B4428="","",IFERROR(AVERAGEIFS($J$4:$J4428,$B$4:$B4428,B4428,$J$4:$J4428,"&gt;"&amp;0),""))</f>
        <v/>
      </c>
      <c r="L4428" s="12" t="n"/>
    </row>
    <row r="4429" ht="14" customHeight="1" s="72">
      <c r="A4429" s="82" t="n"/>
      <c r="B4429" s="79" t="n"/>
      <c r="C4429" s="69">
        <f>IF(B4429="","",IFERROR(INDEX(Client_List!$B:$B,MATCH(B4429,Client_List!$A:$A,0)),"⚠ NOT FOUND"))</f>
        <v/>
      </c>
      <c r="D4429" s="44" t="n"/>
      <c r="E4429" s="32">
        <f>IF(B4429="","",IFERROR(INDEX(Client_List!$C:$C,MATCH(VALUE(B4429),Client_List!$A:$A,0)),""))</f>
        <v/>
      </c>
      <c r="F4429" s="53">
        <f>IF(B4429="","",IFERROR(INDEX(Client_List!$D:$D,MATCH(VALUE(B4429),Client_List!$A:$A,0)),""))</f>
        <v/>
      </c>
      <c r="G4429" s="53">
        <f>IF(B4429="","",IFERROR(INDEX(Client_List!$K:$K,MATCH(VALUE(B4429),Client_List!$A:$A,0)),""))</f>
        <v/>
      </c>
      <c r="H4429" s="32">
        <f>IF(B4429="","",IFERROR(INDEX(Client_List!$J:$J,MATCH(VALUE(B4429),Client_List!$A:$A,0)),""))</f>
        <v/>
      </c>
      <c r="I4429" s="70">
        <f>IF(B4429="","",IFERROR(A4429-LOOKUP(2,1/($B$4:$B4428=B4429),$A$4:$A4428),""))</f>
        <v/>
      </c>
      <c r="J4429" s="32">
        <f>IF(B4429="","",IFERROR(D4429/I4429,""))</f>
        <v/>
      </c>
      <c r="K4429" s="71">
        <f>IF(B4429="","",IFERROR(AVERAGEIFS($J$4:$J4429,$B$4:$B4429,B4429,$J$4:$J4429,"&gt;"&amp;0),""))</f>
        <v/>
      </c>
      <c r="L4429" s="11" t="n"/>
    </row>
    <row r="4430" ht="14" customHeight="1" s="72">
      <c r="A4430" s="83" t="n"/>
      <c r="B4430" s="81" t="n"/>
      <c r="C4430" s="69">
        <f>IF(B4430="","",IFERROR(INDEX(Client_List!$B:$B,MATCH(B4430,Client_List!$A:$A,0)),"⚠ NOT FOUND"))</f>
        <v/>
      </c>
      <c r="D4430" s="45" t="n"/>
      <c r="E4430" s="32">
        <f>IF(B4430="","",IFERROR(INDEX(Client_List!$C:$C,MATCH(VALUE(B4430),Client_List!$A:$A,0)),""))</f>
        <v/>
      </c>
      <c r="F4430" s="53">
        <f>IF(B4430="","",IFERROR(INDEX(Client_List!$D:$D,MATCH(VALUE(B4430),Client_List!$A:$A,0)),""))</f>
        <v/>
      </c>
      <c r="G4430" s="53">
        <f>IF(B4430="","",IFERROR(INDEX(Client_List!$K:$K,MATCH(VALUE(B4430),Client_List!$A:$A,0)),""))</f>
        <v/>
      </c>
      <c r="H4430" s="32">
        <f>IF(B4430="","",IFERROR(INDEX(Client_List!$J:$J,MATCH(VALUE(B4430),Client_List!$A:$A,0)),""))</f>
        <v/>
      </c>
      <c r="I4430" s="70">
        <f>IF(B4430="","",IFERROR(A4430-LOOKUP(2,1/($B$4:$B4429=B4430),$A$4:$A4429),""))</f>
        <v/>
      </c>
      <c r="J4430" s="32">
        <f>IF(B4430="","",IFERROR(D4430/I4430,""))</f>
        <v/>
      </c>
      <c r="K4430" s="71">
        <f>IF(B4430="","",IFERROR(AVERAGEIFS($J$4:$J4430,$B$4:$B4430,B4430,$J$4:$J4430,"&gt;"&amp;0),""))</f>
        <v/>
      </c>
      <c r="L4430" s="12" t="n"/>
    </row>
    <row r="4431" ht="14" customHeight="1" s="72">
      <c r="A4431" s="82" t="n"/>
      <c r="B4431" s="79" t="n"/>
      <c r="C4431" s="69">
        <f>IF(B4431="","",IFERROR(INDEX(Client_List!$B:$B,MATCH(B4431,Client_List!$A:$A,0)),"⚠ NOT FOUND"))</f>
        <v/>
      </c>
      <c r="D4431" s="44" t="n"/>
      <c r="E4431" s="32">
        <f>IF(B4431="","",IFERROR(INDEX(Client_List!$C:$C,MATCH(VALUE(B4431),Client_List!$A:$A,0)),""))</f>
        <v/>
      </c>
      <c r="F4431" s="53">
        <f>IF(B4431="","",IFERROR(INDEX(Client_List!$D:$D,MATCH(VALUE(B4431),Client_List!$A:$A,0)),""))</f>
        <v/>
      </c>
      <c r="G4431" s="53">
        <f>IF(B4431="","",IFERROR(INDEX(Client_List!$K:$K,MATCH(VALUE(B4431),Client_List!$A:$A,0)),""))</f>
        <v/>
      </c>
      <c r="H4431" s="32">
        <f>IF(B4431="","",IFERROR(INDEX(Client_List!$J:$J,MATCH(VALUE(B4431),Client_List!$A:$A,0)),""))</f>
        <v/>
      </c>
      <c r="I4431" s="70">
        <f>IF(B4431="","",IFERROR(A4431-LOOKUP(2,1/($B$4:$B4430=B4431),$A$4:$A4430),""))</f>
        <v/>
      </c>
      <c r="J4431" s="32">
        <f>IF(B4431="","",IFERROR(D4431/I4431,""))</f>
        <v/>
      </c>
      <c r="K4431" s="71">
        <f>IF(B4431="","",IFERROR(AVERAGEIFS($J$4:$J4431,$B$4:$B4431,B4431,$J$4:$J4431,"&gt;"&amp;0),""))</f>
        <v/>
      </c>
      <c r="L4431" s="11" t="n"/>
    </row>
    <row r="4432" ht="14" customHeight="1" s="72">
      <c r="A4432" s="83" t="n"/>
      <c r="B4432" s="81" t="n"/>
      <c r="C4432" s="69">
        <f>IF(B4432="","",IFERROR(INDEX(Client_List!$B:$B,MATCH(B4432,Client_List!$A:$A,0)),"⚠ NOT FOUND"))</f>
        <v/>
      </c>
      <c r="D4432" s="45" t="n"/>
      <c r="E4432" s="32">
        <f>IF(B4432="","",IFERROR(INDEX(Client_List!$C:$C,MATCH(VALUE(B4432),Client_List!$A:$A,0)),""))</f>
        <v/>
      </c>
      <c r="F4432" s="53">
        <f>IF(B4432="","",IFERROR(INDEX(Client_List!$D:$D,MATCH(VALUE(B4432),Client_List!$A:$A,0)),""))</f>
        <v/>
      </c>
      <c r="G4432" s="53">
        <f>IF(B4432="","",IFERROR(INDEX(Client_List!$K:$K,MATCH(VALUE(B4432),Client_List!$A:$A,0)),""))</f>
        <v/>
      </c>
      <c r="H4432" s="32">
        <f>IF(B4432="","",IFERROR(INDEX(Client_List!$J:$J,MATCH(VALUE(B4432),Client_List!$A:$A,0)),""))</f>
        <v/>
      </c>
      <c r="I4432" s="70">
        <f>IF(B4432="","",IFERROR(A4432-LOOKUP(2,1/($B$4:$B4431=B4432),$A$4:$A4431),""))</f>
        <v/>
      </c>
      <c r="J4432" s="32">
        <f>IF(B4432="","",IFERROR(D4432/I4432,""))</f>
        <v/>
      </c>
      <c r="K4432" s="71">
        <f>IF(B4432="","",IFERROR(AVERAGEIFS($J$4:$J4432,$B$4:$B4432,B4432,$J$4:$J4432,"&gt;"&amp;0),""))</f>
        <v/>
      </c>
      <c r="L4432" s="12" t="n"/>
    </row>
    <row r="4433" ht="14" customHeight="1" s="72">
      <c r="A4433" s="82" t="n"/>
      <c r="B4433" s="79" t="n"/>
      <c r="C4433" s="69">
        <f>IF(B4433="","",IFERROR(INDEX(Client_List!$B:$B,MATCH(B4433,Client_List!$A:$A,0)),"⚠ NOT FOUND"))</f>
        <v/>
      </c>
      <c r="D4433" s="44" t="n"/>
      <c r="E4433" s="32">
        <f>IF(B4433="","",IFERROR(INDEX(Client_List!$C:$C,MATCH(VALUE(B4433),Client_List!$A:$A,0)),""))</f>
        <v/>
      </c>
      <c r="F4433" s="53">
        <f>IF(B4433="","",IFERROR(INDEX(Client_List!$D:$D,MATCH(VALUE(B4433),Client_List!$A:$A,0)),""))</f>
        <v/>
      </c>
      <c r="G4433" s="53">
        <f>IF(B4433="","",IFERROR(INDEX(Client_List!$K:$K,MATCH(VALUE(B4433),Client_List!$A:$A,0)),""))</f>
        <v/>
      </c>
      <c r="H4433" s="32">
        <f>IF(B4433="","",IFERROR(INDEX(Client_List!$J:$J,MATCH(VALUE(B4433),Client_List!$A:$A,0)),""))</f>
        <v/>
      </c>
      <c r="I4433" s="70">
        <f>IF(B4433="","",IFERROR(A4433-LOOKUP(2,1/($B$4:$B4432=B4433),$A$4:$A4432),""))</f>
        <v/>
      </c>
      <c r="J4433" s="32">
        <f>IF(B4433="","",IFERROR(D4433/I4433,""))</f>
        <v/>
      </c>
      <c r="K4433" s="71">
        <f>IF(B4433="","",IFERROR(AVERAGEIFS($J$4:$J4433,$B$4:$B4433,B4433,$J$4:$J4433,"&gt;"&amp;0),""))</f>
        <v/>
      </c>
      <c r="L4433" s="11" t="n"/>
    </row>
    <row r="4434" ht="14" customHeight="1" s="72">
      <c r="A4434" s="83" t="n"/>
      <c r="B4434" s="81" t="n"/>
      <c r="C4434" s="69">
        <f>IF(B4434="","",IFERROR(INDEX(Client_List!$B:$B,MATCH(B4434,Client_List!$A:$A,0)),"⚠ NOT FOUND"))</f>
        <v/>
      </c>
      <c r="D4434" s="45" t="n"/>
      <c r="E4434" s="32">
        <f>IF(B4434="","",IFERROR(INDEX(Client_List!$C:$C,MATCH(VALUE(B4434),Client_List!$A:$A,0)),""))</f>
        <v/>
      </c>
      <c r="F4434" s="53">
        <f>IF(B4434="","",IFERROR(INDEX(Client_List!$D:$D,MATCH(VALUE(B4434),Client_List!$A:$A,0)),""))</f>
        <v/>
      </c>
      <c r="G4434" s="53">
        <f>IF(B4434="","",IFERROR(INDEX(Client_List!$K:$K,MATCH(VALUE(B4434),Client_List!$A:$A,0)),""))</f>
        <v/>
      </c>
      <c r="H4434" s="32">
        <f>IF(B4434="","",IFERROR(INDEX(Client_List!$J:$J,MATCH(VALUE(B4434),Client_List!$A:$A,0)),""))</f>
        <v/>
      </c>
      <c r="I4434" s="70">
        <f>IF(B4434="","",IFERROR(A4434-LOOKUP(2,1/($B$4:$B4433=B4434),$A$4:$A4433),""))</f>
        <v/>
      </c>
      <c r="J4434" s="32">
        <f>IF(B4434="","",IFERROR(D4434/I4434,""))</f>
        <v/>
      </c>
      <c r="K4434" s="71">
        <f>IF(B4434="","",IFERROR(AVERAGEIFS($J$4:$J4434,$B$4:$B4434,B4434,$J$4:$J4434,"&gt;"&amp;0),""))</f>
        <v/>
      </c>
      <c r="L4434" s="12" t="n"/>
    </row>
    <row r="4435" ht="14" customHeight="1" s="72">
      <c r="A4435" s="82" t="n"/>
      <c r="B4435" s="79" t="n"/>
      <c r="C4435" s="69">
        <f>IF(B4435="","",IFERROR(INDEX(Client_List!$B:$B,MATCH(B4435,Client_List!$A:$A,0)),"⚠ NOT FOUND"))</f>
        <v/>
      </c>
      <c r="D4435" s="44" t="n"/>
      <c r="E4435" s="32">
        <f>IF(B4435="","",IFERROR(INDEX(Client_List!$C:$C,MATCH(VALUE(B4435),Client_List!$A:$A,0)),""))</f>
        <v/>
      </c>
      <c r="F4435" s="53">
        <f>IF(B4435="","",IFERROR(INDEX(Client_List!$D:$D,MATCH(VALUE(B4435),Client_List!$A:$A,0)),""))</f>
        <v/>
      </c>
      <c r="G4435" s="53">
        <f>IF(B4435="","",IFERROR(INDEX(Client_List!$K:$K,MATCH(VALUE(B4435),Client_List!$A:$A,0)),""))</f>
        <v/>
      </c>
      <c r="H4435" s="32">
        <f>IF(B4435="","",IFERROR(INDEX(Client_List!$J:$J,MATCH(VALUE(B4435),Client_List!$A:$A,0)),""))</f>
        <v/>
      </c>
      <c r="I4435" s="70">
        <f>IF(B4435="","",IFERROR(A4435-LOOKUP(2,1/($B$4:$B4434=B4435),$A$4:$A4434),""))</f>
        <v/>
      </c>
      <c r="J4435" s="32">
        <f>IF(B4435="","",IFERROR(D4435/I4435,""))</f>
        <v/>
      </c>
      <c r="K4435" s="71">
        <f>IF(B4435="","",IFERROR(AVERAGEIFS($J$4:$J4435,$B$4:$B4435,B4435,$J$4:$J4435,"&gt;"&amp;0),""))</f>
        <v/>
      </c>
      <c r="L4435" s="11" t="n"/>
    </row>
    <row r="4436" ht="14" customHeight="1" s="72">
      <c r="A4436" s="83" t="n"/>
      <c r="B4436" s="81" t="n"/>
      <c r="C4436" s="69">
        <f>IF(B4436="","",IFERROR(INDEX(Client_List!$B:$B,MATCH(B4436,Client_List!$A:$A,0)),"⚠ NOT FOUND"))</f>
        <v/>
      </c>
      <c r="D4436" s="45" t="n"/>
      <c r="E4436" s="32">
        <f>IF(B4436="","",IFERROR(INDEX(Client_List!$C:$C,MATCH(VALUE(B4436),Client_List!$A:$A,0)),""))</f>
        <v/>
      </c>
      <c r="F4436" s="53">
        <f>IF(B4436="","",IFERROR(INDEX(Client_List!$D:$D,MATCH(VALUE(B4436),Client_List!$A:$A,0)),""))</f>
        <v/>
      </c>
      <c r="G4436" s="53">
        <f>IF(B4436="","",IFERROR(INDEX(Client_List!$K:$K,MATCH(VALUE(B4436),Client_List!$A:$A,0)),""))</f>
        <v/>
      </c>
      <c r="H4436" s="32">
        <f>IF(B4436="","",IFERROR(INDEX(Client_List!$J:$J,MATCH(VALUE(B4436),Client_List!$A:$A,0)),""))</f>
        <v/>
      </c>
      <c r="I4436" s="70">
        <f>IF(B4436="","",IFERROR(A4436-LOOKUP(2,1/($B$4:$B4435=B4436),$A$4:$A4435),""))</f>
        <v/>
      </c>
      <c r="J4436" s="32">
        <f>IF(B4436="","",IFERROR(D4436/I4436,""))</f>
        <v/>
      </c>
      <c r="K4436" s="71">
        <f>IF(B4436="","",IFERROR(AVERAGEIFS($J$4:$J4436,$B$4:$B4436,B4436,$J$4:$J4436,"&gt;"&amp;0),""))</f>
        <v/>
      </c>
      <c r="L4436" s="12" t="n"/>
    </row>
    <row r="4437" ht="14" customHeight="1" s="72">
      <c r="A4437" s="82" t="n"/>
      <c r="B4437" s="79" t="n"/>
      <c r="C4437" s="69">
        <f>IF(B4437="","",IFERROR(INDEX(Client_List!$B:$B,MATCH(B4437,Client_List!$A:$A,0)),"⚠ NOT FOUND"))</f>
        <v/>
      </c>
      <c r="D4437" s="44" t="n"/>
      <c r="E4437" s="32">
        <f>IF(B4437="","",IFERROR(INDEX(Client_List!$C:$C,MATCH(VALUE(B4437),Client_List!$A:$A,0)),""))</f>
        <v/>
      </c>
      <c r="F4437" s="53">
        <f>IF(B4437="","",IFERROR(INDEX(Client_List!$D:$D,MATCH(VALUE(B4437),Client_List!$A:$A,0)),""))</f>
        <v/>
      </c>
      <c r="G4437" s="53">
        <f>IF(B4437="","",IFERROR(INDEX(Client_List!$K:$K,MATCH(VALUE(B4437),Client_List!$A:$A,0)),""))</f>
        <v/>
      </c>
      <c r="H4437" s="32">
        <f>IF(B4437="","",IFERROR(INDEX(Client_List!$J:$J,MATCH(VALUE(B4437),Client_List!$A:$A,0)),""))</f>
        <v/>
      </c>
      <c r="I4437" s="70">
        <f>IF(B4437="","",IFERROR(A4437-LOOKUP(2,1/($B$4:$B4436=B4437),$A$4:$A4436),""))</f>
        <v/>
      </c>
      <c r="J4437" s="32">
        <f>IF(B4437="","",IFERROR(D4437/I4437,""))</f>
        <v/>
      </c>
      <c r="K4437" s="71">
        <f>IF(B4437="","",IFERROR(AVERAGEIFS($J$4:$J4437,$B$4:$B4437,B4437,$J$4:$J4437,"&gt;"&amp;0),""))</f>
        <v/>
      </c>
      <c r="L4437" s="11" t="n"/>
    </row>
    <row r="4438" ht="14" customHeight="1" s="72">
      <c r="A4438" s="83" t="n"/>
      <c r="B4438" s="81" t="n"/>
      <c r="C4438" s="69">
        <f>IF(B4438="","",IFERROR(INDEX(Client_List!$B:$B,MATCH(B4438,Client_List!$A:$A,0)),"⚠ NOT FOUND"))</f>
        <v/>
      </c>
      <c r="D4438" s="45" t="n"/>
      <c r="E4438" s="32">
        <f>IF(B4438="","",IFERROR(INDEX(Client_List!$C:$C,MATCH(VALUE(B4438),Client_List!$A:$A,0)),""))</f>
        <v/>
      </c>
      <c r="F4438" s="53">
        <f>IF(B4438="","",IFERROR(INDEX(Client_List!$D:$D,MATCH(VALUE(B4438),Client_List!$A:$A,0)),""))</f>
        <v/>
      </c>
      <c r="G4438" s="53">
        <f>IF(B4438="","",IFERROR(INDEX(Client_List!$K:$K,MATCH(VALUE(B4438),Client_List!$A:$A,0)),""))</f>
        <v/>
      </c>
      <c r="H4438" s="32">
        <f>IF(B4438="","",IFERROR(INDEX(Client_List!$J:$J,MATCH(VALUE(B4438),Client_List!$A:$A,0)),""))</f>
        <v/>
      </c>
      <c r="I4438" s="70">
        <f>IF(B4438="","",IFERROR(A4438-LOOKUP(2,1/($B$4:$B4437=B4438),$A$4:$A4437),""))</f>
        <v/>
      </c>
      <c r="J4438" s="32">
        <f>IF(B4438="","",IFERROR(D4438/I4438,""))</f>
        <v/>
      </c>
      <c r="K4438" s="71">
        <f>IF(B4438="","",IFERROR(AVERAGEIFS($J$4:$J4438,$B$4:$B4438,B4438,$J$4:$J4438,"&gt;"&amp;0),""))</f>
        <v/>
      </c>
      <c r="L4438" s="12" t="n"/>
    </row>
    <row r="4439" ht="14" customHeight="1" s="72">
      <c r="A4439" s="82" t="n"/>
      <c r="B4439" s="79" t="n"/>
      <c r="C4439" s="69">
        <f>IF(B4439="","",IFERROR(INDEX(Client_List!$B:$B,MATCH(B4439,Client_List!$A:$A,0)),"⚠ NOT FOUND"))</f>
        <v/>
      </c>
      <c r="D4439" s="44" t="n"/>
      <c r="E4439" s="32">
        <f>IF(B4439="","",IFERROR(INDEX(Client_List!$C:$C,MATCH(VALUE(B4439),Client_List!$A:$A,0)),""))</f>
        <v/>
      </c>
      <c r="F4439" s="53">
        <f>IF(B4439="","",IFERROR(INDEX(Client_List!$D:$D,MATCH(VALUE(B4439),Client_List!$A:$A,0)),""))</f>
        <v/>
      </c>
      <c r="G4439" s="53">
        <f>IF(B4439="","",IFERROR(INDEX(Client_List!$K:$K,MATCH(VALUE(B4439),Client_List!$A:$A,0)),""))</f>
        <v/>
      </c>
      <c r="H4439" s="32">
        <f>IF(B4439="","",IFERROR(INDEX(Client_List!$J:$J,MATCH(VALUE(B4439),Client_List!$A:$A,0)),""))</f>
        <v/>
      </c>
      <c r="I4439" s="70">
        <f>IF(B4439="","",IFERROR(A4439-LOOKUP(2,1/($B$4:$B4438=B4439),$A$4:$A4438),""))</f>
        <v/>
      </c>
      <c r="J4439" s="32">
        <f>IF(B4439="","",IFERROR(D4439/I4439,""))</f>
        <v/>
      </c>
      <c r="K4439" s="71">
        <f>IF(B4439="","",IFERROR(AVERAGEIFS($J$4:$J4439,$B$4:$B4439,B4439,$J$4:$J4439,"&gt;"&amp;0),""))</f>
        <v/>
      </c>
      <c r="L4439" s="11" t="n"/>
    </row>
    <row r="4440" ht="14" customHeight="1" s="72">
      <c r="A4440" s="83" t="n"/>
      <c r="B4440" s="81" t="n"/>
      <c r="C4440" s="69">
        <f>IF(B4440="","",IFERROR(INDEX(Client_List!$B:$B,MATCH(B4440,Client_List!$A:$A,0)),"⚠ NOT FOUND"))</f>
        <v/>
      </c>
      <c r="D4440" s="45" t="n"/>
      <c r="E4440" s="32">
        <f>IF(B4440="","",IFERROR(INDEX(Client_List!$C:$C,MATCH(VALUE(B4440),Client_List!$A:$A,0)),""))</f>
        <v/>
      </c>
      <c r="F4440" s="53">
        <f>IF(B4440="","",IFERROR(INDEX(Client_List!$D:$D,MATCH(VALUE(B4440),Client_List!$A:$A,0)),""))</f>
        <v/>
      </c>
      <c r="G4440" s="53">
        <f>IF(B4440="","",IFERROR(INDEX(Client_List!$K:$K,MATCH(VALUE(B4440),Client_List!$A:$A,0)),""))</f>
        <v/>
      </c>
      <c r="H4440" s="32">
        <f>IF(B4440="","",IFERROR(INDEX(Client_List!$J:$J,MATCH(VALUE(B4440),Client_List!$A:$A,0)),""))</f>
        <v/>
      </c>
      <c r="I4440" s="70">
        <f>IF(B4440="","",IFERROR(A4440-LOOKUP(2,1/($B$4:$B4439=B4440),$A$4:$A4439),""))</f>
        <v/>
      </c>
      <c r="J4440" s="32">
        <f>IF(B4440="","",IFERROR(D4440/I4440,""))</f>
        <v/>
      </c>
      <c r="K4440" s="71">
        <f>IF(B4440="","",IFERROR(AVERAGEIFS($J$4:$J4440,$B$4:$B4440,B4440,$J$4:$J4440,"&gt;"&amp;0),""))</f>
        <v/>
      </c>
      <c r="L4440" s="12" t="n"/>
    </row>
    <row r="4441" ht="14" customHeight="1" s="72">
      <c r="A4441" s="82" t="n"/>
      <c r="B4441" s="79" t="n"/>
      <c r="C4441" s="69">
        <f>IF(B4441="","",IFERROR(INDEX(Client_List!$B:$B,MATCH(B4441,Client_List!$A:$A,0)),"⚠ NOT FOUND"))</f>
        <v/>
      </c>
      <c r="D4441" s="44" t="n"/>
      <c r="E4441" s="32">
        <f>IF(B4441="","",IFERROR(INDEX(Client_List!$C:$C,MATCH(VALUE(B4441),Client_List!$A:$A,0)),""))</f>
        <v/>
      </c>
      <c r="F4441" s="53">
        <f>IF(B4441="","",IFERROR(INDEX(Client_List!$D:$D,MATCH(VALUE(B4441),Client_List!$A:$A,0)),""))</f>
        <v/>
      </c>
      <c r="G4441" s="53">
        <f>IF(B4441="","",IFERROR(INDEX(Client_List!$K:$K,MATCH(VALUE(B4441),Client_List!$A:$A,0)),""))</f>
        <v/>
      </c>
      <c r="H4441" s="32">
        <f>IF(B4441="","",IFERROR(INDEX(Client_List!$J:$J,MATCH(VALUE(B4441),Client_List!$A:$A,0)),""))</f>
        <v/>
      </c>
      <c r="I4441" s="70">
        <f>IF(B4441="","",IFERROR(A4441-LOOKUP(2,1/($B$4:$B4440=B4441),$A$4:$A4440),""))</f>
        <v/>
      </c>
      <c r="J4441" s="32">
        <f>IF(B4441="","",IFERROR(D4441/I4441,""))</f>
        <v/>
      </c>
      <c r="K4441" s="71">
        <f>IF(B4441="","",IFERROR(AVERAGEIFS($J$4:$J4441,$B$4:$B4441,B4441,$J$4:$J4441,"&gt;"&amp;0),""))</f>
        <v/>
      </c>
      <c r="L4441" s="11" t="n"/>
    </row>
    <row r="4442" ht="14" customHeight="1" s="72">
      <c r="A4442" s="83" t="n"/>
      <c r="B4442" s="81" t="n"/>
      <c r="C4442" s="69">
        <f>IF(B4442="","",IFERROR(INDEX(Client_List!$B:$B,MATCH(B4442,Client_List!$A:$A,0)),"⚠ NOT FOUND"))</f>
        <v/>
      </c>
      <c r="D4442" s="45" t="n"/>
      <c r="E4442" s="32">
        <f>IF(B4442="","",IFERROR(INDEX(Client_List!$C:$C,MATCH(VALUE(B4442),Client_List!$A:$A,0)),""))</f>
        <v/>
      </c>
      <c r="F4442" s="53">
        <f>IF(B4442="","",IFERROR(INDEX(Client_List!$D:$D,MATCH(VALUE(B4442),Client_List!$A:$A,0)),""))</f>
        <v/>
      </c>
      <c r="G4442" s="53">
        <f>IF(B4442="","",IFERROR(INDEX(Client_List!$K:$K,MATCH(VALUE(B4442),Client_List!$A:$A,0)),""))</f>
        <v/>
      </c>
      <c r="H4442" s="32">
        <f>IF(B4442="","",IFERROR(INDEX(Client_List!$J:$J,MATCH(VALUE(B4442),Client_List!$A:$A,0)),""))</f>
        <v/>
      </c>
      <c r="I4442" s="70">
        <f>IF(B4442="","",IFERROR(A4442-LOOKUP(2,1/($B$4:$B4441=B4442),$A$4:$A4441),""))</f>
        <v/>
      </c>
      <c r="J4442" s="32">
        <f>IF(B4442="","",IFERROR(D4442/I4442,""))</f>
        <v/>
      </c>
      <c r="K4442" s="71">
        <f>IF(B4442="","",IFERROR(AVERAGEIFS($J$4:$J4442,$B$4:$B4442,B4442,$J$4:$J4442,"&gt;"&amp;0),""))</f>
        <v/>
      </c>
      <c r="L4442" s="12" t="n"/>
    </row>
    <row r="4443" ht="14" customHeight="1" s="72">
      <c r="A4443" s="82" t="n"/>
      <c r="B4443" s="79" t="n"/>
      <c r="C4443" s="69">
        <f>IF(B4443="","",IFERROR(INDEX(Client_List!$B:$B,MATCH(B4443,Client_List!$A:$A,0)),"⚠ NOT FOUND"))</f>
        <v/>
      </c>
      <c r="D4443" s="44" t="n"/>
      <c r="E4443" s="32">
        <f>IF(B4443="","",IFERROR(INDEX(Client_List!$C:$C,MATCH(VALUE(B4443),Client_List!$A:$A,0)),""))</f>
        <v/>
      </c>
      <c r="F4443" s="53">
        <f>IF(B4443="","",IFERROR(INDEX(Client_List!$D:$D,MATCH(VALUE(B4443),Client_List!$A:$A,0)),""))</f>
        <v/>
      </c>
      <c r="G4443" s="53">
        <f>IF(B4443="","",IFERROR(INDEX(Client_List!$K:$K,MATCH(VALUE(B4443),Client_List!$A:$A,0)),""))</f>
        <v/>
      </c>
      <c r="H4443" s="32">
        <f>IF(B4443="","",IFERROR(INDEX(Client_List!$J:$J,MATCH(VALUE(B4443),Client_List!$A:$A,0)),""))</f>
        <v/>
      </c>
      <c r="I4443" s="70">
        <f>IF(B4443="","",IFERROR(A4443-LOOKUP(2,1/($B$4:$B4442=B4443),$A$4:$A4442),""))</f>
        <v/>
      </c>
      <c r="J4443" s="32">
        <f>IF(B4443="","",IFERROR(D4443/I4443,""))</f>
        <v/>
      </c>
      <c r="K4443" s="71">
        <f>IF(B4443="","",IFERROR(AVERAGEIFS($J$4:$J4443,$B$4:$B4443,B4443,$J$4:$J4443,"&gt;"&amp;0),""))</f>
        <v/>
      </c>
      <c r="L4443" s="11" t="n"/>
    </row>
    <row r="4444" ht="14" customHeight="1" s="72">
      <c r="A4444" s="83" t="n"/>
      <c r="B4444" s="81" t="n"/>
      <c r="C4444" s="69">
        <f>IF(B4444="","",IFERROR(INDEX(Client_List!$B:$B,MATCH(B4444,Client_List!$A:$A,0)),"⚠ NOT FOUND"))</f>
        <v/>
      </c>
      <c r="D4444" s="45" t="n"/>
      <c r="E4444" s="32">
        <f>IF(B4444="","",IFERROR(INDEX(Client_List!$C:$C,MATCH(VALUE(B4444),Client_List!$A:$A,0)),""))</f>
        <v/>
      </c>
      <c r="F4444" s="53">
        <f>IF(B4444="","",IFERROR(INDEX(Client_List!$D:$D,MATCH(VALUE(B4444),Client_List!$A:$A,0)),""))</f>
        <v/>
      </c>
      <c r="G4444" s="53">
        <f>IF(B4444="","",IFERROR(INDEX(Client_List!$K:$K,MATCH(VALUE(B4444),Client_List!$A:$A,0)),""))</f>
        <v/>
      </c>
      <c r="H4444" s="32">
        <f>IF(B4444="","",IFERROR(INDEX(Client_List!$J:$J,MATCH(VALUE(B4444),Client_List!$A:$A,0)),""))</f>
        <v/>
      </c>
      <c r="I4444" s="70">
        <f>IF(B4444="","",IFERROR(A4444-LOOKUP(2,1/($B$4:$B4443=B4444),$A$4:$A4443),""))</f>
        <v/>
      </c>
      <c r="J4444" s="32">
        <f>IF(B4444="","",IFERROR(D4444/I4444,""))</f>
        <v/>
      </c>
      <c r="K4444" s="71">
        <f>IF(B4444="","",IFERROR(AVERAGEIFS($J$4:$J4444,$B$4:$B4444,B4444,$J$4:$J4444,"&gt;"&amp;0),""))</f>
        <v/>
      </c>
      <c r="L4444" s="12" t="n"/>
    </row>
    <row r="4445" ht="14" customHeight="1" s="72">
      <c r="A4445" s="82" t="n"/>
      <c r="B4445" s="79" t="n"/>
      <c r="C4445" s="69">
        <f>IF(B4445="","",IFERROR(INDEX(Client_List!$B:$B,MATCH(B4445,Client_List!$A:$A,0)),"⚠ NOT FOUND"))</f>
        <v/>
      </c>
      <c r="D4445" s="44" t="n"/>
      <c r="E4445" s="32">
        <f>IF(B4445="","",IFERROR(INDEX(Client_List!$C:$C,MATCH(VALUE(B4445),Client_List!$A:$A,0)),""))</f>
        <v/>
      </c>
      <c r="F4445" s="53">
        <f>IF(B4445="","",IFERROR(INDEX(Client_List!$D:$D,MATCH(VALUE(B4445),Client_List!$A:$A,0)),""))</f>
        <v/>
      </c>
      <c r="G4445" s="53">
        <f>IF(B4445="","",IFERROR(INDEX(Client_List!$K:$K,MATCH(VALUE(B4445),Client_List!$A:$A,0)),""))</f>
        <v/>
      </c>
      <c r="H4445" s="32">
        <f>IF(B4445="","",IFERROR(INDEX(Client_List!$J:$J,MATCH(VALUE(B4445),Client_List!$A:$A,0)),""))</f>
        <v/>
      </c>
      <c r="I4445" s="70">
        <f>IF(B4445="","",IFERROR(A4445-LOOKUP(2,1/($B$4:$B4444=B4445),$A$4:$A4444),""))</f>
        <v/>
      </c>
      <c r="J4445" s="32">
        <f>IF(B4445="","",IFERROR(D4445/I4445,""))</f>
        <v/>
      </c>
      <c r="K4445" s="71">
        <f>IF(B4445="","",IFERROR(AVERAGEIFS($J$4:$J4445,$B$4:$B4445,B4445,$J$4:$J4445,"&gt;"&amp;0),""))</f>
        <v/>
      </c>
      <c r="L4445" s="11" t="n"/>
    </row>
    <row r="4446" ht="14" customHeight="1" s="72">
      <c r="A4446" s="83" t="n"/>
      <c r="B4446" s="81" t="n"/>
      <c r="C4446" s="69">
        <f>IF(B4446="","",IFERROR(INDEX(Client_List!$B:$B,MATCH(B4446,Client_List!$A:$A,0)),"⚠ NOT FOUND"))</f>
        <v/>
      </c>
      <c r="D4446" s="45" t="n"/>
      <c r="E4446" s="32">
        <f>IF(B4446="","",IFERROR(INDEX(Client_List!$C:$C,MATCH(VALUE(B4446),Client_List!$A:$A,0)),""))</f>
        <v/>
      </c>
      <c r="F4446" s="53">
        <f>IF(B4446="","",IFERROR(INDEX(Client_List!$D:$D,MATCH(VALUE(B4446),Client_List!$A:$A,0)),""))</f>
        <v/>
      </c>
      <c r="G4446" s="53">
        <f>IF(B4446="","",IFERROR(INDEX(Client_List!$K:$K,MATCH(VALUE(B4446),Client_List!$A:$A,0)),""))</f>
        <v/>
      </c>
      <c r="H4446" s="32">
        <f>IF(B4446="","",IFERROR(INDEX(Client_List!$J:$J,MATCH(VALUE(B4446),Client_List!$A:$A,0)),""))</f>
        <v/>
      </c>
      <c r="I4446" s="70">
        <f>IF(B4446="","",IFERROR(A4446-LOOKUP(2,1/($B$4:$B4445=B4446),$A$4:$A4445),""))</f>
        <v/>
      </c>
      <c r="J4446" s="32">
        <f>IF(B4446="","",IFERROR(D4446/I4446,""))</f>
        <v/>
      </c>
      <c r="K4446" s="71">
        <f>IF(B4446="","",IFERROR(AVERAGEIFS($J$4:$J4446,$B$4:$B4446,B4446,$J$4:$J4446,"&gt;"&amp;0),""))</f>
        <v/>
      </c>
      <c r="L4446" s="12" t="n"/>
    </row>
    <row r="4447" ht="14" customHeight="1" s="72">
      <c r="A4447" s="82" t="n"/>
      <c r="B4447" s="79" t="n"/>
      <c r="C4447" s="69">
        <f>IF(B4447="","",IFERROR(INDEX(Client_List!$B:$B,MATCH(B4447,Client_List!$A:$A,0)),"⚠ NOT FOUND"))</f>
        <v/>
      </c>
      <c r="D4447" s="44" t="n"/>
      <c r="E4447" s="32">
        <f>IF(B4447="","",IFERROR(INDEX(Client_List!$C:$C,MATCH(VALUE(B4447),Client_List!$A:$A,0)),""))</f>
        <v/>
      </c>
      <c r="F4447" s="53">
        <f>IF(B4447="","",IFERROR(INDEX(Client_List!$D:$D,MATCH(VALUE(B4447),Client_List!$A:$A,0)),""))</f>
        <v/>
      </c>
      <c r="G4447" s="53">
        <f>IF(B4447="","",IFERROR(INDEX(Client_List!$K:$K,MATCH(VALUE(B4447),Client_List!$A:$A,0)),""))</f>
        <v/>
      </c>
      <c r="H4447" s="32">
        <f>IF(B4447="","",IFERROR(INDEX(Client_List!$J:$J,MATCH(VALUE(B4447),Client_List!$A:$A,0)),""))</f>
        <v/>
      </c>
      <c r="I4447" s="70">
        <f>IF(B4447="","",IFERROR(A4447-LOOKUP(2,1/($B$4:$B4446=B4447),$A$4:$A4446),""))</f>
        <v/>
      </c>
      <c r="J4447" s="32">
        <f>IF(B4447="","",IFERROR(D4447/I4447,""))</f>
        <v/>
      </c>
      <c r="K4447" s="71">
        <f>IF(B4447="","",IFERROR(AVERAGEIFS($J$4:$J4447,$B$4:$B4447,B4447,$J$4:$J4447,"&gt;"&amp;0),""))</f>
        <v/>
      </c>
      <c r="L4447" s="11" t="n"/>
    </row>
    <row r="4448" ht="14" customHeight="1" s="72">
      <c r="A4448" s="83" t="n"/>
      <c r="B4448" s="81" t="n"/>
      <c r="C4448" s="69">
        <f>IF(B4448="","",IFERROR(INDEX(Client_List!$B:$B,MATCH(B4448,Client_List!$A:$A,0)),"⚠ NOT FOUND"))</f>
        <v/>
      </c>
      <c r="D4448" s="45" t="n"/>
      <c r="E4448" s="32">
        <f>IF(B4448="","",IFERROR(INDEX(Client_List!$C:$C,MATCH(VALUE(B4448),Client_List!$A:$A,0)),""))</f>
        <v/>
      </c>
      <c r="F4448" s="53">
        <f>IF(B4448="","",IFERROR(INDEX(Client_List!$D:$D,MATCH(VALUE(B4448),Client_List!$A:$A,0)),""))</f>
        <v/>
      </c>
      <c r="G4448" s="53">
        <f>IF(B4448="","",IFERROR(INDEX(Client_List!$K:$K,MATCH(VALUE(B4448),Client_List!$A:$A,0)),""))</f>
        <v/>
      </c>
      <c r="H4448" s="32">
        <f>IF(B4448="","",IFERROR(INDEX(Client_List!$J:$J,MATCH(VALUE(B4448),Client_List!$A:$A,0)),""))</f>
        <v/>
      </c>
      <c r="I4448" s="70">
        <f>IF(B4448="","",IFERROR(A4448-LOOKUP(2,1/($B$4:$B4447=B4448),$A$4:$A4447),""))</f>
        <v/>
      </c>
      <c r="J4448" s="32">
        <f>IF(B4448="","",IFERROR(D4448/I4448,""))</f>
        <v/>
      </c>
      <c r="K4448" s="71">
        <f>IF(B4448="","",IFERROR(AVERAGEIFS($J$4:$J4448,$B$4:$B4448,B4448,$J$4:$J4448,"&gt;"&amp;0),""))</f>
        <v/>
      </c>
      <c r="L4448" s="12" t="n"/>
    </row>
    <row r="4449" ht="14" customHeight="1" s="72">
      <c r="A4449" s="82" t="n"/>
      <c r="B4449" s="79" t="n"/>
      <c r="C4449" s="69">
        <f>IF(B4449="","",IFERROR(INDEX(Client_List!$B:$B,MATCH(B4449,Client_List!$A:$A,0)),"⚠ NOT FOUND"))</f>
        <v/>
      </c>
      <c r="D4449" s="44" t="n"/>
      <c r="E4449" s="32">
        <f>IF(B4449="","",IFERROR(INDEX(Client_List!$C:$C,MATCH(VALUE(B4449),Client_List!$A:$A,0)),""))</f>
        <v/>
      </c>
      <c r="F4449" s="53">
        <f>IF(B4449="","",IFERROR(INDEX(Client_List!$D:$D,MATCH(VALUE(B4449),Client_List!$A:$A,0)),""))</f>
        <v/>
      </c>
      <c r="G4449" s="53">
        <f>IF(B4449="","",IFERROR(INDEX(Client_List!$K:$K,MATCH(VALUE(B4449),Client_List!$A:$A,0)),""))</f>
        <v/>
      </c>
      <c r="H4449" s="32">
        <f>IF(B4449="","",IFERROR(INDEX(Client_List!$J:$J,MATCH(VALUE(B4449),Client_List!$A:$A,0)),""))</f>
        <v/>
      </c>
      <c r="I4449" s="70">
        <f>IF(B4449="","",IFERROR(A4449-LOOKUP(2,1/($B$4:$B4448=B4449),$A$4:$A4448),""))</f>
        <v/>
      </c>
      <c r="J4449" s="32">
        <f>IF(B4449="","",IFERROR(D4449/I4449,""))</f>
        <v/>
      </c>
      <c r="K4449" s="71">
        <f>IF(B4449="","",IFERROR(AVERAGEIFS($J$4:$J4449,$B$4:$B4449,B4449,$J$4:$J4449,"&gt;"&amp;0),""))</f>
        <v/>
      </c>
      <c r="L4449" s="11" t="n"/>
    </row>
    <row r="4450" ht="14" customHeight="1" s="72">
      <c r="A4450" s="83" t="n"/>
      <c r="B4450" s="81" t="n"/>
      <c r="C4450" s="69">
        <f>IF(B4450="","",IFERROR(INDEX(Client_List!$B:$B,MATCH(B4450,Client_List!$A:$A,0)),"⚠ NOT FOUND"))</f>
        <v/>
      </c>
      <c r="D4450" s="45" t="n"/>
      <c r="E4450" s="32">
        <f>IF(B4450="","",IFERROR(INDEX(Client_List!$C:$C,MATCH(VALUE(B4450),Client_List!$A:$A,0)),""))</f>
        <v/>
      </c>
      <c r="F4450" s="53">
        <f>IF(B4450="","",IFERROR(INDEX(Client_List!$D:$D,MATCH(VALUE(B4450),Client_List!$A:$A,0)),""))</f>
        <v/>
      </c>
      <c r="G4450" s="53">
        <f>IF(B4450="","",IFERROR(INDEX(Client_List!$K:$K,MATCH(VALUE(B4450),Client_List!$A:$A,0)),""))</f>
        <v/>
      </c>
      <c r="H4450" s="32">
        <f>IF(B4450="","",IFERROR(INDEX(Client_List!$J:$J,MATCH(VALUE(B4450),Client_List!$A:$A,0)),""))</f>
        <v/>
      </c>
      <c r="I4450" s="70">
        <f>IF(B4450="","",IFERROR(A4450-LOOKUP(2,1/($B$4:$B4449=B4450),$A$4:$A4449),""))</f>
        <v/>
      </c>
      <c r="J4450" s="32">
        <f>IF(B4450="","",IFERROR(D4450/I4450,""))</f>
        <v/>
      </c>
      <c r="K4450" s="71">
        <f>IF(B4450="","",IFERROR(AVERAGEIFS($J$4:$J4450,$B$4:$B4450,B4450,$J$4:$J4450,"&gt;"&amp;0),""))</f>
        <v/>
      </c>
      <c r="L4450" s="12" t="n"/>
    </row>
    <row r="4451" ht="14" customHeight="1" s="72">
      <c r="A4451" s="82" t="n"/>
      <c r="B4451" s="79" t="n"/>
      <c r="C4451" s="69">
        <f>IF(B4451="","",IFERROR(INDEX(Client_List!$B:$B,MATCH(B4451,Client_List!$A:$A,0)),"⚠ NOT FOUND"))</f>
        <v/>
      </c>
      <c r="D4451" s="44" t="n"/>
      <c r="E4451" s="32">
        <f>IF(B4451="","",IFERROR(INDEX(Client_List!$C:$C,MATCH(VALUE(B4451),Client_List!$A:$A,0)),""))</f>
        <v/>
      </c>
      <c r="F4451" s="53">
        <f>IF(B4451="","",IFERROR(INDEX(Client_List!$D:$D,MATCH(VALUE(B4451),Client_List!$A:$A,0)),""))</f>
        <v/>
      </c>
      <c r="G4451" s="53">
        <f>IF(B4451="","",IFERROR(INDEX(Client_List!$K:$K,MATCH(VALUE(B4451),Client_List!$A:$A,0)),""))</f>
        <v/>
      </c>
      <c r="H4451" s="32">
        <f>IF(B4451="","",IFERROR(INDEX(Client_List!$J:$J,MATCH(VALUE(B4451),Client_List!$A:$A,0)),""))</f>
        <v/>
      </c>
      <c r="I4451" s="70">
        <f>IF(B4451="","",IFERROR(A4451-LOOKUP(2,1/($B$4:$B4450=B4451),$A$4:$A4450),""))</f>
        <v/>
      </c>
      <c r="J4451" s="32">
        <f>IF(B4451="","",IFERROR(D4451/I4451,""))</f>
        <v/>
      </c>
      <c r="K4451" s="71">
        <f>IF(B4451="","",IFERROR(AVERAGEIFS($J$4:$J4451,$B$4:$B4451,B4451,$J$4:$J4451,"&gt;"&amp;0),""))</f>
        <v/>
      </c>
      <c r="L4451" s="11" t="n"/>
    </row>
    <row r="4452" ht="14" customHeight="1" s="72">
      <c r="A4452" s="83" t="n"/>
      <c r="B4452" s="81" t="n"/>
      <c r="C4452" s="69">
        <f>IF(B4452="","",IFERROR(INDEX(Client_List!$B:$B,MATCH(B4452,Client_List!$A:$A,0)),"⚠ NOT FOUND"))</f>
        <v/>
      </c>
      <c r="D4452" s="45" t="n"/>
      <c r="E4452" s="32">
        <f>IF(B4452="","",IFERROR(INDEX(Client_List!$C:$C,MATCH(VALUE(B4452),Client_List!$A:$A,0)),""))</f>
        <v/>
      </c>
      <c r="F4452" s="53">
        <f>IF(B4452="","",IFERROR(INDEX(Client_List!$D:$D,MATCH(VALUE(B4452),Client_List!$A:$A,0)),""))</f>
        <v/>
      </c>
      <c r="G4452" s="53">
        <f>IF(B4452="","",IFERROR(INDEX(Client_List!$K:$K,MATCH(VALUE(B4452),Client_List!$A:$A,0)),""))</f>
        <v/>
      </c>
      <c r="H4452" s="32">
        <f>IF(B4452="","",IFERROR(INDEX(Client_List!$J:$J,MATCH(VALUE(B4452),Client_List!$A:$A,0)),""))</f>
        <v/>
      </c>
      <c r="I4452" s="70">
        <f>IF(B4452="","",IFERROR(A4452-LOOKUP(2,1/($B$4:$B4451=B4452),$A$4:$A4451),""))</f>
        <v/>
      </c>
      <c r="J4452" s="32">
        <f>IF(B4452="","",IFERROR(D4452/I4452,""))</f>
        <v/>
      </c>
      <c r="K4452" s="71">
        <f>IF(B4452="","",IFERROR(AVERAGEIFS($J$4:$J4452,$B$4:$B4452,B4452,$J$4:$J4452,"&gt;"&amp;0),""))</f>
        <v/>
      </c>
      <c r="L4452" s="12" t="n"/>
    </row>
    <row r="4453" ht="14" customHeight="1" s="72">
      <c r="A4453" s="82" t="n"/>
      <c r="B4453" s="79" t="n"/>
      <c r="C4453" s="69">
        <f>IF(B4453="","",IFERROR(INDEX(Client_List!$B:$B,MATCH(B4453,Client_List!$A:$A,0)),"⚠ NOT FOUND"))</f>
        <v/>
      </c>
      <c r="D4453" s="44" t="n"/>
      <c r="E4453" s="32">
        <f>IF(B4453="","",IFERROR(INDEX(Client_List!$C:$C,MATCH(VALUE(B4453),Client_List!$A:$A,0)),""))</f>
        <v/>
      </c>
      <c r="F4453" s="53">
        <f>IF(B4453="","",IFERROR(INDEX(Client_List!$D:$D,MATCH(VALUE(B4453),Client_List!$A:$A,0)),""))</f>
        <v/>
      </c>
      <c r="G4453" s="53">
        <f>IF(B4453="","",IFERROR(INDEX(Client_List!$K:$K,MATCH(VALUE(B4453),Client_List!$A:$A,0)),""))</f>
        <v/>
      </c>
      <c r="H4453" s="32">
        <f>IF(B4453="","",IFERROR(INDEX(Client_List!$J:$J,MATCH(VALUE(B4453),Client_List!$A:$A,0)),""))</f>
        <v/>
      </c>
      <c r="I4453" s="70">
        <f>IF(B4453="","",IFERROR(A4453-LOOKUP(2,1/($B$4:$B4452=B4453),$A$4:$A4452),""))</f>
        <v/>
      </c>
      <c r="J4453" s="32">
        <f>IF(B4453="","",IFERROR(D4453/I4453,""))</f>
        <v/>
      </c>
      <c r="K4453" s="71">
        <f>IF(B4453="","",IFERROR(AVERAGEIFS($J$4:$J4453,$B$4:$B4453,B4453,$J$4:$J4453,"&gt;"&amp;0),""))</f>
        <v/>
      </c>
      <c r="L4453" s="11" t="n"/>
    </row>
    <row r="4454" ht="14" customHeight="1" s="72">
      <c r="A4454" s="83" t="n"/>
      <c r="B4454" s="81" t="n"/>
      <c r="C4454" s="69">
        <f>IF(B4454="","",IFERROR(INDEX(Client_List!$B:$B,MATCH(B4454,Client_List!$A:$A,0)),"⚠ NOT FOUND"))</f>
        <v/>
      </c>
      <c r="D4454" s="45" t="n"/>
      <c r="E4454" s="32">
        <f>IF(B4454="","",IFERROR(INDEX(Client_List!$C:$C,MATCH(VALUE(B4454),Client_List!$A:$A,0)),""))</f>
        <v/>
      </c>
      <c r="F4454" s="53">
        <f>IF(B4454="","",IFERROR(INDEX(Client_List!$D:$D,MATCH(VALUE(B4454),Client_List!$A:$A,0)),""))</f>
        <v/>
      </c>
      <c r="G4454" s="53">
        <f>IF(B4454="","",IFERROR(INDEX(Client_List!$K:$K,MATCH(VALUE(B4454),Client_List!$A:$A,0)),""))</f>
        <v/>
      </c>
      <c r="H4454" s="32">
        <f>IF(B4454="","",IFERROR(INDEX(Client_List!$J:$J,MATCH(VALUE(B4454),Client_List!$A:$A,0)),""))</f>
        <v/>
      </c>
      <c r="I4454" s="70">
        <f>IF(B4454="","",IFERROR(A4454-LOOKUP(2,1/($B$4:$B4453=B4454),$A$4:$A4453),""))</f>
        <v/>
      </c>
      <c r="J4454" s="32">
        <f>IF(B4454="","",IFERROR(D4454/I4454,""))</f>
        <v/>
      </c>
      <c r="K4454" s="71">
        <f>IF(B4454="","",IFERROR(AVERAGEIFS($J$4:$J4454,$B$4:$B4454,B4454,$J$4:$J4454,"&gt;"&amp;0),""))</f>
        <v/>
      </c>
      <c r="L4454" s="12" t="n"/>
    </row>
    <row r="4455" ht="14" customHeight="1" s="72">
      <c r="A4455" s="82" t="n"/>
      <c r="B4455" s="79" t="n"/>
      <c r="C4455" s="69">
        <f>IF(B4455="","",IFERROR(INDEX(Client_List!$B:$B,MATCH(B4455,Client_List!$A:$A,0)),"⚠ NOT FOUND"))</f>
        <v/>
      </c>
      <c r="D4455" s="44" t="n"/>
      <c r="E4455" s="32">
        <f>IF(B4455="","",IFERROR(INDEX(Client_List!$C:$C,MATCH(VALUE(B4455),Client_List!$A:$A,0)),""))</f>
        <v/>
      </c>
      <c r="F4455" s="53">
        <f>IF(B4455="","",IFERROR(INDEX(Client_List!$D:$D,MATCH(VALUE(B4455),Client_List!$A:$A,0)),""))</f>
        <v/>
      </c>
      <c r="G4455" s="53">
        <f>IF(B4455="","",IFERROR(INDEX(Client_List!$K:$K,MATCH(VALUE(B4455),Client_List!$A:$A,0)),""))</f>
        <v/>
      </c>
      <c r="H4455" s="32">
        <f>IF(B4455="","",IFERROR(INDEX(Client_List!$J:$J,MATCH(VALUE(B4455),Client_List!$A:$A,0)),""))</f>
        <v/>
      </c>
      <c r="I4455" s="70">
        <f>IF(B4455="","",IFERROR(A4455-LOOKUP(2,1/($B$4:$B4454=B4455),$A$4:$A4454),""))</f>
        <v/>
      </c>
      <c r="J4455" s="32">
        <f>IF(B4455="","",IFERROR(D4455/I4455,""))</f>
        <v/>
      </c>
      <c r="K4455" s="71">
        <f>IF(B4455="","",IFERROR(AVERAGEIFS($J$4:$J4455,$B$4:$B4455,B4455,$J$4:$J4455,"&gt;"&amp;0),""))</f>
        <v/>
      </c>
      <c r="L4455" s="11" t="n"/>
    </row>
    <row r="4456" ht="14" customHeight="1" s="72">
      <c r="A4456" s="83" t="n"/>
      <c r="B4456" s="81" t="n"/>
      <c r="C4456" s="69">
        <f>IF(B4456="","",IFERROR(INDEX(Client_List!$B:$B,MATCH(B4456,Client_List!$A:$A,0)),"⚠ NOT FOUND"))</f>
        <v/>
      </c>
      <c r="D4456" s="45" t="n"/>
      <c r="E4456" s="32">
        <f>IF(B4456="","",IFERROR(INDEX(Client_List!$C:$C,MATCH(VALUE(B4456),Client_List!$A:$A,0)),""))</f>
        <v/>
      </c>
      <c r="F4456" s="53">
        <f>IF(B4456="","",IFERROR(INDEX(Client_List!$D:$D,MATCH(VALUE(B4456),Client_List!$A:$A,0)),""))</f>
        <v/>
      </c>
      <c r="G4456" s="53">
        <f>IF(B4456="","",IFERROR(INDEX(Client_List!$K:$K,MATCH(VALUE(B4456),Client_List!$A:$A,0)),""))</f>
        <v/>
      </c>
      <c r="H4456" s="32">
        <f>IF(B4456="","",IFERROR(INDEX(Client_List!$J:$J,MATCH(VALUE(B4456),Client_List!$A:$A,0)),""))</f>
        <v/>
      </c>
      <c r="I4456" s="70">
        <f>IF(B4456="","",IFERROR(A4456-LOOKUP(2,1/($B$4:$B4455=B4456),$A$4:$A4455),""))</f>
        <v/>
      </c>
      <c r="J4456" s="32">
        <f>IF(B4456="","",IFERROR(D4456/I4456,""))</f>
        <v/>
      </c>
      <c r="K4456" s="71">
        <f>IF(B4456="","",IFERROR(AVERAGEIFS($J$4:$J4456,$B$4:$B4456,B4456,$J$4:$J4456,"&gt;"&amp;0),""))</f>
        <v/>
      </c>
      <c r="L4456" s="12" t="n"/>
    </row>
    <row r="4457" ht="14" customHeight="1" s="72">
      <c r="A4457" s="82" t="n"/>
      <c r="B4457" s="79" t="n"/>
      <c r="C4457" s="69">
        <f>IF(B4457="","",IFERROR(INDEX(Client_List!$B:$B,MATCH(B4457,Client_List!$A:$A,0)),"⚠ NOT FOUND"))</f>
        <v/>
      </c>
      <c r="D4457" s="44" t="n"/>
      <c r="E4457" s="32">
        <f>IF(B4457="","",IFERROR(INDEX(Client_List!$C:$C,MATCH(VALUE(B4457),Client_List!$A:$A,0)),""))</f>
        <v/>
      </c>
      <c r="F4457" s="53">
        <f>IF(B4457="","",IFERROR(INDEX(Client_List!$D:$D,MATCH(VALUE(B4457),Client_List!$A:$A,0)),""))</f>
        <v/>
      </c>
      <c r="G4457" s="53">
        <f>IF(B4457="","",IFERROR(INDEX(Client_List!$K:$K,MATCH(VALUE(B4457),Client_List!$A:$A,0)),""))</f>
        <v/>
      </c>
      <c r="H4457" s="32">
        <f>IF(B4457="","",IFERROR(INDEX(Client_List!$J:$J,MATCH(VALUE(B4457),Client_List!$A:$A,0)),""))</f>
        <v/>
      </c>
      <c r="I4457" s="70">
        <f>IF(B4457="","",IFERROR(A4457-LOOKUP(2,1/($B$4:$B4456=B4457),$A$4:$A4456),""))</f>
        <v/>
      </c>
      <c r="J4457" s="32">
        <f>IF(B4457="","",IFERROR(D4457/I4457,""))</f>
        <v/>
      </c>
      <c r="K4457" s="71">
        <f>IF(B4457="","",IFERROR(AVERAGEIFS($J$4:$J4457,$B$4:$B4457,B4457,$J$4:$J4457,"&gt;"&amp;0),""))</f>
        <v/>
      </c>
      <c r="L4457" s="11" t="n"/>
    </row>
    <row r="4458" ht="14" customHeight="1" s="72">
      <c r="A4458" s="83" t="n"/>
      <c r="B4458" s="81" t="n"/>
      <c r="C4458" s="69">
        <f>IF(B4458="","",IFERROR(INDEX(Client_List!$B:$B,MATCH(B4458,Client_List!$A:$A,0)),"⚠ NOT FOUND"))</f>
        <v/>
      </c>
      <c r="D4458" s="45" t="n"/>
      <c r="E4458" s="32">
        <f>IF(B4458="","",IFERROR(INDEX(Client_List!$C:$C,MATCH(VALUE(B4458),Client_List!$A:$A,0)),""))</f>
        <v/>
      </c>
      <c r="F4458" s="53">
        <f>IF(B4458="","",IFERROR(INDEX(Client_List!$D:$D,MATCH(VALUE(B4458),Client_List!$A:$A,0)),""))</f>
        <v/>
      </c>
      <c r="G4458" s="53">
        <f>IF(B4458="","",IFERROR(INDEX(Client_List!$K:$K,MATCH(VALUE(B4458),Client_List!$A:$A,0)),""))</f>
        <v/>
      </c>
      <c r="H4458" s="32">
        <f>IF(B4458="","",IFERROR(INDEX(Client_List!$J:$J,MATCH(VALUE(B4458),Client_List!$A:$A,0)),""))</f>
        <v/>
      </c>
      <c r="I4458" s="70">
        <f>IF(B4458="","",IFERROR(A4458-LOOKUP(2,1/($B$4:$B4457=B4458),$A$4:$A4457),""))</f>
        <v/>
      </c>
      <c r="J4458" s="32">
        <f>IF(B4458="","",IFERROR(D4458/I4458,""))</f>
        <v/>
      </c>
      <c r="K4458" s="71">
        <f>IF(B4458="","",IFERROR(AVERAGEIFS($J$4:$J4458,$B$4:$B4458,B4458,$J$4:$J4458,"&gt;"&amp;0),""))</f>
        <v/>
      </c>
      <c r="L4458" s="12" t="n"/>
    </row>
    <row r="4459" ht="14" customHeight="1" s="72">
      <c r="A4459" s="82" t="n"/>
      <c r="B4459" s="79" t="n"/>
      <c r="C4459" s="69">
        <f>IF(B4459="","",IFERROR(INDEX(Client_List!$B:$B,MATCH(B4459,Client_List!$A:$A,0)),"⚠ NOT FOUND"))</f>
        <v/>
      </c>
      <c r="D4459" s="44" t="n"/>
      <c r="E4459" s="32">
        <f>IF(B4459="","",IFERROR(INDEX(Client_List!$C:$C,MATCH(VALUE(B4459),Client_List!$A:$A,0)),""))</f>
        <v/>
      </c>
      <c r="F4459" s="53">
        <f>IF(B4459="","",IFERROR(INDEX(Client_List!$D:$D,MATCH(VALUE(B4459),Client_List!$A:$A,0)),""))</f>
        <v/>
      </c>
      <c r="G4459" s="53">
        <f>IF(B4459="","",IFERROR(INDEX(Client_List!$K:$K,MATCH(VALUE(B4459),Client_List!$A:$A,0)),""))</f>
        <v/>
      </c>
      <c r="H4459" s="32">
        <f>IF(B4459="","",IFERROR(INDEX(Client_List!$J:$J,MATCH(VALUE(B4459),Client_List!$A:$A,0)),""))</f>
        <v/>
      </c>
      <c r="I4459" s="70">
        <f>IF(B4459="","",IFERROR(A4459-LOOKUP(2,1/($B$4:$B4458=B4459),$A$4:$A4458),""))</f>
        <v/>
      </c>
      <c r="J4459" s="32">
        <f>IF(B4459="","",IFERROR(D4459/I4459,""))</f>
        <v/>
      </c>
      <c r="K4459" s="71">
        <f>IF(B4459="","",IFERROR(AVERAGEIFS($J$4:$J4459,$B$4:$B4459,B4459,$J$4:$J4459,"&gt;"&amp;0),""))</f>
        <v/>
      </c>
      <c r="L4459" s="11" t="n"/>
    </row>
    <row r="4460" ht="14" customHeight="1" s="72">
      <c r="A4460" s="83" t="n"/>
      <c r="B4460" s="81" t="n"/>
      <c r="C4460" s="69">
        <f>IF(B4460="","",IFERROR(INDEX(Client_List!$B:$B,MATCH(B4460,Client_List!$A:$A,0)),"⚠ NOT FOUND"))</f>
        <v/>
      </c>
      <c r="D4460" s="45" t="n"/>
      <c r="E4460" s="32">
        <f>IF(B4460="","",IFERROR(INDEX(Client_List!$C:$C,MATCH(VALUE(B4460),Client_List!$A:$A,0)),""))</f>
        <v/>
      </c>
      <c r="F4460" s="53">
        <f>IF(B4460="","",IFERROR(INDEX(Client_List!$D:$D,MATCH(VALUE(B4460),Client_List!$A:$A,0)),""))</f>
        <v/>
      </c>
      <c r="G4460" s="53">
        <f>IF(B4460="","",IFERROR(INDEX(Client_List!$K:$K,MATCH(VALUE(B4460),Client_List!$A:$A,0)),""))</f>
        <v/>
      </c>
      <c r="H4460" s="32">
        <f>IF(B4460="","",IFERROR(INDEX(Client_List!$J:$J,MATCH(VALUE(B4460),Client_List!$A:$A,0)),""))</f>
        <v/>
      </c>
      <c r="I4460" s="70">
        <f>IF(B4460="","",IFERROR(A4460-LOOKUP(2,1/($B$4:$B4459=B4460),$A$4:$A4459),""))</f>
        <v/>
      </c>
      <c r="J4460" s="32">
        <f>IF(B4460="","",IFERROR(D4460/I4460,""))</f>
        <v/>
      </c>
      <c r="K4460" s="71">
        <f>IF(B4460="","",IFERROR(AVERAGEIFS($J$4:$J4460,$B$4:$B4460,B4460,$J$4:$J4460,"&gt;"&amp;0),""))</f>
        <v/>
      </c>
      <c r="L4460" s="12" t="n"/>
    </row>
    <row r="4461" ht="14" customHeight="1" s="72">
      <c r="A4461" s="82" t="n"/>
      <c r="B4461" s="79" t="n"/>
      <c r="C4461" s="69">
        <f>IF(B4461="","",IFERROR(INDEX(Client_List!$B:$B,MATCH(B4461,Client_List!$A:$A,0)),"⚠ NOT FOUND"))</f>
        <v/>
      </c>
      <c r="D4461" s="44" t="n"/>
      <c r="E4461" s="32">
        <f>IF(B4461="","",IFERROR(INDEX(Client_List!$C:$C,MATCH(VALUE(B4461),Client_List!$A:$A,0)),""))</f>
        <v/>
      </c>
      <c r="F4461" s="53">
        <f>IF(B4461="","",IFERROR(INDEX(Client_List!$D:$D,MATCH(VALUE(B4461),Client_List!$A:$A,0)),""))</f>
        <v/>
      </c>
      <c r="G4461" s="53">
        <f>IF(B4461="","",IFERROR(INDEX(Client_List!$K:$K,MATCH(VALUE(B4461),Client_List!$A:$A,0)),""))</f>
        <v/>
      </c>
      <c r="H4461" s="32">
        <f>IF(B4461="","",IFERROR(INDEX(Client_List!$J:$J,MATCH(VALUE(B4461),Client_List!$A:$A,0)),""))</f>
        <v/>
      </c>
      <c r="I4461" s="70">
        <f>IF(B4461="","",IFERROR(A4461-LOOKUP(2,1/($B$4:$B4460=B4461),$A$4:$A4460),""))</f>
        <v/>
      </c>
      <c r="J4461" s="32">
        <f>IF(B4461="","",IFERROR(D4461/I4461,""))</f>
        <v/>
      </c>
      <c r="K4461" s="71">
        <f>IF(B4461="","",IFERROR(AVERAGEIFS($J$4:$J4461,$B$4:$B4461,B4461,$J$4:$J4461,"&gt;"&amp;0),""))</f>
        <v/>
      </c>
      <c r="L4461" s="11" t="n"/>
    </row>
    <row r="4462" ht="14" customHeight="1" s="72">
      <c r="A4462" s="83" t="n"/>
      <c r="B4462" s="81" t="n"/>
      <c r="C4462" s="69">
        <f>IF(B4462="","",IFERROR(INDEX(Client_List!$B:$B,MATCH(B4462,Client_List!$A:$A,0)),"⚠ NOT FOUND"))</f>
        <v/>
      </c>
      <c r="D4462" s="45" t="n"/>
      <c r="E4462" s="32">
        <f>IF(B4462="","",IFERROR(INDEX(Client_List!$C:$C,MATCH(VALUE(B4462),Client_List!$A:$A,0)),""))</f>
        <v/>
      </c>
      <c r="F4462" s="53">
        <f>IF(B4462="","",IFERROR(INDEX(Client_List!$D:$D,MATCH(VALUE(B4462),Client_List!$A:$A,0)),""))</f>
        <v/>
      </c>
      <c r="G4462" s="53">
        <f>IF(B4462="","",IFERROR(INDEX(Client_List!$K:$K,MATCH(VALUE(B4462),Client_List!$A:$A,0)),""))</f>
        <v/>
      </c>
      <c r="H4462" s="32">
        <f>IF(B4462="","",IFERROR(INDEX(Client_List!$J:$J,MATCH(VALUE(B4462),Client_List!$A:$A,0)),""))</f>
        <v/>
      </c>
      <c r="I4462" s="70">
        <f>IF(B4462="","",IFERROR(A4462-LOOKUP(2,1/($B$4:$B4461=B4462),$A$4:$A4461),""))</f>
        <v/>
      </c>
      <c r="J4462" s="32">
        <f>IF(B4462="","",IFERROR(D4462/I4462,""))</f>
        <v/>
      </c>
      <c r="K4462" s="71">
        <f>IF(B4462="","",IFERROR(AVERAGEIFS($J$4:$J4462,$B$4:$B4462,B4462,$J$4:$J4462,"&gt;"&amp;0),""))</f>
        <v/>
      </c>
      <c r="L4462" s="12" t="n"/>
    </row>
    <row r="4463" ht="14" customHeight="1" s="72">
      <c r="A4463" s="82" t="n"/>
      <c r="B4463" s="79" t="n"/>
      <c r="C4463" s="69">
        <f>IF(B4463="","",IFERROR(INDEX(Client_List!$B:$B,MATCH(B4463,Client_List!$A:$A,0)),"⚠ NOT FOUND"))</f>
        <v/>
      </c>
      <c r="D4463" s="44" t="n"/>
      <c r="E4463" s="32">
        <f>IF(B4463="","",IFERROR(INDEX(Client_List!$C:$C,MATCH(VALUE(B4463),Client_List!$A:$A,0)),""))</f>
        <v/>
      </c>
      <c r="F4463" s="53">
        <f>IF(B4463="","",IFERROR(INDEX(Client_List!$D:$D,MATCH(VALUE(B4463),Client_List!$A:$A,0)),""))</f>
        <v/>
      </c>
      <c r="G4463" s="53">
        <f>IF(B4463="","",IFERROR(INDEX(Client_List!$K:$K,MATCH(VALUE(B4463),Client_List!$A:$A,0)),""))</f>
        <v/>
      </c>
      <c r="H4463" s="32">
        <f>IF(B4463="","",IFERROR(INDEX(Client_List!$J:$J,MATCH(VALUE(B4463),Client_List!$A:$A,0)),""))</f>
        <v/>
      </c>
      <c r="I4463" s="70">
        <f>IF(B4463="","",IFERROR(A4463-LOOKUP(2,1/($B$4:$B4462=B4463),$A$4:$A4462),""))</f>
        <v/>
      </c>
      <c r="J4463" s="32">
        <f>IF(B4463="","",IFERROR(D4463/I4463,""))</f>
        <v/>
      </c>
      <c r="K4463" s="71">
        <f>IF(B4463="","",IFERROR(AVERAGEIFS($J$4:$J4463,$B$4:$B4463,B4463,$J$4:$J4463,"&gt;"&amp;0),""))</f>
        <v/>
      </c>
      <c r="L4463" s="11" t="n"/>
    </row>
    <row r="4464" ht="14" customHeight="1" s="72">
      <c r="A4464" s="83" t="n"/>
      <c r="B4464" s="81" t="n"/>
      <c r="C4464" s="69">
        <f>IF(B4464="","",IFERROR(INDEX(Client_List!$B:$B,MATCH(B4464,Client_List!$A:$A,0)),"⚠ NOT FOUND"))</f>
        <v/>
      </c>
      <c r="D4464" s="45" t="n"/>
      <c r="E4464" s="32">
        <f>IF(B4464="","",IFERROR(INDEX(Client_List!$C:$C,MATCH(VALUE(B4464),Client_List!$A:$A,0)),""))</f>
        <v/>
      </c>
      <c r="F4464" s="53">
        <f>IF(B4464="","",IFERROR(INDEX(Client_List!$D:$D,MATCH(VALUE(B4464),Client_List!$A:$A,0)),""))</f>
        <v/>
      </c>
      <c r="G4464" s="53">
        <f>IF(B4464="","",IFERROR(INDEX(Client_List!$K:$K,MATCH(VALUE(B4464),Client_List!$A:$A,0)),""))</f>
        <v/>
      </c>
      <c r="H4464" s="32">
        <f>IF(B4464="","",IFERROR(INDEX(Client_List!$J:$J,MATCH(VALUE(B4464),Client_List!$A:$A,0)),""))</f>
        <v/>
      </c>
      <c r="I4464" s="70">
        <f>IF(B4464="","",IFERROR(A4464-LOOKUP(2,1/($B$4:$B4463=B4464),$A$4:$A4463),""))</f>
        <v/>
      </c>
      <c r="J4464" s="32">
        <f>IF(B4464="","",IFERROR(D4464/I4464,""))</f>
        <v/>
      </c>
      <c r="K4464" s="71">
        <f>IF(B4464="","",IFERROR(AVERAGEIFS($J$4:$J4464,$B$4:$B4464,B4464,$J$4:$J4464,"&gt;"&amp;0),""))</f>
        <v/>
      </c>
      <c r="L4464" s="12" t="n"/>
    </row>
    <row r="4465" ht="14" customHeight="1" s="72">
      <c r="A4465" s="82" t="n"/>
      <c r="B4465" s="79" t="n"/>
      <c r="C4465" s="69">
        <f>IF(B4465="","",IFERROR(INDEX(Client_List!$B:$B,MATCH(B4465,Client_List!$A:$A,0)),"⚠ NOT FOUND"))</f>
        <v/>
      </c>
      <c r="D4465" s="44" t="n"/>
      <c r="E4465" s="32">
        <f>IF(B4465="","",IFERROR(INDEX(Client_List!$C:$C,MATCH(VALUE(B4465),Client_List!$A:$A,0)),""))</f>
        <v/>
      </c>
      <c r="F4465" s="53">
        <f>IF(B4465="","",IFERROR(INDEX(Client_List!$D:$D,MATCH(VALUE(B4465),Client_List!$A:$A,0)),""))</f>
        <v/>
      </c>
      <c r="G4465" s="53">
        <f>IF(B4465="","",IFERROR(INDEX(Client_List!$K:$K,MATCH(VALUE(B4465),Client_List!$A:$A,0)),""))</f>
        <v/>
      </c>
      <c r="H4465" s="32">
        <f>IF(B4465="","",IFERROR(INDEX(Client_List!$J:$J,MATCH(VALUE(B4465),Client_List!$A:$A,0)),""))</f>
        <v/>
      </c>
      <c r="I4465" s="70">
        <f>IF(B4465="","",IFERROR(A4465-LOOKUP(2,1/($B$4:$B4464=B4465),$A$4:$A4464),""))</f>
        <v/>
      </c>
      <c r="J4465" s="32">
        <f>IF(B4465="","",IFERROR(D4465/I4465,""))</f>
        <v/>
      </c>
      <c r="K4465" s="71">
        <f>IF(B4465="","",IFERROR(AVERAGEIFS($J$4:$J4465,$B$4:$B4465,B4465,$J$4:$J4465,"&gt;"&amp;0),""))</f>
        <v/>
      </c>
      <c r="L4465" s="11" t="n"/>
    </row>
    <row r="4466" ht="14" customHeight="1" s="72">
      <c r="A4466" s="83" t="n"/>
      <c r="B4466" s="81" t="n"/>
      <c r="C4466" s="69">
        <f>IF(B4466="","",IFERROR(INDEX(Client_List!$B:$B,MATCH(B4466,Client_List!$A:$A,0)),"⚠ NOT FOUND"))</f>
        <v/>
      </c>
      <c r="D4466" s="45" t="n"/>
      <c r="E4466" s="32">
        <f>IF(B4466="","",IFERROR(INDEX(Client_List!$C:$C,MATCH(VALUE(B4466),Client_List!$A:$A,0)),""))</f>
        <v/>
      </c>
      <c r="F4466" s="53">
        <f>IF(B4466="","",IFERROR(INDEX(Client_List!$D:$D,MATCH(VALUE(B4466),Client_List!$A:$A,0)),""))</f>
        <v/>
      </c>
      <c r="G4466" s="53">
        <f>IF(B4466="","",IFERROR(INDEX(Client_List!$K:$K,MATCH(VALUE(B4466),Client_List!$A:$A,0)),""))</f>
        <v/>
      </c>
      <c r="H4466" s="32">
        <f>IF(B4466="","",IFERROR(INDEX(Client_List!$J:$J,MATCH(VALUE(B4466),Client_List!$A:$A,0)),""))</f>
        <v/>
      </c>
      <c r="I4466" s="70">
        <f>IF(B4466="","",IFERROR(A4466-LOOKUP(2,1/($B$4:$B4465=B4466),$A$4:$A4465),""))</f>
        <v/>
      </c>
      <c r="J4466" s="32">
        <f>IF(B4466="","",IFERROR(D4466/I4466,""))</f>
        <v/>
      </c>
      <c r="K4466" s="71">
        <f>IF(B4466="","",IFERROR(AVERAGEIFS($J$4:$J4466,$B$4:$B4466,B4466,$J$4:$J4466,"&gt;"&amp;0),""))</f>
        <v/>
      </c>
      <c r="L4466" s="12" t="n"/>
    </row>
    <row r="4467" ht="14" customHeight="1" s="72">
      <c r="A4467" s="82" t="n"/>
      <c r="B4467" s="79" t="n"/>
      <c r="C4467" s="69">
        <f>IF(B4467="","",IFERROR(INDEX(Client_List!$B:$B,MATCH(B4467,Client_List!$A:$A,0)),"⚠ NOT FOUND"))</f>
        <v/>
      </c>
      <c r="D4467" s="44" t="n"/>
      <c r="E4467" s="32">
        <f>IF(B4467="","",IFERROR(INDEX(Client_List!$C:$C,MATCH(VALUE(B4467),Client_List!$A:$A,0)),""))</f>
        <v/>
      </c>
      <c r="F4467" s="53">
        <f>IF(B4467="","",IFERROR(INDEX(Client_List!$D:$D,MATCH(VALUE(B4467),Client_List!$A:$A,0)),""))</f>
        <v/>
      </c>
      <c r="G4467" s="53">
        <f>IF(B4467="","",IFERROR(INDEX(Client_List!$K:$K,MATCH(VALUE(B4467),Client_List!$A:$A,0)),""))</f>
        <v/>
      </c>
      <c r="H4467" s="32">
        <f>IF(B4467="","",IFERROR(INDEX(Client_List!$J:$J,MATCH(VALUE(B4467),Client_List!$A:$A,0)),""))</f>
        <v/>
      </c>
      <c r="I4467" s="70">
        <f>IF(B4467="","",IFERROR(A4467-LOOKUP(2,1/($B$4:$B4466=B4467),$A$4:$A4466),""))</f>
        <v/>
      </c>
      <c r="J4467" s="32">
        <f>IF(B4467="","",IFERROR(D4467/I4467,""))</f>
        <v/>
      </c>
      <c r="K4467" s="71">
        <f>IF(B4467="","",IFERROR(AVERAGEIFS($J$4:$J4467,$B$4:$B4467,B4467,$J$4:$J4467,"&gt;"&amp;0),""))</f>
        <v/>
      </c>
      <c r="L4467" s="11" t="n"/>
    </row>
    <row r="4468" ht="14" customHeight="1" s="72">
      <c r="A4468" s="83" t="n"/>
      <c r="B4468" s="81" t="n"/>
      <c r="C4468" s="69">
        <f>IF(B4468="","",IFERROR(INDEX(Client_List!$B:$B,MATCH(B4468,Client_List!$A:$A,0)),"⚠ NOT FOUND"))</f>
        <v/>
      </c>
      <c r="D4468" s="45" t="n"/>
      <c r="E4468" s="32">
        <f>IF(B4468="","",IFERROR(INDEX(Client_List!$C:$C,MATCH(VALUE(B4468),Client_List!$A:$A,0)),""))</f>
        <v/>
      </c>
      <c r="F4468" s="53">
        <f>IF(B4468="","",IFERROR(INDEX(Client_List!$D:$D,MATCH(VALUE(B4468),Client_List!$A:$A,0)),""))</f>
        <v/>
      </c>
      <c r="G4468" s="53">
        <f>IF(B4468="","",IFERROR(INDEX(Client_List!$K:$K,MATCH(VALUE(B4468),Client_List!$A:$A,0)),""))</f>
        <v/>
      </c>
      <c r="H4468" s="32">
        <f>IF(B4468="","",IFERROR(INDEX(Client_List!$J:$J,MATCH(VALUE(B4468),Client_List!$A:$A,0)),""))</f>
        <v/>
      </c>
      <c r="I4468" s="70">
        <f>IF(B4468="","",IFERROR(A4468-LOOKUP(2,1/($B$4:$B4467=B4468),$A$4:$A4467),""))</f>
        <v/>
      </c>
      <c r="J4468" s="32">
        <f>IF(B4468="","",IFERROR(D4468/I4468,""))</f>
        <v/>
      </c>
      <c r="K4468" s="71">
        <f>IF(B4468="","",IFERROR(AVERAGEIFS($J$4:$J4468,$B$4:$B4468,B4468,$J$4:$J4468,"&gt;"&amp;0),""))</f>
        <v/>
      </c>
      <c r="L4468" s="12" t="n"/>
    </row>
    <row r="4469" ht="14" customHeight="1" s="72">
      <c r="A4469" s="82" t="n"/>
      <c r="B4469" s="79" t="n"/>
      <c r="C4469" s="69">
        <f>IF(B4469="","",IFERROR(INDEX(Client_List!$B:$B,MATCH(B4469,Client_List!$A:$A,0)),"⚠ NOT FOUND"))</f>
        <v/>
      </c>
      <c r="D4469" s="44" t="n"/>
      <c r="E4469" s="32">
        <f>IF(B4469="","",IFERROR(INDEX(Client_List!$C:$C,MATCH(VALUE(B4469),Client_List!$A:$A,0)),""))</f>
        <v/>
      </c>
      <c r="F4469" s="53">
        <f>IF(B4469="","",IFERROR(INDEX(Client_List!$D:$D,MATCH(VALUE(B4469),Client_List!$A:$A,0)),""))</f>
        <v/>
      </c>
      <c r="G4469" s="53">
        <f>IF(B4469="","",IFERROR(INDEX(Client_List!$K:$K,MATCH(VALUE(B4469),Client_List!$A:$A,0)),""))</f>
        <v/>
      </c>
      <c r="H4469" s="32">
        <f>IF(B4469="","",IFERROR(INDEX(Client_List!$J:$J,MATCH(VALUE(B4469),Client_List!$A:$A,0)),""))</f>
        <v/>
      </c>
      <c r="I4469" s="70">
        <f>IF(B4469="","",IFERROR(A4469-LOOKUP(2,1/($B$4:$B4468=B4469),$A$4:$A4468),""))</f>
        <v/>
      </c>
      <c r="J4469" s="32">
        <f>IF(B4469="","",IFERROR(D4469/I4469,""))</f>
        <v/>
      </c>
      <c r="K4469" s="71">
        <f>IF(B4469="","",IFERROR(AVERAGEIFS($J$4:$J4469,$B$4:$B4469,B4469,$J$4:$J4469,"&gt;"&amp;0),""))</f>
        <v/>
      </c>
      <c r="L4469" s="11" t="n"/>
    </row>
    <row r="4470" ht="14" customHeight="1" s="72">
      <c r="A4470" s="83" t="n"/>
      <c r="B4470" s="81" t="n"/>
      <c r="C4470" s="69">
        <f>IF(B4470="","",IFERROR(INDEX(Client_List!$B:$B,MATCH(B4470,Client_List!$A:$A,0)),"⚠ NOT FOUND"))</f>
        <v/>
      </c>
      <c r="D4470" s="45" t="n"/>
      <c r="E4470" s="32">
        <f>IF(B4470="","",IFERROR(INDEX(Client_List!$C:$C,MATCH(VALUE(B4470),Client_List!$A:$A,0)),""))</f>
        <v/>
      </c>
      <c r="F4470" s="53">
        <f>IF(B4470="","",IFERROR(INDEX(Client_List!$D:$D,MATCH(VALUE(B4470),Client_List!$A:$A,0)),""))</f>
        <v/>
      </c>
      <c r="G4470" s="53">
        <f>IF(B4470="","",IFERROR(INDEX(Client_List!$K:$K,MATCH(VALUE(B4470),Client_List!$A:$A,0)),""))</f>
        <v/>
      </c>
      <c r="H4470" s="32">
        <f>IF(B4470="","",IFERROR(INDEX(Client_List!$J:$J,MATCH(VALUE(B4470),Client_List!$A:$A,0)),""))</f>
        <v/>
      </c>
      <c r="I4470" s="70">
        <f>IF(B4470="","",IFERROR(A4470-LOOKUP(2,1/($B$4:$B4469=B4470),$A$4:$A4469),""))</f>
        <v/>
      </c>
      <c r="J4470" s="32">
        <f>IF(B4470="","",IFERROR(D4470/I4470,""))</f>
        <v/>
      </c>
      <c r="K4470" s="71">
        <f>IF(B4470="","",IFERROR(AVERAGEIFS($J$4:$J4470,$B$4:$B4470,B4470,$J$4:$J4470,"&gt;"&amp;0),""))</f>
        <v/>
      </c>
      <c r="L4470" s="12" t="n"/>
    </row>
    <row r="4471" ht="14" customHeight="1" s="72">
      <c r="A4471" s="82" t="n"/>
      <c r="B4471" s="79" t="n"/>
      <c r="C4471" s="69">
        <f>IF(B4471="","",IFERROR(INDEX(Client_List!$B:$B,MATCH(B4471,Client_List!$A:$A,0)),"⚠ NOT FOUND"))</f>
        <v/>
      </c>
      <c r="D4471" s="44" t="n"/>
      <c r="E4471" s="32">
        <f>IF(B4471="","",IFERROR(INDEX(Client_List!$C:$C,MATCH(VALUE(B4471),Client_List!$A:$A,0)),""))</f>
        <v/>
      </c>
      <c r="F4471" s="53">
        <f>IF(B4471="","",IFERROR(INDEX(Client_List!$D:$D,MATCH(VALUE(B4471),Client_List!$A:$A,0)),""))</f>
        <v/>
      </c>
      <c r="G4471" s="53">
        <f>IF(B4471="","",IFERROR(INDEX(Client_List!$K:$K,MATCH(VALUE(B4471),Client_List!$A:$A,0)),""))</f>
        <v/>
      </c>
      <c r="H4471" s="32">
        <f>IF(B4471="","",IFERROR(INDEX(Client_List!$J:$J,MATCH(VALUE(B4471),Client_List!$A:$A,0)),""))</f>
        <v/>
      </c>
      <c r="I4471" s="70">
        <f>IF(B4471="","",IFERROR(A4471-LOOKUP(2,1/($B$4:$B4470=B4471),$A$4:$A4470),""))</f>
        <v/>
      </c>
      <c r="J4471" s="32">
        <f>IF(B4471="","",IFERROR(D4471/I4471,""))</f>
        <v/>
      </c>
      <c r="K4471" s="71">
        <f>IF(B4471="","",IFERROR(AVERAGEIFS($J$4:$J4471,$B$4:$B4471,B4471,$J$4:$J4471,"&gt;"&amp;0),""))</f>
        <v/>
      </c>
      <c r="L4471" s="11" t="n"/>
    </row>
    <row r="4472" ht="14" customHeight="1" s="72">
      <c r="A4472" s="83" t="n"/>
      <c r="B4472" s="81" t="n"/>
      <c r="C4472" s="69">
        <f>IF(B4472="","",IFERROR(INDEX(Client_List!$B:$B,MATCH(B4472,Client_List!$A:$A,0)),"⚠ NOT FOUND"))</f>
        <v/>
      </c>
      <c r="D4472" s="45" t="n"/>
      <c r="E4472" s="32">
        <f>IF(B4472="","",IFERROR(INDEX(Client_List!$C:$C,MATCH(VALUE(B4472),Client_List!$A:$A,0)),""))</f>
        <v/>
      </c>
      <c r="F4472" s="53">
        <f>IF(B4472="","",IFERROR(INDEX(Client_List!$D:$D,MATCH(VALUE(B4472),Client_List!$A:$A,0)),""))</f>
        <v/>
      </c>
      <c r="G4472" s="53">
        <f>IF(B4472="","",IFERROR(INDEX(Client_List!$K:$K,MATCH(VALUE(B4472),Client_List!$A:$A,0)),""))</f>
        <v/>
      </c>
      <c r="H4472" s="32">
        <f>IF(B4472="","",IFERROR(INDEX(Client_List!$J:$J,MATCH(VALUE(B4472),Client_List!$A:$A,0)),""))</f>
        <v/>
      </c>
      <c r="I4472" s="70">
        <f>IF(B4472="","",IFERROR(A4472-LOOKUP(2,1/($B$4:$B4471=B4472),$A$4:$A4471),""))</f>
        <v/>
      </c>
      <c r="J4472" s="32">
        <f>IF(B4472="","",IFERROR(D4472/I4472,""))</f>
        <v/>
      </c>
      <c r="K4472" s="71">
        <f>IF(B4472="","",IFERROR(AVERAGEIFS($J$4:$J4472,$B$4:$B4472,B4472,$J$4:$J4472,"&gt;"&amp;0),""))</f>
        <v/>
      </c>
      <c r="L4472" s="12" t="n"/>
    </row>
    <row r="4473" ht="14" customHeight="1" s="72">
      <c r="A4473" s="82" t="n"/>
      <c r="B4473" s="79" t="n"/>
      <c r="C4473" s="69">
        <f>IF(B4473="","",IFERROR(INDEX(Client_List!$B:$B,MATCH(B4473,Client_List!$A:$A,0)),"⚠ NOT FOUND"))</f>
        <v/>
      </c>
      <c r="D4473" s="44" t="n"/>
      <c r="E4473" s="32">
        <f>IF(B4473="","",IFERROR(INDEX(Client_List!$C:$C,MATCH(VALUE(B4473),Client_List!$A:$A,0)),""))</f>
        <v/>
      </c>
      <c r="F4473" s="53">
        <f>IF(B4473="","",IFERROR(INDEX(Client_List!$D:$D,MATCH(VALUE(B4473),Client_List!$A:$A,0)),""))</f>
        <v/>
      </c>
      <c r="G4473" s="53">
        <f>IF(B4473="","",IFERROR(INDEX(Client_List!$K:$K,MATCH(VALUE(B4473),Client_List!$A:$A,0)),""))</f>
        <v/>
      </c>
      <c r="H4473" s="32">
        <f>IF(B4473="","",IFERROR(INDEX(Client_List!$J:$J,MATCH(VALUE(B4473),Client_List!$A:$A,0)),""))</f>
        <v/>
      </c>
      <c r="I4473" s="70">
        <f>IF(B4473="","",IFERROR(A4473-LOOKUP(2,1/($B$4:$B4472=B4473),$A$4:$A4472),""))</f>
        <v/>
      </c>
      <c r="J4473" s="32">
        <f>IF(B4473="","",IFERROR(D4473/I4473,""))</f>
        <v/>
      </c>
      <c r="K4473" s="71">
        <f>IF(B4473="","",IFERROR(AVERAGEIFS($J$4:$J4473,$B$4:$B4473,B4473,$J$4:$J4473,"&gt;"&amp;0),""))</f>
        <v/>
      </c>
      <c r="L4473" s="11" t="n"/>
    </row>
    <row r="4474" ht="14" customHeight="1" s="72">
      <c r="A4474" s="83" t="n"/>
      <c r="B4474" s="81" t="n"/>
      <c r="C4474" s="69">
        <f>IF(B4474="","",IFERROR(INDEX(Client_List!$B:$B,MATCH(B4474,Client_List!$A:$A,0)),"⚠ NOT FOUND"))</f>
        <v/>
      </c>
      <c r="D4474" s="45" t="n"/>
      <c r="E4474" s="32">
        <f>IF(B4474="","",IFERROR(INDEX(Client_List!$C:$C,MATCH(VALUE(B4474),Client_List!$A:$A,0)),""))</f>
        <v/>
      </c>
      <c r="F4474" s="53">
        <f>IF(B4474="","",IFERROR(INDEX(Client_List!$D:$D,MATCH(VALUE(B4474),Client_List!$A:$A,0)),""))</f>
        <v/>
      </c>
      <c r="G4474" s="53">
        <f>IF(B4474="","",IFERROR(INDEX(Client_List!$K:$K,MATCH(VALUE(B4474),Client_List!$A:$A,0)),""))</f>
        <v/>
      </c>
      <c r="H4474" s="32">
        <f>IF(B4474="","",IFERROR(INDEX(Client_List!$J:$J,MATCH(VALUE(B4474),Client_List!$A:$A,0)),""))</f>
        <v/>
      </c>
      <c r="I4474" s="70">
        <f>IF(B4474="","",IFERROR(A4474-LOOKUP(2,1/($B$4:$B4473=B4474),$A$4:$A4473),""))</f>
        <v/>
      </c>
      <c r="J4474" s="32">
        <f>IF(B4474="","",IFERROR(D4474/I4474,""))</f>
        <v/>
      </c>
      <c r="K4474" s="71">
        <f>IF(B4474="","",IFERROR(AVERAGEIFS($J$4:$J4474,$B$4:$B4474,B4474,$J$4:$J4474,"&gt;"&amp;0),""))</f>
        <v/>
      </c>
      <c r="L4474" s="12" t="n"/>
    </row>
    <row r="4475" ht="14" customHeight="1" s="72">
      <c r="A4475" s="82" t="n"/>
      <c r="B4475" s="79" t="n"/>
      <c r="C4475" s="69">
        <f>IF(B4475="","",IFERROR(INDEX(Client_List!$B:$B,MATCH(B4475,Client_List!$A:$A,0)),"⚠ NOT FOUND"))</f>
        <v/>
      </c>
      <c r="D4475" s="44" t="n"/>
      <c r="E4475" s="32">
        <f>IF(B4475="","",IFERROR(INDEX(Client_List!$C:$C,MATCH(VALUE(B4475),Client_List!$A:$A,0)),""))</f>
        <v/>
      </c>
      <c r="F4475" s="53">
        <f>IF(B4475="","",IFERROR(INDEX(Client_List!$D:$D,MATCH(VALUE(B4475),Client_List!$A:$A,0)),""))</f>
        <v/>
      </c>
      <c r="G4475" s="53">
        <f>IF(B4475="","",IFERROR(INDEX(Client_List!$K:$K,MATCH(VALUE(B4475),Client_List!$A:$A,0)),""))</f>
        <v/>
      </c>
      <c r="H4475" s="32">
        <f>IF(B4475="","",IFERROR(INDEX(Client_List!$J:$J,MATCH(VALUE(B4475),Client_List!$A:$A,0)),""))</f>
        <v/>
      </c>
      <c r="I4475" s="70">
        <f>IF(B4475="","",IFERROR(A4475-LOOKUP(2,1/($B$4:$B4474=B4475),$A$4:$A4474),""))</f>
        <v/>
      </c>
      <c r="J4475" s="32">
        <f>IF(B4475="","",IFERROR(D4475/I4475,""))</f>
        <v/>
      </c>
      <c r="K4475" s="71">
        <f>IF(B4475="","",IFERROR(AVERAGEIFS($J$4:$J4475,$B$4:$B4475,B4475,$J$4:$J4475,"&gt;"&amp;0),""))</f>
        <v/>
      </c>
      <c r="L4475" s="11" t="n"/>
    </row>
    <row r="4476" ht="14" customHeight="1" s="72">
      <c r="A4476" s="83" t="n"/>
      <c r="B4476" s="81" t="n"/>
      <c r="C4476" s="69">
        <f>IF(B4476="","",IFERROR(INDEX(Client_List!$B:$B,MATCH(B4476,Client_List!$A:$A,0)),"⚠ NOT FOUND"))</f>
        <v/>
      </c>
      <c r="D4476" s="45" t="n"/>
      <c r="E4476" s="32">
        <f>IF(B4476="","",IFERROR(INDEX(Client_List!$C:$C,MATCH(VALUE(B4476),Client_List!$A:$A,0)),""))</f>
        <v/>
      </c>
      <c r="F4476" s="53">
        <f>IF(B4476="","",IFERROR(INDEX(Client_List!$D:$D,MATCH(VALUE(B4476),Client_List!$A:$A,0)),""))</f>
        <v/>
      </c>
      <c r="G4476" s="53">
        <f>IF(B4476="","",IFERROR(INDEX(Client_List!$K:$K,MATCH(VALUE(B4476),Client_List!$A:$A,0)),""))</f>
        <v/>
      </c>
      <c r="H4476" s="32">
        <f>IF(B4476="","",IFERROR(INDEX(Client_List!$J:$J,MATCH(VALUE(B4476),Client_List!$A:$A,0)),""))</f>
        <v/>
      </c>
      <c r="I4476" s="70">
        <f>IF(B4476="","",IFERROR(A4476-LOOKUP(2,1/($B$4:$B4475=B4476),$A$4:$A4475),""))</f>
        <v/>
      </c>
      <c r="J4476" s="32">
        <f>IF(B4476="","",IFERROR(D4476/I4476,""))</f>
        <v/>
      </c>
      <c r="K4476" s="71">
        <f>IF(B4476="","",IFERROR(AVERAGEIFS($J$4:$J4476,$B$4:$B4476,B4476,$J$4:$J4476,"&gt;"&amp;0),""))</f>
        <v/>
      </c>
      <c r="L4476" s="12" t="n"/>
    </row>
    <row r="4477" ht="14" customHeight="1" s="72">
      <c r="A4477" s="82" t="n"/>
      <c r="B4477" s="79" t="n"/>
      <c r="C4477" s="69">
        <f>IF(B4477="","",IFERROR(INDEX(Client_List!$B:$B,MATCH(B4477,Client_List!$A:$A,0)),"⚠ NOT FOUND"))</f>
        <v/>
      </c>
      <c r="D4477" s="44" t="n"/>
      <c r="E4477" s="32">
        <f>IF(B4477="","",IFERROR(INDEX(Client_List!$C:$C,MATCH(VALUE(B4477),Client_List!$A:$A,0)),""))</f>
        <v/>
      </c>
      <c r="F4477" s="53">
        <f>IF(B4477="","",IFERROR(INDEX(Client_List!$D:$D,MATCH(VALUE(B4477),Client_List!$A:$A,0)),""))</f>
        <v/>
      </c>
      <c r="G4477" s="53">
        <f>IF(B4477="","",IFERROR(INDEX(Client_List!$K:$K,MATCH(VALUE(B4477),Client_List!$A:$A,0)),""))</f>
        <v/>
      </c>
      <c r="H4477" s="32">
        <f>IF(B4477="","",IFERROR(INDEX(Client_List!$J:$J,MATCH(VALUE(B4477),Client_List!$A:$A,0)),""))</f>
        <v/>
      </c>
      <c r="I4477" s="70">
        <f>IF(B4477="","",IFERROR(A4477-LOOKUP(2,1/($B$4:$B4476=B4477),$A$4:$A4476),""))</f>
        <v/>
      </c>
      <c r="J4477" s="32">
        <f>IF(B4477="","",IFERROR(D4477/I4477,""))</f>
        <v/>
      </c>
      <c r="K4477" s="71">
        <f>IF(B4477="","",IFERROR(AVERAGEIFS($J$4:$J4477,$B$4:$B4477,B4477,$J$4:$J4477,"&gt;"&amp;0),""))</f>
        <v/>
      </c>
      <c r="L4477" s="11" t="n"/>
    </row>
    <row r="4478" ht="14" customHeight="1" s="72">
      <c r="A4478" s="83" t="n"/>
      <c r="B4478" s="81" t="n"/>
      <c r="C4478" s="69">
        <f>IF(B4478="","",IFERROR(INDEX(Client_List!$B:$B,MATCH(B4478,Client_List!$A:$A,0)),"⚠ NOT FOUND"))</f>
        <v/>
      </c>
      <c r="D4478" s="45" t="n"/>
      <c r="E4478" s="32">
        <f>IF(B4478="","",IFERROR(INDEX(Client_List!$C:$C,MATCH(VALUE(B4478),Client_List!$A:$A,0)),""))</f>
        <v/>
      </c>
      <c r="F4478" s="53">
        <f>IF(B4478="","",IFERROR(INDEX(Client_List!$D:$D,MATCH(VALUE(B4478),Client_List!$A:$A,0)),""))</f>
        <v/>
      </c>
      <c r="G4478" s="53">
        <f>IF(B4478="","",IFERROR(INDEX(Client_List!$K:$K,MATCH(VALUE(B4478),Client_List!$A:$A,0)),""))</f>
        <v/>
      </c>
      <c r="H4478" s="32">
        <f>IF(B4478="","",IFERROR(INDEX(Client_List!$J:$J,MATCH(VALUE(B4478),Client_List!$A:$A,0)),""))</f>
        <v/>
      </c>
      <c r="I4478" s="70">
        <f>IF(B4478="","",IFERROR(A4478-LOOKUP(2,1/($B$4:$B4477=B4478),$A$4:$A4477),""))</f>
        <v/>
      </c>
      <c r="J4478" s="32">
        <f>IF(B4478="","",IFERROR(D4478/I4478,""))</f>
        <v/>
      </c>
      <c r="K4478" s="71">
        <f>IF(B4478="","",IFERROR(AVERAGEIFS($J$4:$J4478,$B$4:$B4478,B4478,$J$4:$J4478,"&gt;"&amp;0),""))</f>
        <v/>
      </c>
      <c r="L4478" s="12" t="n"/>
    </row>
    <row r="4479" ht="14" customHeight="1" s="72">
      <c r="A4479" s="82" t="n"/>
      <c r="B4479" s="79" t="n"/>
      <c r="C4479" s="69">
        <f>IF(B4479="","",IFERROR(INDEX(Client_List!$B:$B,MATCH(B4479,Client_List!$A:$A,0)),"⚠ NOT FOUND"))</f>
        <v/>
      </c>
      <c r="D4479" s="44" t="n"/>
      <c r="E4479" s="32">
        <f>IF(B4479="","",IFERROR(INDEX(Client_List!$C:$C,MATCH(VALUE(B4479),Client_List!$A:$A,0)),""))</f>
        <v/>
      </c>
      <c r="F4479" s="53">
        <f>IF(B4479="","",IFERROR(INDEX(Client_List!$D:$D,MATCH(VALUE(B4479),Client_List!$A:$A,0)),""))</f>
        <v/>
      </c>
      <c r="G4479" s="53">
        <f>IF(B4479="","",IFERROR(INDEX(Client_List!$K:$K,MATCH(VALUE(B4479),Client_List!$A:$A,0)),""))</f>
        <v/>
      </c>
      <c r="H4479" s="32">
        <f>IF(B4479="","",IFERROR(INDEX(Client_List!$J:$J,MATCH(VALUE(B4479),Client_List!$A:$A,0)),""))</f>
        <v/>
      </c>
      <c r="I4479" s="70">
        <f>IF(B4479="","",IFERROR(A4479-LOOKUP(2,1/($B$4:$B4478=B4479),$A$4:$A4478),""))</f>
        <v/>
      </c>
      <c r="J4479" s="32">
        <f>IF(B4479="","",IFERROR(D4479/I4479,""))</f>
        <v/>
      </c>
      <c r="K4479" s="71">
        <f>IF(B4479="","",IFERROR(AVERAGEIFS($J$4:$J4479,$B$4:$B4479,B4479,$J$4:$J4479,"&gt;"&amp;0),""))</f>
        <v/>
      </c>
      <c r="L4479" s="11" t="n"/>
    </row>
    <row r="4480" ht="14" customHeight="1" s="72">
      <c r="A4480" s="83" t="n"/>
      <c r="B4480" s="81" t="n"/>
      <c r="C4480" s="69">
        <f>IF(B4480="","",IFERROR(INDEX(Client_List!$B:$B,MATCH(B4480,Client_List!$A:$A,0)),"⚠ NOT FOUND"))</f>
        <v/>
      </c>
      <c r="D4480" s="45" t="n"/>
      <c r="E4480" s="32">
        <f>IF(B4480="","",IFERROR(INDEX(Client_List!$C:$C,MATCH(VALUE(B4480),Client_List!$A:$A,0)),""))</f>
        <v/>
      </c>
      <c r="F4480" s="53">
        <f>IF(B4480="","",IFERROR(INDEX(Client_List!$D:$D,MATCH(VALUE(B4480),Client_List!$A:$A,0)),""))</f>
        <v/>
      </c>
      <c r="G4480" s="53">
        <f>IF(B4480="","",IFERROR(INDEX(Client_List!$K:$K,MATCH(VALUE(B4480),Client_List!$A:$A,0)),""))</f>
        <v/>
      </c>
      <c r="H4480" s="32">
        <f>IF(B4480="","",IFERROR(INDEX(Client_List!$J:$J,MATCH(VALUE(B4480),Client_List!$A:$A,0)),""))</f>
        <v/>
      </c>
      <c r="I4480" s="70">
        <f>IF(B4480="","",IFERROR(A4480-LOOKUP(2,1/($B$4:$B4479=B4480),$A$4:$A4479),""))</f>
        <v/>
      </c>
      <c r="J4480" s="32">
        <f>IF(B4480="","",IFERROR(D4480/I4480,""))</f>
        <v/>
      </c>
      <c r="K4480" s="71">
        <f>IF(B4480="","",IFERROR(AVERAGEIFS($J$4:$J4480,$B$4:$B4480,B4480,$J$4:$J4480,"&gt;"&amp;0),""))</f>
        <v/>
      </c>
      <c r="L4480" s="12" t="n"/>
    </row>
    <row r="4481" ht="14" customHeight="1" s="72">
      <c r="A4481" s="82" t="n"/>
      <c r="B4481" s="79" t="n"/>
      <c r="C4481" s="69">
        <f>IF(B4481="","",IFERROR(INDEX(Client_List!$B:$B,MATCH(B4481,Client_List!$A:$A,0)),"⚠ NOT FOUND"))</f>
        <v/>
      </c>
      <c r="D4481" s="44" t="n"/>
      <c r="E4481" s="32">
        <f>IF(B4481="","",IFERROR(INDEX(Client_List!$C:$C,MATCH(VALUE(B4481),Client_List!$A:$A,0)),""))</f>
        <v/>
      </c>
      <c r="F4481" s="53">
        <f>IF(B4481="","",IFERROR(INDEX(Client_List!$D:$D,MATCH(VALUE(B4481),Client_List!$A:$A,0)),""))</f>
        <v/>
      </c>
      <c r="G4481" s="53">
        <f>IF(B4481="","",IFERROR(INDEX(Client_List!$K:$K,MATCH(VALUE(B4481),Client_List!$A:$A,0)),""))</f>
        <v/>
      </c>
      <c r="H4481" s="32">
        <f>IF(B4481="","",IFERROR(INDEX(Client_List!$J:$J,MATCH(VALUE(B4481),Client_List!$A:$A,0)),""))</f>
        <v/>
      </c>
      <c r="I4481" s="70">
        <f>IF(B4481="","",IFERROR(A4481-LOOKUP(2,1/($B$4:$B4480=B4481),$A$4:$A4480),""))</f>
        <v/>
      </c>
      <c r="J4481" s="32">
        <f>IF(B4481="","",IFERROR(D4481/I4481,""))</f>
        <v/>
      </c>
      <c r="K4481" s="71">
        <f>IF(B4481="","",IFERROR(AVERAGEIFS($J$4:$J4481,$B$4:$B4481,B4481,$J$4:$J4481,"&gt;"&amp;0),""))</f>
        <v/>
      </c>
      <c r="L4481" s="11" t="n"/>
    </row>
    <row r="4482" ht="14" customHeight="1" s="72">
      <c r="A4482" s="83" t="n"/>
      <c r="B4482" s="81" t="n"/>
      <c r="C4482" s="69">
        <f>IF(B4482="","",IFERROR(INDEX(Client_List!$B:$B,MATCH(B4482,Client_List!$A:$A,0)),"⚠ NOT FOUND"))</f>
        <v/>
      </c>
      <c r="D4482" s="45" t="n"/>
      <c r="E4482" s="32">
        <f>IF(B4482="","",IFERROR(INDEX(Client_List!$C:$C,MATCH(VALUE(B4482),Client_List!$A:$A,0)),""))</f>
        <v/>
      </c>
      <c r="F4482" s="53">
        <f>IF(B4482="","",IFERROR(INDEX(Client_List!$D:$D,MATCH(VALUE(B4482),Client_List!$A:$A,0)),""))</f>
        <v/>
      </c>
      <c r="G4482" s="53">
        <f>IF(B4482="","",IFERROR(INDEX(Client_List!$K:$K,MATCH(VALUE(B4482),Client_List!$A:$A,0)),""))</f>
        <v/>
      </c>
      <c r="H4482" s="32">
        <f>IF(B4482="","",IFERROR(INDEX(Client_List!$J:$J,MATCH(VALUE(B4482),Client_List!$A:$A,0)),""))</f>
        <v/>
      </c>
      <c r="I4482" s="70">
        <f>IF(B4482="","",IFERROR(A4482-LOOKUP(2,1/($B$4:$B4481=B4482),$A$4:$A4481),""))</f>
        <v/>
      </c>
      <c r="J4482" s="32">
        <f>IF(B4482="","",IFERROR(D4482/I4482,""))</f>
        <v/>
      </c>
      <c r="K4482" s="71">
        <f>IF(B4482="","",IFERROR(AVERAGEIFS($J$4:$J4482,$B$4:$B4482,B4482,$J$4:$J4482,"&gt;"&amp;0),""))</f>
        <v/>
      </c>
      <c r="L4482" s="12" t="n"/>
    </row>
    <row r="4483" ht="14" customHeight="1" s="72">
      <c r="A4483" s="82" t="n"/>
      <c r="B4483" s="79" t="n"/>
      <c r="C4483" s="69">
        <f>IF(B4483="","",IFERROR(INDEX(Client_List!$B:$B,MATCH(B4483,Client_List!$A:$A,0)),"⚠ NOT FOUND"))</f>
        <v/>
      </c>
      <c r="D4483" s="44" t="n"/>
      <c r="E4483" s="32">
        <f>IF(B4483="","",IFERROR(INDEX(Client_List!$C:$C,MATCH(VALUE(B4483),Client_List!$A:$A,0)),""))</f>
        <v/>
      </c>
      <c r="F4483" s="53">
        <f>IF(B4483="","",IFERROR(INDEX(Client_List!$D:$D,MATCH(VALUE(B4483),Client_List!$A:$A,0)),""))</f>
        <v/>
      </c>
      <c r="G4483" s="53">
        <f>IF(B4483="","",IFERROR(INDEX(Client_List!$K:$K,MATCH(VALUE(B4483),Client_List!$A:$A,0)),""))</f>
        <v/>
      </c>
      <c r="H4483" s="32">
        <f>IF(B4483="","",IFERROR(INDEX(Client_List!$J:$J,MATCH(VALUE(B4483),Client_List!$A:$A,0)),""))</f>
        <v/>
      </c>
      <c r="I4483" s="70">
        <f>IF(B4483="","",IFERROR(A4483-LOOKUP(2,1/($B$4:$B4482=B4483),$A$4:$A4482),""))</f>
        <v/>
      </c>
      <c r="J4483" s="32">
        <f>IF(B4483="","",IFERROR(D4483/I4483,""))</f>
        <v/>
      </c>
      <c r="K4483" s="71">
        <f>IF(B4483="","",IFERROR(AVERAGEIFS($J$4:$J4483,$B$4:$B4483,B4483,$J$4:$J4483,"&gt;"&amp;0),""))</f>
        <v/>
      </c>
      <c r="L4483" s="11" t="n"/>
    </row>
    <row r="4484" ht="14" customHeight="1" s="72">
      <c r="A4484" s="83" t="n"/>
      <c r="B4484" s="81" t="n"/>
      <c r="C4484" s="69">
        <f>IF(B4484="","",IFERROR(INDEX(Client_List!$B:$B,MATCH(B4484,Client_List!$A:$A,0)),"⚠ NOT FOUND"))</f>
        <v/>
      </c>
      <c r="D4484" s="45" t="n"/>
      <c r="E4484" s="32">
        <f>IF(B4484="","",IFERROR(INDEX(Client_List!$C:$C,MATCH(VALUE(B4484),Client_List!$A:$A,0)),""))</f>
        <v/>
      </c>
      <c r="F4484" s="53">
        <f>IF(B4484="","",IFERROR(INDEX(Client_List!$D:$D,MATCH(VALUE(B4484),Client_List!$A:$A,0)),""))</f>
        <v/>
      </c>
      <c r="G4484" s="53">
        <f>IF(B4484="","",IFERROR(INDEX(Client_List!$K:$K,MATCH(VALUE(B4484),Client_List!$A:$A,0)),""))</f>
        <v/>
      </c>
      <c r="H4484" s="32">
        <f>IF(B4484="","",IFERROR(INDEX(Client_List!$J:$J,MATCH(VALUE(B4484),Client_List!$A:$A,0)),""))</f>
        <v/>
      </c>
      <c r="I4484" s="70">
        <f>IF(B4484="","",IFERROR(A4484-LOOKUP(2,1/($B$4:$B4483=B4484),$A$4:$A4483),""))</f>
        <v/>
      </c>
      <c r="J4484" s="32">
        <f>IF(B4484="","",IFERROR(D4484/I4484,""))</f>
        <v/>
      </c>
      <c r="K4484" s="71">
        <f>IF(B4484="","",IFERROR(AVERAGEIFS($J$4:$J4484,$B$4:$B4484,B4484,$J$4:$J4484,"&gt;"&amp;0),""))</f>
        <v/>
      </c>
      <c r="L4484" s="12" t="n"/>
    </row>
    <row r="4485" ht="14" customHeight="1" s="72">
      <c r="A4485" s="82" t="n"/>
      <c r="B4485" s="79" t="n"/>
      <c r="C4485" s="69">
        <f>IF(B4485="","",IFERROR(INDEX(Client_List!$B:$B,MATCH(B4485,Client_List!$A:$A,0)),"⚠ NOT FOUND"))</f>
        <v/>
      </c>
      <c r="D4485" s="44" t="n"/>
      <c r="E4485" s="32">
        <f>IF(B4485="","",IFERROR(INDEX(Client_List!$C:$C,MATCH(VALUE(B4485),Client_List!$A:$A,0)),""))</f>
        <v/>
      </c>
      <c r="F4485" s="53">
        <f>IF(B4485="","",IFERROR(INDEX(Client_List!$D:$D,MATCH(VALUE(B4485),Client_List!$A:$A,0)),""))</f>
        <v/>
      </c>
      <c r="G4485" s="53">
        <f>IF(B4485="","",IFERROR(INDEX(Client_List!$K:$K,MATCH(VALUE(B4485),Client_List!$A:$A,0)),""))</f>
        <v/>
      </c>
      <c r="H4485" s="32">
        <f>IF(B4485="","",IFERROR(INDEX(Client_List!$J:$J,MATCH(VALUE(B4485),Client_List!$A:$A,0)),""))</f>
        <v/>
      </c>
      <c r="I4485" s="70">
        <f>IF(B4485="","",IFERROR(A4485-LOOKUP(2,1/($B$4:$B4484=B4485),$A$4:$A4484),""))</f>
        <v/>
      </c>
      <c r="J4485" s="32">
        <f>IF(B4485="","",IFERROR(D4485/I4485,""))</f>
        <v/>
      </c>
      <c r="K4485" s="71">
        <f>IF(B4485="","",IFERROR(AVERAGEIFS($J$4:$J4485,$B$4:$B4485,B4485,$J$4:$J4485,"&gt;"&amp;0),""))</f>
        <v/>
      </c>
      <c r="L4485" s="11" t="n"/>
    </row>
    <row r="4486" ht="14" customHeight="1" s="72">
      <c r="A4486" s="83" t="n"/>
      <c r="B4486" s="81" t="n"/>
      <c r="C4486" s="69">
        <f>IF(B4486="","",IFERROR(INDEX(Client_List!$B:$B,MATCH(B4486,Client_List!$A:$A,0)),"⚠ NOT FOUND"))</f>
        <v/>
      </c>
      <c r="D4486" s="45" t="n"/>
      <c r="E4486" s="32">
        <f>IF(B4486="","",IFERROR(INDEX(Client_List!$C:$C,MATCH(VALUE(B4486),Client_List!$A:$A,0)),""))</f>
        <v/>
      </c>
      <c r="F4486" s="53">
        <f>IF(B4486="","",IFERROR(INDEX(Client_List!$D:$D,MATCH(VALUE(B4486),Client_List!$A:$A,0)),""))</f>
        <v/>
      </c>
      <c r="G4486" s="53">
        <f>IF(B4486="","",IFERROR(INDEX(Client_List!$K:$K,MATCH(VALUE(B4486),Client_List!$A:$A,0)),""))</f>
        <v/>
      </c>
      <c r="H4486" s="32">
        <f>IF(B4486="","",IFERROR(INDEX(Client_List!$J:$J,MATCH(VALUE(B4486),Client_List!$A:$A,0)),""))</f>
        <v/>
      </c>
      <c r="I4486" s="70">
        <f>IF(B4486="","",IFERROR(A4486-LOOKUP(2,1/($B$4:$B4485=B4486),$A$4:$A4485),""))</f>
        <v/>
      </c>
      <c r="J4486" s="32">
        <f>IF(B4486="","",IFERROR(D4486/I4486,""))</f>
        <v/>
      </c>
      <c r="K4486" s="71">
        <f>IF(B4486="","",IFERROR(AVERAGEIFS($J$4:$J4486,$B$4:$B4486,B4486,$J$4:$J4486,"&gt;"&amp;0),""))</f>
        <v/>
      </c>
      <c r="L4486" s="12" t="n"/>
    </row>
    <row r="4487" ht="14" customHeight="1" s="72">
      <c r="A4487" s="82" t="n"/>
      <c r="B4487" s="79" t="n"/>
      <c r="C4487" s="69">
        <f>IF(B4487="","",IFERROR(INDEX(Client_List!$B:$B,MATCH(B4487,Client_List!$A:$A,0)),"⚠ NOT FOUND"))</f>
        <v/>
      </c>
      <c r="D4487" s="44" t="n"/>
      <c r="E4487" s="32">
        <f>IF(B4487="","",IFERROR(INDEX(Client_List!$C:$C,MATCH(VALUE(B4487),Client_List!$A:$A,0)),""))</f>
        <v/>
      </c>
      <c r="F4487" s="53">
        <f>IF(B4487="","",IFERROR(INDEX(Client_List!$D:$D,MATCH(VALUE(B4487),Client_List!$A:$A,0)),""))</f>
        <v/>
      </c>
      <c r="G4487" s="53">
        <f>IF(B4487="","",IFERROR(INDEX(Client_List!$K:$K,MATCH(VALUE(B4487),Client_List!$A:$A,0)),""))</f>
        <v/>
      </c>
      <c r="H4487" s="32">
        <f>IF(B4487="","",IFERROR(INDEX(Client_List!$J:$J,MATCH(VALUE(B4487),Client_List!$A:$A,0)),""))</f>
        <v/>
      </c>
      <c r="I4487" s="70">
        <f>IF(B4487="","",IFERROR(A4487-LOOKUP(2,1/($B$4:$B4486=B4487),$A$4:$A4486),""))</f>
        <v/>
      </c>
      <c r="J4487" s="32">
        <f>IF(B4487="","",IFERROR(D4487/I4487,""))</f>
        <v/>
      </c>
      <c r="K4487" s="71">
        <f>IF(B4487="","",IFERROR(AVERAGEIFS($J$4:$J4487,$B$4:$B4487,B4487,$J$4:$J4487,"&gt;"&amp;0),""))</f>
        <v/>
      </c>
      <c r="L4487" s="11" t="n"/>
    </row>
    <row r="4488" ht="14" customHeight="1" s="72">
      <c r="A4488" s="83" t="n"/>
      <c r="B4488" s="81" t="n"/>
      <c r="C4488" s="69">
        <f>IF(B4488="","",IFERROR(INDEX(Client_List!$B:$B,MATCH(B4488,Client_List!$A:$A,0)),"⚠ NOT FOUND"))</f>
        <v/>
      </c>
      <c r="D4488" s="45" t="n"/>
      <c r="E4488" s="32">
        <f>IF(B4488="","",IFERROR(INDEX(Client_List!$C:$C,MATCH(VALUE(B4488),Client_List!$A:$A,0)),""))</f>
        <v/>
      </c>
      <c r="F4488" s="53">
        <f>IF(B4488="","",IFERROR(INDEX(Client_List!$D:$D,MATCH(VALUE(B4488),Client_List!$A:$A,0)),""))</f>
        <v/>
      </c>
      <c r="G4488" s="53">
        <f>IF(B4488="","",IFERROR(INDEX(Client_List!$K:$K,MATCH(VALUE(B4488),Client_List!$A:$A,0)),""))</f>
        <v/>
      </c>
      <c r="H4488" s="32">
        <f>IF(B4488="","",IFERROR(INDEX(Client_List!$J:$J,MATCH(VALUE(B4488),Client_List!$A:$A,0)),""))</f>
        <v/>
      </c>
      <c r="I4488" s="70">
        <f>IF(B4488="","",IFERROR(A4488-LOOKUP(2,1/($B$4:$B4487=B4488),$A$4:$A4487),""))</f>
        <v/>
      </c>
      <c r="J4488" s="32">
        <f>IF(B4488="","",IFERROR(D4488/I4488,""))</f>
        <v/>
      </c>
      <c r="K4488" s="71">
        <f>IF(B4488="","",IFERROR(AVERAGEIFS($J$4:$J4488,$B$4:$B4488,B4488,$J$4:$J4488,"&gt;"&amp;0),""))</f>
        <v/>
      </c>
      <c r="L4488" s="12" t="n"/>
    </row>
    <row r="4489" ht="14" customHeight="1" s="72">
      <c r="A4489" s="82" t="n"/>
      <c r="B4489" s="79" t="n"/>
      <c r="C4489" s="69">
        <f>IF(B4489="","",IFERROR(INDEX(Client_List!$B:$B,MATCH(B4489,Client_List!$A:$A,0)),"⚠ NOT FOUND"))</f>
        <v/>
      </c>
      <c r="D4489" s="44" t="n"/>
      <c r="E4489" s="32">
        <f>IF(B4489="","",IFERROR(INDEX(Client_List!$C:$C,MATCH(VALUE(B4489),Client_List!$A:$A,0)),""))</f>
        <v/>
      </c>
      <c r="F4489" s="53">
        <f>IF(B4489="","",IFERROR(INDEX(Client_List!$D:$D,MATCH(VALUE(B4489),Client_List!$A:$A,0)),""))</f>
        <v/>
      </c>
      <c r="G4489" s="53">
        <f>IF(B4489="","",IFERROR(INDEX(Client_List!$K:$K,MATCH(VALUE(B4489),Client_List!$A:$A,0)),""))</f>
        <v/>
      </c>
      <c r="H4489" s="32">
        <f>IF(B4489="","",IFERROR(INDEX(Client_List!$J:$J,MATCH(VALUE(B4489),Client_List!$A:$A,0)),""))</f>
        <v/>
      </c>
      <c r="I4489" s="70">
        <f>IF(B4489="","",IFERROR(A4489-LOOKUP(2,1/($B$4:$B4488=B4489),$A$4:$A4488),""))</f>
        <v/>
      </c>
      <c r="J4489" s="32">
        <f>IF(B4489="","",IFERROR(D4489/I4489,""))</f>
        <v/>
      </c>
      <c r="K4489" s="71">
        <f>IF(B4489="","",IFERROR(AVERAGEIFS($J$4:$J4489,$B$4:$B4489,B4489,$J$4:$J4489,"&gt;"&amp;0),""))</f>
        <v/>
      </c>
      <c r="L4489" s="11" t="n"/>
    </row>
    <row r="4490" ht="14" customHeight="1" s="72">
      <c r="A4490" s="83" t="n"/>
      <c r="B4490" s="81" t="n"/>
      <c r="C4490" s="69">
        <f>IF(B4490="","",IFERROR(INDEX(Client_List!$B:$B,MATCH(B4490,Client_List!$A:$A,0)),"⚠ NOT FOUND"))</f>
        <v/>
      </c>
      <c r="D4490" s="45" t="n"/>
      <c r="E4490" s="32">
        <f>IF(B4490="","",IFERROR(INDEX(Client_List!$C:$C,MATCH(VALUE(B4490),Client_List!$A:$A,0)),""))</f>
        <v/>
      </c>
      <c r="F4490" s="53">
        <f>IF(B4490="","",IFERROR(INDEX(Client_List!$D:$D,MATCH(VALUE(B4490),Client_List!$A:$A,0)),""))</f>
        <v/>
      </c>
      <c r="G4490" s="53">
        <f>IF(B4490="","",IFERROR(INDEX(Client_List!$K:$K,MATCH(VALUE(B4490),Client_List!$A:$A,0)),""))</f>
        <v/>
      </c>
      <c r="H4490" s="32">
        <f>IF(B4490="","",IFERROR(INDEX(Client_List!$J:$J,MATCH(VALUE(B4490),Client_List!$A:$A,0)),""))</f>
        <v/>
      </c>
      <c r="I4490" s="70">
        <f>IF(B4490="","",IFERROR(A4490-LOOKUP(2,1/($B$4:$B4489=B4490),$A$4:$A4489),""))</f>
        <v/>
      </c>
      <c r="J4490" s="32">
        <f>IF(B4490="","",IFERROR(D4490/I4490,""))</f>
        <v/>
      </c>
      <c r="K4490" s="71">
        <f>IF(B4490="","",IFERROR(AVERAGEIFS($J$4:$J4490,$B$4:$B4490,B4490,$J$4:$J4490,"&gt;"&amp;0),""))</f>
        <v/>
      </c>
      <c r="L4490" s="12" t="n"/>
    </row>
    <row r="4491" ht="14" customHeight="1" s="72">
      <c r="A4491" s="82" t="n"/>
      <c r="B4491" s="79" t="n"/>
      <c r="C4491" s="69">
        <f>IF(B4491="","",IFERROR(INDEX(Client_List!$B:$B,MATCH(B4491,Client_List!$A:$A,0)),"⚠ NOT FOUND"))</f>
        <v/>
      </c>
      <c r="D4491" s="44" t="n"/>
      <c r="E4491" s="32">
        <f>IF(B4491="","",IFERROR(INDEX(Client_List!$C:$C,MATCH(VALUE(B4491),Client_List!$A:$A,0)),""))</f>
        <v/>
      </c>
      <c r="F4491" s="53">
        <f>IF(B4491="","",IFERROR(INDEX(Client_List!$D:$D,MATCH(VALUE(B4491),Client_List!$A:$A,0)),""))</f>
        <v/>
      </c>
      <c r="G4491" s="53">
        <f>IF(B4491="","",IFERROR(INDEX(Client_List!$K:$K,MATCH(VALUE(B4491),Client_List!$A:$A,0)),""))</f>
        <v/>
      </c>
      <c r="H4491" s="32">
        <f>IF(B4491="","",IFERROR(INDEX(Client_List!$J:$J,MATCH(VALUE(B4491),Client_List!$A:$A,0)),""))</f>
        <v/>
      </c>
      <c r="I4491" s="70">
        <f>IF(B4491="","",IFERROR(A4491-LOOKUP(2,1/($B$4:$B4490=B4491),$A$4:$A4490),""))</f>
        <v/>
      </c>
      <c r="J4491" s="32">
        <f>IF(B4491="","",IFERROR(D4491/I4491,""))</f>
        <v/>
      </c>
      <c r="K4491" s="71">
        <f>IF(B4491="","",IFERROR(AVERAGEIFS($J$4:$J4491,$B$4:$B4491,B4491,$J$4:$J4491,"&gt;"&amp;0),""))</f>
        <v/>
      </c>
      <c r="L4491" s="11" t="n"/>
    </row>
    <row r="4492" ht="14" customHeight="1" s="72">
      <c r="A4492" s="83" t="n"/>
      <c r="B4492" s="81" t="n"/>
      <c r="C4492" s="69">
        <f>IF(B4492="","",IFERROR(INDEX(Client_List!$B:$B,MATCH(B4492,Client_List!$A:$A,0)),"⚠ NOT FOUND"))</f>
        <v/>
      </c>
      <c r="D4492" s="45" t="n"/>
      <c r="E4492" s="32">
        <f>IF(B4492="","",IFERROR(INDEX(Client_List!$C:$C,MATCH(VALUE(B4492),Client_List!$A:$A,0)),""))</f>
        <v/>
      </c>
      <c r="F4492" s="53">
        <f>IF(B4492="","",IFERROR(INDEX(Client_List!$D:$D,MATCH(VALUE(B4492),Client_List!$A:$A,0)),""))</f>
        <v/>
      </c>
      <c r="G4492" s="53">
        <f>IF(B4492="","",IFERROR(INDEX(Client_List!$K:$K,MATCH(VALUE(B4492),Client_List!$A:$A,0)),""))</f>
        <v/>
      </c>
      <c r="H4492" s="32">
        <f>IF(B4492="","",IFERROR(INDEX(Client_List!$J:$J,MATCH(VALUE(B4492),Client_List!$A:$A,0)),""))</f>
        <v/>
      </c>
      <c r="I4492" s="70">
        <f>IF(B4492="","",IFERROR(A4492-LOOKUP(2,1/($B$4:$B4491=B4492),$A$4:$A4491),""))</f>
        <v/>
      </c>
      <c r="J4492" s="32">
        <f>IF(B4492="","",IFERROR(D4492/I4492,""))</f>
        <v/>
      </c>
      <c r="K4492" s="71">
        <f>IF(B4492="","",IFERROR(AVERAGEIFS($J$4:$J4492,$B$4:$B4492,B4492,$J$4:$J4492,"&gt;"&amp;0),""))</f>
        <v/>
      </c>
      <c r="L4492" s="12" t="n"/>
    </row>
    <row r="4493" ht="14" customHeight="1" s="72">
      <c r="A4493" s="82" t="n"/>
      <c r="B4493" s="79" t="n"/>
      <c r="C4493" s="69">
        <f>IF(B4493="","",IFERROR(INDEX(Client_List!$B:$B,MATCH(B4493,Client_List!$A:$A,0)),"⚠ NOT FOUND"))</f>
        <v/>
      </c>
      <c r="D4493" s="44" t="n"/>
      <c r="E4493" s="32">
        <f>IF(B4493="","",IFERROR(INDEX(Client_List!$C:$C,MATCH(VALUE(B4493),Client_List!$A:$A,0)),""))</f>
        <v/>
      </c>
      <c r="F4493" s="53">
        <f>IF(B4493="","",IFERROR(INDEX(Client_List!$D:$D,MATCH(VALUE(B4493),Client_List!$A:$A,0)),""))</f>
        <v/>
      </c>
      <c r="G4493" s="53">
        <f>IF(B4493="","",IFERROR(INDEX(Client_List!$K:$K,MATCH(VALUE(B4493),Client_List!$A:$A,0)),""))</f>
        <v/>
      </c>
      <c r="H4493" s="32">
        <f>IF(B4493="","",IFERROR(INDEX(Client_List!$J:$J,MATCH(VALUE(B4493),Client_List!$A:$A,0)),""))</f>
        <v/>
      </c>
      <c r="I4493" s="70">
        <f>IF(B4493="","",IFERROR(A4493-LOOKUP(2,1/($B$4:$B4492=B4493),$A$4:$A4492),""))</f>
        <v/>
      </c>
      <c r="J4493" s="32">
        <f>IF(B4493="","",IFERROR(D4493/I4493,""))</f>
        <v/>
      </c>
      <c r="K4493" s="71">
        <f>IF(B4493="","",IFERROR(AVERAGEIFS($J$4:$J4493,$B$4:$B4493,B4493,$J$4:$J4493,"&gt;"&amp;0),""))</f>
        <v/>
      </c>
      <c r="L4493" s="11" t="n"/>
    </row>
    <row r="4494" ht="14" customHeight="1" s="72">
      <c r="A4494" s="83" t="n"/>
      <c r="B4494" s="81" t="n"/>
      <c r="C4494" s="69">
        <f>IF(B4494="","",IFERROR(INDEX(Client_List!$B:$B,MATCH(B4494,Client_List!$A:$A,0)),"⚠ NOT FOUND"))</f>
        <v/>
      </c>
      <c r="D4494" s="45" t="n"/>
      <c r="E4494" s="32">
        <f>IF(B4494="","",IFERROR(INDEX(Client_List!$C:$C,MATCH(VALUE(B4494),Client_List!$A:$A,0)),""))</f>
        <v/>
      </c>
      <c r="F4494" s="53">
        <f>IF(B4494="","",IFERROR(INDEX(Client_List!$D:$D,MATCH(VALUE(B4494),Client_List!$A:$A,0)),""))</f>
        <v/>
      </c>
      <c r="G4494" s="53">
        <f>IF(B4494="","",IFERROR(INDEX(Client_List!$K:$K,MATCH(VALUE(B4494),Client_List!$A:$A,0)),""))</f>
        <v/>
      </c>
      <c r="H4494" s="32">
        <f>IF(B4494="","",IFERROR(INDEX(Client_List!$J:$J,MATCH(VALUE(B4494),Client_List!$A:$A,0)),""))</f>
        <v/>
      </c>
      <c r="I4494" s="70">
        <f>IF(B4494="","",IFERROR(A4494-LOOKUP(2,1/($B$4:$B4493=B4494),$A$4:$A4493),""))</f>
        <v/>
      </c>
      <c r="J4494" s="32">
        <f>IF(B4494="","",IFERROR(D4494/I4494,""))</f>
        <v/>
      </c>
      <c r="K4494" s="71">
        <f>IF(B4494="","",IFERROR(AVERAGEIFS($J$4:$J4494,$B$4:$B4494,B4494,$J$4:$J4494,"&gt;"&amp;0),""))</f>
        <v/>
      </c>
      <c r="L4494" s="12" t="n"/>
    </row>
    <row r="4495" ht="14" customHeight="1" s="72">
      <c r="A4495" s="82" t="n"/>
      <c r="B4495" s="79" t="n"/>
      <c r="C4495" s="69">
        <f>IF(B4495="","",IFERROR(INDEX(Client_List!$B:$B,MATCH(B4495,Client_List!$A:$A,0)),"⚠ NOT FOUND"))</f>
        <v/>
      </c>
      <c r="D4495" s="44" t="n"/>
      <c r="E4495" s="32">
        <f>IF(B4495="","",IFERROR(INDEX(Client_List!$C:$C,MATCH(VALUE(B4495),Client_List!$A:$A,0)),""))</f>
        <v/>
      </c>
      <c r="F4495" s="53">
        <f>IF(B4495="","",IFERROR(INDEX(Client_List!$D:$D,MATCH(VALUE(B4495),Client_List!$A:$A,0)),""))</f>
        <v/>
      </c>
      <c r="G4495" s="53">
        <f>IF(B4495="","",IFERROR(INDEX(Client_List!$K:$K,MATCH(VALUE(B4495),Client_List!$A:$A,0)),""))</f>
        <v/>
      </c>
      <c r="H4495" s="32">
        <f>IF(B4495="","",IFERROR(INDEX(Client_List!$J:$J,MATCH(VALUE(B4495),Client_List!$A:$A,0)),""))</f>
        <v/>
      </c>
      <c r="I4495" s="70">
        <f>IF(B4495="","",IFERROR(A4495-LOOKUP(2,1/($B$4:$B4494=B4495),$A$4:$A4494),""))</f>
        <v/>
      </c>
      <c r="J4495" s="32">
        <f>IF(B4495="","",IFERROR(D4495/I4495,""))</f>
        <v/>
      </c>
      <c r="K4495" s="71">
        <f>IF(B4495="","",IFERROR(AVERAGEIFS($J$4:$J4495,$B$4:$B4495,B4495,$J$4:$J4495,"&gt;"&amp;0),""))</f>
        <v/>
      </c>
      <c r="L4495" s="11" t="n"/>
    </row>
    <row r="4496" ht="14" customHeight="1" s="72">
      <c r="A4496" s="83" t="n"/>
      <c r="B4496" s="81" t="n"/>
      <c r="C4496" s="69">
        <f>IF(B4496="","",IFERROR(INDEX(Client_List!$B:$B,MATCH(B4496,Client_List!$A:$A,0)),"⚠ NOT FOUND"))</f>
        <v/>
      </c>
      <c r="D4496" s="45" t="n"/>
      <c r="E4496" s="32">
        <f>IF(B4496="","",IFERROR(INDEX(Client_List!$C:$C,MATCH(VALUE(B4496),Client_List!$A:$A,0)),""))</f>
        <v/>
      </c>
      <c r="F4496" s="53">
        <f>IF(B4496="","",IFERROR(INDEX(Client_List!$D:$D,MATCH(VALUE(B4496),Client_List!$A:$A,0)),""))</f>
        <v/>
      </c>
      <c r="G4496" s="53">
        <f>IF(B4496="","",IFERROR(INDEX(Client_List!$K:$K,MATCH(VALUE(B4496),Client_List!$A:$A,0)),""))</f>
        <v/>
      </c>
      <c r="H4496" s="32">
        <f>IF(B4496="","",IFERROR(INDEX(Client_List!$J:$J,MATCH(VALUE(B4496),Client_List!$A:$A,0)),""))</f>
        <v/>
      </c>
      <c r="I4496" s="70">
        <f>IF(B4496="","",IFERROR(A4496-LOOKUP(2,1/($B$4:$B4495=B4496),$A$4:$A4495),""))</f>
        <v/>
      </c>
      <c r="J4496" s="32">
        <f>IF(B4496="","",IFERROR(D4496/I4496,""))</f>
        <v/>
      </c>
      <c r="K4496" s="71">
        <f>IF(B4496="","",IFERROR(AVERAGEIFS($J$4:$J4496,$B$4:$B4496,B4496,$J$4:$J4496,"&gt;"&amp;0),""))</f>
        <v/>
      </c>
      <c r="L4496" s="12" t="n"/>
    </row>
    <row r="4497" ht="14" customHeight="1" s="72">
      <c r="A4497" s="82" t="n"/>
      <c r="B4497" s="79" t="n"/>
      <c r="C4497" s="69">
        <f>IF(B4497="","",IFERROR(INDEX(Client_List!$B:$B,MATCH(B4497,Client_List!$A:$A,0)),"⚠ NOT FOUND"))</f>
        <v/>
      </c>
      <c r="D4497" s="44" t="n"/>
      <c r="E4497" s="32">
        <f>IF(B4497="","",IFERROR(INDEX(Client_List!$C:$C,MATCH(VALUE(B4497),Client_List!$A:$A,0)),""))</f>
        <v/>
      </c>
      <c r="F4497" s="53">
        <f>IF(B4497="","",IFERROR(INDEX(Client_List!$D:$D,MATCH(VALUE(B4497),Client_List!$A:$A,0)),""))</f>
        <v/>
      </c>
      <c r="G4497" s="53">
        <f>IF(B4497="","",IFERROR(INDEX(Client_List!$K:$K,MATCH(VALUE(B4497),Client_List!$A:$A,0)),""))</f>
        <v/>
      </c>
      <c r="H4497" s="32">
        <f>IF(B4497="","",IFERROR(INDEX(Client_List!$J:$J,MATCH(VALUE(B4497),Client_List!$A:$A,0)),""))</f>
        <v/>
      </c>
      <c r="I4497" s="70">
        <f>IF(B4497="","",IFERROR(A4497-LOOKUP(2,1/($B$4:$B4496=B4497),$A$4:$A4496),""))</f>
        <v/>
      </c>
      <c r="J4497" s="32">
        <f>IF(B4497="","",IFERROR(D4497/I4497,""))</f>
        <v/>
      </c>
      <c r="K4497" s="71">
        <f>IF(B4497="","",IFERROR(AVERAGEIFS($J$4:$J4497,$B$4:$B4497,B4497,$J$4:$J4497,"&gt;"&amp;0),""))</f>
        <v/>
      </c>
      <c r="L4497" s="11" t="n"/>
    </row>
    <row r="4498" ht="14" customHeight="1" s="72">
      <c r="A4498" s="83" t="n"/>
      <c r="B4498" s="81" t="n"/>
      <c r="C4498" s="69">
        <f>IF(B4498="","",IFERROR(INDEX(Client_List!$B:$B,MATCH(B4498,Client_List!$A:$A,0)),"⚠ NOT FOUND"))</f>
        <v/>
      </c>
      <c r="D4498" s="45" t="n"/>
      <c r="E4498" s="32">
        <f>IF(B4498="","",IFERROR(INDEX(Client_List!$C:$C,MATCH(VALUE(B4498),Client_List!$A:$A,0)),""))</f>
        <v/>
      </c>
      <c r="F4498" s="53">
        <f>IF(B4498="","",IFERROR(INDEX(Client_List!$D:$D,MATCH(VALUE(B4498),Client_List!$A:$A,0)),""))</f>
        <v/>
      </c>
      <c r="G4498" s="53">
        <f>IF(B4498="","",IFERROR(INDEX(Client_List!$K:$K,MATCH(VALUE(B4498),Client_List!$A:$A,0)),""))</f>
        <v/>
      </c>
      <c r="H4498" s="32">
        <f>IF(B4498="","",IFERROR(INDEX(Client_List!$J:$J,MATCH(VALUE(B4498),Client_List!$A:$A,0)),""))</f>
        <v/>
      </c>
      <c r="I4498" s="70">
        <f>IF(B4498="","",IFERROR(A4498-LOOKUP(2,1/($B$4:$B4497=B4498),$A$4:$A4497),""))</f>
        <v/>
      </c>
      <c r="J4498" s="32">
        <f>IF(B4498="","",IFERROR(D4498/I4498,""))</f>
        <v/>
      </c>
      <c r="K4498" s="71">
        <f>IF(B4498="","",IFERROR(AVERAGEIFS($J$4:$J4498,$B$4:$B4498,B4498,$J$4:$J4498,"&gt;"&amp;0),""))</f>
        <v/>
      </c>
      <c r="L4498" s="12" t="n"/>
    </row>
    <row r="4499" ht="14" customHeight="1" s="72">
      <c r="A4499" s="82" t="n"/>
      <c r="B4499" s="79" t="n"/>
      <c r="C4499" s="69">
        <f>IF(B4499="","",IFERROR(INDEX(Client_List!$B:$B,MATCH(B4499,Client_List!$A:$A,0)),"⚠ NOT FOUND"))</f>
        <v/>
      </c>
      <c r="D4499" s="44" t="n"/>
      <c r="E4499" s="32">
        <f>IF(B4499="","",IFERROR(INDEX(Client_List!$C:$C,MATCH(VALUE(B4499),Client_List!$A:$A,0)),""))</f>
        <v/>
      </c>
      <c r="F4499" s="53">
        <f>IF(B4499="","",IFERROR(INDEX(Client_List!$D:$D,MATCH(VALUE(B4499),Client_List!$A:$A,0)),""))</f>
        <v/>
      </c>
      <c r="G4499" s="53">
        <f>IF(B4499="","",IFERROR(INDEX(Client_List!$K:$K,MATCH(VALUE(B4499),Client_List!$A:$A,0)),""))</f>
        <v/>
      </c>
      <c r="H4499" s="32">
        <f>IF(B4499="","",IFERROR(INDEX(Client_List!$J:$J,MATCH(VALUE(B4499),Client_List!$A:$A,0)),""))</f>
        <v/>
      </c>
      <c r="I4499" s="70">
        <f>IF(B4499="","",IFERROR(A4499-LOOKUP(2,1/($B$4:$B4498=B4499),$A$4:$A4498),""))</f>
        <v/>
      </c>
      <c r="J4499" s="32">
        <f>IF(B4499="","",IFERROR(D4499/I4499,""))</f>
        <v/>
      </c>
      <c r="K4499" s="71">
        <f>IF(B4499="","",IFERROR(AVERAGEIFS($J$4:$J4499,$B$4:$B4499,B4499,$J$4:$J4499,"&gt;"&amp;0),""))</f>
        <v/>
      </c>
      <c r="L4499" s="11" t="n"/>
    </row>
    <row r="4500" ht="14" customHeight="1" s="72">
      <c r="A4500" s="83" t="n"/>
      <c r="B4500" s="81" t="n"/>
      <c r="C4500" s="69">
        <f>IF(B4500="","",IFERROR(INDEX(Client_List!$B:$B,MATCH(B4500,Client_List!$A:$A,0)),"⚠ NOT FOUND"))</f>
        <v/>
      </c>
      <c r="D4500" s="45" t="n"/>
      <c r="E4500" s="32">
        <f>IF(B4500="","",IFERROR(INDEX(Client_List!$C:$C,MATCH(VALUE(B4500),Client_List!$A:$A,0)),""))</f>
        <v/>
      </c>
      <c r="F4500" s="53">
        <f>IF(B4500="","",IFERROR(INDEX(Client_List!$D:$D,MATCH(VALUE(B4500),Client_List!$A:$A,0)),""))</f>
        <v/>
      </c>
      <c r="G4500" s="53">
        <f>IF(B4500="","",IFERROR(INDEX(Client_List!$K:$K,MATCH(VALUE(B4500),Client_List!$A:$A,0)),""))</f>
        <v/>
      </c>
      <c r="H4500" s="32">
        <f>IF(B4500="","",IFERROR(INDEX(Client_List!$J:$J,MATCH(VALUE(B4500),Client_List!$A:$A,0)),""))</f>
        <v/>
      </c>
      <c r="I4500" s="70">
        <f>IF(B4500="","",IFERROR(A4500-LOOKUP(2,1/($B$4:$B4499=B4500),$A$4:$A4499),""))</f>
        <v/>
      </c>
      <c r="J4500" s="32">
        <f>IF(B4500="","",IFERROR(D4500/I4500,""))</f>
        <v/>
      </c>
      <c r="K4500" s="71">
        <f>IF(B4500="","",IFERROR(AVERAGEIFS($J$4:$J4500,$B$4:$B4500,B4500,$J$4:$J4500,"&gt;"&amp;0),""))</f>
        <v/>
      </c>
      <c r="L4500" s="12" t="n"/>
    </row>
    <row r="4501" ht="14" customHeight="1" s="72">
      <c r="A4501" s="82" t="n"/>
      <c r="B4501" s="79" t="n"/>
      <c r="C4501" s="69">
        <f>IF(B4501="","",IFERROR(INDEX(Client_List!$B:$B,MATCH(B4501,Client_List!$A:$A,0)),"⚠ NOT FOUND"))</f>
        <v/>
      </c>
      <c r="D4501" s="44" t="n"/>
      <c r="E4501" s="32">
        <f>IF(B4501="","",IFERROR(INDEX(Client_List!$C:$C,MATCH(VALUE(B4501),Client_List!$A:$A,0)),""))</f>
        <v/>
      </c>
      <c r="F4501" s="53">
        <f>IF(B4501="","",IFERROR(INDEX(Client_List!$D:$D,MATCH(VALUE(B4501),Client_List!$A:$A,0)),""))</f>
        <v/>
      </c>
      <c r="G4501" s="53">
        <f>IF(B4501="","",IFERROR(INDEX(Client_List!$K:$K,MATCH(VALUE(B4501),Client_List!$A:$A,0)),""))</f>
        <v/>
      </c>
      <c r="H4501" s="32">
        <f>IF(B4501="","",IFERROR(INDEX(Client_List!$J:$J,MATCH(VALUE(B4501),Client_List!$A:$A,0)),""))</f>
        <v/>
      </c>
      <c r="I4501" s="70">
        <f>IF(B4501="","",IFERROR(A4501-LOOKUP(2,1/($B$4:$B4500=B4501),$A$4:$A4500),""))</f>
        <v/>
      </c>
      <c r="J4501" s="32">
        <f>IF(B4501="","",IFERROR(D4501/I4501,""))</f>
        <v/>
      </c>
      <c r="K4501" s="71">
        <f>IF(B4501="","",IFERROR(AVERAGEIFS($J$4:$J4501,$B$4:$B4501,B4501,$J$4:$J4501,"&gt;"&amp;0),""))</f>
        <v/>
      </c>
      <c r="L4501" s="11" t="n"/>
    </row>
    <row r="4502" ht="14" customHeight="1" s="72">
      <c r="A4502" s="83" t="n"/>
      <c r="B4502" s="81" t="n"/>
      <c r="C4502" s="69">
        <f>IF(B4502="","",IFERROR(INDEX(Client_List!$B:$B,MATCH(B4502,Client_List!$A:$A,0)),"⚠ NOT FOUND"))</f>
        <v/>
      </c>
      <c r="D4502" s="45" t="n"/>
      <c r="E4502" s="32">
        <f>IF(B4502="","",IFERROR(INDEX(Client_List!$C:$C,MATCH(VALUE(B4502),Client_List!$A:$A,0)),""))</f>
        <v/>
      </c>
      <c r="F4502" s="53">
        <f>IF(B4502="","",IFERROR(INDEX(Client_List!$D:$D,MATCH(VALUE(B4502),Client_List!$A:$A,0)),""))</f>
        <v/>
      </c>
      <c r="G4502" s="53">
        <f>IF(B4502="","",IFERROR(INDEX(Client_List!$K:$K,MATCH(VALUE(B4502),Client_List!$A:$A,0)),""))</f>
        <v/>
      </c>
      <c r="H4502" s="32">
        <f>IF(B4502="","",IFERROR(INDEX(Client_List!$J:$J,MATCH(VALUE(B4502),Client_List!$A:$A,0)),""))</f>
        <v/>
      </c>
      <c r="I4502" s="70">
        <f>IF(B4502="","",IFERROR(A4502-LOOKUP(2,1/($B$4:$B4501=B4502),$A$4:$A4501),""))</f>
        <v/>
      </c>
      <c r="J4502" s="32">
        <f>IF(B4502="","",IFERROR(D4502/I4502,""))</f>
        <v/>
      </c>
      <c r="K4502" s="71">
        <f>IF(B4502="","",IFERROR(AVERAGEIFS($J$4:$J4502,$B$4:$B4502,B4502,$J$4:$J4502,"&gt;"&amp;0),""))</f>
        <v/>
      </c>
      <c r="L4502" s="12" t="n"/>
    </row>
    <row r="4503" ht="14" customHeight="1" s="72">
      <c r="A4503" s="82" t="n"/>
      <c r="B4503" s="79" t="n"/>
      <c r="C4503" s="69">
        <f>IF(B4503="","",IFERROR(INDEX(Client_List!$B:$B,MATCH(B4503,Client_List!$A:$A,0)),"⚠ NOT FOUND"))</f>
        <v/>
      </c>
      <c r="D4503" s="44" t="n"/>
      <c r="E4503" s="32">
        <f>IF(B4503="","",IFERROR(INDEX(Client_List!$C:$C,MATCH(VALUE(B4503),Client_List!$A:$A,0)),""))</f>
        <v/>
      </c>
      <c r="F4503" s="53">
        <f>IF(B4503="","",IFERROR(INDEX(Client_List!$D:$D,MATCH(VALUE(B4503),Client_List!$A:$A,0)),""))</f>
        <v/>
      </c>
      <c r="G4503" s="53">
        <f>IF(B4503="","",IFERROR(INDEX(Client_List!$K:$K,MATCH(VALUE(B4503),Client_List!$A:$A,0)),""))</f>
        <v/>
      </c>
      <c r="H4503" s="32">
        <f>IF(B4503="","",IFERROR(INDEX(Client_List!$J:$J,MATCH(VALUE(B4503),Client_List!$A:$A,0)),""))</f>
        <v/>
      </c>
      <c r="I4503" s="70">
        <f>IF(B4503="","",IFERROR(A4503-LOOKUP(2,1/($B$4:$B4502=B4503),$A$4:$A4502),""))</f>
        <v/>
      </c>
      <c r="J4503" s="32">
        <f>IF(B4503="","",IFERROR(D4503/I4503,""))</f>
        <v/>
      </c>
      <c r="K4503" s="71">
        <f>IF(B4503="","",IFERROR(AVERAGEIFS($J$4:$J4503,$B$4:$B4503,B4503,$J$4:$J4503,"&gt;"&amp;0),""))</f>
        <v/>
      </c>
      <c r="L4503" s="11" t="n"/>
    </row>
    <row r="4504" ht="14" customHeight="1" s="72">
      <c r="A4504" s="83" t="n"/>
      <c r="B4504" s="81" t="n"/>
      <c r="C4504" s="69">
        <f>IF(B4504="","",IFERROR(INDEX(Client_List!$B:$B,MATCH(B4504,Client_List!$A:$A,0)),"⚠ NOT FOUND"))</f>
        <v/>
      </c>
      <c r="D4504" s="45" t="n"/>
      <c r="E4504" s="32">
        <f>IF(B4504="","",IFERROR(INDEX(Client_List!$C:$C,MATCH(VALUE(B4504),Client_List!$A:$A,0)),""))</f>
        <v/>
      </c>
      <c r="F4504" s="53">
        <f>IF(B4504="","",IFERROR(INDEX(Client_List!$D:$D,MATCH(VALUE(B4504),Client_List!$A:$A,0)),""))</f>
        <v/>
      </c>
      <c r="G4504" s="53">
        <f>IF(B4504="","",IFERROR(INDEX(Client_List!$K:$K,MATCH(VALUE(B4504),Client_List!$A:$A,0)),""))</f>
        <v/>
      </c>
      <c r="H4504" s="32">
        <f>IF(B4504="","",IFERROR(INDEX(Client_List!$J:$J,MATCH(VALUE(B4504),Client_List!$A:$A,0)),""))</f>
        <v/>
      </c>
      <c r="I4504" s="70">
        <f>IF(B4504="","",IFERROR(A4504-LOOKUP(2,1/($B$4:$B4503=B4504),$A$4:$A4503),""))</f>
        <v/>
      </c>
      <c r="J4504" s="32">
        <f>IF(B4504="","",IFERROR(D4504/I4504,""))</f>
        <v/>
      </c>
      <c r="K4504" s="71">
        <f>IF(B4504="","",IFERROR(AVERAGEIFS($J$4:$J4504,$B$4:$B4504,B4504,$J$4:$J4504,"&gt;"&amp;0),""))</f>
        <v/>
      </c>
      <c r="L4504" s="12" t="n"/>
    </row>
    <row r="4505" ht="14" customHeight="1" s="72">
      <c r="A4505" s="82" t="n"/>
      <c r="B4505" s="79" t="n"/>
      <c r="C4505" s="69">
        <f>IF(B4505="","",IFERROR(INDEX(Client_List!$B:$B,MATCH(B4505,Client_List!$A:$A,0)),"⚠ NOT FOUND"))</f>
        <v/>
      </c>
      <c r="D4505" s="44" t="n"/>
      <c r="E4505" s="32">
        <f>IF(B4505="","",IFERROR(INDEX(Client_List!$C:$C,MATCH(VALUE(B4505),Client_List!$A:$A,0)),""))</f>
        <v/>
      </c>
      <c r="F4505" s="53">
        <f>IF(B4505="","",IFERROR(INDEX(Client_List!$D:$D,MATCH(VALUE(B4505),Client_List!$A:$A,0)),""))</f>
        <v/>
      </c>
      <c r="G4505" s="53">
        <f>IF(B4505="","",IFERROR(INDEX(Client_List!$K:$K,MATCH(VALUE(B4505),Client_List!$A:$A,0)),""))</f>
        <v/>
      </c>
      <c r="H4505" s="32">
        <f>IF(B4505="","",IFERROR(INDEX(Client_List!$J:$J,MATCH(VALUE(B4505),Client_List!$A:$A,0)),""))</f>
        <v/>
      </c>
      <c r="I4505" s="70">
        <f>IF(B4505="","",IFERROR(A4505-LOOKUP(2,1/($B$4:$B4504=B4505),$A$4:$A4504),""))</f>
        <v/>
      </c>
      <c r="J4505" s="32">
        <f>IF(B4505="","",IFERROR(D4505/I4505,""))</f>
        <v/>
      </c>
      <c r="K4505" s="71">
        <f>IF(B4505="","",IFERROR(AVERAGEIFS($J$4:$J4505,$B$4:$B4505,B4505,$J$4:$J4505,"&gt;"&amp;0),""))</f>
        <v/>
      </c>
      <c r="L4505" s="11" t="n"/>
    </row>
    <row r="4506" ht="14" customHeight="1" s="72">
      <c r="A4506" s="83" t="n"/>
      <c r="B4506" s="81" t="n"/>
      <c r="C4506" s="69">
        <f>IF(B4506="","",IFERROR(INDEX(Client_List!$B:$B,MATCH(B4506,Client_List!$A:$A,0)),"⚠ NOT FOUND"))</f>
        <v/>
      </c>
      <c r="D4506" s="45" t="n"/>
      <c r="E4506" s="32">
        <f>IF(B4506="","",IFERROR(INDEX(Client_List!$C:$C,MATCH(VALUE(B4506),Client_List!$A:$A,0)),""))</f>
        <v/>
      </c>
      <c r="F4506" s="53">
        <f>IF(B4506="","",IFERROR(INDEX(Client_List!$D:$D,MATCH(VALUE(B4506),Client_List!$A:$A,0)),""))</f>
        <v/>
      </c>
      <c r="G4506" s="53">
        <f>IF(B4506="","",IFERROR(INDEX(Client_List!$K:$K,MATCH(VALUE(B4506),Client_List!$A:$A,0)),""))</f>
        <v/>
      </c>
      <c r="H4506" s="32">
        <f>IF(B4506="","",IFERROR(INDEX(Client_List!$J:$J,MATCH(VALUE(B4506),Client_List!$A:$A,0)),""))</f>
        <v/>
      </c>
      <c r="I4506" s="70">
        <f>IF(B4506="","",IFERROR(A4506-LOOKUP(2,1/($B$4:$B4505=B4506),$A$4:$A4505),""))</f>
        <v/>
      </c>
      <c r="J4506" s="32">
        <f>IF(B4506="","",IFERROR(D4506/I4506,""))</f>
        <v/>
      </c>
      <c r="K4506" s="71">
        <f>IF(B4506="","",IFERROR(AVERAGEIFS($J$4:$J4506,$B$4:$B4506,B4506,$J$4:$J4506,"&gt;"&amp;0),""))</f>
        <v/>
      </c>
      <c r="L4506" s="12" t="n"/>
    </row>
    <row r="4507" ht="14" customHeight="1" s="72">
      <c r="A4507" s="82" t="n"/>
      <c r="B4507" s="79" t="n"/>
      <c r="C4507" s="69">
        <f>IF(B4507="","",IFERROR(INDEX(Client_List!$B:$B,MATCH(B4507,Client_List!$A:$A,0)),"⚠ NOT FOUND"))</f>
        <v/>
      </c>
      <c r="D4507" s="44" t="n"/>
      <c r="E4507" s="32">
        <f>IF(B4507="","",IFERROR(INDEX(Client_List!$C:$C,MATCH(VALUE(B4507),Client_List!$A:$A,0)),""))</f>
        <v/>
      </c>
      <c r="F4507" s="53">
        <f>IF(B4507="","",IFERROR(INDEX(Client_List!$D:$D,MATCH(VALUE(B4507),Client_List!$A:$A,0)),""))</f>
        <v/>
      </c>
      <c r="G4507" s="53">
        <f>IF(B4507="","",IFERROR(INDEX(Client_List!$K:$K,MATCH(VALUE(B4507),Client_List!$A:$A,0)),""))</f>
        <v/>
      </c>
      <c r="H4507" s="32">
        <f>IF(B4507="","",IFERROR(INDEX(Client_List!$J:$J,MATCH(VALUE(B4507),Client_List!$A:$A,0)),""))</f>
        <v/>
      </c>
      <c r="I4507" s="70">
        <f>IF(B4507="","",IFERROR(A4507-LOOKUP(2,1/($B$4:$B4506=B4507),$A$4:$A4506),""))</f>
        <v/>
      </c>
      <c r="J4507" s="32">
        <f>IF(B4507="","",IFERROR(D4507/I4507,""))</f>
        <v/>
      </c>
      <c r="K4507" s="71">
        <f>IF(B4507="","",IFERROR(AVERAGEIFS($J$4:$J4507,$B$4:$B4507,B4507,$J$4:$J4507,"&gt;"&amp;0),""))</f>
        <v/>
      </c>
      <c r="L4507" s="11" t="n"/>
    </row>
    <row r="4508" ht="14" customHeight="1" s="72">
      <c r="A4508" s="83" t="n"/>
      <c r="B4508" s="81" t="n"/>
      <c r="C4508" s="69">
        <f>IF(B4508="","",IFERROR(INDEX(Client_List!$B:$B,MATCH(B4508,Client_List!$A:$A,0)),"⚠ NOT FOUND"))</f>
        <v/>
      </c>
      <c r="D4508" s="45" t="n"/>
      <c r="E4508" s="32">
        <f>IF(B4508="","",IFERROR(INDEX(Client_List!$C:$C,MATCH(VALUE(B4508),Client_List!$A:$A,0)),""))</f>
        <v/>
      </c>
      <c r="F4508" s="53">
        <f>IF(B4508="","",IFERROR(INDEX(Client_List!$D:$D,MATCH(VALUE(B4508),Client_List!$A:$A,0)),""))</f>
        <v/>
      </c>
      <c r="G4508" s="53">
        <f>IF(B4508="","",IFERROR(INDEX(Client_List!$K:$K,MATCH(VALUE(B4508),Client_List!$A:$A,0)),""))</f>
        <v/>
      </c>
      <c r="H4508" s="32">
        <f>IF(B4508="","",IFERROR(INDEX(Client_List!$J:$J,MATCH(VALUE(B4508),Client_List!$A:$A,0)),""))</f>
        <v/>
      </c>
      <c r="I4508" s="70">
        <f>IF(B4508="","",IFERROR(A4508-LOOKUP(2,1/($B$4:$B4507=B4508),$A$4:$A4507),""))</f>
        <v/>
      </c>
      <c r="J4508" s="32">
        <f>IF(B4508="","",IFERROR(D4508/I4508,""))</f>
        <v/>
      </c>
      <c r="K4508" s="71">
        <f>IF(B4508="","",IFERROR(AVERAGEIFS($J$4:$J4508,$B$4:$B4508,B4508,$J$4:$J4508,"&gt;"&amp;0),""))</f>
        <v/>
      </c>
      <c r="L4508" s="12" t="n"/>
    </row>
    <row r="4509" ht="14" customHeight="1" s="72">
      <c r="A4509" s="82" t="n"/>
      <c r="B4509" s="79" t="n"/>
      <c r="C4509" s="69">
        <f>IF(B4509="","",IFERROR(INDEX(Client_List!$B:$B,MATCH(B4509,Client_List!$A:$A,0)),"⚠ NOT FOUND"))</f>
        <v/>
      </c>
      <c r="D4509" s="44" t="n"/>
      <c r="E4509" s="32">
        <f>IF(B4509="","",IFERROR(INDEX(Client_List!$C:$C,MATCH(VALUE(B4509),Client_List!$A:$A,0)),""))</f>
        <v/>
      </c>
      <c r="F4509" s="53">
        <f>IF(B4509="","",IFERROR(INDEX(Client_List!$D:$D,MATCH(VALUE(B4509),Client_List!$A:$A,0)),""))</f>
        <v/>
      </c>
      <c r="G4509" s="53">
        <f>IF(B4509="","",IFERROR(INDEX(Client_List!$K:$K,MATCH(VALUE(B4509),Client_List!$A:$A,0)),""))</f>
        <v/>
      </c>
      <c r="H4509" s="32">
        <f>IF(B4509="","",IFERROR(INDEX(Client_List!$J:$J,MATCH(VALUE(B4509),Client_List!$A:$A,0)),""))</f>
        <v/>
      </c>
      <c r="I4509" s="70">
        <f>IF(B4509="","",IFERROR(A4509-LOOKUP(2,1/($B$4:$B4508=B4509),$A$4:$A4508),""))</f>
        <v/>
      </c>
      <c r="J4509" s="32">
        <f>IF(B4509="","",IFERROR(D4509/I4509,""))</f>
        <v/>
      </c>
      <c r="K4509" s="71">
        <f>IF(B4509="","",IFERROR(AVERAGEIFS($J$4:$J4509,$B$4:$B4509,B4509,$J$4:$J4509,"&gt;"&amp;0),""))</f>
        <v/>
      </c>
      <c r="L4509" s="11" t="n"/>
    </row>
    <row r="4510" ht="14" customHeight="1" s="72">
      <c r="A4510" s="83" t="n"/>
      <c r="B4510" s="81" t="n"/>
      <c r="C4510" s="69">
        <f>IF(B4510="","",IFERROR(INDEX(Client_List!$B:$B,MATCH(B4510,Client_List!$A:$A,0)),"⚠ NOT FOUND"))</f>
        <v/>
      </c>
      <c r="D4510" s="45" t="n"/>
      <c r="E4510" s="32">
        <f>IF(B4510="","",IFERROR(INDEX(Client_List!$C:$C,MATCH(VALUE(B4510),Client_List!$A:$A,0)),""))</f>
        <v/>
      </c>
      <c r="F4510" s="53">
        <f>IF(B4510="","",IFERROR(INDEX(Client_List!$D:$D,MATCH(VALUE(B4510),Client_List!$A:$A,0)),""))</f>
        <v/>
      </c>
      <c r="G4510" s="53">
        <f>IF(B4510="","",IFERROR(INDEX(Client_List!$K:$K,MATCH(VALUE(B4510),Client_List!$A:$A,0)),""))</f>
        <v/>
      </c>
      <c r="H4510" s="32">
        <f>IF(B4510="","",IFERROR(INDEX(Client_List!$J:$J,MATCH(VALUE(B4510),Client_List!$A:$A,0)),""))</f>
        <v/>
      </c>
      <c r="I4510" s="70">
        <f>IF(B4510="","",IFERROR(A4510-LOOKUP(2,1/($B$4:$B4509=B4510),$A$4:$A4509),""))</f>
        <v/>
      </c>
      <c r="J4510" s="32">
        <f>IF(B4510="","",IFERROR(D4510/I4510,""))</f>
        <v/>
      </c>
      <c r="K4510" s="71">
        <f>IF(B4510="","",IFERROR(AVERAGEIFS($J$4:$J4510,$B$4:$B4510,B4510,$J$4:$J4510,"&gt;"&amp;0),""))</f>
        <v/>
      </c>
      <c r="L4510" s="12" t="n"/>
    </row>
    <row r="4511" ht="14" customHeight="1" s="72">
      <c r="A4511" s="82" t="n"/>
      <c r="B4511" s="79" t="n"/>
      <c r="C4511" s="69">
        <f>IF(B4511="","",IFERROR(INDEX(Client_List!$B:$B,MATCH(B4511,Client_List!$A:$A,0)),"⚠ NOT FOUND"))</f>
        <v/>
      </c>
      <c r="D4511" s="44" t="n"/>
      <c r="E4511" s="32">
        <f>IF(B4511="","",IFERROR(INDEX(Client_List!$C:$C,MATCH(VALUE(B4511),Client_List!$A:$A,0)),""))</f>
        <v/>
      </c>
      <c r="F4511" s="53">
        <f>IF(B4511="","",IFERROR(INDEX(Client_List!$D:$D,MATCH(VALUE(B4511),Client_List!$A:$A,0)),""))</f>
        <v/>
      </c>
      <c r="G4511" s="53">
        <f>IF(B4511="","",IFERROR(INDEX(Client_List!$K:$K,MATCH(VALUE(B4511),Client_List!$A:$A,0)),""))</f>
        <v/>
      </c>
      <c r="H4511" s="32">
        <f>IF(B4511="","",IFERROR(INDEX(Client_List!$J:$J,MATCH(VALUE(B4511),Client_List!$A:$A,0)),""))</f>
        <v/>
      </c>
      <c r="I4511" s="70">
        <f>IF(B4511="","",IFERROR(A4511-LOOKUP(2,1/($B$4:$B4510=B4511),$A$4:$A4510),""))</f>
        <v/>
      </c>
      <c r="J4511" s="32">
        <f>IF(B4511="","",IFERROR(D4511/I4511,""))</f>
        <v/>
      </c>
      <c r="K4511" s="71">
        <f>IF(B4511="","",IFERROR(AVERAGEIFS($J$4:$J4511,$B$4:$B4511,B4511,$J$4:$J4511,"&gt;"&amp;0),""))</f>
        <v/>
      </c>
      <c r="L4511" s="11" t="n"/>
    </row>
    <row r="4512" ht="14" customHeight="1" s="72">
      <c r="A4512" s="83" t="n"/>
      <c r="B4512" s="81" t="n"/>
      <c r="C4512" s="69">
        <f>IF(B4512="","",IFERROR(INDEX(Client_List!$B:$B,MATCH(B4512,Client_List!$A:$A,0)),"⚠ NOT FOUND"))</f>
        <v/>
      </c>
      <c r="D4512" s="45" t="n"/>
      <c r="E4512" s="32">
        <f>IF(B4512="","",IFERROR(INDEX(Client_List!$C:$C,MATCH(VALUE(B4512),Client_List!$A:$A,0)),""))</f>
        <v/>
      </c>
      <c r="F4512" s="53">
        <f>IF(B4512="","",IFERROR(INDEX(Client_List!$D:$D,MATCH(VALUE(B4512),Client_List!$A:$A,0)),""))</f>
        <v/>
      </c>
      <c r="G4512" s="53">
        <f>IF(B4512="","",IFERROR(INDEX(Client_List!$K:$K,MATCH(VALUE(B4512),Client_List!$A:$A,0)),""))</f>
        <v/>
      </c>
      <c r="H4512" s="32">
        <f>IF(B4512="","",IFERROR(INDEX(Client_List!$J:$J,MATCH(VALUE(B4512),Client_List!$A:$A,0)),""))</f>
        <v/>
      </c>
      <c r="I4512" s="70">
        <f>IF(B4512="","",IFERROR(A4512-LOOKUP(2,1/($B$4:$B4511=B4512),$A$4:$A4511),""))</f>
        <v/>
      </c>
      <c r="J4512" s="32">
        <f>IF(B4512="","",IFERROR(D4512/I4512,""))</f>
        <v/>
      </c>
      <c r="K4512" s="71">
        <f>IF(B4512="","",IFERROR(AVERAGEIFS($J$4:$J4512,$B$4:$B4512,B4512,$J$4:$J4512,"&gt;"&amp;0),""))</f>
        <v/>
      </c>
      <c r="L4512" s="12" t="n"/>
    </row>
    <row r="4513" ht="14" customHeight="1" s="72">
      <c r="A4513" s="82" t="n"/>
      <c r="B4513" s="79" t="n"/>
      <c r="C4513" s="69">
        <f>IF(B4513="","",IFERROR(INDEX(Client_List!$B:$B,MATCH(B4513,Client_List!$A:$A,0)),"⚠ NOT FOUND"))</f>
        <v/>
      </c>
      <c r="D4513" s="44" t="n"/>
      <c r="E4513" s="32">
        <f>IF(B4513="","",IFERROR(INDEX(Client_List!$C:$C,MATCH(VALUE(B4513),Client_List!$A:$A,0)),""))</f>
        <v/>
      </c>
      <c r="F4513" s="53">
        <f>IF(B4513="","",IFERROR(INDEX(Client_List!$D:$D,MATCH(VALUE(B4513),Client_List!$A:$A,0)),""))</f>
        <v/>
      </c>
      <c r="G4513" s="53">
        <f>IF(B4513="","",IFERROR(INDEX(Client_List!$K:$K,MATCH(VALUE(B4513),Client_List!$A:$A,0)),""))</f>
        <v/>
      </c>
      <c r="H4513" s="32">
        <f>IF(B4513="","",IFERROR(INDEX(Client_List!$J:$J,MATCH(VALUE(B4513),Client_List!$A:$A,0)),""))</f>
        <v/>
      </c>
      <c r="I4513" s="70">
        <f>IF(B4513="","",IFERROR(A4513-LOOKUP(2,1/($B$4:$B4512=B4513),$A$4:$A4512),""))</f>
        <v/>
      </c>
      <c r="J4513" s="32">
        <f>IF(B4513="","",IFERROR(D4513/I4513,""))</f>
        <v/>
      </c>
      <c r="K4513" s="71">
        <f>IF(B4513="","",IFERROR(AVERAGEIFS($J$4:$J4513,$B$4:$B4513,B4513,$J$4:$J4513,"&gt;"&amp;0),""))</f>
        <v/>
      </c>
      <c r="L4513" s="11" t="n"/>
    </row>
    <row r="4514" ht="14" customHeight="1" s="72">
      <c r="A4514" s="83" t="n"/>
      <c r="B4514" s="81" t="n"/>
      <c r="C4514" s="69">
        <f>IF(B4514="","",IFERROR(INDEX(Client_List!$B:$B,MATCH(B4514,Client_List!$A:$A,0)),"⚠ NOT FOUND"))</f>
        <v/>
      </c>
      <c r="D4514" s="45" t="n"/>
      <c r="E4514" s="32">
        <f>IF(B4514="","",IFERROR(INDEX(Client_List!$C:$C,MATCH(VALUE(B4514),Client_List!$A:$A,0)),""))</f>
        <v/>
      </c>
      <c r="F4514" s="53">
        <f>IF(B4514="","",IFERROR(INDEX(Client_List!$D:$D,MATCH(VALUE(B4514),Client_List!$A:$A,0)),""))</f>
        <v/>
      </c>
      <c r="G4514" s="53">
        <f>IF(B4514="","",IFERROR(INDEX(Client_List!$K:$K,MATCH(VALUE(B4514),Client_List!$A:$A,0)),""))</f>
        <v/>
      </c>
      <c r="H4514" s="32">
        <f>IF(B4514="","",IFERROR(INDEX(Client_List!$J:$J,MATCH(VALUE(B4514),Client_List!$A:$A,0)),""))</f>
        <v/>
      </c>
      <c r="I4514" s="70">
        <f>IF(B4514="","",IFERROR(A4514-LOOKUP(2,1/($B$4:$B4513=B4514),$A$4:$A4513),""))</f>
        <v/>
      </c>
      <c r="J4514" s="32">
        <f>IF(B4514="","",IFERROR(D4514/I4514,""))</f>
        <v/>
      </c>
      <c r="K4514" s="71">
        <f>IF(B4514="","",IFERROR(AVERAGEIFS($J$4:$J4514,$B$4:$B4514,B4514,$J$4:$J4514,"&gt;"&amp;0),""))</f>
        <v/>
      </c>
      <c r="L4514" s="12" t="n"/>
    </row>
    <row r="4515" ht="14" customHeight="1" s="72">
      <c r="A4515" s="82" t="n"/>
      <c r="B4515" s="79" t="n"/>
      <c r="C4515" s="69">
        <f>IF(B4515="","",IFERROR(INDEX(Client_List!$B:$B,MATCH(B4515,Client_List!$A:$A,0)),"⚠ NOT FOUND"))</f>
        <v/>
      </c>
      <c r="D4515" s="44" t="n"/>
      <c r="E4515" s="32">
        <f>IF(B4515="","",IFERROR(INDEX(Client_List!$C:$C,MATCH(VALUE(B4515),Client_List!$A:$A,0)),""))</f>
        <v/>
      </c>
      <c r="F4515" s="53">
        <f>IF(B4515="","",IFERROR(INDEX(Client_List!$D:$D,MATCH(VALUE(B4515),Client_List!$A:$A,0)),""))</f>
        <v/>
      </c>
      <c r="G4515" s="53">
        <f>IF(B4515="","",IFERROR(INDEX(Client_List!$K:$K,MATCH(VALUE(B4515),Client_List!$A:$A,0)),""))</f>
        <v/>
      </c>
      <c r="H4515" s="32">
        <f>IF(B4515="","",IFERROR(INDEX(Client_List!$J:$J,MATCH(VALUE(B4515),Client_List!$A:$A,0)),""))</f>
        <v/>
      </c>
      <c r="I4515" s="70">
        <f>IF(B4515="","",IFERROR(A4515-LOOKUP(2,1/($B$4:$B4514=B4515),$A$4:$A4514),""))</f>
        <v/>
      </c>
      <c r="J4515" s="32">
        <f>IF(B4515="","",IFERROR(D4515/I4515,""))</f>
        <v/>
      </c>
      <c r="K4515" s="71">
        <f>IF(B4515="","",IFERROR(AVERAGEIFS($J$4:$J4515,$B$4:$B4515,B4515,$J$4:$J4515,"&gt;"&amp;0),""))</f>
        <v/>
      </c>
      <c r="L4515" s="11" t="n"/>
    </row>
    <row r="4516" ht="14" customHeight="1" s="72">
      <c r="A4516" s="83" t="n"/>
      <c r="B4516" s="81" t="n"/>
      <c r="C4516" s="69">
        <f>IF(B4516="","",IFERROR(INDEX(Client_List!$B:$B,MATCH(B4516,Client_List!$A:$A,0)),"⚠ NOT FOUND"))</f>
        <v/>
      </c>
      <c r="D4516" s="45" t="n"/>
      <c r="E4516" s="32">
        <f>IF(B4516="","",IFERROR(INDEX(Client_List!$C:$C,MATCH(VALUE(B4516),Client_List!$A:$A,0)),""))</f>
        <v/>
      </c>
      <c r="F4516" s="53">
        <f>IF(B4516="","",IFERROR(INDEX(Client_List!$D:$D,MATCH(VALUE(B4516),Client_List!$A:$A,0)),""))</f>
        <v/>
      </c>
      <c r="G4516" s="53">
        <f>IF(B4516="","",IFERROR(INDEX(Client_List!$K:$K,MATCH(VALUE(B4516),Client_List!$A:$A,0)),""))</f>
        <v/>
      </c>
      <c r="H4516" s="32">
        <f>IF(B4516="","",IFERROR(INDEX(Client_List!$J:$J,MATCH(VALUE(B4516),Client_List!$A:$A,0)),""))</f>
        <v/>
      </c>
      <c r="I4516" s="70">
        <f>IF(B4516="","",IFERROR(A4516-LOOKUP(2,1/($B$4:$B4515=B4516),$A$4:$A4515),""))</f>
        <v/>
      </c>
      <c r="J4516" s="32">
        <f>IF(B4516="","",IFERROR(D4516/I4516,""))</f>
        <v/>
      </c>
      <c r="K4516" s="71">
        <f>IF(B4516="","",IFERROR(AVERAGEIFS($J$4:$J4516,$B$4:$B4516,B4516,$J$4:$J4516,"&gt;"&amp;0),""))</f>
        <v/>
      </c>
      <c r="L4516" s="12" t="n"/>
    </row>
    <row r="4517" ht="14" customHeight="1" s="72">
      <c r="A4517" s="82" t="n"/>
      <c r="B4517" s="79" t="n"/>
      <c r="C4517" s="69">
        <f>IF(B4517="","",IFERROR(INDEX(Client_List!$B:$B,MATCH(B4517,Client_List!$A:$A,0)),"⚠ NOT FOUND"))</f>
        <v/>
      </c>
      <c r="D4517" s="44" t="n"/>
      <c r="E4517" s="32">
        <f>IF(B4517="","",IFERROR(INDEX(Client_List!$C:$C,MATCH(VALUE(B4517),Client_List!$A:$A,0)),""))</f>
        <v/>
      </c>
      <c r="F4517" s="53">
        <f>IF(B4517="","",IFERROR(INDEX(Client_List!$D:$D,MATCH(VALUE(B4517),Client_List!$A:$A,0)),""))</f>
        <v/>
      </c>
      <c r="G4517" s="53">
        <f>IF(B4517="","",IFERROR(INDEX(Client_List!$K:$K,MATCH(VALUE(B4517),Client_List!$A:$A,0)),""))</f>
        <v/>
      </c>
      <c r="H4517" s="32">
        <f>IF(B4517="","",IFERROR(INDEX(Client_List!$J:$J,MATCH(VALUE(B4517),Client_List!$A:$A,0)),""))</f>
        <v/>
      </c>
      <c r="I4517" s="70">
        <f>IF(B4517="","",IFERROR(A4517-LOOKUP(2,1/($B$4:$B4516=B4517),$A$4:$A4516),""))</f>
        <v/>
      </c>
      <c r="J4517" s="32">
        <f>IF(B4517="","",IFERROR(D4517/I4517,""))</f>
        <v/>
      </c>
      <c r="K4517" s="71">
        <f>IF(B4517="","",IFERROR(AVERAGEIFS($J$4:$J4517,$B$4:$B4517,B4517,$J$4:$J4517,"&gt;"&amp;0),""))</f>
        <v/>
      </c>
      <c r="L4517" s="11" t="n"/>
    </row>
    <row r="4518" ht="14" customHeight="1" s="72">
      <c r="A4518" s="83" t="n"/>
      <c r="B4518" s="81" t="n"/>
      <c r="C4518" s="69">
        <f>IF(B4518="","",IFERROR(INDEX(Client_List!$B:$B,MATCH(B4518,Client_List!$A:$A,0)),"⚠ NOT FOUND"))</f>
        <v/>
      </c>
      <c r="D4518" s="45" t="n"/>
      <c r="E4518" s="32">
        <f>IF(B4518="","",IFERROR(INDEX(Client_List!$C:$C,MATCH(VALUE(B4518),Client_List!$A:$A,0)),""))</f>
        <v/>
      </c>
      <c r="F4518" s="53">
        <f>IF(B4518="","",IFERROR(INDEX(Client_List!$D:$D,MATCH(VALUE(B4518),Client_List!$A:$A,0)),""))</f>
        <v/>
      </c>
      <c r="G4518" s="53">
        <f>IF(B4518="","",IFERROR(INDEX(Client_List!$K:$K,MATCH(VALUE(B4518),Client_List!$A:$A,0)),""))</f>
        <v/>
      </c>
      <c r="H4518" s="32">
        <f>IF(B4518="","",IFERROR(INDEX(Client_List!$J:$J,MATCH(VALUE(B4518),Client_List!$A:$A,0)),""))</f>
        <v/>
      </c>
      <c r="I4518" s="70">
        <f>IF(B4518="","",IFERROR(A4518-LOOKUP(2,1/($B$4:$B4517=B4518),$A$4:$A4517),""))</f>
        <v/>
      </c>
      <c r="J4518" s="32">
        <f>IF(B4518="","",IFERROR(D4518/I4518,""))</f>
        <v/>
      </c>
      <c r="K4518" s="71">
        <f>IF(B4518="","",IFERROR(AVERAGEIFS($J$4:$J4518,$B$4:$B4518,B4518,$J$4:$J4518,"&gt;"&amp;0),""))</f>
        <v/>
      </c>
      <c r="L4518" s="12" t="n"/>
    </row>
    <row r="4519" ht="14" customHeight="1" s="72">
      <c r="A4519" s="82" t="n"/>
      <c r="B4519" s="79" t="n"/>
      <c r="C4519" s="69">
        <f>IF(B4519="","",IFERROR(INDEX(Client_List!$B:$B,MATCH(B4519,Client_List!$A:$A,0)),"⚠ NOT FOUND"))</f>
        <v/>
      </c>
      <c r="D4519" s="44" t="n"/>
      <c r="E4519" s="32">
        <f>IF(B4519="","",IFERROR(INDEX(Client_List!$C:$C,MATCH(VALUE(B4519),Client_List!$A:$A,0)),""))</f>
        <v/>
      </c>
      <c r="F4519" s="53">
        <f>IF(B4519="","",IFERROR(INDEX(Client_List!$D:$D,MATCH(VALUE(B4519),Client_List!$A:$A,0)),""))</f>
        <v/>
      </c>
      <c r="G4519" s="53">
        <f>IF(B4519="","",IFERROR(INDEX(Client_List!$K:$K,MATCH(VALUE(B4519),Client_List!$A:$A,0)),""))</f>
        <v/>
      </c>
      <c r="H4519" s="32">
        <f>IF(B4519="","",IFERROR(INDEX(Client_List!$J:$J,MATCH(VALUE(B4519),Client_List!$A:$A,0)),""))</f>
        <v/>
      </c>
      <c r="I4519" s="70">
        <f>IF(B4519="","",IFERROR(A4519-LOOKUP(2,1/($B$4:$B4518=B4519),$A$4:$A4518),""))</f>
        <v/>
      </c>
      <c r="J4519" s="32">
        <f>IF(B4519="","",IFERROR(D4519/I4519,""))</f>
        <v/>
      </c>
      <c r="K4519" s="71">
        <f>IF(B4519="","",IFERROR(AVERAGEIFS($J$4:$J4519,$B$4:$B4519,B4519,$J$4:$J4519,"&gt;"&amp;0),""))</f>
        <v/>
      </c>
      <c r="L4519" s="11" t="n"/>
    </row>
    <row r="4520" ht="14" customHeight="1" s="72">
      <c r="A4520" s="83" t="n"/>
      <c r="B4520" s="81" t="n"/>
      <c r="C4520" s="69">
        <f>IF(B4520="","",IFERROR(INDEX(Client_List!$B:$B,MATCH(B4520,Client_List!$A:$A,0)),"⚠ NOT FOUND"))</f>
        <v/>
      </c>
      <c r="D4520" s="45" t="n"/>
      <c r="E4520" s="32">
        <f>IF(B4520="","",IFERROR(INDEX(Client_List!$C:$C,MATCH(VALUE(B4520),Client_List!$A:$A,0)),""))</f>
        <v/>
      </c>
      <c r="F4520" s="53">
        <f>IF(B4520="","",IFERROR(INDEX(Client_List!$D:$D,MATCH(VALUE(B4520),Client_List!$A:$A,0)),""))</f>
        <v/>
      </c>
      <c r="G4520" s="53">
        <f>IF(B4520="","",IFERROR(INDEX(Client_List!$K:$K,MATCH(VALUE(B4520),Client_List!$A:$A,0)),""))</f>
        <v/>
      </c>
      <c r="H4520" s="32">
        <f>IF(B4520="","",IFERROR(INDEX(Client_List!$J:$J,MATCH(VALUE(B4520),Client_List!$A:$A,0)),""))</f>
        <v/>
      </c>
      <c r="I4520" s="70">
        <f>IF(B4520="","",IFERROR(A4520-LOOKUP(2,1/($B$4:$B4519=B4520),$A$4:$A4519),""))</f>
        <v/>
      </c>
      <c r="J4520" s="32">
        <f>IF(B4520="","",IFERROR(D4520/I4520,""))</f>
        <v/>
      </c>
      <c r="K4520" s="71">
        <f>IF(B4520="","",IFERROR(AVERAGEIFS($J$4:$J4520,$B$4:$B4520,B4520,$J$4:$J4520,"&gt;"&amp;0),""))</f>
        <v/>
      </c>
      <c r="L4520" s="12" t="n"/>
    </row>
    <row r="4521" ht="14" customHeight="1" s="72">
      <c r="A4521" s="82" t="n"/>
      <c r="B4521" s="79" t="n"/>
      <c r="C4521" s="69">
        <f>IF(B4521="","",IFERROR(INDEX(Client_List!$B:$B,MATCH(B4521,Client_List!$A:$A,0)),"⚠ NOT FOUND"))</f>
        <v/>
      </c>
      <c r="D4521" s="44" t="n"/>
      <c r="E4521" s="32">
        <f>IF(B4521="","",IFERROR(INDEX(Client_List!$C:$C,MATCH(VALUE(B4521),Client_List!$A:$A,0)),""))</f>
        <v/>
      </c>
      <c r="F4521" s="53">
        <f>IF(B4521="","",IFERROR(INDEX(Client_List!$D:$D,MATCH(VALUE(B4521),Client_List!$A:$A,0)),""))</f>
        <v/>
      </c>
      <c r="G4521" s="53">
        <f>IF(B4521="","",IFERROR(INDEX(Client_List!$K:$K,MATCH(VALUE(B4521),Client_List!$A:$A,0)),""))</f>
        <v/>
      </c>
      <c r="H4521" s="32">
        <f>IF(B4521="","",IFERROR(INDEX(Client_List!$J:$J,MATCH(VALUE(B4521),Client_List!$A:$A,0)),""))</f>
        <v/>
      </c>
      <c r="I4521" s="70">
        <f>IF(B4521="","",IFERROR(A4521-LOOKUP(2,1/($B$4:$B4520=B4521),$A$4:$A4520),""))</f>
        <v/>
      </c>
      <c r="J4521" s="32">
        <f>IF(B4521="","",IFERROR(D4521/I4521,""))</f>
        <v/>
      </c>
      <c r="K4521" s="71">
        <f>IF(B4521="","",IFERROR(AVERAGEIFS($J$4:$J4521,$B$4:$B4521,B4521,$J$4:$J4521,"&gt;"&amp;0),""))</f>
        <v/>
      </c>
      <c r="L4521" s="11" t="n"/>
    </row>
    <row r="4522" ht="14" customHeight="1" s="72">
      <c r="A4522" s="83" t="n"/>
      <c r="B4522" s="81" t="n"/>
      <c r="C4522" s="69">
        <f>IF(B4522="","",IFERROR(INDEX(Client_List!$B:$B,MATCH(B4522,Client_List!$A:$A,0)),"⚠ NOT FOUND"))</f>
        <v/>
      </c>
      <c r="D4522" s="45" t="n"/>
      <c r="E4522" s="32">
        <f>IF(B4522="","",IFERROR(INDEX(Client_List!$C:$C,MATCH(VALUE(B4522),Client_List!$A:$A,0)),""))</f>
        <v/>
      </c>
      <c r="F4522" s="53">
        <f>IF(B4522="","",IFERROR(INDEX(Client_List!$D:$D,MATCH(VALUE(B4522),Client_List!$A:$A,0)),""))</f>
        <v/>
      </c>
      <c r="G4522" s="53">
        <f>IF(B4522="","",IFERROR(INDEX(Client_List!$K:$K,MATCH(VALUE(B4522),Client_List!$A:$A,0)),""))</f>
        <v/>
      </c>
      <c r="H4522" s="32">
        <f>IF(B4522="","",IFERROR(INDEX(Client_List!$J:$J,MATCH(VALUE(B4522),Client_List!$A:$A,0)),""))</f>
        <v/>
      </c>
      <c r="I4522" s="70">
        <f>IF(B4522="","",IFERROR(A4522-LOOKUP(2,1/($B$4:$B4521=B4522),$A$4:$A4521),""))</f>
        <v/>
      </c>
      <c r="J4522" s="32">
        <f>IF(B4522="","",IFERROR(D4522/I4522,""))</f>
        <v/>
      </c>
      <c r="K4522" s="71">
        <f>IF(B4522="","",IFERROR(AVERAGEIFS($J$4:$J4522,$B$4:$B4522,B4522,$J$4:$J4522,"&gt;"&amp;0),""))</f>
        <v/>
      </c>
      <c r="L4522" s="12" t="n"/>
    </row>
    <row r="4523" ht="14" customHeight="1" s="72">
      <c r="A4523" s="82" t="n"/>
      <c r="B4523" s="79" t="n"/>
      <c r="C4523" s="69">
        <f>IF(B4523="","",IFERROR(INDEX(Client_List!$B:$B,MATCH(B4523,Client_List!$A:$A,0)),"⚠ NOT FOUND"))</f>
        <v/>
      </c>
      <c r="D4523" s="44" t="n"/>
      <c r="E4523" s="32">
        <f>IF(B4523="","",IFERROR(INDEX(Client_List!$C:$C,MATCH(VALUE(B4523),Client_List!$A:$A,0)),""))</f>
        <v/>
      </c>
      <c r="F4523" s="53">
        <f>IF(B4523="","",IFERROR(INDEX(Client_List!$D:$D,MATCH(VALUE(B4523),Client_List!$A:$A,0)),""))</f>
        <v/>
      </c>
      <c r="G4523" s="53">
        <f>IF(B4523="","",IFERROR(INDEX(Client_List!$K:$K,MATCH(VALUE(B4523),Client_List!$A:$A,0)),""))</f>
        <v/>
      </c>
      <c r="H4523" s="32">
        <f>IF(B4523="","",IFERROR(INDEX(Client_List!$J:$J,MATCH(VALUE(B4523),Client_List!$A:$A,0)),""))</f>
        <v/>
      </c>
      <c r="I4523" s="70">
        <f>IF(B4523="","",IFERROR(A4523-LOOKUP(2,1/($B$4:$B4522=B4523),$A$4:$A4522),""))</f>
        <v/>
      </c>
      <c r="J4523" s="32">
        <f>IF(B4523="","",IFERROR(D4523/I4523,""))</f>
        <v/>
      </c>
      <c r="K4523" s="71">
        <f>IF(B4523="","",IFERROR(AVERAGEIFS($J$4:$J4523,$B$4:$B4523,B4523,$J$4:$J4523,"&gt;"&amp;0),""))</f>
        <v/>
      </c>
      <c r="L4523" s="11" t="n"/>
    </row>
    <row r="4524" ht="14" customHeight="1" s="72">
      <c r="A4524" s="83" t="n"/>
      <c r="B4524" s="81" t="n"/>
      <c r="C4524" s="69">
        <f>IF(B4524="","",IFERROR(INDEX(Client_List!$B:$B,MATCH(B4524,Client_List!$A:$A,0)),"⚠ NOT FOUND"))</f>
        <v/>
      </c>
      <c r="D4524" s="45" t="n"/>
      <c r="E4524" s="32">
        <f>IF(B4524="","",IFERROR(INDEX(Client_List!$C:$C,MATCH(VALUE(B4524),Client_List!$A:$A,0)),""))</f>
        <v/>
      </c>
      <c r="F4524" s="53">
        <f>IF(B4524="","",IFERROR(INDEX(Client_List!$D:$D,MATCH(VALUE(B4524),Client_List!$A:$A,0)),""))</f>
        <v/>
      </c>
      <c r="G4524" s="53">
        <f>IF(B4524="","",IFERROR(INDEX(Client_List!$K:$K,MATCH(VALUE(B4524),Client_List!$A:$A,0)),""))</f>
        <v/>
      </c>
      <c r="H4524" s="32">
        <f>IF(B4524="","",IFERROR(INDEX(Client_List!$J:$J,MATCH(VALUE(B4524),Client_List!$A:$A,0)),""))</f>
        <v/>
      </c>
      <c r="I4524" s="70">
        <f>IF(B4524="","",IFERROR(A4524-LOOKUP(2,1/($B$4:$B4523=B4524),$A$4:$A4523),""))</f>
        <v/>
      </c>
      <c r="J4524" s="32">
        <f>IF(B4524="","",IFERROR(D4524/I4524,""))</f>
        <v/>
      </c>
      <c r="K4524" s="71">
        <f>IF(B4524="","",IFERROR(AVERAGEIFS($J$4:$J4524,$B$4:$B4524,B4524,$J$4:$J4524,"&gt;"&amp;0),""))</f>
        <v/>
      </c>
      <c r="L4524" s="12" t="n"/>
    </row>
    <row r="4525" ht="14" customHeight="1" s="72">
      <c r="A4525" s="82" t="n"/>
      <c r="B4525" s="79" t="n"/>
      <c r="C4525" s="69">
        <f>IF(B4525="","",IFERROR(INDEX(Client_List!$B:$B,MATCH(B4525,Client_List!$A:$A,0)),"⚠ NOT FOUND"))</f>
        <v/>
      </c>
      <c r="D4525" s="44" t="n"/>
      <c r="E4525" s="32">
        <f>IF(B4525="","",IFERROR(INDEX(Client_List!$C:$C,MATCH(VALUE(B4525),Client_List!$A:$A,0)),""))</f>
        <v/>
      </c>
      <c r="F4525" s="53">
        <f>IF(B4525="","",IFERROR(INDEX(Client_List!$D:$D,MATCH(VALUE(B4525),Client_List!$A:$A,0)),""))</f>
        <v/>
      </c>
      <c r="G4525" s="53">
        <f>IF(B4525="","",IFERROR(INDEX(Client_List!$K:$K,MATCH(VALUE(B4525),Client_List!$A:$A,0)),""))</f>
        <v/>
      </c>
      <c r="H4525" s="32">
        <f>IF(B4525="","",IFERROR(INDEX(Client_List!$J:$J,MATCH(VALUE(B4525),Client_List!$A:$A,0)),""))</f>
        <v/>
      </c>
      <c r="I4525" s="70">
        <f>IF(B4525="","",IFERROR(A4525-LOOKUP(2,1/($B$4:$B4524=B4525),$A$4:$A4524),""))</f>
        <v/>
      </c>
      <c r="J4525" s="32">
        <f>IF(B4525="","",IFERROR(D4525/I4525,""))</f>
        <v/>
      </c>
      <c r="K4525" s="71">
        <f>IF(B4525="","",IFERROR(AVERAGEIFS($J$4:$J4525,$B$4:$B4525,B4525,$J$4:$J4525,"&gt;"&amp;0),""))</f>
        <v/>
      </c>
      <c r="L4525" s="11" t="n"/>
    </row>
    <row r="4526" ht="14" customHeight="1" s="72">
      <c r="A4526" s="83" t="n"/>
      <c r="B4526" s="81" t="n"/>
      <c r="C4526" s="69">
        <f>IF(B4526="","",IFERROR(INDEX(Client_List!$B:$B,MATCH(B4526,Client_List!$A:$A,0)),"⚠ NOT FOUND"))</f>
        <v/>
      </c>
      <c r="D4526" s="45" t="n"/>
      <c r="E4526" s="32">
        <f>IF(B4526="","",IFERROR(INDEX(Client_List!$C:$C,MATCH(VALUE(B4526),Client_List!$A:$A,0)),""))</f>
        <v/>
      </c>
      <c r="F4526" s="53">
        <f>IF(B4526="","",IFERROR(INDEX(Client_List!$D:$D,MATCH(VALUE(B4526),Client_List!$A:$A,0)),""))</f>
        <v/>
      </c>
      <c r="G4526" s="53">
        <f>IF(B4526="","",IFERROR(INDEX(Client_List!$K:$K,MATCH(VALUE(B4526),Client_List!$A:$A,0)),""))</f>
        <v/>
      </c>
      <c r="H4526" s="32">
        <f>IF(B4526="","",IFERROR(INDEX(Client_List!$J:$J,MATCH(VALUE(B4526),Client_List!$A:$A,0)),""))</f>
        <v/>
      </c>
      <c r="I4526" s="70">
        <f>IF(B4526="","",IFERROR(A4526-LOOKUP(2,1/($B$4:$B4525=B4526),$A$4:$A4525),""))</f>
        <v/>
      </c>
      <c r="J4526" s="32">
        <f>IF(B4526="","",IFERROR(D4526/I4526,""))</f>
        <v/>
      </c>
      <c r="K4526" s="71">
        <f>IF(B4526="","",IFERROR(AVERAGEIFS($J$4:$J4526,$B$4:$B4526,B4526,$J$4:$J4526,"&gt;"&amp;0),""))</f>
        <v/>
      </c>
      <c r="L4526" s="12" t="n"/>
    </row>
    <row r="4527" ht="14" customHeight="1" s="72">
      <c r="A4527" s="82" t="n"/>
      <c r="B4527" s="79" t="n"/>
      <c r="C4527" s="69">
        <f>IF(B4527="","",IFERROR(INDEX(Client_List!$B:$B,MATCH(B4527,Client_List!$A:$A,0)),"⚠ NOT FOUND"))</f>
        <v/>
      </c>
      <c r="D4527" s="44" t="n"/>
      <c r="E4527" s="32">
        <f>IF(B4527="","",IFERROR(INDEX(Client_List!$C:$C,MATCH(VALUE(B4527),Client_List!$A:$A,0)),""))</f>
        <v/>
      </c>
      <c r="F4527" s="53">
        <f>IF(B4527="","",IFERROR(INDEX(Client_List!$D:$D,MATCH(VALUE(B4527),Client_List!$A:$A,0)),""))</f>
        <v/>
      </c>
      <c r="G4527" s="53">
        <f>IF(B4527="","",IFERROR(INDEX(Client_List!$K:$K,MATCH(VALUE(B4527),Client_List!$A:$A,0)),""))</f>
        <v/>
      </c>
      <c r="H4527" s="32">
        <f>IF(B4527="","",IFERROR(INDEX(Client_List!$J:$J,MATCH(VALUE(B4527),Client_List!$A:$A,0)),""))</f>
        <v/>
      </c>
      <c r="I4527" s="70">
        <f>IF(B4527="","",IFERROR(A4527-LOOKUP(2,1/($B$4:$B4526=B4527),$A$4:$A4526),""))</f>
        <v/>
      </c>
      <c r="J4527" s="32">
        <f>IF(B4527="","",IFERROR(D4527/I4527,""))</f>
        <v/>
      </c>
      <c r="K4527" s="71">
        <f>IF(B4527="","",IFERROR(AVERAGEIFS($J$4:$J4527,$B$4:$B4527,B4527,$J$4:$J4527,"&gt;"&amp;0),""))</f>
        <v/>
      </c>
      <c r="L4527" s="11" t="n"/>
    </row>
    <row r="4528" ht="14" customHeight="1" s="72">
      <c r="A4528" s="83" t="n"/>
      <c r="B4528" s="81" t="n"/>
      <c r="C4528" s="69">
        <f>IF(B4528="","",IFERROR(INDEX(Client_List!$B:$B,MATCH(B4528,Client_List!$A:$A,0)),"⚠ NOT FOUND"))</f>
        <v/>
      </c>
      <c r="D4528" s="45" t="n"/>
      <c r="E4528" s="32">
        <f>IF(B4528="","",IFERROR(INDEX(Client_List!$C:$C,MATCH(VALUE(B4528),Client_List!$A:$A,0)),""))</f>
        <v/>
      </c>
      <c r="F4528" s="53">
        <f>IF(B4528="","",IFERROR(INDEX(Client_List!$D:$D,MATCH(VALUE(B4528),Client_List!$A:$A,0)),""))</f>
        <v/>
      </c>
      <c r="G4528" s="53">
        <f>IF(B4528="","",IFERROR(INDEX(Client_List!$K:$K,MATCH(VALUE(B4528),Client_List!$A:$A,0)),""))</f>
        <v/>
      </c>
      <c r="H4528" s="32">
        <f>IF(B4528="","",IFERROR(INDEX(Client_List!$J:$J,MATCH(VALUE(B4528),Client_List!$A:$A,0)),""))</f>
        <v/>
      </c>
      <c r="I4528" s="70">
        <f>IF(B4528="","",IFERROR(A4528-LOOKUP(2,1/($B$4:$B4527=B4528),$A$4:$A4527),""))</f>
        <v/>
      </c>
      <c r="J4528" s="32">
        <f>IF(B4528="","",IFERROR(D4528/I4528,""))</f>
        <v/>
      </c>
      <c r="K4528" s="71">
        <f>IF(B4528="","",IFERROR(AVERAGEIFS($J$4:$J4528,$B$4:$B4528,B4528,$J$4:$J4528,"&gt;"&amp;0),""))</f>
        <v/>
      </c>
      <c r="L4528" s="12" t="n"/>
    </row>
    <row r="4529" ht="14" customHeight="1" s="72">
      <c r="A4529" s="82" t="n"/>
      <c r="B4529" s="79" t="n"/>
      <c r="C4529" s="69">
        <f>IF(B4529="","",IFERROR(INDEX(Client_List!$B:$B,MATCH(B4529,Client_List!$A:$A,0)),"⚠ NOT FOUND"))</f>
        <v/>
      </c>
      <c r="D4529" s="44" t="n"/>
      <c r="E4529" s="32">
        <f>IF(B4529="","",IFERROR(INDEX(Client_List!$C:$C,MATCH(VALUE(B4529),Client_List!$A:$A,0)),""))</f>
        <v/>
      </c>
      <c r="F4529" s="53">
        <f>IF(B4529="","",IFERROR(INDEX(Client_List!$D:$D,MATCH(VALUE(B4529),Client_List!$A:$A,0)),""))</f>
        <v/>
      </c>
      <c r="G4529" s="53">
        <f>IF(B4529="","",IFERROR(INDEX(Client_List!$K:$K,MATCH(VALUE(B4529),Client_List!$A:$A,0)),""))</f>
        <v/>
      </c>
      <c r="H4529" s="32">
        <f>IF(B4529="","",IFERROR(INDEX(Client_List!$J:$J,MATCH(VALUE(B4529),Client_List!$A:$A,0)),""))</f>
        <v/>
      </c>
      <c r="I4529" s="70">
        <f>IF(B4529="","",IFERROR(A4529-LOOKUP(2,1/($B$4:$B4528=B4529),$A$4:$A4528),""))</f>
        <v/>
      </c>
      <c r="J4529" s="32">
        <f>IF(B4529="","",IFERROR(D4529/I4529,""))</f>
        <v/>
      </c>
      <c r="K4529" s="71">
        <f>IF(B4529="","",IFERROR(AVERAGEIFS($J$4:$J4529,$B$4:$B4529,B4529,$J$4:$J4529,"&gt;"&amp;0),""))</f>
        <v/>
      </c>
      <c r="L4529" s="11" t="n"/>
    </row>
    <row r="4530" ht="14" customHeight="1" s="72">
      <c r="A4530" s="83" t="n"/>
      <c r="B4530" s="81" t="n"/>
      <c r="C4530" s="69">
        <f>IF(B4530="","",IFERROR(INDEX(Client_List!$B:$B,MATCH(B4530,Client_List!$A:$A,0)),"⚠ NOT FOUND"))</f>
        <v/>
      </c>
      <c r="D4530" s="45" t="n"/>
      <c r="E4530" s="32">
        <f>IF(B4530="","",IFERROR(INDEX(Client_List!$C:$C,MATCH(VALUE(B4530),Client_List!$A:$A,0)),""))</f>
        <v/>
      </c>
      <c r="F4530" s="53">
        <f>IF(B4530="","",IFERROR(INDEX(Client_List!$D:$D,MATCH(VALUE(B4530),Client_List!$A:$A,0)),""))</f>
        <v/>
      </c>
      <c r="G4530" s="53">
        <f>IF(B4530="","",IFERROR(INDEX(Client_List!$K:$K,MATCH(VALUE(B4530),Client_List!$A:$A,0)),""))</f>
        <v/>
      </c>
      <c r="H4530" s="32">
        <f>IF(B4530="","",IFERROR(INDEX(Client_List!$J:$J,MATCH(VALUE(B4530),Client_List!$A:$A,0)),""))</f>
        <v/>
      </c>
      <c r="I4530" s="70">
        <f>IF(B4530="","",IFERROR(A4530-LOOKUP(2,1/($B$4:$B4529=B4530),$A$4:$A4529),""))</f>
        <v/>
      </c>
      <c r="J4530" s="32">
        <f>IF(B4530="","",IFERROR(D4530/I4530,""))</f>
        <v/>
      </c>
      <c r="K4530" s="71">
        <f>IF(B4530="","",IFERROR(AVERAGEIFS($J$4:$J4530,$B$4:$B4530,B4530,$J$4:$J4530,"&gt;"&amp;0),""))</f>
        <v/>
      </c>
      <c r="L4530" s="12" t="n"/>
    </row>
    <row r="4531" ht="14" customHeight="1" s="72">
      <c r="A4531" s="82" t="n"/>
      <c r="B4531" s="79" t="n"/>
      <c r="C4531" s="69">
        <f>IF(B4531="","",IFERROR(INDEX(Client_List!$B:$B,MATCH(B4531,Client_List!$A:$A,0)),"⚠ NOT FOUND"))</f>
        <v/>
      </c>
      <c r="D4531" s="44" t="n"/>
      <c r="E4531" s="32">
        <f>IF(B4531="","",IFERROR(INDEX(Client_List!$C:$C,MATCH(VALUE(B4531),Client_List!$A:$A,0)),""))</f>
        <v/>
      </c>
      <c r="F4531" s="53">
        <f>IF(B4531="","",IFERROR(INDEX(Client_List!$D:$D,MATCH(VALUE(B4531),Client_List!$A:$A,0)),""))</f>
        <v/>
      </c>
      <c r="G4531" s="53">
        <f>IF(B4531="","",IFERROR(INDEX(Client_List!$K:$K,MATCH(VALUE(B4531),Client_List!$A:$A,0)),""))</f>
        <v/>
      </c>
      <c r="H4531" s="32">
        <f>IF(B4531="","",IFERROR(INDEX(Client_List!$J:$J,MATCH(VALUE(B4531),Client_List!$A:$A,0)),""))</f>
        <v/>
      </c>
      <c r="I4531" s="70">
        <f>IF(B4531="","",IFERROR(A4531-LOOKUP(2,1/($B$4:$B4530=B4531),$A$4:$A4530),""))</f>
        <v/>
      </c>
      <c r="J4531" s="32">
        <f>IF(B4531="","",IFERROR(D4531/I4531,""))</f>
        <v/>
      </c>
      <c r="K4531" s="71">
        <f>IF(B4531="","",IFERROR(AVERAGEIFS($J$4:$J4531,$B$4:$B4531,B4531,$J$4:$J4531,"&gt;"&amp;0),""))</f>
        <v/>
      </c>
      <c r="L4531" s="11" t="n"/>
    </row>
    <row r="4532" ht="14" customHeight="1" s="72">
      <c r="A4532" s="83" t="n"/>
      <c r="B4532" s="81" t="n"/>
      <c r="C4532" s="69">
        <f>IF(B4532="","",IFERROR(INDEX(Client_List!$B:$B,MATCH(B4532,Client_List!$A:$A,0)),"⚠ NOT FOUND"))</f>
        <v/>
      </c>
      <c r="D4532" s="45" t="n"/>
      <c r="E4532" s="32">
        <f>IF(B4532="","",IFERROR(INDEX(Client_List!$C:$C,MATCH(VALUE(B4532),Client_List!$A:$A,0)),""))</f>
        <v/>
      </c>
      <c r="F4532" s="53">
        <f>IF(B4532="","",IFERROR(INDEX(Client_List!$D:$D,MATCH(VALUE(B4532),Client_List!$A:$A,0)),""))</f>
        <v/>
      </c>
      <c r="G4532" s="53">
        <f>IF(B4532="","",IFERROR(INDEX(Client_List!$K:$K,MATCH(VALUE(B4532),Client_List!$A:$A,0)),""))</f>
        <v/>
      </c>
      <c r="H4532" s="32">
        <f>IF(B4532="","",IFERROR(INDEX(Client_List!$J:$J,MATCH(VALUE(B4532),Client_List!$A:$A,0)),""))</f>
        <v/>
      </c>
      <c r="I4532" s="70">
        <f>IF(B4532="","",IFERROR(A4532-LOOKUP(2,1/($B$4:$B4531=B4532),$A$4:$A4531),""))</f>
        <v/>
      </c>
      <c r="J4532" s="32">
        <f>IF(B4532="","",IFERROR(D4532/I4532,""))</f>
        <v/>
      </c>
      <c r="K4532" s="71">
        <f>IF(B4532="","",IFERROR(AVERAGEIFS($J$4:$J4532,$B$4:$B4532,B4532,$J$4:$J4532,"&gt;"&amp;0),""))</f>
        <v/>
      </c>
      <c r="L4532" s="12" t="n"/>
    </row>
    <row r="4533" ht="14" customHeight="1" s="72">
      <c r="A4533" s="82" t="n"/>
      <c r="B4533" s="79" t="n"/>
      <c r="C4533" s="69">
        <f>IF(B4533="","",IFERROR(INDEX(Client_List!$B:$B,MATCH(B4533,Client_List!$A:$A,0)),"⚠ NOT FOUND"))</f>
        <v/>
      </c>
      <c r="D4533" s="44" t="n"/>
      <c r="E4533" s="32">
        <f>IF(B4533="","",IFERROR(INDEX(Client_List!$C:$C,MATCH(VALUE(B4533),Client_List!$A:$A,0)),""))</f>
        <v/>
      </c>
      <c r="F4533" s="53">
        <f>IF(B4533="","",IFERROR(INDEX(Client_List!$D:$D,MATCH(VALUE(B4533),Client_List!$A:$A,0)),""))</f>
        <v/>
      </c>
      <c r="G4533" s="53">
        <f>IF(B4533="","",IFERROR(INDEX(Client_List!$K:$K,MATCH(VALUE(B4533),Client_List!$A:$A,0)),""))</f>
        <v/>
      </c>
      <c r="H4533" s="32">
        <f>IF(B4533="","",IFERROR(INDEX(Client_List!$J:$J,MATCH(VALUE(B4533),Client_List!$A:$A,0)),""))</f>
        <v/>
      </c>
      <c r="I4533" s="70">
        <f>IF(B4533="","",IFERROR(A4533-LOOKUP(2,1/($B$4:$B4532=B4533),$A$4:$A4532),""))</f>
        <v/>
      </c>
      <c r="J4533" s="32">
        <f>IF(B4533="","",IFERROR(D4533/I4533,""))</f>
        <v/>
      </c>
      <c r="K4533" s="71">
        <f>IF(B4533="","",IFERROR(AVERAGEIFS($J$4:$J4533,$B$4:$B4533,B4533,$J$4:$J4533,"&gt;"&amp;0),""))</f>
        <v/>
      </c>
      <c r="L4533" s="11" t="n"/>
    </row>
    <row r="4534" ht="14" customHeight="1" s="72">
      <c r="A4534" s="83" t="n"/>
      <c r="B4534" s="81" t="n"/>
      <c r="C4534" s="69">
        <f>IF(B4534="","",IFERROR(INDEX(Client_List!$B:$B,MATCH(B4534,Client_List!$A:$A,0)),"⚠ NOT FOUND"))</f>
        <v/>
      </c>
      <c r="D4534" s="45" t="n"/>
      <c r="E4534" s="32">
        <f>IF(B4534="","",IFERROR(INDEX(Client_List!$C:$C,MATCH(VALUE(B4534),Client_List!$A:$A,0)),""))</f>
        <v/>
      </c>
      <c r="F4534" s="53">
        <f>IF(B4534="","",IFERROR(INDEX(Client_List!$D:$D,MATCH(VALUE(B4534),Client_List!$A:$A,0)),""))</f>
        <v/>
      </c>
      <c r="G4534" s="53">
        <f>IF(B4534="","",IFERROR(INDEX(Client_List!$K:$K,MATCH(VALUE(B4534),Client_List!$A:$A,0)),""))</f>
        <v/>
      </c>
      <c r="H4534" s="32">
        <f>IF(B4534="","",IFERROR(INDEX(Client_List!$J:$J,MATCH(VALUE(B4534),Client_List!$A:$A,0)),""))</f>
        <v/>
      </c>
      <c r="I4534" s="70">
        <f>IF(B4534="","",IFERROR(A4534-LOOKUP(2,1/($B$4:$B4533=B4534),$A$4:$A4533),""))</f>
        <v/>
      </c>
      <c r="J4534" s="32">
        <f>IF(B4534="","",IFERROR(D4534/I4534,""))</f>
        <v/>
      </c>
      <c r="K4534" s="71">
        <f>IF(B4534="","",IFERROR(AVERAGEIFS($J$4:$J4534,$B$4:$B4534,B4534,$J$4:$J4534,"&gt;"&amp;0),""))</f>
        <v/>
      </c>
      <c r="L4534" s="12" t="n"/>
    </row>
    <row r="4535" ht="14" customHeight="1" s="72">
      <c r="A4535" s="82" t="n"/>
      <c r="B4535" s="79" t="n"/>
      <c r="C4535" s="69">
        <f>IF(B4535="","",IFERROR(INDEX(Client_List!$B:$B,MATCH(B4535,Client_List!$A:$A,0)),"⚠ NOT FOUND"))</f>
        <v/>
      </c>
      <c r="D4535" s="44" t="n"/>
      <c r="E4535" s="32">
        <f>IF(B4535="","",IFERROR(INDEX(Client_List!$C:$C,MATCH(VALUE(B4535),Client_List!$A:$A,0)),""))</f>
        <v/>
      </c>
      <c r="F4535" s="53">
        <f>IF(B4535="","",IFERROR(INDEX(Client_List!$D:$D,MATCH(VALUE(B4535),Client_List!$A:$A,0)),""))</f>
        <v/>
      </c>
      <c r="G4535" s="53">
        <f>IF(B4535="","",IFERROR(INDEX(Client_List!$K:$K,MATCH(VALUE(B4535),Client_List!$A:$A,0)),""))</f>
        <v/>
      </c>
      <c r="H4535" s="32">
        <f>IF(B4535="","",IFERROR(INDEX(Client_List!$J:$J,MATCH(VALUE(B4535),Client_List!$A:$A,0)),""))</f>
        <v/>
      </c>
      <c r="I4535" s="70">
        <f>IF(B4535="","",IFERROR(A4535-LOOKUP(2,1/($B$4:$B4534=B4535),$A$4:$A4534),""))</f>
        <v/>
      </c>
      <c r="J4535" s="32">
        <f>IF(B4535="","",IFERROR(D4535/I4535,""))</f>
        <v/>
      </c>
      <c r="K4535" s="71">
        <f>IF(B4535="","",IFERROR(AVERAGEIFS($J$4:$J4535,$B$4:$B4535,B4535,$J$4:$J4535,"&gt;"&amp;0),""))</f>
        <v/>
      </c>
      <c r="L4535" s="11" t="n"/>
    </row>
    <row r="4536" ht="14" customHeight="1" s="72">
      <c r="A4536" s="83" t="n"/>
      <c r="B4536" s="81" t="n"/>
      <c r="C4536" s="69">
        <f>IF(B4536="","",IFERROR(INDEX(Client_List!$B:$B,MATCH(B4536,Client_List!$A:$A,0)),"⚠ NOT FOUND"))</f>
        <v/>
      </c>
      <c r="D4536" s="45" t="n"/>
      <c r="E4536" s="32">
        <f>IF(B4536="","",IFERROR(INDEX(Client_List!$C:$C,MATCH(VALUE(B4536),Client_List!$A:$A,0)),""))</f>
        <v/>
      </c>
      <c r="F4536" s="53">
        <f>IF(B4536="","",IFERROR(INDEX(Client_List!$D:$D,MATCH(VALUE(B4536),Client_List!$A:$A,0)),""))</f>
        <v/>
      </c>
      <c r="G4536" s="53">
        <f>IF(B4536="","",IFERROR(INDEX(Client_List!$K:$K,MATCH(VALUE(B4536),Client_List!$A:$A,0)),""))</f>
        <v/>
      </c>
      <c r="H4536" s="32">
        <f>IF(B4536="","",IFERROR(INDEX(Client_List!$J:$J,MATCH(VALUE(B4536),Client_List!$A:$A,0)),""))</f>
        <v/>
      </c>
      <c r="I4536" s="70">
        <f>IF(B4536="","",IFERROR(A4536-LOOKUP(2,1/($B$4:$B4535=B4536),$A$4:$A4535),""))</f>
        <v/>
      </c>
      <c r="J4536" s="32">
        <f>IF(B4536="","",IFERROR(D4536/I4536,""))</f>
        <v/>
      </c>
      <c r="K4536" s="71">
        <f>IF(B4536="","",IFERROR(AVERAGEIFS($J$4:$J4536,$B$4:$B4536,B4536,$J$4:$J4536,"&gt;"&amp;0),""))</f>
        <v/>
      </c>
      <c r="L4536" s="12" t="n"/>
    </row>
    <row r="4537" ht="14" customHeight="1" s="72">
      <c r="A4537" s="82" t="n"/>
      <c r="B4537" s="79" t="n"/>
      <c r="C4537" s="69">
        <f>IF(B4537="","",IFERROR(INDEX(Client_List!$B:$B,MATCH(B4537,Client_List!$A:$A,0)),"⚠ NOT FOUND"))</f>
        <v/>
      </c>
      <c r="D4537" s="44" t="n"/>
      <c r="E4537" s="32">
        <f>IF(B4537="","",IFERROR(INDEX(Client_List!$C:$C,MATCH(VALUE(B4537),Client_List!$A:$A,0)),""))</f>
        <v/>
      </c>
      <c r="F4537" s="53">
        <f>IF(B4537="","",IFERROR(INDEX(Client_List!$D:$D,MATCH(VALUE(B4537),Client_List!$A:$A,0)),""))</f>
        <v/>
      </c>
      <c r="G4537" s="53">
        <f>IF(B4537="","",IFERROR(INDEX(Client_List!$K:$K,MATCH(VALUE(B4537),Client_List!$A:$A,0)),""))</f>
        <v/>
      </c>
      <c r="H4537" s="32">
        <f>IF(B4537="","",IFERROR(INDEX(Client_List!$J:$J,MATCH(VALUE(B4537),Client_List!$A:$A,0)),""))</f>
        <v/>
      </c>
      <c r="I4537" s="70">
        <f>IF(B4537="","",IFERROR(A4537-LOOKUP(2,1/($B$4:$B4536=B4537),$A$4:$A4536),""))</f>
        <v/>
      </c>
      <c r="J4537" s="32">
        <f>IF(B4537="","",IFERROR(D4537/I4537,""))</f>
        <v/>
      </c>
      <c r="K4537" s="71">
        <f>IF(B4537="","",IFERROR(AVERAGEIFS($J$4:$J4537,$B$4:$B4537,B4537,$J$4:$J4537,"&gt;"&amp;0),""))</f>
        <v/>
      </c>
      <c r="L4537" s="11" t="n"/>
    </row>
    <row r="4538" ht="14" customHeight="1" s="72">
      <c r="A4538" s="83" t="n"/>
      <c r="B4538" s="81" t="n"/>
      <c r="C4538" s="69">
        <f>IF(B4538="","",IFERROR(INDEX(Client_List!$B:$B,MATCH(B4538,Client_List!$A:$A,0)),"⚠ NOT FOUND"))</f>
        <v/>
      </c>
      <c r="D4538" s="45" t="n"/>
      <c r="E4538" s="32">
        <f>IF(B4538="","",IFERROR(INDEX(Client_List!$C:$C,MATCH(VALUE(B4538),Client_List!$A:$A,0)),""))</f>
        <v/>
      </c>
      <c r="F4538" s="53">
        <f>IF(B4538="","",IFERROR(INDEX(Client_List!$D:$D,MATCH(VALUE(B4538),Client_List!$A:$A,0)),""))</f>
        <v/>
      </c>
      <c r="G4538" s="53">
        <f>IF(B4538="","",IFERROR(INDEX(Client_List!$K:$K,MATCH(VALUE(B4538),Client_List!$A:$A,0)),""))</f>
        <v/>
      </c>
      <c r="H4538" s="32">
        <f>IF(B4538="","",IFERROR(INDEX(Client_List!$J:$J,MATCH(VALUE(B4538),Client_List!$A:$A,0)),""))</f>
        <v/>
      </c>
      <c r="I4538" s="70">
        <f>IF(B4538="","",IFERROR(A4538-LOOKUP(2,1/($B$4:$B4537=B4538),$A$4:$A4537),""))</f>
        <v/>
      </c>
      <c r="J4538" s="32">
        <f>IF(B4538="","",IFERROR(D4538/I4538,""))</f>
        <v/>
      </c>
      <c r="K4538" s="71">
        <f>IF(B4538="","",IFERROR(AVERAGEIFS($J$4:$J4538,$B$4:$B4538,B4538,$J$4:$J4538,"&gt;"&amp;0),""))</f>
        <v/>
      </c>
      <c r="L4538" s="12" t="n"/>
    </row>
    <row r="4539" ht="14" customHeight="1" s="72">
      <c r="A4539" s="82" t="n"/>
      <c r="B4539" s="79" t="n"/>
      <c r="C4539" s="69">
        <f>IF(B4539="","",IFERROR(INDEX(Client_List!$B:$B,MATCH(B4539,Client_List!$A:$A,0)),"⚠ NOT FOUND"))</f>
        <v/>
      </c>
      <c r="D4539" s="44" t="n"/>
      <c r="E4539" s="32">
        <f>IF(B4539="","",IFERROR(INDEX(Client_List!$C:$C,MATCH(VALUE(B4539),Client_List!$A:$A,0)),""))</f>
        <v/>
      </c>
      <c r="F4539" s="53">
        <f>IF(B4539="","",IFERROR(INDEX(Client_List!$D:$D,MATCH(VALUE(B4539),Client_List!$A:$A,0)),""))</f>
        <v/>
      </c>
      <c r="G4539" s="53">
        <f>IF(B4539="","",IFERROR(INDEX(Client_List!$K:$K,MATCH(VALUE(B4539),Client_List!$A:$A,0)),""))</f>
        <v/>
      </c>
      <c r="H4539" s="32">
        <f>IF(B4539="","",IFERROR(INDEX(Client_List!$J:$J,MATCH(VALUE(B4539),Client_List!$A:$A,0)),""))</f>
        <v/>
      </c>
      <c r="I4539" s="70">
        <f>IF(B4539="","",IFERROR(A4539-LOOKUP(2,1/($B$4:$B4538=B4539),$A$4:$A4538),""))</f>
        <v/>
      </c>
      <c r="J4539" s="32">
        <f>IF(B4539="","",IFERROR(D4539/I4539,""))</f>
        <v/>
      </c>
      <c r="K4539" s="71">
        <f>IF(B4539="","",IFERROR(AVERAGEIFS($J$4:$J4539,$B$4:$B4539,B4539,$J$4:$J4539,"&gt;"&amp;0),""))</f>
        <v/>
      </c>
      <c r="L4539" s="11" t="n"/>
    </row>
    <row r="4540" ht="14" customHeight="1" s="72">
      <c r="A4540" s="83" t="n"/>
      <c r="B4540" s="81" t="n"/>
      <c r="C4540" s="69">
        <f>IF(B4540="","",IFERROR(INDEX(Client_List!$B:$B,MATCH(B4540,Client_List!$A:$A,0)),"⚠ NOT FOUND"))</f>
        <v/>
      </c>
      <c r="D4540" s="45" t="n"/>
      <c r="E4540" s="32">
        <f>IF(B4540="","",IFERROR(INDEX(Client_List!$C:$C,MATCH(VALUE(B4540),Client_List!$A:$A,0)),""))</f>
        <v/>
      </c>
      <c r="F4540" s="53">
        <f>IF(B4540="","",IFERROR(INDEX(Client_List!$D:$D,MATCH(VALUE(B4540),Client_List!$A:$A,0)),""))</f>
        <v/>
      </c>
      <c r="G4540" s="53">
        <f>IF(B4540="","",IFERROR(INDEX(Client_List!$K:$K,MATCH(VALUE(B4540),Client_List!$A:$A,0)),""))</f>
        <v/>
      </c>
      <c r="H4540" s="32">
        <f>IF(B4540="","",IFERROR(INDEX(Client_List!$J:$J,MATCH(VALUE(B4540),Client_List!$A:$A,0)),""))</f>
        <v/>
      </c>
      <c r="I4540" s="70">
        <f>IF(B4540="","",IFERROR(A4540-LOOKUP(2,1/($B$4:$B4539=B4540),$A$4:$A4539),""))</f>
        <v/>
      </c>
      <c r="J4540" s="32">
        <f>IF(B4540="","",IFERROR(D4540/I4540,""))</f>
        <v/>
      </c>
      <c r="K4540" s="71">
        <f>IF(B4540="","",IFERROR(AVERAGEIFS($J$4:$J4540,$B$4:$B4540,B4540,$J$4:$J4540,"&gt;"&amp;0),""))</f>
        <v/>
      </c>
      <c r="L4540" s="12" t="n"/>
    </row>
    <row r="4541" ht="14" customHeight="1" s="72">
      <c r="A4541" s="82" t="n"/>
      <c r="B4541" s="79" t="n"/>
      <c r="C4541" s="69">
        <f>IF(B4541="","",IFERROR(INDEX(Client_List!$B:$B,MATCH(B4541,Client_List!$A:$A,0)),"⚠ NOT FOUND"))</f>
        <v/>
      </c>
      <c r="D4541" s="44" t="n"/>
      <c r="E4541" s="32">
        <f>IF(B4541="","",IFERROR(INDEX(Client_List!$C:$C,MATCH(VALUE(B4541),Client_List!$A:$A,0)),""))</f>
        <v/>
      </c>
      <c r="F4541" s="53">
        <f>IF(B4541="","",IFERROR(INDEX(Client_List!$D:$D,MATCH(VALUE(B4541),Client_List!$A:$A,0)),""))</f>
        <v/>
      </c>
      <c r="G4541" s="53">
        <f>IF(B4541="","",IFERROR(INDEX(Client_List!$K:$K,MATCH(VALUE(B4541),Client_List!$A:$A,0)),""))</f>
        <v/>
      </c>
      <c r="H4541" s="32">
        <f>IF(B4541="","",IFERROR(INDEX(Client_List!$J:$J,MATCH(VALUE(B4541),Client_List!$A:$A,0)),""))</f>
        <v/>
      </c>
      <c r="I4541" s="70">
        <f>IF(B4541="","",IFERROR(A4541-LOOKUP(2,1/($B$4:$B4540=B4541),$A$4:$A4540),""))</f>
        <v/>
      </c>
      <c r="J4541" s="32">
        <f>IF(B4541="","",IFERROR(D4541/I4541,""))</f>
        <v/>
      </c>
      <c r="K4541" s="71">
        <f>IF(B4541="","",IFERROR(AVERAGEIFS($J$4:$J4541,$B$4:$B4541,B4541,$J$4:$J4541,"&gt;"&amp;0),""))</f>
        <v/>
      </c>
      <c r="L4541" s="11" t="n"/>
    </row>
    <row r="4542" ht="14" customHeight="1" s="72">
      <c r="A4542" s="83" t="n"/>
      <c r="B4542" s="81" t="n"/>
      <c r="C4542" s="69">
        <f>IF(B4542="","",IFERROR(INDEX(Client_List!$B:$B,MATCH(B4542,Client_List!$A:$A,0)),"⚠ NOT FOUND"))</f>
        <v/>
      </c>
      <c r="D4542" s="45" t="n"/>
      <c r="E4542" s="32">
        <f>IF(B4542="","",IFERROR(INDEX(Client_List!$C:$C,MATCH(VALUE(B4542),Client_List!$A:$A,0)),""))</f>
        <v/>
      </c>
      <c r="F4542" s="53">
        <f>IF(B4542="","",IFERROR(INDEX(Client_List!$D:$D,MATCH(VALUE(B4542),Client_List!$A:$A,0)),""))</f>
        <v/>
      </c>
      <c r="G4542" s="53">
        <f>IF(B4542="","",IFERROR(INDEX(Client_List!$K:$K,MATCH(VALUE(B4542),Client_List!$A:$A,0)),""))</f>
        <v/>
      </c>
      <c r="H4542" s="32">
        <f>IF(B4542="","",IFERROR(INDEX(Client_List!$J:$J,MATCH(VALUE(B4542),Client_List!$A:$A,0)),""))</f>
        <v/>
      </c>
      <c r="I4542" s="70">
        <f>IF(B4542="","",IFERROR(A4542-LOOKUP(2,1/($B$4:$B4541=B4542),$A$4:$A4541),""))</f>
        <v/>
      </c>
      <c r="J4542" s="32">
        <f>IF(B4542="","",IFERROR(D4542/I4542,""))</f>
        <v/>
      </c>
      <c r="K4542" s="71">
        <f>IF(B4542="","",IFERROR(AVERAGEIFS($J$4:$J4542,$B$4:$B4542,B4542,$J$4:$J4542,"&gt;"&amp;0),""))</f>
        <v/>
      </c>
      <c r="L4542" s="12" t="n"/>
    </row>
    <row r="4543" ht="14" customHeight="1" s="72">
      <c r="A4543" s="82" t="n"/>
      <c r="B4543" s="79" t="n"/>
      <c r="C4543" s="69">
        <f>IF(B4543="","",IFERROR(INDEX(Client_List!$B:$B,MATCH(B4543,Client_List!$A:$A,0)),"⚠ NOT FOUND"))</f>
        <v/>
      </c>
      <c r="D4543" s="44" t="n"/>
      <c r="E4543" s="32">
        <f>IF(B4543="","",IFERROR(INDEX(Client_List!$C:$C,MATCH(VALUE(B4543),Client_List!$A:$A,0)),""))</f>
        <v/>
      </c>
      <c r="F4543" s="53">
        <f>IF(B4543="","",IFERROR(INDEX(Client_List!$D:$D,MATCH(VALUE(B4543),Client_List!$A:$A,0)),""))</f>
        <v/>
      </c>
      <c r="G4543" s="53">
        <f>IF(B4543="","",IFERROR(INDEX(Client_List!$K:$K,MATCH(VALUE(B4543),Client_List!$A:$A,0)),""))</f>
        <v/>
      </c>
      <c r="H4543" s="32">
        <f>IF(B4543="","",IFERROR(INDEX(Client_List!$J:$J,MATCH(VALUE(B4543),Client_List!$A:$A,0)),""))</f>
        <v/>
      </c>
      <c r="I4543" s="70">
        <f>IF(B4543="","",IFERROR(A4543-LOOKUP(2,1/($B$4:$B4542=B4543),$A$4:$A4542),""))</f>
        <v/>
      </c>
      <c r="J4543" s="32">
        <f>IF(B4543="","",IFERROR(D4543/I4543,""))</f>
        <v/>
      </c>
      <c r="K4543" s="71">
        <f>IF(B4543="","",IFERROR(AVERAGEIFS($J$4:$J4543,$B$4:$B4543,B4543,$J$4:$J4543,"&gt;"&amp;0),""))</f>
        <v/>
      </c>
      <c r="L4543" s="11" t="n"/>
    </row>
    <row r="4544" ht="14" customHeight="1" s="72">
      <c r="A4544" s="83" t="n"/>
      <c r="B4544" s="81" t="n"/>
      <c r="C4544" s="69">
        <f>IF(B4544="","",IFERROR(INDEX(Client_List!$B:$B,MATCH(B4544,Client_List!$A:$A,0)),"⚠ NOT FOUND"))</f>
        <v/>
      </c>
      <c r="D4544" s="45" t="n"/>
      <c r="E4544" s="32">
        <f>IF(B4544="","",IFERROR(INDEX(Client_List!$C:$C,MATCH(VALUE(B4544),Client_List!$A:$A,0)),""))</f>
        <v/>
      </c>
      <c r="F4544" s="53">
        <f>IF(B4544="","",IFERROR(INDEX(Client_List!$D:$D,MATCH(VALUE(B4544),Client_List!$A:$A,0)),""))</f>
        <v/>
      </c>
      <c r="G4544" s="53">
        <f>IF(B4544="","",IFERROR(INDEX(Client_List!$K:$K,MATCH(VALUE(B4544),Client_List!$A:$A,0)),""))</f>
        <v/>
      </c>
      <c r="H4544" s="32">
        <f>IF(B4544="","",IFERROR(INDEX(Client_List!$J:$J,MATCH(VALUE(B4544),Client_List!$A:$A,0)),""))</f>
        <v/>
      </c>
      <c r="I4544" s="70">
        <f>IF(B4544="","",IFERROR(A4544-LOOKUP(2,1/($B$4:$B4543=B4544),$A$4:$A4543),""))</f>
        <v/>
      </c>
      <c r="J4544" s="32">
        <f>IF(B4544="","",IFERROR(D4544/I4544,""))</f>
        <v/>
      </c>
      <c r="K4544" s="71">
        <f>IF(B4544="","",IFERROR(AVERAGEIFS($J$4:$J4544,$B$4:$B4544,B4544,$J$4:$J4544,"&gt;"&amp;0),""))</f>
        <v/>
      </c>
      <c r="L4544" s="12" t="n"/>
    </row>
    <row r="4545" ht="14" customHeight="1" s="72">
      <c r="A4545" s="82" t="n"/>
      <c r="B4545" s="79" t="n"/>
      <c r="C4545" s="69">
        <f>IF(B4545="","",IFERROR(INDEX(Client_List!$B:$B,MATCH(B4545,Client_List!$A:$A,0)),"⚠ NOT FOUND"))</f>
        <v/>
      </c>
      <c r="D4545" s="44" t="n"/>
      <c r="E4545" s="32">
        <f>IF(B4545="","",IFERROR(INDEX(Client_List!$C:$C,MATCH(VALUE(B4545),Client_List!$A:$A,0)),""))</f>
        <v/>
      </c>
      <c r="F4545" s="53">
        <f>IF(B4545="","",IFERROR(INDEX(Client_List!$D:$D,MATCH(VALUE(B4545),Client_List!$A:$A,0)),""))</f>
        <v/>
      </c>
      <c r="G4545" s="53">
        <f>IF(B4545="","",IFERROR(INDEX(Client_List!$K:$K,MATCH(VALUE(B4545),Client_List!$A:$A,0)),""))</f>
        <v/>
      </c>
      <c r="H4545" s="32">
        <f>IF(B4545="","",IFERROR(INDEX(Client_List!$J:$J,MATCH(VALUE(B4545),Client_List!$A:$A,0)),""))</f>
        <v/>
      </c>
      <c r="I4545" s="70">
        <f>IF(B4545="","",IFERROR(A4545-LOOKUP(2,1/($B$4:$B4544=B4545),$A$4:$A4544),""))</f>
        <v/>
      </c>
      <c r="J4545" s="32">
        <f>IF(B4545="","",IFERROR(D4545/I4545,""))</f>
        <v/>
      </c>
      <c r="K4545" s="71">
        <f>IF(B4545="","",IFERROR(AVERAGEIFS($J$4:$J4545,$B$4:$B4545,B4545,$J$4:$J4545,"&gt;"&amp;0),""))</f>
        <v/>
      </c>
      <c r="L4545" s="11" t="n"/>
    </row>
    <row r="4546" ht="14" customHeight="1" s="72">
      <c r="A4546" s="83" t="n"/>
      <c r="B4546" s="81" t="n"/>
      <c r="C4546" s="69">
        <f>IF(B4546="","",IFERROR(INDEX(Client_List!$B:$B,MATCH(B4546,Client_List!$A:$A,0)),"⚠ NOT FOUND"))</f>
        <v/>
      </c>
      <c r="D4546" s="45" t="n"/>
      <c r="E4546" s="32">
        <f>IF(B4546="","",IFERROR(INDEX(Client_List!$C:$C,MATCH(VALUE(B4546),Client_List!$A:$A,0)),""))</f>
        <v/>
      </c>
      <c r="F4546" s="53">
        <f>IF(B4546="","",IFERROR(INDEX(Client_List!$D:$D,MATCH(VALUE(B4546),Client_List!$A:$A,0)),""))</f>
        <v/>
      </c>
      <c r="G4546" s="53">
        <f>IF(B4546="","",IFERROR(INDEX(Client_List!$K:$K,MATCH(VALUE(B4546),Client_List!$A:$A,0)),""))</f>
        <v/>
      </c>
      <c r="H4546" s="32">
        <f>IF(B4546="","",IFERROR(INDEX(Client_List!$J:$J,MATCH(VALUE(B4546),Client_List!$A:$A,0)),""))</f>
        <v/>
      </c>
      <c r="I4546" s="70">
        <f>IF(B4546="","",IFERROR(A4546-LOOKUP(2,1/($B$4:$B4545=B4546),$A$4:$A4545),""))</f>
        <v/>
      </c>
      <c r="J4546" s="32">
        <f>IF(B4546="","",IFERROR(D4546/I4546,""))</f>
        <v/>
      </c>
      <c r="K4546" s="71">
        <f>IF(B4546="","",IFERROR(AVERAGEIFS($J$4:$J4546,$B$4:$B4546,B4546,$J$4:$J4546,"&gt;"&amp;0),""))</f>
        <v/>
      </c>
      <c r="L4546" s="12" t="n"/>
    </row>
    <row r="4547" ht="14" customHeight="1" s="72">
      <c r="A4547" s="82" t="n"/>
      <c r="B4547" s="79" t="n"/>
      <c r="C4547" s="69">
        <f>IF(B4547="","",IFERROR(INDEX(Client_List!$B:$B,MATCH(B4547,Client_List!$A:$A,0)),"⚠ NOT FOUND"))</f>
        <v/>
      </c>
      <c r="D4547" s="44" t="n"/>
      <c r="E4547" s="32">
        <f>IF(B4547="","",IFERROR(INDEX(Client_List!$C:$C,MATCH(VALUE(B4547),Client_List!$A:$A,0)),""))</f>
        <v/>
      </c>
      <c r="F4547" s="53">
        <f>IF(B4547="","",IFERROR(INDEX(Client_List!$D:$D,MATCH(VALUE(B4547),Client_List!$A:$A,0)),""))</f>
        <v/>
      </c>
      <c r="G4547" s="53">
        <f>IF(B4547="","",IFERROR(INDEX(Client_List!$K:$K,MATCH(VALUE(B4547),Client_List!$A:$A,0)),""))</f>
        <v/>
      </c>
      <c r="H4547" s="32">
        <f>IF(B4547="","",IFERROR(INDEX(Client_List!$J:$J,MATCH(VALUE(B4547),Client_List!$A:$A,0)),""))</f>
        <v/>
      </c>
      <c r="I4547" s="70">
        <f>IF(B4547="","",IFERROR(A4547-LOOKUP(2,1/($B$4:$B4546=B4547),$A$4:$A4546),""))</f>
        <v/>
      </c>
      <c r="J4547" s="32">
        <f>IF(B4547="","",IFERROR(D4547/I4547,""))</f>
        <v/>
      </c>
      <c r="K4547" s="71">
        <f>IF(B4547="","",IFERROR(AVERAGEIFS($J$4:$J4547,$B$4:$B4547,B4547,$J$4:$J4547,"&gt;"&amp;0),""))</f>
        <v/>
      </c>
      <c r="L4547" s="11" t="n"/>
    </row>
    <row r="4548" ht="14" customHeight="1" s="72">
      <c r="A4548" s="83" t="n"/>
      <c r="B4548" s="81" t="n"/>
      <c r="C4548" s="69">
        <f>IF(B4548="","",IFERROR(INDEX(Client_List!$B:$B,MATCH(B4548,Client_List!$A:$A,0)),"⚠ NOT FOUND"))</f>
        <v/>
      </c>
      <c r="D4548" s="45" t="n"/>
      <c r="E4548" s="32">
        <f>IF(B4548="","",IFERROR(INDEX(Client_List!$C:$C,MATCH(VALUE(B4548),Client_List!$A:$A,0)),""))</f>
        <v/>
      </c>
      <c r="F4548" s="53">
        <f>IF(B4548="","",IFERROR(INDEX(Client_List!$D:$D,MATCH(VALUE(B4548),Client_List!$A:$A,0)),""))</f>
        <v/>
      </c>
      <c r="G4548" s="53">
        <f>IF(B4548="","",IFERROR(INDEX(Client_List!$K:$K,MATCH(VALUE(B4548),Client_List!$A:$A,0)),""))</f>
        <v/>
      </c>
      <c r="H4548" s="32">
        <f>IF(B4548="","",IFERROR(INDEX(Client_List!$J:$J,MATCH(VALUE(B4548),Client_List!$A:$A,0)),""))</f>
        <v/>
      </c>
      <c r="I4548" s="70">
        <f>IF(B4548="","",IFERROR(A4548-LOOKUP(2,1/($B$4:$B4547=B4548),$A$4:$A4547),""))</f>
        <v/>
      </c>
      <c r="J4548" s="32">
        <f>IF(B4548="","",IFERROR(D4548/I4548,""))</f>
        <v/>
      </c>
      <c r="K4548" s="71">
        <f>IF(B4548="","",IFERROR(AVERAGEIFS($J$4:$J4548,$B$4:$B4548,B4548,$J$4:$J4548,"&gt;"&amp;0),""))</f>
        <v/>
      </c>
      <c r="L4548" s="12" t="n"/>
    </row>
    <row r="4549" ht="14" customHeight="1" s="72">
      <c r="A4549" s="82" t="n"/>
      <c r="B4549" s="79" t="n"/>
      <c r="C4549" s="69">
        <f>IF(B4549="","",IFERROR(INDEX(Client_List!$B:$B,MATCH(B4549,Client_List!$A:$A,0)),"⚠ NOT FOUND"))</f>
        <v/>
      </c>
      <c r="D4549" s="44" t="n"/>
      <c r="E4549" s="32">
        <f>IF(B4549="","",IFERROR(INDEX(Client_List!$C:$C,MATCH(VALUE(B4549),Client_List!$A:$A,0)),""))</f>
        <v/>
      </c>
      <c r="F4549" s="53">
        <f>IF(B4549="","",IFERROR(INDEX(Client_List!$D:$D,MATCH(VALUE(B4549),Client_List!$A:$A,0)),""))</f>
        <v/>
      </c>
      <c r="G4549" s="53">
        <f>IF(B4549="","",IFERROR(INDEX(Client_List!$K:$K,MATCH(VALUE(B4549),Client_List!$A:$A,0)),""))</f>
        <v/>
      </c>
      <c r="H4549" s="32">
        <f>IF(B4549="","",IFERROR(INDEX(Client_List!$J:$J,MATCH(VALUE(B4549),Client_List!$A:$A,0)),""))</f>
        <v/>
      </c>
      <c r="I4549" s="70">
        <f>IF(B4549="","",IFERROR(A4549-LOOKUP(2,1/($B$4:$B4548=B4549),$A$4:$A4548),""))</f>
        <v/>
      </c>
      <c r="J4549" s="32">
        <f>IF(B4549="","",IFERROR(D4549/I4549,""))</f>
        <v/>
      </c>
      <c r="K4549" s="71">
        <f>IF(B4549="","",IFERROR(AVERAGEIFS($J$4:$J4549,$B$4:$B4549,B4549,$J$4:$J4549,"&gt;"&amp;0),""))</f>
        <v/>
      </c>
      <c r="L4549" s="11" t="n"/>
    </row>
    <row r="4550" ht="14" customHeight="1" s="72">
      <c r="A4550" s="83" t="n"/>
      <c r="B4550" s="81" t="n"/>
      <c r="C4550" s="69">
        <f>IF(B4550="","",IFERROR(INDEX(Client_List!$B:$B,MATCH(B4550,Client_List!$A:$A,0)),"⚠ NOT FOUND"))</f>
        <v/>
      </c>
      <c r="D4550" s="45" t="n"/>
      <c r="E4550" s="32">
        <f>IF(B4550="","",IFERROR(INDEX(Client_List!$C:$C,MATCH(VALUE(B4550),Client_List!$A:$A,0)),""))</f>
        <v/>
      </c>
      <c r="F4550" s="53">
        <f>IF(B4550="","",IFERROR(INDEX(Client_List!$D:$D,MATCH(VALUE(B4550),Client_List!$A:$A,0)),""))</f>
        <v/>
      </c>
      <c r="G4550" s="53">
        <f>IF(B4550="","",IFERROR(INDEX(Client_List!$K:$K,MATCH(VALUE(B4550),Client_List!$A:$A,0)),""))</f>
        <v/>
      </c>
      <c r="H4550" s="32">
        <f>IF(B4550="","",IFERROR(INDEX(Client_List!$J:$J,MATCH(VALUE(B4550),Client_List!$A:$A,0)),""))</f>
        <v/>
      </c>
      <c r="I4550" s="70">
        <f>IF(B4550="","",IFERROR(A4550-LOOKUP(2,1/($B$4:$B4549=B4550),$A$4:$A4549),""))</f>
        <v/>
      </c>
      <c r="J4550" s="32">
        <f>IF(B4550="","",IFERROR(D4550/I4550,""))</f>
        <v/>
      </c>
      <c r="K4550" s="71">
        <f>IF(B4550="","",IFERROR(AVERAGEIFS($J$4:$J4550,$B$4:$B4550,B4550,$J$4:$J4550,"&gt;"&amp;0),""))</f>
        <v/>
      </c>
      <c r="L4550" s="12" t="n"/>
    </row>
    <row r="4551" ht="14" customHeight="1" s="72">
      <c r="A4551" s="82" t="n"/>
      <c r="B4551" s="79" t="n"/>
      <c r="C4551" s="69">
        <f>IF(B4551="","",IFERROR(INDEX(Client_List!$B:$B,MATCH(B4551,Client_List!$A:$A,0)),"⚠ NOT FOUND"))</f>
        <v/>
      </c>
      <c r="D4551" s="44" t="n"/>
      <c r="E4551" s="32">
        <f>IF(B4551="","",IFERROR(INDEX(Client_List!$C:$C,MATCH(VALUE(B4551),Client_List!$A:$A,0)),""))</f>
        <v/>
      </c>
      <c r="F4551" s="53">
        <f>IF(B4551="","",IFERROR(INDEX(Client_List!$D:$D,MATCH(VALUE(B4551),Client_List!$A:$A,0)),""))</f>
        <v/>
      </c>
      <c r="G4551" s="53">
        <f>IF(B4551="","",IFERROR(INDEX(Client_List!$K:$K,MATCH(VALUE(B4551),Client_List!$A:$A,0)),""))</f>
        <v/>
      </c>
      <c r="H4551" s="32">
        <f>IF(B4551="","",IFERROR(INDEX(Client_List!$J:$J,MATCH(VALUE(B4551),Client_List!$A:$A,0)),""))</f>
        <v/>
      </c>
      <c r="I4551" s="70">
        <f>IF(B4551="","",IFERROR(A4551-LOOKUP(2,1/($B$4:$B4550=B4551),$A$4:$A4550),""))</f>
        <v/>
      </c>
      <c r="J4551" s="32">
        <f>IF(B4551="","",IFERROR(D4551/I4551,""))</f>
        <v/>
      </c>
      <c r="K4551" s="71">
        <f>IF(B4551="","",IFERROR(AVERAGEIFS($J$4:$J4551,$B$4:$B4551,B4551,$J$4:$J4551,"&gt;"&amp;0),""))</f>
        <v/>
      </c>
      <c r="L4551" s="11" t="n"/>
    </row>
    <row r="4552" ht="14" customHeight="1" s="72">
      <c r="A4552" s="83" t="n"/>
      <c r="B4552" s="81" t="n"/>
      <c r="C4552" s="69">
        <f>IF(B4552="","",IFERROR(INDEX(Client_List!$B:$B,MATCH(B4552,Client_List!$A:$A,0)),"⚠ NOT FOUND"))</f>
        <v/>
      </c>
      <c r="D4552" s="45" t="n"/>
      <c r="E4552" s="32">
        <f>IF(B4552="","",IFERROR(INDEX(Client_List!$C:$C,MATCH(VALUE(B4552),Client_List!$A:$A,0)),""))</f>
        <v/>
      </c>
      <c r="F4552" s="53">
        <f>IF(B4552="","",IFERROR(INDEX(Client_List!$D:$D,MATCH(VALUE(B4552),Client_List!$A:$A,0)),""))</f>
        <v/>
      </c>
      <c r="G4552" s="53">
        <f>IF(B4552="","",IFERROR(INDEX(Client_List!$K:$K,MATCH(VALUE(B4552),Client_List!$A:$A,0)),""))</f>
        <v/>
      </c>
      <c r="H4552" s="32">
        <f>IF(B4552="","",IFERROR(INDEX(Client_List!$J:$J,MATCH(VALUE(B4552),Client_List!$A:$A,0)),""))</f>
        <v/>
      </c>
      <c r="I4552" s="70">
        <f>IF(B4552="","",IFERROR(A4552-LOOKUP(2,1/($B$4:$B4551=B4552),$A$4:$A4551),""))</f>
        <v/>
      </c>
      <c r="J4552" s="32">
        <f>IF(B4552="","",IFERROR(D4552/I4552,""))</f>
        <v/>
      </c>
      <c r="K4552" s="71">
        <f>IF(B4552="","",IFERROR(AVERAGEIFS($J$4:$J4552,$B$4:$B4552,B4552,$J$4:$J4552,"&gt;"&amp;0),""))</f>
        <v/>
      </c>
      <c r="L4552" s="12" t="n"/>
    </row>
    <row r="4553" ht="14" customHeight="1" s="72">
      <c r="A4553" s="82" t="n"/>
      <c r="B4553" s="79" t="n"/>
      <c r="C4553" s="69">
        <f>IF(B4553="","",IFERROR(INDEX(Client_List!$B:$B,MATCH(B4553,Client_List!$A:$A,0)),"⚠ NOT FOUND"))</f>
        <v/>
      </c>
      <c r="D4553" s="44" t="n"/>
      <c r="E4553" s="32">
        <f>IF(B4553="","",IFERROR(INDEX(Client_List!$C:$C,MATCH(VALUE(B4553),Client_List!$A:$A,0)),""))</f>
        <v/>
      </c>
      <c r="F4553" s="53">
        <f>IF(B4553="","",IFERROR(INDEX(Client_List!$D:$D,MATCH(VALUE(B4553),Client_List!$A:$A,0)),""))</f>
        <v/>
      </c>
      <c r="G4553" s="53">
        <f>IF(B4553="","",IFERROR(INDEX(Client_List!$K:$K,MATCH(VALUE(B4553),Client_List!$A:$A,0)),""))</f>
        <v/>
      </c>
      <c r="H4553" s="32">
        <f>IF(B4553="","",IFERROR(INDEX(Client_List!$J:$J,MATCH(VALUE(B4553),Client_List!$A:$A,0)),""))</f>
        <v/>
      </c>
      <c r="I4553" s="70">
        <f>IF(B4553="","",IFERROR(A4553-LOOKUP(2,1/($B$4:$B4552=B4553),$A$4:$A4552),""))</f>
        <v/>
      </c>
      <c r="J4553" s="32">
        <f>IF(B4553="","",IFERROR(D4553/I4553,""))</f>
        <v/>
      </c>
      <c r="K4553" s="71">
        <f>IF(B4553="","",IFERROR(AVERAGEIFS($J$4:$J4553,$B$4:$B4553,B4553,$J$4:$J4553,"&gt;"&amp;0),""))</f>
        <v/>
      </c>
      <c r="L4553" s="11" t="n"/>
    </row>
    <row r="4554" ht="14" customHeight="1" s="72">
      <c r="A4554" s="83" t="n"/>
      <c r="B4554" s="81" t="n"/>
      <c r="C4554" s="69">
        <f>IF(B4554="","",IFERROR(INDEX(Client_List!$B:$B,MATCH(B4554,Client_List!$A:$A,0)),"⚠ NOT FOUND"))</f>
        <v/>
      </c>
      <c r="D4554" s="45" t="n"/>
      <c r="E4554" s="32">
        <f>IF(B4554="","",IFERROR(INDEX(Client_List!$C:$C,MATCH(VALUE(B4554),Client_List!$A:$A,0)),""))</f>
        <v/>
      </c>
      <c r="F4554" s="53">
        <f>IF(B4554="","",IFERROR(INDEX(Client_List!$D:$D,MATCH(VALUE(B4554),Client_List!$A:$A,0)),""))</f>
        <v/>
      </c>
      <c r="G4554" s="53">
        <f>IF(B4554="","",IFERROR(INDEX(Client_List!$K:$K,MATCH(VALUE(B4554),Client_List!$A:$A,0)),""))</f>
        <v/>
      </c>
      <c r="H4554" s="32">
        <f>IF(B4554="","",IFERROR(INDEX(Client_List!$J:$J,MATCH(VALUE(B4554),Client_List!$A:$A,0)),""))</f>
        <v/>
      </c>
      <c r="I4554" s="70">
        <f>IF(B4554="","",IFERROR(A4554-LOOKUP(2,1/($B$4:$B4553=B4554),$A$4:$A4553),""))</f>
        <v/>
      </c>
      <c r="J4554" s="32">
        <f>IF(B4554="","",IFERROR(D4554/I4554,""))</f>
        <v/>
      </c>
      <c r="K4554" s="71">
        <f>IF(B4554="","",IFERROR(AVERAGEIFS($J$4:$J4554,$B$4:$B4554,B4554,$J$4:$J4554,"&gt;"&amp;0),""))</f>
        <v/>
      </c>
      <c r="L4554" s="12" t="n"/>
    </row>
    <row r="4555" ht="14" customHeight="1" s="72">
      <c r="A4555" s="82" t="n"/>
      <c r="B4555" s="79" t="n"/>
      <c r="C4555" s="69">
        <f>IF(B4555="","",IFERROR(INDEX(Client_List!$B:$B,MATCH(B4555,Client_List!$A:$A,0)),"⚠ NOT FOUND"))</f>
        <v/>
      </c>
      <c r="D4555" s="44" t="n"/>
      <c r="E4555" s="32">
        <f>IF(B4555="","",IFERROR(INDEX(Client_List!$C:$C,MATCH(VALUE(B4555),Client_List!$A:$A,0)),""))</f>
        <v/>
      </c>
      <c r="F4555" s="53">
        <f>IF(B4555="","",IFERROR(INDEX(Client_List!$D:$D,MATCH(VALUE(B4555),Client_List!$A:$A,0)),""))</f>
        <v/>
      </c>
      <c r="G4555" s="53">
        <f>IF(B4555="","",IFERROR(INDEX(Client_List!$K:$K,MATCH(VALUE(B4555),Client_List!$A:$A,0)),""))</f>
        <v/>
      </c>
      <c r="H4555" s="32">
        <f>IF(B4555="","",IFERROR(INDEX(Client_List!$J:$J,MATCH(VALUE(B4555),Client_List!$A:$A,0)),""))</f>
        <v/>
      </c>
      <c r="I4555" s="70">
        <f>IF(B4555="","",IFERROR(A4555-LOOKUP(2,1/($B$4:$B4554=B4555),$A$4:$A4554),""))</f>
        <v/>
      </c>
      <c r="J4555" s="32">
        <f>IF(B4555="","",IFERROR(D4555/I4555,""))</f>
        <v/>
      </c>
      <c r="K4555" s="71">
        <f>IF(B4555="","",IFERROR(AVERAGEIFS($J$4:$J4555,$B$4:$B4555,B4555,$J$4:$J4555,"&gt;"&amp;0),""))</f>
        <v/>
      </c>
      <c r="L4555" s="11" t="n"/>
    </row>
    <row r="4556" ht="14" customHeight="1" s="72">
      <c r="A4556" s="83" t="n"/>
      <c r="B4556" s="81" t="n"/>
      <c r="C4556" s="69">
        <f>IF(B4556="","",IFERROR(INDEX(Client_List!$B:$B,MATCH(B4556,Client_List!$A:$A,0)),"⚠ NOT FOUND"))</f>
        <v/>
      </c>
      <c r="D4556" s="45" t="n"/>
      <c r="E4556" s="32">
        <f>IF(B4556="","",IFERROR(INDEX(Client_List!$C:$C,MATCH(VALUE(B4556),Client_List!$A:$A,0)),""))</f>
        <v/>
      </c>
      <c r="F4556" s="53">
        <f>IF(B4556="","",IFERROR(INDEX(Client_List!$D:$D,MATCH(VALUE(B4556),Client_List!$A:$A,0)),""))</f>
        <v/>
      </c>
      <c r="G4556" s="53">
        <f>IF(B4556="","",IFERROR(INDEX(Client_List!$K:$K,MATCH(VALUE(B4556),Client_List!$A:$A,0)),""))</f>
        <v/>
      </c>
      <c r="H4556" s="32">
        <f>IF(B4556="","",IFERROR(INDEX(Client_List!$J:$J,MATCH(VALUE(B4556),Client_List!$A:$A,0)),""))</f>
        <v/>
      </c>
      <c r="I4556" s="70">
        <f>IF(B4556="","",IFERROR(A4556-LOOKUP(2,1/($B$4:$B4555=B4556),$A$4:$A4555),""))</f>
        <v/>
      </c>
      <c r="J4556" s="32">
        <f>IF(B4556="","",IFERROR(D4556/I4556,""))</f>
        <v/>
      </c>
      <c r="K4556" s="71">
        <f>IF(B4556="","",IFERROR(AVERAGEIFS($J$4:$J4556,$B$4:$B4556,B4556,$J$4:$J4556,"&gt;"&amp;0),""))</f>
        <v/>
      </c>
      <c r="L4556" s="12" t="n"/>
    </row>
    <row r="4557" ht="14" customHeight="1" s="72">
      <c r="A4557" s="82" t="n"/>
      <c r="B4557" s="79" t="n"/>
      <c r="C4557" s="69">
        <f>IF(B4557="","",IFERROR(INDEX(Client_List!$B:$B,MATCH(B4557,Client_List!$A:$A,0)),"⚠ NOT FOUND"))</f>
        <v/>
      </c>
      <c r="D4557" s="44" t="n"/>
      <c r="E4557" s="32">
        <f>IF(B4557="","",IFERROR(INDEX(Client_List!$C:$C,MATCH(VALUE(B4557),Client_List!$A:$A,0)),""))</f>
        <v/>
      </c>
      <c r="F4557" s="53">
        <f>IF(B4557="","",IFERROR(INDEX(Client_List!$D:$D,MATCH(VALUE(B4557),Client_List!$A:$A,0)),""))</f>
        <v/>
      </c>
      <c r="G4557" s="53">
        <f>IF(B4557="","",IFERROR(INDEX(Client_List!$K:$K,MATCH(VALUE(B4557),Client_List!$A:$A,0)),""))</f>
        <v/>
      </c>
      <c r="H4557" s="32">
        <f>IF(B4557="","",IFERROR(INDEX(Client_List!$J:$J,MATCH(VALUE(B4557),Client_List!$A:$A,0)),""))</f>
        <v/>
      </c>
      <c r="I4557" s="70">
        <f>IF(B4557="","",IFERROR(A4557-LOOKUP(2,1/($B$4:$B4556=B4557),$A$4:$A4556),""))</f>
        <v/>
      </c>
      <c r="J4557" s="32">
        <f>IF(B4557="","",IFERROR(D4557/I4557,""))</f>
        <v/>
      </c>
      <c r="K4557" s="71">
        <f>IF(B4557="","",IFERROR(AVERAGEIFS($J$4:$J4557,$B$4:$B4557,B4557,$J$4:$J4557,"&gt;"&amp;0),""))</f>
        <v/>
      </c>
      <c r="L4557" s="11" t="n"/>
    </row>
    <row r="4558" ht="14" customHeight="1" s="72">
      <c r="A4558" s="83" t="n"/>
      <c r="B4558" s="81" t="n"/>
      <c r="C4558" s="69">
        <f>IF(B4558="","",IFERROR(INDEX(Client_List!$B:$B,MATCH(B4558,Client_List!$A:$A,0)),"⚠ NOT FOUND"))</f>
        <v/>
      </c>
      <c r="D4558" s="45" t="n"/>
      <c r="E4558" s="32">
        <f>IF(B4558="","",IFERROR(INDEX(Client_List!$C:$C,MATCH(VALUE(B4558),Client_List!$A:$A,0)),""))</f>
        <v/>
      </c>
      <c r="F4558" s="53">
        <f>IF(B4558="","",IFERROR(INDEX(Client_List!$D:$D,MATCH(VALUE(B4558),Client_List!$A:$A,0)),""))</f>
        <v/>
      </c>
      <c r="G4558" s="53">
        <f>IF(B4558="","",IFERROR(INDEX(Client_List!$K:$K,MATCH(VALUE(B4558),Client_List!$A:$A,0)),""))</f>
        <v/>
      </c>
      <c r="H4558" s="32">
        <f>IF(B4558="","",IFERROR(INDEX(Client_List!$J:$J,MATCH(VALUE(B4558),Client_List!$A:$A,0)),""))</f>
        <v/>
      </c>
      <c r="I4558" s="70">
        <f>IF(B4558="","",IFERROR(A4558-LOOKUP(2,1/($B$4:$B4557=B4558),$A$4:$A4557),""))</f>
        <v/>
      </c>
      <c r="J4558" s="32">
        <f>IF(B4558="","",IFERROR(D4558/I4558,""))</f>
        <v/>
      </c>
      <c r="K4558" s="71">
        <f>IF(B4558="","",IFERROR(AVERAGEIFS($J$4:$J4558,$B$4:$B4558,B4558,$J$4:$J4558,"&gt;"&amp;0),""))</f>
        <v/>
      </c>
      <c r="L4558" s="12" t="n"/>
    </row>
    <row r="4559" ht="14" customHeight="1" s="72">
      <c r="A4559" s="82" t="n"/>
      <c r="B4559" s="79" t="n"/>
      <c r="C4559" s="69">
        <f>IF(B4559="","",IFERROR(INDEX(Client_List!$B:$B,MATCH(B4559,Client_List!$A:$A,0)),"⚠ NOT FOUND"))</f>
        <v/>
      </c>
      <c r="D4559" s="44" t="n"/>
      <c r="E4559" s="32">
        <f>IF(B4559="","",IFERROR(INDEX(Client_List!$C:$C,MATCH(VALUE(B4559),Client_List!$A:$A,0)),""))</f>
        <v/>
      </c>
      <c r="F4559" s="53">
        <f>IF(B4559="","",IFERROR(INDEX(Client_List!$D:$D,MATCH(VALUE(B4559),Client_List!$A:$A,0)),""))</f>
        <v/>
      </c>
      <c r="G4559" s="53">
        <f>IF(B4559="","",IFERROR(INDEX(Client_List!$K:$K,MATCH(VALUE(B4559),Client_List!$A:$A,0)),""))</f>
        <v/>
      </c>
      <c r="H4559" s="32">
        <f>IF(B4559="","",IFERROR(INDEX(Client_List!$J:$J,MATCH(VALUE(B4559),Client_List!$A:$A,0)),""))</f>
        <v/>
      </c>
      <c r="I4559" s="70">
        <f>IF(B4559="","",IFERROR(A4559-LOOKUP(2,1/($B$4:$B4558=B4559),$A$4:$A4558),""))</f>
        <v/>
      </c>
      <c r="J4559" s="32">
        <f>IF(B4559="","",IFERROR(D4559/I4559,""))</f>
        <v/>
      </c>
      <c r="K4559" s="71">
        <f>IF(B4559="","",IFERROR(AVERAGEIFS($J$4:$J4559,$B$4:$B4559,B4559,$J$4:$J4559,"&gt;"&amp;0),""))</f>
        <v/>
      </c>
      <c r="L4559" s="11" t="n"/>
    </row>
    <row r="4560" ht="14" customHeight="1" s="72">
      <c r="A4560" s="83" t="n"/>
      <c r="B4560" s="81" t="n"/>
      <c r="C4560" s="69">
        <f>IF(B4560="","",IFERROR(INDEX(Client_List!$B:$B,MATCH(B4560,Client_List!$A:$A,0)),"⚠ NOT FOUND"))</f>
        <v/>
      </c>
      <c r="D4560" s="45" t="n"/>
      <c r="E4560" s="32">
        <f>IF(B4560="","",IFERROR(INDEX(Client_List!$C:$C,MATCH(VALUE(B4560),Client_List!$A:$A,0)),""))</f>
        <v/>
      </c>
      <c r="F4560" s="53">
        <f>IF(B4560="","",IFERROR(INDEX(Client_List!$D:$D,MATCH(VALUE(B4560),Client_List!$A:$A,0)),""))</f>
        <v/>
      </c>
      <c r="G4560" s="53">
        <f>IF(B4560="","",IFERROR(INDEX(Client_List!$K:$K,MATCH(VALUE(B4560),Client_List!$A:$A,0)),""))</f>
        <v/>
      </c>
      <c r="H4560" s="32">
        <f>IF(B4560="","",IFERROR(INDEX(Client_List!$J:$J,MATCH(VALUE(B4560),Client_List!$A:$A,0)),""))</f>
        <v/>
      </c>
      <c r="I4560" s="70">
        <f>IF(B4560="","",IFERROR(A4560-LOOKUP(2,1/($B$4:$B4559=B4560),$A$4:$A4559),""))</f>
        <v/>
      </c>
      <c r="J4560" s="32">
        <f>IF(B4560="","",IFERROR(D4560/I4560,""))</f>
        <v/>
      </c>
      <c r="K4560" s="71">
        <f>IF(B4560="","",IFERROR(AVERAGEIFS($J$4:$J4560,$B$4:$B4560,B4560,$J$4:$J4560,"&gt;"&amp;0),""))</f>
        <v/>
      </c>
      <c r="L4560" s="12" t="n"/>
    </row>
    <row r="4561" ht="14" customHeight="1" s="72">
      <c r="A4561" s="82" t="n"/>
      <c r="B4561" s="79" t="n"/>
      <c r="C4561" s="69">
        <f>IF(B4561="","",IFERROR(INDEX(Client_List!$B:$B,MATCH(B4561,Client_List!$A:$A,0)),"⚠ NOT FOUND"))</f>
        <v/>
      </c>
      <c r="D4561" s="44" t="n"/>
      <c r="E4561" s="32">
        <f>IF(B4561="","",IFERROR(INDEX(Client_List!$C:$C,MATCH(VALUE(B4561),Client_List!$A:$A,0)),""))</f>
        <v/>
      </c>
      <c r="F4561" s="53">
        <f>IF(B4561="","",IFERROR(INDEX(Client_List!$D:$D,MATCH(VALUE(B4561),Client_List!$A:$A,0)),""))</f>
        <v/>
      </c>
      <c r="G4561" s="53">
        <f>IF(B4561="","",IFERROR(INDEX(Client_List!$K:$K,MATCH(VALUE(B4561),Client_List!$A:$A,0)),""))</f>
        <v/>
      </c>
      <c r="H4561" s="32">
        <f>IF(B4561="","",IFERROR(INDEX(Client_List!$J:$J,MATCH(VALUE(B4561),Client_List!$A:$A,0)),""))</f>
        <v/>
      </c>
      <c r="I4561" s="70">
        <f>IF(B4561="","",IFERROR(A4561-LOOKUP(2,1/($B$4:$B4560=B4561),$A$4:$A4560),""))</f>
        <v/>
      </c>
      <c r="J4561" s="32">
        <f>IF(B4561="","",IFERROR(D4561/I4561,""))</f>
        <v/>
      </c>
      <c r="K4561" s="71">
        <f>IF(B4561="","",IFERROR(AVERAGEIFS($J$4:$J4561,$B$4:$B4561,B4561,$J$4:$J4561,"&gt;"&amp;0),""))</f>
        <v/>
      </c>
      <c r="L4561" s="11" t="n"/>
    </row>
    <row r="4562" ht="14" customHeight="1" s="72">
      <c r="A4562" s="83" t="n"/>
      <c r="B4562" s="81" t="n"/>
      <c r="C4562" s="69">
        <f>IF(B4562="","",IFERROR(INDEX(Client_List!$B:$B,MATCH(B4562,Client_List!$A:$A,0)),"⚠ NOT FOUND"))</f>
        <v/>
      </c>
      <c r="D4562" s="45" t="n"/>
      <c r="E4562" s="32">
        <f>IF(B4562="","",IFERROR(INDEX(Client_List!$C:$C,MATCH(VALUE(B4562),Client_List!$A:$A,0)),""))</f>
        <v/>
      </c>
      <c r="F4562" s="53">
        <f>IF(B4562="","",IFERROR(INDEX(Client_List!$D:$D,MATCH(VALUE(B4562),Client_List!$A:$A,0)),""))</f>
        <v/>
      </c>
      <c r="G4562" s="53">
        <f>IF(B4562="","",IFERROR(INDEX(Client_List!$K:$K,MATCH(VALUE(B4562),Client_List!$A:$A,0)),""))</f>
        <v/>
      </c>
      <c r="H4562" s="32">
        <f>IF(B4562="","",IFERROR(INDEX(Client_List!$J:$J,MATCH(VALUE(B4562),Client_List!$A:$A,0)),""))</f>
        <v/>
      </c>
      <c r="I4562" s="70">
        <f>IF(B4562="","",IFERROR(A4562-LOOKUP(2,1/($B$4:$B4561=B4562),$A$4:$A4561),""))</f>
        <v/>
      </c>
      <c r="J4562" s="32">
        <f>IF(B4562="","",IFERROR(D4562/I4562,""))</f>
        <v/>
      </c>
      <c r="K4562" s="71">
        <f>IF(B4562="","",IFERROR(AVERAGEIFS($J$4:$J4562,$B$4:$B4562,B4562,$J$4:$J4562,"&gt;"&amp;0),""))</f>
        <v/>
      </c>
      <c r="L4562" s="12" t="n"/>
    </row>
    <row r="4563" ht="14" customHeight="1" s="72">
      <c r="A4563" s="82" t="n"/>
      <c r="B4563" s="79" t="n"/>
      <c r="C4563" s="69">
        <f>IF(B4563="","",IFERROR(INDEX(Client_List!$B:$B,MATCH(B4563,Client_List!$A:$A,0)),"⚠ NOT FOUND"))</f>
        <v/>
      </c>
      <c r="D4563" s="44" t="n"/>
      <c r="E4563" s="32">
        <f>IF(B4563="","",IFERROR(INDEX(Client_List!$C:$C,MATCH(VALUE(B4563),Client_List!$A:$A,0)),""))</f>
        <v/>
      </c>
      <c r="F4563" s="53">
        <f>IF(B4563="","",IFERROR(INDEX(Client_List!$D:$D,MATCH(VALUE(B4563),Client_List!$A:$A,0)),""))</f>
        <v/>
      </c>
      <c r="G4563" s="53">
        <f>IF(B4563="","",IFERROR(INDEX(Client_List!$K:$K,MATCH(VALUE(B4563),Client_List!$A:$A,0)),""))</f>
        <v/>
      </c>
      <c r="H4563" s="32">
        <f>IF(B4563="","",IFERROR(INDEX(Client_List!$J:$J,MATCH(VALUE(B4563),Client_List!$A:$A,0)),""))</f>
        <v/>
      </c>
      <c r="I4563" s="70">
        <f>IF(B4563="","",IFERROR(A4563-LOOKUP(2,1/($B$4:$B4562=B4563),$A$4:$A4562),""))</f>
        <v/>
      </c>
      <c r="J4563" s="32">
        <f>IF(B4563="","",IFERROR(D4563/I4563,""))</f>
        <v/>
      </c>
      <c r="K4563" s="71">
        <f>IF(B4563="","",IFERROR(AVERAGEIFS($J$4:$J4563,$B$4:$B4563,B4563,$J$4:$J4563,"&gt;"&amp;0),""))</f>
        <v/>
      </c>
      <c r="L4563" s="11" t="n"/>
    </row>
    <row r="4564" ht="14" customHeight="1" s="72">
      <c r="A4564" s="83" t="n"/>
      <c r="B4564" s="81" t="n"/>
      <c r="C4564" s="69">
        <f>IF(B4564="","",IFERROR(INDEX(Client_List!$B:$B,MATCH(B4564,Client_List!$A:$A,0)),"⚠ NOT FOUND"))</f>
        <v/>
      </c>
      <c r="D4564" s="45" t="n"/>
      <c r="E4564" s="32">
        <f>IF(B4564="","",IFERROR(INDEX(Client_List!$C:$C,MATCH(VALUE(B4564),Client_List!$A:$A,0)),""))</f>
        <v/>
      </c>
      <c r="F4564" s="53">
        <f>IF(B4564="","",IFERROR(INDEX(Client_List!$D:$D,MATCH(VALUE(B4564),Client_List!$A:$A,0)),""))</f>
        <v/>
      </c>
      <c r="G4564" s="53">
        <f>IF(B4564="","",IFERROR(INDEX(Client_List!$K:$K,MATCH(VALUE(B4564),Client_List!$A:$A,0)),""))</f>
        <v/>
      </c>
      <c r="H4564" s="32">
        <f>IF(B4564="","",IFERROR(INDEX(Client_List!$J:$J,MATCH(VALUE(B4564),Client_List!$A:$A,0)),""))</f>
        <v/>
      </c>
      <c r="I4564" s="70">
        <f>IF(B4564="","",IFERROR(A4564-LOOKUP(2,1/($B$4:$B4563=B4564),$A$4:$A4563),""))</f>
        <v/>
      </c>
      <c r="J4564" s="32">
        <f>IF(B4564="","",IFERROR(D4564/I4564,""))</f>
        <v/>
      </c>
      <c r="K4564" s="71">
        <f>IF(B4564="","",IFERROR(AVERAGEIFS($J$4:$J4564,$B$4:$B4564,B4564,$J$4:$J4564,"&gt;"&amp;0),""))</f>
        <v/>
      </c>
      <c r="L4564" s="12" t="n"/>
    </row>
    <row r="4565" ht="14" customHeight="1" s="72">
      <c r="A4565" s="82" t="n"/>
      <c r="B4565" s="79" t="n"/>
      <c r="C4565" s="69">
        <f>IF(B4565="","",IFERROR(INDEX(Client_List!$B:$B,MATCH(B4565,Client_List!$A:$A,0)),"⚠ NOT FOUND"))</f>
        <v/>
      </c>
      <c r="D4565" s="44" t="n"/>
      <c r="E4565" s="32">
        <f>IF(B4565="","",IFERROR(INDEX(Client_List!$C:$C,MATCH(VALUE(B4565),Client_List!$A:$A,0)),""))</f>
        <v/>
      </c>
      <c r="F4565" s="53">
        <f>IF(B4565="","",IFERROR(INDEX(Client_List!$D:$D,MATCH(VALUE(B4565),Client_List!$A:$A,0)),""))</f>
        <v/>
      </c>
      <c r="G4565" s="53">
        <f>IF(B4565="","",IFERROR(INDEX(Client_List!$K:$K,MATCH(VALUE(B4565),Client_List!$A:$A,0)),""))</f>
        <v/>
      </c>
      <c r="H4565" s="32">
        <f>IF(B4565="","",IFERROR(INDEX(Client_List!$J:$J,MATCH(VALUE(B4565),Client_List!$A:$A,0)),""))</f>
        <v/>
      </c>
      <c r="I4565" s="70">
        <f>IF(B4565="","",IFERROR(A4565-LOOKUP(2,1/($B$4:$B4564=B4565),$A$4:$A4564),""))</f>
        <v/>
      </c>
      <c r="J4565" s="32">
        <f>IF(B4565="","",IFERROR(D4565/I4565,""))</f>
        <v/>
      </c>
      <c r="K4565" s="71">
        <f>IF(B4565="","",IFERROR(AVERAGEIFS($J$4:$J4565,$B$4:$B4565,B4565,$J$4:$J4565,"&gt;"&amp;0),""))</f>
        <v/>
      </c>
      <c r="L4565" s="11" t="n"/>
    </row>
    <row r="4566" ht="14" customHeight="1" s="72">
      <c r="A4566" s="83" t="n"/>
      <c r="B4566" s="81" t="n"/>
      <c r="C4566" s="69">
        <f>IF(B4566="","",IFERROR(INDEX(Client_List!$B:$B,MATCH(B4566,Client_List!$A:$A,0)),"⚠ NOT FOUND"))</f>
        <v/>
      </c>
      <c r="D4566" s="45" t="n"/>
      <c r="E4566" s="32">
        <f>IF(B4566="","",IFERROR(INDEX(Client_List!$C:$C,MATCH(VALUE(B4566),Client_List!$A:$A,0)),""))</f>
        <v/>
      </c>
      <c r="F4566" s="53">
        <f>IF(B4566="","",IFERROR(INDEX(Client_List!$D:$D,MATCH(VALUE(B4566),Client_List!$A:$A,0)),""))</f>
        <v/>
      </c>
      <c r="G4566" s="53">
        <f>IF(B4566="","",IFERROR(INDEX(Client_List!$K:$K,MATCH(VALUE(B4566),Client_List!$A:$A,0)),""))</f>
        <v/>
      </c>
      <c r="H4566" s="32">
        <f>IF(B4566="","",IFERROR(INDEX(Client_List!$J:$J,MATCH(VALUE(B4566),Client_List!$A:$A,0)),""))</f>
        <v/>
      </c>
      <c r="I4566" s="70">
        <f>IF(B4566="","",IFERROR(A4566-LOOKUP(2,1/($B$4:$B4565=B4566),$A$4:$A4565),""))</f>
        <v/>
      </c>
      <c r="J4566" s="32">
        <f>IF(B4566="","",IFERROR(D4566/I4566,""))</f>
        <v/>
      </c>
      <c r="K4566" s="71">
        <f>IF(B4566="","",IFERROR(AVERAGEIFS($J$4:$J4566,$B$4:$B4566,B4566,$J$4:$J4566,"&gt;"&amp;0),""))</f>
        <v/>
      </c>
      <c r="L4566" s="12" t="n"/>
    </row>
    <row r="4567" ht="14" customHeight="1" s="72">
      <c r="A4567" s="82" t="n"/>
      <c r="B4567" s="79" t="n"/>
      <c r="C4567" s="69">
        <f>IF(B4567="","",IFERROR(INDEX(Client_List!$B:$B,MATCH(B4567,Client_List!$A:$A,0)),"⚠ NOT FOUND"))</f>
        <v/>
      </c>
      <c r="D4567" s="44" t="n"/>
      <c r="E4567" s="32">
        <f>IF(B4567="","",IFERROR(INDEX(Client_List!$C:$C,MATCH(VALUE(B4567),Client_List!$A:$A,0)),""))</f>
        <v/>
      </c>
      <c r="F4567" s="53">
        <f>IF(B4567="","",IFERROR(INDEX(Client_List!$D:$D,MATCH(VALUE(B4567),Client_List!$A:$A,0)),""))</f>
        <v/>
      </c>
      <c r="G4567" s="53">
        <f>IF(B4567="","",IFERROR(INDEX(Client_List!$K:$K,MATCH(VALUE(B4567),Client_List!$A:$A,0)),""))</f>
        <v/>
      </c>
      <c r="H4567" s="32">
        <f>IF(B4567="","",IFERROR(INDEX(Client_List!$J:$J,MATCH(VALUE(B4567),Client_List!$A:$A,0)),""))</f>
        <v/>
      </c>
      <c r="I4567" s="70">
        <f>IF(B4567="","",IFERROR(A4567-LOOKUP(2,1/($B$4:$B4566=B4567),$A$4:$A4566),""))</f>
        <v/>
      </c>
      <c r="J4567" s="32">
        <f>IF(B4567="","",IFERROR(D4567/I4567,""))</f>
        <v/>
      </c>
      <c r="K4567" s="71">
        <f>IF(B4567="","",IFERROR(AVERAGEIFS($J$4:$J4567,$B$4:$B4567,B4567,$J$4:$J4567,"&gt;"&amp;0),""))</f>
        <v/>
      </c>
      <c r="L4567" s="11" t="n"/>
    </row>
    <row r="4568" ht="14" customHeight="1" s="72">
      <c r="A4568" s="83" t="n"/>
      <c r="B4568" s="81" t="n"/>
      <c r="C4568" s="69">
        <f>IF(B4568="","",IFERROR(INDEX(Client_List!$B:$B,MATCH(B4568,Client_List!$A:$A,0)),"⚠ NOT FOUND"))</f>
        <v/>
      </c>
      <c r="D4568" s="45" t="n"/>
      <c r="E4568" s="32">
        <f>IF(B4568="","",IFERROR(INDEX(Client_List!$C:$C,MATCH(VALUE(B4568),Client_List!$A:$A,0)),""))</f>
        <v/>
      </c>
      <c r="F4568" s="53">
        <f>IF(B4568="","",IFERROR(INDEX(Client_List!$D:$D,MATCH(VALUE(B4568),Client_List!$A:$A,0)),""))</f>
        <v/>
      </c>
      <c r="G4568" s="53">
        <f>IF(B4568="","",IFERROR(INDEX(Client_List!$K:$K,MATCH(VALUE(B4568),Client_List!$A:$A,0)),""))</f>
        <v/>
      </c>
      <c r="H4568" s="32">
        <f>IF(B4568="","",IFERROR(INDEX(Client_List!$J:$J,MATCH(VALUE(B4568),Client_List!$A:$A,0)),""))</f>
        <v/>
      </c>
      <c r="I4568" s="70">
        <f>IF(B4568="","",IFERROR(A4568-LOOKUP(2,1/($B$4:$B4567=B4568),$A$4:$A4567),""))</f>
        <v/>
      </c>
      <c r="J4568" s="32">
        <f>IF(B4568="","",IFERROR(D4568/I4568,""))</f>
        <v/>
      </c>
      <c r="K4568" s="71">
        <f>IF(B4568="","",IFERROR(AVERAGEIFS($J$4:$J4568,$B$4:$B4568,B4568,$J$4:$J4568,"&gt;"&amp;0),""))</f>
        <v/>
      </c>
      <c r="L4568" s="12" t="n"/>
    </row>
    <row r="4569" ht="14" customHeight="1" s="72">
      <c r="A4569" s="82" t="n"/>
      <c r="B4569" s="79" t="n"/>
      <c r="C4569" s="69">
        <f>IF(B4569="","",IFERROR(INDEX(Client_List!$B:$B,MATCH(B4569,Client_List!$A:$A,0)),"⚠ NOT FOUND"))</f>
        <v/>
      </c>
      <c r="D4569" s="44" t="n"/>
      <c r="E4569" s="32">
        <f>IF(B4569="","",IFERROR(INDEX(Client_List!$C:$C,MATCH(VALUE(B4569),Client_List!$A:$A,0)),""))</f>
        <v/>
      </c>
      <c r="F4569" s="53">
        <f>IF(B4569="","",IFERROR(INDEX(Client_List!$D:$D,MATCH(VALUE(B4569),Client_List!$A:$A,0)),""))</f>
        <v/>
      </c>
      <c r="G4569" s="53">
        <f>IF(B4569="","",IFERROR(INDEX(Client_List!$K:$K,MATCH(VALUE(B4569),Client_List!$A:$A,0)),""))</f>
        <v/>
      </c>
      <c r="H4569" s="32">
        <f>IF(B4569="","",IFERROR(INDEX(Client_List!$J:$J,MATCH(VALUE(B4569),Client_List!$A:$A,0)),""))</f>
        <v/>
      </c>
      <c r="I4569" s="70">
        <f>IF(B4569="","",IFERROR(A4569-LOOKUP(2,1/($B$4:$B4568=B4569),$A$4:$A4568),""))</f>
        <v/>
      </c>
      <c r="J4569" s="32">
        <f>IF(B4569="","",IFERROR(D4569/I4569,""))</f>
        <v/>
      </c>
      <c r="K4569" s="71">
        <f>IF(B4569="","",IFERROR(AVERAGEIFS($J$4:$J4569,$B$4:$B4569,B4569,$J$4:$J4569,"&gt;"&amp;0),""))</f>
        <v/>
      </c>
      <c r="L4569" s="11" t="n"/>
    </row>
    <row r="4570" ht="14" customHeight="1" s="72">
      <c r="A4570" s="83" t="n"/>
      <c r="B4570" s="81" t="n"/>
      <c r="C4570" s="69">
        <f>IF(B4570="","",IFERROR(INDEX(Client_List!$B:$B,MATCH(B4570,Client_List!$A:$A,0)),"⚠ NOT FOUND"))</f>
        <v/>
      </c>
      <c r="D4570" s="45" t="n"/>
      <c r="E4570" s="32">
        <f>IF(B4570="","",IFERROR(INDEX(Client_List!$C:$C,MATCH(VALUE(B4570),Client_List!$A:$A,0)),""))</f>
        <v/>
      </c>
      <c r="F4570" s="53">
        <f>IF(B4570="","",IFERROR(INDEX(Client_List!$D:$D,MATCH(VALUE(B4570),Client_List!$A:$A,0)),""))</f>
        <v/>
      </c>
      <c r="G4570" s="53">
        <f>IF(B4570="","",IFERROR(INDEX(Client_List!$K:$K,MATCH(VALUE(B4570),Client_List!$A:$A,0)),""))</f>
        <v/>
      </c>
      <c r="H4570" s="32">
        <f>IF(B4570="","",IFERROR(INDEX(Client_List!$J:$J,MATCH(VALUE(B4570),Client_List!$A:$A,0)),""))</f>
        <v/>
      </c>
      <c r="I4570" s="70">
        <f>IF(B4570="","",IFERROR(A4570-LOOKUP(2,1/($B$4:$B4569=B4570),$A$4:$A4569),""))</f>
        <v/>
      </c>
      <c r="J4570" s="32">
        <f>IF(B4570="","",IFERROR(D4570/I4570,""))</f>
        <v/>
      </c>
      <c r="K4570" s="71">
        <f>IF(B4570="","",IFERROR(AVERAGEIFS($J$4:$J4570,$B$4:$B4570,B4570,$J$4:$J4570,"&gt;"&amp;0),""))</f>
        <v/>
      </c>
      <c r="L4570" s="12" t="n"/>
    </row>
    <row r="4571" ht="14" customHeight="1" s="72">
      <c r="A4571" s="82" t="n"/>
      <c r="B4571" s="79" t="n"/>
      <c r="C4571" s="69">
        <f>IF(B4571="","",IFERROR(INDEX(Client_List!$B:$B,MATCH(B4571,Client_List!$A:$A,0)),"⚠ NOT FOUND"))</f>
        <v/>
      </c>
      <c r="D4571" s="44" t="n"/>
      <c r="E4571" s="32">
        <f>IF(B4571="","",IFERROR(INDEX(Client_List!$C:$C,MATCH(VALUE(B4571),Client_List!$A:$A,0)),""))</f>
        <v/>
      </c>
      <c r="F4571" s="53">
        <f>IF(B4571="","",IFERROR(INDEX(Client_List!$D:$D,MATCH(VALUE(B4571),Client_List!$A:$A,0)),""))</f>
        <v/>
      </c>
      <c r="G4571" s="53">
        <f>IF(B4571="","",IFERROR(INDEX(Client_List!$K:$K,MATCH(VALUE(B4571),Client_List!$A:$A,0)),""))</f>
        <v/>
      </c>
      <c r="H4571" s="32">
        <f>IF(B4571="","",IFERROR(INDEX(Client_List!$J:$J,MATCH(VALUE(B4571),Client_List!$A:$A,0)),""))</f>
        <v/>
      </c>
      <c r="I4571" s="70">
        <f>IF(B4571="","",IFERROR(A4571-LOOKUP(2,1/($B$4:$B4570=B4571),$A$4:$A4570),""))</f>
        <v/>
      </c>
      <c r="J4571" s="32">
        <f>IF(B4571="","",IFERROR(D4571/I4571,""))</f>
        <v/>
      </c>
      <c r="K4571" s="71">
        <f>IF(B4571="","",IFERROR(AVERAGEIFS($J$4:$J4571,$B$4:$B4571,B4571,$J$4:$J4571,"&gt;"&amp;0),""))</f>
        <v/>
      </c>
      <c r="L4571" s="11" t="n"/>
    </row>
    <row r="4572" ht="14" customHeight="1" s="72">
      <c r="A4572" s="83" t="n"/>
      <c r="B4572" s="81" t="n"/>
      <c r="C4572" s="69">
        <f>IF(B4572="","",IFERROR(INDEX(Client_List!$B:$B,MATCH(B4572,Client_List!$A:$A,0)),"⚠ NOT FOUND"))</f>
        <v/>
      </c>
      <c r="D4572" s="45" t="n"/>
      <c r="E4572" s="32">
        <f>IF(B4572="","",IFERROR(INDEX(Client_List!$C:$C,MATCH(VALUE(B4572),Client_List!$A:$A,0)),""))</f>
        <v/>
      </c>
      <c r="F4572" s="53">
        <f>IF(B4572="","",IFERROR(INDEX(Client_List!$D:$D,MATCH(VALUE(B4572),Client_List!$A:$A,0)),""))</f>
        <v/>
      </c>
      <c r="G4572" s="53">
        <f>IF(B4572="","",IFERROR(INDEX(Client_List!$K:$K,MATCH(VALUE(B4572),Client_List!$A:$A,0)),""))</f>
        <v/>
      </c>
      <c r="H4572" s="32">
        <f>IF(B4572="","",IFERROR(INDEX(Client_List!$J:$J,MATCH(VALUE(B4572),Client_List!$A:$A,0)),""))</f>
        <v/>
      </c>
      <c r="I4572" s="70">
        <f>IF(B4572="","",IFERROR(A4572-LOOKUP(2,1/($B$4:$B4571=B4572),$A$4:$A4571),""))</f>
        <v/>
      </c>
      <c r="J4572" s="32">
        <f>IF(B4572="","",IFERROR(D4572/I4572,""))</f>
        <v/>
      </c>
      <c r="K4572" s="71">
        <f>IF(B4572="","",IFERROR(AVERAGEIFS($J$4:$J4572,$B$4:$B4572,B4572,$J$4:$J4572,"&gt;"&amp;0),""))</f>
        <v/>
      </c>
      <c r="L4572" s="12" t="n"/>
    </row>
    <row r="4573" ht="14" customHeight="1" s="72">
      <c r="A4573" s="82" t="n"/>
      <c r="B4573" s="79" t="n"/>
      <c r="C4573" s="69">
        <f>IF(B4573="","",IFERROR(INDEX(Client_List!$B:$B,MATCH(B4573,Client_List!$A:$A,0)),"⚠ NOT FOUND"))</f>
        <v/>
      </c>
      <c r="D4573" s="44" t="n"/>
      <c r="E4573" s="32">
        <f>IF(B4573="","",IFERROR(INDEX(Client_List!$C:$C,MATCH(VALUE(B4573),Client_List!$A:$A,0)),""))</f>
        <v/>
      </c>
      <c r="F4573" s="53">
        <f>IF(B4573="","",IFERROR(INDEX(Client_List!$D:$D,MATCH(VALUE(B4573),Client_List!$A:$A,0)),""))</f>
        <v/>
      </c>
      <c r="G4573" s="53">
        <f>IF(B4573="","",IFERROR(INDEX(Client_List!$K:$K,MATCH(VALUE(B4573),Client_List!$A:$A,0)),""))</f>
        <v/>
      </c>
      <c r="H4573" s="32">
        <f>IF(B4573="","",IFERROR(INDEX(Client_List!$J:$J,MATCH(VALUE(B4573),Client_List!$A:$A,0)),""))</f>
        <v/>
      </c>
      <c r="I4573" s="70">
        <f>IF(B4573="","",IFERROR(A4573-LOOKUP(2,1/($B$4:$B4572=B4573),$A$4:$A4572),""))</f>
        <v/>
      </c>
      <c r="J4573" s="32">
        <f>IF(B4573="","",IFERROR(D4573/I4573,""))</f>
        <v/>
      </c>
      <c r="K4573" s="71">
        <f>IF(B4573="","",IFERROR(AVERAGEIFS($J$4:$J4573,$B$4:$B4573,B4573,$J$4:$J4573,"&gt;"&amp;0),""))</f>
        <v/>
      </c>
      <c r="L4573" s="11" t="n"/>
    </row>
    <row r="4574" ht="14" customHeight="1" s="72">
      <c r="A4574" s="83" t="n"/>
      <c r="B4574" s="81" t="n"/>
      <c r="C4574" s="69">
        <f>IF(B4574="","",IFERROR(INDEX(Client_List!$B:$B,MATCH(B4574,Client_List!$A:$A,0)),"⚠ NOT FOUND"))</f>
        <v/>
      </c>
      <c r="D4574" s="45" t="n"/>
      <c r="E4574" s="32">
        <f>IF(B4574="","",IFERROR(INDEX(Client_List!$C:$C,MATCH(VALUE(B4574),Client_List!$A:$A,0)),""))</f>
        <v/>
      </c>
      <c r="F4574" s="53">
        <f>IF(B4574="","",IFERROR(INDEX(Client_List!$D:$D,MATCH(VALUE(B4574),Client_List!$A:$A,0)),""))</f>
        <v/>
      </c>
      <c r="G4574" s="53">
        <f>IF(B4574="","",IFERROR(INDEX(Client_List!$K:$K,MATCH(VALUE(B4574),Client_List!$A:$A,0)),""))</f>
        <v/>
      </c>
      <c r="H4574" s="32">
        <f>IF(B4574="","",IFERROR(INDEX(Client_List!$J:$J,MATCH(VALUE(B4574),Client_List!$A:$A,0)),""))</f>
        <v/>
      </c>
      <c r="I4574" s="70">
        <f>IF(B4574="","",IFERROR(A4574-LOOKUP(2,1/($B$4:$B4573=B4574),$A$4:$A4573),""))</f>
        <v/>
      </c>
      <c r="J4574" s="32">
        <f>IF(B4574="","",IFERROR(D4574/I4574,""))</f>
        <v/>
      </c>
      <c r="K4574" s="71">
        <f>IF(B4574="","",IFERROR(AVERAGEIFS($J$4:$J4574,$B$4:$B4574,B4574,$J$4:$J4574,"&gt;"&amp;0),""))</f>
        <v/>
      </c>
      <c r="L4574" s="12" t="n"/>
    </row>
    <row r="4575" ht="14" customHeight="1" s="72">
      <c r="A4575" s="82" t="n"/>
      <c r="B4575" s="79" t="n"/>
      <c r="C4575" s="69">
        <f>IF(B4575="","",IFERROR(INDEX(Client_List!$B:$B,MATCH(B4575,Client_List!$A:$A,0)),"⚠ NOT FOUND"))</f>
        <v/>
      </c>
      <c r="D4575" s="44" t="n"/>
      <c r="E4575" s="32">
        <f>IF(B4575="","",IFERROR(INDEX(Client_List!$C:$C,MATCH(VALUE(B4575),Client_List!$A:$A,0)),""))</f>
        <v/>
      </c>
      <c r="F4575" s="53">
        <f>IF(B4575="","",IFERROR(INDEX(Client_List!$D:$D,MATCH(VALUE(B4575),Client_List!$A:$A,0)),""))</f>
        <v/>
      </c>
      <c r="G4575" s="53">
        <f>IF(B4575="","",IFERROR(INDEX(Client_List!$K:$K,MATCH(VALUE(B4575),Client_List!$A:$A,0)),""))</f>
        <v/>
      </c>
      <c r="H4575" s="32">
        <f>IF(B4575="","",IFERROR(INDEX(Client_List!$J:$J,MATCH(VALUE(B4575),Client_List!$A:$A,0)),""))</f>
        <v/>
      </c>
      <c r="I4575" s="70">
        <f>IF(B4575="","",IFERROR(A4575-LOOKUP(2,1/($B$4:$B4574=B4575),$A$4:$A4574),""))</f>
        <v/>
      </c>
      <c r="J4575" s="32">
        <f>IF(B4575="","",IFERROR(D4575/I4575,""))</f>
        <v/>
      </c>
      <c r="K4575" s="71">
        <f>IF(B4575="","",IFERROR(AVERAGEIFS($J$4:$J4575,$B$4:$B4575,B4575,$J$4:$J4575,"&gt;"&amp;0),""))</f>
        <v/>
      </c>
      <c r="L4575" s="11" t="n"/>
    </row>
    <row r="4576" ht="14" customHeight="1" s="72">
      <c r="A4576" s="83" t="n"/>
      <c r="B4576" s="81" t="n"/>
      <c r="C4576" s="69">
        <f>IF(B4576="","",IFERROR(INDEX(Client_List!$B:$B,MATCH(B4576,Client_List!$A:$A,0)),"⚠ NOT FOUND"))</f>
        <v/>
      </c>
      <c r="D4576" s="45" t="n"/>
      <c r="E4576" s="32">
        <f>IF(B4576="","",IFERROR(INDEX(Client_List!$C:$C,MATCH(VALUE(B4576),Client_List!$A:$A,0)),""))</f>
        <v/>
      </c>
      <c r="F4576" s="53">
        <f>IF(B4576="","",IFERROR(INDEX(Client_List!$D:$D,MATCH(VALUE(B4576),Client_List!$A:$A,0)),""))</f>
        <v/>
      </c>
      <c r="G4576" s="53">
        <f>IF(B4576="","",IFERROR(INDEX(Client_List!$K:$K,MATCH(VALUE(B4576),Client_List!$A:$A,0)),""))</f>
        <v/>
      </c>
      <c r="H4576" s="32">
        <f>IF(B4576="","",IFERROR(INDEX(Client_List!$J:$J,MATCH(VALUE(B4576),Client_List!$A:$A,0)),""))</f>
        <v/>
      </c>
      <c r="I4576" s="70">
        <f>IF(B4576="","",IFERROR(A4576-LOOKUP(2,1/($B$4:$B4575=B4576),$A$4:$A4575),""))</f>
        <v/>
      </c>
      <c r="J4576" s="32">
        <f>IF(B4576="","",IFERROR(D4576/I4576,""))</f>
        <v/>
      </c>
      <c r="K4576" s="71">
        <f>IF(B4576="","",IFERROR(AVERAGEIFS($J$4:$J4576,$B$4:$B4576,B4576,$J$4:$J4576,"&gt;"&amp;0),""))</f>
        <v/>
      </c>
      <c r="L4576" s="12" t="n"/>
    </row>
    <row r="4577" ht="14" customHeight="1" s="72">
      <c r="A4577" s="82" t="n"/>
      <c r="B4577" s="79" t="n"/>
      <c r="C4577" s="69">
        <f>IF(B4577="","",IFERROR(INDEX(Client_List!$B:$B,MATCH(B4577,Client_List!$A:$A,0)),"⚠ NOT FOUND"))</f>
        <v/>
      </c>
      <c r="D4577" s="44" t="n"/>
      <c r="E4577" s="32">
        <f>IF(B4577="","",IFERROR(INDEX(Client_List!$C:$C,MATCH(VALUE(B4577),Client_List!$A:$A,0)),""))</f>
        <v/>
      </c>
      <c r="F4577" s="53">
        <f>IF(B4577="","",IFERROR(INDEX(Client_List!$D:$D,MATCH(VALUE(B4577),Client_List!$A:$A,0)),""))</f>
        <v/>
      </c>
      <c r="G4577" s="53">
        <f>IF(B4577="","",IFERROR(INDEX(Client_List!$K:$K,MATCH(VALUE(B4577),Client_List!$A:$A,0)),""))</f>
        <v/>
      </c>
      <c r="H4577" s="32">
        <f>IF(B4577="","",IFERROR(INDEX(Client_List!$J:$J,MATCH(VALUE(B4577),Client_List!$A:$A,0)),""))</f>
        <v/>
      </c>
      <c r="I4577" s="70">
        <f>IF(B4577="","",IFERROR(A4577-LOOKUP(2,1/($B$4:$B4576=B4577),$A$4:$A4576),""))</f>
        <v/>
      </c>
      <c r="J4577" s="32">
        <f>IF(B4577="","",IFERROR(D4577/I4577,""))</f>
        <v/>
      </c>
      <c r="K4577" s="71">
        <f>IF(B4577="","",IFERROR(AVERAGEIFS($J$4:$J4577,$B$4:$B4577,B4577,$J$4:$J4577,"&gt;"&amp;0),""))</f>
        <v/>
      </c>
      <c r="L4577" s="11" t="n"/>
    </row>
    <row r="4578" ht="14" customHeight="1" s="72">
      <c r="A4578" s="83" t="n"/>
      <c r="B4578" s="81" t="n"/>
      <c r="C4578" s="69">
        <f>IF(B4578="","",IFERROR(INDEX(Client_List!$B:$B,MATCH(B4578,Client_List!$A:$A,0)),"⚠ NOT FOUND"))</f>
        <v/>
      </c>
      <c r="D4578" s="45" t="n"/>
      <c r="E4578" s="32">
        <f>IF(B4578="","",IFERROR(INDEX(Client_List!$C:$C,MATCH(VALUE(B4578),Client_List!$A:$A,0)),""))</f>
        <v/>
      </c>
      <c r="F4578" s="53">
        <f>IF(B4578="","",IFERROR(INDEX(Client_List!$D:$D,MATCH(VALUE(B4578),Client_List!$A:$A,0)),""))</f>
        <v/>
      </c>
      <c r="G4578" s="53">
        <f>IF(B4578="","",IFERROR(INDEX(Client_List!$K:$K,MATCH(VALUE(B4578),Client_List!$A:$A,0)),""))</f>
        <v/>
      </c>
      <c r="H4578" s="32">
        <f>IF(B4578="","",IFERROR(INDEX(Client_List!$J:$J,MATCH(VALUE(B4578),Client_List!$A:$A,0)),""))</f>
        <v/>
      </c>
      <c r="I4578" s="70">
        <f>IF(B4578="","",IFERROR(A4578-LOOKUP(2,1/($B$4:$B4577=B4578),$A$4:$A4577),""))</f>
        <v/>
      </c>
      <c r="J4578" s="32">
        <f>IF(B4578="","",IFERROR(D4578/I4578,""))</f>
        <v/>
      </c>
      <c r="K4578" s="71">
        <f>IF(B4578="","",IFERROR(AVERAGEIFS($J$4:$J4578,$B$4:$B4578,B4578,$J$4:$J4578,"&gt;"&amp;0),""))</f>
        <v/>
      </c>
      <c r="L4578" s="12" t="n"/>
    </row>
    <row r="4579" ht="14" customHeight="1" s="72">
      <c r="A4579" s="82" t="n"/>
      <c r="B4579" s="79" t="n"/>
      <c r="C4579" s="69">
        <f>IF(B4579="","",IFERROR(INDEX(Client_List!$B:$B,MATCH(B4579,Client_List!$A:$A,0)),"⚠ NOT FOUND"))</f>
        <v/>
      </c>
      <c r="D4579" s="44" t="n"/>
      <c r="E4579" s="32">
        <f>IF(B4579="","",IFERROR(INDEX(Client_List!$C:$C,MATCH(VALUE(B4579),Client_List!$A:$A,0)),""))</f>
        <v/>
      </c>
      <c r="F4579" s="53">
        <f>IF(B4579="","",IFERROR(INDEX(Client_List!$D:$D,MATCH(VALUE(B4579),Client_List!$A:$A,0)),""))</f>
        <v/>
      </c>
      <c r="G4579" s="53">
        <f>IF(B4579="","",IFERROR(INDEX(Client_List!$K:$K,MATCH(VALUE(B4579),Client_List!$A:$A,0)),""))</f>
        <v/>
      </c>
      <c r="H4579" s="32">
        <f>IF(B4579="","",IFERROR(INDEX(Client_List!$J:$J,MATCH(VALUE(B4579),Client_List!$A:$A,0)),""))</f>
        <v/>
      </c>
      <c r="I4579" s="70">
        <f>IF(B4579="","",IFERROR(A4579-LOOKUP(2,1/($B$4:$B4578=B4579),$A$4:$A4578),""))</f>
        <v/>
      </c>
      <c r="J4579" s="32">
        <f>IF(B4579="","",IFERROR(D4579/I4579,""))</f>
        <v/>
      </c>
      <c r="K4579" s="71">
        <f>IF(B4579="","",IFERROR(AVERAGEIFS($J$4:$J4579,$B$4:$B4579,B4579,$J$4:$J4579,"&gt;"&amp;0),""))</f>
        <v/>
      </c>
      <c r="L4579" s="11" t="n"/>
    </row>
    <row r="4580" ht="14" customHeight="1" s="72">
      <c r="A4580" s="83" t="n"/>
      <c r="B4580" s="81" t="n"/>
      <c r="C4580" s="69">
        <f>IF(B4580="","",IFERROR(INDEX(Client_List!$B:$B,MATCH(B4580,Client_List!$A:$A,0)),"⚠ NOT FOUND"))</f>
        <v/>
      </c>
      <c r="D4580" s="45" t="n"/>
      <c r="E4580" s="32">
        <f>IF(B4580="","",IFERROR(INDEX(Client_List!$C:$C,MATCH(VALUE(B4580),Client_List!$A:$A,0)),""))</f>
        <v/>
      </c>
      <c r="F4580" s="53">
        <f>IF(B4580="","",IFERROR(INDEX(Client_List!$D:$D,MATCH(VALUE(B4580),Client_List!$A:$A,0)),""))</f>
        <v/>
      </c>
      <c r="G4580" s="53">
        <f>IF(B4580="","",IFERROR(INDEX(Client_List!$K:$K,MATCH(VALUE(B4580),Client_List!$A:$A,0)),""))</f>
        <v/>
      </c>
      <c r="H4580" s="32">
        <f>IF(B4580="","",IFERROR(INDEX(Client_List!$J:$J,MATCH(VALUE(B4580),Client_List!$A:$A,0)),""))</f>
        <v/>
      </c>
      <c r="I4580" s="70">
        <f>IF(B4580="","",IFERROR(A4580-LOOKUP(2,1/($B$4:$B4579=B4580),$A$4:$A4579),""))</f>
        <v/>
      </c>
      <c r="J4580" s="32">
        <f>IF(B4580="","",IFERROR(D4580/I4580,""))</f>
        <v/>
      </c>
      <c r="K4580" s="71">
        <f>IF(B4580="","",IFERROR(AVERAGEIFS($J$4:$J4580,$B$4:$B4580,B4580,$J$4:$J4580,"&gt;"&amp;0),""))</f>
        <v/>
      </c>
      <c r="L4580" s="12" t="n"/>
    </row>
    <row r="4581" ht="14" customHeight="1" s="72">
      <c r="A4581" s="82" t="n"/>
      <c r="B4581" s="79" t="n"/>
      <c r="C4581" s="69">
        <f>IF(B4581="","",IFERROR(INDEX(Client_List!$B:$B,MATCH(B4581,Client_List!$A:$A,0)),"⚠ NOT FOUND"))</f>
        <v/>
      </c>
      <c r="D4581" s="44" t="n"/>
      <c r="E4581" s="32">
        <f>IF(B4581="","",IFERROR(INDEX(Client_List!$C:$C,MATCH(VALUE(B4581),Client_List!$A:$A,0)),""))</f>
        <v/>
      </c>
      <c r="F4581" s="53">
        <f>IF(B4581="","",IFERROR(INDEX(Client_List!$D:$D,MATCH(VALUE(B4581),Client_List!$A:$A,0)),""))</f>
        <v/>
      </c>
      <c r="G4581" s="53">
        <f>IF(B4581="","",IFERROR(INDEX(Client_List!$K:$K,MATCH(VALUE(B4581),Client_List!$A:$A,0)),""))</f>
        <v/>
      </c>
      <c r="H4581" s="32">
        <f>IF(B4581="","",IFERROR(INDEX(Client_List!$J:$J,MATCH(VALUE(B4581),Client_List!$A:$A,0)),""))</f>
        <v/>
      </c>
      <c r="I4581" s="70">
        <f>IF(B4581="","",IFERROR(A4581-LOOKUP(2,1/($B$4:$B4580=B4581),$A$4:$A4580),""))</f>
        <v/>
      </c>
      <c r="J4581" s="32">
        <f>IF(B4581="","",IFERROR(D4581/I4581,""))</f>
        <v/>
      </c>
      <c r="K4581" s="71">
        <f>IF(B4581="","",IFERROR(AVERAGEIFS($J$4:$J4581,$B$4:$B4581,B4581,$J$4:$J4581,"&gt;"&amp;0),""))</f>
        <v/>
      </c>
      <c r="L4581" s="11" t="n"/>
    </row>
    <row r="4582" ht="14" customHeight="1" s="72">
      <c r="A4582" s="83" t="n"/>
      <c r="B4582" s="81" t="n"/>
      <c r="C4582" s="69">
        <f>IF(B4582="","",IFERROR(INDEX(Client_List!$B:$B,MATCH(B4582,Client_List!$A:$A,0)),"⚠ NOT FOUND"))</f>
        <v/>
      </c>
      <c r="D4582" s="45" t="n"/>
      <c r="E4582" s="32">
        <f>IF(B4582="","",IFERROR(INDEX(Client_List!$C:$C,MATCH(VALUE(B4582),Client_List!$A:$A,0)),""))</f>
        <v/>
      </c>
      <c r="F4582" s="53">
        <f>IF(B4582="","",IFERROR(INDEX(Client_List!$D:$D,MATCH(VALUE(B4582),Client_List!$A:$A,0)),""))</f>
        <v/>
      </c>
      <c r="G4582" s="53">
        <f>IF(B4582="","",IFERROR(INDEX(Client_List!$K:$K,MATCH(VALUE(B4582),Client_List!$A:$A,0)),""))</f>
        <v/>
      </c>
      <c r="H4582" s="32">
        <f>IF(B4582="","",IFERROR(INDEX(Client_List!$J:$J,MATCH(VALUE(B4582),Client_List!$A:$A,0)),""))</f>
        <v/>
      </c>
      <c r="I4582" s="70">
        <f>IF(B4582="","",IFERROR(A4582-LOOKUP(2,1/($B$4:$B4581=B4582),$A$4:$A4581),""))</f>
        <v/>
      </c>
      <c r="J4582" s="32">
        <f>IF(B4582="","",IFERROR(D4582/I4582,""))</f>
        <v/>
      </c>
      <c r="K4582" s="71">
        <f>IF(B4582="","",IFERROR(AVERAGEIFS($J$4:$J4582,$B$4:$B4582,B4582,$J$4:$J4582,"&gt;"&amp;0),""))</f>
        <v/>
      </c>
      <c r="L4582" s="12" t="n"/>
    </row>
    <row r="4583" ht="14" customHeight="1" s="72">
      <c r="A4583" s="82" t="n"/>
      <c r="B4583" s="79" t="n"/>
      <c r="C4583" s="69">
        <f>IF(B4583="","",IFERROR(INDEX(Client_List!$B:$B,MATCH(B4583,Client_List!$A:$A,0)),"⚠ NOT FOUND"))</f>
        <v/>
      </c>
      <c r="D4583" s="44" t="n"/>
      <c r="E4583" s="32">
        <f>IF(B4583="","",IFERROR(INDEX(Client_List!$C:$C,MATCH(VALUE(B4583),Client_List!$A:$A,0)),""))</f>
        <v/>
      </c>
      <c r="F4583" s="53">
        <f>IF(B4583="","",IFERROR(INDEX(Client_List!$D:$D,MATCH(VALUE(B4583),Client_List!$A:$A,0)),""))</f>
        <v/>
      </c>
      <c r="G4583" s="53">
        <f>IF(B4583="","",IFERROR(INDEX(Client_List!$K:$K,MATCH(VALUE(B4583),Client_List!$A:$A,0)),""))</f>
        <v/>
      </c>
      <c r="H4583" s="32">
        <f>IF(B4583="","",IFERROR(INDEX(Client_List!$J:$J,MATCH(VALUE(B4583),Client_List!$A:$A,0)),""))</f>
        <v/>
      </c>
      <c r="I4583" s="70">
        <f>IF(B4583="","",IFERROR(A4583-LOOKUP(2,1/($B$4:$B4582=B4583),$A$4:$A4582),""))</f>
        <v/>
      </c>
      <c r="J4583" s="32">
        <f>IF(B4583="","",IFERROR(D4583/I4583,""))</f>
        <v/>
      </c>
      <c r="K4583" s="71">
        <f>IF(B4583="","",IFERROR(AVERAGEIFS($J$4:$J4583,$B$4:$B4583,B4583,$J$4:$J4583,"&gt;"&amp;0),""))</f>
        <v/>
      </c>
      <c r="L4583" s="11" t="n"/>
    </row>
    <row r="4584" ht="14" customHeight="1" s="72">
      <c r="A4584" s="83" t="n"/>
      <c r="B4584" s="81" t="n"/>
      <c r="C4584" s="69">
        <f>IF(B4584="","",IFERROR(INDEX(Client_List!$B:$B,MATCH(B4584,Client_List!$A:$A,0)),"⚠ NOT FOUND"))</f>
        <v/>
      </c>
      <c r="D4584" s="45" t="n"/>
      <c r="E4584" s="32">
        <f>IF(B4584="","",IFERROR(INDEX(Client_List!$C:$C,MATCH(VALUE(B4584),Client_List!$A:$A,0)),""))</f>
        <v/>
      </c>
      <c r="F4584" s="53">
        <f>IF(B4584="","",IFERROR(INDEX(Client_List!$D:$D,MATCH(VALUE(B4584),Client_List!$A:$A,0)),""))</f>
        <v/>
      </c>
      <c r="G4584" s="53">
        <f>IF(B4584="","",IFERROR(INDEX(Client_List!$K:$K,MATCH(VALUE(B4584),Client_List!$A:$A,0)),""))</f>
        <v/>
      </c>
      <c r="H4584" s="32">
        <f>IF(B4584="","",IFERROR(INDEX(Client_List!$J:$J,MATCH(VALUE(B4584),Client_List!$A:$A,0)),""))</f>
        <v/>
      </c>
      <c r="I4584" s="70">
        <f>IF(B4584="","",IFERROR(A4584-LOOKUP(2,1/($B$4:$B4583=B4584),$A$4:$A4583),""))</f>
        <v/>
      </c>
      <c r="J4584" s="32">
        <f>IF(B4584="","",IFERROR(D4584/I4584,""))</f>
        <v/>
      </c>
      <c r="K4584" s="71">
        <f>IF(B4584="","",IFERROR(AVERAGEIFS($J$4:$J4584,$B$4:$B4584,B4584,$J$4:$J4584,"&gt;"&amp;0),""))</f>
        <v/>
      </c>
      <c r="L4584" s="12" t="n"/>
    </row>
    <row r="4585" ht="14" customHeight="1" s="72">
      <c r="A4585" s="82" t="n"/>
      <c r="B4585" s="79" t="n"/>
      <c r="C4585" s="69">
        <f>IF(B4585="","",IFERROR(INDEX(Client_List!$B:$B,MATCH(B4585,Client_List!$A:$A,0)),"⚠ NOT FOUND"))</f>
        <v/>
      </c>
      <c r="D4585" s="44" t="n"/>
      <c r="E4585" s="32">
        <f>IF(B4585="","",IFERROR(INDEX(Client_List!$C:$C,MATCH(VALUE(B4585),Client_List!$A:$A,0)),""))</f>
        <v/>
      </c>
      <c r="F4585" s="53">
        <f>IF(B4585="","",IFERROR(INDEX(Client_List!$D:$D,MATCH(VALUE(B4585),Client_List!$A:$A,0)),""))</f>
        <v/>
      </c>
      <c r="G4585" s="53">
        <f>IF(B4585="","",IFERROR(INDEX(Client_List!$K:$K,MATCH(VALUE(B4585),Client_List!$A:$A,0)),""))</f>
        <v/>
      </c>
      <c r="H4585" s="32">
        <f>IF(B4585="","",IFERROR(INDEX(Client_List!$J:$J,MATCH(VALUE(B4585),Client_List!$A:$A,0)),""))</f>
        <v/>
      </c>
      <c r="I4585" s="70">
        <f>IF(B4585="","",IFERROR(A4585-LOOKUP(2,1/($B$4:$B4584=B4585),$A$4:$A4584),""))</f>
        <v/>
      </c>
      <c r="J4585" s="32">
        <f>IF(B4585="","",IFERROR(D4585/I4585,""))</f>
        <v/>
      </c>
      <c r="K4585" s="71">
        <f>IF(B4585="","",IFERROR(AVERAGEIFS($J$4:$J4585,$B$4:$B4585,B4585,$J$4:$J4585,"&gt;"&amp;0),""))</f>
        <v/>
      </c>
      <c r="L4585" s="11" t="n"/>
    </row>
    <row r="4586" ht="14" customHeight="1" s="72">
      <c r="A4586" s="83" t="n"/>
      <c r="B4586" s="81" t="n"/>
      <c r="C4586" s="69">
        <f>IF(B4586="","",IFERROR(INDEX(Client_List!$B:$B,MATCH(B4586,Client_List!$A:$A,0)),"⚠ NOT FOUND"))</f>
        <v/>
      </c>
      <c r="D4586" s="45" t="n"/>
      <c r="E4586" s="32">
        <f>IF(B4586="","",IFERROR(INDEX(Client_List!$C:$C,MATCH(VALUE(B4586),Client_List!$A:$A,0)),""))</f>
        <v/>
      </c>
      <c r="F4586" s="53">
        <f>IF(B4586="","",IFERROR(INDEX(Client_List!$D:$D,MATCH(VALUE(B4586),Client_List!$A:$A,0)),""))</f>
        <v/>
      </c>
      <c r="G4586" s="53">
        <f>IF(B4586="","",IFERROR(INDEX(Client_List!$K:$K,MATCH(VALUE(B4586),Client_List!$A:$A,0)),""))</f>
        <v/>
      </c>
      <c r="H4586" s="32">
        <f>IF(B4586="","",IFERROR(INDEX(Client_List!$J:$J,MATCH(VALUE(B4586),Client_List!$A:$A,0)),""))</f>
        <v/>
      </c>
      <c r="I4586" s="70">
        <f>IF(B4586="","",IFERROR(A4586-LOOKUP(2,1/($B$4:$B4585=B4586),$A$4:$A4585),""))</f>
        <v/>
      </c>
      <c r="J4586" s="32">
        <f>IF(B4586="","",IFERROR(D4586/I4586,""))</f>
        <v/>
      </c>
      <c r="K4586" s="71">
        <f>IF(B4586="","",IFERROR(AVERAGEIFS($J$4:$J4586,$B$4:$B4586,B4586,$J$4:$J4586,"&gt;"&amp;0),""))</f>
        <v/>
      </c>
      <c r="L4586" s="12" t="n"/>
    </row>
    <row r="4587" ht="14" customHeight="1" s="72">
      <c r="A4587" s="82" t="n"/>
      <c r="B4587" s="79" t="n"/>
      <c r="C4587" s="69">
        <f>IF(B4587="","",IFERROR(INDEX(Client_List!$B:$B,MATCH(B4587,Client_List!$A:$A,0)),"⚠ NOT FOUND"))</f>
        <v/>
      </c>
      <c r="D4587" s="44" t="n"/>
      <c r="E4587" s="32">
        <f>IF(B4587="","",IFERROR(INDEX(Client_List!$C:$C,MATCH(VALUE(B4587),Client_List!$A:$A,0)),""))</f>
        <v/>
      </c>
      <c r="F4587" s="53">
        <f>IF(B4587="","",IFERROR(INDEX(Client_List!$D:$D,MATCH(VALUE(B4587),Client_List!$A:$A,0)),""))</f>
        <v/>
      </c>
      <c r="G4587" s="53">
        <f>IF(B4587="","",IFERROR(INDEX(Client_List!$K:$K,MATCH(VALUE(B4587),Client_List!$A:$A,0)),""))</f>
        <v/>
      </c>
      <c r="H4587" s="32">
        <f>IF(B4587="","",IFERROR(INDEX(Client_List!$J:$J,MATCH(VALUE(B4587),Client_List!$A:$A,0)),""))</f>
        <v/>
      </c>
      <c r="I4587" s="70">
        <f>IF(B4587="","",IFERROR(A4587-LOOKUP(2,1/($B$4:$B4586=B4587),$A$4:$A4586),""))</f>
        <v/>
      </c>
      <c r="J4587" s="32">
        <f>IF(B4587="","",IFERROR(D4587/I4587,""))</f>
        <v/>
      </c>
      <c r="K4587" s="71">
        <f>IF(B4587="","",IFERROR(AVERAGEIFS($J$4:$J4587,$B$4:$B4587,B4587,$J$4:$J4587,"&gt;"&amp;0),""))</f>
        <v/>
      </c>
      <c r="L4587" s="11" t="n"/>
    </row>
    <row r="4588" ht="14" customHeight="1" s="72">
      <c r="A4588" s="83" t="n"/>
      <c r="B4588" s="81" t="n"/>
      <c r="C4588" s="69">
        <f>IF(B4588="","",IFERROR(INDEX(Client_List!$B:$B,MATCH(B4588,Client_List!$A:$A,0)),"⚠ NOT FOUND"))</f>
        <v/>
      </c>
      <c r="D4588" s="45" t="n"/>
      <c r="E4588" s="32">
        <f>IF(B4588="","",IFERROR(INDEX(Client_List!$C:$C,MATCH(VALUE(B4588),Client_List!$A:$A,0)),""))</f>
        <v/>
      </c>
      <c r="F4588" s="53">
        <f>IF(B4588="","",IFERROR(INDEX(Client_List!$D:$D,MATCH(VALUE(B4588),Client_List!$A:$A,0)),""))</f>
        <v/>
      </c>
      <c r="G4588" s="53">
        <f>IF(B4588="","",IFERROR(INDEX(Client_List!$K:$K,MATCH(VALUE(B4588),Client_List!$A:$A,0)),""))</f>
        <v/>
      </c>
      <c r="H4588" s="32">
        <f>IF(B4588="","",IFERROR(INDEX(Client_List!$J:$J,MATCH(VALUE(B4588),Client_List!$A:$A,0)),""))</f>
        <v/>
      </c>
      <c r="I4588" s="70">
        <f>IF(B4588="","",IFERROR(A4588-LOOKUP(2,1/($B$4:$B4587=B4588),$A$4:$A4587),""))</f>
        <v/>
      </c>
      <c r="J4588" s="32">
        <f>IF(B4588="","",IFERROR(D4588/I4588,""))</f>
        <v/>
      </c>
      <c r="K4588" s="71">
        <f>IF(B4588="","",IFERROR(AVERAGEIFS($J$4:$J4588,$B$4:$B4588,B4588,$J$4:$J4588,"&gt;"&amp;0),""))</f>
        <v/>
      </c>
      <c r="L4588" s="12" t="n"/>
    </row>
    <row r="4589" ht="14" customHeight="1" s="72">
      <c r="A4589" s="82" t="n"/>
      <c r="B4589" s="79" t="n"/>
      <c r="C4589" s="69">
        <f>IF(B4589="","",IFERROR(INDEX(Client_List!$B:$B,MATCH(B4589,Client_List!$A:$A,0)),"⚠ NOT FOUND"))</f>
        <v/>
      </c>
      <c r="D4589" s="44" t="n"/>
      <c r="E4589" s="32">
        <f>IF(B4589="","",IFERROR(INDEX(Client_List!$C:$C,MATCH(VALUE(B4589),Client_List!$A:$A,0)),""))</f>
        <v/>
      </c>
      <c r="F4589" s="53">
        <f>IF(B4589="","",IFERROR(INDEX(Client_List!$D:$D,MATCH(VALUE(B4589),Client_List!$A:$A,0)),""))</f>
        <v/>
      </c>
      <c r="G4589" s="53">
        <f>IF(B4589="","",IFERROR(INDEX(Client_List!$K:$K,MATCH(VALUE(B4589),Client_List!$A:$A,0)),""))</f>
        <v/>
      </c>
      <c r="H4589" s="32">
        <f>IF(B4589="","",IFERROR(INDEX(Client_List!$J:$J,MATCH(VALUE(B4589),Client_List!$A:$A,0)),""))</f>
        <v/>
      </c>
      <c r="I4589" s="70">
        <f>IF(B4589="","",IFERROR(A4589-LOOKUP(2,1/($B$4:$B4588=B4589),$A$4:$A4588),""))</f>
        <v/>
      </c>
      <c r="J4589" s="32">
        <f>IF(B4589="","",IFERROR(D4589/I4589,""))</f>
        <v/>
      </c>
      <c r="K4589" s="71">
        <f>IF(B4589="","",IFERROR(AVERAGEIFS($J$4:$J4589,$B$4:$B4589,B4589,$J$4:$J4589,"&gt;"&amp;0),""))</f>
        <v/>
      </c>
      <c r="L4589" s="11" t="n"/>
    </row>
    <row r="4590" ht="14" customHeight="1" s="72">
      <c r="A4590" s="83" t="n"/>
      <c r="B4590" s="81" t="n"/>
      <c r="C4590" s="69">
        <f>IF(B4590="","",IFERROR(INDEX(Client_List!$B:$B,MATCH(B4590,Client_List!$A:$A,0)),"⚠ NOT FOUND"))</f>
        <v/>
      </c>
      <c r="D4590" s="45" t="n"/>
      <c r="E4590" s="32">
        <f>IF(B4590="","",IFERROR(INDEX(Client_List!$C:$C,MATCH(VALUE(B4590),Client_List!$A:$A,0)),""))</f>
        <v/>
      </c>
      <c r="F4590" s="53">
        <f>IF(B4590="","",IFERROR(INDEX(Client_List!$D:$D,MATCH(VALUE(B4590),Client_List!$A:$A,0)),""))</f>
        <v/>
      </c>
      <c r="G4590" s="53">
        <f>IF(B4590="","",IFERROR(INDEX(Client_List!$K:$K,MATCH(VALUE(B4590),Client_List!$A:$A,0)),""))</f>
        <v/>
      </c>
      <c r="H4590" s="32">
        <f>IF(B4590="","",IFERROR(INDEX(Client_List!$J:$J,MATCH(VALUE(B4590),Client_List!$A:$A,0)),""))</f>
        <v/>
      </c>
      <c r="I4590" s="70">
        <f>IF(B4590="","",IFERROR(A4590-LOOKUP(2,1/($B$4:$B4589=B4590),$A$4:$A4589),""))</f>
        <v/>
      </c>
      <c r="J4590" s="32">
        <f>IF(B4590="","",IFERROR(D4590/I4590,""))</f>
        <v/>
      </c>
      <c r="K4590" s="71">
        <f>IF(B4590="","",IFERROR(AVERAGEIFS($J$4:$J4590,$B$4:$B4590,B4590,$J$4:$J4590,"&gt;"&amp;0),""))</f>
        <v/>
      </c>
      <c r="L4590" s="12" t="n"/>
    </row>
    <row r="4591" ht="14" customHeight="1" s="72">
      <c r="A4591" s="82" t="n"/>
      <c r="B4591" s="79" t="n"/>
      <c r="C4591" s="69">
        <f>IF(B4591="","",IFERROR(INDEX(Client_List!$B:$B,MATCH(B4591,Client_List!$A:$A,0)),"⚠ NOT FOUND"))</f>
        <v/>
      </c>
      <c r="D4591" s="44" t="n"/>
      <c r="E4591" s="32">
        <f>IF(B4591="","",IFERROR(INDEX(Client_List!$C:$C,MATCH(VALUE(B4591),Client_List!$A:$A,0)),""))</f>
        <v/>
      </c>
      <c r="F4591" s="53">
        <f>IF(B4591="","",IFERROR(INDEX(Client_List!$D:$D,MATCH(VALUE(B4591),Client_List!$A:$A,0)),""))</f>
        <v/>
      </c>
      <c r="G4591" s="53">
        <f>IF(B4591="","",IFERROR(INDEX(Client_List!$K:$K,MATCH(VALUE(B4591),Client_List!$A:$A,0)),""))</f>
        <v/>
      </c>
      <c r="H4591" s="32">
        <f>IF(B4591="","",IFERROR(INDEX(Client_List!$J:$J,MATCH(VALUE(B4591),Client_List!$A:$A,0)),""))</f>
        <v/>
      </c>
      <c r="I4591" s="70">
        <f>IF(B4591="","",IFERROR(A4591-LOOKUP(2,1/($B$4:$B4590=B4591),$A$4:$A4590),""))</f>
        <v/>
      </c>
      <c r="J4591" s="32">
        <f>IF(B4591="","",IFERROR(D4591/I4591,""))</f>
        <v/>
      </c>
      <c r="K4591" s="71">
        <f>IF(B4591="","",IFERROR(AVERAGEIFS($J$4:$J4591,$B$4:$B4591,B4591,$J$4:$J4591,"&gt;"&amp;0),""))</f>
        <v/>
      </c>
      <c r="L4591" s="11" t="n"/>
    </row>
    <row r="4592" ht="14" customHeight="1" s="72">
      <c r="A4592" s="83" t="n"/>
      <c r="B4592" s="81" t="n"/>
      <c r="C4592" s="69">
        <f>IF(B4592="","",IFERROR(INDEX(Client_List!$B:$B,MATCH(B4592,Client_List!$A:$A,0)),"⚠ NOT FOUND"))</f>
        <v/>
      </c>
      <c r="D4592" s="45" t="n"/>
      <c r="E4592" s="32">
        <f>IF(B4592="","",IFERROR(INDEX(Client_List!$C:$C,MATCH(VALUE(B4592),Client_List!$A:$A,0)),""))</f>
        <v/>
      </c>
      <c r="F4592" s="53">
        <f>IF(B4592="","",IFERROR(INDEX(Client_List!$D:$D,MATCH(VALUE(B4592),Client_List!$A:$A,0)),""))</f>
        <v/>
      </c>
      <c r="G4592" s="53">
        <f>IF(B4592="","",IFERROR(INDEX(Client_List!$K:$K,MATCH(VALUE(B4592),Client_List!$A:$A,0)),""))</f>
        <v/>
      </c>
      <c r="H4592" s="32">
        <f>IF(B4592="","",IFERROR(INDEX(Client_List!$J:$J,MATCH(VALUE(B4592),Client_List!$A:$A,0)),""))</f>
        <v/>
      </c>
      <c r="I4592" s="70">
        <f>IF(B4592="","",IFERROR(A4592-LOOKUP(2,1/($B$4:$B4591=B4592),$A$4:$A4591),""))</f>
        <v/>
      </c>
      <c r="J4592" s="32">
        <f>IF(B4592="","",IFERROR(D4592/I4592,""))</f>
        <v/>
      </c>
      <c r="K4592" s="71">
        <f>IF(B4592="","",IFERROR(AVERAGEIFS($J$4:$J4592,$B$4:$B4592,B4592,$J$4:$J4592,"&gt;"&amp;0),""))</f>
        <v/>
      </c>
      <c r="L4592" s="12" t="n"/>
    </row>
    <row r="4593" ht="14" customHeight="1" s="72">
      <c r="A4593" s="82" t="n"/>
      <c r="B4593" s="79" t="n"/>
      <c r="C4593" s="69">
        <f>IF(B4593="","",IFERROR(INDEX(Client_List!$B:$B,MATCH(B4593,Client_List!$A:$A,0)),"⚠ NOT FOUND"))</f>
        <v/>
      </c>
      <c r="D4593" s="44" t="n"/>
      <c r="E4593" s="32">
        <f>IF(B4593="","",IFERROR(INDEX(Client_List!$C:$C,MATCH(VALUE(B4593),Client_List!$A:$A,0)),""))</f>
        <v/>
      </c>
      <c r="F4593" s="53">
        <f>IF(B4593="","",IFERROR(INDEX(Client_List!$D:$D,MATCH(VALUE(B4593),Client_List!$A:$A,0)),""))</f>
        <v/>
      </c>
      <c r="G4593" s="53">
        <f>IF(B4593="","",IFERROR(INDEX(Client_List!$K:$K,MATCH(VALUE(B4593),Client_List!$A:$A,0)),""))</f>
        <v/>
      </c>
      <c r="H4593" s="32">
        <f>IF(B4593="","",IFERROR(INDEX(Client_List!$J:$J,MATCH(VALUE(B4593),Client_List!$A:$A,0)),""))</f>
        <v/>
      </c>
      <c r="I4593" s="70">
        <f>IF(B4593="","",IFERROR(A4593-LOOKUP(2,1/($B$4:$B4592=B4593),$A$4:$A4592),""))</f>
        <v/>
      </c>
      <c r="J4593" s="32">
        <f>IF(B4593="","",IFERROR(D4593/I4593,""))</f>
        <v/>
      </c>
      <c r="K4593" s="71">
        <f>IF(B4593="","",IFERROR(AVERAGEIFS($J$4:$J4593,$B$4:$B4593,B4593,$J$4:$J4593,"&gt;"&amp;0),""))</f>
        <v/>
      </c>
      <c r="L4593" s="11" t="n"/>
    </row>
    <row r="4594" ht="14" customHeight="1" s="72">
      <c r="A4594" s="83" t="n"/>
      <c r="B4594" s="81" t="n"/>
      <c r="C4594" s="69">
        <f>IF(B4594="","",IFERROR(INDEX(Client_List!$B:$B,MATCH(B4594,Client_List!$A:$A,0)),"⚠ NOT FOUND"))</f>
        <v/>
      </c>
      <c r="D4594" s="45" t="n"/>
      <c r="E4594" s="32">
        <f>IF(B4594="","",IFERROR(INDEX(Client_List!$C:$C,MATCH(VALUE(B4594),Client_List!$A:$A,0)),""))</f>
        <v/>
      </c>
      <c r="F4594" s="53">
        <f>IF(B4594="","",IFERROR(INDEX(Client_List!$D:$D,MATCH(VALUE(B4594),Client_List!$A:$A,0)),""))</f>
        <v/>
      </c>
      <c r="G4594" s="53">
        <f>IF(B4594="","",IFERROR(INDEX(Client_List!$K:$K,MATCH(VALUE(B4594),Client_List!$A:$A,0)),""))</f>
        <v/>
      </c>
      <c r="H4594" s="32">
        <f>IF(B4594="","",IFERROR(INDEX(Client_List!$J:$J,MATCH(VALUE(B4594),Client_List!$A:$A,0)),""))</f>
        <v/>
      </c>
      <c r="I4594" s="70">
        <f>IF(B4594="","",IFERROR(A4594-LOOKUP(2,1/($B$4:$B4593=B4594),$A$4:$A4593),""))</f>
        <v/>
      </c>
      <c r="J4594" s="32">
        <f>IF(B4594="","",IFERROR(D4594/I4594,""))</f>
        <v/>
      </c>
      <c r="K4594" s="71">
        <f>IF(B4594="","",IFERROR(AVERAGEIFS($J$4:$J4594,$B$4:$B4594,B4594,$J$4:$J4594,"&gt;"&amp;0),""))</f>
        <v/>
      </c>
      <c r="L4594" s="12" t="n"/>
    </row>
    <row r="4595" ht="14" customHeight="1" s="72">
      <c r="A4595" s="82" t="n"/>
      <c r="B4595" s="79" t="n"/>
      <c r="C4595" s="69">
        <f>IF(B4595="","",IFERROR(INDEX(Client_List!$B:$B,MATCH(B4595,Client_List!$A:$A,0)),"⚠ NOT FOUND"))</f>
        <v/>
      </c>
      <c r="D4595" s="44" t="n"/>
      <c r="E4595" s="32">
        <f>IF(B4595="","",IFERROR(INDEX(Client_List!$C:$C,MATCH(VALUE(B4595),Client_List!$A:$A,0)),""))</f>
        <v/>
      </c>
      <c r="F4595" s="53">
        <f>IF(B4595="","",IFERROR(INDEX(Client_List!$D:$D,MATCH(VALUE(B4595),Client_List!$A:$A,0)),""))</f>
        <v/>
      </c>
      <c r="G4595" s="53">
        <f>IF(B4595="","",IFERROR(INDEX(Client_List!$K:$K,MATCH(VALUE(B4595),Client_List!$A:$A,0)),""))</f>
        <v/>
      </c>
      <c r="H4595" s="32">
        <f>IF(B4595="","",IFERROR(INDEX(Client_List!$J:$J,MATCH(VALUE(B4595),Client_List!$A:$A,0)),""))</f>
        <v/>
      </c>
      <c r="I4595" s="70">
        <f>IF(B4595="","",IFERROR(A4595-LOOKUP(2,1/($B$4:$B4594=B4595),$A$4:$A4594),""))</f>
        <v/>
      </c>
      <c r="J4595" s="32">
        <f>IF(B4595="","",IFERROR(D4595/I4595,""))</f>
        <v/>
      </c>
      <c r="K4595" s="71">
        <f>IF(B4595="","",IFERROR(AVERAGEIFS($J$4:$J4595,$B$4:$B4595,B4595,$J$4:$J4595,"&gt;"&amp;0),""))</f>
        <v/>
      </c>
      <c r="L4595" s="11" t="n"/>
    </row>
    <row r="4596" ht="14" customHeight="1" s="72">
      <c r="A4596" s="83" t="n"/>
      <c r="B4596" s="81" t="n"/>
      <c r="C4596" s="69">
        <f>IF(B4596="","",IFERROR(INDEX(Client_List!$B:$B,MATCH(B4596,Client_List!$A:$A,0)),"⚠ NOT FOUND"))</f>
        <v/>
      </c>
      <c r="D4596" s="45" t="n"/>
      <c r="E4596" s="32">
        <f>IF(B4596="","",IFERROR(INDEX(Client_List!$C:$C,MATCH(VALUE(B4596),Client_List!$A:$A,0)),""))</f>
        <v/>
      </c>
      <c r="F4596" s="53">
        <f>IF(B4596="","",IFERROR(INDEX(Client_List!$D:$D,MATCH(VALUE(B4596),Client_List!$A:$A,0)),""))</f>
        <v/>
      </c>
      <c r="G4596" s="53">
        <f>IF(B4596="","",IFERROR(INDEX(Client_List!$K:$K,MATCH(VALUE(B4596),Client_List!$A:$A,0)),""))</f>
        <v/>
      </c>
      <c r="H4596" s="32">
        <f>IF(B4596="","",IFERROR(INDEX(Client_List!$J:$J,MATCH(VALUE(B4596),Client_List!$A:$A,0)),""))</f>
        <v/>
      </c>
      <c r="I4596" s="70">
        <f>IF(B4596="","",IFERROR(A4596-LOOKUP(2,1/($B$4:$B4595=B4596),$A$4:$A4595),""))</f>
        <v/>
      </c>
      <c r="J4596" s="32">
        <f>IF(B4596="","",IFERROR(D4596/I4596,""))</f>
        <v/>
      </c>
      <c r="K4596" s="71">
        <f>IF(B4596="","",IFERROR(AVERAGEIFS($J$4:$J4596,$B$4:$B4596,B4596,$J$4:$J4596,"&gt;"&amp;0),""))</f>
        <v/>
      </c>
      <c r="L4596" s="12" t="n"/>
    </row>
    <row r="4597" ht="14" customHeight="1" s="72">
      <c r="A4597" s="82" t="n"/>
      <c r="B4597" s="79" t="n"/>
      <c r="C4597" s="69">
        <f>IF(B4597="","",IFERROR(INDEX(Client_List!$B:$B,MATCH(B4597,Client_List!$A:$A,0)),"⚠ NOT FOUND"))</f>
        <v/>
      </c>
      <c r="D4597" s="44" t="n"/>
      <c r="E4597" s="32">
        <f>IF(B4597="","",IFERROR(INDEX(Client_List!$C:$C,MATCH(VALUE(B4597),Client_List!$A:$A,0)),""))</f>
        <v/>
      </c>
      <c r="F4597" s="53">
        <f>IF(B4597="","",IFERROR(INDEX(Client_List!$D:$D,MATCH(VALUE(B4597),Client_List!$A:$A,0)),""))</f>
        <v/>
      </c>
      <c r="G4597" s="53">
        <f>IF(B4597="","",IFERROR(INDEX(Client_List!$K:$K,MATCH(VALUE(B4597),Client_List!$A:$A,0)),""))</f>
        <v/>
      </c>
      <c r="H4597" s="32">
        <f>IF(B4597="","",IFERROR(INDEX(Client_List!$J:$J,MATCH(VALUE(B4597),Client_List!$A:$A,0)),""))</f>
        <v/>
      </c>
      <c r="I4597" s="70">
        <f>IF(B4597="","",IFERROR(A4597-LOOKUP(2,1/($B$4:$B4596=B4597),$A$4:$A4596),""))</f>
        <v/>
      </c>
      <c r="J4597" s="32">
        <f>IF(B4597="","",IFERROR(D4597/I4597,""))</f>
        <v/>
      </c>
      <c r="K4597" s="71">
        <f>IF(B4597="","",IFERROR(AVERAGEIFS($J$4:$J4597,$B$4:$B4597,B4597,$J$4:$J4597,"&gt;"&amp;0),""))</f>
        <v/>
      </c>
      <c r="L4597" s="11" t="n"/>
    </row>
    <row r="4598" ht="14" customHeight="1" s="72">
      <c r="A4598" s="83" t="n"/>
      <c r="B4598" s="81" t="n"/>
      <c r="C4598" s="69">
        <f>IF(B4598="","",IFERROR(INDEX(Client_List!$B:$B,MATCH(B4598,Client_List!$A:$A,0)),"⚠ NOT FOUND"))</f>
        <v/>
      </c>
      <c r="D4598" s="45" t="n"/>
      <c r="E4598" s="32">
        <f>IF(B4598="","",IFERROR(INDEX(Client_List!$C:$C,MATCH(VALUE(B4598),Client_List!$A:$A,0)),""))</f>
        <v/>
      </c>
      <c r="F4598" s="53">
        <f>IF(B4598="","",IFERROR(INDEX(Client_List!$D:$D,MATCH(VALUE(B4598),Client_List!$A:$A,0)),""))</f>
        <v/>
      </c>
      <c r="G4598" s="53">
        <f>IF(B4598="","",IFERROR(INDEX(Client_List!$K:$K,MATCH(VALUE(B4598),Client_List!$A:$A,0)),""))</f>
        <v/>
      </c>
      <c r="H4598" s="32">
        <f>IF(B4598="","",IFERROR(INDEX(Client_List!$J:$J,MATCH(VALUE(B4598),Client_List!$A:$A,0)),""))</f>
        <v/>
      </c>
      <c r="I4598" s="70">
        <f>IF(B4598="","",IFERROR(A4598-LOOKUP(2,1/($B$4:$B4597=B4598),$A$4:$A4597),""))</f>
        <v/>
      </c>
      <c r="J4598" s="32">
        <f>IF(B4598="","",IFERROR(D4598/I4598,""))</f>
        <v/>
      </c>
      <c r="K4598" s="71">
        <f>IF(B4598="","",IFERROR(AVERAGEIFS($J$4:$J4598,$B$4:$B4598,B4598,$J$4:$J4598,"&gt;"&amp;0),""))</f>
        <v/>
      </c>
      <c r="L4598" s="12" t="n"/>
    </row>
    <row r="4599" ht="14" customHeight="1" s="72">
      <c r="A4599" s="82" t="n"/>
      <c r="B4599" s="79" t="n"/>
      <c r="C4599" s="69">
        <f>IF(B4599="","",IFERROR(INDEX(Client_List!$B:$B,MATCH(B4599,Client_List!$A:$A,0)),"⚠ NOT FOUND"))</f>
        <v/>
      </c>
      <c r="D4599" s="44" t="n"/>
      <c r="E4599" s="32">
        <f>IF(B4599="","",IFERROR(INDEX(Client_List!$C:$C,MATCH(VALUE(B4599),Client_List!$A:$A,0)),""))</f>
        <v/>
      </c>
      <c r="F4599" s="53">
        <f>IF(B4599="","",IFERROR(INDEX(Client_List!$D:$D,MATCH(VALUE(B4599),Client_List!$A:$A,0)),""))</f>
        <v/>
      </c>
      <c r="G4599" s="53">
        <f>IF(B4599="","",IFERROR(INDEX(Client_List!$K:$K,MATCH(VALUE(B4599),Client_List!$A:$A,0)),""))</f>
        <v/>
      </c>
      <c r="H4599" s="32">
        <f>IF(B4599="","",IFERROR(INDEX(Client_List!$J:$J,MATCH(VALUE(B4599),Client_List!$A:$A,0)),""))</f>
        <v/>
      </c>
      <c r="I4599" s="70">
        <f>IF(B4599="","",IFERROR(A4599-LOOKUP(2,1/($B$4:$B4598=B4599),$A$4:$A4598),""))</f>
        <v/>
      </c>
      <c r="J4599" s="32">
        <f>IF(B4599="","",IFERROR(D4599/I4599,""))</f>
        <v/>
      </c>
      <c r="K4599" s="71">
        <f>IF(B4599="","",IFERROR(AVERAGEIFS($J$4:$J4599,$B$4:$B4599,B4599,$J$4:$J4599,"&gt;"&amp;0),""))</f>
        <v/>
      </c>
      <c r="L4599" s="11" t="n"/>
    </row>
    <row r="4600" ht="14" customHeight="1" s="72">
      <c r="A4600" s="83" t="n"/>
      <c r="B4600" s="81" t="n"/>
      <c r="C4600" s="69">
        <f>IF(B4600="","",IFERROR(INDEX(Client_List!$B:$B,MATCH(B4600,Client_List!$A:$A,0)),"⚠ NOT FOUND"))</f>
        <v/>
      </c>
      <c r="D4600" s="45" t="n"/>
      <c r="E4600" s="32">
        <f>IF(B4600="","",IFERROR(INDEX(Client_List!$C:$C,MATCH(VALUE(B4600),Client_List!$A:$A,0)),""))</f>
        <v/>
      </c>
      <c r="F4600" s="53">
        <f>IF(B4600="","",IFERROR(INDEX(Client_List!$D:$D,MATCH(VALUE(B4600),Client_List!$A:$A,0)),""))</f>
        <v/>
      </c>
      <c r="G4600" s="53">
        <f>IF(B4600="","",IFERROR(INDEX(Client_List!$K:$K,MATCH(VALUE(B4600),Client_List!$A:$A,0)),""))</f>
        <v/>
      </c>
      <c r="H4600" s="32">
        <f>IF(B4600="","",IFERROR(INDEX(Client_List!$J:$J,MATCH(VALUE(B4600),Client_List!$A:$A,0)),""))</f>
        <v/>
      </c>
      <c r="I4600" s="70">
        <f>IF(B4600="","",IFERROR(A4600-LOOKUP(2,1/($B$4:$B4599=B4600),$A$4:$A4599),""))</f>
        <v/>
      </c>
      <c r="J4600" s="32">
        <f>IF(B4600="","",IFERROR(D4600/I4600,""))</f>
        <v/>
      </c>
      <c r="K4600" s="71">
        <f>IF(B4600="","",IFERROR(AVERAGEIFS($J$4:$J4600,$B$4:$B4600,B4600,$J$4:$J4600,"&gt;"&amp;0),""))</f>
        <v/>
      </c>
      <c r="L4600" s="12" t="n"/>
    </row>
    <row r="4601" ht="14" customHeight="1" s="72">
      <c r="A4601" s="82" t="n"/>
      <c r="B4601" s="79" t="n"/>
      <c r="C4601" s="69">
        <f>IF(B4601="","",IFERROR(INDEX(Client_List!$B:$B,MATCH(B4601,Client_List!$A:$A,0)),"⚠ NOT FOUND"))</f>
        <v/>
      </c>
      <c r="D4601" s="44" t="n"/>
      <c r="E4601" s="32">
        <f>IF(B4601="","",IFERROR(INDEX(Client_List!$C:$C,MATCH(VALUE(B4601),Client_List!$A:$A,0)),""))</f>
        <v/>
      </c>
      <c r="F4601" s="53">
        <f>IF(B4601="","",IFERROR(INDEX(Client_List!$D:$D,MATCH(VALUE(B4601),Client_List!$A:$A,0)),""))</f>
        <v/>
      </c>
      <c r="G4601" s="53">
        <f>IF(B4601="","",IFERROR(INDEX(Client_List!$K:$K,MATCH(VALUE(B4601),Client_List!$A:$A,0)),""))</f>
        <v/>
      </c>
      <c r="H4601" s="32">
        <f>IF(B4601="","",IFERROR(INDEX(Client_List!$J:$J,MATCH(VALUE(B4601),Client_List!$A:$A,0)),""))</f>
        <v/>
      </c>
      <c r="I4601" s="70">
        <f>IF(B4601="","",IFERROR(A4601-LOOKUP(2,1/($B$4:$B4600=B4601),$A$4:$A4600),""))</f>
        <v/>
      </c>
      <c r="J4601" s="32">
        <f>IF(B4601="","",IFERROR(D4601/I4601,""))</f>
        <v/>
      </c>
      <c r="K4601" s="71">
        <f>IF(B4601="","",IFERROR(AVERAGEIFS($J$4:$J4601,$B$4:$B4601,B4601,$J$4:$J4601,"&gt;"&amp;0),""))</f>
        <v/>
      </c>
      <c r="L4601" s="11" t="n"/>
    </row>
    <row r="4602" ht="14" customHeight="1" s="72">
      <c r="A4602" s="83" t="n"/>
      <c r="B4602" s="81" t="n"/>
      <c r="C4602" s="69">
        <f>IF(B4602="","",IFERROR(INDEX(Client_List!$B:$B,MATCH(B4602,Client_List!$A:$A,0)),"⚠ NOT FOUND"))</f>
        <v/>
      </c>
      <c r="D4602" s="45" t="n"/>
      <c r="E4602" s="32">
        <f>IF(B4602="","",IFERROR(INDEX(Client_List!$C:$C,MATCH(VALUE(B4602),Client_List!$A:$A,0)),""))</f>
        <v/>
      </c>
      <c r="F4602" s="53">
        <f>IF(B4602="","",IFERROR(INDEX(Client_List!$D:$D,MATCH(VALUE(B4602),Client_List!$A:$A,0)),""))</f>
        <v/>
      </c>
      <c r="G4602" s="53">
        <f>IF(B4602="","",IFERROR(INDEX(Client_List!$K:$K,MATCH(VALUE(B4602),Client_List!$A:$A,0)),""))</f>
        <v/>
      </c>
      <c r="H4602" s="32">
        <f>IF(B4602="","",IFERROR(INDEX(Client_List!$J:$J,MATCH(VALUE(B4602),Client_List!$A:$A,0)),""))</f>
        <v/>
      </c>
      <c r="I4602" s="70">
        <f>IF(B4602="","",IFERROR(A4602-LOOKUP(2,1/($B$4:$B4601=B4602),$A$4:$A4601),""))</f>
        <v/>
      </c>
      <c r="J4602" s="32">
        <f>IF(B4602="","",IFERROR(D4602/I4602,""))</f>
        <v/>
      </c>
      <c r="K4602" s="71">
        <f>IF(B4602="","",IFERROR(AVERAGEIFS($J$4:$J4602,$B$4:$B4602,B4602,$J$4:$J4602,"&gt;"&amp;0),""))</f>
        <v/>
      </c>
      <c r="L4602" s="12" t="n"/>
    </row>
    <row r="4603" ht="14" customHeight="1" s="72">
      <c r="A4603" s="82" t="n"/>
      <c r="B4603" s="79" t="n"/>
      <c r="C4603" s="69">
        <f>IF(B4603="","",IFERROR(INDEX(Client_List!$B:$B,MATCH(B4603,Client_List!$A:$A,0)),"⚠ NOT FOUND"))</f>
        <v/>
      </c>
      <c r="D4603" s="44" t="n"/>
      <c r="E4603" s="32">
        <f>IF(B4603="","",IFERROR(INDEX(Client_List!$C:$C,MATCH(VALUE(B4603),Client_List!$A:$A,0)),""))</f>
        <v/>
      </c>
      <c r="F4603" s="53">
        <f>IF(B4603="","",IFERROR(INDEX(Client_List!$D:$D,MATCH(VALUE(B4603),Client_List!$A:$A,0)),""))</f>
        <v/>
      </c>
      <c r="G4603" s="53">
        <f>IF(B4603="","",IFERROR(INDEX(Client_List!$K:$K,MATCH(VALUE(B4603),Client_List!$A:$A,0)),""))</f>
        <v/>
      </c>
      <c r="H4603" s="32">
        <f>IF(B4603="","",IFERROR(INDEX(Client_List!$J:$J,MATCH(VALUE(B4603),Client_List!$A:$A,0)),""))</f>
        <v/>
      </c>
      <c r="I4603" s="70">
        <f>IF(B4603="","",IFERROR(A4603-LOOKUP(2,1/($B$4:$B4602=B4603),$A$4:$A4602),""))</f>
        <v/>
      </c>
      <c r="J4603" s="32">
        <f>IF(B4603="","",IFERROR(D4603/I4603,""))</f>
        <v/>
      </c>
      <c r="K4603" s="71">
        <f>IF(B4603="","",IFERROR(AVERAGEIFS($J$4:$J4603,$B$4:$B4603,B4603,$J$4:$J4603,"&gt;"&amp;0),""))</f>
        <v/>
      </c>
      <c r="L4603" s="11" t="n"/>
    </row>
    <row r="4604" ht="14" customHeight="1" s="72">
      <c r="A4604" s="83" t="n"/>
      <c r="B4604" s="81" t="n"/>
      <c r="C4604" s="69">
        <f>IF(B4604="","",IFERROR(INDEX(Client_List!$B:$B,MATCH(B4604,Client_List!$A:$A,0)),"⚠ NOT FOUND"))</f>
        <v/>
      </c>
      <c r="D4604" s="45" t="n"/>
      <c r="E4604" s="32">
        <f>IF(B4604="","",IFERROR(INDEX(Client_List!$C:$C,MATCH(VALUE(B4604),Client_List!$A:$A,0)),""))</f>
        <v/>
      </c>
      <c r="F4604" s="53">
        <f>IF(B4604="","",IFERROR(INDEX(Client_List!$D:$D,MATCH(VALUE(B4604),Client_List!$A:$A,0)),""))</f>
        <v/>
      </c>
      <c r="G4604" s="53">
        <f>IF(B4604="","",IFERROR(INDEX(Client_List!$K:$K,MATCH(VALUE(B4604),Client_List!$A:$A,0)),""))</f>
        <v/>
      </c>
      <c r="H4604" s="32">
        <f>IF(B4604="","",IFERROR(INDEX(Client_List!$J:$J,MATCH(VALUE(B4604),Client_List!$A:$A,0)),""))</f>
        <v/>
      </c>
      <c r="I4604" s="70">
        <f>IF(B4604="","",IFERROR(A4604-LOOKUP(2,1/($B$4:$B4603=B4604),$A$4:$A4603),""))</f>
        <v/>
      </c>
      <c r="J4604" s="32">
        <f>IF(B4604="","",IFERROR(D4604/I4604,""))</f>
        <v/>
      </c>
      <c r="K4604" s="71">
        <f>IF(B4604="","",IFERROR(AVERAGEIFS($J$4:$J4604,$B$4:$B4604,B4604,$J$4:$J4604,"&gt;"&amp;0),""))</f>
        <v/>
      </c>
      <c r="L4604" s="12" t="n"/>
    </row>
    <row r="4605" ht="14" customHeight="1" s="72">
      <c r="A4605" s="82" t="n"/>
      <c r="B4605" s="79" t="n"/>
      <c r="C4605" s="69">
        <f>IF(B4605="","",IFERROR(INDEX(Client_List!$B:$B,MATCH(B4605,Client_List!$A:$A,0)),"⚠ NOT FOUND"))</f>
        <v/>
      </c>
      <c r="D4605" s="44" t="n"/>
      <c r="E4605" s="32">
        <f>IF(B4605="","",IFERROR(INDEX(Client_List!$C:$C,MATCH(VALUE(B4605),Client_List!$A:$A,0)),""))</f>
        <v/>
      </c>
      <c r="F4605" s="53">
        <f>IF(B4605="","",IFERROR(INDEX(Client_List!$D:$D,MATCH(VALUE(B4605),Client_List!$A:$A,0)),""))</f>
        <v/>
      </c>
      <c r="G4605" s="53">
        <f>IF(B4605="","",IFERROR(INDEX(Client_List!$K:$K,MATCH(VALUE(B4605),Client_List!$A:$A,0)),""))</f>
        <v/>
      </c>
      <c r="H4605" s="32">
        <f>IF(B4605="","",IFERROR(INDEX(Client_List!$J:$J,MATCH(VALUE(B4605),Client_List!$A:$A,0)),""))</f>
        <v/>
      </c>
      <c r="I4605" s="70">
        <f>IF(B4605="","",IFERROR(A4605-LOOKUP(2,1/($B$4:$B4604=B4605),$A$4:$A4604),""))</f>
        <v/>
      </c>
      <c r="J4605" s="32">
        <f>IF(B4605="","",IFERROR(D4605/I4605,""))</f>
        <v/>
      </c>
      <c r="K4605" s="71">
        <f>IF(B4605="","",IFERROR(AVERAGEIFS($J$4:$J4605,$B$4:$B4605,B4605,$J$4:$J4605,"&gt;"&amp;0),""))</f>
        <v/>
      </c>
      <c r="L4605" s="11" t="n"/>
    </row>
    <row r="4606" ht="14" customHeight="1" s="72">
      <c r="A4606" s="83" t="n"/>
      <c r="B4606" s="81" t="n"/>
      <c r="C4606" s="69">
        <f>IF(B4606="","",IFERROR(INDEX(Client_List!$B:$B,MATCH(B4606,Client_List!$A:$A,0)),"⚠ NOT FOUND"))</f>
        <v/>
      </c>
      <c r="D4606" s="45" t="n"/>
      <c r="E4606" s="32">
        <f>IF(B4606="","",IFERROR(INDEX(Client_List!$C:$C,MATCH(VALUE(B4606),Client_List!$A:$A,0)),""))</f>
        <v/>
      </c>
      <c r="F4606" s="53">
        <f>IF(B4606="","",IFERROR(INDEX(Client_List!$D:$D,MATCH(VALUE(B4606),Client_List!$A:$A,0)),""))</f>
        <v/>
      </c>
      <c r="G4606" s="53">
        <f>IF(B4606="","",IFERROR(INDEX(Client_List!$K:$K,MATCH(VALUE(B4606),Client_List!$A:$A,0)),""))</f>
        <v/>
      </c>
      <c r="H4606" s="32">
        <f>IF(B4606="","",IFERROR(INDEX(Client_List!$J:$J,MATCH(VALUE(B4606),Client_List!$A:$A,0)),""))</f>
        <v/>
      </c>
      <c r="I4606" s="70">
        <f>IF(B4606="","",IFERROR(A4606-LOOKUP(2,1/($B$4:$B4605=B4606),$A$4:$A4605),""))</f>
        <v/>
      </c>
      <c r="J4606" s="32">
        <f>IF(B4606="","",IFERROR(D4606/I4606,""))</f>
        <v/>
      </c>
      <c r="K4606" s="71">
        <f>IF(B4606="","",IFERROR(AVERAGEIFS($J$4:$J4606,$B$4:$B4606,B4606,$J$4:$J4606,"&gt;"&amp;0),""))</f>
        <v/>
      </c>
      <c r="L4606" s="12" t="n"/>
    </row>
    <row r="4607" ht="14" customHeight="1" s="72">
      <c r="A4607" s="82" t="n"/>
      <c r="B4607" s="79" t="n"/>
      <c r="C4607" s="69">
        <f>IF(B4607="","",IFERROR(INDEX(Client_List!$B:$B,MATCH(B4607,Client_List!$A:$A,0)),"⚠ NOT FOUND"))</f>
        <v/>
      </c>
      <c r="D4607" s="44" t="n"/>
      <c r="E4607" s="32">
        <f>IF(B4607="","",IFERROR(INDEX(Client_List!$C:$C,MATCH(VALUE(B4607),Client_List!$A:$A,0)),""))</f>
        <v/>
      </c>
      <c r="F4607" s="53">
        <f>IF(B4607="","",IFERROR(INDEX(Client_List!$D:$D,MATCH(VALUE(B4607),Client_List!$A:$A,0)),""))</f>
        <v/>
      </c>
      <c r="G4607" s="53">
        <f>IF(B4607="","",IFERROR(INDEX(Client_List!$K:$K,MATCH(VALUE(B4607),Client_List!$A:$A,0)),""))</f>
        <v/>
      </c>
      <c r="H4607" s="32">
        <f>IF(B4607="","",IFERROR(INDEX(Client_List!$J:$J,MATCH(VALUE(B4607),Client_List!$A:$A,0)),""))</f>
        <v/>
      </c>
      <c r="I4607" s="70">
        <f>IF(B4607="","",IFERROR(A4607-LOOKUP(2,1/($B$4:$B4606=B4607),$A$4:$A4606),""))</f>
        <v/>
      </c>
      <c r="J4607" s="32">
        <f>IF(B4607="","",IFERROR(D4607/I4607,""))</f>
        <v/>
      </c>
      <c r="K4607" s="71">
        <f>IF(B4607="","",IFERROR(AVERAGEIFS($J$4:$J4607,$B$4:$B4607,B4607,$J$4:$J4607,"&gt;"&amp;0),""))</f>
        <v/>
      </c>
      <c r="L4607" s="11" t="n"/>
    </row>
    <row r="4608" ht="14" customHeight="1" s="72">
      <c r="A4608" s="83" t="n"/>
      <c r="B4608" s="81" t="n"/>
      <c r="C4608" s="69">
        <f>IF(B4608="","",IFERROR(INDEX(Client_List!$B:$B,MATCH(B4608,Client_List!$A:$A,0)),"⚠ NOT FOUND"))</f>
        <v/>
      </c>
      <c r="D4608" s="45" t="n"/>
      <c r="E4608" s="32">
        <f>IF(B4608="","",IFERROR(INDEX(Client_List!$C:$C,MATCH(VALUE(B4608),Client_List!$A:$A,0)),""))</f>
        <v/>
      </c>
      <c r="F4608" s="53">
        <f>IF(B4608="","",IFERROR(INDEX(Client_List!$D:$D,MATCH(VALUE(B4608),Client_List!$A:$A,0)),""))</f>
        <v/>
      </c>
      <c r="G4608" s="53">
        <f>IF(B4608="","",IFERROR(INDEX(Client_List!$K:$K,MATCH(VALUE(B4608),Client_List!$A:$A,0)),""))</f>
        <v/>
      </c>
      <c r="H4608" s="32">
        <f>IF(B4608="","",IFERROR(INDEX(Client_List!$J:$J,MATCH(VALUE(B4608),Client_List!$A:$A,0)),""))</f>
        <v/>
      </c>
      <c r="I4608" s="70">
        <f>IF(B4608="","",IFERROR(A4608-LOOKUP(2,1/($B$4:$B4607=B4608),$A$4:$A4607),""))</f>
        <v/>
      </c>
      <c r="J4608" s="32">
        <f>IF(B4608="","",IFERROR(D4608/I4608,""))</f>
        <v/>
      </c>
      <c r="K4608" s="71">
        <f>IF(B4608="","",IFERROR(AVERAGEIFS($J$4:$J4608,$B$4:$B4608,B4608,$J$4:$J4608,"&gt;"&amp;0),""))</f>
        <v/>
      </c>
      <c r="L4608" s="12" t="n"/>
    </row>
    <row r="4609" ht="14" customHeight="1" s="72">
      <c r="A4609" s="82" t="n"/>
      <c r="B4609" s="79" t="n"/>
      <c r="C4609" s="69">
        <f>IF(B4609="","",IFERROR(INDEX(Client_List!$B:$B,MATCH(B4609,Client_List!$A:$A,0)),"⚠ NOT FOUND"))</f>
        <v/>
      </c>
      <c r="D4609" s="44" t="n"/>
      <c r="E4609" s="32">
        <f>IF(B4609="","",IFERROR(INDEX(Client_List!$C:$C,MATCH(VALUE(B4609),Client_List!$A:$A,0)),""))</f>
        <v/>
      </c>
      <c r="F4609" s="53">
        <f>IF(B4609="","",IFERROR(INDEX(Client_List!$D:$D,MATCH(VALUE(B4609),Client_List!$A:$A,0)),""))</f>
        <v/>
      </c>
      <c r="G4609" s="53">
        <f>IF(B4609="","",IFERROR(INDEX(Client_List!$K:$K,MATCH(VALUE(B4609),Client_List!$A:$A,0)),""))</f>
        <v/>
      </c>
      <c r="H4609" s="32">
        <f>IF(B4609="","",IFERROR(INDEX(Client_List!$J:$J,MATCH(VALUE(B4609),Client_List!$A:$A,0)),""))</f>
        <v/>
      </c>
      <c r="I4609" s="70">
        <f>IF(B4609="","",IFERROR(A4609-LOOKUP(2,1/($B$4:$B4608=B4609),$A$4:$A4608),""))</f>
        <v/>
      </c>
      <c r="J4609" s="32">
        <f>IF(B4609="","",IFERROR(D4609/I4609,""))</f>
        <v/>
      </c>
      <c r="K4609" s="71">
        <f>IF(B4609="","",IFERROR(AVERAGEIFS($J$4:$J4609,$B$4:$B4609,B4609,$J$4:$J4609,"&gt;"&amp;0),""))</f>
        <v/>
      </c>
      <c r="L4609" s="11" t="n"/>
    </row>
    <row r="4610" ht="14" customHeight="1" s="72">
      <c r="A4610" s="83" t="n"/>
      <c r="B4610" s="81" t="n"/>
      <c r="C4610" s="69">
        <f>IF(B4610="","",IFERROR(INDEX(Client_List!$B:$B,MATCH(B4610,Client_List!$A:$A,0)),"⚠ NOT FOUND"))</f>
        <v/>
      </c>
      <c r="D4610" s="45" t="n"/>
      <c r="E4610" s="32">
        <f>IF(B4610="","",IFERROR(INDEX(Client_List!$C:$C,MATCH(VALUE(B4610),Client_List!$A:$A,0)),""))</f>
        <v/>
      </c>
      <c r="F4610" s="53">
        <f>IF(B4610="","",IFERROR(INDEX(Client_List!$D:$D,MATCH(VALUE(B4610),Client_List!$A:$A,0)),""))</f>
        <v/>
      </c>
      <c r="G4610" s="53">
        <f>IF(B4610="","",IFERROR(INDEX(Client_List!$K:$K,MATCH(VALUE(B4610),Client_List!$A:$A,0)),""))</f>
        <v/>
      </c>
      <c r="H4610" s="32">
        <f>IF(B4610="","",IFERROR(INDEX(Client_List!$J:$J,MATCH(VALUE(B4610),Client_List!$A:$A,0)),""))</f>
        <v/>
      </c>
      <c r="I4610" s="70">
        <f>IF(B4610="","",IFERROR(A4610-LOOKUP(2,1/($B$4:$B4609=B4610),$A$4:$A4609),""))</f>
        <v/>
      </c>
      <c r="J4610" s="32">
        <f>IF(B4610="","",IFERROR(D4610/I4610,""))</f>
        <v/>
      </c>
      <c r="K4610" s="71">
        <f>IF(B4610="","",IFERROR(AVERAGEIFS($J$4:$J4610,$B$4:$B4610,B4610,$J$4:$J4610,"&gt;"&amp;0),""))</f>
        <v/>
      </c>
      <c r="L4610" s="12" t="n"/>
    </row>
    <row r="4611" ht="14" customHeight="1" s="72">
      <c r="A4611" s="82" t="n"/>
      <c r="B4611" s="79" t="n"/>
      <c r="C4611" s="69">
        <f>IF(B4611="","",IFERROR(INDEX(Client_List!$B:$B,MATCH(B4611,Client_List!$A:$A,0)),"⚠ NOT FOUND"))</f>
        <v/>
      </c>
      <c r="D4611" s="44" t="n"/>
      <c r="E4611" s="32">
        <f>IF(B4611="","",IFERROR(INDEX(Client_List!$C:$C,MATCH(VALUE(B4611),Client_List!$A:$A,0)),""))</f>
        <v/>
      </c>
      <c r="F4611" s="53">
        <f>IF(B4611="","",IFERROR(INDEX(Client_List!$D:$D,MATCH(VALUE(B4611),Client_List!$A:$A,0)),""))</f>
        <v/>
      </c>
      <c r="G4611" s="53">
        <f>IF(B4611="","",IFERROR(INDEX(Client_List!$K:$K,MATCH(VALUE(B4611),Client_List!$A:$A,0)),""))</f>
        <v/>
      </c>
      <c r="H4611" s="32">
        <f>IF(B4611="","",IFERROR(INDEX(Client_List!$J:$J,MATCH(VALUE(B4611),Client_List!$A:$A,0)),""))</f>
        <v/>
      </c>
      <c r="I4611" s="70">
        <f>IF(B4611="","",IFERROR(A4611-LOOKUP(2,1/($B$4:$B4610=B4611),$A$4:$A4610),""))</f>
        <v/>
      </c>
      <c r="J4611" s="32">
        <f>IF(B4611="","",IFERROR(D4611/I4611,""))</f>
        <v/>
      </c>
      <c r="K4611" s="71">
        <f>IF(B4611="","",IFERROR(AVERAGEIFS($J$4:$J4611,$B$4:$B4611,B4611,$J$4:$J4611,"&gt;"&amp;0),""))</f>
        <v/>
      </c>
      <c r="L4611" s="11" t="n"/>
    </row>
    <row r="4612" ht="14" customHeight="1" s="72">
      <c r="A4612" s="83" t="n"/>
      <c r="B4612" s="81" t="n"/>
      <c r="C4612" s="69">
        <f>IF(B4612="","",IFERROR(INDEX(Client_List!$B:$B,MATCH(B4612,Client_List!$A:$A,0)),"⚠ NOT FOUND"))</f>
        <v/>
      </c>
      <c r="D4612" s="45" t="n"/>
      <c r="E4612" s="32">
        <f>IF(B4612="","",IFERROR(INDEX(Client_List!$C:$C,MATCH(VALUE(B4612),Client_List!$A:$A,0)),""))</f>
        <v/>
      </c>
      <c r="F4612" s="53">
        <f>IF(B4612="","",IFERROR(INDEX(Client_List!$D:$D,MATCH(VALUE(B4612),Client_List!$A:$A,0)),""))</f>
        <v/>
      </c>
      <c r="G4612" s="53">
        <f>IF(B4612="","",IFERROR(INDEX(Client_List!$K:$K,MATCH(VALUE(B4612),Client_List!$A:$A,0)),""))</f>
        <v/>
      </c>
      <c r="H4612" s="32">
        <f>IF(B4612="","",IFERROR(INDEX(Client_List!$J:$J,MATCH(VALUE(B4612),Client_List!$A:$A,0)),""))</f>
        <v/>
      </c>
      <c r="I4612" s="70">
        <f>IF(B4612="","",IFERROR(A4612-LOOKUP(2,1/($B$4:$B4611=B4612),$A$4:$A4611),""))</f>
        <v/>
      </c>
      <c r="J4612" s="32">
        <f>IF(B4612="","",IFERROR(D4612/I4612,""))</f>
        <v/>
      </c>
      <c r="K4612" s="71">
        <f>IF(B4612="","",IFERROR(AVERAGEIFS($J$4:$J4612,$B$4:$B4612,B4612,$J$4:$J4612,"&gt;"&amp;0),""))</f>
        <v/>
      </c>
      <c r="L4612" s="12" t="n"/>
    </row>
    <row r="4613" ht="14" customHeight="1" s="72">
      <c r="A4613" s="82" t="n"/>
      <c r="B4613" s="79" t="n"/>
      <c r="C4613" s="69">
        <f>IF(B4613="","",IFERROR(INDEX(Client_List!$B:$B,MATCH(B4613,Client_List!$A:$A,0)),"⚠ NOT FOUND"))</f>
        <v/>
      </c>
      <c r="D4613" s="44" t="n"/>
      <c r="E4613" s="32">
        <f>IF(B4613="","",IFERROR(INDEX(Client_List!$C:$C,MATCH(VALUE(B4613),Client_List!$A:$A,0)),""))</f>
        <v/>
      </c>
      <c r="F4613" s="53">
        <f>IF(B4613="","",IFERROR(INDEX(Client_List!$D:$D,MATCH(VALUE(B4613),Client_List!$A:$A,0)),""))</f>
        <v/>
      </c>
      <c r="G4613" s="53">
        <f>IF(B4613="","",IFERROR(INDEX(Client_List!$K:$K,MATCH(VALUE(B4613),Client_List!$A:$A,0)),""))</f>
        <v/>
      </c>
      <c r="H4613" s="32">
        <f>IF(B4613="","",IFERROR(INDEX(Client_List!$J:$J,MATCH(VALUE(B4613),Client_List!$A:$A,0)),""))</f>
        <v/>
      </c>
      <c r="I4613" s="70">
        <f>IF(B4613="","",IFERROR(A4613-LOOKUP(2,1/($B$4:$B4612=B4613),$A$4:$A4612),""))</f>
        <v/>
      </c>
      <c r="J4613" s="32">
        <f>IF(B4613="","",IFERROR(D4613/I4613,""))</f>
        <v/>
      </c>
      <c r="K4613" s="71">
        <f>IF(B4613="","",IFERROR(AVERAGEIFS($J$4:$J4613,$B$4:$B4613,B4613,$J$4:$J4613,"&gt;"&amp;0),""))</f>
        <v/>
      </c>
      <c r="L4613" s="11" t="n"/>
    </row>
    <row r="4614" ht="14" customHeight="1" s="72">
      <c r="A4614" s="83" t="n"/>
      <c r="B4614" s="81" t="n"/>
      <c r="C4614" s="69">
        <f>IF(B4614="","",IFERROR(INDEX(Client_List!$B:$B,MATCH(B4614,Client_List!$A:$A,0)),"⚠ NOT FOUND"))</f>
        <v/>
      </c>
      <c r="D4614" s="45" t="n"/>
      <c r="E4614" s="32">
        <f>IF(B4614="","",IFERROR(INDEX(Client_List!$C:$C,MATCH(VALUE(B4614),Client_List!$A:$A,0)),""))</f>
        <v/>
      </c>
      <c r="F4614" s="53">
        <f>IF(B4614="","",IFERROR(INDEX(Client_List!$D:$D,MATCH(VALUE(B4614),Client_List!$A:$A,0)),""))</f>
        <v/>
      </c>
      <c r="G4614" s="53">
        <f>IF(B4614="","",IFERROR(INDEX(Client_List!$K:$K,MATCH(VALUE(B4614),Client_List!$A:$A,0)),""))</f>
        <v/>
      </c>
      <c r="H4614" s="32">
        <f>IF(B4614="","",IFERROR(INDEX(Client_List!$J:$J,MATCH(VALUE(B4614),Client_List!$A:$A,0)),""))</f>
        <v/>
      </c>
      <c r="I4614" s="70">
        <f>IF(B4614="","",IFERROR(A4614-LOOKUP(2,1/($B$4:$B4613=B4614),$A$4:$A4613),""))</f>
        <v/>
      </c>
      <c r="J4614" s="32">
        <f>IF(B4614="","",IFERROR(D4614/I4614,""))</f>
        <v/>
      </c>
      <c r="K4614" s="71">
        <f>IF(B4614="","",IFERROR(AVERAGEIFS($J$4:$J4614,$B$4:$B4614,B4614,$J$4:$J4614,"&gt;"&amp;0),""))</f>
        <v/>
      </c>
      <c r="L4614" s="12" t="n"/>
    </row>
    <row r="4615" ht="14" customHeight="1" s="72">
      <c r="A4615" s="82" t="n"/>
      <c r="B4615" s="79" t="n"/>
      <c r="C4615" s="69">
        <f>IF(B4615="","",IFERROR(INDEX(Client_List!$B:$B,MATCH(B4615,Client_List!$A:$A,0)),"⚠ NOT FOUND"))</f>
        <v/>
      </c>
      <c r="D4615" s="44" t="n"/>
      <c r="E4615" s="32">
        <f>IF(B4615="","",IFERROR(INDEX(Client_List!$C:$C,MATCH(VALUE(B4615),Client_List!$A:$A,0)),""))</f>
        <v/>
      </c>
      <c r="F4615" s="53">
        <f>IF(B4615="","",IFERROR(INDEX(Client_List!$D:$D,MATCH(VALUE(B4615),Client_List!$A:$A,0)),""))</f>
        <v/>
      </c>
      <c r="G4615" s="53">
        <f>IF(B4615="","",IFERROR(INDEX(Client_List!$K:$K,MATCH(VALUE(B4615),Client_List!$A:$A,0)),""))</f>
        <v/>
      </c>
      <c r="H4615" s="32">
        <f>IF(B4615="","",IFERROR(INDEX(Client_List!$J:$J,MATCH(VALUE(B4615),Client_List!$A:$A,0)),""))</f>
        <v/>
      </c>
      <c r="I4615" s="70">
        <f>IF(B4615="","",IFERROR(A4615-LOOKUP(2,1/($B$4:$B4614=B4615),$A$4:$A4614),""))</f>
        <v/>
      </c>
      <c r="J4615" s="32">
        <f>IF(B4615="","",IFERROR(D4615/I4615,""))</f>
        <v/>
      </c>
      <c r="K4615" s="71">
        <f>IF(B4615="","",IFERROR(AVERAGEIFS($J$4:$J4615,$B$4:$B4615,B4615,$J$4:$J4615,"&gt;"&amp;0),""))</f>
        <v/>
      </c>
      <c r="L4615" s="11" t="n"/>
    </row>
    <row r="4616" ht="14" customHeight="1" s="72">
      <c r="A4616" s="83" t="n"/>
      <c r="B4616" s="81" t="n"/>
      <c r="C4616" s="69">
        <f>IF(B4616="","",IFERROR(INDEX(Client_List!$B:$B,MATCH(B4616,Client_List!$A:$A,0)),"⚠ NOT FOUND"))</f>
        <v/>
      </c>
      <c r="D4616" s="45" t="n"/>
      <c r="E4616" s="32">
        <f>IF(B4616="","",IFERROR(INDEX(Client_List!$C:$C,MATCH(VALUE(B4616),Client_List!$A:$A,0)),""))</f>
        <v/>
      </c>
      <c r="F4616" s="53">
        <f>IF(B4616="","",IFERROR(INDEX(Client_List!$D:$D,MATCH(VALUE(B4616),Client_List!$A:$A,0)),""))</f>
        <v/>
      </c>
      <c r="G4616" s="53">
        <f>IF(B4616="","",IFERROR(INDEX(Client_List!$K:$K,MATCH(VALUE(B4616),Client_List!$A:$A,0)),""))</f>
        <v/>
      </c>
      <c r="H4616" s="32">
        <f>IF(B4616="","",IFERROR(INDEX(Client_List!$J:$J,MATCH(VALUE(B4616),Client_List!$A:$A,0)),""))</f>
        <v/>
      </c>
      <c r="I4616" s="70">
        <f>IF(B4616="","",IFERROR(A4616-LOOKUP(2,1/($B$4:$B4615=B4616),$A$4:$A4615),""))</f>
        <v/>
      </c>
      <c r="J4616" s="32">
        <f>IF(B4616="","",IFERROR(D4616/I4616,""))</f>
        <v/>
      </c>
      <c r="K4616" s="71">
        <f>IF(B4616="","",IFERROR(AVERAGEIFS($J$4:$J4616,$B$4:$B4616,B4616,$J$4:$J4616,"&gt;"&amp;0),""))</f>
        <v/>
      </c>
      <c r="L4616" s="12" t="n"/>
    </row>
    <row r="4617" ht="14" customHeight="1" s="72">
      <c r="A4617" s="82" t="n"/>
      <c r="B4617" s="79" t="n"/>
      <c r="C4617" s="69">
        <f>IF(B4617="","",IFERROR(INDEX(Client_List!$B:$B,MATCH(B4617,Client_List!$A:$A,0)),"⚠ NOT FOUND"))</f>
        <v/>
      </c>
      <c r="D4617" s="44" t="n"/>
      <c r="E4617" s="32">
        <f>IF(B4617="","",IFERROR(INDEX(Client_List!$C:$C,MATCH(VALUE(B4617),Client_List!$A:$A,0)),""))</f>
        <v/>
      </c>
      <c r="F4617" s="53">
        <f>IF(B4617="","",IFERROR(INDEX(Client_List!$D:$D,MATCH(VALUE(B4617),Client_List!$A:$A,0)),""))</f>
        <v/>
      </c>
      <c r="G4617" s="53">
        <f>IF(B4617="","",IFERROR(INDEX(Client_List!$K:$K,MATCH(VALUE(B4617),Client_List!$A:$A,0)),""))</f>
        <v/>
      </c>
      <c r="H4617" s="32">
        <f>IF(B4617="","",IFERROR(INDEX(Client_List!$J:$J,MATCH(VALUE(B4617),Client_List!$A:$A,0)),""))</f>
        <v/>
      </c>
      <c r="I4617" s="70">
        <f>IF(B4617="","",IFERROR(A4617-LOOKUP(2,1/($B$4:$B4616=B4617),$A$4:$A4616),""))</f>
        <v/>
      </c>
      <c r="J4617" s="32">
        <f>IF(B4617="","",IFERROR(D4617/I4617,""))</f>
        <v/>
      </c>
      <c r="K4617" s="71">
        <f>IF(B4617="","",IFERROR(AVERAGEIFS($J$4:$J4617,$B$4:$B4617,B4617,$J$4:$J4617,"&gt;"&amp;0),""))</f>
        <v/>
      </c>
      <c r="L4617" s="11" t="n"/>
    </row>
    <row r="4618" ht="14" customHeight="1" s="72">
      <c r="A4618" s="83" t="n"/>
      <c r="B4618" s="81" t="n"/>
      <c r="C4618" s="69">
        <f>IF(B4618="","",IFERROR(INDEX(Client_List!$B:$B,MATCH(B4618,Client_List!$A:$A,0)),"⚠ NOT FOUND"))</f>
        <v/>
      </c>
      <c r="D4618" s="45" t="n"/>
      <c r="E4618" s="32">
        <f>IF(B4618="","",IFERROR(INDEX(Client_List!$C:$C,MATCH(VALUE(B4618),Client_List!$A:$A,0)),""))</f>
        <v/>
      </c>
      <c r="F4618" s="53">
        <f>IF(B4618="","",IFERROR(INDEX(Client_List!$D:$D,MATCH(VALUE(B4618),Client_List!$A:$A,0)),""))</f>
        <v/>
      </c>
      <c r="G4618" s="53">
        <f>IF(B4618="","",IFERROR(INDEX(Client_List!$K:$K,MATCH(VALUE(B4618),Client_List!$A:$A,0)),""))</f>
        <v/>
      </c>
      <c r="H4618" s="32">
        <f>IF(B4618="","",IFERROR(INDEX(Client_List!$J:$J,MATCH(VALUE(B4618),Client_List!$A:$A,0)),""))</f>
        <v/>
      </c>
      <c r="I4618" s="70">
        <f>IF(B4618="","",IFERROR(A4618-LOOKUP(2,1/($B$4:$B4617=B4618),$A$4:$A4617),""))</f>
        <v/>
      </c>
      <c r="J4618" s="32">
        <f>IF(B4618="","",IFERROR(D4618/I4618,""))</f>
        <v/>
      </c>
      <c r="K4618" s="71">
        <f>IF(B4618="","",IFERROR(AVERAGEIFS($J$4:$J4618,$B$4:$B4618,B4618,$J$4:$J4618,"&gt;"&amp;0),""))</f>
        <v/>
      </c>
      <c r="L4618" s="12" t="n"/>
    </row>
    <row r="4619" ht="14" customHeight="1" s="72">
      <c r="A4619" s="82" t="n"/>
      <c r="B4619" s="79" t="n"/>
      <c r="C4619" s="69">
        <f>IF(B4619="","",IFERROR(INDEX(Client_List!$B:$B,MATCH(B4619,Client_List!$A:$A,0)),"⚠ NOT FOUND"))</f>
        <v/>
      </c>
      <c r="D4619" s="44" t="n"/>
      <c r="E4619" s="32">
        <f>IF(B4619="","",IFERROR(INDEX(Client_List!$C:$C,MATCH(VALUE(B4619),Client_List!$A:$A,0)),""))</f>
        <v/>
      </c>
      <c r="F4619" s="53">
        <f>IF(B4619="","",IFERROR(INDEX(Client_List!$D:$D,MATCH(VALUE(B4619),Client_List!$A:$A,0)),""))</f>
        <v/>
      </c>
      <c r="G4619" s="53">
        <f>IF(B4619="","",IFERROR(INDEX(Client_List!$K:$K,MATCH(VALUE(B4619),Client_List!$A:$A,0)),""))</f>
        <v/>
      </c>
      <c r="H4619" s="32">
        <f>IF(B4619="","",IFERROR(INDEX(Client_List!$J:$J,MATCH(VALUE(B4619),Client_List!$A:$A,0)),""))</f>
        <v/>
      </c>
      <c r="I4619" s="70">
        <f>IF(B4619="","",IFERROR(A4619-LOOKUP(2,1/($B$4:$B4618=B4619),$A$4:$A4618),""))</f>
        <v/>
      </c>
      <c r="J4619" s="32">
        <f>IF(B4619="","",IFERROR(D4619/I4619,""))</f>
        <v/>
      </c>
      <c r="K4619" s="71">
        <f>IF(B4619="","",IFERROR(AVERAGEIFS($J$4:$J4619,$B$4:$B4619,B4619,$J$4:$J4619,"&gt;"&amp;0),""))</f>
        <v/>
      </c>
      <c r="L4619" s="11" t="n"/>
    </row>
    <row r="4620" ht="14" customHeight="1" s="72">
      <c r="A4620" s="83" t="n"/>
      <c r="B4620" s="81" t="n"/>
      <c r="C4620" s="69">
        <f>IF(B4620="","",IFERROR(INDEX(Client_List!$B:$B,MATCH(B4620,Client_List!$A:$A,0)),"⚠ NOT FOUND"))</f>
        <v/>
      </c>
      <c r="D4620" s="45" t="n"/>
      <c r="E4620" s="32">
        <f>IF(B4620="","",IFERROR(INDEX(Client_List!$C:$C,MATCH(VALUE(B4620),Client_List!$A:$A,0)),""))</f>
        <v/>
      </c>
      <c r="F4620" s="53">
        <f>IF(B4620="","",IFERROR(INDEX(Client_List!$D:$D,MATCH(VALUE(B4620),Client_List!$A:$A,0)),""))</f>
        <v/>
      </c>
      <c r="G4620" s="53">
        <f>IF(B4620="","",IFERROR(INDEX(Client_List!$K:$K,MATCH(VALUE(B4620),Client_List!$A:$A,0)),""))</f>
        <v/>
      </c>
      <c r="H4620" s="32">
        <f>IF(B4620="","",IFERROR(INDEX(Client_List!$J:$J,MATCH(VALUE(B4620),Client_List!$A:$A,0)),""))</f>
        <v/>
      </c>
      <c r="I4620" s="70">
        <f>IF(B4620="","",IFERROR(A4620-LOOKUP(2,1/($B$4:$B4619=B4620),$A$4:$A4619),""))</f>
        <v/>
      </c>
      <c r="J4620" s="32">
        <f>IF(B4620="","",IFERROR(D4620/I4620,""))</f>
        <v/>
      </c>
      <c r="K4620" s="71">
        <f>IF(B4620="","",IFERROR(AVERAGEIFS($J$4:$J4620,$B$4:$B4620,B4620,$J$4:$J4620,"&gt;"&amp;0),""))</f>
        <v/>
      </c>
      <c r="L4620" s="12" t="n"/>
    </row>
    <row r="4621" ht="14" customHeight="1" s="72">
      <c r="A4621" s="82" t="n"/>
      <c r="B4621" s="79" t="n"/>
      <c r="C4621" s="69">
        <f>IF(B4621="","",IFERROR(INDEX(Client_List!$B:$B,MATCH(B4621,Client_List!$A:$A,0)),"⚠ NOT FOUND"))</f>
        <v/>
      </c>
      <c r="D4621" s="44" t="n"/>
      <c r="E4621" s="32">
        <f>IF(B4621="","",IFERROR(INDEX(Client_List!$C:$C,MATCH(VALUE(B4621),Client_List!$A:$A,0)),""))</f>
        <v/>
      </c>
      <c r="F4621" s="53">
        <f>IF(B4621="","",IFERROR(INDEX(Client_List!$D:$D,MATCH(VALUE(B4621),Client_List!$A:$A,0)),""))</f>
        <v/>
      </c>
      <c r="G4621" s="53">
        <f>IF(B4621="","",IFERROR(INDEX(Client_List!$K:$K,MATCH(VALUE(B4621),Client_List!$A:$A,0)),""))</f>
        <v/>
      </c>
      <c r="H4621" s="32">
        <f>IF(B4621="","",IFERROR(INDEX(Client_List!$J:$J,MATCH(VALUE(B4621),Client_List!$A:$A,0)),""))</f>
        <v/>
      </c>
      <c r="I4621" s="70">
        <f>IF(B4621="","",IFERROR(A4621-LOOKUP(2,1/($B$4:$B4620=B4621),$A$4:$A4620),""))</f>
        <v/>
      </c>
      <c r="J4621" s="32">
        <f>IF(B4621="","",IFERROR(D4621/I4621,""))</f>
        <v/>
      </c>
      <c r="K4621" s="71">
        <f>IF(B4621="","",IFERROR(AVERAGEIFS($J$4:$J4621,$B$4:$B4621,B4621,$J$4:$J4621,"&gt;"&amp;0),""))</f>
        <v/>
      </c>
      <c r="L4621" s="11" t="n"/>
    </row>
    <row r="4622" ht="14" customHeight="1" s="72">
      <c r="A4622" s="83" t="n"/>
      <c r="B4622" s="81" t="n"/>
      <c r="C4622" s="69">
        <f>IF(B4622="","",IFERROR(INDEX(Client_List!$B:$B,MATCH(B4622,Client_List!$A:$A,0)),"⚠ NOT FOUND"))</f>
        <v/>
      </c>
      <c r="D4622" s="45" t="n"/>
      <c r="E4622" s="32">
        <f>IF(B4622="","",IFERROR(INDEX(Client_List!$C:$C,MATCH(VALUE(B4622),Client_List!$A:$A,0)),""))</f>
        <v/>
      </c>
      <c r="F4622" s="53">
        <f>IF(B4622="","",IFERROR(INDEX(Client_List!$D:$D,MATCH(VALUE(B4622),Client_List!$A:$A,0)),""))</f>
        <v/>
      </c>
      <c r="G4622" s="53">
        <f>IF(B4622="","",IFERROR(INDEX(Client_List!$K:$K,MATCH(VALUE(B4622),Client_List!$A:$A,0)),""))</f>
        <v/>
      </c>
      <c r="H4622" s="32">
        <f>IF(B4622="","",IFERROR(INDEX(Client_List!$J:$J,MATCH(VALUE(B4622),Client_List!$A:$A,0)),""))</f>
        <v/>
      </c>
      <c r="I4622" s="70">
        <f>IF(B4622="","",IFERROR(A4622-LOOKUP(2,1/($B$4:$B4621=B4622),$A$4:$A4621),""))</f>
        <v/>
      </c>
      <c r="J4622" s="32">
        <f>IF(B4622="","",IFERROR(D4622/I4622,""))</f>
        <v/>
      </c>
      <c r="K4622" s="71">
        <f>IF(B4622="","",IFERROR(AVERAGEIFS($J$4:$J4622,$B$4:$B4622,B4622,$J$4:$J4622,"&gt;"&amp;0),""))</f>
        <v/>
      </c>
      <c r="L4622" s="12" t="n"/>
    </row>
    <row r="4623" ht="14" customHeight="1" s="72">
      <c r="A4623" s="82" t="n"/>
      <c r="B4623" s="79" t="n"/>
      <c r="C4623" s="69">
        <f>IF(B4623="","",IFERROR(INDEX(Client_List!$B:$B,MATCH(B4623,Client_List!$A:$A,0)),"⚠ NOT FOUND"))</f>
        <v/>
      </c>
      <c r="D4623" s="44" t="n"/>
      <c r="E4623" s="32">
        <f>IF(B4623="","",IFERROR(INDEX(Client_List!$C:$C,MATCH(VALUE(B4623),Client_List!$A:$A,0)),""))</f>
        <v/>
      </c>
      <c r="F4623" s="53">
        <f>IF(B4623="","",IFERROR(INDEX(Client_List!$D:$D,MATCH(VALUE(B4623),Client_List!$A:$A,0)),""))</f>
        <v/>
      </c>
      <c r="G4623" s="53">
        <f>IF(B4623="","",IFERROR(INDEX(Client_List!$K:$K,MATCH(VALUE(B4623),Client_List!$A:$A,0)),""))</f>
        <v/>
      </c>
      <c r="H4623" s="32">
        <f>IF(B4623="","",IFERROR(INDEX(Client_List!$J:$J,MATCH(VALUE(B4623),Client_List!$A:$A,0)),""))</f>
        <v/>
      </c>
      <c r="I4623" s="70">
        <f>IF(B4623="","",IFERROR(A4623-LOOKUP(2,1/($B$4:$B4622=B4623),$A$4:$A4622),""))</f>
        <v/>
      </c>
      <c r="J4623" s="32">
        <f>IF(B4623="","",IFERROR(D4623/I4623,""))</f>
        <v/>
      </c>
      <c r="K4623" s="71">
        <f>IF(B4623="","",IFERROR(AVERAGEIFS($J$4:$J4623,$B$4:$B4623,B4623,$J$4:$J4623,"&gt;"&amp;0),""))</f>
        <v/>
      </c>
      <c r="L4623" s="11" t="n"/>
    </row>
    <row r="4624" ht="14" customHeight="1" s="72">
      <c r="A4624" s="83" t="n"/>
      <c r="B4624" s="81" t="n"/>
      <c r="C4624" s="69">
        <f>IF(B4624="","",IFERROR(INDEX(Client_List!$B:$B,MATCH(B4624,Client_List!$A:$A,0)),"⚠ NOT FOUND"))</f>
        <v/>
      </c>
      <c r="D4624" s="45" t="n"/>
      <c r="E4624" s="32">
        <f>IF(B4624="","",IFERROR(INDEX(Client_List!$C:$C,MATCH(VALUE(B4624),Client_List!$A:$A,0)),""))</f>
        <v/>
      </c>
      <c r="F4624" s="53">
        <f>IF(B4624="","",IFERROR(INDEX(Client_List!$D:$D,MATCH(VALUE(B4624),Client_List!$A:$A,0)),""))</f>
        <v/>
      </c>
      <c r="G4624" s="53">
        <f>IF(B4624="","",IFERROR(INDEX(Client_List!$K:$K,MATCH(VALUE(B4624),Client_List!$A:$A,0)),""))</f>
        <v/>
      </c>
      <c r="H4624" s="32">
        <f>IF(B4624="","",IFERROR(INDEX(Client_List!$J:$J,MATCH(VALUE(B4624),Client_List!$A:$A,0)),""))</f>
        <v/>
      </c>
      <c r="I4624" s="70">
        <f>IF(B4624="","",IFERROR(A4624-LOOKUP(2,1/($B$4:$B4623=B4624),$A$4:$A4623),""))</f>
        <v/>
      </c>
      <c r="J4624" s="32">
        <f>IF(B4624="","",IFERROR(D4624/I4624,""))</f>
        <v/>
      </c>
      <c r="K4624" s="71">
        <f>IF(B4624="","",IFERROR(AVERAGEIFS($J$4:$J4624,$B$4:$B4624,B4624,$J$4:$J4624,"&gt;"&amp;0),""))</f>
        <v/>
      </c>
      <c r="L4624" s="12" t="n"/>
    </row>
    <row r="4625" ht="14" customHeight="1" s="72">
      <c r="A4625" s="82" t="n"/>
      <c r="B4625" s="79" t="n"/>
      <c r="C4625" s="69">
        <f>IF(B4625="","",IFERROR(INDEX(Client_List!$B:$B,MATCH(B4625,Client_List!$A:$A,0)),"⚠ NOT FOUND"))</f>
        <v/>
      </c>
      <c r="D4625" s="44" t="n"/>
      <c r="E4625" s="32">
        <f>IF(B4625="","",IFERROR(INDEX(Client_List!$C:$C,MATCH(VALUE(B4625),Client_List!$A:$A,0)),""))</f>
        <v/>
      </c>
      <c r="F4625" s="53">
        <f>IF(B4625="","",IFERROR(INDEX(Client_List!$D:$D,MATCH(VALUE(B4625),Client_List!$A:$A,0)),""))</f>
        <v/>
      </c>
      <c r="G4625" s="53">
        <f>IF(B4625="","",IFERROR(INDEX(Client_List!$K:$K,MATCH(VALUE(B4625),Client_List!$A:$A,0)),""))</f>
        <v/>
      </c>
      <c r="H4625" s="32">
        <f>IF(B4625="","",IFERROR(INDEX(Client_List!$J:$J,MATCH(VALUE(B4625),Client_List!$A:$A,0)),""))</f>
        <v/>
      </c>
      <c r="I4625" s="70">
        <f>IF(B4625="","",IFERROR(A4625-LOOKUP(2,1/($B$4:$B4624=B4625),$A$4:$A4624),""))</f>
        <v/>
      </c>
      <c r="J4625" s="32">
        <f>IF(B4625="","",IFERROR(D4625/I4625,""))</f>
        <v/>
      </c>
      <c r="K4625" s="71">
        <f>IF(B4625="","",IFERROR(AVERAGEIFS($J$4:$J4625,$B$4:$B4625,B4625,$J$4:$J4625,"&gt;"&amp;0),""))</f>
        <v/>
      </c>
      <c r="L4625" s="11" t="n"/>
    </row>
    <row r="4626" ht="14" customHeight="1" s="72">
      <c r="A4626" s="83" t="n"/>
      <c r="B4626" s="81" t="n"/>
      <c r="C4626" s="69">
        <f>IF(B4626="","",IFERROR(INDEX(Client_List!$B:$B,MATCH(B4626,Client_List!$A:$A,0)),"⚠ NOT FOUND"))</f>
        <v/>
      </c>
      <c r="D4626" s="45" t="n"/>
      <c r="E4626" s="32">
        <f>IF(B4626="","",IFERROR(INDEX(Client_List!$C:$C,MATCH(VALUE(B4626),Client_List!$A:$A,0)),""))</f>
        <v/>
      </c>
      <c r="F4626" s="53">
        <f>IF(B4626="","",IFERROR(INDEX(Client_List!$D:$D,MATCH(VALUE(B4626),Client_List!$A:$A,0)),""))</f>
        <v/>
      </c>
      <c r="G4626" s="53">
        <f>IF(B4626="","",IFERROR(INDEX(Client_List!$K:$K,MATCH(VALUE(B4626),Client_List!$A:$A,0)),""))</f>
        <v/>
      </c>
      <c r="H4626" s="32">
        <f>IF(B4626="","",IFERROR(INDEX(Client_List!$J:$J,MATCH(VALUE(B4626),Client_List!$A:$A,0)),""))</f>
        <v/>
      </c>
      <c r="I4626" s="70">
        <f>IF(B4626="","",IFERROR(A4626-LOOKUP(2,1/($B$4:$B4625=B4626),$A$4:$A4625),""))</f>
        <v/>
      </c>
      <c r="J4626" s="32">
        <f>IF(B4626="","",IFERROR(D4626/I4626,""))</f>
        <v/>
      </c>
      <c r="K4626" s="71">
        <f>IF(B4626="","",IFERROR(AVERAGEIFS($J$4:$J4626,$B$4:$B4626,B4626,$J$4:$J4626,"&gt;"&amp;0),""))</f>
        <v/>
      </c>
      <c r="L4626" s="12" t="n"/>
    </row>
    <row r="4627" ht="14" customHeight="1" s="72">
      <c r="A4627" s="82" t="n"/>
      <c r="B4627" s="79" t="n"/>
      <c r="C4627" s="69">
        <f>IF(B4627="","",IFERROR(INDEX(Client_List!$B:$B,MATCH(B4627,Client_List!$A:$A,0)),"⚠ NOT FOUND"))</f>
        <v/>
      </c>
      <c r="D4627" s="44" t="n"/>
      <c r="E4627" s="32">
        <f>IF(B4627="","",IFERROR(INDEX(Client_List!$C:$C,MATCH(VALUE(B4627),Client_List!$A:$A,0)),""))</f>
        <v/>
      </c>
      <c r="F4627" s="53">
        <f>IF(B4627="","",IFERROR(INDEX(Client_List!$D:$D,MATCH(VALUE(B4627),Client_List!$A:$A,0)),""))</f>
        <v/>
      </c>
      <c r="G4627" s="53">
        <f>IF(B4627="","",IFERROR(INDEX(Client_List!$K:$K,MATCH(VALUE(B4627),Client_List!$A:$A,0)),""))</f>
        <v/>
      </c>
      <c r="H4627" s="32">
        <f>IF(B4627="","",IFERROR(INDEX(Client_List!$J:$J,MATCH(VALUE(B4627),Client_List!$A:$A,0)),""))</f>
        <v/>
      </c>
      <c r="I4627" s="70">
        <f>IF(B4627="","",IFERROR(A4627-LOOKUP(2,1/($B$4:$B4626=B4627),$A$4:$A4626),""))</f>
        <v/>
      </c>
      <c r="J4627" s="32">
        <f>IF(B4627="","",IFERROR(D4627/I4627,""))</f>
        <v/>
      </c>
      <c r="K4627" s="71">
        <f>IF(B4627="","",IFERROR(AVERAGEIFS($J$4:$J4627,$B$4:$B4627,B4627,$J$4:$J4627,"&gt;"&amp;0),""))</f>
        <v/>
      </c>
      <c r="L4627" s="11" t="n"/>
    </row>
    <row r="4628" ht="14" customHeight="1" s="72">
      <c r="A4628" s="83" t="n"/>
      <c r="B4628" s="81" t="n"/>
      <c r="C4628" s="69">
        <f>IF(B4628="","",IFERROR(INDEX(Client_List!$B:$B,MATCH(B4628,Client_List!$A:$A,0)),"⚠ NOT FOUND"))</f>
        <v/>
      </c>
      <c r="D4628" s="45" t="n"/>
      <c r="E4628" s="32">
        <f>IF(B4628="","",IFERROR(INDEX(Client_List!$C:$C,MATCH(VALUE(B4628),Client_List!$A:$A,0)),""))</f>
        <v/>
      </c>
      <c r="F4628" s="53">
        <f>IF(B4628="","",IFERROR(INDEX(Client_List!$D:$D,MATCH(VALUE(B4628),Client_List!$A:$A,0)),""))</f>
        <v/>
      </c>
      <c r="G4628" s="53">
        <f>IF(B4628="","",IFERROR(INDEX(Client_List!$K:$K,MATCH(VALUE(B4628),Client_List!$A:$A,0)),""))</f>
        <v/>
      </c>
      <c r="H4628" s="32">
        <f>IF(B4628="","",IFERROR(INDEX(Client_List!$J:$J,MATCH(VALUE(B4628),Client_List!$A:$A,0)),""))</f>
        <v/>
      </c>
      <c r="I4628" s="70">
        <f>IF(B4628="","",IFERROR(A4628-LOOKUP(2,1/($B$4:$B4627=B4628),$A$4:$A4627),""))</f>
        <v/>
      </c>
      <c r="J4628" s="32">
        <f>IF(B4628="","",IFERROR(D4628/I4628,""))</f>
        <v/>
      </c>
      <c r="K4628" s="71">
        <f>IF(B4628="","",IFERROR(AVERAGEIFS($J$4:$J4628,$B$4:$B4628,B4628,$J$4:$J4628,"&gt;"&amp;0),""))</f>
        <v/>
      </c>
      <c r="L4628" s="12" t="n"/>
    </row>
    <row r="4629" ht="14" customHeight="1" s="72">
      <c r="A4629" s="82" t="n"/>
      <c r="B4629" s="79" t="n"/>
      <c r="C4629" s="69">
        <f>IF(B4629="","",IFERROR(INDEX(Client_List!$B:$B,MATCH(B4629,Client_List!$A:$A,0)),"⚠ NOT FOUND"))</f>
        <v/>
      </c>
      <c r="D4629" s="44" t="n"/>
      <c r="E4629" s="32">
        <f>IF(B4629="","",IFERROR(INDEX(Client_List!$C:$C,MATCH(VALUE(B4629),Client_List!$A:$A,0)),""))</f>
        <v/>
      </c>
      <c r="F4629" s="53">
        <f>IF(B4629="","",IFERROR(INDEX(Client_List!$D:$D,MATCH(VALUE(B4629),Client_List!$A:$A,0)),""))</f>
        <v/>
      </c>
      <c r="G4629" s="53">
        <f>IF(B4629="","",IFERROR(INDEX(Client_List!$K:$K,MATCH(VALUE(B4629),Client_List!$A:$A,0)),""))</f>
        <v/>
      </c>
      <c r="H4629" s="32">
        <f>IF(B4629="","",IFERROR(INDEX(Client_List!$J:$J,MATCH(VALUE(B4629),Client_List!$A:$A,0)),""))</f>
        <v/>
      </c>
      <c r="I4629" s="70">
        <f>IF(B4629="","",IFERROR(A4629-LOOKUP(2,1/($B$4:$B4628=B4629),$A$4:$A4628),""))</f>
        <v/>
      </c>
      <c r="J4629" s="32">
        <f>IF(B4629="","",IFERROR(D4629/I4629,""))</f>
        <v/>
      </c>
      <c r="K4629" s="71">
        <f>IF(B4629="","",IFERROR(AVERAGEIFS($J$4:$J4629,$B$4:$B4629,B4629,$J$4:$J4629,"&gt;"&amp;0),""))</f>
        <v/>
      </c>
      <c r="L4629" s="11" t="n"/>
    </row>
    <row r="4630" ht="14" customHeight="1" s="72">
      <c r="A4630" s="83" t="n"/>
      <c r="B4630" s="81" t="n"/>
      <c r="C4630" s="69">
        <f>IF(B4630="","",IFERROR(INDEX(Client_List!$B:$B,MATCH(B4630,Client_List!$A:$A,0)),"⚠ NOT FOUND"))</f>
        <v/>
      </c>
      <c r="D4630" s="45" t="n"/>
      <c r="E4630" s="32">
        <f>IF(B4630="","",IFERROR(INDEX(Client_List!$C:$C,MATCH(VALUE(B4630),Client_List!$A:$A,0)),""))</f>
        <v/>
      </c>
      <c r="F4630" s="53">
        <f>IF(B4630="","",IFERROR(INDEX(Client_List!$D:$D,MATCH(VALUE(B4630),Client_List!$A:$A,0)),""))</f>
        <v/>
      </c>
      <c r="G4630" s="53">
        <f>IF(B4630="","",IFERROR(INDEX(Client_List!$K:$K,MATCH(VALUE(B4630),Client_List!$A:$A,0)),""))</f>
        <v/>
      </c>
      <c r="H4630" s="32">
        <f>IF(B4630="","",IFERROR(INDEX(Client_List!$J:$J,MATCH(VALUE(B4630),Client_List!$A:$A,0)),""))</f>
        <v/>
      </c>
      <c r="I4630" s="70">
        <f>IF(B4630="","",IFERROR(A4630-LOOKUP(2,1/($B$4:$B4629=B4630),$A$4:$A4629),""))</f>
        <v/>
      </c>
      <c r="J4630" s="32">
        <f>IF(B4630="","",IFERROR(D4630/I4630,""))</f>
        <v/>
      </c>
      <c r="K4630" s="71">
        <f>IF(B4630="","",IFERROR(AVERAGEIFS($J$4:$J4630,$B$4:$B4630,B4630,$J$4:$J4630,"&gt;"&amp;0),""))</f>
        <v/>
      </c>
      <c r="L4630" s="12" t="n"/>
    </row>
    <row r="4631" ht="14" customHeight="1" s="72">
      <c r="A4631" s="82" t="n"/>
      <c r="B4631" s="79" t="n"/>
      <c r="C4631" s="69">
        <f>IF(B4631="","",IFERROR(INDEX(Client_List!$B:$B,MATCH(B4631,Client_List!$A:$A,0)),"⚠ NOT FOUND"))</f>
        <v/>
      </c>
      <c r="D4631" s="44" t="n"/>
      <c r="E4631" s="32">
        <f>IF(B4631="","",IFERROR(INDEX(Client_List!$C:$C,MATCH(VALUE(B4631),Client_List!$A:$A,0)),""))</f>
        <v/>
      </c>
      <c r="F4631" s="53">
        <f>IF(B4631="","",IFERROR(INDEX(Client_List!$D:$D,MATCH(VALUE(B4631),Client_List!$A:$A,0)),""))</f>
        <v/>
      </c>
      <c r="G4631" s="53">
        <f>IF(B4631="","",IFERROR(INDEX(Client_List!$K:$K,MATCH(VALUE(B4631),Client_List!$A:$A,0)),""))</f>
        <v/>
      </c>
      <c r="H4631" s="32">
        <f>IF(B4631="","",IFERROR(INDEX(Client_List!$J:$J,MATCH(VALUE(B4631),Client_List!$A:$A,0)),""))</f>
        <v/>
      </c>
      <c r="I4631" s="70">
        <f>IF(B4631="","",IFERROR(A4631-LOOKUP(2,1/($B$4:$B4630=B4631),$A$4:$A4630),""))</f>
        <v/>
      </c>
      <c r="J4631" s="32">
        <f>IF(B4631="","",IFERROR(D4631/I4631,""))</f>
        <v/>
      </c>
      <c r="K4631" s="71">
        <f>IF(B4631="","",IFERROR(AVERAGEIFS($J$4:$J4631,$B$4:$B4631,B4631,$J$4:$J4631,"&gt;"&amp;0),""))</f>
        <v/>
      </c>
      <c r="L4631" s="11" t="n"/>
    </row>
    <row r="4632" ht="14" customHeight="1" s="72">
      <c r="A4632" s="83" t="n"/>
      <c r="B4632" s="81" t="n"/>
      <c r="C4632" s="69">
        <f>IF(B4632="","",IFERROR(INDEX(Client_List!$B:$B,MATCH(B4632,Client_List!$A:$A,0)),"⚠ NOT FOUND"))</f>
        <v/>
      </c>
      <c r="D4632" s="45" t="n"/>
      <c r="E4632" s="32">
        <f>IF(B4632="","",IFERROR(INDEX(Client_List!$C:$C,MATCH(VALUE(B4632),Client_List!$A:$A,0)),""))</f>
        <v/>
      </c>
      <c r="F4632" s="53">
        <f>IF(B4632="","",IFERROR(INDEX(Client_List!$D:$D,MATCH(VALUE(B4632),Client_List!$A:$A,0)),""))</f>
        <v/>
      </c>
      <c r="G4632" s="53">
        <f>IF(B4632="","",IFERROR(INDEX(Client_List!$K:$K,MATCH(VALUE(B4632),Client_List!$A:$A,0)),""))</f>
        <v/>
      </c>
      <c r="H4632" s="32">
        <f>IF(B4632="","",IFERROR(INDEX(Client_List!$J:$J,MATCH(VALUE(B4632),Client_List!$A:$A,0)),""))</f>
        <v/>
      </c>
      <c r="I4632" s="70">
        <f>IF(B4632="","",IFERROR(A4632-LOOKUP(2,1/($B$4:$B4631=B4632),$A$4:$A4631),""))</f>
        <v/>
      </c>
      <c r="J4632" s="32">
        <f>IF(B4632="","",IFERROR(D4632/I4632,""))</f>
        <v/>
      </c>
      <c r="K4632" s="71">
        <f>IF(B4632="","",IFERROR(AVERAGEIFS($J$4:$J4632,$B$4:$B4632,B4632,$J$4:$J4632,"&gt;"&amp;0),""))</f>
        <v/>
      </c>
      <c r="L4632" s="12" t="n"/>
    </row>
    <row r="4633" ht="14" customHeight="1" s="72">
      <c r="A4633" s="82" t="n"/>
      <c r="B4633" s="79" t="n"/>
      <c r="C4633" s="69">
        <f>IF(B4633="","",IFERROR(INDEX(Client_List!$B:$B,MATCH(B4633,Client_List!$A:$A,0)),"⚠ NOT FOUND"))</f>
        <v/>
      </c>
      <c r="D4633" s="44" t="n"/>
      <c r="E4633" s="32">
        <f>IF(B4633="","",IFERROR(INDEX(Client_List!$C:$C,MATCH(VALUE(B4633),Client_List!$A:$A,0)),""))</f>
        <v/>
      </c>
      <c r="F4633" s="53">
        <f>IF(B4633="","",IFERROR(INDEX(Client_List!$D:$D,MATCH(VALUE(B4633),Client_List!$A:$A,0)),""))</f>
        <v/>
      </c>
      <c r="G4633" s="53">
        <f>IF(B4633="","",IFERROR(INDEX(Client_List!$K:$K,MATCH(VALUE(B4633),Client_List!$A:$A,0)),""))</f>
        <v/>
      </c>
      <c r="H4633" s="32">
        <f>IF(B4633="","",IFERROR(INDEX(Client_List!$J:$J,MATCH(VALUE(B4633),Client_List!$A:$A,0)),""))</f>
        <v/>
      </c>
      <c r="I4633" s="70">
        <f>IF(B4633="","",IFERROR(A4633-LOOKUP(2,1/($B$4:$B4632=B4633),$A$4:$A4632),""))</f>
        <v/>
      </c>
      <c r="J4633" s="32">
        <f>IF(B4633="","",IFERROR(D4633/I4633,""))</f>
        <v/>
      </c>
      <c r="K4633" s="71">
        <f>IF(B4633="","",IFERROR(AVERAGEIFS($J$4:$J4633,$B$4:$B4633,B4633,$J$4:$J4633,"&gt;"&amp;0),""))</f>
        <v/>
      </c>
      <c r="L4633" s="11" t="n"/>
    </row>
    <row r="4634" ht="14" customHeight="1" s="72">
      <c r="A4634" s="83" t="n"/>
      <c r="B4634" s="81" t="n"/>
      <c r="C4634" s="69">
        <f>IF(B4634="","",IFERROR(INDEX(Client_List!$B:$B,MATCH(B4634,Client_List!$A:$A,0)),"⚠ NOT FOUND"))</f>
        <v/>
      </c>
      <c r="D4634" s="45" t="n"/>
      <c r="E4634" s="32">
        <f>IF(B4634="","",IFERROR(INDEX(Client_List!$C:$C,MATCH(VALUE(B4634),Client_List!$A:$A,0)),""))</f>
        <v/>
      </c>
      <c r="F4634" s="53">
        <f>IF(B4634="","",IFERROR(INDEX(Client_List!$D:$D,MATCH(VALUE(B4634),Client_List!$A:$A,0)),""))</f>
        <v/>
      </c>
      <c r="G4634" s="53">
        <f>IF(B4634="","",IFERROR(INDEX(Client_List!$K:$K,MATCH(VALUE(B4634),Client_List!$A:$A,0)),""))</f>
        <v/>
      </c>
      <c r="H4634" s="32">
        <f>IF(B4634="","",IFERROR(INDEX(Client_List!$J:$J,MATCH(VALUE(B4634),Client_List!$A:$A,0)),""))</f>
        <v/>
      </c>
      <c r="I4634" s="70">
        <f>IF(B4634="","",IFERROR(A4634-LOOKUP(2,1/($B$4:$B4633=B4634),$A$4:$A4633),""))</f>
        <v/>
      </c>
      <c r="J4634" s="32">
        <f>IF(B4634="","",IFERROR(D4634/I4634,""))</f>
        <v/>
      </c>
      <c r="K4634" s="71">
        <f>IF(B4634="","",IFERROR(AVERAGEIFS($J$4:$J4634,$B$4:$B4634,B4634,$J$4:$J4634,"&gt;"&amp;0),""))</f>
        <v/>
      </c>
      <c r="L4634" s="12" t="n"/>
    </row>
    <row r="4635" ht="14" customHeight="1" s="72">
      <c r="A4635" s="82" t="n"/>
      <c r="B4635" s="79" t="n"/>
      <c r="C4635" s="69">
        <f>IF(B4635="","",IFERROR(INDEX(Client_List!$B:$B,MATCH(B4635,Client_List!$A:$A,0)),"⚠ NOT FOUND"))</f>
        <v/>
      </c>
      <c r="D4635" s="44" t="n"/>
      <c r="E4635" s="32">
        <f>IF(B4635="","",IFERROR(INDEX(Client_List!$C:$C,MATCH(VALUE(B4635),Client_List!$A:$A,0)),""))</f>
        <v/>
      </c>
      <c r="F4635" s="53">
        <f>IF(B4635="","",IFERROR(INDEX(Client_List!$D:$D,MATCH(VALUE(B4635),Client_List!$A:$A,0)),""))</f>
        <v/>
      </c>
      <c r="G4635" s="53">
        <f>IF(B4635="","",IFERROR(INDEX(Client_List!$K:$K,MATCH(VALUE(B4635),Client_List!$A:$A,0)),""))</f>
        <v/>
      </c>
      <c r="H4635" s="32">
        <f>IF(B4635="","",IFERROR(INDEX(Client_List!$J:$J,MATCH(VALUE(B4635),Client_List!$A:$A,0)),""))</f>
        <v/>
      </c>
      <c r="I4635" s="70">
        <f>IF(B4635="","",IFERROR(A4635-LOOKUP(2,1/($B$4:$B4634=B4635),$A$4:$A4634),""))</f>
        <v/>
      </c>
      <c r="J4635" s="32">
        <f>IF(B4635="","",IFERROR(D4635/I4635,""))</f>
        <v/>
      </c>
      <c r="K4635" s="71">
        <f>IF(B4635="","",IFERROR(AVERAGEIFS($J$4:$J4635,$B$4:$B4635,B4635,$J$4:$J4635,"&gt;"&amp;0),""))</f>
        <v/>
      </c>
      <c r="L4635" s="11" t="n"/>
    </row>
    <row r="4636" ht="14" customHeight="1" s="72">
      <c r="A4636" s="83" t="n"/>
      <c r="B4636" s="81" t="n"/>
      <c r="C4636" s="69">
        <f>IF(B4636="","",IFERROR(INDEX(Client_List!$B:$B,MATCH(B4636,Client_List!$A:$A,0)),"⚠ NOT FOUND"))</f>
        <v/>
      </c>
      <c r="D4636" s="45" t="n"/>
      <c r="E4636" s="32">
        <f>IF(B4636="","",IFERROR(INDEX(Client_List!$C:$C,MATCH(VALUE(B4636),Client_List!$A:$A,0)),""))</f>
        <v/>
      </c>
      <c r="F4636" s="53">
        <f>IF(B4636="","",IFERROR(INDEX(Client_List!$D:$D,MATCH(VALUE(B4636),Client_List!$A:$A,0)),""))</f>
        <v/>
      </c>
      <c r="G4636" s="53">
        <f>IF(B4636="","",IFERROR(INDEX(Client_List!$K:$K,MATCH(VALUE(B4636),Client_List!$A:$A,0)),""))</f>
        <v/>
      </c>
      <c r="H4636" s="32">
        <f>IF(B4636="","",IFERROR(INDEX(Client_List!$J:$J,MATCH(VALUE(B4636),Client_List!$A:$A,0)),""))</f>
        <v/>
      </c>
      <c r="I4636" s="70">
        <f>IF(B4636="","",IFERROR(A4636-LOOKUP(2,1/($B$4:$B4635=B4636),$A$4:$A4635),""))</f>
        <v/>
      </c>
      <c r="J4636" s="32">
        <f>IF(B4636="","",IFERROR(D4636/I4636,""))</f>
        <v/>
      </c>
      <c r="K4636" s="71">
        <f>IF(B4636="","",IFERROR(AVERAGEIFS($J$4:$J4636,$B$4:$B4636,B4636,$J$4:$J4636,"&gt;"&amp;0),""))</f>
        <v/>
      </c>
      <c r="L4636" s="12" t="n"/>
    </row>
    <row r="4637" ht="14" customHeight="1" s="72">
      <c r="A4637" s="82" t="n"/>
      <c r="B4637" s="79" t="n"/>
      <c r="C4637" s="69">
        <f>IF(B4637="","",IFERROR(INDEX(Client_List!$B:$B,MATCH(B4637,Client_List!$A:$A,0)),"⚠ NOT FOUND"))</f>
        <v/>
      </c>
      <c r="D4637" s="44" t="n"/>
      <c r="E4637" s="32">
        <f>IF(B4637="","",IFERROR(INDEX(Client_List!$C:$C,MATCH(VALUE(B4637),Client_List!$A:$A,0)),""))</f>
        <v/>
      </c>
      <c r="F4637" s="53">
        <f>IF(B4637="","",IFERROR(INDEX(Client_List!$D:$D,MATCH(VALUE(B4637),Client_List!$A:$A,0)),""))</f>
        <v/>
      </c>
      <c r="G4637" s="53">
        <f>IF(B4637="","",IFERROR(INDEX(Client_List!$K:$K,MATCH(VALUE(B4637),Client_List!$A:$A,0)),""))</f>
        <v/>
      </c>
      <c r="H4637" s="32">
        <f>IF(B4637="","",IFERROR(INDEX(Client_List!$J:$J,MATCH(VALUE(B4637),Client_List!$A:$A,0)),""))</f>
        <v/>
      </c>
      <c r="I4637" s="70">
        <f>IF(B4637="","",IFERROR(A4637-LOOKUP(2,1/($B$4:$B4636=B4637),$A$4:$A4636),""))</f>
        <v/>
      </c>
      <c r="J4637" s="32">
        <f>IF(B4637="","",IFERROR(D4637/I4637,""))</f>
        <v/>
      </c>
      <c r="K4637" s="71">
        <f>IF(B4637="","",IFERROR(AVERAGEIFS($J$4:$J4637,$B$4:$B4637,B4637,$J$4:$J4637,"&gt;"&amp;0),""))</f>
        <v/>
      </c>
      <c r="L4637" s="11" t="n"/>
    </row>
    <row r="4638" ht="14" customHeight="1" s="72">
      <c r="A4638" s="83" t="n"/>
      <c r="B4638" s="81" t="n"/>
      <c r="C4638" s="69">
        <f>IF(B4638="","",IFERROR(INDEX(Client_List!$B:$B,MATCH(B4638,Client_List!$A:$A,0)),"⚠ NOT FOUND"))</f>
        <v/>
      </c>
      <c r="D4638" s="45" t="n"/>
      <c r="E4638" s="32">
        <f>IF(B4638="","",IFERROR(INDEX(Client_List!$C:$C,MATCH(VALUE(B4638),Client_List!$A:$A,0)),""))</f>
        <v/>
      </c>
      <c r="F4638" s="53">
        <f>IF(B4638="","",IFERROR(INDEX(Client_List!$D:$D,MATCH(VALUE(B4638),Client_List!$A:$A,0)),""))</f>
        <v/>
      </c>
      <c r="G4638" s="53">
        <f>IF(B4638="","",IFERROR(INDEX(Client_List!$K:$K,MATCH(VALUE(B4638),Client_List!$A:$A,0)),""))</f>
        <v/>
      </c>
      <c r="H4638" s="32">
        <f>IF(B4638="","",IFERROR(INDEX(Client_List!$J:$J,MATCH(VALUE(B4638),Client_List!$A:$A,0)),""))</f>
        <v/>
      </c>
      <c r="I4638" s="70">
        <f>IF(B4638="","",IFERROR(A4638-LOOKUP(2,1/($B$4:$B4637=B4638),$A$4:$A4637),""))</f>
        <v/>
      </c>
      <c r="J4638" s="32">
        <f>IF(B4638="","",IFERROR(D4638/I4638,""))</f>
        <v/>
      </c>
      <c r="K4638" s="71">
        <f>IF(B4638="","",IFERROR(AVERAGEIFS($J$4:$J4638,$B$4:$B4638,B4638,$J$4:$J4638,"&gt;"&amp;0),""))</f>
        <v/>
      </c>
      <c r="L4638" s="12" t="n"/>
    </row>
    <row r="4639" ht="14" customHeight="1" s="72">
      <c r="A4639" s="82" t="n"/>
      <c r="B4639" s="79" t="n"/>
      <c r="C4639" s="69">
        <f>IF(B4639="","",IFERROR(INDEX(Client_List!$B:$B,MATCH(B4639,Client_List!$A:$A,0)),"⚠ NOT FOUND"))</f>
        <v/>
      </c>
      <c r="D4639" s="44" t="n"/>
      <c r="E4639" s="32">
        <f>IF(B4639="","",IFERROR(INDEX(Client_List!$C:$C,MATCH(VALUE(B4639),Client_List!$A:$A,0)),""))</f>
        <v/>
      </c>
      <c r="F4639" s="53">
        <f>IF(B4639="","",IFERROR(INDEX(Client_List!$D:$D,MATCH(VALUE(B4639),Client_List!$A:$A,0)),""))</f>
        <v/>
      </c>
      <c r="G4639" s="53">
        <f>IF(B4639="","",IFERROR(INDEX(Client_List!$K:$K,MATCH(VALUE(B4639),Client_List!$A:$A,0)),""))</f>
        <v/>
      </c>
      <c r="H4639" s="32">
        <f>IF(B4639="","",IFERROR(INDEX(Client_List!$J:$J,MATCH(VALUE(B4639),Client_List!$A:$A,0)),""))</f>
        <v/>
      </c>
      <c r="I4639" s="70">
        <f>IF(B4639="","",IFERROR(A4639-LOOKUP(2,1/($B$4:$B4638=B4639),$A$4:$A4638),""))</f>
        <v/>
      </c>
      <c r="J4639" s="32">
        <f>IF(B4639="","",IFERROR(D4639/I4639,""))</f>
        <v/>
      </c>
      <c r="K4639" s="71">
        <f>IF(B4639="","",IFERROR(AVERAGEIFS($J$4:$J4639,$B$4:$B4639,B4639,$J$4:$J4639,"&gt;"&amp;0),""))</f>
        <v/>
      </c>
      <c r="L4639" s="11" t="n"/>
    </row>
    <row r="4640" ht="14" customHeight="1" s="72">
      <c r="A4640" s="83" t="n"/>
      <c r="B4640" s="81" t="n"/>
      <c r="C4640" s="69">
        <f>IF(B4640="","",IFERROR(INDEX(Client_List!$B:$B,MATCH(B4640,Client_List!$A:$A,0)),"⚠ NOT FOUND"))</f>
        <v/>
      </c>
      <c r="D4640" s="45" t="n"/>
      <c r="E4640" s="32">
        <f>IF(B4640="","",IFERROR(INDEX(Client_List!$C:$C,MATCH(VALUE(B4640),Client_List!$A:$A,0)),""))</f>
        <v/>
      </c>
      <c r="F4640" s="53">
        <f>IF(B4640="","",IFERROR(INDEX(Client_List!$D:$D,MATCH(VALUE(B4640),Client_List!$A:$A,0)),""))</f>
        <v/>
      </c>
      <c r="G4640" s="53">
        <f>IF(B4640="","",IFERROR(INDEX(Client_List!$K:$K,MATCH(VALUE(B4640),Client_List!$A:$A,0)),""))</f>
        <v/>
      </c>
      <c r="H4640" s="32">
        <f>IF(B4640="","",IFERROR(INDEX(Client_List!$J:$J,MATCH(VALUE(B4640),Client_List!$A:$A,0)),""))</f>
        <v/>
      </c>
      <c r="I4640" s="70">
        <f>IF(B4640="","",IFERROR(A4640-LOOKUP(2,1/($B$4:$B4639=B4640),$A$4:$A4639),""))</f>
        <v/>
      </c>
      <c r="J4640" s="32">
        <f>IF(B4640="","",IFERROR(D4640/I4640,""))</f>
        <v/>
      </c>
      <c r="K4640" s="71">
        <f>IF(B4640="","",IFERROR(AVERAGEIFS($J$4:$J4640,$B$4:$B4640,B4640,$J$4:$J4640,"&gt;"&amp;0),""))</f>
        <v/>
      </c>
      <c r="L4640" s="12" t="n"/>
    </row>
    <row r="4641" ht="14" customHeight="1" s="72">
      <c r="A4641" s="82" t="n"/>
      <c r="B4641" s="79" t="n"/>
      <c r="C4641" s="69">
        <f>IF(B4641="","",IFERROR(INDEX(Client_List!$B:$B,MATCH(B4641,Client_List!$A:$A,0)),"⚠ NOT FOUND"))</f>
        <v/>
      </c>
      <c r="D4641" s="44" t="n"/>
      <c r="E4641" s="32">
        <f>IF(B4641="","",IFERROR(INDEX(Client_List!$C:$C,MATCH(VALUE(B4641),Client_List!$A:$A,0)),""))</f>
        <v/>
      </c>
      <c r="F4641" s="53">
        <f>IF(B4641="","",IFERROR(INDEX(Client_List!$D:$D,MATCH(VALUE(B4641),Client_List!$A:$A,0)),""))</f>
        <v/>
      </c>
      <c r="G4641" s="53">
        <f>IF(B4641="","",IFERROR(INDEX(Client_List!$K:$K,MATCH(VALUE(B4641),Client_List!$A:$A,0)),""))</f>
        <v/>
      </c>
      <c r="H4641" s="32">
        <f>IF(B4641="","",IFERROR(INDEX(Client_List!$J:$J,MATCH(VALUE(B4641),Client_List!$A:$A,0)),""))</f>
        <v/>
      </c>
      <c r="I4641" s="70">
        <f>IF(B4641="","",IFERROR(A4641-LOOKUP(2,1/($B$4:$B4640=B4641),$A$4:$A4640),""))</f>
        <v/>
      </c>
      <c r="J4641" s="32">
        <f>IF(B4641="","",IFERROR(D4641/I4641,""))</f>
        <v/>
      </c>
      <c r="K4641" s="71">
        <f>IF(B4641="","",IFERROR(AVERAGEIFS($J$4:$J4641,$B$4:$B4641,B4641,$J$4:$J4641,"&gt;"&amp;0),""))</f>
        <v/>
      </c>
      <c r="L4641" s="11" t="n"/>
    </row>
    <row r="4642" ht="14" customHeight="1" s="72">
      <c r="A4642" s="83" t="n"/>
      <c r="B4642" s="81" t="n"/>
      <c r="C4642" s="69">
        <f>IF(B4642="","",IFERROR(INDEX(Client_List!$B:$B,MATCH(B4642,Client_List!$A:$A,0)),"⚠ NOT FOUND"))</f>
        <v/>
      </c>
      <c r="D4642" s="45" t="n"/>
      <c r="E4642" s="32">
        <f>IF(B4642="","",IFERROR(INDEX(Client_List!$C:$C,MATCH(VALUE(B4642),Client_List!$A:$A,0)),""))</f>
        <v/>
      </c>
      <c r="F4642" s="53">
        <f>IF(B4642="","",IFERROR(INDEX(Client_List!$D:$D,MATCH(VALUE(B4642),Client_List!$A:$A,0)),""))</f>
        <v/>
      </c>
      <c r="G4642" s="53">
        <f>IF(B4642="","",IFERROR(INDEX(Client_List!$K:$K,MATCH(VALUE(B4642),Client_List!$A:$A,0)),""))</f>
        <v/>
      </c>
      <c r="H4642" s="32">
        <f>IF(B4642="","",IFERROR(INDEX(Client_List!$J:$J,MATCH(VALUE(B4642),Client_List!$A:$A,0)),""))</f>
        <v/>
      </c>
      <c r="I4642" s="70">
        <f>IF(B4642="","",IFERROR(A4642-LOOKUP(2,1/($B$4:$B4641=B4642),$A$4:$A4641),""))</f>
        <v/>
      </c>
      <c r="J4642" s="32">
        <f>IF(B4642="","",IFERROR(D4642/I4642,""))</f>
        <v/>
      </c>
      <c r="K4642" s="71">
        <f>IF(B4642="","",IFERROR(AVERAGEIFS($J$4:$J4642,$B$4:$B4642,B4642,$J$4:$J4642,"&gt;"&amp;0),""))</f>
        <v/>
      </c>
      <c r="L4642" s="12" t="n"/>
    </row>
    <row r="4643" ht="14" customHeight="1" s="72">
      <c r="A4643" s="82" t="n"/>
      <c r="B4643" s="79" t="n"/>
      <c r="C4643" s="69">
        <f>IF(B4643="","",IFERROR(INDEX(Client_List!$B:$B,MATCH(B4643,Client_List!$A:$A,0)),"⚠ NOT FOUND"))</f>
        <v/>
      </c>
      <c r="D4643" s="44" t="n"/>
      <c r="E4643" s="32">
        <f>IF(B4643="","",IFERROR(INDEX(Client_List!$C:$C,MATCH(VALUE(B4643),Client_List!$A:$A,0)),""))</f>
        <v/>
      </c>
      <c r="F4643" s="53">
        <f>IF(B4643="","",IFERROR(INDEX(Client_List!$D:$D,MATCH(VALUE(B4643),Client_List!$A:$A,0)),""))</f>
        <v/>
      </c>
      <c r="G4643" s="53">
        <f>IF(B4643="","",IFERROR(INDEX(Client_List!$K:$K,MATCH(VALUE(B4643),Client_List!$A:$A,0)),""))</f>
        <v/>
      </c>
      <c r="H4643" s="32">
        <f>IF(B4643="","",IFERROR(INDEX(Client_List!$J:$J,MATCH(VALUE(B4643),Client_List!$A:$A,0)),""))</f>
        <v/>
      </c>
      <c r="I4643" s="70">
        <f>IF(B4643="","",IFERROR(A4643-LOOKUP(2,1/($B$4:$B4642=B4643),$A$4:$A4642),""))</f>
        <v/>
      </c>
      <c r="J4643" s="32">
        <f>IF(B4643="","",IFERROR(D4643/I4643,""))</f>
        <v/>
      </c>
      <c r="K4643" s="71">
        <f>IF(B4643="","",IFERROR(AVERAGEIFS($J$4:$J4643,$B$4:$B4643,B4643,$J$4:$J4643,"&gt;"&amp;0),""))</f>
        <v/>
      </c>
      <c r="L4643" s="11" t="n"/>
    </row>
    <row r="4644" ht="14" customHeight="1" s="72">
      <c r="A4644" s="83" t="n"/>
      <c r="B4644" s="81" t="n"/>
      <c r="C4644" s="69">
        <f>IF(B4644="","",IFERROR(INDEX(Client_List!$B:$B,MATCH(B4644,Client_List!$A:$A,0)),"⚠ NOT FOUND"))</f>
        <v/>
      </c>
      <c r="D4644" s="45" t="n"/>
      <c r="E4644" s="32">
        <f>IF(B4644="","",IFERROR(INDEX(Client_List!$C:$C,MATCH(VALUE(B4644),Client_List!$A:$A,0)),""))</f>
        <v/>
      </c>
      <c r="F4644" s="53">
        <f>IF(B4644="","",IFERROR(INDEX(Client_List!$D:$D,MATCH(VALUE(B4644),Client_List!$A:$A,0)),""))</f>
        <v/>
      </c>
      <c r="G4644" s="53">
        <f>IF(B4644="","",IFERROR(INDEX(Client_List!$K:$K,MATCH(VALUE(B4644),Client_List!$A:$A,0)),""))</f>
        <v/>
      </c>
      <c r="H4644" s="32">
        <f>IF(B4644="","",IFERROR(INDEX(Client_List!$J:$J,MATCH(VALUE(B4644),Client_List!$A:$A,0)),""))</f>
        <v/>
      </c>
      <c r="I4644" s="70">
        <f>IF(B4644="","",IFERROR(A4644-LOOKUP(2,1/($B$4:$B4643=B4644),$A$4:$A4643),""))</f>
        <v/>
      </c>
      <c r="J4644" s="32">
        <f>IF(B4644="","",IFERROR(D4644/I4644,""))</f>
        <v/>
      </c>
      <c r="K4644" s="71">
        <f>IF(B4644="","",IFERROR(AVERAGEIFS($J$4:$J4644,$B$4:$B4644,B4644,$J$4:$J4644,"&gt;"&amp;0),""))</f>
        <v/>
      </c>
      <c r="L4644" s="12" t="n"/>
    </row>
    <row r="4645" ht="14" customHeight="1" s="72">
      <c r="A4645" s="82" t="n"/>
      <c r="B4645" s="79" t="n"/>
      <c r="C4645" s="69">
        <f>IF(B4645="","",IFERROR(INDEX(Client_List!$B:$B,MATCH(B4645,Client_List!$A:$A,0)),"⚠ NOT FOUND"))</f>
        <v/>
      </c>
      <c r="D4645" s="44" t="n"/>
      <c r="E4645" s="32">
        <f>IF(B4645="","",IFERROR(INDEX(Client_List!$C:$C,MATCH(VALUE(B4645),Client_List!$A:$A,0)),""))</f>
        <v/>
      </c>
      <c r="F4645" s="53">
        <f>IF(B4645="","",IFERROR(INDEX(Client_List!$D:$D,MATCH(VALUE(B4645),Client_List!$A:$A,0)),""))</f>
        <v/>
      </c>
      <c r="G4645" s="53">
        <f>IF(B4645="","",IFERROR(INDEX(Client_List!$K:$K,MATCH(VALUE(B4645),Client_List!$A:$A,0)),""))</f>
        <v/>
      </c>
      <c r="H4645" s="32">
        <f>IF(B4645="","",IFERROR(INDEX(Client_List!$J:$J,MATCH(VALUE(B4645),Client_List!$A:$A,0)),""))</f>
        <v/>
      </c>
      <c r="I4645" s="70">
        <f>IF(B4645="","",IFERROR(A4645-LOOKUP(2,1/($B$4:$B4644=B4645),$A$4:$A4644),""))</f>
        <v/>
      </c>
      <c r="J4645" s="32">
        <f>IF(B4645="","",IFERROR(D4645/I4645,""))</f>
        <v/>
      </c>
      <c r="K4645" s="71">
        <f>IF(B4645="","",IFERROR(AVERAGEIFS($J$4:$J4645,$B$4:$B4645,B4645,$J$4:$J4645,"&gt;"&amp;0),""))</f>
        <v/>
      </c>
      <c r="L4645" s="11" t="n"/>
    </row>
    <row r="4646" ht="14" customHeight="1" s="72">
      <c r="A4646" s="83" t="n"/>
      <c r="B4646" s="81" t="n"/>
      <c r="C4646" s="69">
        <f>IF(B4646="","",IFERROR(INDEX(Client_List!$B:$B,MATCH(B4646,Client_List!$A:$A,0)),"⚠ NOT FOUND"))</f>
        <v/>
      </c>
      <c r="D4646" s="45" t="n"/>
      <c r="E4646" s="32">
        <f>IF(B4646="","",IFERROR(INDEX(Client_List!$C:$C,MATCH(VALUE(B4646),Client_List!$A:$A,0)),""))</f>
        <v/>
      </c>
      <c r="F4646" s="53">
        <f>IF(B4646="","",IFERROR(INDEX(Client_List!$D:$D,MATCH(VALUE(B4646),Client_List!$A:$A,0)),""))</f>
        <v/>
      </c>
      <c r="G4646" s="53">
        <f>IF(B4646="","",IFERROR(INDEX(Client_List!$K:$K,MATCH(VALUE(B4646),Client_List!$A:$A,0)),""))</f>
        <v/>
      </c>
      <c r="H4646" s="32">
        <f>IF(B4646="","",IFERROR(INDEX(Client_List!$J:$J,MATCH(VALUE(B4646),Client_List!$A:$A,0)),""))</f>
        <v/>
      </c>
      <c r="I4646" s="70">
        <f>IF(B4646="","",IFERROR(A4646-LOOKUP(2,1/($B$4:$B4645=B4646),$A$4:$A4645),""))</f>
        <v/>
      </c>
      <c r="J4646" s="32">
        <f>IF(B4646="","",IFERROR(D4646/I4646,""))</f>
        <v/>
      </c>
      <c r="K4646" s="71">
        <f>IF(B4646="","",IFERROR(AVERAGEIFS($J$4:$J4646,$B$4:$B4646,B4646,$J$4:$J4646,"&gt;"&amp;0),""))</f>
        <v/>
      </c>
      <c r="L4646" s="12" t="n"/>
    </row>
    <row r="4647" ht="14" customHeight="1" s="72">
      <c r="A4647" s="82" t="n"/>
      <c r="B4647" s="79" t="n"/>
      <c r="C4647" s="69">
        <f>IF(B4647="","",IFERROR(INDEX(Client_List!$B:$B,MATCH(B4647,Client_List!$A:$A,0)),"⚠ NOT FOUND"))</f>
        <v/>
      </c>
      <c r="D4647" s="44" t="n"/>
      <c r="E4647" s="32">
        <f>IF(B4647="","",IFERROR(INDEX(Client_List!$C:$C,MATCH(VALUE(B4647),Client_List!$A:$A,0)),""))</f>
        <v/>
      </c>
      <c r="F4647" s="53">
        <f>IF(B4647="","",IFERROR(INDEX(Client_List!$D:$D,MATCH(VALUE(B4647),Client_List!$A:$A,0)),""))</f>
        <v/>
      </c>
      <c r="G4647" s="53">
        <f>IF(B4647="","",IFERROR(INDEX(Client_List!$K:$K,MATCH(VALUE(B4647),Client_List!$A:$A,0)),""))</f>
        <v/>
      </c>
      <c r="H4647" s="32">
        <f>IF(B4647="","",IFERROR(INDEX(Client_List!$J:$J,MATCH(VALUE(B4647),Client_List!$A:$A,0)),""))</f>
        <v/>
      </c>
      <c r="I4647" s="70">
        <f>IF(B4647="","",IFERROR(A4647-LOOKUP(2,1/($B$4:$B4646=B4647),$A$4:$A4646),""))</f>
        <v/>
      </c>
      <c r="J4647" s="32">
        <f>IF(B4647="","",IFERROR(D4647/I4647,""))</f>
        <v/>
      </c>
      <c r="K4647" s="71">
        <f>IF(B4647="","",IFERROR(AVERAGEIFS($J$4:$J4647,$B$4:$B4647,B4647,$J$4:$J4647,"&gt;"&amp;0),""))</f>
        <v/>
      </c>
      <c r="L4647" s="11" t="n"/>
    </row>
    <row r="4648" ht="14" customHeight="1" s="72">
      <c r="A4648" s="83" t="n"/>
      <c r="B4648" s="81" t="n"/>
      <c r="C4648" s="69">
        <f>IF(B4648="","",IFERROR(INDEX(Client_List!$B:$B,MATCH(B4648,Client_List!$A:$A,0)),"⚠ NOT FOUND"))</f>
        <v/>
      </c>
      <c r="D4648" s="45" t="n"/>
      <c r="E4648" s="32">
        <f>IF(B4648="","",IFERROR(INDEX(Client_List!$C:$C,MATCH(VALUE(B4648),Client_List!$A:$A,0)),""))</f>
        <v/>
      </c>
      <c r="F4648" s="53">
        <f>IF(B4648="","",IFERROR(INDEX(Client_List!$D:$D,MATCH(VALUE(B4648),Client_List!$A:$A,0)),""))</f>
        <v/>
      </c>
      <c r="G4648" s="53">
        <f>IF(B4648="","",IFERROR(INDEX(Client_List!$K:$K,MATCH(VALUE(B4648),Client_List!$A:$A,0)),""))</f>
        <v/>
      </c>
      <c r="H4648" s="32">
        <f>IF(B4648="","",IFERROR(INDEX(Client_List!$J:$J,MATCH(VALUE(B4648),Client_List!$A:$A,0)),""))</f>
        <v/>
      </c>
      <c r="I4648" s="70">
        <f>IF(B4648="","",IFERROR(A4648-LOOKUP(2,1/($B$4:$B4647=B4648),$A$4:$A4647),""))</f>
        <v/>
      </c>
      <c r="J4648" s="32">
        <f>IF(B4648="","",IFERROR(D4648/I4648,""))</f>
        <v/>
      </c>
      <c r="K4648" s="71">
        <f>IF(B4648="","",IFERROR(AVERAGEIFS($J$4:$J4648,$B$4:$B4648,B4648,$J$4:$J4648,"&gt;"&amp;0),""))</f>
        <v/>
      </c>
      <c r="L4648" s="12" t="n"/>
    </row>
    <row r="4649" ht="14" customHeight="1" s="72">
      <c r="A4649" s="82" t="n"/>
      <c r="B4649" s="79" t="n"/>
      <c r="C4649" s="69">
        <f>IF(B4649="","",IFERROR(INDEX(Client_List!$B:$B,MATCH(B4649,Client_List!$A:$A,0)),"⚠ NOT FOUND"))</f>
        <v/>
      </c>
      <c r="D4649" s="44" t="n"/>
      <c r="E4649" s="32">
        <f>IF(B4649="","",IFERROR(INDEX(Client_List!$C:$C,MATCH(VALUE(B4649),Client_List!$A:$A,0)),""))</f>
        <v/>
      </c>
      <c r="F4649" s="53">
        <f>IF(B4649="","",IFERROR(INDEX(Client_List!$D:$D,MATCH(VALUE(B4649),Client_List!$A:$A,0)),""))</f>
        <v/>
      </c>
      <c r="G4649" s="53">
        <f>IF(B4649="","",IFERROR(INDEX(Client_List!$K:$K,MATCH(VALUE(B4649),Client_List!$A:$A,0)),""))</f>
        <v/>
      </c>
      <c r="H4649" s="32">
        <f>IF(B4649="","",IFERROR(INDEX(Client_List!$J:$J,MATCH(VALUE(B4649),Client_List!$A:$A,0)),""))</f>
        <v/>
      </c>
      <c r="I4649" s="70">
        <f>IF(B4649="","",IFERROR(A4649-LOOKUP(2,1/($B$4:$B4648=B4649),$A$4:$A4648),""))</f>
        <v/>
      </c>
      <c r="J4649" s="32">
        <f>IF(B4649="","",IFERROR(D4649/I4649,""))</f>
        <v/>
      </c>
      <c r="K4649" s="71">
        <f>IF(B4649="","",IFERROR(AVERAGEIFS($J$4:$J4649,$B$4:$B4649,B4649,$J$4:$J4649,"&gt;"&amp;0),""))</f>
        <v/>
      </c>
      <c r="L4649" s="11" t="n"/>
    </row>
    <row r="4650" ht="14" customHeight="1" s="72">
      <c r="A4650" s="83" t="n"/>
      <c r="B4650" s="81" t="n"/>
      <c r="C4650" s="69">
        <f>IF(B4650="","",IFERROR(INDEX(Client_List!$B:$B,MATCH(B4650,Client_List!$A:$A,0)),"⚠ NOT FOUND"))</f>
        <v/>
      </c>
      <c r="D4650" s="45" t="n"/>
      <c r="E4650" s="32">
        <f>IF(B4650="","",IFERROR(INDEX(Client_List!$C:$C,MATCH(VALUE(B4650),Client_List!$A:$A,0)),""))</f>
        <v/>
      </c>
      <c r="F4650" s="53">
        <f>IF(B4650="","",IFERROR(INDEX(Client_List!$D:$D,MATCH(VALUE(B4650),Client_List!$A:$A,0)),""))</f>
        <v/>
      </c>
      <c r="G4650" s="53">
        <f>IF(B4650="","",IFERROR(INDEX(Client_List!$K:$K,MATCH(VALUE(B4650),Client_List!$A:$A,0)),""))</f>
        <v/>
      </c>
      <c r="H4650" s="32">
        <f>IF(B4650="","",IFERROR(INDEX(Client_List!$J:$J,MATCH(VALUE(B4650),Client_List!$A:$A,0)),""))</f>
        <v/>
      </c>
      <c r="I4650" s="70">
        <f>IF(B4650="","",IFERROR(A4650-LOOKUP(2,1/($B$4:$B4649=B4650),$A$4:$A4649),""))</f>
        <v/>
      </c>
      <c r="J4650" s="32">
        <f>IF(B4650="","",IFERROR(D4650/I4650,""))</f>
        <v/>
      </c>
      <c r="K4650" s="71">
        <f>IF(B4650="","",IFERROR(AVERAGEIFS($J$4:$J4650,$B$4:$B4650,B4650,$J$4:$J4650,"&gt;"&amp;0),""))</f>
        <v/>
      </c>
      <c r="L4650" s="12" t="n"/>
    </row>
    <row r="4651" ht="14" customHeight="1" s="72">
      <c r="A4651" s="82" t="n"/>
      <c r="B4651" s="79" t="n"/>
      <c r="C4651" s="69">
        <f>IF(B4651="","",IFERROR(INDEX(Client_List!$B:$B,MATCH(B4651,Client_List!$A:$A,0)),"⚠ NOT FOUND"))</f>
        <v/>
      </c>
      <c r="D4651" s="44" t="n"/>
      <c r="E4651" s="32">
        <f>IF(B4651="","",IFERROR(INDEX(Client_List!$C:$C,MATCH(VALUE(B4651),Client_List!$A:$A,0)),""))</f>
        <v/>
      </c>
      <c r="F4651" s="53">
        <f>IF(B4651="","",IFERROR(INDEX(Client_List!$D:$D,MATCH(VALUE(B4651),Client_List!$A:$A,0)),""))</f>
        <v/>
      </c>
      <c r="G4651" s="53">
        <f>IF(B4651="","",IFERROR(INDEX(Client_List!$K:$K,MATCH(VALUE(B4651),Client_List!$A:$A,0)),""))</f>
        <v/>
      </c>
      <c r="H4651" s="32">
        <f>IF(B4651="","",IFERROR(INDEX(Client_List!$J:$J,MATCH(VALUE(B4651),Client_List!$A:$A,0)),""))</f>
        <v/>
      </c>
      <c r="I4651" s="70">
        <f>IF(B4651="","",IFERROR(A4651-LOOKUP(2,1/($B$4:$B4650=B4651),$A$4:$A4650),""))</f>
        <v/>
      </c>
      <c r="J4651" s="32">
        <f>IF(B4651="","",IFERROR(D4651/I4651,""))</f>
        <v/>
      </c>
      <c r="K4651" s="71">
        <f>IF(B4651="","",IFERROR(AVERAGEIFS($J$4:$J4651,$B$4:$B4651,B4651,$J$4:$J4651,"&gt;"&amp;0),""))</f>
        <v/>
      </c>
      <c r="L4651" s="11" t="n"/>
    </row>
    <row r="4652" ht="14" customHeight="1" s="72">
      <c r="A4652" s="83" t="n"/>
      <c r="B4652" s="81" t="n"/>
      <c r="C4652" s="69">
        <f>IF(B4652="","",IFERROR(INDEX(Client_List!$B:$B,MATCH(B4652,Client_List!$A:$A,0)),"⚠ NOT FOUND"))</f>
        <v/>
      </c>
      <c r="D4652" s="45" t="n"/>
      <c r="E4652" s="32">
        <f>IF(B4652="","",IFERROR(INDEX(Client_List!$C:$C,MATCH(VALUE(B4652),Client_List!$A:$A,0)),""))</f>
        <v/>
      </c>
      <c r="F4652" s="53">
        <f>IF(B4652="","",IFERROR(INDEX(Client_List!$D:$D,MATCH(VALUE(B4652),Client_List!$A:$A,0)),""))</f>
        <v/>
      </c>
      <c r="G4652" s="53">
        <f>IF(B4652="","",IFERROR(INDEX(Client_List!$K:$K,MATCH(VALUE(B4652),Client_List!$A:$A,0)),""))</f>
        <v/>
      </c>
      <c r="H4652" s="32">
        <f>IF(B4652="","",IFERROR(INDEX(Client_List!$J:$J,MATCH(VALUE(B4652),Client_List!$A:$A,0)),""))</f>
        <v/>
      </c>
      <c r="I4652" s="70">
        <f>IF(B4652="","",IFERROR(A4652-LOOKUP(2,1/($B$4:$B4651=B4652),$A$4:$A4651),""))</f>
        <v/>
      </c>
      <c r="J4652" s="32">
        <f>IF(B4652="","",IFERROR(D4652/I4652,""))</f>
        <v/>
      </c>
      <c r="K4652" s="71">
        <f>IF(B4652="","",IFERROR(AVERAGEIFS($J$4:$J4652,$B$4:$B4652,B4652,$J$4:$J4652,"&gt;"&amp;0),""))</f>
        <v/>
      </c>
      <c r="L4652" s="12" t="n"/>
    </row>
    <row r="4653" ht="14" customHeight="1" s="72">
      <c r="A4653" s="82" t="n"/>
      <c r="B4653" s="79" t="n"/>
      <c r="C4653" s="69">
        <f>IF(B4653="","",IFERROR(INDEX(Client_List!$B:$B,MATCH(B4653,Client_List!$A:$A,0)),"⚠ NOT FOUND"))</f>
        <v/>
      </c>
      <c r="D4653" s="44" t="n"/>
      <c r="E4653" s="32">
        <f>IF(B4653="","",IFERROR(INDEX(Client_List!$C:$C,MATCH(VALUE(B4653),Client_List!$A:$A,0)),""))</f>
        <v/>
      </c>
      <c r="F4653" s="53">
        <f>IF(B4653="","",IFERROR(INDEX(Client_List!$D:$D,MATCH(VALUE(B4653),Client_List!$A:$A,0)),""))</f>
        <v/>
      </c>
      <c r="G4653" s="53">
        <f>IF(B4653="","",IFERROR(INDEX(Client_List!$K:$K,MATCH(VALUE(B4653),Client_List!$A:$A,0)),""))</f>
        <v/>
      </c>
      <c r="H4653" s="32">
        <f>IF(B4653="","",IFERROR(INDEX(Client_List!$J:$J,MATCH(VALUE(B4653),Client_List!$A:$A,0)),""))</f>
        <v/>
      </c>
      <c r="I4653" s="70">
        <f>IF(B4653="","",IFERROR(A4653-LOOKUP(2,1/($B$4:$B4652=B4653),$A$4:$A4652),""))</f>
        <v/>
      </c>
      <c r="J4653" s="32">
        <f>IF(B4653="","",IFERROR(D4653/I4653,""))</f>
        <v/>
      </c>
      <c r="K4653" s="71">
        <f>IF(B4653="","",IFERROR(AVERAGEIFS($J$4:$J4653,$B$4:$B4653,B4653,$J$4:$J4653,"&gt;"&amp;0),""))</f>
        <v/>
      </c>
      <c r="L4653" s="11" t="n"/>
    </row>
    <row r="4654" ht="14" customHeight="1" s="72">
      <c r="A4654" s="83" t="n"/>
      <c r="B4654" s="81" t="n"/>
      <c r="C4654" s="69">
        <f>IF(B4654="","",IFERROR(INDEX(Client_List!$B:$B,MATCH(B4654,Client_List!$A:$A,0)),"⚠ NOT FOUND"))</f>
        <v/>
      </c>
      <c r="D4654" s="45" t="n"/>
      <c r="E4654" s="32">
        <f>IF(B4654="","",IFERROR(INDEX(Client_List!$C:$C,MATCH(VALUE(B4654),Client_List!$A:$A,0)),""))</f>
        <v/>
      </c>
      <c r="F4654" s="53">
        <f>IF(B4654="","",IFERROR(INDEX(Client_List!$D:$D,MATCH(VALUE(B4654),Client_List!$A:$A,0)),""))</f>
        <v/>
      </c>
      <c r="G4654" s="53">
        <f>IF(B4654="","",IFERROR(INDEX(Client_List!$K:$K,MATCH(VALUE(B4654),Client_List!$A:$A,0)),""))</f>
        <v/>
      </c>
      <c r="H4654" s="32">
        <f>IF(B4654="","",IFERROR(INDEX(Client_List!$J:$J,MATCH(VALUE(B4654),Client_List!$A:$A,0)),""))</f>
        <v/>
      </c>
      <c r="I4654" s="70">
        <f>IF(B4654="","",IFERROR(A4654-LOOKUP(2,1/($B$4:$B4653=B4654),$A$4:$A4653),""))</f>
        <v/>
      </c>
      <c r="J4654" s="32">
        <f>IF(B4654="","",IFERROR(D4654/I4654,""))</f>
        <v/>
      </c>
      <c r="K4654" s="71">
        <f>IF(B4654="","",IFERROR(AVERAGEIFS($J$4:$J4654,$B$4:$B4654,B4654,$J$4:$J4654,"&gt;"&amp;0),""))</f>
        <v/>
      </c>
      <c r="L4654" s="12" t="n"/>
    </row>
    <row r="4655" ht="14" customHeight="1" s="72">
      <c r="A4655" s="82" t="n"/>
      <c r="B4655" s="79" t="n"/>
      <c r="C4655" s="69">
        <f>IF(B4655="","",IFERROR(INDEX(Client_List!$B:$B,MATCH(B4655,Client_List!$A:$A,0)),"⚠ NOT FOUND"))</f>
        <v/>
      </c>
      <c r="D4655" s="44" t="n"/>
      <c r="E4655" s="32">
        <f>IF(B4655="","",IFERROR(INDEX(Client_List!$C:$C,MATCH(VALUE(B4655),Client_List!$A:$A,0)),""))</f>
        <v/>
      </c>
      <c r="F4655" s="53">
        <f>IF(B4655="","",IFERROR(INDEX(Client_List!$D:$D,MATCH(VALUE(B4655),Client_List!$A:$A,0)),""))</f>
        <v/>
      </c>
      <c r="G4655" s="53">
        <f>IF(B4655="","",IFERROR(INDEX(Client_List!$K:$K,MATCH(VALUE(B4655),Client_List!$A:$A,0)),""))</f>
        <v/>
      </c>
      <c r="H4655" s="32">
        <f>IF(B4655="","",IFERROR(INDEX(Client_List!$J:$J,MATCH(VALUE(B4655),Client_List!$A:$A,0)),""))</f>
        <v/>
      </c>
      <c r="I4655" s="70">
        <f>IF(B4655="","",IFERROR(A4655-LOOKUP(2,1/($B$4:$B4654=B4655),$A$4:$A4654),""))</f>
        <v/>
      </c>
      <c r="J4655" s="32">
        <f>IF(B4655="","",IFERROR(D4655/I4655,""))</f>
        <v/>
      </c>
      <c r="K4655" s="71">
        <f>IF(B4655="","",IFERROR(AVERAGEIFS($J$4:$J4655,$B$4:$B4655,B4655,$J$4:$J4655,"&gt;"&amp;0),""))</f>
        <v/>
      </c>
      <c r="L4655" s="11" t="n"/>
    </row>
    <row r="4656" ht="14" customHeight="1" s="72">
      <c r="A4656" s="83" t="n"/>
      <c r="B4656" s="81" t="n"/>
      <c r="C4656" s="69">
        <f>IF(B4656="","",IFERROR(INDEX(Client_List!$B:$B,MATCH(B4656,Client_List!$A:$A,0)),"⚠ NOT FOUND"))</f>
        <v/>
      </c>
      <c r="D4656" s="45" t="n"/>
      <c r="E4656" s="32">
        <f>IF(B4656="","",IFERROR(INDEX(Client_List!$C:$C,MATCH(VALUE(B4656),Client_List!$A:$A,0)),""))</f>
        <v/>
      </c>
      <c r="F4656" s="53">
        <f>IF(B4656="","",IFERROR(INDEX(Client_List!$D:$D,MATCH(VALUE(B4656),Client_List!$A:$A,0)),""))</f>
        <v/>
      </c>
      <c r="G4656" s="53">
        <f>IF(B4656="","",IFERROR(INDEX(Client_List!$K:$K,MATCH(VALUE(B4656),Client_List!$A:$A,0)),""))</f>
        <v/>
      </c>
      <c r="H4656" s="32">
        <f>IF(B4656="","",IFERROR(INDEX(Client_List!$J:$J,MATCH(VALUE(B4656),Client_List!$A:$A,0)),""))</f>
        <v/>
      </c>
      <c r="I4656" s="70">
        <f>IF(B4656="","",IFERROR(A4656-LOOKUP(2,1/($B$4:$B4655=B4656),$A$4:$A4655),""))</f>
        <v/>
      </c>
      <c r="J4656" s="32">
        <f>IF(B4656="","",IFERROR(D4656/I4656,""))</f>
        <v/>
      </c>
      <c r="K4656" s="71">
        <f>IF(B4656="","",IFERROR(AVERAGEIFS($J$4:$J4656,$B$4:$B4656,B4656,$J$4:$J4656,"&gt;"&amp;0),""))</f>
        <v/>
      </c>
      <c r="L4656" s="12" t="n"/>
    </row>
    <row r="4657" ht="14" customHeight="1" s="72">
      <c r="A4657" s="82" t="n"/>
      <c r="B4657" s="79" t="n"/>
      <c r="C4657" s="69">
        <f>IF(B4657="","",IFERROR(INDEX(Client_List!$B:$B,MATCH(B4657,Client_List!$A:$A,0)),"⚠ NOT FOUND"))</f>
        <v/>
      </c>
      <c r="D4657" s="44" t="n"/>
      <c r="E4657" s="32">
        <f>IF(B4657="","",IFERROR(INDEX(Client_List!$C:$C,MATCH(VALUE(B4657),Client_List!$A:$A,0)),""))</f>
        <v/>
      </c>
      <c r="F4657" s="53">
        <f>IF(B4657="","",IFERROR(INDEX(Client_List!$D:$D,MATCH(VALUE(B4657),Client_List!$A:$A,0)),""))</f>
        <v/>
      </c>
      <c r="G4657" s="53">
        <f>IF(B4657="","",IFERROR(INDEX(Client_List!$K:$K,MATCH(VALUE(B4657),Client_List!$A:$A,0)),""))</f>
        <v/>
      </c>
      <c r="H4657" s="32">
        <f>IF(B4657="","",IFERROR(INDEX(Client_List!$J:$J,MATCH(VALUE(B4657),Client_List!$A:$A,0)),""))</f>
        <v/>
      </c>
      <c r="I4657" s="70">
        <f>IF(B4657="","",IFERROR(A4657-LOOKUP(2,1/($B$4:$B4656=B4657),$A$4:$A4656),""))</f>
        <v/>
      </c>
      <c r="J4657" s="32">
        <f>IF(B4657="","",IFERROR(D4657/I4657,""))</f>
        <v/>
      </c>
      <c r="K4657" s="71">
        <f>IF(B4657="","",IFERROR(AVERAGEIFS($J$4:$J4657,$B$4:$B4657,B4657,$J$4:$J4657,"&gt;"&amp;0),""))</f>
        <v/>
      </c>
      <c r="L4657" s="11" t="n"/>
    </row>
    <row r="4658" ht="14" customHeight="1" s="72">
      <c r="A4658" s="83" t="n"/>
      <c r="B4658" s="81" t="n"/>
      <c r="C4658" s="69">
        <f>IF(B4658="","",IFERROR(INDEX(Client_List!$B:$B,MATCH(B4658,Client_List!$A:$A,0)),"⚠ NOT FOUND"))</f>
        <v/>
      </c>
      <c r="D4658" s="45" t="n"/>
      <c r="E4658" s="32">
        <f>IF(B4658="","",IFERROR(INDEX(Client_List!$C:$C,MATCH(VALUE(B4658),Client_List!$A:$A,0)),""))</f>
        <v/>
      </c>
      <c r="F4658" s="53">
        <f>IF(B4658="","",IFERROR(INDEX(Client_List!$D:$D,MATCH(VALUE(B4658),Client_List!$A:$A,0)),""))</f>
        <v/>
      </c>
      <c r="G4658" s="53">
        <f>IF(B4658="","",IFERROR(INDEX(Client_List!$K:$K,MATCH(VALUE(B4658),Client_List!$A:$A,0)),""))</f>
        <v/>
      </c>
      <c r="H4658" s="32">
        <f>IF(B4658="","",IFERROR(INDEX(Client_List!$J:$J,MATCH(VALUE(B4658),Client_List!$A:$A,0)),""))</f>
        <v/>
      </c>
      <c r="I4658" s="70">
        <f>IF(B4658="","",IFERROR(A4658-LOOKUP(2,1/($B$4:$B4657=B4658),$A$4:$A4657),""))</f>
        <v/>
      </c>
      <c r="J4658" s="32">
        <f>IF(B4658="","",IFERROR(D4658/I4658,""))</f>
        <v/>
      </c>
      <c r="K4658" s="71">
        <f>IF(B4658="","",IFERROR(AVERAGEIFS($J$4:$J4658,$B$4:$B4658,B4658,$J$4:$J4658,"&gt;"&amp;0),""))</f>
        <v/>
      </c>
      <c r="L4658" s="12" t="n"/>
    </row>
    <row r="4659" ht="14" customHeight="1" s="72">
      <c r="A4659" s="82" t="n"/>
      <c r="B4659" s="79" t="n"/>
      <c r="C4659" s="69">
        <f>IF(B4659="","",IFERROR(INDEX(Client_List!$B:$B,MATCH(B4659,Client_List!$A:$A,0)),"⚠ NOT FOUND"))</f>
        <v/>
      </c>
      <c r="D4659" s="44" t="n"/>
      <c r="E4659" s="32">
        <f>IF(B4659="","",IFERROR(INDEX(Client_List!$C:$C,MATCH(VALUE(B4659),Client_List!$A:$A,0)),""))</f>
        <v/>
      </c>
      <c r="F4659" s="53">
        <f>IF(B4659="","",IFERROR(INDEX(Client_List!$D:$D,MATCH(VALUE(B4659),Client_List!$A:$A,0)),""))</f>
        <v/>
      </c>
      <c r="G4659" s="53">
        <f>IF(B4659="","",IFERROR(INDEX(Client_List!$K:$K,MATCH(VALUE(B4659),Client_List!$A:$A,0)),""))</f>
        <v/>
      </c>
      <c r="H4659" s="32">
        <f>IF(B4659="","",IFERROR(INDEX(Client_List!$J:$J,MATCH(VALUE(B4659),Client_List!$A:$A,0)),""))</f>
        <v/>
      </c>
      <c r="I4659" s="70">
        <f>IF(B4659="","",IFERROR(A4659-LOOKUP(2,1/($B$4:$B4658=B4659),$A$4:$A4658),""))</f>
        <v/>
      </c>
      <c r="J4659" s="32">
        <f>IF(B4659="","",IFERROR(D4659/I4659,""))</f>
        <v/>
      </c>
      <c r="K4659" s="71">
        <f>IF(B4659="","",IFERROR(AVERAGEIFS($J$4:$J4659,$B$4:$B4659,B4659,$J$4:$J4659,"&gt;"&amp;0),""))</f>
        <v/>
      </c>
      <c r="L4659" s="11" t="n"/>
    </row>
    <row r="4660" ht="14" customHeight="1" s="72">
      <c r="A4660" s="83" t="n"/>
      <c r="B4660" s="81" t="n"/>
      <c r="C4660" s="69">
        <f>IF(B4660="","",IFERROR(INDEX(Client_List!$B:$B,MATCH(B4660,Client_List!$A:$A,0)),"⚠ NOT FOUND"))</f>
        <v/>
      </c>
      <c r="D4660" s="45" t="n"/>
      <c r="E4660" s="32">
        <f>IF(B4660="","",IFERROR(INDEX(Client_List!$C:$C,MATCH(VALUE(B4660),Client_List!$A:$A,0)),""))</f>
        <v/>
      </c>
      <c r="F4660" s="53">
        <f>IF(B4660="","",IFERROR(INDEX(Client_List!$D:$D,MATCH(VALUE(B4660),Client_List!$A:$A,0)),""))</f>
        <v/>
      </c>
      <c r="G4660" s="53">
        <f>IF(B4660="","",IFERROR(INDEX(Client_List!$K:$K,MATCH(VALUE(B4660),Client_List!$A:$A,0)),""))</f>
        <v/>
      </c>
      <c r="H4660" s="32">
        <f>IF(B4660="","",IFERROR(INDEX(Client_List!$J:$J,MATCH(VALUE(B4660),Client_List!$A:$A,0)),""))</f>
        <v/>
      </c>
      <c r="I4660" s="70">
        <f>IF(B4660="","",IFERROR(A4660-LOOKUP(2,1/($B$4:$B4659=B4660),$A$4:$A4659),""))</f>
        <v/>
      </c>
      <c r="J4660" s="32">
        <f>IF(B4660="","",IFERROR(D4660/I4660,""))</f>
        <v/>
      </c>
      <c r="K4660" s="71">
        <f>IF(B4660="","",IFERROR(AVERAGEIFS($J$4:$J4660,$B$4:$B4660,B4660,$J$4:$J4660,"&gt;"&amp;0),""))</f>
        <v/>
      </c>
      <c r="L4660" s="12" t="n"/>
    </row>
    <row r="4661" ht="14" customHeight="1" s="72">
      <c r="A4661" s="82" t="n"/>
      <c r="B4661" s="79" t="n"/>
      <c r="C4661" s="69">
        <f>IF(B4661="","",IFERROR(INDEX(Client_List!$B:$B,MATCH(B4661,Client_List!$A:$A,0)),"⚠ NOT FOUND"))</f>
        <v/>
      </c>
      <c r="D4661" s="44" t="n"/>
      <c r="E4661" s="32">
        <f>IF(B4661="","",IFERROR(INDEX(Client_List!$C:$C,MATCH(VALUE(B4661),Client_List!$A:$A,0)),""))</f>
        <v/>
      </c>
      <c r="F4661" s="53">
        <f>IF(B4661="","",IFERROR(INDEX(Client_List!$D:$D,MATCH(VALUE(B4661),Client_List!$A:$A,0)),""))</f>
        <v/>
      </c>
      <c r="G4661" s="53">
        <f>IF(B4661="","",IFERROR(INDEX(Client_List!$K:$K,MATCH(VALUE(B4661),Client_List!$A:$A,0)),""))</f>
        <v/>
      </c>
      <c r="H4661" s="32">
        <f>IF(B4661="","",IFERROR(INDEX(Client_List!$J:$J,MATCH(VALUE(B4661),Client_List!$A:$A,0)),""))</f>
        <v/>
      </c>
      <c r="I4661" s="70">
        <f>IF(B4661="","",IFERROR(A4661-LOOKUP(2,1/($B$4:$B4660=B4661),$A$4:$A4660),""))</f>
        <v/>
      </c>
      <c r="J4661" s="32">
        <f>IF(B4661="","",IFERROR(D4661/I4661,""))</f>
        <v/>
      </c>
      <c r="K4661" s="71">
        <f>IF(B4661="","",IFERROR(AVERAGEIFS($J$4:$J4661,$B$4:$B4661,B4661,$J$4:$J4661,"&gt;"&amp;0),""))</f>
        <v/>
      </c>
      <c r="L4661" s="11" t="n"/>
    </row>
    <row r="4662" ht="14" customHeight="1" s="72">
      <c r="A4662" s="83" t="n"/>
      <c r="B4662" s="81" t="n"/>
      <c r="C4662" s="69">
        <f>IF(B4662="","",IFERROR(INDEX(Client_List!$B:$B,MATCH(B4662,Client_List!$A:$A,0)),"⚠ NOT FOUND"))</f>
        <v/>
      </c>
      <c r="D4662" s="45" t="n"/>
      <c r="E4662" s="32">
        <f>IF(B4662="","",IFERROR(INDEX(Client_List!$C:$C,MATCH(VALUE(B4662),Client_List!$A:$A,0)),""))</f>
        <v/>
      </c>
      <c r="F4662" s="53">
        <f>IF(B4662="","",IFERROR(INDEX(Client_List!$D:$D,MATCH(VALUE(B4662),Client_List!$A:$A,0)),""))</f>
        <v/>
      </c>
      <c r="G4662" s="53">
        <f>IF(B4662="","",IFERROR(INDEX(Client_List!$K:$K,MATCH(VALUE(B4662),Client_List!$A:$A,0)),""))</f>
        <v/>
      </c>
      <c r="H4662" s="32">
        <f>IF(B4662="","",IFERROR(INDEX(Client_List!$J:$J,MATCH(VALUE(B4662),Client_List!$A:$A,0)),""))</f>
        <v/>
      </c>
      <c r="I4662" s="70">
        <f>IF(B4662="","",IFERROR(A4662-LOOKUP(2,1/($B$4:$B4661=B4662),$A$4:$A4661),""))</f>
        <v/>
      </c>
      <c r="J4662" s="32">
        <f>IF(B4662="","",IFERROR(D4662/I4662,""))</f>
        <v/>
      </c>
      <c r="K4662" s="71">
        <f>IF(B4662="","",IFERROR(AVERAGEIFS($J$4:$J4662,$B$4:$B4662,B4662,$J$4:$J4662,"&gt;"&amp;0),""))</f>
        <v/>
      </c>
      <c r="L4662" s="12" t="n"/>
    </row>
    <row r="4663" ht="14" customHeight="1" s="72">
      <c r="A4663" s="82" t="n"/>
      <c r="B4663" s="79" t="n"/>
      <c r="C4663" s="69">
        <f>IF(B4663="","",IFERROR(INDEX(Client_List!$B:$B,MATCH(B4663,Client_List!$A:$A,0)),"⚠ NOT FOUND"))</f>
        <v/>
      </c>
      <c r="D4663" s="44" t="n"/>
      <c r="E4663" s="32">
        <f>IF(B4663="","",IFERROR(INDEX(Client_List!$C:$C,MATCH(VALUE(B4663),Client_List!$A:$A,0)),""))</f>
        <v/>
      </c>
      <c r="F4663" s="53">
        <f>IF(B4663="","",IFERROR(INDEX(Client_List!$D:$D,MATCH(VALUE(B4663),Client_List!$A:$A,0)),""))</f>
        <v/>
      </c>
      <c r="G4663" s="53">
        <f>IF(B4663="","",IFERROR(INDEX(Client_List!$K:$K,MATCH(VALUE(B4663),Client_List!$A:$A,0)),""))</f>
        <v/>
      </c>
      <c r="H4663" s="32">
        <f>IF(B4663="","",IFERROR(INDEX(Client_List!$J:$J,MATCH(VALUE(B4663),Client_List!$A:$A,0)),""))</f>
        <v/>
      </c>
      <c r="I4663" s="70">
        <f>IF(B4663="","",IFERROR(A4663-LOOKUP(2,1/($B$4:$B4662=B4663),$A$4:$A4662),""))</f>
        <v/>
      </c>
      <c r="J4663" s="32">
        <f>IF(B4663="","",IFERROR(D4663/I4663,""))</f>
        <v/>
      </c>
      <c r="K4663" s="71">
        <f>IF(B4663="","",IFERROR(AVERAGEIFS($J$4:$J4663,$B$4:$B4663,B4663,$J$4:$J4663,"&gt;"&amp;0),""))</f>
        <v/>
      </c>
      <c r="L4663" s="11" t="n"/>
    </row>
    <row r="4664" ht="14" customHeight="1" s="72">
      <c r="A4664" s="83" t="n"/>
      <c r="B4664" s="81" t="n"/>
      <c r="C4664" s="69">
        <f>IF(B4664="","",IFERROR(INDEX(Client_List!$B:$B,MATCH(B4664,Client_List!$A:$A,0)),"⚠ NOT FOUND"))</f>
        <v/>
      </c>
      <c r="D4664" s="45" t="n"/>
      <c r="E4664" s="32">
        <f>IF(B4664="","",IFERROR(INDEX(Client_List!$C:$C,MATCH(VALUE(B4664),Client_List!$A:$A,0)),""))</f>
        <v/>
      </c>
      <c r="F4664" s="53">
        <f>IF(B4664="","",IFERROR(INDEX(Client_List!$D:$D,MATCH(VALUE(B4664),Client_List!$A:$A,0)),""))</f>
        <v/>
      </c>
      <c r="G4664" s="53">
        <f>IF(B4664="","",IFERROR(INDEX(Client_List!$K:$K,MATCH(VALUE(B4664),Client_List!$A:$A,0)),""))</f>
        <v/>
      </c>
      <c r="H4664" s="32">
        <f>IF(B4664="","",IFERROR(INDEX(Client_List!$J:$J,MATCH(VALUE(B4664),Client_List!$A:$A,0)),""))</f>
        <v/>
      </c>
      <c r="I4664" s="70">
        <f>IF(B4664="","",IFERROR(A4664-LOOKUP(2,1/($B$4:$B4663=B4664),$A$4:$A4663),""))</f>
        <v/>
      </c>
      <c r="J4664" s="32">
        <f>IF(B4664="","",IFERROR(D4664/I4664,""))</f>
        <v/>
      </c>
      <c r="K4664" s="71">
        <f>IF(B4664="","",IFERROR(AVERAGEIFS($J$4:$J4664,$B$4:$B4664,B4664,$J$4:$J4664,"&gt;"&amp;0),""))</f>
        <v/>
      </c>
      <c r="L4664" s="12" t="n"/>
    </row>
    <row r="4665" ht="14" customHeight="1" s="72">
      <c r="A4665" s="82" t="n"/>
      <c r="B4665" s="79" t="n"/>
      <c r="C4665" s="69">
        <f>IF(B4665="","",IFERROR(INDEX(Client_List!$B:$B,MATCH(B4665,Client_List!$A:$A,0)),"⚠ NOT FOUND"))</f>
        <v/>
      </c>
      <c r="D4665" s="44" t="n"/>
      <c r="E4665" s="32">
        <f>IF(B4665="","",IFERROR(INDEX(Client_List!$C:$C,MATCH(VALUE(B4665),Client_List!$A:$A,0)),""))</f>
        <v/>
      </c>
      <c r="F4665" s="53">
        <f>IF(B4665="","",IFERROR(INDEX(Client_List!$D:$D,MATCH(VALUE(B4665),Client_List!$A:$A,0)),""))</f>
        <v/>
      </c>
      <c r="G4665" s="53">
        <f>IF(B4665="","",IFERROR(INDEX(Client_List!$K:$K,MATCH(VALUE(B4665),Client_List!$A:$A,0)),""))</f>
        <v/>
      </c>
      <c r="H4665" s="32">
        <f>IF(B4665="","",IFERROR(INDEX(Client_List!$J:$J,MATCH(VALUE(B4665),Client_List!$A:$A,0)),""))</f>
        <v/>
      </c>
      <c r="I4665" s="70">
        <f>IF(B4665="","",IFERROR(A4665-LOOKUP(2,1/($B$4:$B4664=B4665),$A$4:$A4664),""))</f>
        <v/>
      </c>
      <c r="J4665" s="32">
        <f>IF(B4665="","",IFERROR(D4665/I4665,""))</f>
        <v/>
      </c>
      <c r="K4665" s="71">
        <f>IF(B4665="","",IFERROR(AVERAGEIFS($J$4:$J4665,$B$4:$B4665,B4665,$J$4:$J4665,"&gt;"&amp;0),""))</f>
        <v/>
      </c>
      <c r="L4665" s="11" t="n"/>
    </row>
    <row r="4666" ht="14" customHeight="1" s="72">
      <c r="A4666" s="83" t="n"/>
      <c r="B4666" s="81" t="n"/>
      <c r="C4666" s="69">
        <f>IF(B4666="","",IFERROR(INDEX(Client_List!$B:$B,MATCH(B4666,Client_List!$A:$A,0)),"⚠ NOT FOUND"))</f>
        <v/>
      </c>
      <c r="D4666" s="45" t="n"/>
      <c r="E4666" s="32">
        <f>IF(B4666="","",IFERROR(INDEX(Client_List!$C:$C,MATCH(VALUE(B4666),Client_List!$A:$A,0)),""))</f>
        <v/>
      </c>
      <c r="F4666" s="53">
        <f>IF(B4666="","",IFERROR(INDEX(Client_List!$D:$D,MATCH(VALUE(B4666),Client_List!$A:$A,0)),""))</f>
        <v/>
      </c>
      <c r="G4666" s="53">
        <f>IF(B4666="","",IFERROR(INDEX(Client_List!$K:$K,MATCH(VALUE(B4666),Client_List!$A:$A,0)),""))</f>
        <v/>
      </c>
      <c r="H4666" s="32">
        <f>IF(B4666="","",IFERROR(INDEX(Client_List!$J:$J,MATCH(VALUE(B4666),Client_List!$A:$A,0)),""))</f>
        <v/>
      </c>
      <c r="I4666" s="70">
        <f>IF(B4666="","",IFERROR(A4666-LOOKUP(2,1/($B$4:$B4665=B4666),$A$4:$A4665),""))</f>
        <v/>
      </c>
      <c r="J4666" s="32">
        <f>IF(B4666="","",IFERROR(D4666/I4666,""))</f>
        <v/>
      </c>
      <c r="K4666" s="71">
        <f>IF(B4666="","",IFERROR(AVERAGEIFS($J$4:$J4666,$B$4:$B4666,B4666,$J$4:$J4666,"&gt;"&amp;0),""))</f>
        <v/>
      </c>
      <c r="L4666" s="12" t="n"/>
    </row>
    <row r="4667" ht="14" customHeight="1" s="72">
      <c r="A4667" s="82" t="n"/>
      <c r="B4667" s="79" t="n"/>
      <c r="C4667" s="69">
        <f>IF(B4667="","",IFERROR(INDEX(Client_List!$B:$B,MATCH(B4667,Client_List!$A:$A,0)),"⚠ NOT FOUND"))</f>
        <v/>
      </c>
      <c r="D4667" s="44" t="n"/>
      <c r="E4667" s="32">
        <f>IF(B4667="","",IFERROR(INDEX(Client_List!$C:$C,MATCH(VALUE(B4667),Client_List!$A:$A,0)),""))</f>
        <v/>
      </c>
      <c r="F4667" s="53">
        <f>IF(B4667="","",IFERROR(INDEX(Client_List!$D:$D,MATCH(VALUE(B4667),Client_List!$A:$A,0)),""))</f>
        <v/>
      </c>
      <c r="G4667" s="53">
        <f>IF(B4667="","",IFERROR(INDEX(Client_List!$K:$K,MATCH(VALUE(B4667),Client_List!$A:$A,0)),""))</f>
        <v/>
      </c>
      <c r="H4667" s="32">
        <f>IF(B4667="","",IFERROR(INDEX(Client_List!$J:$J,MATCH(VALUE(B4667),Client_List!$A:$A,0)),""))</f>
        <v/>
      </c>
      <c r="I4667" s="70">
        <f>IF(B4667="","",IFERROR(A4667-LOOKUP(2,1/($B$4:$B4666=B4667),$A$4:$A4666),""))</f>
        <v/>
      </c>
      <c r="J4667" s="32">
        <f>IF(B4667="","",IFERROR(D4667/I4667,""))</f>
        <v/>
      </c>
      <c r="K4667" s="71">
        <f>IF(B4667="","",IFERROR(AVERAGEIFS($J$4:$J4667,$B$4:$B4667,B4667,$J$4:$J4667,"&gt;"&amp;0),""))</f>
        <v/>
      </c>
      <c r="L4667" s="11" t="n"/>
    </row>
    <row r="4668" ht="14" customHeight="1" s="72">
      <c r="A4668" s="83" t="n"/>
      <c r="B4668" s="81" t="n"/>
      <c r="C4668" s="69">
        <f>IF(B4668="","",IFERROR(INDEX(Client_List!$B:$B,MATCH(B4668,Client_List!$A:$A,0)),"⚠ NOT FOUND"))</f>
        <v/>
      </c>
      <c r="D4668" s="45" t="n"/>
      <c r="E4668" s="32">
        <f>IF(B4668="","",IFERROR(INDEX(Client_List!$C:$C,MATCH(VALUE(B4668),Client_List!$A:$A,0)),""))</f>
        <v/>
      </c>
      <c r="F4668" s="53">
        <f>IF(B4668="","",IFERROR(INDEX(Client_List!$D:$D,MATCH(VALUE(B4668),Client_List!$A:$A,0)),""))</f>
        <v/>
      </c>
      <c r="G4668" s="53">
        <f>IF(B4668="","",IFERROR(INDEX(Client_List!$K:$K,MATCH(VALUE(B4668),Client_List!$A:$A,0)),""))</f>
        <v/>
      </c>
      <c r="H4668" s="32">
        <f>IF(B4668="","",IFERROR(INDEX(Client_List!$J:$J,MATCH(VALUE(B4668),Client_List!$A:$A,0)),""))</f>
        <v/>
      </c>
      <c r="I4668" s="70">
        <f>IF(B4668="","",IFERROR(A4668-LOOKUP(2,1/($B$4:$B4667=B4668),$A$4:$A4667),""))</f>
        <v/>
      </c>
      <c r="J4668" s="32">
        <f>IF(B4668="","",IFERROR(D4668/I4668,""))</f>
        <v/>
      </c>
      <c r="K4668" s="71">
        <f>IF(B4668="","",IFERROR(AVERAGEIFS($J$4:$J4668,$B$4:$B4668,B4668,$J$4:$J4668,"&gt;"&amp;0),""))</f>
        <v/>
      </c>
      <c r="L4668" s="12" t="n"/>
    </row>
    <row r="4669" ht="14" customHeight="1" s="72">
      <c r="A4669" s="82" t="n"/>
      <c r="B4669" s="79" t="n"/>
      <c r="C4669" s="69">
        <f>IF(B4669="","",IFERROR(INDEX(Client_List!$B:$B,MATCH(B4669,Client_List!$A:$A,0)),"⚠ NOT FOUND"))</f>
        <v/>
      </c>
      <c r="D4669" s="44" t="n"/>
      <c r="E4669" s="32">
        <f>IF(B4669="","",IFERROR(INDEX(Client_List!$C:$C,MATCH(VALUE(B4669),Client_List!$A:$A,0)),""))</f>
        <v/>
      </c>
      <c r="F4669" s="53">
        <f>IF(B4669="","",IFERROR(INDEX(Client_List!$D:$D,MATCH(VALUE(B4669),Client_List!$A:$A,0)),""))</f>
        <v/>
      </c>
      <c r="G4669" s="53">
        <f>IF(B4669="","",IFERROR(INDEX(Client_List!$K:$K,MATCH(VALUE(B4669),Client_List!$A:$A,0)),""))</f>
        <v/>
      </c>
      <c r="H4669" s="32">
        <f>IF(B4669="","",IFERROR(INDEX(Client_List!$J:$J,MATCH(VALUE(B4669),Client_List!$A:$A,0)),""))</f>
        <v/>
      </c>
      <c r="I4669" s="70">
        <f>IF(B4669="","",IFERROR(A4669-LOOKUP(2,1/($B$4:$B4668=B4669),$A$4:$A4668),""))</f>
        <v/>
      </c>
      <c r="J4669" s="32">
        <f>IF(B4669="","",IFERROR(D4669/I4669,""))</f>
        <v/>
      </c>
      <c r="K4669" s="71">
        <f>IF(B4669="","",IFERROR(AVERAGEIFS($J$4:$J4669,$B$4:$B4669,B4669,$J$4:$J4669,"&gt;"&amp;0),""))</f>
        <v/>
      </c>
      <c r="L4669" s="11" t="n"/>
    </row>
    <row r="4670" ht="14" customHeight="1" s="72">
      <c r="A4670" s="83" t="n"/>
      <c r="B4670" s="81" t="n"/>
      <c r="C4670" s="69">
        <f>IF(B4670="","",IFERROR(INDEX(Client_List!$B:$B,MATCH(B4670,Client_List!$A:$A,0)),"⚠ NOT FOUND"))</f>
        <v/>
      </c>
      <c r="D4670" s="45" t="n"/>
      <c r="E4670" s="32">
        <f>IF(B4670="","",IFERROR(INDEX(Client_List!$C:$C,MATCH(VALUE(B4670),Client_List!$A:$A,0)),""))</f>
        <v/>
      </c>
      <c r="F4670" s="53">
        <f>IF(B4670="","",IFERROR(INDEX(Client_List!$D:$D,MATCH(VALUE(B4670),Client_List!$A:$A,0)),""))</f>
        <v/>
      </c>
      <c r="G4670" s="53">
        <f>IF(B4670="","",IFERROR(INDEX(Client_List!$K:$K,MATCH(VALUE(B4670),Client_List!$A:$A,0)),""))</f>
        <v/>
      </c>
      <c r="H4670" s="32">
        <f>IF(B4670="","",IFERROR(INDEX(Client_List!$J:$J,MATCH(VALUE(B4670),Client_List!$A:$A,0)),""))</f>
        <v/>
      </c>
      <c r="I4670" s="70">
        <f>IF(B4670="","",IFERROR(A4670-LOOKUP(2,1/($B$4:$B4669=B4670),$A$4:$A4669),""))</f>
        <v/>
      </c>
      <c r="J4670" s="32">
        <f>IF(B4670="","",IFERROR(D4670/I4670,""))</f>
        <v/>
      </c>
      <c r="K4670" s="71">
        <f>IF(B4670="","",IFERROR(AVERAGEIFS($J$4:$J4670,$B$4:$B4670,B4670,$J$4:$J4670,"&gt;"&amp;0),""))</f>
        <v/>
      </c>
      <c r="L4670" s="12" t="n"/>
    </row>
    <row r="4671" ht="14" customHeight="1" s="72">
      <c r="A4671" s="82" t="n"/>
      <c r="B4671" s="79" t="n"/>
      <c r="C4671" s="69">
        <f>IF(B4671="","",IFERROR(INDEX(Client_List!$B:$B,MATCH(B4671,Client_List!$A:$A,0)),"⚠ NOT FOUND"))</f>
        <v/>
      </c>
      <c r="D4671" s="44" t="n"/>
      <c r="E4671" s="32">
        <f>IF(B4671="","",IFERROR(INDEX(Client_List!$C:$C,MATCH(VALUE(B4671),Client_List!$A:$A,0)),""))</f>
        <v/>
      </c>
      <c r="F4671" s="53">
        <f>IF(B4671="","",IFERROR(INDEX(Client_List!$D:$D,MATCH(VALUE(B4671),Client_List!$A:$A,0)),""))</f>
        <v/>
      </c>
      <c r="G4671" s="53">
        <f>IF(B4671="","",IFERROR(INDEX(Client_List!$K:$K,MATCH(VALUE(B4671),Client_List!$A:$A,0)),""))</f>
        <v/>
      </c>
      <c r="H4671" s="32">
        <f>IF(B4671="","",IFERROR(INDEX(Client_List!$J:$J,MATCH(VALUE(B4671),Client_List!$A:$A,0)),""))</f>
        <v/>
      </c>
      <c r="I4671" s="70">
        <f>IF(B4671="","",IFERROR(A4671-LOOKUP(2,1/($B$4:$B4670=B4671),$A$4:$A4670),""))</f>
        <v/>
      </c>
      <c r="J4671" s="32">
        <f>IF(B4671="","",IFERROR(D4671/I4671,""))</f>
        <v/>
      </c>
      <c r="K4671" s="71">
        <f>IF(B4671="","",IFERROR(AVERAGEIFS($J$4:$J4671,$B$4:$B4671,B4671,$J$4:$J4671,"&gt;"&amp;0),""))</f>
        <v/>
      </c>
      <c r="L4671" s="11" t="n"/>
    </row>
    <row r="4672" ht="14" customHeight="1" s="72">
      <c r="A4672" s="83" t="n"/>
      <c r="B4672" s="81" t="n"/>
      <c r="C4672" s="69">
        <f>IF(B4672="","",IFERROR(INDEX(Client_List!$B:$B,MATCH(B4672,Client_List!$A:$A,0)),"⚠ NOT FOUND"))</f>
        <v/>
      </c>
      <c r="D4672" s="45" t="n"/>
      <c r="E4672" s="32">
        <f>IF(B4672="","",IFERROR(INDEX(Client_List!$C:$C,MATCH(VALUE(B4672),Client_List!$A:$A,0)),""))</f>
        <v/>
      </c>
      <c r="F4672" s="53">
        <f>IF(B4672="","",IFERROR(INDEX(Client_List!$D:$D,MATCH(VALUE(B4672),Client_List!$A:$A,0)),""))</f>
        <v/>
      </c>
      <c r="G4672" s="53">
        <f>IF(B4672="","",IFERROR(INDEX(Client_List!$K:$K,MATCH(VALUE(B4672),Client_List!$A:$A,0)),""))</f>
        <v/>
      </c>
      <c r="H4672" s="32">
        <f>IF(B4672="","",IFERROR(INDEX(Client_List!$J:$J,MATCH(VALUE(B4672),Client_List!$A:$A,0)),""))</f>
        <v/>
      </c>
      <c r="I4672" s="70">
        <f>IF(B4672="","",IFERROR(A4672-LOOKUP(2,1/($B$4:$B4671=B4672),$A$4:$A4671),""))</f>
        <v/>
      </c>
      <c r="J4672" s="32">
        <f>IF(B4672="","",IFERROR(D4672/I4672,""))</f>
        <v/>
      </c>
      <c r="K4672" s="71">
        <f>IF(B4672="","",IFERROR(AVERAGEIFS($J$4:$J4672,$B$4:$B4672,B4672,$J$4:$J4672,"&gt;"&amp;0),""))</f>
        <v/>
      </c>
      <c r="L4672" s="12" t="n"/>
    </row>
    <row r="4673" ht="14" customHeight="1" s="72">
      <c r="A4673" s="82" t="n"/>
      <c r="B4673" s="79" t="n"/>
      <c r="C4673" s="69">
        <f>IF(B4673="","",IFERROR(INDEX(Client_List!$B:$B,MATCH(B4673,Client_List!$A:$A,0)),"⚠ NOT FOUND"))</f>
        <v/>
      </c>
      <c r="D4673" s="44" t="n"/>
      <c r="E4673" s="32">
        <f>IF(B4673="","",IFERROR(INDEX(Client_List!$C:$C,MATCH(VALUE(B4673),Client_List!$A:$A,0)),""))</f>
        <v/>
      </c>
      <c r="F4673" s="53">
        <f>IF(B4673="","",IFERROR(INDEX(Client_List!$D:$D,MATCH(VALUE(B4673),Client_List!$A:$A,0)),""))</f>
        <v/>
      </c>
      <c r="G4673" s="53">
        <f>IF(B4673="","",IFERROR(INDEX(Client_List!$K:$K,MATCH(VALUE(B4673),Client_List!$A:$A,0)),""))</f>
        <v/>
      </c>
      <c r="H4673" s="32">
        <f>IF(B4673="","",IFERROR(INDEX(Client_List!$J:$J,MATCH(VALUE(B4673),Client_List!$A:$A,0)),""))</f>
        <v/>
      </c>
      <c r="I4673" s="70">
        <f>IF(B4673="","",IFERROR(A4673-LOOKUP(2,1/($B$4:$B4672=B4673),$A$4:$A4672),""))</f>
        <v/>
      </c>
      <c r="J4673" s="32">
        <f>IF(B4673="","",IFERROR(D4673/I4673,""))</f>
        <v/>
      </c>
      <c r="K4673" s="71">
        <f>IF(B4673="","",IFERROR(AVERAGEIFS($J$4:$J4673,$B$4:$B4673,B4673,$J$4:$J4673,"&gt;"&amp;0),""))</f>
        <v/>
      </c>
      <c r="L4673" s="11" t="n"/>
    </row>
    <row r="4674" ht="14" customHeight="1" s="72">
      <c r="A4674" s="83" t="n"/>
      <c r="B4674" s="81" t="n"/>
      <c r="C4674" s="69">
        <f>IF(B4674="","",IFERROR(INDEX(Client_List!$B:$B,MATCH(B4674,Client_List!$A:$A,0)),"⚠ NOT FOUND"))</f>
        <v/>
      </c>
      <c r="D4674" s="45" t="n"/>
      <c r="E4674" s="32">
        <f>IF(B4674="","",IFERROR(INDEX(Client_List!$C:$C,MATCH(VALUE(B4674),Client_List!$A:$A,0)),""))</f>
        <v/>
      </c>
      <c r="F4674" s="53">
        <f>IF(B4674="","",IFERROR(INDEX(Client_List!$D:$D,MATCH(VALUE(B4674),Client_List!$A:$A,0)),""))</f>
        <v/>
      </c>
      <c r="G4674" s="53">
        <f>IF(B4674="","",IFERROR(INDEX(Client_List!$K:$K,MATCH(VALUE(B4674),Client_List!$A:$A,0)),""))</f>
        <v/>
      </c>
      <c r="H4674" s="32">
        <f>IF(B4674="","",IFERROR(INDEX(Client_List!$J:$J,MATCH(VALUE(B4674),Client_List!$A:$A,0)),""))</f>
        <v/>
      </c>
      <c r="I4674" s="70">
        <f>IF(B4674="","",IFERROR(A4674-LOOKUP(2,1/($B$4:$B4673=B4674),$A$4:$A4673),""))</f>
        <v/>
      </c>
      <c r="J4674" s="32">
        <f>IF(B4674="","",IFERROR(D4674/I4674,""))</f>
        <v/>
      </c>
      <c r="K4674" s="71">
        <f>IF(B4674="","",IFERROR(AVERAGEIFS($J$4:$J4674,$B$4:$B4674,B4674,$J$4:$J4674,"&gt;"&amp;0),""))</f>
        <v/>
      </c>
      <c r="L4674" s="12" t="n"/>
    </row>
    <row r="4675" ht="14" customHeight="1" s="72">
      <c r="A4675" s="82" t="n"/>
      <c r="B4675" s="79" t="n"/>
      <c r="C4675" s="69">
        <f>IF(B4675="","",IFERROR(INDEX(Client_List!$B:$B,MATCH(B4675,Client_List!$A:$A,0)),"⚠ NOT FOUND"))</f>
        <v/>
      </c>
      <c r="D4675" s="44" t="n"/>
      <c r="E4675" s="32">
        <f>IF(B4675="","",IFERROR(INDEX(Client_List!$C:$C,MATCH(VALUE(B4675),Client_List!$A:$A,0)),""))</f>
        <v/>
      </c>
      <c r="F4675" s="53">
        <f>IF(B4675="","",IFERROR(INDEX(Client_List!$D:$D,MATCH(VALUE(B4675),Client_List!$A:$A,0)),""))</f>
        <v/>
      </c>
      <c r="G4675" s="53">
        <f>IF(B4675="","",IFERROR(INDEX(Client_List!$K:$K,MATCH(VALUE(B4675),Client_List!$A:$A,0)),""))</f>
        <v/>
      </c>
      <c r="H4675" s="32">
        <f>IF(B4675="","",IFERROR(INDEX(Client_List!$J:$J,MATCH(VALUE(B4675),Client_List!$A:$A,0)),""))</f>
        <v/>
      </c>
      <c r="I4675" s="70">
        <f>IF(B4675="","",IFERROR(A4675-LOOKUP(2,1/($B$4:$B4674=B4675),$A$4:$A4674),""))</f>
        <v/>
      </c>
      <c r="J4675" s="32">
        <f>IF(B4675="","",IFERROR(D4675/I4675,""))</f>
        <v/>
      </c>
      <c r="K4675" s="71">
        <f>IF(B4675="","",IFERROR(AVERAGEIFS($J$4:$J4675,$B$4:$B4675,B4675,$J$4:$J4675,"&gt;"&amp;0),""))</f>
        <v/>
      </c>
      <c r="L4675" s="11" t="n"/>
    </row>
    <row r="4676" ht="14" customHeight="1" s="72">
      <c r="A4676" s="83" t="n"/>
      <c r="B4676" s="81" t="n"/>
      <c r="C4676" s="69">
        <f>IF(B4676="","",IFERROR(INDEX(Client_List!$B:$B,MATCH(B4676,Client_List!$A:$A,0)),"⚠ NOT FOUND"))</f>
        <v/>
      </c>
      <c r="D4676" s="45" t="n"/>
      <c r="E4676" s="32">
        <f>IF(B4676="","",IFERROR(INDEX(Client_List!$C:$C,MATCH(VALUE(B4676),Client_List!$A:$A,0)),""))</f>
        <v/>
      </c>
      <c r="F4676" s="53">
        <f>IF(B4676="","",IFERROR(INDEX(Client_List!$D:$D,MATCH(VALUE(B4676),Client_List!$A:$A,0)),""))</f>
        <v/>
      </c>
      <c r="G4676" s="53">
        <f>IF(B4676="","",IFERROR(INDEX(Client_List!$K:$K,MATCH(VALUE(B4676),Client_List!$A:$A,0)),""))</f>
        <v/>
      </c>
      <c r="H4676" s="32">
        <f>IF(B4676="","",IFERROR(INDEX(Client_List!$J:$J,MATCH(VALUE(B4676),Client_List!$A:$A,0)),""))</f>
        <v/>
      </c>
      <c r="I4676" s="70">
        <f>IF(B4676="","",IFERROR(A4676-LOOKUP(2,1/($B$4:$B4675=B4676),$A$4:$A4675),""))</f>
        <v/>
      </c>
      <c r="J4676" s="32">
        <f>IF(B4676="","",IFERROR(D4676/I4676,""))</f>
        <v/>
      </c>
      <c r="K4676" s="71">
        <f>IF(B4676="","",IFERROR(AVERAGEIFS($J$4:$J4676,$B$4:$B4676,B4676,$J$4:$J4676,"&gt;"&amp;0),""))</f>
        <v/>
      </c>
      <c r="L4676" s="12" t="n"/>
    </row>
    <row r="4677" ht="14" customHeight="1" s="72">
      <c r="A4677" s="82" t="n"/>
      <c r="B4677" s="79" t="n"/>
      <c r="C4677" s="69">
        <f>IF(B4677="","",IFERROR(INDEX(Client_List!$B:$B,MATCH(B4677,Client_List!$A:$A,0)),"⚠ NOT FOUND"))</f>
        <v/>
      </c>
      <c r="D4677" s="44" t="n"/>
      <c r="E4677" s="32">
        <f>IF(B4677="","",IFERROR(INDEX(Client_List!$C:$C,MATCH(VALUE(B4677),Client_List!$A:$A,0)),""))</f>
        <v/>
      </c>
      <c r="F4677" s="53">
        <f>IF(B4677="","",IFERROR(INDEX(Client_List!$D:$D,MATCH(VALUE(B4677),Client_List!$A:$A,0)),""))</f>
        <v/>
      </c>
      <c r="G4677" s="53">
        <f>IF(B4677="","",IFERROR(INDEX(Client_List!$K:$K,MATCH(VALUE(B4677),Client_List!$A:$A,0)),""))</f>
        <v/>
      </c>
      <c r="H4677" s="32">
        <f>IF(B4677="","",IFERROR(INDEX(Client_List!$J:$J,MATCH(VALUE(B4677),Client_List!$A:$A,0)),""))</f>
        <v/>
      </c>
      <c r="I4677" s="70">
        <f>IF(B4677="","",IFERROR(A4677-LOOKUP(2,1/($B$4:$B4676=B4677),$A$4:$A4676),""))</f>
        <v/>
      </c>
      <c r="J4677" s="32">
        <f>IF(B4677="","",IFERROR(D4677/I4677,""))</f>
        <v/>
      </c>
      <c r="K4677" s="71">
        <f>IF(B4677="","",IFERROR(AVERAGEIFS($J$4:$J4677,$B$4:$B4677,B4677,$J$4:$J4677,"&gt;"&amp;0),""))</f>
        <v/>
      </c>
      <c r="L4677" s="11" t="n"/>
    </row>
    <row r="4678" ht="14" customHeight="1" s="72">
      <c r="A4678" s="83" t="n"/>
      <c r="B4678" s="81" t="n"/>
      <c r="C4678" s="69">
        <f>IF(B4678="","",IFERROR(INDEX(Client_List!$B:$B,MATCH(B4678,Client_List!$A:$A,0)),"⚠ NOT FOUND"))</f>
        <v/>
      </c>
      <c r="D4678" s="45" t="n"/>
      <c r="E4678" s="32">
        <f>IF(B4678="","",IFERROR(INDEX(Client_List!$C:$C,MATCH(VALUE(B4678),Client_List!$A:$A,0)),""))</f>
        <v/>
      </c>
      <c r="F4678" s="53">
        <f>IF(B4678="","",IFERROR(INDEX(Client_List!$D:$D,MATCH(VALUE(B4678),Client_List!$A:$A,0)),""))</f>
        <v/>
      </c>
      <c r="G4678" s="53">
        <f>IF(B4678="","",IFERROR(INDEX(Client_List!$K:$K,MATCH(VALUE(B4678),Client_List!$A:$A,0)),""))</f>
        <v/>
      </c>
      <c r="H4678" s="32">
        <f>IF(B4678="","",IFERROR(INDEX(Client_List!$J:$J,MATCH(VALUE(B4678),Client_List!$A:$A,0)),""))</f>
        <v/>
      </c>
      <c r="I4678" s="70">
        <f>IF(B4678="","",IFERROR(A4678-LOOKUP(2,1/($B$4:$B4677=B4678),$A$4:$A4677),""))</f>
        <v/>
      </c>
      <c r="J4678" s="32">
        <f>IF(B4678="","",IFERROR(D4678/I4678,""))</f>
        <v/>
      </c>
      <c r="K4678" s="71">
        <f>IF(B4678="","",IFERROR(AVERAGEIFS($J$4:$J4678,$B$4:$B4678,B4678,$J$4:$J4678,"&gt;"&amp;0),""))</f>
        <v/>
      </c>
      <c r="L4678" s="12" t="n"/>
    </row>
    <row r="4679" ht="14" customHeight="1" s="72">
      <c r="A4679" s="82" t="n"/>
      <c r="B4679" s="79" t="n"/>
      <c r="C4679" s="69">
        <f>IF(B4679="","",IFERROR(INDEX(Client_List!$B:$B,MATCH(B4679,Client_List!$A:$A,0)),"⚠ NOT FOUND"))</f>
        <v/>
      </c>
      <c r="D4679" s="44" t="n"/>
      <c r="E4679" s="32">
        <f>IF(B4679="","",IFERROR(INDEX(Client_List!$C:$C,MATCH(VALUE(B4679),Client_List!$A:$A,0)),""))</f>
        <v/>
      </c>
      <c r="F4679" s="53">
        <f>IF(B4679="","",IFERROR(INDEX(Client_List!$D:$D,MATCH(VALUE(B4679),Client_List!$A:$A,0)),""))</f>
        <v/>
      </c>
      <c r="G4679" s="53">
        <f>IF(B4679="","",IFERROR(INDEX(Client_List!$K:$K,MATCH(VALUE(B4679),Client_List!$A:$A,0)),""))</f>
        <v/>
      </c>
      <c r="H4679" s="32">
        <f>IF(B4679="","",IFERROR(INDEX(Client_List!$J:$J,MATCH(VALUE(B4679),Client_List!$A:$A,0)),""))</f>
        <v/>
      </c>
      <c r="I4679" s="70">
        <f>IF(B4679="","",IFERROR(A4679-LOOKUP(2,1/($B$4:$B4678=B4679),$A$4:$A4678),""))</f>
        <v/>
      </c>
      <c r="J4679" s="32">
        <f>IF(B4679="","",IFERROR(D4679/I4679,""))</f>
        <v/>
      </c>
      <c r="K4679" s="71">
        <f>IF(B4679="","",IFERROR(AVERAGEIFS($J$4:$J4679,$B$4:$B4679,B4679,$J$4:$J4679,"&gt;"&amp;0),""))</f>
        <v/>
      </c>
      <c r="L4679" s="11" t="n"/>
    </row>
    <row r="4680" ht="14" customHeight="1" s="72">
      <c r="A4680" s="83" t="n"/>
      <c r="B4680" s="81" t="n"/>
      <c r="C4680" s="69">
        <f>IF(B4680="","",IFERROR(INDEX(Client_List!$B:$B,MATCH(B4680,Client_List!$A:$A,0)),"⚠ NOT FOUND"))</f>
        <v/>
      </c>
      <c r="D4680" s="45" t="n"/>
      <c r="E4680" s="32">
        <f>IF(B4680="","",IFERROR(INDEX(Client_List!$C:$C,MATCH(VALUE(B4680),Client_List!$A:$A,0)),""))</f>
        <v/>
      </c>
      <c r="F4680" s="53">
        <f>IF(B4680="","",IFERROR(INDEX(Client_List!$D:$D,MATCH(VALUE(B4680),Client_List!$A:$A,0)),""))</f>
        <v/>
      </c>
      <c r="G4680" s="53">
        <f>IF(B4680="","",IFERROR(INDEX(Client_List!$K:$K,MATCH(VALUE(B4680),Client_List!$A:$A,0)),""))</f>
        <v/>
      </c>
      <c r="H4680" s="32">
        <f>IF(B4680="","",IFERROR(INDEX(Client_List!$J:$J,MATCH(VALUE(B4680),Client_List!$A:$A,0)),""))</f>
        <v/>
      </c>
      <c r="I4680" s="70">
        <f>IF(B4680="","",IFERROR(A4680-LOOKUP(2,1/($B$4:$B4679=B4680),$A$4:$A4679),""))</f>
        <v/>
      </c>
      <c r="J4680" s="32">
        <f>IF(B4680="","",IFERROR(D4680/I4680,""))</f>
        <v/>
      </c>
      <c r="K4680" s="71">
        <f>IF(B4680="","",IFERROR(AVERAGEIFS($J$4:$J4680,$B$4:$B4680,B4680,$J$4:$J4680,"&gt;"&amp;0),""))</f>
        <v/>
      </c>
      <c r="L4680" s="12" t="n"/>
    </row>
    <row r="4681" ht="14" customHeight="1" s="72">
      <c r="A4681" s="82" t="n"/>
      <c r="B4681" s="79" t="n"/>
      <c r="C4681" s="69">
        <f>IF(B4681="","",IFERROR(INDEX(Client_List!$B:$B,MATCH(B4681,Client_List!$A:$A,0)),"⚠ NOT FOUND"))</f>
        <v/>
      </c>
      <c r="D4681" s="44" t="n"/>
      <c r="E4681" s="32">
        <f>IF(B4681="","",IFERROR(INDEX(Client_List!$C:$C,MATCH(VALUE(B4681),Client_List!$A:$A,0)),""))</f>
        <v/>
      </c>
      <c r="F4681" s="53">
        <f>IF(B4681="","",IFERROR(INDEX(Client_List!$D:$D,MATCH(VALUE(B4681),Client_List!$A:$A,0)),""))</f>
        <v/>
      </c>
      <c r="G4681" s="53">
        <f>IF(B4681="","",IFERROR(INDEX(Client_List!$K:$K,MATCH(VALUE(B4681),Client_List!$A:$A,0)),""))</f>
        <v/>
      </c>
      <c r="H4681" s="32">
        <f>IF(B4681="","",IFERROR(INDEX(Client_List!$J:$J,MATCH(VALUE(B4681),Client_List!$A:$A,0)),""))</f>
        <v/>
      </c>
      <c r="I4681" s="70">
        <f>IF(B4681="","",IFERROR(A4681-LOOKUP(2,1/($B$4:$B4680=B4681),$A$4:$A4680),""))</f>
        <v/>
      </c>
      <c r="J4681" s="32">
        <f>IF(B4681="","",IFERROR(D4681/I4681,""))</f>
        <v/>
      </c>
      <c r="K4681" s="71">
        <f>IF(B4681="","",IFERROR(AVERAGEIFS($J$4:$J4681,$B$4:$B4681,B4681,$J$4:$J4681,"&gt;"&amp;0),""))</f>
        <v/>
      </c>
      <c r="L4681" s="11" t="n"/>
    </row>
    <row r="4682" ht="14" customHeight="1" s="72">
      <c r="A4682" s="83" t="n"/>
      <c r="B4682" s="81" t="n"/>
      <c r="C4682" s="69">
        <f>IF(B4682="","",IFERROR(INDEX(Client_List!$B:$B,MATCH(B4682,Client_List!$A:$A,0)),"⚠ NOT FOUND"))</f>
        <v/>
      </c>
      <c r="D4682" s="45" t="n"/>
      <c r="E4682" s="32">
        <f>IF(B4682="","",IFERROR(INDEX(Client_List!$C:$C,MATCH(VALUE(B4682),Client_List!$A:$A,0)),""))</f>
        <v/>
      </c>
      <c r="F4682" s="53">
        <f>IF(B4682="","",IFERROR(INDEX(Client_List!$D:$D,MATCH(VALUE(B4682),Client_List!$A:$A,0)),""))</f>
        <v/>
      </c>
      <c r="G4682" s="53">
        <f>IF(B4682="","",IFERROR(INDEX(Client_List!$K:$K,MATCH(VALUE(B4682),Client_List!$A:$A,0)),""))</f>
        <v/>
      </c>
      <c r="H4682" s="32">
        <f>IF(B4682="","",IFERROR(INDEX(Client_List!$J:$J,MATCH(VALUE(B4682),Client_List!$A:$A,0)),""))</f>
        <v/>
      </c>
      <c r="I4682" s="70">
        <f>IF(B4682="","",IFERROR(A4682-LOOKUP(2,1/($B$4:$B4681=B4682),$A$4:$A4681),""))</f>
        <v/>
      </c>
      <c r="J4682" s="32">
        <f>IF(B4682="","",IFERROR(D4682/I4682,""))</f>
        <v/>
      </c>
      <c r="K4682" s="71">
        <f>IF(B4682="","",IFERROR(AVERAGEIFS($J$4:$J4682,$B$4:$B4682,B4682,$J$4:$J4682,"&gt;"&amp;0),""))</f>
        <v/>
      </c>
      <c r="L4682" s="12" t="n"/>
    </row>
    <row r="4683" ht="14" customHeight="1" s="72">
      <c r="A4683" s="82" t="n"/>
      <c r="B4683" s="79" t="n"/>
      <c r="C4683" s="69">
        <f>IF(B4683="","",IFERROR(INDEX(Client_List!$B:$B,MATCH(B4683,Client_List!$A:$A,0)),"⚠ NOT FOUND"))</f>
        <v/>
      </c>
      <c r="D4683" s="44" t="n"/>
      <c r="E4683" s="32">
        <f>IF(B4683="","",IFERROR(INDEX(Client_List!$C:$C,MATCH(VALUE(B4683),Client_List!$A:$A,0)),""))</f>
        <v/>
      </c>
      <c r="F4683" s="53">
        <f>IF(B4683="","",IFERROR(INDEX(Client_List!$D:$D,MATCH(VALUE(B4683),Client_List!$A:$A,0)),""))</f>
        <v/>
      </c>
      <c r="G4683" s="53">
        <f>IF(B4683="","",IFERROR(INDEX(Client_List!$K:$K,MATCH(VALUE(B4683),Client_List!$A:$A,0)),""))</f>
        <v/>
      </c>
      <c r="H4683" s="32">
        <f>IF(B4683="","",IFERROR(INDEX(Client_List!$J:$J,MATCH(VALUE(B4683),Client_List!$A:$A,0)),""))</f>
        <v/>
      </c>
      <c r="I4683" s="70">
        <f>IF(B4683="","",IFERROR(A4683-LOOKUP(2,1/($B$4:$B4682=B4683),$A$4:$A4682),""))</f>
        <v/>
      </c>
      <c r="J4683" s="32">
        <f>IF(B4683="","",IFERROR(D4683/I4683,""))</f>
        <v/>
      </c>
      <c r="K4683" s="71">
        <f>IF(B4683="","",IFERROR(AVERAGEIFS($J$4:$J4683,$B$4:$B4683,B4683,$J$4:$J4683,"&gt;"&amp;0),""))</f>
        <v/>
      </c>
      <c r="L4683" s="11" t="n"/>
    </row>
    <row r="4684" ht="14" customHeight="1" s="72">
      <c r="A4684" s="83" t="n"/>
      <c r="B4684" s="81" t="n"/>
      <c r="C4684" s="69">
        <f>IF(B4684="","",IFERROR(INDEX(Client_List!$B:$B,MATCH(B4684,Client_List!$A:$A,0)),"⚠ NOT FOUND"))</f>
        <v/>
      </c>
      <c r="D4684" s="45" t="n"/>
      <c r="E4684" s="32">
        <f>IF(B4684="","",IFERROR(INDEX(Client_List!$C:$C,MATCH(VALUE(B4684),Client_List!$A:$A,0)),""))</f>
        <v/>
      </c>
      <c r="F4684" s="53">
        <f>IF(B4684="","",IFERROR(INDEX(Client_List!$D:$D,MATCH(VALUE(B4684),Client_List!$A:$A,0)),""))</f>
        <v/>
      </c>
      <c r="G4684" s="53">
        <f>IF(B4684="","",IFERROR(INDEX(Client_List!$K:$K,MATCH(VALUE(B4684),Client_List!$A:$A,0)),""))</f>
        <v/>
      </c>
      <c r="H4684" s="32">
        <f>IF(B4684="","",IFERROR(INDEX(Client_List!$J:$J,MATCH(VALUE(B4684),Client_List!$A:$A,0)),""))</f>
        <v/>
      </c>
      <c r="I4684" s="70">
        <f>IF(B4684="","",IFERROR(A4684-LOOKUP(2,1/($B$4:$B4683=B4684),$A$4:$A4683),""))</f>
        <v/>
      </c>
      <c r="J4684" s="32">
        <f>IF(B4684="","",IFERROR(D4684/I4684,""))</f>
        <v/>
      </c>
      <c r="K4684" s="71">
        <f>IF(B4684="","",IFERROR(AVERAGEIFS($J$4:$J4684,$B$4:$B4684,B4684,$J$4:$J4684,"&gt;"&amp;0),""))</f>
        <v/>
      </c>
      <c r="L4684" s="12" t="n"/>
    </row>
    <row r="4685" ht="14" customHeight="1" s="72">
      <c r="A4685" s="82" t="n"/>
      <c r="B4685" s="79" t="n"/>
      <c r="C4685" s="69">
        <f>IF(B4685="","",IFERROR(INDEX(Client_List!$B:$B,MATCH(B4685,Client_List!$A:$A,0)),"⚠ NOT FOUND"))</f>
        <v/>
      </c>
      <c r="D4685" s="44" t="n"/>
      <c r="E4685" s="32">
        <f>IF(B4685="","",IFERROR(INDEX(Client_List!$C:$C,MATCH(VALUE(B4685),Client_List!$A:$A,0)),""))</f>
        <v/>
      </c>
      <c r="F4685" s="53">
        <f>IF(B4685="","",IFERROR(INDEX(Client_List!$D:$D,MATCH(VALUE(B4685),Client_List!$A:$A,0)),""))</f>
        <v/>
      </c>
      <c r="G4685" s="53">
        <f>IF(B4685="","",IFERROR(INDEX(Client_List!$K:$K,MATCH(VALUE(B4685),Client_List!$A:$A,0)),""))</f>
        <v/>
      </c>
      <c r="H4685" s="32">
        <f>IF(B4685="","",IFERROR(INDEX(Client_List!$J:$J,MATCH(VALUE(B4685),Client_List!$A:$A,0)),""))</f>
        <v/>
      </c>
      <c r="I4685" s="70">
        <f>IF(B4685="","",IFERROR(A4685-LOOKUP(2,1/($B$4:$B4684=B4685),$A$4:$A4684),""))</f>
        <v/>
      </c>
      <c r="J4685" s="32">
        <f>IF(B4685="","",IFERROR(D4685/I4685,""))</f>
        <v/>
      </c>
      <c r="K4685" s="71">
        <f>IF(B4685="","",IFERROR(AVERAGEIFS($J$4:$J4685,$B$4:$B4685,B4685,$J$4:$J4685,"&gt;"&amp;0),""))</f>
        <v/>
      </c>
      <c r="L4685" s="11" t="n"/>
    </row>
    <row r="4686" ht="14" customHeight="1" s="72">
      <c r="A4686" s="83" t="n"/>
      <c r="B4686" s="81" t="n"/>
      <c r="C4686" s="69">
        <f>IF(B4686="","",IFERROR(INDEX(Client_List!$B:$B,MATCH(B4686,Client_List!$A:$A,0)),"⚠ NOT FOUND"))</f>
        <v/>
      </c>
      <c r="D4686" s="45" t="n"/>
      <c r="E4686" s="32">
        <f>IF(B4686="","",IFERROR(INDEX(Client_List!$C:$C,MATCH(VALUE(B4686),Client_List!$A:$A,0)),""))</f>
        <v/>
      </c>
      <c r="F4686" s="53">
        <f>IF(B4686="","",IFERROR(INDEX(Client_List!$D:$D,MATCH(VALUE(B4686),Client_List!$A:$A,0)),""))</f>
        <v/>
      </c>
      <c r="G4686" s="53">
        <f>IF(B4686="","",IFERROR(INDEX(Client_List!$K:$K,MATCH(VALUE(B4686),Client_List!$A:$A,0)),""))</f>
        <v/>
      </c>
      <c r="H4686" s="32">
        <f>IF(B4686="","",IFERROR(INDEX(Client_List!$J:$J,MATCH(VALUE(B4686),Client_List!$A:$A,0)),""))</f>
        <v/>
      </c>
      <c r="I4686" s="70">
        <f>IF(B4686="","",IFERROR(A4686-LOOKUP(2,1/($B$4:$B4685=B4686),$A$4:$A4685),""))</f>
        <v/>
      </c>
      <c r="J4686" s="32">
        <f>IF(B4686="","",IFERROR(D4686/I4686,""))</f>
        <v/>
      </c>
      <c r="K4686" s="71">
        <f>IF(B4686="","",IFERROR(AVERAGEIFS($J$4:$J4686,$B$4:$B4686,B4686,$J$4:$J4686,"&gt;"&amp;0),""))</f>
        <v/>
      </c>
      <c r="L4686" s="12" t="n"/>
    </row>
    <row r="4687" ht="14" customHeight="1" s="72">
      <c r="A4687" s="82" t="n"/>
      <c r="B4687" s="79" t="n"/>
      <c r="C4687" s="69">
        <f>IF(B4687="","",IFERROR(INDEX(Client_List!$B:$B,MATCH(B4687,Client_List!$A:$A,0)),"⚠ NOT FOUND"))</f>
        <v/>
      </c>
      <c r="D4687" s="44" t="n"/>
      <c r="E4687" s="32">
        <f>IF(B4687="","",IFERROR(INDEX(Client_List!$C:$C,MATCH(VALUE(B4687),Client_List!$A:$A,0)),""))</f>
        <v/>
      </c>
      <c r="F4687" s="53">
        <f>IF(B4687="","",IFERROR(INDEX(Client_List!$D:$D,MATCH(VALUE(B4687),Client_List!$A:$A,0)),""))</f>
        <v/>
      </c>
      <c r="G4687" s="53">
        <f>IF(B4687="","",IFERROR(INDEX(Client_List!$K:$K,MATCH(VALUE(B4687),Client_List!$A:$A,0)),""))</f>
        <v/>
      </c>
      <c r="H4687" s="32">
        <f>IF(B4687="","",IFERROR(INDEX(Client_List!$J:$J,MATCH(VALUE(B4687),Client_List!$A:$A,0)),""))</f>
        <v/>
      </c>
      <c r="I4687" s="70">
        <f>IF(B4687="","",IFERROR(A4687-LOOKUP(2,1/($B$4:$B4686=B4687),$A$4:$A4686),""))</f>
        <v/>
      </c>
      <c r="J4687" s="32">
        <f>IF(B4687="","",IFERROR(D4687/I4687,""))</f>
        <v/>
      </c>
      <c r="K4687" s="71">
        <f>IF(B4687="","",IFERROR(AVERAGEIFS($J$4:$J4687,$B$4:$B4687,B4687,$J$4:$J4687,"&gt;"&amp;0),""))</f>
        <v/>
      </c>
      <c r="L4687" s="11" t="n"/>
    </row>
    <row r="4688" ht="14" customHeight="1" s="72">
      <c r="A4688" s="83" t="n"/>
      <c r="B4688" s="81" t="n"/>
      <c r="C4688" s="69">
        <f>IF(B4688="","",IFERROR(INDEX(Client_List!$B:$B,MATCH(B4688,Client_List!$A:$A,0)),"⚠ NOT FOUND"))</f>
        <v/>
      </c>
      <c r="D4688" s="45" t="n"/>
      <c r="E4688" s="32">
        <f>IF(B4688="","",IFERROR(INDEX(Client_List!$C:$C,MATCH(VALUE(B4688),Client_List!$A:$A,0)),""))</f>
        <v/>
      </c>
      <c r="F4688" s="53">
        <f>IF(B4688="","",IFERROR(INDEX(Client_List!$D:$D,MATCH(VALUE(B4688),Client_List!$A:$A,0)),""))</f>
        <v/>
      </c>
      <c r="G4688" s="53">
        <f>IF(B4688="","",IFERROR(INDEX(Client_List!$K:$K,MATCH(VALUE(B4688),Client_List!$A:$A,0)),""))</f>
        <v/>
      </c>
      <c r="H4688" s="32">
        <f>IF(B4688="","",IFERROR(INDEX(Client_List!$J:$J,MATCH(VALUE(B4688),Client_List!$A:$A,0)),""))</f>
        <v/>
      </c>
      <c r="I4688" s="70">
        <f>IF(B4688="","",IFERROR(A4688-LOOKUP(2,1/($B$4:$B4687=B4688),$A$4:$A4687),""))</f>
        <v/>
      </c>
      <c r="J4688" s="32">
        <f>IF(B4688="","",IFERROR(D4688/I4688,""))</f>
        <v/>
      </c>
      <c r="K4688" s="71">
        <f>IF(B4688="","",IFERROR(AVERAGEIFS($J$4:$J4688,$B$4:$B4688,B4688,$J$4:$J4688,"&gt;"&amp;0),""))</f>
        <v/>
      </c>
      <c r="L4688" s="12" t="n"/>
    </row>
    <row r="4689" ht="14" customHeight="1" s="72">
      <c r="A4689" s="82" t="n"/>
      <c r="B4689" s="79" t="n"/>
      <c r="C4689" s="69">
        <f>IF(B4689="","",IFERROR(INDEX(Client_List!$B:$B,MATCH(B4689,Client_List!$A:$A,0)),"⚠ NOT FOUND"))</f>
        <v/>
      </c>
      <c r="D4689" s="44" t="n"/>
      <c r="E4689" s="32">
        <f>IF(B4689="","",IFERROR(INDEX(Client_List!$C:$C,MATCH(VALUE(B4689),Client_List!$A:$A,0)),""))</f>
        <v/>
      </c>
      <c r="F4689" s="53">
        <f>IF(B4689="","",IFERROR(INDEX(Client_List!$D:$D,MATCH(VALUE(B4689),Client_List!$A:$A,0)),""))</f>
        <v/>
      </c>
      <c r="G4689" s="53">
        <f>IF(B4689="","",IFERROR(INDEX(Client_List!$K:$K,MATCH(VALUE(B4689),Client_List!$A:$A,0)),""))</f>
        <v/>
      </c>
      <c r="H4689" s="32">
        <f>IF(B4689="","",IFERROR(INDEX(Client_List!$J:$J,MATCH(VALUE(B4689),Client_List!$A:$A,0)),""))</f>
        <v/>
      </c>
      <c r="I4689" s="70">
        <f>IF(B4689="","",IFERROR(A4689-LOOKUP(2,1/($B$4:$B4688=B4689),$A$4:$A4688),""))</f>
        <v/>
      </c>
      <c r="J4689" s="32">
        <f>IF(B4689="","",IFERROR(D4689/I4689,""))</f>
        <v/>
      </c>
      <c r="K4689" s="71">
        <f>IF(B4689="","",IFERROR(AVERAGEIFS($J$4:$J4689,$B$4:$B4689,B4689,$J$4:$J4689,"&gt;"&amp;0),""))</f>
        <v/>
      </c>
      <c r="L4689" s="11" t="n"/>
    </row>
    <row r="4690" ht="14" customHeight="1" s="72">
      <c r="A4690" s="83" t="n"/>
      <c r="B4690" s="81" t="n"/>
      <c r="C4690" s="69">
        <f>IF(B4690="","",IFERROR(INDEX(Client_List!$B:$B,MATCH(B4690,Client_List!$A:$A,0)),"⚠ NOT FOUND"))</f>
        <v/>
      </c>
      <c r="D4690" s="45" t="n"/>
      <c r="E4690" s="32">
        <f>IF(B4690="","",IFERROR(INDEX(Client_List!$C:$C,MATCH(VALUE(B4690),Client_List!$A:$A,0)),""))</f>
        <v/>
      </c>
      <c r="F4690" s="53">
        <f>IF(B4690="","",IFERROR(INDEX(Client_List!$D:$D,MATCH(VALUE(B4690),Client_List!$A:$A,0)),""))</f>
        <v/>
      </c>
      <c r="G4690" s="53">
        <f>IF(B4690="","",IFERROR(INDEX(Client_List!$K:$K,MATCH(VALUE(B4690),Client_List!$A:$A,0)),""))</f>
        <v/>
      </c>
      <c r="H4690" s="32">
        <f>IF(B4690="","",IFERROR(INDEX(Client_List!$J:$J,MATCH(VALUE(B4690),Client_List!$A:$A,0)),""))</f>
        <v/>
      </c>
      <c r="I4690" s="70">
        <f>IF(B4690="","",IFERROR(A4690-LOOKUP(2,1/($B$4:$B4689=B4690),$A$4:$A4689),""))</f>
        <v/>
      </c>
      <c r="J4690" s="32">
        <f>IF(B4690="","",IFERROR(D4690/I4690,""))</f>
        <v/>
      </c>
      <c r="K4690" s="71">
        <f>IF(B4690="","",IFERROR(AVERAGEIFS($J$4:$J4690,$B$4:$B4690,B4690,$J$4:$J4690,"&gt;"&amp;0),""))</f>
        <v/>
      </c>
      <c r="L4690" s="12" t="n"/>
    </row>
    <row r="4691" ht="14" customHeight="1" s="72">
      <c r="A4691" s="82" t="n"/>
      <c r="B4691" s="79" t="n"/>
      <c r="C4691" s="69">
        <f>IF(B4691="","",IFERROR(INDEX(Client_List!$B:$B,MATCH(B4691,Client_List!$A:$A,0)),"⚠ NOT FOUND"))</f>
        <v/>
      </c>
      <c r="D4691" s="44" t="n"/>
      <c r="E4691" s="32">
        <f>IF(B4691="","",IFERROR(INDEX(Client_List!$C:$C,MATCH(VALUE(B4691),Client_List!$A:$A,0)),""))</f>
        <v/>
      </c>
      <c r="F4691" s="53">
        <f>IF(B4691="","",IFERROR(INDEX(Client_List!$D:$D,MATCH(VALUE(B4691),Client_List!$A:$A,0)),""))</f>
        <v/>
      </c>
      <c r="G4691" s="53">
        <f>IF(B4691="","",IFERROR(INDEX(Client_List!$K:$K,MATCH(VALUE(B4691),Client_List!$A:$A,0)),""))</f>
        <v/>
      </c>
      <c r="H4691" s="32">
        <f>IF(B4691="","",IFERROR(INDEX(Client_List!$J:$J,MATCH(VALUE(B4691),Client_List!$A:$A,0)),""))</f>
        <v/>
      </c>
      <c r="I4691" s="70">
        <f>IF(B4691="","",IFERROR(A4691-LOOKUP(2,1/($B$4:$B4690=B4691),$A$4:$A4690),""))</f>
        <v/>
      </c>
      <c r="J4691" s="32">
        <f>IF(B4691="","",IFERROR(D4691/I4691,""))</f>
        <v/>
      </c>
      <c r="K4691" s="71">
        <f>IF(B4691="","",IFERROR(AVERAGEIFS($J$4:$J4691,$B$4:$B4691,B4691,$J$4:$J4691,"&gt;"&amp;0),""))</f>
        <v/>
      </c>
      <c r="L4691" s="11" t="n"/>
    </row>
    <row r="4692" ht="14" customHeight="1" s="72">
      <c r="A4692" s="83" t="n"/>
      <c r="B4692" s="81" t="n"/>
      <c r="C4692" s="69">
        <f>IF(B4692="","",IFERROR(INDEX(Client_List!$B:$B,MATCH(B4692,Client_List!$A:$A,0)),"⚠ NOT FOUND"))</f>
        <v/>
      </c>
      <c r="D4692" s="45" t="n"/>
      <c r="E4692" s="32">
        <f>IF(B4692="","",IFERROR(INDEX(Client_List!$C:$C,MATCH(VALUE(B4692),Client_List!$A:$A,0)),""))</f>
        <v/>
      </c>
      <c r="F4692" s="53">
        <f>IF(B4692="","",IFERROR(INDEX(Client_List!$D:$D,MATCH(VALUE(B4692),Client_List!$A:$A,0)),""))</f>
        <v/>
      </c>
      <c r="G4692" s="53">
        <f>IF(B4692="","",IFERROR(INDEX(Client_List!$K:$K,MATCH(VALUE(B4692),Client_List!$A:$A,0)),""))</f>
        <v/>
      </c>
      <c r="H4692" s="32">
        <f>IF(B4692="","",IFERROR(INDEX(Client_List!$J:$J,MATCH(VALUE(B4692),Client_List!$A:$A,0)),""))</f>
        <v/>
      </c>
      <c r="I4692" s="70">
        <f>IF(B4692="","",IFERROR(A4692-LOOKUP(2,1/($B$4:$B4691=B4692),$A$4:$A4691),""))</f>
        <v/>
      </c>
      <c r="J4692" s="32">
        <f>IF(B4692="","",IFERROR(D4692/I4692,""))</f>
        <v/>
      </c>
      <c r="K4692" s="71">
        <f>IF(B4692="","",IFERROR(AVERAGEIFS($J$4:$J4692,$B$4:$B4692,B4692,$J$4:$J4692,"&gt;"&amp;0),""))</f>
        <v/>
      </c>
      <c r="L4692" s="12" t="n"/>
    </row>
    <row r="4693" ht="14" customHeight="1" s="72">
      <c r="A4693" s="82" t="n"/>
      <c r="B4693" s="79" t="n"/>
      <c r="C4693" s="69">
        <f>IF(B4693="","",IFERROR(INDEX(Client_List!$B:$B,MATCH(B4693,Client_List!$A:$A,0)),"⚠ NOT FOUND"))</f>
        <v/>
      </c>
      <c r="D4693" s="44" t="n"/>
      <c r="E4693" s="32">
        <f>IF(B4693="","",IFERROR(INDEX(Client_List!$C:$C,MATCH(VALUE(B4693),Client_List!$A:$A,0)),""))</f>
        <v/>
      </c>
      <c r="F4693" s="53">
        <f>IF(B4693="","",IFERROR(INDEX(Client_List!$D:$D,MATCH(VALUE(B4693),Client_List!$A:$A,0)),""))</f>
        <v/>
      </c>
      <c r="G4693" s="53">
        <f>IF(B4693="","",IFERROR(INDEX(Client_List!$K:$K,MATCH(VALUE(B4693),Client_List!$A:$A,0)),""))</f>
        <v/>
      </c>
      <c r="H4693" s="32">
        <f>IF(B4693="","",IFERROR(INDEX(Client_List!$J:$J,MATCH(VALUE(B4693),Client_List!$A:$A,0)),""))</f>
        <v/>
      </c>
      <c r="I4693" s="70">
        <f>IF(B4693="","",IFERROR(A4693-LOOKUP(2,1/($B$4:$B4692=B4693),$A$4:$A4692),""))</f>
        <v/>
      </c>
      <c r="J4693" s="32">
        <f>IF(B4693="","",IFERROR(D4693/I4693,""))</f>
        <v/>
      </c>
      <c r="K4693" s="71">
        <f>IF(B4693="","",IFERROR(AVERAGEIFS($J$4:$J4693,$B$4:$B4693,B4693,$J$4:$J4693,"&gt;"&amp;0),""))</f>
        <v/>
      </c>
      <c r="L4693" s="11" t="n"/>
    </row>
    <row r="4694" ht="14" customHeight="1" s="72">
      <c r="A4694" s="83" t="n"/>
      <c r="B4694" s="81" t="n"/>
      <c r="C4694" s="69">
        <f>IF(B4694="","",IFERROR(INDEX(Client_List!$B:$B,MATCH(B4694,Client_List!$A:$A,0)),"⚠ NOT FOUND"))</f>
        <v/>
      </c>
      <c r="D4694" s="45" t="n"/>
      <c r="E4694" s="32">
        <f>IF(B4694="","",IFERROR(INDEX(Client_List!$C:$C,MATCH(VALUE(B4694),Client_List!$A:$A,0)),""))</f>
        <v/>
      </c>
      <c r="F4694" s="53">
        <f>IF(B4694="","",IFERROR(INDEX(Client_List!$D:$D,MATCH(VALUE(B4694),Client_List!$A:$A,0)),""))</f>
        <v/>
      </c>
      <c r="G4694" s="53">
        <f>IF(B4694="","",IFERROR(INDEX(Client_List!$K:$K,MATCH(VALUE(B4694),Client_List!$A:$A,0)),""))</f>
        <v/>
      </c>
      <c r="H4694" s="32">
        <f>IF(B4694="","",IFERROR(INDEX(Client_List!$J:$J,MATCH(VALUE(B4694),Client_List!$A:$A,0)),""))</f>
        <v/>
      </c>
      <c r="I4694" s="70">
        <f>IF(B4694="","",IFERROR(A4694-LOOKUP(2,1/($B$4:$B4693=B4694),$A$4:$A4693),""))</f>
        <v/>
      </c>
      <c r="J4694" s="32">
        <f>IF(B4694="","",IFERROR(D4694/I4694,""))</f>
        <v/>
      </c>
      <c r="K4694" s="71">
        <f>IF(B4694="","",IFERROR(AVERAGEIFS($J$4:$J4694,$B$4:$B4694,B4694,$J$4:$J4694,"&gt;"&amp;0),""))</f>
        <v/>
      </c>
      <c r="L4694" s="12" t="n"/>
    </row>
    <row r="4695" ht="14" customHeight="1" s="72">
      <c r="A4695" s="82" t="n"/>
      <c r="B4695" s="79" t="n"/>
      <c r="C4695" s="69">
        <f>IF(B4695="","",IFERROR(INDEX(Client_List!$B:$B,MATCH(B4695,Client_List!$A:$A,0)),"⚠ NOT FOUND"))</f>
        <v/>
      </c>
      <c r="D4695" s="44" t="n"/>
      <c r="E4695" s="32">
        <f>IF(B4695="","",IFERROR(INDEX(Client_List!$C:$C,MATCH(VALUE(B4695),Client_List!$A:$A,0)),""))</f>
        <v/>
      </c>
      <c r="F4695" s="53">
        <f>IF(B4695="","",IFERROR(INDEX(Client_List!$D:$D,MATCH(VALUE(B4695),Client_List!$A:$A,0)),""))</f>
        <v/>
      </c>
      <c r="G4695" s="53">
        <f>IF(B4695="","",IFERROR(INDEX(Client_List!$K:$K,MATCH(VALUE(B4695),Client_List!$A:$A,0)),""))</f>
        <v/>
      </c>
      <c r="H4695" s="32">
        <f>IF(B4695="","",IFERROR(INDEX(Client_List!$J:$J,MATCH(VALUE(B4695),Client_List!$A:$A,0)),""))</f>
        <v/>
      </c>
      <c r="I4695" s="70">
        <f>IF(B4695="","",IFERROR(A4695-LOOKUP(2,1/($B$4:$B4694=B4695),$A$4:$A4694),""))</f>
        <v/>
      </c>
      <c r="J4695" s="32">
        <f>IF(B4695="","",IFERROR(D4695/I4695,""))</f>
        <v/>
      </c>
      <c r="K4695" s="71">
        <f>IF(B4695="","",IFERROR(AVERAGEIFS($J$4:$J4695,$B$4:$B4695,B4695,$J$4:$J4695,"&gt;"&amp;0),""))</f>
        <v/>
      </c>
      <c r="L4695" s="11" t="n"/>
    </row>
    <row r="4696" ht="14" customHeight="1" s="72">
      <c r="A4696" s="83" t="n"/>
      <c r="B4696" s="81" t="n"/>
      <c r="C4696" s="69">
        <f>IF(B4696="","",IFERROR(INDEX(Client_List!$B:$B,MATCH(B4696,Client_List!$A:$A,0)),"⚠ NOT FOUND"))</f>
        <v/>
      </c>
      <c r="D4696" s="45" t="n"/>
      <c r="E4696" s="32">
        <f>IF(B4696="","",IFERROR(INDEX(Client_List!$C:$C,MATCH(VALUE(B4696),Client_List!$A:$A,0)),""))</f>
        <v/>
      </c>
      <c r="F4696" s="53">
        <f>IF(B4696="","",IFERROR(INDEX(Client_List!$D:$D,MATCH(VALUE(B4696),Client_List!$A:$A,0)),""))</f>
        <v/>
      </c>
      <c r="G4696" s="53">
        <f>IF(B4696="","",IFERROR(INDEX(Client_List!$K:$K,MATCH(VALUE(B4696),Client_List!$A:$A,0)),""))</f>
        <v/>
      </c>
      <c r="H4696" s="32">
        <f>IF(B4696="","",IFERROR(INDEX(Client_List!$J:$J,MATCH(VALUE(B4696),Client_List!$A:$A,0)),""))</f>
        <v/>
      </c>
      <c r="I4696" s="70">
        <f>IF(B4696="","",IFERROR(A4696-LOOKUP(2,1/($B$4:$B4695=B4696),$A$4:$A4695),""))</f>
        <v/>
      </c>
      <c r="J4696" s="32">
        <f>IF(B4696="","",IFERROR(D4696/I4696,""))</f>
        <v/>
      </c>
      <c r="K4696" s="71">
        <f>IF(B4696="","",IFERROR(AVERAGEIFS($J$4:$J4696,$B$4:$B4696,B4696,$J$4:$J4696,"&gt;"&amp;0),""))</f>
        <v/>
      </c>
      <c r="L4696" s="12" t="n"/>
    </row>
    <row r="4697" ht="14" customHeight="1" s="72">
      <c r="A4697" s="82" t="n"/>
      <c r="B4697" s="79" t="n"/>
      <c r="C4697" s="69">
        <f>IF(B4697="","",IFERROR(INDEX(Client_List!$B:$B,MATCH(B4697,Client_List!$A:$A,0)),"⚠ NOT FOUND"))</f>
        <v/>
      </c>
      <c r="D4697" s="44" t="n"/>
      <c r="E4697" s="32">
        <f>IF(B4697="","",IFERROR(INDEX(Client_List!$C:$C,MATCH(VALUE(B4697),Client_List!$A:$A,0)),""))</f>
        <v/>
      </c>
      <c r="F4697" s="53">
        <f>IF(B4697="","",IFERROR(INDEX(Client_List!$D:$D,MATCH(VALUE(B4697),Client_List!$A:$A,0)),""))</f>
        <v/>
      </c>
      <c r="G4697" s="53">
        <f>IF(B4697="","",IFERROR(INDEX(Client_List!$K:$K,MATCH(VALUE(B4697),Client_List!$A:$A,0)),""))</f>
        <v/>
      </c>
      <c r="H4697" s="32">
        <f>IF(B4697="","",IFERROR(INDEX(Client_List!$J:$J,MATCH(VALUE(B4697),Client_List!$A:$A,0)),""))</f>
        <v/>
      </c>
      <c r="I4697" s="70">
        <f>IF(B4697="","",IFERROR(A4697-LOOKUP(2,1/($B$4:$B4696=B4697),$A$4:$A4696),""))</f>
        <v/>
      </c>
      <c r="J4697" s="32">
        <f>IF(B4697="","",IFERROR(D4697/I4697,""))</f>
        <v/>
      </c>
      <c r="K4697" s="71">
        <f>IF(B4697="","",IFERROR(AVERAGEIFS($J$4:$J4697,$B$4:$B4697,B4697,$J$4:$J4697,"&gt;"&amp;0),""))</f>
        <v/>
      </c>
      <c r="L4697" s="11" t="n"/>
    </row>
    <row r="4698" ht="14" customHeight="1" s="72">
      <c r="A4698" s="83" t="n"/>
      <c r="B4698" s="81" t="n"/>
      <c r="C4698" s="69">
        <f>IF(B4698="","",IFERROR(INDEX(Client_List!$B:$B,MATCH(B4698,Client_List!$A:$A,0)),"⚠ NOT FOUND"))</f>
        <v/>
      </c>
      <c r="D4698" s="45" t="n"/>
      <c r="E4698" s="32">
        <f>IF(B4698="","",IFERROR(INDEX(Client_List!$C:$C,MATCH(VALUE(B4698),Client_List!$A:$A,0)),""))</f>
        <v/>
      </c>
      <c r="F4698" s="53">
        <f>IF(B4698="","",IFERROR(INDEX(Client_List!$D:$D,MATCH(VALUE(B4698),Client_List!$A:$A,0)),""))</f>
        <v/>
      </c>
      <c r="G4698" s="53">
        <f>IF(B4698="","",IFERROR(INDEX(Client_List!$K:$K,MATCH(VALUE(B4698),Client_List!$A:$A,0)),""))</f>
        <v/>
      </c>
      <c r="H4698" s="32">
        <f>IF(B4698="","",IFERROR(INDEX(Client_List!$J:$J,MATCH(VALUE(B4698),Client_List!$A:$A,0)),""))</f>
        <v/>
      </c>
      <c r="I4698" s="70">
        <f>IF(B4698="","",IFERROR(A4698-LOOKUP(2,1/($B$4:$B4697=B4698),$A$4:$A4697),""))</f>
        <v/>
      </c>
      <c r="J4698" s="32">
        <f>IF(B4698="","",IFERROR(D4698/I4698,""))</f>
        <v/>
      </c>
      <c r="K4698" s="71">
        <f>IF(B4698="","",IFERROR(AVERAGEIFS($J$4:$J4698,$B$4:$B4698,B4698,$J$4:$J4698,"&gt;"&amp;0),""))</f>
        <v/>
      </c>
      <c r="L4698" s="12" t="n"/>
    </row>
    <row r="4699" ht="14" customHeight="1" s="72">
      <c r="A4699" s="82" t="n"/>
      <c r="B4699" s="79" t="n"/>
      <c r="C4699" s="69">
        <f>IF(B4699="","",IFERROR(INDEX(Client_List!$B:$B,MATCH(B4699,Client_List!$A:$A,0)),"⚠ NOT FOUND"))</f>
        <v/>
      </c>
      <c r="D4699" s="44" t="n"/>
      <c r="E4699" s="32">
        <f>IF(B4699="","",IFERROR(INDEX(Client_List!$C:$C,MATCH(VALUE(B4699),Client_List!$A:$A,0)),""))</f>
        <v/>
      </c>
      <c r="F4699" s="53">
        <f>IF(B4699="","",IFERROR(INDEX(Client_List!$D:$D,MATCH(VALUE(B4699),Client_List!$A:$A,0)),""))</f>
        <v/>
      </c>
      <c r="G4699" s="53">
        <f>IF(B4699="","",IFERROR(INDEX(Client_List!$K:$K,MATCH(VALUE(B4699),Client_List!$A:$A,0)),""))</f>
        <v/>
      </c>
      <c r="H4699" s="32">
        <f>IF(B4699="","",IFERROR(INDEX(Client_List!$J:$J,MATCH(VALUE(B4699),Client_List!$A:$A,0)),""))</f>
        <v/>
      </c>
      <c r="I4699" s="70">
        <f>IF(B4699="","",IFERROR(A4699-LOOKUP(2,1/($B$4:$B4698=B4699),$A$4:$A4698),""))</f>
        <v/>
      </c>
      <c r="J4699" s="32">
        <f>IF(B4699="","",IFERROR(D4699/I4699,""))</f>
        <v/>
      </c>
      <c r="K4699" s="71">
        <f>IF(B4699="","",IFERROR(AVERAGEIFS($J$4:$J4699,$B$4:$B4699,B4699,$J$4:$J4699,"&gt;"&amp;0),""))</f>
        <v/>
      </c>
      <c r="L4699" s="11" t="n"/>
    </row>
    <row r="4700" ht="14" customHeight="1" s="72">
      <c r="A4700" s="83" t="n"/>
      <c r="B4700" s="81" t="n"/>
      <c r="C4700" s="69">
        <f>IF(B4700="","",IFERROR(INDEX(Client_List!$B:$B,MATCH(B4700,Client_List!$A:$A,0)),"⚠ NOT FOUND"))</f>
        <v/>
      </c>
      <c r="D4700" s="45" t="n"/>
      <c r="E4700" s="32">
        <f>IF(B4700="","",IFERROR(INDEX(Client_List!$C:$C,MATCH(VALUE(B4700),Client_List!$A:$A,0)),""))</f>
        <v/>
      </c>
      <c r="F4700" s="53">
        <f>IF(B4700="","",IFERROR(INDEX(Client_List!$D:$D,MATCH(VALUE(B4700),Client_List!$A:$A,0)),""))</f>
        <v/>
      </c>
      <c r="G4700" s="53">
        <f>IF(B4700="","",IFERROR(INDEX(Client_List!$K:$K,MATCH(VALUE(B4700),Client_List!$A:$A,0)),""))</f>
        <v/>
      </c>
      <c r="H4700" s="32">
        <f>IF(B4700="","",IFERROR(INDEX(Client_List!$J:$J,MATCH(VALUE(B4700),Client_List!$A:$A,0)),""))</f>
        <v/>
      </c>
      <c r="I4700" s="70">
        <f>IF(B4700="","",IFERROR(A4700-LOOKUP(2,1/($B$4:$B4699=B4700),$A$4:$A4699),""))</f>
        <v/>
      </c>
      <c r="J4700" s="32">
        <f>IF(B4700="","",IFERROR(D4700/I4700,""))</f>
        <v/>
      </c>
      <c r="K4700" s="71">
        <f>IF(B4700="","",IFERROR(AVERAGEIFS($J$4:$J4700,$B$4:$B4700,B4700,$J$4:$J4700,"&gt;"&amp;0),""))</f>
        <v/>
      </c>
      <c r="L4700" s="12" t="n"/>
    </row>
    <row r="4701" ht="14" customHeight="1" s="72">
      <c r="A4701" s="82" t="n"/>
      <c r="B4701" s="79" t="n"/>
      <c r="C4701" s="69">
        <f>IF(B4701="","",IFERROR(INDEX(Client_List!$B:$B,MATCH(B4701,Client_List!$A:$A,0)),"⚠ NOT FOUND"))</f>
        <v/>
      </c>
      <c r="D4701" s="44" t="n"/>
      <c r="E4701" s="32">
        <f>IF(B4701="","",IFERROR(INDEX(Client_List!$C:$C,MATCH(VALUE(B4701),Client_List!$A:$A,0)),""))</f>
        <v/>
      </c>
      <c r="F4701" s="53">
        <f>IF(B4701="","",IFERROR(INDEX(Client_List!$D:$D,MATCH(VALUE(B4701),Client_List!$A:$A,0)),""))</f>
        <v/>
      </c>
      <c r="G4701" s="53">
        <f>IF(B4701="","",IFERROR(INDEX(Client_List!$K:$K,MATCH(VALUE(B4701),Client_List!$A:$A,0)),""))</f>
        <v/>
      </c>
      <c r="H4701" s="32">
        <f>IF(B4701="","",IFERROR(INDEX(Client_List!$J:$J,MATCH(VALUE(B4701),Client_List!$A:$A,0)),""))</f>
        <v/>
      </c>
      <c r="I4701" s="70">
        <f>IF(B4701="","",IFERROR(A4701-LOOKUP(2,1/($B$4:$B4700=B4701),$A$4:$A4700),""))</f>
        <v/>
      </c>
      <c r="J4701" s="32">
        <f>IF(B4701="","",IFERROR(D4701/I4701,""))</f>
        <v/>
      </c>
      <c r="K4701" s="71">
        <f>IF(B4701="","",IFERROR(AVERAGEIFS($J$4:$J4701,$B$4:$B4701,B4701,$J$4:$J4701,"&gt;"&amp;0),""))</f>
        <v/>
      </c>
      <c r="L4701" s="11" t="n"/>
    </row>
    <row r="4702" ht="14" customHeight="1" s="72">
      <c r="A4702" s="83" t="n"/>
      <c r="B4702" s="81" t="n"/>
      <c r="C4702" s="69">
        <f>IF(B4702="","",IFERROR(INDEX(Client_List!$B:$B,MATCH(B4702,Client_List!$A:$A,0)),"⚠ NOT FOUND"))</f>
        <v/>
      </c>
      <c r="D4702" s="45" t="n"/>
      <c r="E4702" s="32">
        <f>IF(B4702="","",IFERROR(INDEX(Client_List!$C:$C,MATCH(VALUE(B4702),Client_List!$A:$A,0)),""))</f>
        <v/>
      </c>
      <c r="F4702" s="53">
        <f>IF(B4702="","",IFERROR(INDEX(Client_List!$D:$D,MATCH(VALUE(B4702),Client_List!$A:$A,0)),""))</f>
        <v/>
      </c>
      <c r="G4702" s="53">
        <f>IF(B4702="","",IFERROR(INDEX(Client_List!$K:$K,MATCH(VALUE(B4702),Client_List!$A:$A,0)),""))</f>
        <v/>
      </c>
      <c r="H4702" s="32">
        <f>IF(B4702="","",IFERROR(INDEX(Client_List!$J:$J,MATCH(VALUE(B4702),Client_List!$A:$A,0)),""))</f>
        <v/>
      </c>
      <c r="I4702" s="70">
        <f>IF(B4702="","",IFERROR(A4702-LOOKUP(2,1/($B$4:$B4701=B4702),$A$4:$A4701),""))</f>
        <v/>
      </c>
      <c r="J4702" s="32">
        <f>IF(B4702="","",IFERROR(D4702/I4702,""))</f>
        <v/>
      </c>
      <c r="K4702" s="71">
        <f>IF(B4702="","",IFERROR(AVERAGEIFS($J$4:$J4702,$B$4:$B4702,B4702,$J$4:$J4702,"&gt;"&amp;0),""))</f>
        <v/>
      </c>
      <c r="L4702" s="12" t="n"/>
    </row>
    <row r="4703" ht="14" customHeight="1" s="72">
      <c r="A4703" s="82" t="n"/>
      <c r="B4703" s="79" t="n"/>
      <c r="C4703" s="69">
        <f>IF(B4703="","",IFERROR(INDEX(Client_List!$B:$B,MATCH(B4703,Client_List!$A:$A,0)),"⚠ NOT FOUND"))</f>
        <v/>
      </c>
      <c r="D4703" s="44" t="n"/>
      <c r="E4703" s="32">
        <f>IF(B4703="","",IFERROR(INDEX(Client_List!$C:$C,MATCH(VALUE(B4703),Client_List!$A:$A,0)),""))</f>
        <v/>
      </c>
      <c r="F4703" s="53">
        <f>IF(B4703="","",IFERROR(INDEX(Client_List!$D:$D,MATCH(VALUE(B4703),Client_List!$A:$A,0)),""))</f>
        <v/>
      </c>
      <c r="G4703" s="53">
        <f>IF(B4703="","",IFERROR(INDEX(Client_List!$K:$K,MATCH(VALUE(B4703),Client_List!$A:$A,0)),""))</f>
        <v/>
      </c>
      <c r="H4703" s="32">
        <f>IF(B4703="","",IFERROR(INDEX(Client_List!$J:$J,MATCH(VALUE(B4703),Client_List!$A:$A,0)),""))</f>
        <v/>
      </c>
      <c r="I4703" s="70">
        <f>IF(B4703="","",IFERROR(A4703-LOOKUP(2,1/($B$4:$B4702=B4703),$A$4:$A4702),""))</f>
        <v/>
      </c>
      <c r="J4703" s="32">
        <f>IF(B4703="","",IFERROR(D4703/I4703,""))</f>
        <v/>
      </c>
      <c r="K4703" s="71">
        <f>IF(B4703="","",IFERROR(AVERAGEIFS($J$4:$J4703,$B$4:$B4703,B4703,$J$4:$J4703,"&gt;"&amp;0),""))</f>
        <v/>
      </c>
      <c r="L4703" s="11" t="n"/>
    </row>
    <row r="4704" ht="14" customHeight="1" s="72">
      <c r="A4704" s="83" t="n"/>
      <c r="B4704" s="81" t="n"/>
      <c r="C4704" s="69">
        <f>IF(B4704="","",IFERROR(INDEX(Client_List!$B:$B,MATCH(B4704,Client_List!$A:$A,0)),"⚠ NOT FOUND"))</f>
        <v/>
      </c>
      <c r="D4704" s="45" t="n"/>
      <c r="E4704" s="32">
        <f>IF(B4704="","",IFERROR(INDEX(Client_List!$C:$C,MATCH(VALUE(B4704),Client_List!$A:$A,0)),""))</f>
        <v/>
      </c>
      <c r="F4704" s="53">
        <f>IF(B4704="","",IFERROR(INDEX(Client_List!$D:$D,MATCH(VALUE(B4704),Client_List!$A:$A,0)),""))</f>
        <v/>
      </c>
      <c r="G4704" s="53">
        <f>IF(B4704="","",IFERROR(INDEX(Client_List!$K:$K,MATCH(VALUE(B4704),Client_List!$A:$A,0)),""))</f>
        <v/>
      </c>
      <c r="H4704" s="32">
        <f>IF(B4704="","",IFERROR(INDEX(Client_List!$J:$J,MATCH(VALUE(B4704),Client_List!$A:$A,0)),""))</f>
        <v/>
      </c>
      <c r="I4704" s="70">
        <f>IF(B4704="","",IFERROR(A4704-LOOKUP(2,1/($B$4:$B4703=B4704),$A$4:$A4703),""))</f>
        <v/>
      </c>
      <c r="J4704" s="32">
        <f>IF(B4704="","",IFERROR(D4704/I4704,""))</f>
        <v/>
      </c>
      <c r="K4704" s="71">
        <f>IF(B4704="","",IFERROR(AVERAGEIFS($J$4:$J4704,$B$4:$B4704,B4704,$J$4:$J4704,"&gt;"&amp;0),""))</f>
        <v/>
      </c>
      <c r="L4704" s="12" t="n"/>
    </row>
    <row r="4705" ht="14" customHeight="1" s="72">
      <c r="A4705" s="82" t="n"/>
      <c r="B4705" s="79" t="n"/>
      <c r="C4705" s="69">
        <f>IF(B4705="","",IFERROR(INDEX(Client_List!$B:$B,MATCH(B4705,Client_List!$A:$A,0)),"⚠ NOT FOUND"))</f>
        <v/>
      </c>
      <c r="D4705" s="44" t="n"/>
      <c r="E4705" s="32">
        <f>IF(B4705="","",IFERROR(INDEX(Client_List!$C:$C,MATCH(VALUE(B4705),Client_List!$A:$A,0)),""))</f>
        <v/>
      </c>
      <c r="F4705" s="53">
        <f>IF(B4705="","",IFERROR(INDEX(Client_List!$D:$D,MATCH(VALUE(B4705),Client_List!$A:$A,0)),""))</f>
        <v/>
      </c>
      <c r="G4705" s="53">
        <f>IF(B4705="","",IFERROR(INDEX(Client_List!$K:$K,MATCH(VALUE(B4705),Client_List!$A:$A,0)),""))</f>
        <v/>
      </c>
      <c r="H4705" s="32">
        <f>IF(B4705="","",IFERROR(INDEX(Client_List!$J:$J,MATCH(VALUE(B4705),Client_List!$A:$A,0)),""))</f>
        <v/>
      </c>
      <c r="I4705" s="70">
        <f>IF(B4705="","",IFERROR(A4705-LOOKUP(2,1/($B$4:$B4704=B4705),$A$4:$A4704),""))</f>
        <v/>
      </c>
      <c r="J4705" s="32">
        <f>IF(B4705="","",IFERROR(D4705/I4705,""))</f>
        <v/>
      </c>
      <c r="K4705" s="71">
        <f>IF(B4705="","",IFERROR(AVERAGEIFS($J$4:$J4705,$B$4:$B4705,B4705,$J$4:$J4705,"&gt;"&amp;0),""))</f>
        <v/>
      </c>
      <c r="L4705" s="11" t="n"/>
    </row>
    <row r="4706" ht="14" customHeight="1" s="72">
      <c r="A4706" s="83" t="n"/>
      <c r="B4706" s="81" t="n"/>
      <c r="C4706" s="69">
        <f>IF(B4706="","",IFERROR(INDEX(Client_List!$B:$B,MATCH(B4706,Client_List!$A:$A,0)),"⚠ NOT FOUND"))</f>
        <v/>
      </c>
      <c r="D4706" s="45" t="n"/>
      <c r="E4706" s="32">
        <f>IF(B4706="","",IFERROR(INDEX(Client_List!$C:$C,MATCH(VALUE(B4706),Client_List!$A:$A,0)),""))</f>
        <v/>
      </c>
      <c r="F4706" s="53">
        <f>IF(B4706="","",IFERROR(INDEX(Client_List!$D:$D,MATCH(VALUE(B4706),Client_List!$A:$A,0)),""))</f>
        <v/>
      </c>
      <c r="G4706" s="53">
        <f>IF(B4706="","",IFERROR(INDEX(Client_List!$K:$K,MATCH(VALUE(B4706),Client_List!$A:$A,0)),""))</f>
        <v/>
      </c>
      <c r="H4706" s="32">
        <f>IF(B4706="","",IFERROR(INDEX(Client_List!$J:$J,MATCH(VALUE(B4706),Client_List!$A:$A,0)),""))</f>
        <v/>
      </c>
      <c r="I4706" s="70">
        <f>IF(B4706="","",IFERROR(A4706-LOOKUP(2,1/($B$4:$B4705=B4706),$A$4:$A4705),""))</f>
        <v/>
      </c>
      <c r="J4706" s="32">
        <f>IF(B4706="","",IFERROR(D4706/I4706,""))</f>
        <v/>
      </c>
      <c r="K4706" s="71">
        <f>IF(B4706="","",IFERROR(AVERAGEIFS($J$4:$J4706,$B$4:$B4706,B4706,$J$4:$J4706,"&gt;"&amp;0),""))</f>
        <v/>
      </c>
      <c r="L4706" s="12" t="n"/>
    </row>
    <row r="4707" ht="14" customHeight="1" s="72">
      <c r="A4707" s="82" t="n"/>
      <c r="B4707" s="79" t="n"/>
      <c r="C4707" s="69">
        <f>IF(B4707="","",IFERROR(INDEX(Client_List!$B:$B,MATCH(B4707,Client_List!$A:$A,0)),"⚠ NOT FOUND"))</f>
        <v/>
      </c>
      <c r="D4707" s="44" t="n"/>
      <c r="E4707" s="32">
        <f>IF(B4707="","",IFERROR(INDEX(Client_List!$C:$C,MATCH(VALUE(B4707),Client_List!$A:$A,0)),""))</f>
        <v/>
      </c>
      <c r="F4707" s="53">
        <f>IF(B4707="","",IFERROR(INDEX(Client_List!$D:$D,MATCH(VALUE(B4707),Client_List!$A:$A,0)),""))</f>
        <v/>
      </c>
      <c r="G4707" s="53">
        <f>IF(B4707="","",IFERROR(INDEX(Client_List!$K:$K,MATCH(VALUE(B4707),Client_List!$A:$A,0)),""))</f>
        <v/>
      </c>
      <c r="H4707" s="32">
        <f>IF(B4707="","",IFERROR(INDEX(Client_List!$J:$J,MATCH(VALUE(B4707),Client_List!$A:$A,0)),""))</f>
        <v/>
      </c>
      <c r="I4707" s="70">
        <f>IF(B4707="","",IFERROR(A4707-LOOKUP(2,1/($B$4:$B4706=B4707),$A$4:$A4706),""))</f>
        <v/>
      </c>
      <c r="J4707" s="32">
        <f>IF(B4707="","",IFERROR(D4707/I4707,""))</f>
        <v/>
      </c>
      <c r="K4707" s="71">
        <f>IF(B4707="","",IFERROR(AVERAGEIFS($J$4:$J4707,$B$4:$B4707,B4707,$J$4:$J4707,"&gt;"&amp;0),""))</f>
        <v/>
      </c>
      <c r="L4707" s="11" t="n"/>
    </row>
    <row r="4708" ht="14" customHeight="1" s="72">
      <c r="A4708" s="83" t="n"/>
      <c r="B4708" s="81" t="n"/>
      <c r="C4708" s="69">
        <f>IF(B4708="","",IFERROR(INDEX(Client_List!$B:$B,MATCH(B4708,Client_List!$A:$A,0)),"⚠ NOT FOUND"))</f>
        <v/>
      </c>
      <c r="D4708" s="45" t="n"/>
      <c r="E4708" s="32">
        <f>IF(B4708="","",IFERROR(INDEX(Client_List!$C:$C,MATCH(VALUE(B4708),Client_List!$A:$A,0)),""))</f>
        <v/>
      </c>
      <c r="F4708" s="53">
        <f>IF(B4708="","",IFERROR(INDEX(Client_List!$D:$D,MATCH(VALUE(B4708),Client_List!$A:$A,0)),""))</f>
        <v/>
      </c>
      <c r="G4708" s="53">
        <f>IF(B4708="","",IFERROR(INDEX(Client_List!$K:$K,MATCH(VALUE(B4708),Client_List!$A:$A,0)),""))</f>
        <v/>
      </c>
      <c r="H4708" s="32">
        <f>IF(B4708="","",IFERROR(INDEX(Client_List!$J:$J,MATCH(VALUE(B4708),Client_List!$A:$A,0)),""))</f>
        <v/>
      </c>
      <c r="I4708" s="70">
        <f>IF(B4708="","",IFERROR(A4708-LOOKUP(2,1/($B$4:$B4707=B4708),$A$4:$A4707),""))</f>
        <v/>
      </c>
      <c r="J4708" s="32">
        <f>IF(B4708="","",IFERROR(D4708/I4708,""))</f>
        <v/>
      </c>
      <c r="K4708" s="71">
        <f>IF(B4708="","",IFERROR(AVERAGEIFS($J$4:$J4708,$B$4:$B4708,B4708,$J$4:$J4708,"&gt;"&amp;0),""))</f>
        <v/>
      </c>
      <c r="L4708" s="12" t="n"/>
    </row>
    <row r="4709" ht="14" customHeight="1" s="72">
      <c r="A4709" s="82" t="n"/>
      <c r="B4709" s="79" t="n"/>
      <c r="C4709" s="69">
        <f>IF(B4709="","",IFERROR(INDEX(Client_List!$B:$B,MATCH(B4709,Client_List!$A:$A,0)),"⚠ NOT FOUND"))</f>
        <v/>
      </c>
      <c r="D4709" s="44" t="n"/>
      <c r="E4709" s="32">
        <f>IF(B4709="","",IFERROR(INDEX(Client_List!$C:$C,MATCH(VALUE(B4709),Client_List!$A:$A,0)),""))</f>
        <v/>
      </c>
      <c r="F4709" s="53">
        <f>IF(B4709="","",IFERROR(INDEX(Client_List!$D:$D,MATCH(VALUE(B4709),Client_List!$A:$A,0)),""))</f>
        <v/>
      </c>
      <c r="G4709" s="53">
        <f>IF(B4709="","",IFERROR(INDEX(Client_List!$K:$K,MATCH(VALUE(B4709),Client_List!$A:$A,0)),""))</f>
        <v/>
      </c>
      <c r="H4709" s="32">
        <f>IF(B4709="","",IFERROR(INDEX(Client_List!$J:$J,MATCH(VALUE(B4709),Client_List!$A:$A,0)),""))</f>
        <v/>
      </c>
      <c r="I4709" s="70">
        <f>IF(B4709="","",IFERROR(A4709-LOOKUP(2,1/($B$4:$B4708=B4709),$A$4:$A4708),""))</f>
        <v/>
      </c>
      <c r="J4709" s="32">
        <f>IF(B4709="","",IFERROR(D4709/I4709,""))</f>
        <v/>
      </c>
      <c r="K4709" s="71">
        <f>IF(B4709="","",IFERROR(AVERAGEIFS($J$4:$J4709,$B$4:$B4709,B4709,$J$4:$J4709,"&gt;"&amp;0),""))</f>
        <v/>
      </c>
      <c r="L4709" s="11" t="n"/>
    </row>
    <row r="4710" ht="14" customHeight="1" s="72">
      <c r="A4710" s="83" t="n"/>
      <c r="B4710" s="81" t="n"/>
      <c r="C4710" s="69">
        <f>IF(B4710="","",IFERROR(INDEX(Client_List!$B:$B,MATCH(B4710,Client_List!$A:$A,0)),"⚠ NOT FOUND"))</f>
        <v/>
      </c>
      <c r="D4710" s="45" t="n"/>
      <c r="E4710" s="32">
        <f>IF(B4710="","",IFERROR(INDEX(Client_List!$C:$C,MATCH(VALUE(B4710),Client_List!$A:$A,0)),""))</f>
        <v/>
      </c>
      <c r="F4710" s="53">
        <f>IF(B4710="","",IFERROR(INDEX(Client_List!$D:$D,MATCH(VALUE(B4710),Client_List!$A:$A,0)),""))</f>
        <v/>
      </c>
      <c r="G4710" s="53">
        <f>IF(B4710="","",IFERROR(INDEX(Client_List!$K:$K,MATCH(VALUE(B4710),Client_List!$A:$A,0)),""))</f>
        <v/>
      </c>
      <c r="H4710" s="32">
        <f>IF(B4710="","",IFERROR(INDEX(Client_List!$J:$J,MATCH(VALUE(B4710),Client_List!$A:$A,0)),""))</f>
        <v/>
      </c>
      <c r="I4710" s="70">
        <f>IF(B4710="","",IFERROR(A4710-LOOKUP(2,1/($B$4:$B4709=B4710),$A$4:$A4709),""))</f>
        <v/>
      </c>
      <c r="J4710" s="32">
        <f>IF(B4710="","",IFERROR(D4710/I4710,""))</f>
        <v/>
      </c>
      <c r="K4710" s="71">
        <f>IF(B4710="","",IFERROR(AVERAGEIFS($J$4:$J4710,$B$4:$B4710,B4710,$J$4:$J4710,"&gt;"&amp;0),""))</f>
        <v/>
      </c>
      <c r="L4710" s="12" t="n"/>
    </row>
    <row r="4711" ht="14" customHeight="1" s="72">
      <c r="A4711" s="82" t="n"/>
      <c r="B4711" s="79" t="n"/>
      <c r="C4711" s="69">
        <f>IF(B4711="","",IFERROR(INDEX(Client_List!$B:$B,MATCH(B4711,Client_List!$A:$A,0)),"⚠ NOT FOUND"))</f>
        <v/>
      </c>
      <c r="D4711" s="44" t="n"/>
      <c r="E4711" s="32">
        <f>IF(B4711="","",IFERROR(INDEX(Client_List!$C:$C,MATCH(VALUE(B4711),Client_List!$A:$A,0)),""))</f>
        <v/>
      </c>
      <c r="F4711" s="53">
        <f>IF(B4711="","",IFERROR(INDEX(Client_List!$D:$D,MATCH(VALUE(B4711),Client_List!$A:$A,0)),""))</f>
        <v/>
      </c>
      <c r="G4711" s="53">
        <f>IF(B4711="","",IFERROR(INDEX(Client_List!$K:$K,MATCH(VALUE(B4711),Client_List!$A:$A,0)),""))</f>
        <v/>
      </c>
      <c r="H4711" s="32">
        <f>IF(B4711="","",IFERROR(INDEX(Client_List!$J:$J,MATCH(VALUE(B4711),Client_List!$A:$A,0)),""))</f>
        <v/>
      </c>
      <c r="I4711" s="70">
        <f>IF(B4711="","",IFERROR(A4711-LOOKUP(2,1/($B$4:$B4710=B4711),$A$4:$A4710),""))</f>
        <v/>
      </c>
      <c r="J4711" s="32">
        <f>IF(B4711="","",IFERROR(D4711/I4711,""))</f>
        <v/>
      </c>
      <c r="K4711" s="71">
        <f>IF(B4711="","",IFERROR(AVERAGEIFS($J$4:$J4711,$B$4:$B4711,B4711,$J$4:$J4711,"&gt;"&amp;0),""))</f>
        <v/>
      </c>
      <c r="L4711" s="11" t="n"/>
    </row>
    <row r="4712" ht="14" customHeight="1" s="72">
      <c r="A4712" s="83" t="n"/>
      <c r="B4712" s="81" t="n"/>
      <c r="C4712" s="69">
        <f>IF(B4712="","",IFERROR(INDEX(Client_List!$B:$B,MATCH(B4712,Client_List!$A:$A,0)),"⚠ NOT FOUND"))</f>
        <v/>
      </c>
      <c r="D4712" s="45" t="n"/>
      <c r="E4712" s="32">
        <f>IF(B4712="","",IFERROR(INDEX(Client_List!$C:$C,MATCH(VALUE(B4712),Client_List!$A:$A,0)),""))</f>
        <v/>
      </c>
      <c r="F4712" s="53">
        <f>IF(B4712="","",IFERROR(INDEX(Client_List!$D:$D,MATCH(VALUE(B4712),Client_List!$A:$A,0)),""))</f>
        <v/>
      </c>
      <c r="G4712" s="53">
        <f>IF(B4712="","",IFERROR(INDEX(Client_List!$K:$K,MATCH(VALUE(B4712),Client_List!$A:$A,0)),""))</f>
        <v/>
      </c>
      <c r="H4712" s="32">
        <f>IF(B4712="","",IFERROR(INDEX(Client_List!$J:$J,MATCH(VALUE(B4712),Client_List!$A:$A,0)),""))</f>
        <v/>
      </c>
      <c r="I4712" s="70">
        <f>IF(B4712="","",IFERROR(A4712-LOOKUP(2,1/($B$4:$B4711=B4712),$A$4:$A4711),""))</f>
        <v/>
      </c>
      <c r="J4712" s="32">
        <f>IF(B4712="","",IFERROR(D4712/I4712,""))</f>
        <v/>
      </c>
      <c r="K4712" s="71">
        <f>IF(B4712="","",IFERROR(AVERAGEIFS($J$4:$J4712,$B$4:$B4712,B4712,$J$4:$J4712,"&gt;"&amp;0),""))</f>
        <v/>
      </c>
      <c r="L4712" s="12" t="n"/>
    </row>
    <row r="4713" ht="14" customHeight="1" s="72">
      <c r="A4713" s="82" t="n"/>
      <c r="B4713" s="79" t="n"/>
      <c r="C4713" s="69">
        <f>IF(B4713="","",IFERROR(INDEX(Client_List!$B:$B,MATCH(B4713,Client_List!$A:$A,0)),"⚠ NOT FOUND"))</f>
        <v/>
      </c>
      <c r="D4713" s="44" t="n"/>
      <c r="E4713" s="32">
        <f>IF(B4713="","",IFERROR(INDEX(Client_List!$C:$C,MATCH(VALUE(B4713),Client_List!$A:$A,0)),""))</f>
        <v/>
      </c>
      <c r="F4713" s="53">
        <f>IF(B4713="","",IFERROR(INDEX(Client_List!$D:$D,MATCH(VALUE(B4713),Client_List!$A:$A,0)),""))</f>
        <v/>
      </c>
      <c r="G4713" s="53">
        <f>IF(B4713="","",IFERROR(INDEX(Client_List!$K:$K,MATCH(VALUE(B4713),Client_List!$A:$A,0)),""))</f>
        <v/>
      </c>
      <c r="H4713" s="32">
        <f>IF(B4713="","",IFERROR(INDEX(Client_List!$J:$J,MATCH(VALUE(B4713),Client_List!$A:$A,0)),""))</f>
        <v/>
      </c>
      <c r="I4713" s="70">
        <f>IF(B4713="","",IFERROR(A4713-LOOKUP(2,1/($B$4:$B4712=B4713),$A$4:$A4712),""))</f>
        <v/>
      </c>
      <c r="J4713" s="32">
        <f>IF(B4713="","",IFERROR(D4713/I4713,""))</f>
        <v/>
      </c>
      <c r="K4713" s="71">
        <f>IF(B4713="","",IFERROR(AVERAGEIFS($J$4:$J4713,$B$4:$B4713,B4713,$J$4:$J4713,"&gt;"&amp;0),""))</f>
        <v/>
      </c>
      <c r="L4713" s="11" t="n"/>
    </row>
    <row r="4714" ht="14" customHeight="1" s="72">
      <c r="A4714" s="83" t="n"/>
      <c r="B4714" s="81" t="n"/>
      <c r="C4714" s="69">
        <f>IF(B4714="","",IFERROR(INDEX(Client_List!$B:$B,MATCH(B4714,Client_List!$A:$A,0)),"⚠ NOT FOUND"))</f>
        <v/>
      </c>
      <c r="D4714" s="45" t="n"/>
      <c r="E4714" s="32">
        <f>IF(B4714="","",IFERROR(INDEX(Client_List!$C:$C,MATCH(VALUE(B4714),Client_List!$A:$A,0)),""))</f>
        <v/>
      </c>
      <c r="F4714" s="53">
        <f>IF(B4714="","",IFERROR(INDEX(Client_List!$D:$D,MATCH(VALUE(B4714),Client_List!$A:$A,0)),""))</f>
        <v/>
      </c>
      <c r="G4714" s="53">
        <f>IF(B4714="","",IFERROR(INDEX(Client_List!$K:$K,MATCH(VALUE(B4714),Client_List!$A:$A,0)),""))</f>
        <v/>
      </c>
      <c r="H4714" s="32">
        <f>IF(B4714="","",IFERROR(INDEX(Client_List!$J:$J,MATCH(VALUE(B4714),Client_List!$A:$A,0)),""))</f>
        <v/>
      </c>
      <c r="I4714" s="70">
        <f>IF(B4714="","",IFERROR(A4714-LOOKUP(2,1/($B$4:$B4713=B4714),$A$4:$A4713),""))</f>
        <v/>
      </c>
      <c r="J4714" s="32">
        <f>IF(B4714="","",IFERROR(D4714/I4714,""))</f>
        <v/>
      </c>
      <c r="K4714" s="71">
        <f>IF(B4714="","",IFERROR(AVERAGEIFS($J$4:$J4714,$B$4:$B4714,B4714,$J$4:$J4714,"&gt;"&amp;0),""))</f>
        <v/>
      </c>
      <c r="L4714" s="12" t="n"/>
    </row>
    <row r="4715" ht="14" customHeight="1" s="72">
      <c r="A4715" s="82" t="n"/>
      <c r="B4715" s="79" t="n"/>
      <c r="C4715" s="69">
        <f>IF(B4715="","",IFERROR(INDEX(Client_List!$B:$B,MATCH(B4715,Client_List!$A:$A,0)),"⚠ NOT FOUND"))</f>
        <v/>
      </c>
      <c r="D4715" s="44" t="n"/>
      <c r="E4715" s="32">
        <f>IF(B4715="","",IFERROR(INDEX(Client_List!$C:$C,MATCH(VALUE(B4715),Client_List!$A:$A,0)),""))</f>
        <v/>
      </c>
      <c r="F4715" s="53">
        <f>IF(B4715="","",IFERROR(INDEX(Client_List!$D:$D,MATCH(VALUE(B4715),Client_List!$A:$A,0)),""))</f>
        <v/>
      </c>
      <c r="G4715" s="53">
        <f>IF(B4715="","",IFERROR(INDEX(Client_List!$K:$K,MATCH(VALUE(B4715),Client_List!$A:$A,0)),""))</f>
        <v/>
      </c>
      <c r="H4715" s="32">
        <f>IF(B4715="","",IFERROR(INDEX(Client_List!$J:$J,MATCH(VALUE(B4715),Client_List!$A:$A,0)),""))</f>
        <v/>
      </c>
      <c r="I4715" s="70">
        <f>IF(B4715="","",IFERROR(A4715-LOOKUP(2,1/($B$4:$B4714=B4715),$A$4:$A4714),""))</f>
        <v/>
      </c>
      <c r="J4715" s="32">
        <f>IF(B4715="","",IFERROR(D4715/I4715,""))</f>
        <v/>
      </c>
      <c r="K4715" s="71">
        <f>IF(B4715="","",IFERROR(AVERAGEIFS($J$4:$J4715,$B$4:$B4715,B4715,$J$4:$J4715,"&gt;"&amp;0),""))</f>
        <v/>
      </c>
      <c r="L4715" s="11" t="n"/>
    </row>
    <row r="4716" ht="14" customHeight="1" s="72">
      <c r="A4716" s="83" t="n"/>
      <c r="B4716" s="81" t="n"/>
      <c r="C4716" s="69">
        <f>IF(B4716="","",IFERROR(INDEX(Client_List!$B:$B,MATCH(B4716,Client_List!$A:$A,0)),"⚠ NOT FOUND"))</f>
        <v/>
      </c>
      <c r="D4716" s="45" t="n"/>
      <c r="E4716" s="32">
        <f>IF(B4716="","",IFERROR(INDEX(Client_List!$C:$C,MATCH(VALUE(B4716),Client_List!$A:$A,0)),""))</f>
        <v/>
      </c>
      <c r="F4716" s="53">
        <f>IF(B4716="","",IFERROR(INDEX(Client_List!$D:$D,MATCH(VALUE(B4716),Client_List!$A:$A,0)),""))</f>
        <v/>
      </c>
      <c r="G4716" s="53">
        <f>IF(B4716="","",IFERROR(INDEX(Client_List!$K:$K,MATCH(VALUE(B4716),Client_List!$A:$A,0)),""))</f>
        <v/>
      </c>
      <c r="H4716" s="32">
        <f>IF(B4716="","",IFERROR(INDEX(Client_List!$J:$J,MATCH(VALUE(B4716),Client_List!$A:$A,0)),""))</f>
        <v/>
      </c>
      <c r="I4716" s="70">
        <f>IF(B4716="","",IFERROR(A4716-LOOKUP(2,1/($B$4:$B4715=B4716),$A$4:$A4715),""))</f>
        <v/>
      </c>
      <c r="J4716" s="32">
        <f>IF(B4716="","",IFERROR(D4716/I4716,""))</f>
        <v/>
      </c>
      <c r="K4716" s="71">
        <f>IF(B4716="","",IFERROR(AVERAGEIFS($J$4:$J4716,$B$4:$B4716,B4716,$J$4:$J4716,"&gt;"&amp;0),""))</f>
        <v/>
      </c>
      <c r="L4716" s="12" t="n"/>
    </row>
    <row r="4717" ht="14" customHeight="1" s="72">
      <c r="A4717" s="82" t="n"/>
      <c r="B4717" s="79" t="n"/>
      <c r="C4717" s="69">
        <f>IF(B4717="","",IFERROR(INDEX(Client_List!$B:$B,MATCH(B4717,Client_List!$A:$A,0)),"⚠ NOT FOUND"))</f>
        <v/>
      </c>
      <c r="D4717" s="44" t="n"/>
      <c r="E4717" s="32">
        <f>IF(B4717="","",IFERROR(INDEX(Client_List!$C:$C,MATCH(VALUE(B4717),Client_List!$A:$A,0)),""))</f>
        <v/>
      </c>
      <c r="F4717" s="53">
        <f>IF(B4717="","",IFERROR(INDEX(Client_List!$D:$D,MATCH(VALUE(B4717),Client_List!$A:$A,0)),""))</f>
        <v/>
      </c>
      <c r="G4717" s="53">
        <f>IF(B4717="","",IFERROR(INDEX(Client_List!$K:$K,MATCH(VALUE(B4717),Client_List!$A:$A,0)),""))</f>
        <v/>
      </c>
      <c r="H4717" s="32">
        <f>IF(B4717="","",IFERROR(INDEX(Client_List!$J:$J,MATCH(VALUE(B4717),Client_List!$A:$A,0)),""))</f>
        <v/>
      </c>
      <c r="I4717" s="70">
        <f>IF(B4717="","",IFERROR(A4717-LOOKUP(2,1/($B$4:$B4716=B4717),$A$4:$A4716),""))</f>
        <v/>
      </c>
      <c r="J4717" s="32">
        <f>IF(B4717="","",IFERROR(D4717/I4717,""))</f>
        <v/>
      </c>
      <c r="K4717" s="71">
        <f>IF(B4717="","",IFERROR(AVERAGEIFS($J$4:$J4717,$B$4:$B4717,B4717,$J$4:$J4717,"&gt;"&amp;0),""))</f>
        <v/>
      </c>
      <c r="L4717" s="11" t="n"/>
    </row>
    <row r="4718" ht="14" customHeight="1" s="72">
      <c r="A4718" s="83" t="n"/>
      <c r="B4718" s="81" t="n"/>
      <c r="C4718" s="69">
        <f>IF(B4718="","",IFERROR(INDEX(Client_List!$B:$B,MATCH(B4718,Client_List!$A:$A,0)),"⚠ NOT FOUND"))</f>
        <v/>
      </c>
      <c r="D4718" s="45" t="n"/>
      <c r="E4718" s="32">
        <f>IF(B4718="","",IFERROR(INDEX(Client_List!$C:$C,MATCH(VALUE(B4718),Client_List!$A:$A,0)),""))</f>
        <v/>
      </c>
      <c r="F4718" s="53">
        <f>IF(B4718="","",IFERROR(INDEX(Client_List!$D:$D,MATCH(VALUE(B4718),Client_List!$A:$A,0)),""))</f>
        <v/>
      </c>
      <c r="G4718" s="53">
        <f>IF(B4718="","",IFERROR(INDEX(Client_List!$K:$K,MATCH(VALUE(B4718),Client_List!$A:$A,0)),""))</f>
        <v/>
      </c>
      <c r="H4718" s="32">
        <f>IF(B4718="","",IFERROR(INDEX(Client_List!$J:$J,MATCH(VALUE(B4718),Client_List!$A:$A,0)),""))</f>
        <v/>
      </c>
      <c r="I4718" s="70">
        <f>IF(B4718="","",IFERROR(A4718-LOOKUP(2,1/($B$4:$B4717=B4718),$A$4:$A4717),""))</f>
        <v/>
      </c>
      <c r="J4718" s="32">
        <f>IF(B4718="","",IFERROR(D4718/I4718,""))</f>
        <v/>
      </c>
      <c r="K4718" s="71">
        <f>IF(B4718="","",IFERROR(AVERAGEIFS($J$4:$J4718,$B$4:$B4718,B4718,$J$4:$J4718,"&gt;"&amp;0),""))</f>
        <v/>
      </c>
      <c r="L4718" s="12" t="n"/>
    </row>
    <row r="4719" ht="14" customHeight="1" s="72">
      <c r="A4719" s="82" t="n"/>
      <c r="B4719" s="79" t="n"/>
      <c r="C4719" s="69">
        <f>IF(B4719="","",IFERROR(INDEX(Client_List!$B:$B,MATCH(B4719,Client_List!$A:$A,0)),"⚠ NOT FOUND"))</f>
        <v/>
      </c>
      <c r="D4719" s="44" t="n"/>
      <c r="E4719" s="32">
        <f>IF(B4719="","",IFERROR(INDEX(Client_List!$C:$C,MATCH(VALUE(B4719),Client_List!$A:$A,0)),""))</f>
        <v/>
      </c>
      <c r="F4719" s="53">
        <f>IF(B4719="","",IFERROR(INDEX(Client_List!$D:$D,MATCH(VALUE(B4719),Client_List!$A:$A,0)),""))</f>
        <v/>
      </c>
      <c r="G4719" s="53">
        <f>IF(B4719="","",IFERROR(INDEX(Client_List!$K:$K,MATCH(VALUE(B4719),Client_List!$A:$A,0)),""))</f>
        <v/>
      </c>
      <c r="H4719" s="32">
        <f>IF(B4719="","",IFERROR(INDEX(Client_List!$J:$J,MATCH(VALUE(B4719),Client_List!$A:$A,0)),""))</f>
        <v/>
      </c>
      <c r="I4719" s="70">
        <f>IF(B4719="","",IFERROR(A4719-LOOKUP(2,1/($B$4:$B4718=B4719),$A$4:$A4718),""))</f>
        <v/>
      </c>
      <c r="J4719" s="32">
        <f>IF(B4719="","",IFERROR(D4719/I4719,""))</f>
        <v/>
      </c>
      <c r="K4719" s="71">
        <f>IF(B4719="","",IFERROR(AVERAGEIFS($J$4:$J4719,$B$4:$B4719,B4719,$J$4:$J4719,"&gt;"&amp;0),""))</f>
        <v/>
      </c>
      <c r="L4719" s="11" t="n"/>
    </row>
    <row r="4720" ht="14" customHeight="1" s="72">
      <c r="A4720" s="83" t="n"/>
      <c r="B4720" s="81" t="n"/>
      <c r="C4720" s="69">
        <f>IF(B4720="","",IFERROR(INDEX(Client_List!$B:$B,MATCH(B4720,Client_List!$A:$A,0)),"⚠ NOT FOUND"))</f>
        <v/>
      </c>
      <c r="D4720" s="45" t="n"/>
      <c r="E4720" s="32">
        <f>IF(B4720="","",IFERROR(INDEX(Client_List!$C:$C,MATCH(VALUE(B4720),Client_List!$A:$A,0)),""))</f>
        <v/>
      </c>
      <c r="F4720" s="53">
        <f>IF(B4720="","",IFERROR(INDEX(Client_List!$D:$D,MATCH(VALUE(B4720),Client_List!$A:$A,0)),""))</f>
        <v/>
      </c>
      <c r="G4720" s="53">
        <f>IF(B4720="","",IFERROR(INDEX(Client_List!$K:$K,MATCH(VALUE(B4720),Client_List!$A:$A,0)),""))</f>
        <v/>
      </c>
      <c r="H4720" s="32">
        <f>IF(B4720="","",IFERROR(INDEX(Client_List!$J:$J,MATCH(VALUE(B4720),Client_List!$A:$A,0)),""))</f>
        <v/>
      </c>
      <c r="I4720" s="70">
        <f>IF(B4720="","",IFERROR(A4720-LOOKUP(2,1/($B$4:$B4719=B4720),$A$4:$A4719),""))</f>
        <v/>
      </c>
      <c r="J4720" s="32">
        <f>IF(B4720="","",IFERROR(D4720/I4720,""))</f>
        <v/>
      </c>
      <c r="K4720" s="71">
        <f>IF(B4720="","",IFERROR(AVERAGEIFS($J$4:$J4720,$B$4:$B4720,B4720,$J$4:$J4720,"&gt;"&amp;0),""))</f>
        <v/>
      </c>
      <c r="L4720" s="12" t="n"/>
    </row>
    <row r="4721" ht="14" customHeight="1" s="72">
      <c r="A4721" s="82" t="n"/>
      <c r="B4721" s="79" t="n"/>
      <c r="C4721" s="69">
        <f>IF(B4721="","",IFERROR(INDEX(Client_List!$B:$B,MATCH(B4721,Client_List!$A:$A,0)),"⚠ NOT FOUND"))</f>
        <v/>
      </c>
      <c r="D4721" s="44" t="n"/>
      <c r="E4721" s="32">
        <f>IF(B4721="","",IFERROR(INDEX(Client_List!$C:$C,MATCH(VALUE(B4721),Client_List!$A:$A,0)),""))</f>
        <v/>
      </c>
      <c r="F4721" s="53">
        <f>IF(B4721="","",IFERROR(INDEX(Client_List!$D:$D,MATCH(VALUE(B4721),Client_List!$A:$A,0)),""))</f>
        <v/>
      </c>
      <c r="G4721" s="53">
        <f>IF(B4721="","",IFERROR(INDEX(Client_List!$K:$K,MATCH(VALUE(B4721),Client_List!$A:$A,0)),""))</f>
        <v/>
      </c>
      <c r="H4721" s="32">
        <f>IF(B4721="","",IFERROR(INDEX(Client_List!$J:$J,MATCH(VALUE(B4721),Client_List!$A:$A,0)),""))</f>
        <v/>
      </c>
      <c r="I4721" s="70">
        <f>IF(B4721="","",IFERROR(A4721-LOOKUP(2,1/($B$4:$B4720=B4721),$A$4:$A4720),""))</f>
        <v/>
      </c>
      <c r="J4721" s="32">
        <f>IF(B4721="","",IFERROR(D4721/I4721,""))</f>
        <v/>
      </c>
      <c r="K4721" s="71">
        <f>IF(B4721="","",IFERROR(AVERAGEIFS($J$4:$J4721,$B$4:$B4721,B4721,$J$4:$J4721,"&gt;"&amp;0),""))</f>
        <v/>
      </c>
      <c r="L4721" s="11" t="n"/>
    </row>
    <row r="4722" ht="14" customHeight="1" s="72">
      <c r="A4722" s="83" t="n"/>
      <c r="B4722" s="81" t="n"/>
      <c r="C4722" s="69">
        <f>IF(B4722="","",IFERROR(INDEX(Client_List!$B:$B,MATCH(B4722,Client_List!$A:$A,0)),"⚠ NOT FOUND"))</f>
        <v/>
      </c>
      <c r="D4722" s="45" t="n"/>
      <c r="E4722" s="32">
        <f>IF(B4722="","",IFERROR(INDEX(Client_List!$C:$C,MATCH(VALUE(B4722),Client_List!$A:$A,0)),""))</f>
        <v/>
      </c>
      <c r="F4722" s="53">
        <f>IF(B4722="","",IFERROR(INDEX(Client_List!$D:$D,MATCH(VALUE(B4722),Client_List!$A:$A,0)),""))</f>
        <v/>
      </c>
      <c r="G4722" s="53">
        <f>IF(B4722="","",IFERROR(INDEX(Client_List!$K:$K,MATCH(VALUE(B4722),Client_List!$A:$A,0)),""))</f>
        <v/>
      </c>
      <c r="H4722" s="32">
        <f>IF(B4722="","",IFERROR(INDEX(Client_List!$J:$J,MATCH(VALUE(B4722),Client_List!$A:$A,0)),""))</f>
        <v/>
      </c>
      <c r="I4722" s="70">
        <f>IF(B4722="","",IFERROR(A4722-LOOKUP(2,1/($B$4:$B4721=B4722),$A$4:$A4721),""))</f>
        <v/>
      </c>
      <c r="J4722" s="32">
        <f>IF(B4722="","",IFERROR(D4722/I4722,""))</f>
        <v/>
      </c>
      <c r="K4722" s="71">
        <f>IF(B4722="","",IFERROR(AVERAGEIFS($J$4:$J4722,$B$4:$B4722,B4722,$J$4:$J4722,"&gt;"&amp;0),""))</f>
        <v/>
      </c>
      <c r="L4722" s="12" t="n"/>
    </row>
    <row r="4723" ht="14" customHeight="1" s="72">
      <c r="A4723" s="82" t="n"/>
      <c r="B4723" s="79" t="n"/>
      <c r="C4723" s="69">
        <f>IF(B4723="","",IFERROR(INDEX(Client_List!$B:$B,MATCH(B4723,Client_List!$A:$A,0)),"⚠ NOT FOUND"))</f>
        <v/>
      </c>
      <c r="D4723" s="44" t="n"/>
      <c r="E4723" s="32">
        <f>IF(B4723="","",IFERROR(INDEX(Client_List!$C:$C,MATCH(VALUE(B4723),Client_List!$A:$A,0)),""))</f>
        <v/>
      </c>
      <c r="F4723" s="53">
        <f>IF(B4723="","",IFERROR(INDEX(Client_List!$D:$D,MATCH(VALUE(B4723),Client_List!$A:$A,0)),""))</f>
        <v/>
      </c>
      <c r="G4723" s="53">
        <f>IF(B4723="","",IFERROR(INDEX(Client_List!$K:$K,MATCH(VALUE(B4723),Client_List!$A:$A,0)),""))</f>
        <v/>
      </c>
      <c r="H4723" s="32">
        <f>IF(B4723="","",IFERROR(INDEX(Client_List!$J:$J,MATCH(VALUE(B4723),Client_List!$A:$A,0)),""))</f>
        <v/>
      </c>
      <c r="I4723" s="70">
        <f>IF(B4723="","",IFERROR(A4723-LOOKUP(2,1/($B$4:$B4722=B4723),$A$4:$A4722),""))</f>
        <v/>
      </c>
      <c r="J4723" s="32">
        <f>IF(B4723="","",IFERROR(D4723/I4723,""))</f>
        <v/>
      </c>
      <c r="K4723" s="71">
        <f>IF(B4723="","",IFERROR(AVERAGEIFS($J$4:$J4723,$B$4:$B4723,B4723,$J$4:$J4723,"&gt;"&amp;0),""))</f>
        <v/>
      </c>
      <c r="L4723" s="11" t="n"/>
    </row>
    <row r="4724" ht="14" customHeight="1" s="72">
      <c r="A4724" s="83" t="n"/>
      <c r="B4724" s="81" t="n"/>
      <c r="C4724" s="69">
        <f>IF(B4724="","",IFERROR(INDEX(Client_List!$B:$B,MATCH(B4724,Client_List!$A:$A,0)),"⚠ NOT FOUND"))</f>
        <v/>
      </c>
      <c r="D4724" s="45" t="n"/>
      <c r="E4724" s="32">
        <f>IF(B4724="","",IFERROR(INDEX(Client_List!$C:$C,MATCH(VALUE(B4724),Client_List!$A:$A,0)),""))</f>
        <v/>
      </c>
      <c r="F4724" s="53">
        <f>IF(B4724="","",IFERROR(INDEX(Client_List!$D:$D,MATCH(VALUE(B4724),Client_List!$A:$A,0)),""))</f>
        <v/>
      </c>
      <c r="G4724" s="53">
        <f>IF(B4724="","",IFERROR(INDEX(Client_List!$K:$K,MATCH(VALUE(B4724),Client_List!$A:$A,0)),""))</f>
        <v/>
      </c>
      <c r="H4724" s="32">
        <f>IF(B4724="","",IFERROR(INDEX(Client_List!$J:$J,MATCH(VALUE(B4724),Client_List!$A:$A,0)),""))</f>
        <v/>
      </c>
      <c r="I4724" s="70">
        <f>IF(B4724="","",IFERROR(A4724-LOOKUP(2,1/($B$4:$B4723=B4724),$A$4:$A4723),""))</f>
        <v/>
      </c>
      <c r="J4724" s="32">
        <f>IF(B4724="","",IFERROR(D4724/I4724,""))</f>
        <v/>
      </c>
      <c r="K4724" s="71">
        <f>IF(B4724="","",IFERROR(AVERAGEIFS($J$4:$J4724,$B$4:$B4724,B4724,$J$4:$J4724,"&gt;"&amp;0),""))</f>
        <v/>
      </c>
      <c r="L4724" s="12" t="n"/>
    </row>
    <row r="4725" ht="14" customHeight="1" s="72">
      <c r="A4725" s="82" t="n"/>
      <c r="B4725" s="79" t="n"/>
      <c r="C4725" s="69">
        <f>IF(B4725="","",IFERROR(INDEX(Client_List!$B:$B,MATCH(B4725,Client_List!$A:$A,0)),"⚠ NOT FOUND"))</f>
        <v/>
      </c>
      <c r="D4725" s="44" t="n"/>
      <c r="E4725" s="32">
        <f>IF(B4725="","",IFERROR(INDEX(Client_List!$C:$C,MATCH(VALUE(B4725),Client_List!$A:$A,0)),""))</f>
        <v/>
      </c>
      <c r="F4725" s="53">
        <f>IF(B4725="","",IFERROR(INDEX(Client_List!$D:$D,MATCH(VALUE(B4725),Client_List!$A:$A,0)),""))</f>
        <v/>
      </c>
      <c r="G4725" s="53">
        <f>IF(B4725="","",IFERROR(INDEX(Client_List!$K:$K,MATCH(VALUE(B4725),Client_List!$A:$A,0)),""))</f>
        <v/>
      </c>
      <c r="H4725" s="32">
        <f>IF(B4725="","",IFERROR(INDEX(Client_List!$J:$J,MATCH(VALUE(B4725),Client_List!$A:$A,0)),""))</f>
        <v/>
      </c>
      <c r="I4725" s="70">
        <f>IF(B4725="","",IFERROR(A4725-LOOKUP(2,1/($B$4:$B4724=B4725),$A$4:$A4724),""))</f>
        <v/>
      </c>
      <c r="J4725" s="32">
        <f>IF(B4725="","",IFERROR(D4725/I4725,""))</f>
        <v/>
      </c>
      <c r="K4725" s="71">
        <f>IF(B4725="","",IFERROR(AVERAGEIFS($J$4:$J4725,$B$4:$B4725,B4725,$J$4:$J4725,"&gt;"&amp;0),""))</f>
        <v/>
      </c>
      <c r="L4725" s="11" t="n"/>
    </row>
    <row r="4726" ht="14" customHeight="1" s="72">
      <c r="A4726" s="83" t="n"/>
      <c r="B4726" s="81" t="n"/>
      <c r="C4726" s="69">
        <f>IF(B4726="","",IFERROR(INDEX(Client_List!$B:$B,MATCH(B4726,Client_List!$A:$A,0)),"⚠ NOT FOUND"))</f>
        <v/>
      </c>
      <c r="D4726" s="45" t="n"/>
      <c r="E4726" s="32">
        <f>IF(B4726="","",IFERROR(INDEX(Client_List!$C:$C,MATCH(VALUE(B4726),Client_List!$A:$A,0)),""))</f>
        <v/>
      </c>
      <c r="F4726" s="53">
        <f>IF(B4726="","",IFERROR(INDEX(Client_List!$D:$D,MATCH(VALUE(B4726),Client_List!$A:$A,0)),""))</f>
        <v/>
      </c>
      <c r="G4726" s="53">
        <f>IF(B4726="","",IFERROR(INDEX(Client_List!$K:$K,MATCH(VALUE(B4726),Client_List!$A:$A,0)),""))</f>
        <v/>
      </c>
      <c r="H4726" s="32">
        <f>IF(B4726="","",IFERROR(INDEX(Client_List!$J:$J,MATCH(VALUE(B4726),Client_List!$A:$A,0)),""))</f>
        <v/>
      </c>
      <c r="I4726" s="70">
        <f>IF(B4726="","",IFERROR(A4726-LOOKUP(2,1/($B$4:$B4725=B4726),$A$4:$A4725),""))</f>
        <v/>
      </c>
      <c r="J4726" s="32">
        <f>IF(B4726="","",IFERROR(D4726/I4726,""))</f>
        <v/>
      </c>
      <c r="K4726" s="71">
        <f>IF(B4726="","",IFERROR(AVERAGEIFS($J$4:$J4726,$B$4:$B4726,B4726,$J$4:$J4726,"&gt;"&amp;0),""))</f>
        <v/>
      </c>
      <c r="L4726" s="12" t="n"/>
    </row>
    <row r="4727" ht="14" customHeight="1" s="72">
      <c r="A4727" s="82" t="n"/>
      <c r="B4727" s="79" t="n"/>
      <c r="C4727" s="69">
        <f>IF(B4727="","",IFERROR(INDEX(Client_List!$B:$B,MATCH(B4727,Client_List!$A:$A,0)),"⚠ NOT FOUND"))</f>
        <v/>
      </c>
      <c r="D4727" s="44" t="n"/>
      <c r="E4727" s="32">
        <f>IF(B4727="","",IFERROR(INDEX(Client_List!$C:$C,MATCH(VALUE(B4727),Client_List!$A:$A,0)),""))</f>
        <v/>
      </c>
      <c r="F4727" s="53">
        <f>IF(B4727="","",IFERROR(INDEX(Client_List!$D:$D,MATCH(VALUE(B4727),Client_List!$A:$A,0)),""))</f>
        <v/>
      </c>
      <c r="G4727" s="53">
        <f>IF(B4727="","",IFERROR(INDEX(Client_List!$K:$K,MATCH(VALUE(B4727),Client_List!$A:$A,0)),""))</f>
        <v/>
      </c>
      <c r="H4727" s="32">
        <f>IF(B4727="","",IFERROR(INDEX(Client_List!$J:$J,MATCH(VALUE(B4727),Client_List!$A:$A,0)),""))</f>
        <v/>
      </c>
      <c r="I4727" s="70">
        <f>IF(B4727="","",IFERROR(A4727-LOOKUP(2,1/($B$4:$B4726=B4727),$A$4:$A4726),""))</f>
        <v/>
      </c>
      <c r="J4727" s="32">
        <f>IF(B4727="","",IFERROR(D4727/I4727,""))</f>
        <v/>
      </c>
      <c r="K4727" s="71">
        <f>IF(B4727="","",IFERROR(AVERAGEIFS($J$4:$J4727,$B$4:$B4727,B4727,$J$4:$J4727,"&gt;"&amp;0),""))</f>
        <v/>
      </c>
      <c r="L4727" s="11" t="n"/>
    </row>
    <row r="4728" ht="14" customHeight="1" s="72">
      <c r="A4728" s="83" t="n"/>
      <c r="B4728" s="81" t="n"/>
      <c r="C4728" s="69">
        <f>IF(B4728="","",IFERROR(INDEX(Client_List!$B:$B,MATCH(B4728,Client_List!$A:$A,0)),"⚠ NOT FOUND"))</f>
        <v/>
      </c>
      <c r="D4728" s="45" t="n"/>
      <c r="E4728" s="32">
        <f>IF(B4728="","",IFERROR(INDEX(Client_List!$C:$C,MATCH(VALUE(B4728),Client_List!$A:$A,0)),""))</f>
        <v/>
      </c>
      <c r="F4728" s="53">
        <f>IF(B4728="","",IFERROR(INDEX(Client_List!$D:$D,MATCH(VALUE(B4728),Client_List!$A:$A,0)),""))</f>
        <v/>
      </c>
      <c r="G4728" s="53">
        <f>IF(B4728="","",IFERROR(INDEX(Client_List!$K:$K,MATCH(VALUE(B4728),Client_List!$A:$A,0)),""))</f>
        <v/>
      </c>
      <c r="H4728" s="32">
        <f>IF(B4728="","",IFERROR(INDEX(Client_List!$J:$J,MATCH(VALUE(B4728),Client_List!$A:$A,0)),""))</f>
        <v/>
      </c>
      <c r="I4728" s="70">
        <f>IF(B4728="","",IFERROR(A4728-LOOKUP(2,1/($B$4:$B4727=B4728),$A$4:$A4727),""))</f>
        <v/>
      </c>
      <c r="J4728" s="32">
        <f>IF(B4728="","",IFERROR(D4728/I4728,""))</f>
        <v/>
      </c>
      <c r="K4728" s="71">
        <f>IF(B4728="","",IFERROR(AVERAGEIFS($J$4:$J4728,$B$4:$B4728,B4728,$J$4:$J4728,"&gt;"&amp;0),""))</f>
        <v/>
      </c>
      <c r="L4728" s="12" t="n"/>
    </row>
    <row r="4729" ht="14" customHeight="1" s="72">
      <c r="A4729" s="82" t="n"/>
      <c r="B4729" s="79" t="n"/>
      <c r="C4729" s="69">
        <f>IF(B4729="","",IFERROR(INDEX(Client_List!$B:$B,MATCH(B4729,Client_List!$A:$A,0)),"⚠ NOT FOUND"))</f>
        <v/>
      </c>
      <c r="D4729" s="44" t="n"/>
      <c r="E4729" s="32">
        <f>IF(B4729="","",IFERROR(INDEX(Client_List!$C:$C,MATCH(VALUE(B4729),Client_List!$A:$A,0)),""))</f>
        <v/>
      </c>
      <c r="F4729" s="53">
        <f>IF(B4729="","",IFERROR(INDEX(Client_List!$D:$D,MATCH(VALUE(B4729),Client_List!$A:$A,0)),""))</f>
        <v/>
      </c>
      <c r="G4729" s="53">
        <f>IF(B4729="","",IFERROR(INDEX(Client_List!$K:$K,MATCH(VALUE(B4729),Client_List!$A:$A,0)),""))</f>
        <v/>
      </c>
      <c r="H4729" s="32">
        <f>IF(B4729="","",IFERROR(INDEX(Client_List!$J:$J,MATCH(VALUE(B4729),Client_List!$A:$A,0)),""))</f>
        <v/>
      </c>
      <c r="I4729" s="70">
        <f>IF(B4729="","",IFERROR(A4729-LOOKUP(2,1/($B$4:$B4728=B4729),$A$4:$A4728),""))</f>
        <v/>
      </c>
      <c r="J4729" s="32">
        <f>IF(B4729="","",IFERROR(D4729/I4729,""))</f>
        <v/>
      </c>
      <c r="K4729" s="71">
        <f>IF(B4729="","",IFERROR(AVERAGEIFS($J$4:$J4729,$B$4:$B4729,B4729,$J$4:$J4729,"&gt;"&amp;0),""))</f>
        <v/>
      </c>
      <c r="L4729" s="11" t="n"/>
    </row>
    <row r="4730" ht="14" customHeight="1" s="72">
      <c r="A4730" s="83" t="n"/>
      <c r="B4730" s="81" t="n"/>
      <c r="C4730" s="69">
        <f>IF(B4730="","",IFERROR(INDEX(Client_List!$B:$B,MATCH(B4730,Client_List!$A:$A,0)),"⚠ NOT FOUND"))</f>
        <v/>
      </c>
      <c r="D4730" s="45" t="n"/>
      <c r="E4730" s="32">
        <f>IF(B4730="","",IFERROR(INDEX(Client_List!$C:$C,MATCH(VALUE(B4730),Client_List!$A:$A,0)),""))</f>
        <v/>
      </c>
      <c r="F4730" s="53">
        <f>IF(B4730="","",IFERROR(INDEX(Client_List!$D:$D,MATCH(VALUE(B4730),Client_List!$A:$A,0)),""))</f>
        <v/>
      </c>
      <c r="G4730" s="53">
        <f>IF(B4730="","",IFERROR(INDEX(Client_List!$K:$K,MATCH(VALUE(B4730),Client_List!$A:$A,0)),""))</f>
        <v/>
      </c>
      <c r="H4730" s="32">
        <f>IF(B4730="","",IFERROR(INDEX(Client_List!$J:$J,MATCH(VALUE(B4730),Client_List!$A:$A,0)),""))</f>
        <v/>
      </c>
      <c r="I4730" s="70">
        <f>IF(B4730="","",IFERROR(A4730-LOOKUP(2,1/($B$4:$B4729=B4730),$A$4:$A4729),""))</f>
        <v/>
      </c>
      <c r="J4730" s="32">
        <f>IF(B4730="","",IFERROR(D4730/I4730,""))</f>
        <v/>
      </c>
      <c r="K4730" s="71">
        <f>IF(B4730="","",IFERROR(AVERAGEIFS($J$4:$J4730,$B$4:$B4730,B4730,$J$4:$J4730,"&gt;"&amp;0),""))</f>
        <v/>
      </c>
      <c r="L4730" s="12" t="n"/>
    </row>
    <row r="4731" ht="14" customHeight="1" s="72">
      <c r="A4731" s="82" t="n"/>
      <c r="B4731" s="79" t="n"/>
      <c r="C4731" s="69">
        <f>IF(B4731="","",IFERROR(INDEX(Client_List!$B:$B,MATCH(B4731,Client_List!$A:$A,0)),"⚠ NOT FOUND"))</f>
        <v/>
      </c>
      <c r="D4731" s="44" t="n"/>
      <c r="E4731" s="32">
        <f>IF(B4731="","",IFERROR(INDEX(Client_List!$C:$C,MATCH(VALUE(B4731),Client_List!$A:$A,0)),""))</f>
        <v/>
      </c>
      <c r="F4731" s="53">
        <f>IF(B4731="","",IFERROR(INDEX(Client_List!$D:$D,MATCH(VALUE(B4731),Client_List!$A:$A,0)),""))</f>
        <v/>
      </c>
      <c r="G4731" s="53">
        <f>IF(B4731="","",IFERROR(INDEX(Client_List!$K:$K,MATCH(VALUE(B4731),Client_List!$A:$A,0)),""))</f>
        <v/>
      </c>
      <c r="H4731" s="32">
        <f>IF(B4731="","",IFERROR(INDEX(Client_List!$J:$J,MATCH(VALUE(B4731),Client_List!$A:$A,0)),""))</f>
        <v/>
      </c>
      <c r="I4731" s="70">
        <f>IF(B4731="","",IFERROR(A4731-LOOKUP(2,1/($B$4:$B4730=B4731),$A$4:$A4730),""))</f>
        <v/>
      </c>
      <c r="J4731" s="32">
        <f>IF(B4731="","",IFERROR(D4731/I4731,""))</f>
        <v/>
      </c>
      <c r="K4731" s="71">
        <f>IF(B4731="","",IFERROR(AVERAGEIFS($J$4:$J4731,$B$4:$B4731,B4731,$J$4:$J4731,"&gt;"&amp;0),""))</f>
        <v/>
      </c>
      <c r="L4731" s="11" t="n"/>
    </row>
    <row r="4732" ht="14" customHeight="1" s="72">
      <c r="A4732" s="83" t="n"/>
      <c r="B4732" s="81" t="n"/>
      <c r="C4732" s="69">
        <f>IF(B4732="","",IFERROR(INDEX(Client_List!$B:$B,MATCH(B4732,Client_List!$A:$A,0)),"⚠ NOT FOUND"))</f>
        <v/>
      </c>
      <c r="D4732" s="45" t="n"/>
      <c r="E4732" s="32">
        <f>IF(B4732="","",IFERROR(INDEX(Client_List!$C:$C,MATCH(VALUE(B4732),Client_List!$A:$A,0)),""))</f>
        <v/>
      </c>
      <c r="F4732" s="53">
        <f>IF(B4732="","",IFERROR(INDEX(Client_List!$D:$D,MATCH(VALUE(B4732),Client_List!$A:$A,0)),""))</f>
        <v/>
      </c>
      <c r="G4732" s="53">
        <f>IF(B4732="","",IFERROR(INDEX(Client_List!$K:$K,MATCH(VALUE(B4732),Client_List!$A:$A,0)),""))</f>
        <v/>
      </c>
      <c r="H4732" s="32">
        <f>IF(B4732="","",IFERROR(INDEX(Client_List!$J:$J,MATCH(VALUE(B4732),Client_List!$A:$A,0)),""))</f>
        <v/>
      </c>
      <c r="I4732" s="70">
        <f>IF(B4732="","",IFERROR(A4732-LOOKUP(2,1/($B$4:$B4731=B4732),$A$4:$A4731),""))</f>
        <v/>
      </c>
      <c r="J4732" s="32">
        <f>IF(B4732="","",IFERROR(D4732/I4732,""))</f>
        <v/>
      </c>
      <c r="K4732" s="71">
        <f>IF(B4732="","",IFERROR(AVERAGEIFS($J$4:$J4732,$B$4:$B4732,B4732,$J$4:$J4732,"&gt;"&amp;0),""))</f>
        <v/>
      </c>
      <c r="L4732" s="12" t="n"/>
    </row>
    <row r="4733" ht="14" customHeight="1" s="72">
      <c r="A4733" s="82" t="n"/>
      <c r="B4733" s="79" t="n"/>
      <c r="C4733" s="69">
        <f>IF(B4733="","",IFERROR(INDEX(Client_List!$B:$B,MATCH(B4733,Client_List!$A:$A,0)),"⚠ NOT FOUND"))</f>
        <v/>
      </c>
      <c r="D4733" s="44" t="n"/>
      <c r="E4733" s="32">
        <f>IF(B4733="","",IFERROR(INDEX(Client_List!$C:$C,MATCH(VALUE(B4733),Client_List!$A:$A,0)),""))</f>
        <v/>
      </c>
      <c r="F4733" s="53">
        <f>IF(B4733="","",IFERROR(INDEX(Client_List!$D:$D,MATCH(VALUE(B4733),Client_List!$A:$A,0)),""))</f>
        <v/>
      </c>
      <c r="G4733" s="53">
        <f>IF(B4733="","",IFERROR(INDEX(Client_List!$K:$K,MATCH(VALUE(B4733),Client_List!$A:$A,0)),""))</f>
        <v/>
      </c>
      <c r="H4733" s="32">
        <f>IF(B4733="","",IFERROR(INDEX(Client_List!$J:$J,MATCH(VALUE(B4733),Client_List!$A:$A,0)),""))</f>
        <v/>
      </c>
      <c r="I4733" s="70">
        <f>IF(B4733="","",IFERROR(A4733-LOOKUP(2,1/($B$4:$B4732=B4733),$A$4:$A4732),""))</f>
        <v/>
      </c>
      <c r="J4733" s="32">
        <f>IF(B4733="","",IFERROR(D4733/I4733,""))</f>
        <v/>
      </c>
      <c r="K4733" s="71">
        <f>IF(B4733="","",IFERROR(AVERAGEIFS($J$4:$J4733,$B$4:$B4733,B4733,$J$4:$J4733,"&gt;"&amp;0),""))</f>
        <v/>
      </c>
      <c r="L4733" s="11" t="n"/>
    </row>
    <row r="4734" ht="14" customHeight="1" s="72">
      <c r="A4734" s="83" t="n"/>
      <c r="B4734" s="81" t="n"/>
      <c r="C4734" s="69">
        <f>IF(B4734="","",IFERROR(INDEX(Client_List!$B:$B,MATCH(B4734,Client_List!$A:$A,0)),"⚠ NOT FOUND"))</f>
        <v/>
      </c>
      <c r="D4734" s="45" t="n"/>
      <c r="E4734" s="32">
        <f>IF(B4734="","",IFERROR(INDEX(Client_List!$C:$C,MATCH(VALUE(B4734),Client_List!$A:$A,0)),""))</f>
        <v/>
      </c>
      <c r="F4734" s="53">
        <f>IF(B4734="","",IFERROR(INDEX(Client_List!$D:$D,MATCH(VALUE(B4734),Client_List!$A:$A,0)),""))</f>
        <v/>
      </c>
      <c r="G4734" s="53">
        <f>IF(B4734="","",IFERROR(INDEX(Client_List!$K:$K,MATCH(VALUE(B4734),Client_List!$A:$A,0)),""))</f>
        <v/>
      </c>
      <c r="H4734" s="32">
        <f>IF(B4734="","",IFERROR(INDEX(Client_List!$J:$J,MATCH(VALUE(B4734),Client_List!$A:$A,0)),""))</f>
        <v/>
      </c>
      <c r="I4734" s="70">
        <f>IF(B4734="","",IFERROR(A4734-LOOKUP(2,1/($B$4:$B4733=B4734),$A$4:$A4733),""))</f>
        <v/>
      </c>
      <c r="J4734" s="32">
        <f>IF(B4734="","",IFERROR(D4734/I4734,""))</f>
        <v/>
      </c>
      <c r="K4734" s="71">
        <f>IF(B4734="","",IFERROR(AVERAGEIFS($J$4:$J4734,$B$4:$B4734,B4734,$J$4:$J4734,"&gt;"&amp;0),""))</f>
        <v/>
      </c>
      <c r="L4734" s="12" t="n"/>
    </row>
    <row r="4735" ht="14" customHeight="1" s="72">
      <c r="A4735" s="82" t="n"/>
      <c r="B4735" s="79" t="n"/>
      <c r="C4735" s="69">
        <f>IF(B4735="","",IFERROR(INDEX(Client_List!$B:$B,MATCH(B4735,Client_List!$A:$A,0)),"⚠ NOT FOUND"))</f>
        <v/>
      </c>
      <c r="D4735" s="44" t="n"/>
      <c r="E4735" s="32">
        <f>IF(B4735="","",IFERROR(INDEX(Client_List!$C:$C,MATCH(VALUE(B4735),Client_List!$A:$A,0)),""))</f>
        <v/>
      </c>
      <c r="F4735" s="53">
        <f>IF(B4735="","",IFERROR(INDEX(Client_List!$D:$D,MATCH(VALUE(B4735),Client_List!$A:$A,0)),""))</f>
        <v/>
      </c>
      <c r="G4735" s="53">
        <f>IF(B4735="","",IFERROR(INDEX(Client_List!$K:$K,MATCH(VALUE(B4735),Client_List!$A:$A,0)),""))</f>
        <v/>
      </c>
      <c r="H4735" s="32">
        <f>IF(B4735="","",IFERROR(INDEX(Client_List!$J:$J,MATCH(VALUE(B4735),Client_List!$A:$A,0)),""))</f>
        <v/>
      </c>
      <c r="I4735" s="70">
        <f>IF(B4735="","",IFERROR(A4735-LOOKUP(2,1/($B$4:$B4734=B4735),$A$4:$A4734),""))</f>
        <v/>
      </c>
      <c r="J4735" s="32">
        <f>IF(B4735="","",IFERROR(D4735/I4735,""))</f>
        <v/>
      </c>
      <c r="K4735" s="71">
        <f>IF(B4735="","",IFERROR(AVERAGEIFS($J$4:$J4735,$B$4:$B4735,B4735,$J$4:$J4735,"&gt;"&amp;0),""))</f>
        <v/>
      </c>
      <c r="L4735" s="11" t="n"/>
    </row>
    <row r="4736" ht="14" customHeight="1" s="72">
      <c r="A4736" s="83" t="n"/>
      <c r="B4736" s="81" t="n"/>
      <c r="C4736" s="69">
        <f>IF(B4736="","",IFERROR(INDEX(Client_List!$B:$B,MATCH(B4736,Client_List!$A:$A,0)),"⚠ NOT FOUND"))</f>
        <v/>
      </c>
      <c r="D4736" s="45" t="n"/>
      <c r="E4736" s="32">
        <f>IF(B4736="","",IFERROR(INDEX(Client_List!$C:$C,MATCH(VALUE(B4736),Client_List!$A:$A,0)),""))</f>
        <v/>
      </c>
      <c r="F4736" s="53">
        <f>IF(B4736="","",IFERROR(INDEX(Client_List!$D:$D,MATCH(VALUE(B4736),Client_List!$A:$A,0)),""))</f>
        <v/>
      </c>
      <c r="G4736" s="53">
        <f>IF(B4736="","",IFERROR(INDEX(Client_List!$K:$K,MATCH(VALUE(B4736),Client_List!$A:$A,0)),""))</f>
        <v/>
      </c>
      <c r="H4736" s="32">
        <f>IF(B4736="","",IFERROR(INDEX(Client_List!$J:$J,MATCH(VALUE(B4736),Client_List!$A:$A,0)),""))</f>
        <v/>
      </c>
      <c r="I4736" s="70">
        <f>IF(B4736="","",IFERROR(A4736-LOOKUP(2,1/($B$4:$B4735=B4736),$A$4:$A4735),""))</f>
        <v/>
      </c>
      <c r="J4736" s="32">
        <f>IF(B4736="","",IFERROR(D4736/I4736,""))</f>
        <v/>
      </c>
      <c r="K4736" s="71">
        <f>IF(B4736="","",IFERROR(AVERAGEIFS($J$4:$J4736,$B$4:$B4736,B4736,$J$4:$J4736,"&gt;"&amp;0),""))</f>
        <v/>
      </c>
      <c r="L4736" s="12" t="n"/>
    </row>
    <row r="4737" ht="14" customHeight="1" s="72">
      <c r="A4737" s="82" t="n"/>
      <c r="B4737" s="79" t="n"/>
      <c r="C4737" s="69">
        <f>IF(B4737="","",IFERROR(INDEX(Client_List!$B:$B,MATCH(B4737,Client_List!$A:$A,0)),"⚠ NOT FOUND"))</f>
        <v/>
      </c>
      <c r="D4737" s="44" t="n"/>
      <c r="E4737" s="32">
        <f>IF(B4737="","",IFERROR(INDEX(Client_List!$C:$C,MATCH(VALUE(B4737),Client_List!$A:$A,0)),""))</f>
        <v/>
      </c>
      <c r="F4737" s="53">
        <f>IF(B4737="","",IFERROR(INDEX(Client_List!$D:$D,MATCH(VALUE(B4737),Client_List!$A:$A,0)),""))</f>
        <v/>
      </c>
      <c r="G4737" s="53">
        <f>IF(B4737="","",IFERROR(INDEX(Client_List!$K:$K,MATCH(VALUE(B4737),Client_List!$A:$A,0)),""))</f>
        <v/>
      </c>
      <c r="H4737" s="32">
        <f>IF(B4737="","",IFERROR(INDEX(Client_List!$J:$J,MATCH(VALUE(B4737),Client_List!$A:$A,0)),""))</f>
        <v/>
      </c>
      <c r="I4737" s="70">
        <f>IF(B4737="","",IFERROR(A4737-LOOKUP(2,1/($B$4:$B4736=B4737),$A$4:$A4736),""))</f>
        <v/>
      </c>
      <c r="J4737" s="32">
        <f>IF(B4737="","",IFERROR(D4737/I4737,""))</f>
        <v/>
      </c>
      <c r="K4737" s="71">
        <f>IF(B4737="","",IFERROR(AVERAGEIFS($J$4:$J4737,$B$4:$B4737,B4737,$J$4:$J4737,"&gt;"&amp;0),""))</f>
        <v/>
      </c>
      <c r="L4737" s="11" t="n"/>
    </row>
    <row r="4738" ht="14" customHeight="1" s="72">
      <c r="A4738" s="83" t="n"/>
      <c r="B4738" s="81" t="n"/>
      <c r="C4738" s="69">
        <f>IF(B4738="","",IFERROR(INDEX(Client_List!$B:$B,MATCH(B4738,Client_List!$A:$A,0)),"⚠ NOT FOUND"))</f>
        <v/>
      </c>
      <c r="D4738" s="45" t="n"/>
      <c r="E4738" s="32">
        <f>IF(B4738="","",IFERROR(INDEX(Client_List!$C:$C,MATCH(VALUE(B4738),Client_List!$A:$A,0)),""))</f>
        <v/>
      </c>
      <c r="F4738" s="53">
        <f>IF(B4738="","",IFERROR(INDEX(Client_List!$D:$D,MATCH(VALUE(B4738),Client_List!$A:$A,0)),""))</f>
        <v/>
      </c>
      <c r="G4738" s="53">
        <f>IF(B4738="","",IFERROR(INDEX(Client_List!$K:$K,MATCH(VALUE(B4738),Client_List!$A:$A,0)),""))</f>
        <v/>
      </c>
      <c r="H4738" s="32">
        <f>IF(B4738="","",IFERROR(INDEX(Client_List!$J:$J,MATCH(VALUE(B4738),Client_List!$A:$A,0)),""))</f>
        <v/>
      </c>
      <c r="I4738" s="70">
        <f>IF(B4738="","",IFERROR(A4738-LOOKUP(2,1/($B$4:$B4737=B4738),$A$4:$A4737),""))</f>
        <v/>
      </c>
      <c r="J4738" s="32">
        <f>IF(B4738="","",IFERROR(D4738/I4738,""))</f>
        <v/>
      </c>
      <c r="K4738" s="71">
        <f>IF(B4738="","",IFERROR(AVERAGEIFS($J$4:$J4738,$B$4:$B4738,B4738,$J$4:$J4738,"&gt;"&amp;0),""))</f>
        <v/>
      </c>
      <c r="L4738" s="12" t="n"/>
    </row>
    <row r="4739" ht="14" customHeight="1" s="72">
      <c r="A4739" s="82" t="n"/>
      <c r="B4739" s="79" t="n"/>
      <c r="C4739" s="69">
        <f>IF(B4739="","",IFERROR(INDEX(Client_List!$B:$B,MATCH(B4739,Client_List!$A:$A,0)),"⚠ NOT FOUND"))</f>
        <v/>
      </c>
      <c r="D4739" s="44" t="n"/>
      <c r="E4739" s="32">
        <f>IF(B4739="","",IFERROR(INDEX(Client_List!$C:$C,MATCH(VALUE(B4739),Client_List!$A:$A,0)),""))</f>
        <v/>
      </c>
      <c r="F4739" s="53">
        <f>IF(B4739="","",IFERROR(INDEX(Client_List!$D:$D,MATCH(VALUE(B4739),Client_List!$A:$A,0)),""))</f>
        <v/>
      </c>
      <c r="G4739" s="53">
        <f>IF(B4739="","",IFERROR(INDEX(Client_List!$K:$K,MATCH(VALUE(B4739),Client_List!$A:$A,0)),""))</f>
        <v/>
      </c>
      <c r="H4739" s="32">
        <f>IF(B4739="","",IFERROR(INDEX(Client_List!$J:$J,MATCH(VALUE(B4739),Client_List!$A:$A,0)),""))</f>
        <v/>
      </c>
      <c r="I4739" s="70">
        <f>IF(B4739="","",IFERROR(A4739-LOOKUP(2,1/($B$4:$B4738=B4739),$A$4:$A4738),""))</f>
        <v/>
      </c>
      <c r="J4739" s="32">
        <f>IF(B4739="","",IFERROR(D4739/I4739,""))</f>
        <v/>
      </c>
      <c r="K4739" s="71">
        <f>IF(B4739="","",IFERROR(AVERAGEIFS($J$4:$J4739,$B$4:$B4739,B4739,$J$4:$J4739,"&gt;"&amp;0),""))</f>
        <v/>
      </c>
      <c r="L4739" s="11" t="n"/>
    </row>
    <row r="4740" ht="14" customHeight="1" s="72">
      <c r="A4740" s="83" t="n"/>
      <c r="B4740" s="81" t="n"/>
      <c r="C4740" s="69">
        <f>IF(B4740="","",IFERROR(INDEX(Client_List!$B:$B,MATCH(B4740,Client_List!$A:$A,0)),"⚠ NOT FOUND"))</f>
        <v/>
      </c>
      <c r="D4740" s="45" t="n"/>
      <c r="E4740" s="32">
        <f>IF(B4740="","",IFERROR(INDEX(Client_List!$C:$C,MATCH(VALUE(B4740),Client_List!$A:$A,0)),""))</f>
        <v/>
      </c>
      <c r="F4740" s="53">
        <f>IF(B4740="","",IFERROR(INDEX(Client_List!$D:$D,MATCH(VALUE(B4740),Client_List!$A:$A,0)),""))</f>
        <v/>
      </c>
      <c r="G4740" s="53">
        <f>IF(B4740="","",IFERROR(INDEX(Client_List!$K:$K,MATCH(VALUE(B4740),Client_List!$A:$A,0)),""))</f>
        <v/>
      </c>
      <c r="H4740" s="32">
        <f>IF(B4740="","",IFERROR(INDEX(Client_List!$J:$J,MATCH(VALUE(B4740),Client_List!$A:$A,0)),""))</f>
        <v/>
      </c>
      <c r="I4740" s="70">
        <f>IF(B4740="","",IFERROR(A4740-LOOKUP(2,1/($B$4:$B4739=B4740),$A$4:$A4739),""))</f>
        <v/>
      </c>
      <c r="J4740" s="32">
        <f>IF(B4740="","",IFERROR(D4740/I4740,""))</f>
        <v/>
      </c>
      <c r="K4740" s="71">
        <f>IF(B4740="","",IFERROR(AVERAGEIFS($J$4:$J4740,$B$4:$B4740,B4740,$J$4:$J4740,"&gt;"&amp;0),""))</f>
        <v/>
      </c>
      <c r="L4740" s="12" t="n"/>
    </row>
    <row r="4741" ht="14" customHeight="1" s="72">
      <c r="A4741" s="82" t="n"/>
      <c r="B4741" s="79" t="n"/>
      <c r="C4741" s="69">
        <f>IF(B4741="","",IFERROR(INDEX(Client_List!$B:$B,MATCH(B4741,Client_List!$A:$A,0)),"⚠ NOT FOUND"))</f>
        <v/>
      </c>
      <c r="D4741" s="44" t="n"/>
      <c r="E4741" s="32">
        <f>IF(B4741="","",IFERROR(INDEX(Client_List!$C:$C,MATCH(VALUE(B4741),Client_List!$A:$A,0)),""))</f>
        <v/>
      </c>
      <c r="F4741" s="53">
        <f>IF(B4741="","",IFERROR(INDEX(Client_List!$D:$D,MATCH(VALUE(B4741),Client_List!$A:$A,0)),""))</f>
        <v/>
      </c>
      <c r="G4741" s="53">
        <f>IF(B4741="","",IFERROR(INDEX(Client_List!$K:$K,MATCH(VALUE(B4741),Client_List!$A:$A,0)),""))</f>
        <v/>
      </c>
      <c r="H4741" s="32">
        <f>IF(B4741="","",IFERROR(INDEX(Client_List!$J:$J,MATCH(VALUE(B4741),Client_List!$A:$A,0)),""))</f>
        <v/>
      </c>
      <c r="I4741" s="70">
        <f>IF(B4741="","",IFERROR(A4741-LOOKUP(2,1/($B$4:$B4740=B4741),$A$4:$A4740),""))</f>
        <v/>
      </c>
      <c r="J4741" s="32">
        <f>IF(B4741="","",IFERROR(D4741/I4741,""))</f>
        <v/>
      </c>
      <c r="K4741" s="71">
        <f>IF(B4741="","",IFERROR(AVERAGEIFS($J$4:$J4741,$B$4:$B4741,B4741,$J$4:$J4741,"&gt;"&amp;0),""))</f>
        <v/>
      </c>
      <c r="L4741" s="11" t="n"/>
    </row>
    <row r="4742" ht="14" customHeight="1" s="72">
      <c r="A4742" s="83" t="n"/>
      <c r="B4742" s="81" t="n"/>
      <c r="C4742" s="69">
        <f>IF(B4742="","",IFERROR(INDEX(Client_List!$B:$B,MATCH(B4742,Client_List!$A:$A,0)),"⚠ NOT FOUND"))</f>
        <v/>
      </c>
      <c r="D4742" s="45" t="n"/>
      <c r="E4742" s="32">
        <f>IF(B4742="","",IFERROR(INDEX(Client_List!$C:$C,MATCH(VALUE(B4742),Client_List!$A:$A,0)),""))</f>
        <v/>
      </c>
      <c r="F4742" s="53">
        <f>IF(B4742="","",IFERROR(INDEX(Client_List!$D:$D,MATCH(VALUE(B4742),Client_List!$A:$A,0)),""))</f>
        <v/>
      </c>
      <c r="G4742" s="53">
        <f>IF(B4742="","",IFERROR(INDEX(Client_List!$K:$K,MATCH(VALUE(B4742),Client_List!$A:$A,0)),""))</f>
        <v/>
      </c>
      <c r="H4742" s="32">
        <f>IF(B4742="","",IFERROR(INDEX(Client_List!$J:$J,MATCH(VALUE(B4742),Client_List!$A:$A,0)),""))</f>
        <v/>
      </c>
      <c r="I4742" s="70">
        <f>IF(B4742="","",IFERROR(A4742-LOOKUP(2,1/($B$4:$B4741=B4742),$A$4:$A4741),""))</f>
        <v/>
      </c>
      <c r="J4742" s="32">
        <f>IF(B4742="","",IFERROR(D4742/I4742,""))</f>
        <v/>
      </c>
      <c r="K4742" s="71">
        <f>IF(B4742="","",IFERROR(AVERAGEIFS($J$4:$J4742,$B$4:$B4742,B4742,$J$4:$J4742,"&gt;"&amp;0),""))</f>
        <v/>
      </c>
      <c r="L4742" s="12" t="n"/>
    </row>
    <row r="4743" ht="14" customHeight="1" s="72">
      <c r="A4743" s="82" t="n"/>
      <c r="B4743" s="79" t="n"/>
      <c r="C4743" s="69">
        <f>IF(B4743="","",IFERROR(INDEX(Client_List!$B:$B,MATCH(B4743,Client_List!$A:$A,0)),"⚠ NOT FOUND"))</f>
        <v/>
      </c>
      <c r="D4743" s="44" t="n"/>
      <c r="E4743" s="32">
        <f>IF(B4743="","",IFERROR(INDEX(Client_List!$C:$C,MATCH(VALUE(B4743),Client_List!$A:$A,0)),""))</f>
        <v/>
      </c>
      <c r="F4743" s="53">
        <f>IF(B4743="","",IFERROR(INDEX(Client_List!$D:$D,MATCH(VALUE(B4743),Client_List!$A:$A,0)),""))</f>
        <v/>
      </c>
      <c r="G4743" s="53">
        <f>IF(B4743="","",IFERROR(INDEX(Client_List!$K:$K,MATCH(VALUE(B4743),Client_List!$A:$A,0)),""))</f>
        <v/>
      </c>
      <c r="H4743" s="32">
        <f>IF(B4743="","",IFERROR(INDEX(Client_List!$J:$J,MATCH(VALUE(B4743),Client_List!$A:$A,0)),""))</f>
        <v/>
      </c>
      <c r="I4743" s="70">
        <f>IF(B4743="","",IFERROR(A4743-LOOKUP(2,1/($B$4:$B4742=B4743),$A$4:$A4742),""))</f>
        <v/>
      </c>
      <c r="J4743" s="32">
        <f>IF(B4743="","",IFERROR(D4743/I4743,""))</f>
        <v/>
      </c>
      <c r="K4743" s="71">
        <f>IF(B4743="","",IFERROR(AVERAGEIFS($J$4:$J4743,$B$4:$B4743,B4743,$J$4:$J4743,"&gt;"&amp;0),""))</f>
        <v/>
      </c>
      <c r="L4743" s="11" t="n"/>
    </row>
    <row r="4744" ht="14" customHeight="1" s="72">
      <c r="A4744" s="83" t="n"/>
      <c r="B4744" s="81" t="n"/>
      <c r="C4744" s="69">
        <f>IF(B4744="","",IFERROR(INDEX(Client_List!$B:$B,MATCH(B4744,Client_List!$A:$A,0)),"⚠ NOT FOUND"))</f>
        <v/>
      </c>
      <c r="D4744" s="45" t="n"/>
      <c r="E4744" s="32">
        <f>IF(B4744="","",IFERROR(INDEX(Client_List!$C:$C,MATCH(VALUE(B4744),Client_List!$A:$A,0)),""))</f>
        <v/>
      </c>
      <c r="F4744" s="53">
        <f>IF(B4744="","",IFERROR(INDEX(Client_List!$D:$D,MATCH(VALUE(B4744),Client_List!$A:$A,0)),""))</f>
        <v/>
      </c>
      <c r="G4744" s="53">
        <f>IF(B4744="","",IFERROR(INDEX(Client_List!$K:$K,MATCH(VALUE(B4744),Client_List!$A:$A,0)),""))</f>
        <v/>
      </c>
      <c r="H4744" s="32">
        <f>IF(B4744="","",IFERROR(INDEX(Client_List!$J:$J,MATCH(VALUE(B4744),Client_List!$A:$A,0)),""))</f>
        <v/>
      </c>
      <c r="I4744" s="70">
        <f>IF(B4744="","",IFERROR(A4744-LOOKUP(2,1/($B$4:$B4743=B4744),$A$4:$A4743),""))</f>
        <v/>
      </c>
      <c r="J4744" s="32">
        <f>IF(B4744="","",IFERROR(D4744/I4744,""))</f>
        <v/>
      </c>
      <c r="K4744" s="71">
        <f>IF(B4744="","",IFERROR(AVERAGEIFS($J$4:$J4744,$B$4:$B4744,B4744,$J$4:$J4744,"&gt;"&amp;0),""))</f>
        <v/>
      </c>
      <c r="L4744" s="12" t="n"/>
    </row>
    <row r="4745" ht="14" customHeight="1" s="72">
      <c r="A4745" s="82" t="n"/>
      <c r="B4745" s="79" t="n"/>
      <c r="C4745" s="69">
        <f>IF(B4745="","",IFERROR(INDEX(Client_List!$B:$B,MATCH(B4745,Client_List!$A:$A,0)),"⚠ NOT FOUND"))</f>
        <v/>
      </c>
      <c r="D4745" s="44" t="n"/>
      <c r="E4745" s="32">
        <f>IF(B4745="","",IFERROR(INDEX(Client_List!$C:$C,MATCH(VALUE(B4745),Client_List!$A:$A,0)),""))</f>
        <v/>
      </c>
      <c r="F4745" s="53">
        <f>IF(B4745="","",IFERROR(INDEX(Client_List!$D:$D,MATCH(VALUE(B4745),Client_List!$A:$A,0)),""))</f>
        <v/>
      </c>
      <c r="G4745" s="53">
        <f>IF(B4745="","",IFERROR(INDEX(Client_List!$K:$K,MATCH(VALUE(B4745),Client_List!$A:$A,0)),""))</f>
        <v/>
      </c>
      <c r="H4745" s="32">
        <f>IF(B4745="","",IFERROR(INDEX(Client_List!$J:$J,MATCH(VALUE(B4745),Client_List!$A:$A,0)),""))</f>
        <v/>
      </c>
      <c r="I4745" s="70">
        <f>IF(B4745="","",IFERROR(A4745-LOOKUP(2,1/($B$4:$B4744=B4745),$A$4:$A4744),""))</f>
        <v/>
      </c>
      <c r="J4745" s="32">
        <f>IF(B4745="","",IFERROR(D4745/I4745,""))</f>
        <v/>
      </c>
      <c r="K4745" s="71">
        <f>IF(B4745="","",IFERROR(AVERAGEIFS($J$4:$J4745,$B$4:$B4745,B4745,$J$4:$J4745,"&gt;"&amp;0),""))</f>
        <v/>
      </c>
      <c r="L4745" s="11" t="n"/>
    </row>
    <row r="4746" ht="14" customHeight="1" s="72">
      <c r="A4746" s="83" t="n"/>
      <c r="B4746" s="81" t="n"/>
      <c r="C4746" s="69">
        <f>IF(B4746="","",IFERROR(INDEX(Client_List!$B:$B,MATCH(B4746,Client_List!$A:$A,0)),"⚠ NOT FOUND"))</f>
        <v/>
      </c>
      <c r="D4746" s="45" t="n"/>
      <c r="E4746" s="32">
        <f>IF(B4746="","",IFERROR(INDEX(Client_List!$C:$C,MATCH(VALUE(B4746),Client_List!$A:$A,0)),""))</f>
        <v/>
      </c>
      <c r="F4746" s="53">
        <f>IF(B4746="","",IFERROR(INDEX(Client_List!$D:$D,MATCH(VALUE(B4746),Client_List!$A:$A,0)),""))</f>
        <v/>
      </c>
      <c r="G4746" s="53">
        <f>IF(B4746="","",IFERROR(INDEX(Client_List!$K:$K,MATCH(VALUE(B4746),Client_List!$A:$A,0)),""))</f>
        <v/>
      </c>
      <c r="H4746" s="32">
        <f>IF(B4746="","",IFERROR(INDEX(Client_List!$J:$J,MATCH(VALUE(B4746),Client_List!$A:$A,0)),""))</f>
        <v/>
      </c>
      <c r="I4746" s="70">
        <f>IF(B4746="","",IFERROR(A4746-LOOKUP(2,1/($B$4:$B4745=B4746),$A$4:$A4745),""))</f>
        <v/>
      </c>
      <c r="J4746" s="32">
        <f>IF(B4746="","",IFERROR(D4746/I4746,""))</f>
        <v/>
      </c>
      <c r="K4746" s="71">
        <f>IF(B4746="","",IFERROR(AVERAGEIFS($J$4:$J4746,$B$4:$B4746,B4746,$J$4:$J4746,"&gt;"&amp;0),""))</f>
        <v/>
      </c>
      <c r="L4746" s="12" t="n"/>
    </row>
    <row r="4747" ht="14" customHeight="1" s="72">
      <c r="A4747" s="82" t="n"/>
      <c r="B4747" s="79" t="n"/>
      <c r="C4747" s="69">
        <f>IF(B4747="","",IFERROR(INDEX(Client_List!$B:$B,MATCH(B4747,Client_List!$A:$A,0)),"⚠ NOT FOUND"))</f>
        <v/>
      </c>
      <c r="D4747" s="44" t="n"/>
      <c r="E4747" s="32">
        <f>IF(B4747="","",IFERROR(INDEX(Client_List!$C:$C,MATCH(VALUE(B4747),Client_List!$A:$A,0)),""))</f>
        <v/>
      </c>
      <c r="F4747" s="53">
        <f>IF(B4747="","",IFERROR(INDEX(Client_List!$D:$D,MATCH(VALUE(B4747),Client_List!$A:$A,0)),""))</f>
        <v/>
      </c>
      <c r="G4747" s="53">
        <f>IF(B4747="","",IFERROR(INDEX(Client_List!$K:$K,MATCH(VALUE(B4747),Client_List!$A:$A,0)),""))</f>
        <v/>
      </c>
      <c r="H4747" s="32">
        <f>IF(B4747="","",IFERROR(INDEX(Client_List!$J:$J,MATCH(VALUE(B4747),Client_List!$A:$A,0)),""))</f>
        <v/>
      </c>
      <c r="I4747" s="70">
        <f>IF(B4747="","",IFERROR(A4747-LOOKUP(2,1/($B$4:$B4746=B4747),$A$4:$A4746),""))</f>
        <v/>
      </c>
      <c r="J4747" s="32">
        <f>IF(B4747="","",IFERROR(D4747/I4747,""))</f>
        <v/>
      </c>
      <c r="K4747" s="71">
        <f>IF(B4747="","",IFERROR(AVERAGEIFS($J$4:$J4747,$B$4:$B4747,B4747,$J$4:$J4747,"&gt;"&amp;0),""))</f>
        <v/>
      </c>
      <c r="L4747" s="11" t="n"/>
    </row>
    <row r="4748" ht="14" customHeight="1" s="72">
      <c r="A4748" s="83" t="n"/>
      <c r="B4748" s="81" t="n"/>
      <c r="C4748" s="69">
        <f>IF(B4748="","",IFERROR(INDEX(Client_List!$B:$B,MATCH(B4748,Client_List!$A:$A,0)),"⚠ NOT FOUND"))</f>
        <v/>
      </c>
      <c r="D4748" s="45" t="n"/>
      <c r="E4748" s="32">
        <f>IF(B4748="","",IFERROR(INDEX(Client_List!$C:$C,MATCH(VALUE(B4748),Client_List!$A:$A,0)),""))</f>
        <v/>
      </c>
      <c r="F4748" s="53">
        <f>IF(B4748="","",IFERROR(INDEX(Client_List!$D:$D,MATCH(VALUE(B4748),Client_List!$A:$A,0)),""))</f>
        <v/>
      </c>
      <c r="G4748" s="53">
        <f>IF(B4748="","",IFERROR(INDEX(Client_List!$K:$K,MATCH(VALUE(B4748),Client_List!$A:$A,0)),""))</f>
        <v/>
      </c>
      <c r="H4748" s="32">
        <f>IF(B4748="","",IFERROR(INDEX(Client_List!$J:$J,MATCH(VALUE(B4748),Client_List!$A:$A,0)),""))</f>
        <v/>
      </c>
      <c r="I4748" s="70">
        <f>IF(B4748="","",IFERROR(A4748-LOOKUP(2,1/($B$4:$B4747=B4748),$A$4:$A4747),""))</f>
        <v/>
      </c>
      <c r="J4748" s="32">
        <f>IF(B4748="","",IFERROR(D4748/I4748,""))</f>
        <v/>
      </c>
      <c r="K4748" s="71">
        <f>IF(B4748="","",IFERROR(AVERAGEIFS($J$4:$J4748,$B$4:$B4748,B4748,$J$4:$J4748,"&gt;"&amp;0),""))</f>
        <v/>
      </c>
      <c r="L4748" s="12" t="n"/>
    </row>
    <row r="4749" ht="14" customHeight="1" s="72">
      <c r="A4749" s="82" t="n"/>
      <c r="B4749" s="79" t="n"/>
      <c r="C4749" s="69">
        <f>IF(B4749="","",IFERROR(INDEX(Client_List!$B:$B,MATCH(B4749,Client_List!$A:$A,0)),"⚠ NOT FOUND"))</f>
        <v/>
      </c>
      <c r="D4749" s="44" t="n"/>
      <c r="E4749" s="32">
        <f>IF(B4749="","",IFERROR(INDEX(Client_List!$C:$C,MATCH(VALUE(B4749),Client_List!$A:$A,0)),""))</f>
        <v/>
      </c>
      <c r="F4749" s="53">
        <f>IF(B4749="","",IFERROR(INDEX(Client_List!$D:$D,MATCH(VALUE(B4749),Client_List!$A:$A,0)),""))</f>
        <v/>
      </c>
      <c r="G4749" s="53">
        <f>IF(B4749="","",IFERROR(INDEX(Client_List!$K:$K,MATCH(VALUE(B4749),Client_List!$A:$A,0)),""))</f>
        <v/>
      </c>
      <c r="H4749" s="32">
        <f>IF(B4749="","",IFERROR(INDEX(Client_List!$J:$J,MATCH(VALUE(B4749),Client_List!$A:$A,0)),""))</f>
        <v/>
      </c>
      <c r="I4749" s="70">
        <f>IF(B4749="","",IFERROR(A4749-LOOKUP(2,1/($B$4:$B4748=B4749),$A$4:$A4748),""))</f>
        <v/>
      </c>
      <c r="J4749" s="32">
        <f>IF(B4749="","",IFERROR(D4749/I4749,""))</f>
        <v/>
      </c>
      <c r="K4749" s="71">
        <f>IF(B4749="","",IFERROR(AVERAGEIFS($J$4:$J4749,$B$4:$B4749,B4749,$J$4:$J4749,"&gt;"&amp;0),""))</f>
        <v/>
      </c>
      <c r="L4749" s="11" t="n"/>
    </row>
    <row r="4750" ht="14" customHeight="1" s="72">
      <c r="A4750" s="83" t="n"/>
      <c r="B4750" s="81" t="n"/>
      <c r="C4750" s="69">
        <f>IF(B4750="","",IFERROR(INDEX(Client_List!$B:$B,MATCH(B4750,Client_List!$A:$A,0)),"⚠ NOT FOUND"))</f>
        <v/>
      </c>
      <c r="D4750" s="45" t="n"/>
      <c r="E4750" s="32">
        <f>IF(B4750="","",IFERROR(INDEX(Client_List!$C:$C,MATCH(VALUE(B4750),Client_List!$A:$A,0)),""))</f>
        <v/>
      </c>
      <c r="F4750" s="53">
        <f>IF(B4750="","",IFERROR(INDEX(Client_List!$D:$D,MATCH(VALUE(B4750),Client_List!$A:$A,0)),""))</f>
        <v/>
      </c>
      <c r="G4750" s="53">
        <f>IF(B4750="","",IFERROR(INDEX(Client_List!$K:$K,MATCH(VALUE(B4750),Client_List!$A:$A,0)),""))</f>
        <v/>
      </c>
      <c r="H4750" s="32">
        <f>IF(B4750="","",IFERROR(INDEX(Client_List!$J:$J,MATCH(VALUE(B4750),Client_List!$A:$A,0)),""))</f>
        <v/>
      </c>
      <c r="I4750" s="70">
        <f>IF(B4750="","",IFERROR(A4750-LOOKUP(2,1/($B$4:$B4749=B4750),$A$4:$A4749),""))</f>
        <v/>
      </c>
      <c r="J4750" s="32">
        <f>IF(B4750="","",IFERROR(D4750/I4750,""))</f>
        <v/>
      </c>
      <c r="K4750" s="71">
        <f>IF(B4750="","",IFERROR(AVERAGEIFS($J$4:$J4750,$B$4:$B4750,B4750,$J$4:$J4750,"&gt;"&amp;0),""))</f>
        <v/>
      </c>
      <c r="L4750" s="12" t="n"/>
    </row>
    <row r="4751" ht="14" customHeight="1" s="72">
      <c r="A4751" s="82" t="n"/>
      <c r="B4751" s="79" t="n"/>
      <c r="C4751" s="69">
        <f>IF(B4751="","",IFERROR(INDEX(Client_List!$B:$B,MATCH(B4751,Client_List!$A:$A,0)),"⚠ NOT FOUND"))</f>
        <v/>
      </c>
      <c r="D4751" s="44" t="n"/>
      <c r="E4751" s="32">
        <f>IF(B4751="","",IFERROR(INDEX(Client_List!$C:$C,MATCH(VALUE(B4751),Client_List!$A:$A,0)),""))</f>
        <v/>
      </c>
      <c r="F4751" s="53">
        <f>IF(B4751="","",IFERROR(INDEX(Client_List!$D:$D,MATCH(VALUE(B4751),Client_List!$A:$A,0)),""))</f>
        <v/>
      </c>
      <c r="G4751" s="53">
        <f>IF(B4751="","",IFERROR(INDEX(Client_List!$K:$K,MATCH(VALUE(B4751),Client_List!$A:$A,0)),""))</f>
        <v/>
      </c>
      <c r="H4751" s="32">
        <f>IF(B4751="","",IFERROR(INDEX(Client_List!$J:$J,MATCH(VALUE(B4751),Client_List!$A:$A,0)),""))</f>
        <v/>
      </c>
      <c r="I4751" s="70">
        <f>IF(B4751="","",IFERROR(A4751-LOOKUP(2,1/($B$4:$B4750=B4751),$A$4:$A4750),""))</f>
        <v/>
      </c>
      <c r="J4751" s="32">
        <f>IF(B4751="","",IFERROR(D4751/I4751,""))</f>
        <v/>
      </c>
      <c r="K4751" s="71">
        <f>IF(B4751="","",IFERROR(AVERAGEIFS($J$4:$J4751,$B$4:$B4751,B4751,$J$4:$J4751,"&gt;"&amp;0),""))</f>
        <v/>
      </c>
      <c r="L4751" s="11" t="n"/>
    </row>
    <row r="4752" ht="14" customHeight="1" s="72">
      <c r="A4752" s="83" t="n"/>
      <c r="B4752" s="81" t="n"/>
      <c r="C4752" s="69">
        <f>IF(B4752="","",IFERROR(INDEX(Client_List!$B:$B,MATCH(B4752,Client_List!$A:$A,0)),"⚠ NOT FOUND"))</f>
        <v/>
      </c>
      <c r="D4752" s="45" t="n"/>
      <c r="E4752" s="32">
        <f>IF(B4752="","",IFERROR(INDEX(Client_List!$C:$C,MATCH(VALUE(B4752),Client_List!$A:$A,0)),""))</f>
        <v/>
      </c>
      <c r="F4752" s="53">
        <f>IF(B4752="","",IFERROR(INDEX(Client_List!$D:$D,MATCH(VALUE(B4752),Client_List!$A:$A,0)),""))</f>
        <v/>
      </c>
      <c r="G4752" s="53">
        <f>IF(B4752="","",IFERROR(INDEX(Client_List!$K:$K,MATCH(VALUE(B4752),Client_List!$A:$A,0)),""))</f>
        <v/>
      </c>
      <c r="H4752" s="32">
        <f>IF(B4752="","",IFERROR(INDEX(Client_List!$J:$J,MATCH(VALUE(B4752),Client_List!$A:$A,0)),""))</f>
        <v/>
      </c>
      <c r="I4752" s="70">
        <f>IF(B4752="","",IFERROR(A4752-LOOKUP(2,1/($B$4:$B4751=B4752),$A$4:$A4751),""))</f>
        <v/>
      </c>
      <c r="J4752" s="32">
        <f>IF(B4752="","",IFERROR(D4752/I4752,""))</f>
        <v/>
      </c>
      <c r="K4752" s="71">
        <f>IF(B4752="","",IFERROR(AVERAGEIFS($J$4:$J4752,$B$4:$B4752,B4752,$J$4:$J4752,"&gt;"&amp;0),""))</f>
        <v/>
      </c>
      <c r="L4752" s="12" t="n"/>
    </row>
    <row r="4753" ht="14" customHeight="1" s="72">
      <c r="A4753" s="82" t="n"/>
      <c r="B4753" s="79" t="n"/>
      <c r="C4753" s="69">
        <f>IF(B4753="","",IFERROR(INDEX(Client_List!$B:$B,MATCH(B4753,Client_List!$A:$A,0)),"⚠ NOT FOUND"))</f>
        <v/>
      </c>
      <c r="D4753" s="44" t="n"/>
      <c r="E4753" s="32">
        <f>IF(B4753="","",IFERROR(INDEX(Client_List!$C:$C,MATCH(VALUE(B4753),Client_List!$A:$A,0)),""))</f>
        <v/>
      </c>
      <c r="F4753" s="53">
        <f>IF(B4753="","",IFERROR(INDEX(Client_List!$D:$D,MATCH(VALUE(B4753),Client_List!$A:$A,0)),""))</f>
        <v/>
      </c>
      <c r="G4753" s="53">
        <f>IF(B4753="","",IFERROR(INDEX(Client_List!$K:$K,MATCH(VALUE(B4753),Client_List!$A:$A,0)),""))</f>
        <v/>
      </c>
      <c r="H4753" s="32">
        <f>IF(B4753="","",IFERROR(INDEX(Client_List!$J:$J,MATCH(VALUE(B4753),Client_List!$A:$A,0)),""))</f>
        <v/>
      </c>
      <c r="I4753" s="70">
        <f>IF(B4753="","",IFERROR(A4753-LOOKUP(2,1/($B$4:$B4752=B4753),$A$4:$A4752),""))</f>
        <v/>
      </c>
      <c r="J4753" s="32">
        <f>IF(B4753="","",IFERROR(D4753/I4753,""))</f>
        <v/>
      </c>
      <c r="K4753" s="71">
        <f>IF(B4753="","",IFERROR(AVERAGEIFS($J$4:$J4753,$B$4:$B4753,B4753,$J$4:$J4753,"&gt;"&amp;0),""))</f>
        <v/>
      </c>
      <c r="L4753" s="11" t="n"/>
    </row>
    <row r="4754" ht="14" customHeight="1" s="72">
      <c r="A4754" s="83" t="n"/>
      <c r="B4754" s="81" t="n"/>
      <c r="C4754" s="69">
        <f>IF(B4754="","",IFERROR(INDEX(Client_List!$B:$B,MATCH(B4754,Client_List!$A:$A,0)),"⚠ NOT FOUND"))</f>
        <v/>
      </c>
      <c r="D4754" s="45" t="n"/>
      <c r="E4754" s="32">
        <f>IF(B4754="","",IFERROR(INDEX(Client_List!$C:$C,MATCH(VALUE(B4754),Client_List!$A:$A,0)),""))</f>
        <v/>
      </c>
      <c r="F4754" s="53">
        <f>IF(B4754="","",IFERROR(INDEX(Client_List!$D:$D,MATCH(VALUE(B4754),Client_List!$A:$A,0)),""))</f>
        <v/>
      </c>
      <c r="G4754" s="53">
        <f>IF(B4754="","",IFERROR(INDEX(Client_List!$K:$K,MATCH(VALUE(B4754),Client_List!$A:$A,0)),""))</f>
        <v/>
      </c>
      <c r="H4754" s="32">
        <f>IF(B4754="","",IFERROR(INDEX(Client_List!$J:$J,MATCH(VALUE(B4754),Client_List!$A:$A,0)),""))</f>
        <v/>
      </c>
      <c r="I4754" s="70">
        <f>IF(B4754="","",IFERROR(A4754-LOOKUP(2,1/($B$4:$B4753=B4754),$A$4:$A4753),""))</f>
        <v/>
      </c>
      <c r="J4754" s="32">
        <f>IF(B4754="","",IFERROR(D4754/I4754,""))</f>
        <v/>
      </c>
      <c r="K4754" s="71">
        <f>IF(B4754="","",IFERROR(AVERAGEIFS($J$4:$J4754,$B$4:$B4754,B4754,$J$4:$J4754,"&gt;"&amp;0),""))</f>
        <v/>
      </c>
      <c r="L4754" s="12" t="n"/>
    </row>
    <row r="4755" ht="14" customHeight="1" s="72">
      <c r="A4755" s="82" t="n"/>
      <c r="B4755" s="79" t="n"/>
      <c r="C4755" s="69">
        <f>IF(B4755="","",IFERROR(INDEX(Client_List!$B:$B,MATCH(B4755,Client_List!$A:$A,0)),"⚠ NOT FOUND"))</f>
        <v/>
      </c>
      <c r="D4755" s="44" t="n"/>
      <c r="E4755" s="32">
        <f>IF(B4755="","",IFERROR(INDEX(Client_List!$C:$C,MATCH(VALUE(B4755),Client_List!$A:$A,0)),""))</f>
        <v/>
      </c>
      <c r="F4755" s="53">
        <f>IF(B4755="","",IFERROR(INDEX(Client_List!$D:$D,MATCH(VALUE(B4755),Client_List!$A:$A,0)),""))</f>
        <v/>
      </c>
      <c r="G4755" s="53">
        <f>IF(B4755="","",IFERROR(INDEX(Client_List!$K:$K,MATCH(VALUE(B4755),Client_List!$A:$A,0)),""))</f>
        <v/>
      </c>
      <c r="H4755" s="32">
        <f>IF(B4755="","",IFERROR(INDEX(Client_List!$J:$J,MATCH(VALUE(B4755),Client_List!$A:$A,0)),""))</f>
        <v/>
      </c>
      <c r="I4755" s="70">
        <f>IF(B4755="","",IFERROR(A4755-LOOKUP(2,1/($B$4:$B4754=B4755),$A$4:$A4754),""))</f>
        <v/>
      </c>
      <c r="J4755" s="32">
        <f>IF(B4755="","",IFERROR(D4755/I4755,""))</f>
        <v/>
      </c>
      <c r="K4755" s="71">
        <f>IF(B4755="","",IFERROR(AVERAGEIFS($J$4:$J4755,$B$4:$B4755,B4755,$J$4:$J4755,"&gt;"&amp;0),""))</f>
        <v/>
      </c>
      <c r="L4755" s="11" t="n"/>
    </row>
    <row r="4756" ht="14" customHeight="1" s="72">
      <c r="A4756" s="83" t="n"/>
      <c r="B4756" s="81" t="n"/>
      <c r="C4756" s="69">
        <f>IF(B4756="","",IFERROR(INDEX(Client_List!$B:$B,MATCH(B4756,Client_List!$A:$A,0)),"⚠ NOT FOUND"))</f>
        <v/>
      </c>
      <c r="D4756" s="45" t="n"/>
      <c r="E4756" s="32">
        <f>IF(B4756="","",IFERROR(INDEX(Client_List!$C:$C,MATCH(VALUE(B4756),Client_List!$A:$A,0)),""))</f>
        <v/>
      </c>
      <c r="F4756" s="53">
        <f>IF(B4756="","",IFERROR(INDEX(Client_List!$D:$D,MATCH(VALUE(B4756),Client_List!$A:$A,0)),""))</f>
        <v/>
      </c>
      <c r="G4756" s="53">
        <f>IF(B4756="","",IFERROR(INDEX(Client_List!$K:$K,MATCH(VALUE(B4756),Client_List!$A:$A,0)),""))</f>
        <v/>
      </c>
      <c r="H4756" s="32">
        <f>IF(B4756="","",IFERROR(INDEX(Client_List!$J:$J,MATCH(VALUE(B4756),Client_List!$A:$A,0)),""))</f>
        <v/>
      </c>
      <c r="I4756" s="70">
        <f>IF(B4756="","",IFERROR(A4756-LOOKUP(2,1/($B$4:$B4755=B4756),$A$4:$A4755),""))</f>
        <v/>
      </c>
      <c r="J4756" s="32">
        <f>IF(B4756="","",IFERROR(D4756/I4756,""))</f>
        <v/>
      </c>
      <c r="K4756" s="71">
        <f>IF(B4756="","",IFERROR(AVERAGEIFS($J$4:$J4756,$B$4:$B4756,B4756,$J$4:$J4756,"&gt;"&amp;0),""))</f>
        <v/>
      </c>
      <c r="L4756" s="12" t="n"/>
    </row>
    <row r="4757" ht="14" customHeight="1" s="72">
      <c r="A4757" s="82" t="n"/>
      <c r="B4757" s="79" t="n"/>
      <c r="C4757" s="69">
        <f>IF(B4757="","",IFERROR(INDEX(Client_List!$B:$B,MATCH(B4757,Client_List!$A:$A,0)),"⚠ NOT FOUND"))</f>
        <v/>
      </c>
      <c r="D4757" s="44" t="n"/>
      <c r="E4757" s="32">
        <f>IF(B4757="","",IFERROR(INDEX(Client_List!$C:$C,MATCH(VALUE(B4757),Client_List!$A:$A,0)),""))</f>
        <v/>
      </c>
      <c r="F4757" s="53">
        <f>IF(B4757="","",IFERROR(INDEX(Client_List!$D:$D,MATCH(VALUE(B4757),Client_List!$A:$A,0)),""))</f>
        <v/>
      </c>
      <c r="G4757" s="53">
        <f>IF(B4757="","",IFERROR(INDEX(Client_List!$K:$K,MATCH(VALUE(B4757),Client_List!$A:$A,0)),""))</f>
        <v/>
      </c>
      <c r="H4757" s="32">
        <f>IF(B4757="","",IFERROR(INDEX(Client_List!$J:$J,MATCH(VALUE(B4757),Client_List!$A:$A,0)),""))</f>
        <v/>
      </c>
      <c r="I4757" s="70">
        <f>IF(B4757="","",IFERROR(A4757-LOOKUP(2,1/($B$4:$B4756=B4757),$A$4:$A4756),""))</f>
        <v/>
      </c>
      <c r="J4757" s="32">
        <f>IF(B4757="","",IFERROR(D4757/I4757,""))</f>
        <v/>
      </c>
      <c r="K4757" s="71">
        <f>IF(B4757="","",IFERROR(AVERAGEIFS($J$4:$J4757,$B$4:$B4757,B4757,$J$4:$J4757,"&gt;"&amp;0),""))</f>
        <v/>
      </c>
      <c r="L4757" s="11" t="n"/>
    </row>
    <row r="4758" ht="14" customHeight="1" s="72">
      <c r="A4758" s="83" t="n"/>
      <c r="B4758" s="81" t="n"/>
      <c r="C4758" s="69">
        <f>IF(B4758="","",IFERROR(INDEX(Client_List!$B:$B,MATCH(B4758,Client_List!$A:$A,0)),"⚠ NOT FOUND"))</f>
        <v/>
      </c>
      <c r="D4758" s="45" t="n"/>
      <c r="E4758" s="32">
        <f>IF(B4758="","",IFERROR(INDEX(Client_List!$C:$C,MATCH(VALUE(B4758),Client_List!$A:$A,0)),""))</f>
        <v/>
      </c>
      <c r="F4758" s="53">
        <f>IF(B4758="","",IFERROR(INDEX(Client_List!$D:$D,MATCH(VALUE(B4758),Client_List!$A:$A,0)),""))</f>
        <v/>
      </c>
      <c r="G4758" s="53">
        <f>IF(B4758="","",IFERROR(INDEX(Client_List!$K:$K,MATCH(VALUE(B4758),Client_List!$A:$A,0)),""))</f>
        <v/>
      </c>
      <c r="H4758" s="32">
        <f>IF(B4758="","",IFERROR(INDEX(Client_List!$J:$J,MATCH(VALUE(B4758),Client_List!$A:$A,0)),""))</f>
        <v/>
      </c>
      <c r="I4758" s="70">
        <f>IF(B4758="","",IFERROR(A4758-LOOKUP(2,1/($B$4:$B4757=B4758),$A$4:$A4757),""))</f>
        <v/>
      </c>
      <c r="J4758" s="32">
        <f>IF(B4758="","",IFERROR(D4758/I4758,""))</f>
        <v/>
      </c>
      <c r="K4758" s="71">
        <f>IF(B4758="","",IFERROR(AVERAGEIFS($J$4:$J4758,$B$4:$B4758,B4758,$J$4:$J4758,"&gt;"&amp;0),""))</f>
        <v/>
      </c>
      <c r="L4758" s="12" t="n"/>
    </row>
    <row r="4759" ht="14" customHeight="1" s="72">
      <c r="A4759" s="82" t="n"/>
      <c r="B4759" s="79" t="n"/>
      <c r="C4759" s="69">
        <f>IF(B4759="","",IFERROR(INDEX(Client_List!$B:$B,MATCH(B4759,Client_List!$A:$A,0)),"⚠ NOT FOUND"))</f>
        <v/>
      </c>
      <c r="D4759" s="44" t="n"/>
      <c r="E4759" s="32">
        <f>IF(B4759="","",IFERROR(INDEX(Client_List!$C:$C,MATCH(VALUE(B4759),Client_List!$A:$A,0)),""))</f>
        <v/>
      </c>
      <c r="F4759" s="53">
        <f>IF(B4759="","",IFERROR(INDEX(Client_List!$D:$D,MATCH(VALUE(B4759),Client_List!$A:$A,0)),""))</f>
        <v/>
      </c>
      <c r="G4759" s="53">
        <f>IF(B4759="","",IFERROR(INDEX(Client_List!$K:$K,MATCH(VALUE(B4759),Client_List!$A:$A,0)),""))</f>
        <v/>
      </c>
      <c r="H4759" s="32">
        <f>IF(B4759="","",IFERROR(INDEX(Client_List!$J:$J,MATCH(VALUE(B4759),Client_List!$A:$A,0)),""))</f>
        <v/>
      </c>
      <c r="I4759" s="70">
        <f>IF(B4759="","",IFERROR(A4759-LOOKUP(2,1/($B$4:$B4758=B4759),$A$4:$A4758),""))</f>
        <v/>
      </c>
      <c r="J4759" s="32">
        <f>IF(B4759="","",IFERROR(D4759/I4759,""))</f>
        <v/>
      </c>
      <c r="K4759" s="71">
        <f>IF(B4759="","",IFERROR(AVERAGEIFS($J$4:$J4759,$B$4:$B4759,B4759,$J$4:$J4759,"&gt;"&amp;0),""))</f>
        <v/>
      </c>
      <c r="L4759" s="11" t="n"/>
    </row>
    <row r="4760" ht="14" customHeight="1" s="72">
      <c r="A4760" s="83" t="n"/>
      <c r="B4760" s="81" t="n"/>
      <c r="C4760" s="69">
        <f>IF(B4760="","",IFERROR(INDEX(Client_List!$B:$B,MATCH(B4760,Client_List!$A:$A,0)),"⚠ NOT FOUND"))</f>
        <v/>
      </c>
      <c r="D4760" s="45" t="n"/>
      <c r="E4760" s="32">
        <f>IF(B4760="","",IFERROR(INDEX(Client_List!$C:$C,MATCH(VALUE(B4760),Client_List!$A:$A,0)),""))</f>
        <v/>
      </c>
      <c r="F4760" s="53">
        <f>IF(B4760="","",IFERROR(INDEX(Client_List!$D:$D,MATCH(VALUE(B4760),Client_List!$A:$A,0)),""))</f>
        <v/>
      </c>
      <c r="G4760" s="53">
        <f>IF(B4760="","",IFERROR(INDEX(Client_List!$K:$K,MATCH(VALUE(B4760),Client_List!$A:$A,0)),""))</f>
        <v/>
      </c>
      <c r="H4760" s="32">
        <f>IF(B4760="","",IFERROR(INDEX(Client_List!$J:$J,MATCH(VALUE(B4760),Client_List!$A:$A,0)),""))</f>
        <v/>
      </c>
      <c r="I4760" s="70">
        <f>IF(B4760="","",IFERROR(A4760-LOOKUP(2,1/($B$4:$B4759=B4760),$A$4:$A4759),""))</f>
        <v/>
      </c>
      <c r="J4760" s="32">
        <f>IF(B4760="","",IFERROR(D4760/I4760,""))</f>
        <v/>
      </c>
      <c r="K4760" s="71">
        <f>IF(B4760="","",IFERROR(AVERAGEIFS($J$4:$J4760,$B$4:$B4760,B4760,$J$4:$J4760,"&gt;"&amp;0),""))</f>
        <v/>
      </c>
      <c r="L4760" s="12" t="n"/>
    </row>
    <row r="4761" ht="14" customHeight="1" s="72">
      <c r="A4761" s="82" t="n"/>
      <c r="B4761" s="79" t="n"/>
      <c r="C4761" s="69">
        <f>IF(B4761="","",IFERROR(INDEX(Client_List!$B:$B,MATCH(B4761,Client_List!$A:$A,0)),"⚠ NOT FOUND"))</f>
        <v/>
      </c>
      <c r="D4761" s="44" t="n"/>
      <c r="E4761" s="32">
        <f>IF(B4761="","",IFERROR(INDEX(Client_List!$C:$C,MATCH(VALUE(B4761),Client_List!$A:$A,0)),""))</f>
        <v/>
      </c>
      <c r="F4761" s="53">
        <f>IF(B4761="","",IFERROR(INDEX(Client_List!$D:$D,MATCH(VALUE(B4761),Client_List!$A:$A,0)),""))</f>
        <v/>
      </c>
      <c r="G4761" s="53">
        <f>IF(B4761="","",IFERROR(INDEX(Client_List!$K:$K,MATCH(VALUE(B4761),Client_List!$A:$A,0)),""))</f>
        <v/>
      </c>
      <c r="H4761" s="32">
        <f>IF(B4761="","",IFERROR(INDEX(Client_List!$J:$J,MATCH(VALUE(B4761),Client_List!$A:$A,0)),""))</f>
        <v/>
      </c>
      <c r="I4761" s="70">
        <f>IF(B4761="","",IFERROR(A4761-LOOKUP(2,1/($B$4:$B4760=B4761),$A$4:$A4760),""))</f>
        <v/>
      </c>
      <c r="J4761" s="32">
        <f>IF(B4761="","",IFERROR(D4761/I4761,""))</f>
        <v/>
      </c>
      <c r="K4761" s="71">
        <f>IF(B4761="","",IFERROR(AVERAGEIFS($J$4:$J4761,$B$4:$B4761,B4761,$J$4:$J4761,"&gt;"&amp;0),""))</f>
        <v/>
      </c>
      <c r="L4761" s="11" t="n"/>
    </row>
    <row r="4762" ht="14" customHeight="1" s="72">
      <c r="A4762" s="83" t="n"/>
      <c r="B4762" s="81" t="n"/>
      <c r="C4762" s="69">
        <f>IF(B4762="","",IFERROR(INDEX(Client_List!$B:$B,MATCH(B4762,Client_List!$A:$A,0)),"⚠ NOT FOUND"))</f>
        <v/>
      </c>
      <c r="D4762" s="45" t="n"/>
      <c r="E4762" s="32">
        <f>IF(B4762="","",IFERROR(INDEX(Client_List!$C:$C,MATCH(VALUE(B4762),Client_List!$A:$A,0)),""))</f>
        <v/>
      </c>
      <c r="F4762" s="53">
        <f>IF(B4762="","",IFERROR(INDEX(Client_List!$D:$D,MATCH(VALUE(B4762),Client_List!$A:$A,0)),""))</f>
        <v/>
      </c>
      <c r="G4762" s="53">
        <f>IF(B4762="","",IFERROR(INDEX(Client_List!$K:$K,MATCH(VALUE(B4762),Client_List!$A:$A,0)),""))</f>
        <v/>
      </c>
      <c r="H4762" s="32">
        <f>IF(B4762="","",IFERROR(INDEX(Client_List!$J:$J,MATCH(VALUE(B4762),Client_List!$A:$A,0)),""))</f>
        <v/>
      </c>
      <c r="I4762" s="70">
        <f>IF(B4762="","",IFERROR(A4762-LOOKUP(2,1/($B$4:$B4761=B4762),$A$4:$A4761),""))</f>
        <v/>
      </c>
      <c r="J4762" s="32">
        <f>IF(B4762="","",IFERROR(D4762/I4762,""))</f>
        <v/>
      </c>
      <c r="K4762" s="71">
        <f>IF(B4762="","",IFERROR(AVERAGEIFS($J$4:$J4762,$B$4:$B4762,B4762,$J$4:$J4762,"&gt;"&amp;0),""))</f>
        <v/>
      </c>
      <c r="L4762" s="12" t="n"/>
    </row>
    <row r="4763" ht="14" customHeight="1" s="72">
      <c r="A4763" s="82" t="n"/>
      <c r="B4763" s="79" t="n"/>
      <c r="C4763" s="69">
        <f>IF(B4763="","",IFERROR(INDEX(Client_List!$B:$B,MATCH(B4763,Client_List!$A:$A,0)),"⚠ NOT FOUND"))</f>
        <v/>
      </c>
      <c r="D4763" s="44" t="n"/>
      <c r="E4763" s="32">
        <f>IF(B4763="","",IFERROR(INDEX(Client_List!$C:$C,MATCH(VALUE(B4763),Client_List!$A:$A,0)),""))</f>
        <v/>
      </c>
      <c r="F4763" s="53">
        <f>IF(B4763="","",IFERROR(INDEX(Client_List!$D:$D,MATCH(VALUE(B4763),Client_List!$A:$A,0)),""))</f>
        <v/>
      </c>
      <c r="G4763" s="53">
        <f>IF(B4763="","",IFERROR(INDEX(Client_List!$K:$K,MATCH(VALUE(B4763),Client_List!$A:$A,0)),""))</f>
        <v/>
      </c>
      <c r="H4763" s="32">
        <f>IF(B4763="","",IFERROR(INDEX(Client_List!$J:$J,MATCH(VALUE(B4763),Client_List!$A:$A,0)),""))</f>
        <v/>
      </c>
      <c r="I4763" s="70">
        <f>IF(B4763="","",IFERROR(A4763-LOOKUP(2,1/($B$4:$B4762=B4763),$A$4:$A4762),""))</f>
        <v/>
      </c>
      <c r="J4763" s="32">
        <f>IF(B4763="","",IFERROR(D4763/I4763,""))</f>
        <v/>
      </c>
      <c r="K4763" s="71">
        <f>IF(B4763="","",IFERROR(AVERAGEIFS($J$4:$J4763,$B$4:$B4763,B4763,$J$4:$J4763,"&gt;"&amp;0),""))</f>
        <v/>
      </c>
      <c r="L4763" s="11" t="n"/>
    </row>
    <row r="4764" ht="14" customHeight="1" s="72">
      <c r="A4764" s="83" t="n"/>
      <c r="B4764" s="81" t="n"/>
      <c r="C4764" s="69">
        <f>IF(B4764="","",IFERROR(INDEX(Client_List!$B:$B,MATCH(B4764,Client_List!$A:$A,0)),"⚠ NOT FOUND"))</f>
        <v/>
      </c>
      <c r="D4764" s="45" t="n"/>
      <c r="E4764" s="32">
        <f>IF(B4764="","",IFERROR(INDEX(Client_List!$C:$C,MATCH(VALUE(B4764),Client_List!$A:$A,0)),""))</f>
        <v/>
      </c>
      <c r="F4764" s="53">
        <f>IF(B4764="","",IFERROR(INDEX(Client_List!$D:$D,MATCH(VALUE(B4764),Client_List!$A:$A,0)),""))</f>
        <v/>
      </c>
      <c r="G4764" s="53">
        <f>IF(B4764="","",IFERROR(INDEX(Client_List!$K:$K,MATCH(VALUE(B4764),Client_List!$A:$A,0)),""))</f>
        <v/>
      </c>
      <c r="H4764" s="32">
        <f>IF(B4764="","",IFERROR(INDEX(Client_List!$J:$J,MATCH(VALUE(B4764),Client_List!$A:$A,0)),""))</f>
        <v/>
      </c>
      <c r="I4764" s="70">
        <f>IF(B4764="","",IFERROR(A4764-LOOKUP(2,1/($B$4:$B4763=B4764),$A$4:$A4763),""))</f>
        <v/>
      </c>
      <c r="J4764" s="32">
        <f>IF(B4764="","",IFERROR(D4764/I4764,""))</f>
        <v/>
      </c>
      <c r="K4764" s="71">
        <f>IF(B4764="","",IFERROR(AVERAGEIFS($J$4:$J4764,$B$4:$B4764,B4764,$J$4:$J4764,"&gt;"&amp;0),""))</f>
        <v/>
      </c>
      <c r="L4764" s="12" t="n"/>
    </row>
    <row r="4765" ht="14" customHeight="1" s="72">
      <c r="A4765" s="82" t="n"/>
      <c r="B4765" s="79" t="n"/>
      <c r="C4765" s="69">
        <f>IF(B4765="","",IFERROR(INDEX(Client_List!$B:$B,MATCH(B4765,Client_List!$A:$A,0)),"⚠ NOT FOUND"))</f>
        <v/>
      </c>
      <c r="D4765" s="44" t="n"/>
      <c r="E4765" s="32">
        <f>IF(B4765="","",IFERROR(INDEX(Client_List!$C:$C,MATCH(VALUE(B4765),Client_List!$A:$A,0)),""))</f>
        <v/>
      </c>
      <c r="F4765" s="53">
        <f>IF(B4765="","",IFERROR(INDEX(Client_List!$D:$D,MATCH(VALUE(B4765),Client_List!$A:$A,0)),""))</f>
        <v/>
      </c>
      <c r="G4765" s="53">
        <f>IF(B4765="","",IFERROR(INDEX(Client_List!$K:$K,MATCH(VALUE(B4765),Client_List!$A:$A,0)),""))</f>
        <v/>
      </c>
      <c r="H4765" s="32">
        <f>IF(B4765="","",IFERROR(INDEX(Client_List!$J:$J,MATCH(VALUE(B4765),Client_List!$A:$A,0)),""))</f>
        <v/>
      </c>
      <c r="I4765" s="70">
        <f>IF(B4765="","",IFERROR(A4765-LOOKUP(2,1/($B$4:$B4764=B4765),$A$4:$A4764),""))</f>
        <v/>
      </c>
      <c r="J4765" s="32">
        <f>IF(B4765="","",IFERROR(D4765/I4765,""))</f>
        <v/>
      </c>
      <c r="K4765" s="71">
        <f>IF(B4765="","",IFERROR(AVERAGEIFS($J$4:$J4765,$B$4:$B4765,B4765,$J$4:$J4765,"&gt;"&amp;0),""))</f>
        <v/>
      </c>
      <c r="L4765" s="11" t="n"/>
    </row>
    <row r="4766" ht="14" customHeight="1" s="72">
      <c r="A4766" s="83" t="n"/>
      <c r="B4766" s="81" t="n"/>
      <c r="C4766" s="69">
        <f>IF(B4766="","",IFERROR(INDEX(Client_List!$B:$B,MATCH(B4766,Client_List!$A:$A,0)),"⚠ NOT FOUND"))</f>
        <v/>
      </c>
      <c r="D4766" s="45" t="n"/>
      <c r="E4766" s="32">
        <f>IF(B4766="","",IFERROR(INDEX(Client_List!$C:$C,MATCH(VALUE(B4766),Client_List!$A:$A,0)),""))</f>
        <v/>
      </c>
      <c r="F4766" s="53">
        <f>IF(B4766="","",IFERROR(INDEX(Client_List!$D:$D,MATCH(VALUE(B4766),Client_List!$A:$A,0)),""))</f>
        <v/>
      </c>
      <c r="G4766" s="53">
        <f>IF(B4766="","",IFERROR(INDEX(Client_List!$K:$K,MATCH(VALUE(B4766),Client_List!$A:$A,0)),""))</f>
        <v/>
      </c>
      <c r="H4766" s="32">
        <f>IF(B4766="","",IFERROR(INDEX(Client_List!$J:$J,MATCH(VALUE(B4766),Client_List!$A:$A,0)),""))</f>
        <v/>
      </c>
      <c r="I4766" s="70">
        <f>IF(B4766="","",IFERROR(A4766-LOOKUP(2,1/($B$4:$B4765=B4766),$A$4:$A4765),""))</f>
        <v/>
      </c>
      <c r="J4766" s="32">
        <f>IF(B4766="","",IFERROR(D4766/I4766,""))</f>
        <v/>
      </c>
      <c r="K4766" s="71">
        <f>IF(B4766="","",IFERROR(AVERAGEIFS($J$4:$J4766,$B$4:$B4766,B4766,$J$4:$J4766,"&gt;"&amp;0),""))</f>
        <v/>
      </c>
      <c r="L4766" s="12" t="n"/>
    </row>
    <row r="4767" ht="14" customHeight="1" s="72">
      <c r="A4767" s="82" t="n"/>
      <c r="B4767" s="79" t="n"/>
      <c r="C4767" s="69">
        <f>IF(B4767="","",IFERROR(INDEX(Client_List!$B:$B,MATCH(B4767,Client_List!$A:$A,0)),"⚠ NOT FOUND"))</f>
        <v/>
      </c>
      <c r="D4767" s="44" t="n"/>
      <c r="E4767" s="32">
        <f>IF(B4767="","",IFERROR(INDEX(Client_List!$C:$C,MATCH(VALUE(B4767),Client_List!$A:$A,0)),""))</f>
        <v/>
      </c>
      <c r="F4767" s="53">
        <f>IF(B4767="","",IFERROR(INDEX(Client_List!$D:$D,MATCH(VALUE(B4767),Client_List!$A:$A,0)),""))</f>
        <v/>
      </c>
      <c r="G4767" s="53">
        <f>IF(B4767="","",IFERROR(INDEX(Client_List!$K:$K,MATCH(VALUE(B4767),Client_List!$A:$A,0)),""))</f>
        <v/>
      </c>
      <c r="H4767" s="32">
        <f>IF(B4767="","",IFERROR(INDEX(Client_List!$J:$J,MATCH(VALUE(B4767),Client_List!$A:$A,0)),""))</f>
        <v/>
      </c>
      <c r="I4767" s="70">
        <f>IF(B4767="","",IFERROR(A4767-LOOKUP(2,1/($B$4:$B4766=B4767),$A$4:$A4766),""))</f>
        <v/>
      </c>
      <c r="J4767" s="32">
        <f>IF(B4767="","",IFERROR(D4767/I4767,""))</f>
        <v/>
      </c>
      <c r="K4767" s="71">
        <f>IF(B4767="","",IFERROR(AVERAGEIFS($J$4:$J4767,$B$4:$B4767,B4767,$J$4:$J4767,"&gt;"&amp;0),""))</f>
        <v/>
      </c>
      <c r="L4767" s="11" t="n"/>
    </row>
    <row r="4768" ht="14" customHeight="1" s="72">
      <c r="A4768" s="83" t="n"/>
      <c r="B4768" s="81" t="n"/>
      <c r="C4768" s="69">
        <f>IF(B4768="","",IFERROR(INDEX(Client_List!$B:$B,MATCH(B4768,Client_List!$A:$A,0)),"⚠ NOT FOUND"))</f>
        <v/>
      </c>
      <c r="D4768" s="45" t="n"/>
      <c r="E4768" s="32">
        <f>IF(B4768="","",IFERROR(INDEX(Client_List!$C:$C,MATCH(VALUE(B4768),Client_List!$A:$A,0)),""))</f>
        <v/>
      </c>
      <c r="F4768" s="53">
        <f>IF(B4768="","",IFERROR(INDEX(Client_List!$D:$D,MATCH(VALUE(B4768),Client_List!$A:$A,0)),""))</f>
        <v/>
      </c>
      <c r="G4768" s="53">
        <f>IF(B4768="","",IFERROR(INDEX(Client_List!$K:$K,MATCH(VALUE(B4768),Client_List!$A:$A,0)),""))</f>
        <v/>
      </c>
      <c r="H4768" s="32">
        <f>IF(B4768="","",IFERROR(INDEX(Client_List!$J:$J,MATCH(VALUE(B4768),Client_List!$A:$A,0)),""))</f>
        <v/>
      </c>
      <c r="I4768" s="70">
        <f>IF(B4768="","",IFERROR(A4768-LOOKUP(2,1/($B$4:$B4767=B4768),$A$4:$A4767),""))</f>
        <v/>
      </c>
      <c r="J4768" s="32">
        <f>IF(B4768="","",IFERROR(D4768/I4768,""))</f>
        <v/>
      </c>
      <c r="K4768" s="71">
        <f>IF(B4768="","",IFERROR(AVERAGEIFS($J$4:$J4768,$B$4:$B4768,B4768,$J$4:$J4768,"&gt;"&amp;0),""))</f>
        <v/>
      </c>
      <c r="L4768" s="12" t="n"/>
    </row>
    <row r="4769" ht="14" customHeight="1" s="72">
      <c r="A4769" s="82" t="n"/>
      <c r="B4769" s="79" t="n"/>
      <c r="C4769" s="69">
        <f>IF(B4769="","",IFERROR(INDEX(Client_List!$B:$B,MATCH(B4769,Client_List!$A:$A,0)),"⚠ NOT FOUND"))</f>
        <v/>
      </c>
      <c r="D4769" s="44" t="n"/>
      <c r="E4769" s="32">
        <f>IF(B4769="","",IFERROR(INDEX(Client_List!$C:$C,MATCH(VALUE(B4769),Client_List!$A:$A,0)),""))</f>
        <v/>
      </c>
      <c r="F4769" s="53">
        <f>IF(B4769="","",IFERROR(INDEX(Client_List!$D:$D,MATCH(VALUE(B4769),Client_List!$A:$A,0)),""))</f>
        <v/>
      </c>
      <c r="G4769" s="53">
        <f>IF(B4769="","",IFERROR(INDEX(Client_List!$K:$K,MATCH(VALUE(B4769),Client_List!$A:$A,0)),""))</f>
        <v/>
      </c>
      <c r="H4769" s="32">
        <f>IF(B4769="","",IFERROR(INDEX(Client_List!$J:$J,MATCH(VALUE(B4769),Client_List!$A:$A,0)),""))</f>
        <v/>
      </c>
      <c r="I4769" s="70">
        <f>IF(B4769="","",IFERROR(A4769-LOOKUP(2,1/($B$4:$B4768=B4769),$A$4:$A4768),""))</f>
        <v/>
      </c>
      <c r="J4769" s="32">
        <f>IF(B4769="","",IFERROR(D4769/I4769,""))</f>
        <v/>
      </c>
      <c r="K4769" s="71">
        <f>IF(B4769="","",IFERROR(AVERAGEIFS($J$4:$J4769,$B$4:$B4769,B4769,$J$4:$J4769,"&gt;"&amp;0),""))</f>
        <v/>
      </c>
      <c r="L4769" s="11" t="n"/>
    </row>
    <row r="4770" ht="14" customHeight="1" s="72">
      <c r="A4770" s="83" t="n"/>
      <c r="B4770" s="81" t="n"/>
      <c r="C4770" s="69">
        <f>IF(B4770="","",IFERROR(INDEX(Client_List!$B:$B,MATCH(B4770,Client_List!$A:$A,0)),"⚠ NOT FOUND"))</f>
        <v/>
      </c>
      <c r="D4770" s="45" t="n"/>
      <c r="E4770" s="32">
        <f>IF(B4770="","",IFERROR(INDEX(Client_List!$C:$C,MATCH(VALUE(B4770),Client_List!$A:$A,0)),""))</f>
        <v/>
      </c>
      <c r="F4770" s="53">
        <f>IF(B4770="","",IFERROR(INDEX(Client_List!$D:$D,MATCH(VALUE(B4770),Client_List!$A:$A,0)),""))</f>
        <v/>
      </c>
      <c r="G4770" s="53">
        <f>IF(B4770="","",IFERROR(INDEX(Client_List!$K:$K,MATCH(VALUE(B4770),Client_List!$A:$A,0)),""))</f>
        <v/>
      </c>
      <c r="H4770" s="32">
        <f>IF(B4770="","",IFERROR(INDEX(Client_List!$J:$J,MATCH(VALUE(B4770),Client_List!$A:$A,0)),""))</f>
        <v/>
      </c>
      <c r="I4770" s="70">
        <f>IF(B4770="","",IFERROR(A4770-LOOKUP(2,1/($B$4:$B4769=B4770),$A$4:$A4769),""))</f>
        <v/>
      </c>
      <c r="J4770" s="32">
        <f>IF(B4770="","",IFERROR(D4770/I4770,""))</f>
        <v/>
      </c>
      <c r="K4770" s="71">
        <f>IF(B4770="","",IFERROR(AVERAGEIFS($J$4:$J4770,$B$4:$B4770,B4770,$J$4:$J4770,"&gt;"&amp;0),""))</f>
        <v/>
      </c>
      <c r="L4770" s="12" t="n"/>
    </row>
    <row r="4771" ht="14" customHeight="1" s="72">
      <c r="A4771" s="82" t="n"/>
      <c r="B4771" s="79" t="n"/>
      <c r="C4771" s="69">
        <f>IF(B4771="","",IFERROR(INDEX(Client_List!$B:$B,MATCH(B4771,Client_List!$A:$A,0)),"⚠ NOT FOUND"))</f>
        <v/>
      </c>
      <c r="D4771" s="44" t="n"/>
      <c r="E4771" s="32">
        <f>IF(B4771="","",IFERROR(INDEX(Client_List!$C:$C,MATCH(VALUE(B4771),Client_List!$A:$A,0)),""))</f>
        <v/>
      </c>
      <c r="F4771" s="53">
        <f>IF(B4771="","",IFERROR(INDEX(Client_List!$D:$D,MATCH(VALUE(B4771),Client_List!$A:$A,0)),""))</f>
        <v/>
      </c>
      <c r="G4771" s="53">
        <f>IF(B4771="","",IFERROR(INDEX(Client_List!$K:$K,MATCH(VALUE(B4771),Client_List!$A:$A,0)),""))</f>
        <v/>
      </c>
      <c r="H4771" s="32">
        <f>IF(B4771="","",IFERROR(INDEX(Client_List!$J:$J,MATCH(VALUE(B4771),Client_List!$A:$A,0)),""))</f>
        <v/>
      </c>
      <c r="I4771" s="70">
        <f>IF(B4771="","",IFERROR(A4771-LOOKUP(2,1/($B$4:$B4770=B4771),$A$4:$A4770),""))</f>
        <v/>
      </c>
      <c r="J4771" s="32">
        <f>IF(B4771="","",IFERROR(D4771/I4771,""))</f>
        <v/>
      </c>
      <c r="K4771" s="71">
        <f>IF(B4771="","",IFERROR(AVERAGEIFS($J$4:$J4771,$B$4:$B4771,B4771,$J$4:$J4771,"&gt;"&amp;0),""))</f>
        <v/>
      </c>
      <c r="L4771" s="11" t="n"/>
    </row>
    <row r="4772" ht="14" customHeight="1" s="72">
      <c r="A4772" s="83" t="n"/>
      <c r="B4772" s="81" t="n"/>
      <c r="C4772" s="69">
        <f>IF(B4772="","",IFERROR(INDEX(Client_List!$B:$B,MATCH(B4772,Client_List!$A:$A,0)),"⚠ NOT FOUND"))</f>
        <v/>
      </c>
      <c r="D4772" s="45" t="n"/>
      <c r="E4772" s="32">
        <f>IF(B4772="","",IFERROR(INDEX(Client_List!$C:$C,MATCH(VALUE(B4772),Client_List!$A:$A,0)),""))</f>
        <v/>
      </c>
      <c r="F4772" s="53">
        <f>IF(B4772="","",IFERROR(INDEX(Client_List!$D:$D,MATCH(VALUE(B4772),Client_List!$A:$A,0)),""))</f>
        <v/>
      </c>
      <c r="G4772" s="53">
        <f>IF(B4772="","",IFERROR(INDEX(Client_List!$K:$K,MATCH(VALUE(B4772),Client_List!$A:$A,0)),""))</f>
        <v/>
      </c>
      <c r="H4772" s="32">
        <f>IF(B4772="","",IFERROR(INDEX(Client_List!$J:$J,MATCH(VALUE(B4772),Client_List!$A:$A,0)),""))</f>
        <v/>
      </c>
      <c r="I4772" s="70">
        <f>IF(B4772="","",IFERROR(A4772-LOOKUP(2,1/($B$4:$B4771=B4772),$A$4:$A4771),""))</f>
        <v/>
      </c>
      <c r="J4772" s="32">
        <f>IF(B4772="","",IFERROR(D4772/I4772,""))</f>
        <v/>
      </c>
      <c r="K4772" s="71">
        <f>IF(B4772="","",IFERROR(AVERAGEIFS($J$4:$J4772,$B$4:$B4772,B4772,$J$4:$J4772,"&gt;"&amp;0),""))</f>
        <v/>
      </c>
      <c r="L4772" s="12" t="n"/>
    </row>
    <row r="4773" ht="14" customHeight="1" s="72">
      <c r="A4773" s="82" t="n"/>
      <c r="B4773" s="79" t="n"/>
      <c r="C4773" s="69">
        <f>IF(B4773="","",IFERROR(INDEX(Client_List!$B:$B,MATCH(B4773,Client_List!$A:$A,0)),"⚠ NOT FOUND"))</f>
        <v/>
      </c>
      <c r="D4773" s="44" t="n"/>
      <c r="E4773" s="32">
        <f>IF(B4773="","",IFERROR(INDEX(Client_List!$C:$C,MATCH(VALUE(B4773),Client_List!$A:$A,0)),""))</f>
        <v/>
      </c>
      <c r="F4773" s="53">
        <f>IF(B4773="","",IFERROR(INDEX(Client_List!$D:$D,MATCH(VALUE(B4773),Client_List!$A:$A,0)),""))</f>
        <v/>
      </c>
      <c r="G4773" s="53">
        <f>IF(B4773="","",IFERROR(INDEX(Client_List!$K:$K,MATCH(VALUE(B4773),Client_List!$A:$A,0)),""))</f>
        <v/>
      </c>
      <c r="H4773" s="32">
        <f>IF(B4773="","",IFERROR(INDEX(Client_List!$J:$J,MATCH(VALUE(B4773),Client_List!$A:$A,0)),""))</f>
        <v/>
      </c>
      <c r="I4773" s="70">
        <f>IF(B4773="","",IFERROR(A4773-LOOKUP(2,1/($B$4:$B4772=B4773),$A$4:$A4772),""))</f>
        <v/>
      </c>
      <c r="J4773" s="32">
        <f>IF(B4773="","",IFERROR(D4773/I4773,""))</f>
        <v/>
      </c>
      <c r="K4773" s="71">
        <f>IF(B4773="","",IFERROR(AVERAGEIFS($J$4:$J4773,$B$4:$B4773,B4773,$J$4:$J4773,"&gt;"&amp;0),""))</f>
        <v/>
      </c>
      <c r="L4773" s="11" t="n"/>
    </row>
    <row r="4774" ht="14" customHeight="1" s="72">
      <c r="A4774" s="83" t="n"/>
      <c r="B4774" s="81" t="n"/>
      <c r="C4774" s="69">
        <f>IF(B4774="","",IFERROR(INDEX(Client_List!$B:$B,MATCH(B4774,Client_List!$A:$A,0)),"⚠ NOT FOUND"))</f>
        <v/>
      </c>
      <c r="D4774" s="45" t="n"/>
      <c r="E4774" s="32">
        <f>IF(B4774="","",IFERROR(INDEX(Client_List!$C:$C,MATCH(VALUE(B4774),Client_List!$A:$A,0)),""))</f>
        <v/>
      </c>
      <c r="F4774" s="53">
        <f>IF(B4774="","",IFERROR(INDEX(Client_List!$D:$D,MATCH(VALUE(B4774),Client_List!$A:$A,0)),""))</f>
        <v/>
      </c>
      <c r="G4774" s="53">
        <f>IF(B4774="","",IFERROR(INDEX(Client_List!$K:$K,MATCH(VALUE(B4774),Client_List!$A:$A,0)),""))</f>
        <v/>
      </c>
      <c r="H4774" s="32">
        <f>IF(B4774="","",IFERROR(INDEX(Client_List!$J:$J,MATCH(VALUE(B4774),Client_List!$A:$A,0)),""))</f>
        <v/>
      </c>
      <c r="I4774" s="70">
        <f>IF(B4774="","",IFERROR(A4774-LOOKUP(2,1/($B$4:$B4773=B4774),$A$4:$A4773),""))</f>
        <v/>
      </c>
      <c r="J4774" s="32">
        <f>IF(B4774="","",IFERROR(D4774/I4774,""))</f>
        <v/>
      </c>
      <c r="K4774" s="71">
        <f>IF(B4774="","",IFERROR(AVERAGEIFS($J$4:$J4774,$B$4:$B4774,B4774,$J$4:$J4774,"&gt;"&amp;0),""))</f>
        <v/>
      </c>
      <c r="L4774" s="12" t="n"/>
    </row>
    <row r="4775" ht="14" customHeight="1" s="72">
      <c r="A4775" s="82" t="n"/>
      <c r="B4775" s="79" t="n"/>
      <c r="C4775" s="69">
        <f>IF(B4775="","",IFERROR(INDEX(Client_List!$B:$B,MATCH(B4775,Client_List!$A:$A,0)),"⚠ NOT FOUND"))</f>
        <v/>
      </c>
      <c r="D4775" s="44" t="n"/>
      <c r="E4775" s="32">
        <f>IF(B4775="","",IFERROR(INDEX(Client_List!$C:$C,MATCH(VALUE(B4775),Client_List!$A:$A,0)),""))</f>
        <v/>
      </c>
      <c r="F4775" s="53">
        <f>IF(B4775="","",IFERROR(INDEX(Client_List!$D:$D,MATCH(VALUE(B4775),Client_List!$A:$A,0)),""))</f>
        <v/>
      </c>
      <c r="G4775" s="53">
        <f>IF(B4775="","",IFERROR(INDEX(Client_List!$K:$K,MATCH(VALUE(B4775),Client_List!$A:$A,0)),""))</f>
        <v/>
      </c>
      <c r="H4775" s="32">
        <f>IF(B4775="","",IFERROR(INDEX(Client_List!$J:$J,MATCH(VALUE(B4775),Client_List!$A:$A,0)),""))</f>
        <v/>
      </c>
      <c r="I4775" s="70">
        <f>IF(B4775="","",IFERROR(A4775-LOOKUP(2,1/($B$4:$B4774=B4775),$A$4:$A4774),""))</f>
        <v/>
      </c>
      <c r="J4775" s="32">
        <f>IF(B4775="","",IFERROR(D4775/I4775,""))</f>
        <v/>
      </c>
      <c r="K4775" s="71">
        <f>IF(B4775="","",IFERROR(AVERAGEIFS($J$4:$J4775,$B$4:$B4775,B4775,$J$4:$J4775,"&gt;"&amp;0),""))</f>
        <v/>
      </c>
      <c r="L4775" s="11" t="n"/>
    </row>
    <row r="4776" ht="14" customHeight="1" s="72">
      <c r="A4776" s="83" t="n"/>
      <c r="B4776" s="81" t="n"/>
      <c r="C4776" s="69">
        <f>IF(B4776="","",IFERROR(INDEX(Client_List!$B:$B,MATCH(B4776,Client_List!$A:$A,0)),"⚠ NOT FOUND"))</f>
        <v/>
      </c>
      <c r="D4776" s="45" t="n"/>
      <c r="E4776" s="32">
        <f>IF(B4776="","",IFERROR(INDEX(Client_List!$C:$C,MATCH(VALUE(B4776),Client_List!$A:$A,0)),""))</f>
        <v/>
      </c>
      <c r="F4776" s="53">
        <f>IF(B4776="","",IFERROR(INDEX(Client_List!$D:$D,MATCH(VALUE(B4776),Client_List!$A:$A,0)),""))</f>
        <v/>
      </c>
      <c r="G4776" s="53">
        <f>IF(B4776="","",IFERROR(INDEX(Client_List!$K:$K,MATCH(VALUE(B4776),Client_List!$A:$A,0)),""))</f>
        <v/>
      </c>
      <c r="H4776" s="32">
        <f>IF(B4776="","",IFERROR(INDEX(Client_List!$J:$J,MATCH(VALUE(B4776),Client_List!$A:$A,0)),""))</f>
        <v/>
      </c>
      <c r="I4776" s="70">
        <f>IF(B4776="","",IFERROR(A4776-LOOKUP(2,1/($B$4:$B4775=B4776),$A$4:$A4775),""))</f>
        <v/>
      </c>
      <c r="J4776" s="32">
        <f>IF(B4776="","",IFERROR(D4776/I4776,""))</f>
        <v/>
      </c>
      <c r="K4776" s="71">
        <f>IF(B4776="","",IFERROR(AVERAGEIFS($J$4:$J4776,$B$4:$B4776,B4776,$J$4:$J4776,"&gt;"&amp;0),""))</f>
        <v/>
      </c>
      <c r="L4776" s="12" t="n"/>
    </row>
    <row r="4777" ht="14" customHeight="1" s="72">
      <c r="A4777" s="82" t="n"/>
      <c r="B4777" s="79" t="n"/>
      <c r="C4777" s="69">
        <f>IF(B4777="","",IFERROR(INDEX(Client_List!$B:$B,MATCH(B4777,Client_List!$A:$A,0)),"⚠ NOT FOUND"))</f>
        <v/>
      </c>
      <c r="D4777" s="44" t="n"/>
      <c r="E4777" s="32">
        <f>IF(B4777="","",IFERROR(INDEX(Client_List!$C:$C,MATCH(VALUE(B4777),Client_List!$A:$A,0)),""))</f>
        <v/>
      </c>
      <c r="F4777" s="53">
        <f>IF(B4777="","",IFERROR(INDEX(Client_List!$D:$D,MATCH(VALUE(B4777),Client_List!$A:$A,0)),""))</f>
        <v/>
      </c>
      <c r="G4777" s="53">
        <f>IF(B4777="","",IFERROR(INDEX(Client_List!$K:$K,MATCH(VALUE(B4777),Client_List!$A:$A,0)),""))</f>
        <v/>
      </c>
      <c r="H4777" s="32">
        <f>IF(B4777="","",IFERROR(INDEX(Client_List!$J:$J,MATCH(VALUE(B4777),Client_List!$A:$A,0)),""))</f>
        <v/>
      </c>
      <c r="I4777" s="70">
        <f>IF(B4777="","",IFERROR(A4777-LOOKUP(2,1/($B$4:$B4776=B4777),$A$4:$A4776),""))</f>
        <v/>
      </c>
      <c r="J4777" s="32">
        <f>IF(B4777="","",IFERROR(D4777/I4777,""))</f>
        <v/>
      </c>
      <c r="K4777" s="71">
        <f>IF(B4777="","",IFERROR(AVERAGEIFS($J$4:$J4777,$B$4:$B4777,B4777,$J$4:$J4777,"&gt;"&amp;0),""))</f>
        <v/>
      </c>
      <c r="L4777" s="11" t="n"/>
    </row>
    <row r="4778" ht="14" customHeight="1" s="72">
      <c r="A4778" s="83" t="n"/>
      <c r="B4778" s="81" t="n"/>
      <c r="C4778" s="69">
        <f>IF(B4778="","",IFERROR(INDEX(Client_List!$B:$B,MATCH(B4778,Client_List!$A:$A,0)),"⚠ NOT FOUND"))</f>
        <v/>
      </c>
      <c r="D4778" s="45" t="n"/>
      <c r="E4778" s="32">
        <f>IF(B4778="","",IFERROR(INDEX(Client_List!$C:$C,MATCH(VALUE(B4778),Client_List!$A:$A,0)),""))</f>
        <v/>
      </c>
      <c r="F4778" s="53">
        <f>IF(B4778="","",IFERROR(INDEX(Client_List!$D:$D,MATCH(VALUE(B4778),Client_List!$A:$A,0)),""))</f>
        <v/>
      </c>
      <c r="G4778" s="53">
        <f>IF(B4778="","",IFERROR(INDEX(Client_List!$K:$K,MATCH(VALUE(B4778),Client_List!$A:$A,0)),""))</f>
        <v/>
      </c>
      <c r="H4778" s="32">
        <f>IF(B4778="","",IFERROR(INDEX(Client_List!$J:$J,MATCH(VALUE(B4778),Client_List!$A:$A,0)),""))</f>
        <v/>
      </c>
      <c r="I4778" s="70">
        <f>IF(B4778="","",IFERROR(A4778-LOOKUP(2,1/($B$4:$B4777=B4778),$A$4:$A4777),""))</f>
        <v/>
      </c>
      <c r="J4778" s="32">
        <f>IF(B4778="","",IFERROR(D4778/I4778,""))</f>
        <v/>
      </c>
      <c r="K4778" s="71">
        <f>IF(B4778="","",IFERROR(AVERAGEIFS($J$4:$J4778,$B$4:$B4778,B4778,$J$4:$J4778,"&gt;"&amp;0),""))</f>
        <v/>
      </c>
      <c r="L4778" s="12" t="n"/>
    </row>
    <row r="4779" ht="14" customHeight="1" s="72">
      <c r="A4779" s="82" t="n"/>
      <c r="B4779" s="79" t="n"/>
      <c r="C4779" s="69">
        <f>IF(B4779="","",IFERROR(INDEX(Client_List!$B:$B,MATCH(B4779,Client_List!$A:$A,0)),"⚠ NOT FOUND"))</f>
        <v/>
      </c>
      <c r="D4779" s="44" t="n"/>
      <c r="E4779" s="32">
        <f>IF(B4779="","",IFERROR(INDEX(Client_List!$C:$C,MATCH(VALUE(B4779),Client_List!$A:$A,0)),""))</f>
        <v/>
      </c>
      <c r="F4779" s="53">
        <f>IF(B4779="","",IFERROR(INDEX(Client_List!$D:$D,MATCH(VALUE(B4779),Client_List!$A:$A,0)),""))</f>
        <v/>
      </c>
      <c r="G4779" s="53">
        <f>IF(B4779="","",IFERROR(INDEX(Client_List!$K:$K,MATCH(VALUE(B4779),Client_List!$A:$A,0)),""))</f>
        <v/>
      </c>
      <c r="H4779" s="32">
        <f>IF(B4779="","",IFERROR(INDEX(Client_List!$J:$J,MATCH(VALUE(B4779),Client_List!$A:$A,0)),""))</f>
        <v/>
      </c>
      <c r="I4779" s="70">
        <f>IF(B4779="","",IFERROR(A4779-LOOKUP(2,1/($B$4:$B4778=B4779),$A$4:$A4778),""))</f>
        <v/>
      </c>
      <c r="J4779" s="32">
        <f>IF(B4779="","",IFERROR(D4779/I4779,""))</f>
        <v/>
      </c>
      <c r="K4779" s="71">
        <f>IF(B4779="","",IFERROR(AVERAGEIFS($J$4:$J4779,$B$4:$B4779,B4779,$J$4:$J4779,"&gt;"&amp;0),""))</f>
        <v/>
      </c>
      <c r="L4779" s="11" t="n"/>
    </row>
    <row r="4780" ht="14" customHeight="1" s="72">
      <c r="A4780" s="83" t="n"/>
      <c r="B4780" s="81" t="n"/>
      <c r="C4780" s="69">
        <f>IF(B4780="","",IFERROR(INDEX(Client_List!$B:$B,MATCH(B4780,Client_List!$A:$A,0)),"⚠ NOT FOUND"))</f>
        <v/>
      </c>
      <c r="D4780" s="45" t="n"/>
      <c r="E4780" s="32">
        <f>IF(B4780="","",IFERROR(INDEX(Client_List!$C:$C,MATCH(VALUE(B4780),Client_List!$A:$A,0)),""))</f>
        <v/>
      </c>
      <c r="F4780" s="53">
        <f>IF(B4780="","",IFERROR(INDEX(Client_List!$D:$D,MATCH(VALUE(B4780),Client_List!$A:$A,0)),""))</f>
        <v/>
      </c>
      <c r="G4780" s="53">
        <f>IF(B4780="","",IFERROR(INDEX(Client_List!$K:$K,MATCH(VALUE(B4780),Client_List!$A:$A,0)),""))</f>
        <v/>
      </c>
      <c r="H4780" s="32">
        <f>IF(B4780="","",IFERROR(INDEX(Client_List!$J:$J,MATCH(VALUE(B4780),Client_List!$A:$A,0)),""))</f>
        <v/>
      </c>
      <c r="I4780" s="70">
        <f>IF(B4780="","",IFERROR(A4780-LOOKUP(2,1/($B$4:$B4779=B4780),$A$4:$A4779),""))</f>
        <v/>
      </c>
      <c r="J4780" s="32">
        <f>IF(B4780="","",IFERROR(D4780/I4780,""))</f>
        <v/>
      </c>
      <c r="K4780" s="71">
        <f>IF(B4780="","",IFERROR(AVERAGEIFS($J$4:$J4780,$B$4:$B4780,B4780,$J$4:$J4780,"&gt;"&amp;0),""))</f>
        <v/>
      </c>
      <c r="L4780" s="12" t="n"/>
    </row>
    <row r="4781" ht="14" customHeight="1" s="72">
      <c r="A4781" s="82" t="n"/>
      <c r="B4781" s="79" t="n"/>
      <c r="C4781" s="69">
        <f>IF(B4781="","",IFERROR(INDEX(Client_List!$B:$B,MATCH(B4781,Client_List!$A:$A,0)),"⚠ NOT FOUND"))</f>
        <v/>
      </c>
      <c r="D4781" s="44" t="n"/>
      <c r="E4781" s="32">
        <f>IF(B4781="","",IFERROR(INDEX(Client_List!$C:$C,MATCH(VALUE(B4781),Client_List!$A:$A,0)),""))</f>
        <v/>
      </c>
      <c r="F4781" s="53">
        <f>IF(B4781="","",IFERROR(INDEX(Client_List!$D:$D,MATCH(VALUE(B4781),Client_List!$A:$A,0)),""))</f>
        <v/>
      </c>
      <c r="G4781" s="53">
        <f>IF(B4781="","",IFERROR(INDEX(Client_List!$K:$K,MATCH(VALUE(B4781),Client_List!$A:$A,0)),""))</f>
        <v/>
      </c>
      <c r="H4781" s="32">
        <f>IF(B4781="","",IFERROR(INDEX(Client_List!$J:$J,MATCH(VALUE(B4781),Client_List!$A:$A,0)),""))</f>
        <v/>
      </c>
      <c r="I4781" s="70">
        <f>IF(B4781="","",IFERROR(A4781-LOOKUP(2,1/($B$4:$B4780=B4781),$A$4:$A4780),""))</f>
        <v/>
      </c>
      <c r="J4781" s="32">
        <f>IF(B4781="","",IFERROR(D4781/I4781,""))</f>
        <v/>
      </c>
      <c r="K4781" s="71">
        <f>IF(B4781="","",IFERROR(AVERAGEIFS($J$4:$J4781,$B$4:$B4781,B4781,$J$4:$J4781,"&gt;"&amp;0),""))</f>
        <v/>
      </c>
      <c r="L4781" s="11" t="n"/>
    </row>
    <row r="4782" ht="14" customHeight="1" s="72">
      <c r="A4782" s="83" t="n"/>
      <c r="B4782" s="81" t="n"/>
      <c r="C4782" s="69">
        <f>IF(B4782="","",IFERROR(INDEX(Client_List!$B:$B,MATCH(B4782,Client_List!$A:$A,0)),"⚠ NOT FOUND"))</f>
        <v/>
      </c>
      <c r="D4782" s="45" t="n"/>
      <c r="E4782" s="32">
        <f>IF(B4782="","",IFERROR(INDEX(Client_List!$C:$C,MATCH(VALUE(B4782),Client_List!$A:$A,0)),""))</f>
        <v/>
      </c>
      <c r="F4782" s="53">
        <f>IF(B4782="","",IFERROR(INDEX(Client_List!$D:$D,MATCH(VALUE(B4782),Client_List!$A:$A,0)),""))</f>
        <v/>
      </c>
      <c r="G4782" s="53">
        <f>IF(B4782="","",IFERROR(INDEX(Client_List!$K:$K,MATCH(VALUE(B4782),Client_List!$A:$A,0)),""))</f>
        <v/>
      </c>
      <c r="H4782" s="32">
        <f>IF(B4782="","",IFERROR(INDEX(Client_List!$J:$J,MATCH(VALUE(B4782),Client_List!$A:$A,0)),""))</f>
        <v/>
      </c>
      <c r="I4782" s="70">
        <f>IF(B4782="","",IFERROR(A4782-LOOKUP(2,1/($B$4:$B4781=B4782),$A$4:$A4781),""))</f>
        <v/>
      </c>
      <c r="J4782" s="32">
        <f>IF(B4782="","",IFERROR(D4782/I4782,""))</f>
        <v/>
      </c>
      <c r="K4782" s="71">
        <f>IF(B4782="","",IFERROR(AVERAGEIFS($J$4:$J4782,$B$4:$B4782,B4782,$J$4:$J4782,"&gt;"&amp;0),""))</f>
        <v/>
      </c>
      <c r="L4782" s="12" t="n"/>
    </row>
    <row r="4783" ht="14" customHeight="1" s="72">
      <c r="A4783" s="82" t="n"/>
      <c r="B4783" s="79" t="n"/>
      <c r="C4783" s="69">
        <f>IF(B4783="","",IFERROR(INDEX(Client_List!$B:$B,MATCH(B4783,Client_List!$A:$A,0)),"⚠ NOT FOUND"))</f>
        <v/>
      </c>
      <c r="D4783" s="44" t="n"/>
      <c r="E4783" s="32">
        <f>IF(B4783="","",IFERROR(INDEX(Client_List!$C:$C,MATCH(VALUE(B4783),Client_List!$A:$A,0)),""))</f>
        <v/>
      </c>
      <c r="F4783" s="53">
        <f>IF(B4783="","",IFERROR(INDEX(Client_List!$D:$D,MATCH(VALUE(B4783),Client_List!$A:$A,0)),""))</f>
        <v/>
      </c>
      <c r="G4783" s="53">
        <f>IF(B4783="","",IFERROR(INDEX(Client_List!$K:$K,MATCH(VALUE(B4783),Client_List!$A:$A,0)),""))</f>
        <v/>
      </c>
      <c r="H4783" s="32">
        <f>IF(B4783="","",IFERROR(INDEX(Client_List!$J:$J,MATCH(VALUE(B4783),Client_List!$A:$A,0)),""))</f>
        <v/>
      </c>
      <c r="I4783" s="70">
        <f>IF(B4783="","",IFERROR(A4783-LOOKUP(2,1/($B$4:$B4782=B4783),$A$4:$A4782),""))</f>
        <v/>
      </c>
      <c r="J4783" s="32">
        <f>IF(B4783="","",IFERROR(D4783/I4783,""))</f>
        <v/>
      </c>
      <c r="K4783" s="71">
        <f>IF(B4783="","",IFERROR(AVERAGEIFS($J$4:$J4783,$B$4:$B4783,B4783,$J$4:$J4783,"&gt;"&amp;0),""))</f>
        <v/>
      </c>
      <c r="L4783" s="11" t="n"/>
    </row>
    <row r="4784" ht="14" customHeight="1" s="72">
      <c r="A4784" s="83" t="n"/>
      <c r="B4784" s="81" t="n"/>
      <c r="C4784" s="69">
        <f>IF(B4784="","",IFERROR(INDEX(Client_List!$B:$B,MATCH(B4784,Client_List!$A:$A,0)),"⚠ NOT FOUND"))</f>
        <v/>
      </c>
      <c r="D4784" s="45" t="n"/>
      <c r="E4784" s="32">
        <f>IF(B4784="","",IFERROR(INDEX(Client_List!$C:$C,MATCH(VALUE(B4784),Client_List!$A:$A,0)),""))</f>
        <v/>
      </c>
      <c r="F4784" s="53">
        <f>IF(B4784="","",IFERROR(INDEX(Client_List!$D:$D,MATCH(VALUE(B4784),Client_List!$A:$A,0)),""))</f>
        <v/>
      </c>
      <c r="G4784" s="53">
        <f>IF(B4784="","",IFERROR(INDEX(Client_List!$K:$K,MATCH(VALUE(B4784),Client_List!$A:$A,0)),""))</f>
        <v/>
      </c>
      <c r="H4784" s="32">
        <f>IF(B4784="","",IFERROR(INDEX(Client_List!$J:$J,MATCH(VALUE(B4784),Client_List!$A:$A,0)),""))</f>
        <v/>
      </c>
      <c r="I4784" s="70">
        <f>IF(B4784="","",IFERROR(A4784-LOOKUP(2,1/($B$4:$B4783=B4784),$A$4:$A4783),""))</f>
        <v/>
      </c>
      <c r="J4784" s="32">
        <f>IF(B4784="","",IFERROR(D4784/I4784,""))</f>
        <v/>
      </c>
      <c r="K4784" s="71">
        <f>IF(B4784="","",IFERROR(AVERAGEIFS($J$4:$J4784,$B$4:$B4784,B4784,$J$4:$J4784,"&gt;"&amp;0),""))</f>
        <v/>
      </c>
      <c r="L4784" s="12" t="n"/>
    </row>
    <row r="4785" ht="14" customHeight="1" s="72">
      <c r="A4785" s="82" t="n"/>
      <c r="B4785" s="79" t="n"/>
      <c r="C4785" s="69">
        <f>IF(B4785="","",IFERROR(INDEX(Client_List!$B:$B,MATCH(B4785,Client_List!$A:$A,0)),"⚠ NOT FOUND"))</f>
        <v/>
      </c>
      <c r="D4785" s="44" t="n"/>
      <c r="E4785" s="32">
        <f>IF(B4785="","",IFERROR(INDEX(Client_List!$C:$C,MATCH(VALUE(B4785),Client_List!$A:$A,0)),""))</f>
        <v/>
      </c>
      <c r="F4785" s="53">
        <f>IF(B4785="","",IFERROR(INDEX(Client_List!$D:$D,MATCH(VALUE(B4785),Client_List!$A:$A,0)),""))</f>
        <v/>
      </c>
      <c r="G4785" s="53">
        <f>IF(B4785="","",IFERROR(INDEX(Client_List!$K:$K,MATCH(VALUE(B4785),Client_List!$A:$A,0)),""))</f>
        <v/>
      </c>
      <c r="H4785" s="32">
        <f>IF(B4785="","",IFERROR(INDEX(Client_List!$J:$J,MATCH(VALUE(B4785),Client_List!$A:$A,0)),""))</f>
        <v/>
      </c>
      <c r="I4785" s="70">
        <f>IF(B4785="","",IFERROR(A4785-LOOKUP(2,1/($B$4:$B4784=B4785),$A$4:$A4784),""))</f>
        <v/>
      </c>
      <c r="J4785" s="32">
        <f>IF(B4785="","",IFERROR(D4785/I4785,""))</f>
        <v/>
      </c>
      <c r="K4785" s="71">
        <f>IF(B4785="","",IFERROR(AVERAGEIFS($J$4:$J4785,$B$4:$B4785,B4785,$J$4:$J4785,"&gt;"&amp;0),""))</f>
        <v/>
      </c>
      <c r="L4785" s="11" t="n"/>
    </row>
    <row r="4786" ht="14" customHeight="1" s="72">
      <c r="A4786" s="83" t="n"/>
      <c r="B4786" s="81" t="n"/>
      <c r="C4786" s="69">
        <f>IF(B4786="","",IFERROR(INDEX(Client_List!$B:$B,MATCH(B4786,Client_List!$A:$A,0)),"⚠ NOT FOUND"))</f>
        <v/>
      </c>
      <c r="D4786" s="45" t="n"/>
      <c r="E4786" s="32">
        <f>IF(B4786="","",IFERROR(INDEX(Client_List!$C:$C,MATCH(VALUE(B4786),Client_List!$A:$A,0)),""))</f>
        <v/>
      </c>
      <c r="F4786" s="53">
        <f>IF(B4786="","",IFERROR(INDEX(Client_List!$D:$D,MATCH(VALUE(B4786),Client_List!$A:$A,0)),""))</f>
        <v/>
      </c>
      <c r="G4786" s="53">
        <f>IF(B4786="","",IFERROR(INDEX(Client_List!$K:$K,MATCH(VALUE(B4786),Client_List!$A:$A,0)),""))</f>
        <v/>
      </c>
      <c r="H4786" s="32">
        <f>IF(B4786="","",IFERROR(INDEX(Client_List!$J:$J,MATCH(VALUE(B4786),Client_List!$A:$A,0)),""))</f>
        <v/>
      </c>
      <c r="I4786" s="70">
        <f>IF(B4786="","",IFERROR(A4786-LOOKUP(2,1/($B$4:$B4785=B4786),$A$4:$A4785),""))</f>
        <v/>
      </c>
      <c r="J4786" s="32">
        <f>IF(B4786="","",IFERROR(D4786/I4786,""))</f>
        <v/>
      </c>
      <c r="K4786" s="71">
        <f>IF(B4786="","",IFERROR(AVERAGEIFS($J$4:$J4786,$B$4:$B4786,B4786,$J$4:$J4786,"&gt;"&amp;0),""))</f>
        <v/>
      </c>
      <c r="L4786" s="12" t="n"/>
    </row>
    <row r="4787" ht="14" customHeight="1" s="72">
      <c r="A4787" s="82" t="n"/>
      <c r="B4787" s="79" t="n"/>
      <c r="C4787" s="69">
        <f>IF(B4787="","",IFERROR(INDEX(Client_List!$B:$B,MATCH(B4787,Client_List!$A:$A,0)),"⚠ NOT FOUND"))</f>
        <v/>
      </c>
      <c r="D4787" s="44" t="n"/>
      <c r="E4787" s="32">
        <f>IF(B4787="","",IFERROR(INDEX(Client_List!$C:$C,MATCH(VALUE(B4787),Client_List!$A:$A,0)),""))</f>
        <v/>
      </c>
      <c r="F4787" s="53">
        <f>IF(B4787="","",IFERROR(INDEX(Client_List!$D:$D,MATCH(VALUE(B4787),Client_List!$A:$A,0)),""))</f>
        <v/>
      </c>
      <c r="G4787" s="53">
        <f>IF(B4787="","",IFERROR(INDEX(Client_List!$K:$K,MATCH(VALUE(B4787),Client_List!$A:$A,0)),""))</f>
        <v/>
      </c>
      <c r="H4787" s="32">
        <f>IF(B4787="","",IFERROR(INDEX(Client_List!$J:$J,MATCH(VALUE(B4787),Client_List!$A:$A,0)),""))</f>
        <v/>
      </c>
      <c r="I4787" s="70">
        <f>IF(B4787="","",IFERROR(A4787-LOOKUP(2,1/($B$4:$B4786=B4787),$A$4:$A4786),""))</f>
        <v/>
      </c>
      <c r="J4787" s="32">
        <f>IF(B4787="","",IFERROR(D4787/I4787,""))</f>
        <v/>
      </c>
      <c r="K4787" s="71">
        <f>IF(B4787="","",IFERROR(AVERAGEIFS($J$4:$J4787,$B$4:$B4787,B4787,$J$4:$J4787,"&gt;"&amp;0),""))</f>
        <v/>
      </c>
      <c r="L4787" s="11" t="n"/>
    </row>
    <row r="4788" ht="14" customHeight="1" s="72">
      <c r="A4788" s="83" t="n"/>
      <c r="B4788" s="81" t="n"/>
      <c r="C4788" s="69">
        <f>IF(B4788="","",IFERROR(INDEX(Client_List!$B:$B,MATCH(B4788,Client_List!$A:$A,0)),"⚠ NOT FOUND"))</f>
        <v/>
      </c>
      <c r="D4788" s="45" t="n"/>
      <c r="E4788" s="32">
        <f>IF(B4788="","",IFERROR(INDEX(Client_List!$C:$C,MATCH(VALUE(B4788),Client_List!$A:$A,0)),""))</f>
        <v/>
      </c>
      <c r="F4788" s="53">
        <f>IF(B4788="","",IFERROR(INDEX(Client_List!$D:$D,MATCH(VALUE(B4788),Client_List!$A:$A,0)),""))</f>
        <v/>
      </c>
      <c r="G4788" s="53">
        <f>IF(B4788="","",IFERROR(INDEX(Client_List!$K:$K,MATCH(VALUE(B4788),Client_List!$A:$A,0)),""))</f>
        <v/>
      </c>
      <c r="H4788" s="32">
        <f>IF(B4788="","",IFERROR(INDEX(Client_List!$J:$J,MATCH(VALUE(B4788),Client_List!$A:$A,0)),""))</f>
        <v/>
      </c>
      <c r="I4788" s="70">
        <f>IF(B4788="","",IFERROR(A4788-LOOKUP(2,1/($B$4:$B4787=B4788),$A$4:$A4787),""))</f>
        <v/>
      </c>
      <c r="J4788" s="32">
        <f>IF(B4788="","",IFERROR(D4788/I4788,""))</f>
        <v/>
      </c>
      <c r="K4788" s="71">
        <f>IF(B4788="","",IFERROR(AVERAGEIFS($J$4:$J4788,$B$4:$B4788,B4788,$J$4:$J4788,"&gt;"&amp;0),""))</f>
        <v/>
      </c>
      <c r="L4788" s="12" t="n"/>
    </row>
    <row r="4789" ht="14" customHeight="1" s="72">
      <c r="A4789" s="82" t="n"/>
      <c r="B4789" s="79" t="n"/>
      <c r="C4789" s="69">
        <f>IF(B4789="","",IFERROR(INDEX(Client_List!$B:$B,MATCH(B4789,Client_List!$A:$A,0)),"⚠ NOT FOUND"))</f>
        <v/>
      </c>
      <c r="D4789" s="44" t="n"/>
      <c r="E4789" s="32">
        <f>IF(B4789="","",IFERROR(INDEX(Client_List!$C:$C,MATCH(VALUE(B4789),Client_List!$A:$A,0)),""))</f>
        <v/>
      </c>
      <c r="F4789" s="53">
        <f>IF(B4789="","",IFERROR(INDEX(Client_List!$D:$D,MATCH(VALUE(B4789),Client_List!$A:$A,0)),""))</f>
        <v/>
      </c>
      <c r="G4789" s="53">
        <f>IF(B4789="","",IFERROR(INDEX(Client_List!$K:$K,MATCH(VALUE(B4789),Client_List!$A:$A,0)),""))</f>
        <v/>
      </c>
      <c r="H4789" s="32">
        <f>IF(B4789="","",IFERROR(INDEX(Client_List!$J:$J,MATCH(VALUE(B4789),Client_List!$A:$A,0)),""))</f>
        <v/>
      </c>
      <c r="I4789" s="70">
        <f>IF(B4789="","",IFERROR(A4789-LOOKUP(2,1/($B$4:$B4788=B4789),$A$4:$A4788),""))</f>
        <v/>
      </c>
      <c r="J4789" s="32">
        <f>IF(B4789="","",IFERROR(D4789/I4789,""))</f>
        <v/>
      </c>
      <c r="K4789" s="71">
        <f>IF(B4789="","",IFERROR(AVERAGEIFS($J$4:$J4789,$B$4:$B4789,B4789,$J$4:$J4789,"&gt;"&amp;0),""))</f>
        <v/>
      </c>
      <c r="L4789" s="11" t="n"/>
    </row>
    <row r="4790" ht="14" customHeight="1" s="72">
      <c r="A4790" s="83" t="n"/>
      <c r="B4790" s="81" t="n"/>
      <c r="C4790" s="69">
        <f>IF(B4790="","",IFERROR(INDEX(Client_List!$B:$B,MATCH(B4790,Client_List!$A:$A,0)),"⚠ NOT FOUND"))</f>
        <v/>
      </c>
      <c r="D4790" s="45" t="n"/>
      <c r="E4790" s="32">
        <f>IF(B4790="","",IFERROR(INDEX(Client_List!$C:$C,MATCH(VALUE(B4790),Client_List!$A:$A,0)),""))</f>
        <v/>
      </c>
      <c r="F4790" s="53">
        <f>IF(B4790="","",IFERROR(INDEX(Client_List!$D:$D,MATCH(VALUE(B4790),Client_List!$A:$A,0)),""))</f>
        <v/>
      </c>
      <c r="G4790" s="53">
        <f>IF(B4790="","",IFERROR(INDEX(Client_List!$K:$K,MATCH(VALUE(B4790),Client_List!$A:$A,0)),""))</f>
        <v/>
      </c>
      <c r="H4790" s="32">
        <f>IF(B4790="","",IFERROR(INDEX(Client_List!$J:$J,MATCH(VALUE(B4790),Client_List!$A:$A,0)),""))</f>
        <v/>
      </c>
      <c r="I4790" s="70">
        <f>IF(B4790="","",IFERROR(A4790-LOOKUP(2,1/($B$4:$B4789=B4790),$A$4:$A4789),""))</f>
        <v/>
      </c>
      <c r="J4790" s="32">
        <f>IF(B4790="","",IFERROR(D4790/I4790,""))</f>
        <v/>
      </c>
      <c r="K4790" s="71">
        <f>IF(B4790="","",IFERROR(AVERAGEIFS($J$4:$J4790,$B$4:$B4790,B4790,$J$4:$J4790,"&gt;"&amp;0),""))</f>
        <v/>
      </c>
      <c r="L4790" s="12" t="n"/>
    </row>
    <row r="4791" ht="14" customHeight="1" s="72">
      <c r="A4791" s="82" t="n"/>
      <c r="B4791" s="79" t="n"/>
      <c r="C4791" s="69">
        <f>IF(B4791="","",IFERROR(INDEX(Client_List!$B:$B,MATCH(B4791,Client_List!$A:$A,0)),"⚠ NOT FOUND"))</f>
        <v/>
      </c>
      <c r="D4791" s="44" t="n"/>
      <c r="E4791" s="32">
        <f>IF(B4791="","",IFERROR(INDEX(Client_List!$C:$C,MATCH(VALUE(B4791),Client_List!$A:$A,0)),""))</f>
        <v/>
      </c>
      <c r="F4791" s="53">
        <f>IF(B4791="","",IFERROR(INDEX(Client_List!$D:$D,MATCH(VALUE(B4791),Client_List!$A:$A,0)),""))</f>
        <v/>
      </c>
      <c r="G4791" s="53">
        <f>IF(B4791="","",IFERROR(INDEX(Client_List!$K:$K,MATCH(VALUE(B4791),Client_List!$A:$A,0)),""))</f>
        <v/>
      </c>
      <c r="H4791" s="32">
        <f>IF(B4791="","",IFERROR(INDEX(Client_List!$J:$J,MATCH(VALUE(B4791),Client_List!$A:$A,0)),""))</f>
        <v/>
      </c>
      <c r="I4791" s="70">
        <f>IF(B4791="","",IFERROR(A4791-LOOKUP(2,1/($B$4:$B4790=B4791),$A$4:$A4790),""))</f>
        <v/>
      </c>
      <c r="J4791" s="32">
        <f>IF(B4791="","",IFERROR(D4791/I4791,""))</f>
        <v/>
      </c>
      <c r="K4791" s="71">
        <f>IF(B4791="","",IFERROR(AVERAGEIFS($J$4:$J4791,$B$4:$B4791,B4791,$J$4:$J4791,"&gt;"&amp;0),""))</f>
        <v/>
      </c>
      <c r="L4791" s="11" t="n"/>
    </row>
    <row r="4792" ht="14" customHeight="1" s="72">
      <c r="A4792" s="83" t="n"/>
      <c r="B4792" s="81" t="n"/>
      <c r="C4792" s="69">
        <f>IF(B4792="","",IFERROR(INDEX(Client_List!$B:$B,MATCH(B4792,Client_List!$A:$A,0)),"⚠ NOT FOUND"))</f>
        <v/>
      </c>
      <c r="D4792" s="45" t="n"/>
      <c r="E4792" s="32">
        <f>IF(B4792="","",IFERROR(INDEX(Client_List!$C:$C,MATCH(VALUE(B4792),Client_List!$A:$A,0)),""))</f>
        <v/>
      </c>
      <c r="F4792" s="53">
        <f>IF(B4792="","",IFERROR(INDEX(Client_List!$D:$D,MATCH(VALUE(B4792),Client_List!$A:$A,0)),""))</f>
        <v/>
      </c>
      <c r="G4792" s="53">
        <f>IF(B4792="","",IFERROR(INDEX(Client_List!$K:$K,MATCH(VALUE(B4792),Client_List!$A:$A,0)),""))</f>
        <v/>
      </c>
      <c r="H4792" s="32">
        <f>IF(B4792="","",IFERROR(INDEX(Client_List!$J:$J,MATCH(VALUE(B4792),Client_List!$A:$A,0)),""))</f>
        <v/>
      </c>
      <c r="I4792" s="70">
        <f>IF(B4792="","",IFERROR(A4792-LOOKUP(2,1/($B$4:$B4791=B4792),$A$4:$A4791),""))</f>
        <v/>
      </c>
      <c r="J4792" s="32">
        <f>IF(B4792="","",IFERROR(D4792/I4792,""))</f>
        <v/>
      </c>
      <c r="K4792" s="71">
        <f>IF(B4792="","",IFERROR(AVERAGEIFS($J$4:$J4792,$B$4:$B4792,B4792,$J$4:$J4792,"&gt;"&amp;0),""))</f>
        <v/>
      </c>
      <c r="L4792" s="12" t="n"/>
    </row>
    <row r="4793" ht="14" customHeight="1" s="72">
      <c r="A4793" s="82" t="n"/>
      <c r="B4793" s="79" t="n"/>
      <c r="C4793" s="69">
        <f>IF(B4793="","",IFERROR(INDEX(Client_List!$B:$B,MATCH(B4793,Client_List!$A:$A,0)),"⚠ NOT FOUND"))</f>
        <v/>
      </c>
      <c r="D4793" s="44" t="n"/>
      <c r="E4793" s="32">
        <f>IF(B4793="","",IFERROR(INDEX(Client_List!$C:$C,MATCH(VALUE(B4793),Client_List!$A:$A,0)),""))</f>
        <v/>
      </c>
      <c r="F4793" s="53">
        <f>IF(B4793="","",IFERROR(INDEX(Client_List!$D:$D,MATCH(VALUE(B4793),Client_List!$A:$A,0)),""))</f>
        <v/>
      </c>
      <c r="G4793" s="53">
        <f>IF(B4793="","",IFERROR(INDEX(Client_List!$K:$K,MATCH(VALUE(B4793),Client_List!$A:$A,0)),""))</f>
        <v/>
      </c>
      <c r="H4793" s="32">
        <f>IF(B4793="","",IFERROR(INDEX(Client_List!$J:$J,MATCH(VALUE(B4793),Client_List!$A:$A,0)),""))</f>
        <v/>
      </c>
      <c r="I4793" s="70">
        <f>IF(B4793="","",IFERROR(A4793-LOOKUP(2,1/($B$4:$B4792=B4793),$A$4:$A4792),""))</f>
        <v/>
      </c>
      <c r="J4793" s="32">
        <f>IF(B4793="","",IFERROR(D4793/I4793,""))</f>
        <v/>
      </c>
      <c r="K4793" s="71">
        <f>IF(B4793="","",IFERROR(AVERAGEIFS($J$4:$J4793,$B$4:$B4793,B4793,$J$4:$J4793,"&gt;"&amp;0),""))</f>
        <v/>
      </c>
      <c r="L4793" s="11" t="n"/>
    </row>
    <row r="4794" ht="14" customHeight="1" s="72">
      <c r="A4794" s="83" t="n"/>
      <c r="B4794" s="81" t="n"/>
      <c r="C4794" s="69">
        <f>IF(B4794="","",IFERROR(INDEX(Client_List!$B:$B,MATCH(B4794,Client_List!$A:$A,0)),"⚠ NOT FOUND"))</f>
        <v/>
      </c>
      <c r="D4794" s="45" t="n"/>
      <c r="E4794" s="32">
        <f>IF(B4794="","",IFERROR(INDEX(Client_List!$C:$C,MATCH(VALUE(B4794),Client_List!$A:$A,0)),""))</f>
        <v/>
      </c>
      <c r="F4794" s="53">
        <f>IF(B4794="","",IFERROR(INDEX(Client_List!$D:$D,MATCH(VALUE(B4794),Client_List!$A:$A,0)),""))</f>
        <v/>
      </c>
      <c r="G4794" s="53">
        <f>IF(B4794="","",IFERROR(INDEX(Client_List!$K:$K,MATCH(VALUE(B4794),Client_List!$A:$A,0)),""))</f>
        <v/>
      </c>
      <c r="H4794" s="32">
        <f>IF(B4794="","",IFERROR(INDEX(Client_List!$J:$J,MATCH(VALUE(B4794),Client_List!$A:$A,0)),""))</f>
        <v/>
      </c>
      <c r="I4794" s="70">
        <f>IF(B4794="","",IFERROR(A4794-LOOKUP(2,1/($B$4:$B4793=B4794),$A$4:$A4793),""))</f>
        <v/>
      </c>
      <c r="J4794" s="32">
        <f>IF(B4794="","",IFERROR(D4794/I4794,""))</f>
        <v/>
      </c>
      <c r="K4794" s="71">
        <f>IF(B4794="","",IFERROR(AVERAGEIFS($J$4:$J4794,$B$4:$B4794,B4794,$J$4:$J4794,"&gt;"&amp;0),""))</f>
        <v/>
      </c>
      <c r="L4794" s="12" t="n"/>
    </row>
    <row r="4795" ht="14" customHeight="1" s="72">
      <c r="A4795" s="82" t="n"/>
      <c r="B4795" s="79" t="n"/>
      <c r="C4795" s="69">
        <f>IF(B4795="","",IFERROR(INDEX(Client_List!$B:$B,MATCH(B4795,Client_List!$A:$A,0)),"⚠ NOT FOUND"))</f>
        <v/>
      </c>
      <c r="D4795" s="44" t="n"/>
      <c r="E4795" s="32">
        <f>IF(B4795="","",IFERROR(INDEX(Client_List!$C:$C,MATCH(VALUE(B4795),Client_List!$A:$A,0)),""))</f>
        <v/>
      </c>
      <c r="F4795" s="53">
        <f>IF(B4795="","",IFERROR(INDEX(Client_List!$D:$D,MATCH(VALUE(B4795),Client_List!$A:$A,0)),""))</f>
        <v/>
      </c>
      <c r="G4795" s="53">
        <f>IF(B4795="","",IFERROR(INDEX(Client_List!$K:$K,MATCH(VALUE(B4795),Client_List!$A:$A,0)),""))</f>
        <v/>
      </c>
      <c r="H4795" s="32">
        <f>IF(B4795="","",IFERROR(INDEX(Client_List!$J:$J,MATCH(VALUE(B4795),Client_List!$A:$A,0)),""))</f>
        <v/>
      </c>
      <c r="I4795" s="70">
        <f>IF(B4795="","",IFERROR(A4795-LOOKUP(2,1/($B$4:$B4794=B4795),$A$4:$A4794),""))</f>
        <v/>
      </c>
      <c r="J4795" s="32">
        <f>IF(B4795="","",IFERROR(D4795/I4795,""))</f>
        <v/>
      </c>
      <c r="K4795" s="71">
        <f>IF(B4795="","",IFERROR(AVERAGEIFS($J$4:$J4795,$B$4:$B4795,B4795,$J$4:$J4795,"&gt;"&amp;0),""))</f>
        <v/>
      </c>
      <c r="L4795" s="11" t="n"/>
    </row>
    <row r="4796" ht="14" customHeight="1" s="72">
      <c r="A4796" s="83" t="n"/>
      <c r="B4796" s="81" t="n"/>
      <c r="C4796" s="69">
        <f>IF(B4796="","",IFERROR(INDEX(Client_List!$B:$B,MATCH(B4796,Client_List!$A:$A,0)),"⚠ NOT FOUND"))</f>
        <v/>
      </c>
      <c r="D4796" s="45" t="n"/>
      <c r="E4796" s="32">
        <f>IF(B4796="","",IFERROR(INDEX(Client_List!$C:$C,MATCH(VALUE(B4796),Client_List!$A:$A,0)),""))</f>
        <v/>
      </c>
      <c r="F4796" s="53">
        <f>IF(B4796="","",IFERROR(INDEX(Client_List!$D:$D,MATCH(VALUE(B4796),Client_List!$A:$A,0)),""))</f>
        <v/>
      </c>
      <c r="G4796" s="53">
        <f>IF(B4796="","",IFERROR(INDEX(Client_List!$K:$K,MATCH(VALUE(B4796),Client_List!$A:$A,0)),""))</f>
        <v/>
      </c>
      <c r="H4796" s="32">
        <f>IF(B4796="","",IFERROR(INDEX(Client_List!$J:$J,MATCH(VALUE(B4796),Client_List!$A:$A,0)),""))</f>
        <v/>
      </c>
      <c r="I4796" s="70">
        <f>IF(B4796="","",IFERROR(A4796-LOOKUP(2,1/($B$4:$B4795=B4796),$A$4:$A4795),""))</f>
        <v/>
      </c>
      <c r="J4796" s="32">
        <f>IF(B4796="","",IFERROR(D4796/I4796,""))</f>
        <v/>
      </c>
      <c r="K4796" s="71">
        <f>IF(B4796="","",IFERROR(AVERAGEIFS($J$4:$J4796,$B$4:$B4796,B4796,$J$4:$J4796,"&gt;"&amp;0),""))</f>
        <v/>
      </c>
      <c r="L4796" s="12" t="n"/>
    </row>
    <row r="4797" ht="14" customHeight="1" s="72">
      <c r="A4797" s="82" t="n"/>
      <c r="B4797" s="79" t="n"/>
      <c r="C4797" s="69">
        <f>IF(B4797="","",IFERROR(INDEX(Client_List!$B:$B,MATCH(B4797,Client_List!$A:$A,0)),"⚠ NOT FOUND"))</f>
        <v/>
      </c>
      <c r="D4797" s="44" t="n"/>
      <c r="E4797" s="32">
        <f>IF(B4797="","",IFERROR(INDEX(Client_List!$C:$C,MATCH(VALUE(B4797),Client_List!$A:$A,0)),""))</f>
        <v/>
      </c>
      <c r="F4797" s="53">
        <f>IF(B4797="","",IFERROR(INDEX(Client_List!$D:$D,MATCH(VALUE(B4797),Client_List!$A:$A,0)),""))</f>
        <v/>
      </c>
      <c r="G4797" s="53">
        <f>IF(B4797="","",IFERROR(INDEX(Client_List!$K:$K,MATCH(VALUE(B4797),Client_List!$A:$A,0)),""))</f>
        <v/>
      </c>
      <c r="H4797" s="32">
        <f>IF(B4797="","",IFERROR(INDEX(Client_List!$J:$J,MATCH(VALUE(B4797),Client_List!$A:$A,0)),""))</f>
        <v/>
      </c>
      <c r="I4797" s="70">
        <f>IF(B4797="","",IFERROR(A4797-LOOKUP(2,1/($B$4:$B4796=B4797),$A$4:$A4796),""))</f>
        <v/>
      </c>
      <c r="J4797" s="32">
        <f>IF(B4797="","",IFERROR(D4797/I4797,""))</f>
        <v/>
      </c>
      <c r="K4797" s="71">
        <f>IF(B4797="","",IFERROR(AVERAGEIFS($J$4:$J4797,$B$4:$B4797,B4797,$J$4:$J4797,"&gt;"&amp;0),""))</f>
        <v/>
      </c>
      <c r="L4797" s="11" t="n"/>
    </row>
    <row r="4798" ht="14" customHeight="1" s="72">
      <c r="A4798" s="83" t="n"/>
      <c r="B4798" s="81" t="n"/>
      <c r="C4798" s="69">
        <f>IF(B4798="","",IFERROR(INDEX(Client_List!$B:$B,MATCH(B4798,Client_List!$A:$A,0)),"⚠ NOT FOUND"))</f>
        <v/>
      </c>
      <c r="D4798" s="45" t="n"/>
      <c r="E4798" s="32">
        <f>IF(B4798="","",IFERROR(INDEX(Client_List!$C:$C,MATCH(VALUE(B4798),Client_List!$A:$A,0)),""))</f>
        <v/>
      </c>
      <c r="F4798" s="53">
        <f>IF(B4798="","",IFERROR(INDEX(Client_List!$D:$D,MATCH(VALUE(B4798),Client_List!$A:$A,0)),""))</f>
        <v/>
      </c>
      <c r="G4798" s="53">
        <f>IF(B4798="","",IFERROR(INDEX(Client_List!$K:$K,MATCH(VALUE(B4798),Client_List!$A:$A,0)),""))</f>
        <v/>
      </c>
      <c r="H4798" s="32">
        <f>IF(B4798="","",IFERROR(INDEX(Client_List!$J:$J,MATCH(VALUE(B4798),Client_List!$A:$A,0)),""))</f>
        <v/>
      </c>
      <c r="I4798" s="70">
        <f>IF(B4798="","",IFERROR(A4798-LOOKUP(2,1/($B$4:$B4797=B4798),$A$4:$A4797),""))</f>
        <v/>
      </c>
      <c r="J4798" s="32">
        <f>IF(B4798="","",IFERROR(D4798/I4798,""))</f>
        <v/>
      </c>
      <c r="K4798" s="71">
        <f>IF(B4798="","",IFERROR(AVERAGEIFS($J$4:$J4798,$B$4:$B4798,B4798,$J$4:$J4798,"&gt;"&amp;0),""))</f>
        <v/>
      </c>
      <c r="L4798" s="12" t="n"/>
    </row>
    <row r="4799" ht="14" customHeight="1" s="72">
      <c r="A4799" s="82" t="n"/>
      <c r="B4799" s="79" t="n"/>
      <c r="C4799" s="69">
        <f>IF(B4799="","",IFERROR(INDEX(Client_List!$B:$B,MATCH(B4799,Client_List!$A:$A,0)),"⚠ NOT FOUND"))</f>
        <v/>
      </c>
      <c r="D4799" s="44" t="n"/>
      <c r="E4799" s="32">
        <f>IF(B4799="","",IFERROR(INDEX(Client_List!$C:$C,MATCH(VALUE(B4799),Client_List!$A:$A,0)),""))</f>
        <v/>
      </c>
      <c r="F4799" s="53">
        <f>IF(B4799="","",IFERROR(INDEX(Client_List!$D:$D,MATCH(VALUE(B4799),Client_List!$A:$A,0)),""))</f>
        <v/>
      </c>
      <c r="G4799" s="53">
        <f>IF(B4799="","",IFERROR(INDEX(Client_List!$K:$K,MATCH(VALUE(B4799),Client_List!$A:$A,0)),""))</f>
        <v/>
      </c>
      <c r="H4799" s="32">
        <f>IF(B4799="","",IFERROR(INDEX(Client_List!$J:$J,MATCH(VALUE(B4799),Client_List!$A:$A,0)),""))</f>
        <v/>
      </c>
      <c r="I4799" s="70">
        <f>IF(B4799="","",IFERROR(A4799-LOOKUP(2,1/($B$4:$B4798=B4799),$A$4:$A4798),""))</f>
        <v/>
      </c>
      <c r="J4799" s="32">
        <f>IF(B4799="","",IFERROR(D4799/I4799,""))</f>
        <v/>
      </c>
      <c r="K4799" s="71">
        <f>IF(B4799="","",IFERROR(AVERAGEIFS($J$4:$J4799,$B$4:$B4799,B4799,$J$4:$J4799,"&gt;"&amp;0),""))</f>
        <v/>
      </c>
      <c r="L4799" s="11" t="n"/>
    </row>
    <row r="4800" ht="14" customHeight="1" s="72">
      <c r="A4800" s="83" t="n"/>
      <c r="B4800" s="81" t="n"/>
      <c r="C4800" s="69">
        <f>IF(B4800="","",IFERROR(INDEX(Client_List!$B:$B,MATCH(B4800,Client_List!$A:$A,0)),"⚠ NOT FOUND"))</f>
        <v/>
      </c>
      <c r="D4800" s="45" t="n"/>
      <c r="E4800" s="32">
        <f>IF(B4800="","",IFERROR(INDEX(Client_List!$C:$C,MATCH(VALUE(B4800),Client_List!$A:$A,0)),""))</f>
        <v/>
      </c>
      <c r="F4800" s="53">
        <f>IF(B4800="","",IFERROR(INDEX(Client_List!$D:$D,MATCH(VALUE(B4800),Client_List!$A:$A,0)),""))</f>
        <v/>
      </c>
      <c r="G4800" s="53">
        <f>IF(B4800="","",IFERROR(INDEX(Client_List!$K:$K,MATCH(VALUE(B4800),Client_List!$A:$A,0)),""))</f>
        <v/>
      </c>
      <c r="H4800" s="32">
        <f>IF(B4800="","",IFERROR(INDEX(Client_List!$J:$J,MATCH(VALUE(B4800),Client_List!$A:$A,0)),""))</f>
        <v/>
      </c>
      <c r="I4800" s="70">
        <f>IF(B4800="","",IFERROR(A4800-LOOKUP(2,1/($B$4:$B4799=B4800),$A$4:$A4799),""))</f>
        <v/>
      </c>
      <c r="J4800" s="32">
        <f>IF(B4800="","",IFERROR(D4800/I4800,""))</f>
        <v/>
      </c>
      <c r="K4800" s="71">
        <f>IF(B4800="","",IFERROR(AVERAGEIFS($J$4:$J4800,$B$4:$B4800,B4800,$J$4:$J4800,"&gt;"&amp;0),""))</f>
        <v/>
      </c>
      <c r="L4800" s="12" t="n"/>
    </row>
    <row r="4801" ht="14" customHeight="1" s="72">
      <c r="A4801" s="82" t="n"/>
      <c r="B4801" s="79" t="n"/>
      <c r="C4801" s="69">
        <f>IF(B4801="","",IFERROR(INDEX(Client_List!$B:$B,MATCH(B4801,Client_List!$A:$A,0)),"⚠ NOT FOUND"))</f>
        <v/>
      </c>
      <c r="D4801" s="44" t="n"/>
      <c r="E4801" s="32">
        <f>IF(B4801="","",IFERROR(INDEX(Client_List!$C:$C,MATCH(VALUE(B4801),Client_List!$A:$A,0)),""))</f>
        <v/>
      </c>
      <c r="F4801" s="53">
        <f>IF(B4801="","",IFERROR(INDEX(Client_List!$D:$D,MATCH(VALUE(B4801),Client_List!$A:$A,0)),""))</f>
        <v/>
      </c>
      <c r="G4801" s="53">
        <f>IF(B4801="","",IFERROR(INDEX(Client_List!$K:$K,MATCH(VALUE(B4801),Client_List!$A:$A,0)),""))</f>
        <v/>
      </c>
      <c r="H4801" s="32">
        <f>IF(B4801="","",IFERROR(INDEX(Client_List!$J:$J,MATCH(VALUE(B4801),Client_List!$A:$A,0)),""))</f>
        <v/>
      </c>
      <c r="I4801" s="70">
        <f>IF(B4801="","",IFERROR(A4801-LOOKUP(2,1/($B$4:$B4800=B4801),$A$4:$A4800),""))</f>
        <v/>
      </c>
      <c r="J4801" s="32">
        <f>IF(B4801="","",IFERROR(D4801/I4801,""))</f>
        <v/>
      </c>
      <c r="K4801" s="71">
        <f>IF(B4801="","",IFERROR(AVERAGEIFS($J$4:$J4801,$B$4:$B4801,B4801,$J$4:$J4801,"&gt;"&amp;0),""))</f>
        <v/>
      </c>
      <c r="L4801" s="11" t="n"/>
    </row>
    <row r="4802" ht="14" customHeight="1" s="72">
      <c r="A4802" s="83" t="n"/>
      <c r="B4802" s="81" t="n"/>
      <c r="C4802" s="69">
        <f>IF(B4802="","",IFERROR(INDEX(Client_List!$B:$B,MATCH(B4802,Client_List!$A:$A,0)),"⚠ NOT FOUND"))</f>
        <v/>
      </c>
      <c r="D4802" s="45" t="n"/>
      <c r="E4802" s="32">
        <f>IF(B4802="","",IFERROR(INDEX(Client_List!$C:$C,MATCH(VALUE(B4802),Client_List!$A:$A,0)),""))</f>
        <v/>
      </c>
      <c r="F4802" s="53">
        <f>IF(B4802="","",IFERROR(INDEX(Client_List!$D:$D,MATCH(VALUE(B4802),Client_List!$A:$A,0)),""))</f>
        <v/>
      </c>
      <c r="G4802" s="53">
        <f>IF(B4802="","",IFERROR(INDEX(Client_List!$K:$K,MATCH(VALUE(B4802),Client_List!$A:$A,0)),""))</f>
        <v/>
      </c>
      <c r="H4802" s="32">
        <f>IF(B4802="","",IFERROR(INDEX(Client_List!$J:$J,MATCH(VALUE(B4802),Client_List!$A:$A,0)),""))</f>
        <v/>
      </c>
      <c r="I4802" s="70">
        <f>IF(B4802="","",IFERROR(A4802-LOOKUP(2,1/($B$4:$B4801=B4802),$A$4:$A4801),""))</f>
        <v/>
      </c>
      <c r="J4802" s="32">
        <f>IF(B4802="","",IFERROR(D4802/I4802,""))</f>
        <v/>
      </c>
      <c r="K4802" s="71">
        <f>IF(B4802="","",IFERROR(AVERAGEIFS($J$4:$J4802,$B$4:$B4802,B4802,$J$4:$J4802,"&gt;"&amp;0),""))</f>
        <v/>
      </c>
      <c r="L4802" s="12" t="n"/>
    </row>
    <row r="4803" ht="14" customHeight="1" s="72">
      <c r="A4803" s="82" t="n"/>
      <c r="B4803" s="79" t="n"/>
      <c r="C4803" s="69">
        <f>IF(B4803="","",IFERROR(INDEX(Client_List!$B:$B,MATCH(B4803,Client_List!$A:$A,0)),"⚠ NOT FOUND"))</f>
        <v/>
      </c>
      <c r="D4803" s="44" t="n"/>
      <c r="E4803" s="32">
        <f>IF(B4803="","",IFERROR(INDEX(Client_List!$C:$C,MATCH(VALUE(B4803),Client_List!$A:$A,0)),""))</f>
        <v/>
      </c>
      <c r="F4803" s="53">
        <f>IF(B4803="","",IFERROR(INDEX(Client_List!$D:$D,MATCH(VALUE(B4803),Client_List!$A:$A,0)),""))</f>
        <v/>
      </c>
      <c r="G4803" s="53">
        <f>IF(B4803="","",IFERROR(INDEX(Client_List!$K:$K,MATCH(VALUE(B4803),Client_List!$A:$A,0)),""))</f>
        <v/>
      </c>
      <c r="H4803" s="32">
        <f>IF(B4803="","",IFERROR(INDEX(Client_List!$J:$J,MATCH(VALUE(B4803),Client_List!$A:$A,0)),""))</f>
        <v/>
      </c>
      <c r="I4803" s="70">
        <f>IF(B4803="","",IFERROR(A4803-LOOKUP(2,1/($B$4:$B4802=B4803),$A$4:$A4802),""))</f>
        <v/>
      </c>
      <c r="J4803" s="32">
        <f>IF(B4803="","",IFERROR(D4803/I4803,""))</f>
        <v/>
      </c>
      <c r="K4803" s="71">
        <f>IF(B4803="","",IFERROR(AVERAGEIFS($J$4:$J4803,$B$4:$B4803,B4803,$J$4:$J4803,"&gt;"&amp;0),""))</f>
        <v/>
      </c>
      <c r="L4803" s="11" t="n"/>
    </row>
    <row r="4804" ht="14" customHeight="1" s="72">
      <c r="A4804" s="83" t="n"/>
      <c r="B4804" s="81" t="n"/>
      <c r="C4804" s="69">
        <f>IF(B4804="","",IFERROR(INDEX(Client_List!$B:$B,MATCH(B4804,Client_List!$A:$A,0)),"⚠ NOT FOUND"))</f>
        <v/>
      </c>
      <c r="D4804" s="45" t="n"/>
      <c r="E4804" s="32">
        <f>IF(B4804="","",IFERROR(INDEX(Client_List!$C:$C,MATCH(VALUE(B4804),Client_List!$A:$A,0)),""))</f>
        <v/>
      </c>
      <c r="F4804" s="53">
        <f>IF(B4804="","",IFERROR(INDEX(Client_List!$D:$D,MATCH(VALUE(B4804),Client_List!$A:$A,0)),""))</f>
        <v/>
      </c>
      <c r="G4804" s="53">
        <f>IF(B4804="","",IFERROR(INDEX(Client_List!$K:$K,MATCH(VALUE(B4804),Client_List!$A:$A,0)),""))</f>
        <v/>
      </c>
      <c r="H4804" s="32">
        <f>IF(B4804="","",IFERROR(INDEX(Client_List!$J:$J,MATCH(VALUE(B4804),Client_List!$A:$A,0)),""))</f>
        <v/>
      </c>
      <c r="I4804" s="70">
        <f>IF(B4804="","",IFERROR(A4804-LOOKUP(2,1/($B$4:$B4803=B4804),$A$4:$A4803),""))</f>
        <v/>
      </c>
      <c r="J4804" s="32">
        <f>IF(B4804="","",IFERROR(D4804/I4804,""))</f>
        <v/>
      </c>
      <c r="K4804" s="71">
        <f>IF(B4804="","",IFERROR(AVERAGEIFS($J$4:$J4804,$B$4:$B4804,B4804,$J$4:$J4804,"&gt;"&amp;0),""))</f>
        <v/>
      </c>
      <c r="L4804" s="12" t="n"/>
    </row>
    <row r="4805" ht="14" customHeight="1" s="72">
      <c r="A4805" s="82" t="n"/>
      <c r="B4805" s="79" t="n"/>
      <c r="C4805" s="69">
        <f>IF(B4805="","",IFERROR(INDEX(Client_List!$B:$B,MATCH(B4805,Client_List!$A:$A,0)),"⚠ NOT FOUND"))</f>
        <v/>
      </c>
      <c r="D4805" s="44" t="n"/>
      <c r="E4805" s="32">
        <f>IF(B4805="","",IFERROR(INDEX(Client_List!$C:$C,MATCH(VALUE(B4805),Client_List!$A:$A,0)),""))</f>
        <v/>
      </c>
      <c r="F4805" s="53">
        <f>IF(B4805="","",IFERROR(INDEX(Client_List!$D:$D,MATCH(VALUE(B4805),Client_List!$A:$A,0)),""))</f>
        <v/>
      </c>
      <c r="G4805" s="53">
        <f>IF(B4805="","",IFERROR(INDEX(Client_List!$K:$K,MATCH(VALUE(B4805),Client_List!$A:$A,0)),""))</f>
        <v/>
      </c>
      <c r="H4805" s="32">
        <f>IF(B4805="","",IFERROR(INDEX(Client_List!$J:$J,MATCH(VALUE(B4805),Client_List!$A:$A,0)),""))</f>
        <v/>
      </c>
      <c r="I4805" s="70">
        <f>IF(B4805="","",IFERROR(A4805-LOOKUP(2,1/($B$4:$B4804=B4805),$A$4:$A4804),""))</f>
        <v/>
      </c>
      <c r="J4805" s="32">
        <f>IF(B4805="","",IFERROR(D4805/I4805,""))</f>
        <v/>
      </c>
      <c r="K4805" s="71">
        <f>IF(B4805="","",IFERROR(AVERAGEIFS($J$4:$J4805,$B$4:$B4805,B4805,$J$4:$J4805,"&gt;"&amp;0),""))</f>
        <v/>
      </c>
      <c r="L4805" s="11" t="n"/>
    </row>
    <row r="4806" ht="14" customHeight="1" s="72">
      <c r="A4806" s="83" t="n"/>
      <c r="B4806" s="81" t="n"/>
      <c r="C4806" s="69">
        <f>IF(B4806="","",IFERROR(INDEX(Client_List!$B:$B,MATCH(B4806,Client_List!$A:$A,0)),"⚠ NOT FOUND"))</f>
        <v/>
      </c>
      <c r="D4806" s="45" t="n"/>
      <c r="E4806" s="32">
        <f>IF(B4806="","",IFERROR(INDEX(Client_List!$C:$C,MATCH(VALUE(B4806),Client_List!$A:$A,0)),""))</f>
        <v/>
      </c>
      <c r="F4806" s="53">
        <f>IF(B4806="","",IFERROR(INDEX(Client_List!$D:$D,MATCH(VALUE(B4806),Client_List!$A:$A,0)),""))</f>
        <v/>
      </c>
      <c r="G4806" s="53">
        <f>IF(B4806="","",IFERROR(INDEX(Client_List!$K:$K,MATCH(VALUE(B4806),Client_List!$A:$A,0)),""))</f>
        <v/>
      </c>
      <c r="H4806" s="32">
        <f>IF(B4806="","",IFERROR(INDEX(Client_List!$J:$J,MATCH(VALUE(B4806),Client_List!$A:$A,0)),""))</f>
        <v/>
      </c>
      <c r="I4806" s="70">
        <f>IF(B4806="","",IFERROR(A4806-LOOKUP(2,1/($B$4:$B4805=B4806),$A$4:$A4805),""))</f>
        <v/>
      </c>
      <c r="J4806" s="32">
        <f>IF(B4806="","",IFERROR(D4806/I4806,""))</f>
        <v/>
      </c>
      <c r="K4806" s="71">
        <f>IF(B4806="","",IFERROR(AVERAGEIFS($J$4:$J4806,$B$4:$B4806,B4806,$J$4:$J4806,"&gt;"&amp;0),""))</f>
        <v/>
      </c>
      <c r="L4806" s="12" t="n"/>
    </row>
    <row r="4807" ht="14" customHeight="1" s="72">
      <c r="A4807" s="82" t="n"/>
      <c r="B4807" s="79" t="n"/>
      <c r="C4807" s="69">
        <f>IF(B4807="","",IFERROR(INDEX(Client_List!$B:$B,MATCH(B4807,Client_List!$A:$A,0)),"⚠ NOT FOUND"))</f>
        <v/>
      </c>
      <c r="D4807" s="44" t="n"/>
      <c r="E4807" s="32">
        <f>IF(B4807="","",IFERROR(INDEX(Client_List!$C:$C,MATCH(VALUE(B4807),Client_List!$A:$A,0)),""))</f>
        <v/>
      </c>
      <c r="F4807" s="53">
        <f>IF(B4807="","",IFERROR(INDEX(Client_List!$D:$D,MATCH(VALUE(B4807),Client_List!$A:$A,0)),""))</f>
        <v/>
      </c>
      <c r="G4807" s="53">
        <f>IF(B4807="","",IFERROR(INDEX(Client_List!$K:$K,MATCH(VALUE(B4807),Client_List!$A:$A,0)),""))</f>
        <v/>
      </c>
      <c r="H4807" s="32">
        <f>IF(B4807="","",IFERROR(INDEX(Client_List!$J:$J,MATCH(VALUE(B4807),Client_List!$A:$A,0)),""))</f>
        <v/>
      </c>
      <c r="I4807" s="70">
        <f>IF(B4807="","",IFERROR(A4807-LOOKUP(2,1/($B$4:$B4806=B4807),$A$4:$A4806),""))</f>
        <v/>
      </c>
      <c r="J4807" s="32">
        <f>IF(B4807="","",IFERROR(D4807/I4807,""))</f>
        <v/>
      </c>
      <c r="K4807" s="71">
        <f>IF(B4807="","",IFERROR(AVERAGEIFS($J$4:$J4807,$B$4:$B4807,B4807,$J$4:$J4807,"&gt;"&amp;0),""))</f>
        <v/>
      </c>
      <c r="L4807" s="11" t="n"/>
    </row>
    <row r="4808" ht="14" customHeight="1" s="72">
      <c r="A4808" s="83" t="n"/>
      <c r="B4808" s="81" t="n"/>
      <c r="C4808" s="69">
        <f>IF(B4808="","",IFERROR(INDEX(Client_List!$B:$B,MATCH(B4808,Client_List!$A:$A,0)),"⚠ NOT FOUND"))</f>
        <v/>
      </c>
      <c r="D4808" s="45" t="n"/>
      <c r="E4808" s="32">
        <f>IF(B4808="","",IFERROR(INDEX(Client_List!$C:$C,MATCH(VALUE(B4808),Client_List!$A:$A,0)),""))</f>
        <v/>
      </c>
      <c r="F4808" s="53">
        <f>IF(B4808="","",IFERROR(INDEX(Client_List!$D:$D,MATCH(VALUE(B4808),Client_List!$A:$A,0)),""))</f>
        <v/>
      </c>
      <c r="G4808" s="53">
        <f>IF(B4808="","",IFERROR(INDEX(Client_List!$K:$K,MATCH(VALUE(B4808),Client_List!$A:$A,0)),""))</f>
        <v/>
      </c>
      <c r="H4808" s="32">
        <f>IF(B4808="","",IFERROR(INDEX(Client_List!$J:$J,MATCH(VALUE(B4808),Client_List!$A:$A,0)),""))</f>
        <v/>
      </c>
      <c r="I4808" s="70">
        <f>IF(B4808="","",IFERROR(A4808-LOOKUP(2,1/($B$4:$B4807=B4808),$A$4:$A4807),""))</f>
        <v/>
      </c>
      <c r="J4808" s="32">
        <f>IF(B4808="","",IFERROR(D4808/I4808,""))</f>
        <v/>
      </c>
      <c r="K4808" s="71">
        <f>IF(B4808="","",IFERROR(AVERAGEIFS($J$4:$J4808,$B$4:$B4808,B4808,$J$4:$J4808,"&gt;"&amp;0),""))</f>
        <v/>
      </c>
      <c r="L4808" s="12" t="n"/>
    </row>
    <row r="4809" ht="14" customHeight="1" s="72">
      <c r="A4809" s="82" t="n"/>
      <c r="B4809" s="79" t="n"/>
      <c r="C4809" s="69">
        <f>IF(B4809="","",IFERROR(INDEX(Client_List!$B:$B,MATCH(B4809,Client_List!$A:$A,0)),"⚠ NOT FOUND"))</f>
        <v/>
      </c>
      <c r="D4809" s="44" t="n"/>
      <c r="E4809" s="32">
        <f>IF(B4809="","",IFERROR(INDEX(Client_List!$C:$C,MATCH(VALUE(B4809),Client_List!$A:$A,0)),""))</f>
        <v/>
      </c>
      <c r="F4809" s="53">
        <f>IF(B4809="","",IFERROR(INDEX(Client_List!$D:$D,MATCH(VALUE(B4809),Client_List!$A:$A,0)),""))</f>
        <v/>
      </c>
      <c r="G4809" s="53">
        <f>IF(B4809="","",IFERROR(INDEX(Client_List!$K:$K,MATCH(VALUE(B4809),Client_List!$A:$A,0)),""))</f>
        <v/>
      </c>
      <c r="H4809" s="32">
        <f>IF(B4809="","",IFERROR(INDEX(Client_List!$J:$J,MATCH(VALUE(B4809),Client_List!$A:$A,0)),""))</f>
        <v/>
      </c>
      <c r="I4809" s="70">
        <f>IF(B4809="","",IFERROR(A4809-LOOKUP(2,1/($B$4:$B4808=B4809),$A$4:$A4808),""))</f>
        <v/>
      </c>
      <c r="J4809" s="32">
        <f>IF(B4809="","",IFERROR(D4809/I4809,""))</f>
        <v/>
      </c>
      <c r="K4809" s="71">
        <f>IF(B4809="","",IFERROR(AVERAGEIFS($J$4:$J4809,$B$4:$B4809,B4809,$J$4:$J4809,"&gt;"&amp;0),""))</f>
        <v/>
      </c>
      <c r="L4809" s="11" t="n"/>
    </row>
    <row r="4810" ht="14" customHeight="1" s="72">
      <c r="A4810" s="83" t="n"/>
      <c r="B4810" s="81" t="n"/>
      <c r="C4810" s="69">
        <f>IF(B4810="","",IFERROR(INDEX(Client_List!$B:$B,MATCH(B4810,Client_List!$A:$A,0)),"⚠ NOT FOUND"))</f>
        <v/>
      </c>
      <c r="D4810" s="45" t="n"/>
      <c r="E4810" s="32">
        <f>IF(B4810="","",IFERROR(INDEX(Client_List!$C:$C,MATCH(VALUE(B4810),Client_List!$A:$A,0)),""))</f>
        <v/>
      </c>
      <c r="F4810" s="53">
        <f>IF(B4810="","",IFERROR(INDEX(Client_List!$D:$D,MATCH(VALUE(B4810),Client_List!$A:$A,0)),""))</f>
        <v/>
      </c>
      <c r="G4810" s="53">
        <f>IF(B4810="","",IFERROR(INDEX(Client_List!$K:$K,MATCH(VALUE(B4810),Client_List!$A:$A,0)),""))</f>
        <v/>
      </c>
      <c r="H4810" s="32">
        <f>IF(B4810="","",IFERROR(INDEX(Client_List!$J:$J,MATCH(VALUE(B4810),Client_List!$A:$A,0)),""))</f>
        <v/>
      </c>
      <c r="I4810" s="70">
        <f>IF(B4810="","",IFERROR(A4810-LOOKUP(2,1/($B$4:$B4809=B4810),$A$4:$A4809),""))</f>
        <v/>
      </c>
      <c r="J4810" s="32">
        <f>IF(B4810="","",IFERROR(D4810/I4810,""))</f>
        <v/>
      </c>
      <c r="K4810" s="71">
        <f>IF(B4810="","",IFERROR(AVERAGEIFS($J$4:$J4810,$B$4:$B4810,B4810,$J$4:$J4810,"&gt;"&amp;0),""))</f>
        <v/>
      </c>
      <c r="L4810" s="12" t="n"/>
    </row>
    <row r="4811" ht="14" customHeight="1" s="72">
      <c r="A4811" s="82" t="n"/>
      <c r="B4811" s="79" t="n"/>
      <c r="C4811" s="69">
        <f>IF(B4811="","",IFERROR(INDEX(Client_List!$B:$B,MATCH(B4811,Client_List!$A:$A,0)),"⚠ NOT FOUND"))</f>
        <v/>
      </c>
      <c r="D4811" s="44" t="n"/>
      <c r="E4811" s="32">
        <f>IF(B4811="","",IFERROR(INDEX(Client_List!$C:$C,MATCH(VALUE(B4811),Client_List!$A:$A,0)),""))</f>
        <v/>
      </c>
      <c r="F4811" s="53">
        <f>IF(B4811="","",IFERROR(INDEX(Client_List!$D:$D,MATCH(VALUE(B4811),Client_List!$A:$A,0)),""))</f>
        <v/>
      </c>
      <c r="G4811" s="53">
        <f>IF(B4811="","",IFERROR(INDEX(Client_List!$K:$K,MATCH(VALUE(B4811),Client_List!$A:$A,0)),""))</f>
        <v/>
      </c>
      <c r="H4811" s="32">
        <f>IF(B4811="","",IFERROR(INDEX(Client_List!$J:$J,MATCH(VALUE(B4811),Client_List!$A:$A,0)),""))</f>
        <v/>
      </c>
      <c r="I4811" s="70">
        <f>IF(B4811="","",IFERROR(A4811-LOOKUP(2,1/($B$4:$B4810=B4811),$A$4:$A4810),""))</f>
        <v/>
      </c>
      <c r="J4811" s="32">
        <f>IF(B4811="","",IFERROR(D4811/I4811,""))</f>
        <v/>
      </c>
      <c r="K4811" s="71">
        <f>IF(B4811="","",IFERROR(AVERAGEIFS($J$4:$J4811,$B$4:$B4811,B4811,$J$4:$J4811,"&gt;"&amp;0),""))</f>
        <v/>
      </c>
      <c r="L4811" s="11" t="n"/>
    </row>
    <row r="4812" ht="14" customHeight="1" s="72">
      <c r="A4812" s="83" t="n"/>
      <c r="B4812" s="81" t="n"/>
      <c r="C4812" s="69">
        <f>IF(B4812="","",IFERROR(INDEX(Client_List!$B:$B,MATCH(B4812,Client_List!$A:$A,0)),"⚠ NOT FOUND"))</f>
        <v/>
      </c>
      <c r="D4812" s="45" t="n"/>
      <c r="E4812" s="32">
        <f>IF(B4812="","",IFERROR(INDEX(Client_List!$C:$C,MATCH(VALUE(B4812),Client_List!$A:$A,0)),""))</f>
        <v/>
      </c>
      <c r="F4812" s="53">
        <f>IF(B4812="","",IFERROR(INDEX(Client_List!$D:$D,MATCH(VALUE(B4812),Client_List!$A:$A,0)),""))</f>
        <v/>
      </c>
      <c r="G4812" s="53">
        <f>IF(B4812="","",IFERROR(INDEX(Client_List!$K:$K,MATCH(VALUE(B4812),Client_List!$A:$A,0)),""))</f>
        <v/>
      </c>
      <c r="H4812" s="32">
        <f>IF(B4812="","",IFERROR(INDEX(Client_List!$J:$J,MATCH(VALUE(B4812),Client_List!$A:$A,0)),""))</f>
        <v/>
      </c>
      <c r="I4812" s="70">
        <f>IF(B4812="","",IFERROR(A4812-LOOKUP(2,1/($B$4:$B4811=B4812),$A$4:$A4811),""))</f>
        <v/>
      </c>
      <c r="J4812" s="32">
        <f>IF(B4812="","",IFERROR(D4812/I4812,""))</f>
        <v/>
      </c>
      <c r="K4812" s="71">
        <f>IF(B4812="","",IFERROR(AVERAGEIFS($J$4:$J4812,$B$4:$B4812,B4812,$J$4:$J4812,"&gt;"&amp;0),""))</f>
        <v/>
      </c>
      <c r="L4812" s="12" t="n"/>
    </row>
    <row r="4813" ht="14" customHeight="1" s="72">
      <c r="A4813" s="82" t="n"/>
      <c r="B4813" s="79" t="n"/>
      <c r="C4813" s="69">
        <f>IF(B4813="","",IFERROR(INDEX(Client_List!$B:$B,MATCH(B4813,Client_List!$A:$A,0)),"⚠ NOT FOUND"))</f>
        <v/>
      </c>
      <c r="D4813" s="44" t="n"/>
      <c r="E4813" s="32">
        <f>IF(B4813="","",IFERROR(INDEX(Client_List!$C:$C,MATCH(VALUE(B4813),Client_List!$A:$A,0)),""))</f>
        <v/>
      </c>
      <c r="F4813" s="53">
        <f>IF(B4813="","",IFERROR(INDEX(Client_List!$D:$D,MATCH(VALUE(B4813),Client_List!$A:$A,0)),""))</f>
        <v/>
      </c>
      <c r="G4813" s="53">
        <f>IF(B4813="","",IFERROR(INDEX(Client_List!$K:$K,MATCH(VALUE(B4813),Client_List!$A:$A,0)),""))</f>
        <v/>
      </c>
      <c r="H4813" s="32">
        <f>IF(B4813="","",IFERROR(INDEX(Client_List!$J:$J,MATCH(VALUE(B4813),Client_List!$A:$A,0)),""))</f>
        <v/>
      </c>
      <c r="I4813" s="70">
        <f>IF(B4813="","",IFERROR(A4813-LOOKUP(2,1/($B$4:$B4812=B4813),$A$4:$A4812),""))</f>
        <v/>
      </c>
      <c r="J4813" s="32">
        <f>IF(B4813="","",IFERROR(D4813/I4813,""))</f>
        <v/>
      </c>
      <c r="K4813" s="71">
        <f>IF(B4813="","",IFERROR(AVERAGEIFS($J$4:$J4813,$B$4:$B4813,B4813,$J$4:$J4813,"&gt;"&amp;0),""))</f>
        <v/>
      </c>
      <c r="L4813" s="11" t="n"/>
    </row>
    <row r="4814" ht="14" customHeight="1" s="72">
      <c r="A4814" s="83" t="n"/>
      <c r="B4814" s="81" t="n"/>
      <c r="C4814" s="69">
        <f>IF(B4814="","",IFERROR(INDEX(Client_List!$B:$B,MATCH(B4814,Client_List!$A:$A,0)),"⚠ NOT FOUND"))</f>
        <v/>
      </c>
      <c r="D4814" s="45" t="n"/>
      <c r="E4814" s="32">
        <f>IF(B4814="","",IFERROR(INDEX(Client_List!$C:$C,MATCH(VALUE(B4814),Client_List!$A:$A,0)),""))</f>
        <v/>
      </c>
      <c r="F4814" s="53">
        <f>IF(B4814="","",IFERROR(INDEX(Client_List!$D:$D,MATCH(VALUE(B4814),Client_List!$A:$A,0)),""))</f>
        <v/>
      </c>
      <c r="G4814" s="53">
        <f>IF(B4814="","",IFERROR(INDEX(Client_List!$K:$K,MATCH(VALUE(B4814),Client_List!$A:$A,0)),""))</f>
        <v/>
      </c>
      <c r="H4814" s="32">
        <f>IF(B4814="","",IFERROR(INDEX(Client_List!$J:$J,MATCH(VALUE(B4814),Client_List!$A:$A,0)),""))</f>
        <v/>
      </c>
      <c r="I4814" s="70">
        <f>IF(B4814="","",IFERROR(A4814-LOOKUP(2,1/($B$4:$B4813=B4814),$A$4:$A4813),""))</f>
        <v/>
      </c>
      <c r="J4814" s="32">
        <f>IF(B4814="","",IFERROR(D4814/I4814,""))</f>
        <v/>
      </c>
      <c r="K4814" s="71">
        <f>IF(B4814="","",IFERROR(AVERAGEIFS($J$4:$J4814,$B$4:$B4814,B4814,$J$4:$J4814,"&gt;"&amp;0),""))</f>
        <v/>
      </c>
      <c r="L4814" s="12" t="n"/>
    </row>
    <row r="4815" ht="14" customHeight="1" s="72">
      <c r="A4815" s="82" t="n"/>
      <c r="B4815" s="79" t="n"/>
      <c r="C4815" s="69">
        <f>IF(B4815="","",IFERROR(INDEX(Client_List!$B:$B,MATCH(B4815,Client_List!$A:$A,0)),"⚠ NOT FOUND"))</f>
        <v/>
      </c>
      <c r="D4815" s="44" t="n"/>
      <c r="E4815" s="32">
        <f>IF(B4815="","",IFERROR(INDEX(Client_List!$C:$C,MATCH(VALUE(B4815),Client_List!$A:$A,0)),""))</f>
        <v/>
      </c>
      <c r="F4815" s="53">
        <f>IF(B4815="","",IFERROR(INDEX(Client_List!$D:$D,MATCH(VALUE(B4815),Client_List!$A:$A,0)),""))</f>
        <v/>
      </c>
      <c r="G4815" s="53">
        <f>IF(B4815="","",IFERROR(INDEX(Client_List!$K:$K,MATCH(VALUE(B4815),Client_List!$A:$A,0)),""))</f>
        <v/>
      </c>
      <c r="H4815" s="32">
        <f>IF(B4815="","",IFERROR(INDEX(Client_List!$J:$J,MATCH(VALUE(B4815),Client_List!$A:$A,0)),""))</f>
        <v/>
      </c>
      <c r="I4815" s="70">
        <f>IF(B4815="","",IFERROR(A4815-LOOKUP(2,1/($B$4:$B4814=B4815),$A$4:$A4814),""))</f>
        <v/>
      </c>
      <c r="J4815" s="32">
        <f>IF(B4815="","",IFERROR(D4815/I4815,""))</f>
        <v/>
      </c>
      <c r="K4815" s="71">
        <f>IF(B4815="","",IFERROR(AVERAGEIFS($J$4:$J4815,$B$4:$B4815,B4815,$J$4:$J4815,"&gt;"&amp;0),""))</f>
        <v/>
      </c>
      <c r="L4815" s="11" t="n"/>
    </row>
    <row r="4816" ht="14" customHeight="1" s="72">
      <c r="A4816" s="83" t="n"/>
      <c r="B4816" s="81" t="n"/>
      <c r="C4816" s="69">
        <f>IF(B4816="","",IFERROR(INDEX(Client_List!$B:$B,MATCH(B4816,Client_List!$A:$A,0)),"⚠ NOT FOUND"))</f>
        <v/>
      </c>
      <c r="D4816" s="45" t="n"/>
      <c r="E4816" s="32">
        <f>IF(B4816="","",IFERROR(INDEX(Client_List!$C:$C,MATCH(VALUE(B4816),Client_List!$A:$A,0)),""))</f>
        <v/>
      </c>
      <c r="F4816" s="53">
        <f>IF(B4816="","",IFERROR(INDEX(Client_List!$D:$D,MATCH(VALUE(B4816),Client_List!$A:$A,0)),""))</f>
        <v/>
      </c>
      <c r="G4816" s="53">
        <f>IF(B4816="","",IFERROR(INDEX(Client_List!$K:$K,MATCH(VALUE(B4816),Client_List!$A:$A,0)),""))</f>
        <v/>
      </c>
      <c r="H4816" s="32">
        <f>IF(B4816="","",IFERROR(INDEX(Client_List!$J:$J,MATCH(VALUE(B4816),Client_List!$A:$A,0)),""))</f>
        <v/>
      </c>
      <c r="I4816" s="70">
        <f>IF(B4816="","",IFERROR(A4816-LOOKUP(2,1/($B$4:$B4815=B4816),$A$4:$A4815),""))</f>
        <v/>
      </c>
      <c r="J4816" s="32">
        <f>IF(B4816="","",IFERROR(D4816/I4816,""))</f>
        <v/>
      </c>
      <c r="K4816" s="71">
        <f>IF(B4816="","",IFERROR(AVERAGEIFS($J$4:$J4816,$B$4:$B4816,B4816,$J$4:$J4816,"&gt;"&amp;0),""))</f>
        <v/>
      </c>
      <c r="L4816" s="12" t="n"/>
    </row>
    <row r="4817" ht="14" customHeight="1" s="72">
      <c r="A4817" s="82" t="n"/>
      <c r="B4817" s="79" t="n"/>
      <c r="C4817" s="69">
        <f>IF(B4817="","",IFERROR(INDEX(Client_List!$B:$B,MATCH(B4817,Client_List!$A:$A,0)),"⚠ NOT FOUND"))</f>
        <v/>
      </c>
      <c r="D4817" s="44" t="n"/>
      <c r="E4817" s="32">
        <f>IF(B4817="","",IFERROR(INDEX(Client_List!$C:$C,MATCH(VALUE(B4817),Client_List!$A:$A,0)),""))</f>
        <v/>
      </c>
      <c r="F4817" s="53">
        <f>IF(B4817="","",IFERROR(INDEX(Client_List!$D:$D,MATCH(VALUE(B4817),Client_List!$A:$A,0)),""))</f>
        <v/>
      </c>
      <c r="G4817" s="53">
        <f>IF(B4817="","",IFERROR(INDEX(Client_List!$K:$K,MATCH(VALUE(B4817),Client_List!$A:$A,0)),""))</f>
        <v/>
      </c>
      <c r="H4817" s="32">
        <f>IF(B4817="","",IFERROR(INDEX(Client_List!$J:$J,MATCH(VALUE(B4817),Client_List!$A:$A,0)),""))</f>
        <v/>
      </c>
      <c r="I4817" s="70">
        <f>IF(B4817="","",IFERROR(A4817-LOOKUP(2,1/($B$4:$B4816=B4817),$A$4:$A4816),""))</f>
        <v/>
      </c>
      <c r="J4817" s="32">
        <f>IF(B4817="","",IFERROR(D4817/I4817,""))</f>
        <v/>
      </c>
      <c r="K4817" s="71">
        <f>IF(B4817="","",IFERROR(AVERAGEIFS($J$4:$J4817,$B$4:$B4817,B4817,$J$4:$J4817,"&gt;"&amp;0),""))</f>
        <v/>
      </c>
      <c r="L4817" s="11" t="n"/>
    </row>
    <row r="4818" ht="14" customHeight="1" s="72">
      <c r="A4818" s="83" t="n"/>
      <c r="B4818" s="81" t="n"/>
      <c r="C4818" s="69">
        <f>IF(B4818="","",IFERROR(INDEX(Client_List!$B:$B,MATCH(B4818,Client_List!$A:$A,0)),"⚠ NOT FOUND"))</f>
        <v/>
      </c>
      <c r="D4818" s="45" t="n"/>
      <c r="E4818" s="32">
        <f>IF(B4818="","",IFERROR(INDEX(Client_List!$C:$C,MATCH(VALUE(B4818),Client_List!$A:$A,0)),""))</f>
        <v/>
      </c>
      <c r="F4818" s="53">
        <f>IF(B4818="","",IFERROR(INDEX(Client_List!$D:$D,MATCH(VALUE(B4818),Client_List!$A:$A,0)),""))</f>
        <v/>
      </c>
      <c r="G4818" s="53">
        <f>IF(B4818="","",IFERROR(INDEX(Client_List!$K:$K,MATCH(VALUE(B4818),Client_List!$A:$A,0)),""))</f>
        <v/>
      </c>
      <c r="H4818" s="32">
        <f>IF(B4818="","",IFERROR(INDEX(Client_List!$J:$J,MATCH(VALUE(B4818),Client_List!$A:$A,0)),""))</f>
        <v/>
      </c>
      <c r="I4818" s="70">
        <f>IF(B4818="","",IFERROR(A4818-LOOKUP(2,1/($B$4:$B4817=B4818),$A$4:$A4817),""))</f>
        <v/>
      </c>
      <c r="J4818" s="32">
        <f>IF(B4818="","",IFERROR(D4818/I4818,""))</f>
        <v/>
      </c>
      <c r="K4818" s="71">
        <f>IF(B4818="","",IFERROR(AVERAGEIFS($J$4:$J4818,$B$4:$B4818,B4818,$J$4:$J4818,"&gt;"&amp;0),""))</f>
        <v/>
      </c>
      <c r="L4818" s="12" t="n"/>
    </row>
    <row r="4819" ht="14" customHeight="1" s="72">
      <c r="A4819" s="82" t="n"/>
      <c r="B4819" s="79" t="n"/>
      <c r="C4819" s="69">
        <f>IF(B4819="","",IFERROR(INDEX(Client_List!$B:$B,MATCH(B4819,Client_List!$A:$A,0)),"⚠ NOT FOUND"))</f>
        <v/>
      </c>
      <c r="D4819" s="44" t="n"/>
      <c r="E4819" s="32">
        <f>IF(B4819="","",IFERROR(INDEX(Client_List!$C:$C,MATCH(VALUE(B4819),Client_List!$A:$A,0)),""))</f>
        <v/>
      </c>
      <c r="F4819" s="53">
        <f>IF(B4819="","",IFERROR(INDEX(Client_List!$D:$D,MATCH(VALUE(B4819),Client_List!$A:$A,0)),""))</f>
        <v/>
      </c>
      <c r="G4819" s="53">
        <f>IF(B4819="","",IFERROR(INDEX(Client_List!$K:$K,MATCH(VALUE(B4819),Client_List!$A:$A,0)),""))</f>
        <v/>
      </c>
      <c r="H4819" s="32">
        <f>IF(B4819="","",IFERROR(INDEX(Client_List!$J:$J,MATCH(VALUE(B4819),Client_List!$A:$A,0)),""))</f>
        <v/>
      </c>
      <c r="I4819" s="70">
        <f>IF(B4819="","",IFERROR(A4819-LOOKUP(2,1/($B$4:$B4818=B4819),$A$4:$A4818),""))</f>
        <v/>
      </c>
      <c r="J4819" s="32">
        <f>IF(B4819="","",IFERROR(D4819/I4819,""))</f>
        <v/>
      </c>
      <c r="K4819" s="71">
        <f>IF(B4819="","",IFERROR(AVERAGEIFS($J$4:$J4819,$B$4:$B4819,B4819,$J$4:$J4819,"&gt;"&amp;0),""))</f>
        <v/>
      </c>
      <c r="L4819" s="11" t="n"/>
    </row>
    <row r="4820" ht="14" customHeight="1" s="72">
      <c r="A4820" s="83" t="n"/>
      <c r="B4820" s="81" t="n"/>
      <c r="C4820" s="69">
        <f>IF(B4820="","",IFERROR(INDEX(Client_List!$B:$B,MATCH(B4820,Client_List!$A:$A,0)),"⚠ NOT FOUND"))</f>
        <v/>
      </c>
      <c r="D4820" s="45" t="n"/>
      <c r="E4820" s="32">
        <f>IF(B4820="","",IFERROR(INDEX(Client_List!$C:$C,MATCH(VALUE(B4820),Client_List!$A:$A,0)),""))</f>
        <v/>
      </c>
      <c r="F4820" s="53">
        <f>IF(B4820="","",IFERROR(INDEX(Client_List!$D:$D,MATCH(VALUE(B4820),Client_List!$A:$A,0)),""))</f>
        <v/>
      </c>
      <c r="G4820" s="53">
        <f>IF(B4820="","",IFERROR(INDEX(Client_List!$K:$K,MATCH(VALUE(B4820),Client_List!$A:$A,0)),""))</f>
        <v/>
      </c>
      <c r="H4820" s="32">
        <f>IF(B4820="","",IFERROR(INDEX(Client_List!$J:$J,MATCH(VALUE(B4820),Client_List!$A:$A,0)),""))</f>
        <v/>
      </c>
      <c r="I4820" s="70">
        <f>IF(B4820="","",IFERROR(A4820-LOOKUP(2,1/($B$4:$B4819=B4820),$A$4:$A4819),""))</f>
        <v/>
      </c>
      <c r="J4820" s="32">
        <f>IF(B4820="","",IFERROR(D4820/I4820,""))</f>
        <v/>
      </c>
      <c r="K4820" s="71">
        <f>IF(B4820="","",IFERROR(AVERAGEIFS($J$4:$J4820,$B$4:$B4820,B4820,$J$4:$J4820,"&gt;"&amp;0),""))</f>
        <v/>
      </c>
      <c r="L4820" s="12" t="n"/>
    </row>
    <row r="4821" ht="14" customHeight="1" s="72">
      <c r="A4821" s="82" t="n"/>
      <c r="B4821" s="79" t="n"/>
      <c r="C4821" s="69">
        <f>IF(B4821="","",IFERROR(INDEX(Client_List!$B:$B,MATCH(B4821,Client_List!$A:$A,0)),"⚠ NOT FOUND"))</f>
        <v/>
      </c>
      <c r="D4821" s="44" t="n"/>
      <c r="E4821" s="32">
        <f>IF(B4821="","",IFERROR(INDEX(Client_List!$C:$C,MATCH(VALUE(B4821),Client_List!$A:$A,0)),""))</f>
        <v/>
      </c>
      <c r="F4821" s="53">
        <f>IF(B4821="","",IFERROR(INDEX(Client_List!$D:$D,MATCH(VALUE(B4821),Client_List!$A:$A,0)),""))</f>
        <v/>
      </c>
      <c r="G4821" s="53">
        <f>IF(B4821="","",IFERROR(INDEX(Client_List!$K:$K,MATCH(VALUE(B4821),Client_List!$A:$A,0)),""))</f>
        <v/>
      </c>
      <c r="H4821" s="32">
        <f>IF(B4821="","",IFERROR(INDEX(Client_List!$J:$J,MATCH(VALUE(B4821),Client_List!$A:$A,0)),""))</f>
        <v/>
      </c>
      <c r="I4821" s="70">
        <f>IF(B4821="","",IFERROR(A4821-LOOKUP(2,1/($B$4:$B4820=B4821),$A$4:$A4820),""))</f>
        <v/>
      </c>
      <c r="J4821" s="32">
        <f>IF(B4821="","",IFERROR(D4821/I4821,""))</f>
        <v/>
      </c>
      <c r="K4821" s="71">
        <f>IF(B4821="","",IFERROR(AVERAGEIFS($J$4:$J4821,$B$4:$B4821,B4821,$J$4:$J4821,"&gt;"&amp;0),""))</f>
        <v/>
      </c>
      <c r="L4821" s="11" t="n"/>
    </row>
    <row r="4822" ht="14" customHeight="1" s="72">
      <c r="A4822" s="83" t="n"/>
      <c r="B4822" s="81" t="n"/>
      <c r="C4822" s="69">
        <f>IF(B4822="","",IFERROR(INDEX(Client_List!$B:$B,MATCH(B4822,Client_List!$A:$A,0)),"⚠ NOT FOUND"))</f>
        <v/>
      </c>
      <c r="D4822" s="45" t="n"/>
      <c r="E4822" s="32">
        <f>IF(B4822="","",IFERROR(INDEX(Client_List!$C:$C,MATCH(VALUE(B4822),Client_List!$A:$A,0)),""))</f>
        <v/>
      </c>
      <c r="F4822" s="53">
        <f>IF(B4822="","",IFERROR(INDEX(Client_List!$D:$D,MATCH(VALUE(B4822),Client_List!$A:$A,0)),""))</f>
        <v/>
      </c>
      <c r="G4822" s="53">
        <f>IF(B4822="","",IFERROR(INDEX(Client_List!$K:$K,MATCH(VALUE(B4822),Client_List!$A:$A,0)),""))</f>
        <v/>
      </c>
      <c r="H4822" s="32">
        <f>IF(B4822="","",IFERROR(INDEX(Client_List!$J:$J,MATCH(VALUE(B4822),Client_List!$A:$A,0)),""))</f>
        <v/>
      </c>
      <c r="I4822" s="70">
        <f>IF(B4822="","",IFERROR(A4822-LOOKUP(2,1/($B$4:$B4821=B4822),$A$4:$A4821),""))</f>
        <v/>
      </c>
      <c r="J4822" s="32">
        <f>IF(B4822="","",IFERROR(D4822/I4822,""))</f>
        <v/>
      </c>
      <c r="K4822" s="71">
        <f>IF(B4822="","",IFERROR(AVERAGEIFS($J$4:$J4822,$B$4:$B4822,B4822,$J$4:$J4822,"&gt;"&amp;0),""))</f>
        <v/>
      </c>
      <c r="L4822" s="12" t="n"/>
    </row>
    <row r="4823" ht="14" customHeight="1" s="72">
      <c r="A4823" s="82" t="n"/>
      <c r="B4823" s="79" t="n"/>
      <c r="C4823" s="69">
        <f>IF(B4823="","",IFERROR(INDEX(Client_List!$B:$B,MATCH(B4823,Client_List!$A:$A,0)),"⚠ NOT FOUND"))</f>
        <v/>
      </c>
      <c r="D4823" s="44" t="n"/>
      <c r="E4823" s="32">
        <f>IF(B4823="","",IFERROR(INDEX(Client_List!$C:$C,MATCH(VALUE(B4823),Client_List!$A:$A,0)),""))</f>
        <v/>
      </c>
      <c r="F4823" s="53">
        <f>IF(B4823="","",IFERROR(INDEX(Client_List!$D:$D,MATCH(VALUE(B4823),Client_List!$A:$A,0)),""))</f>
        <v/>
      </c>
      <c r="G4823" s="53">
        <f>IF(B4823="","",IFERROR(INDEX(Client_List!$K:$K,MATCH(VALUE(B4823),Client_List!$A:$A,0)),""))</f>
        <v/>
      </c>
      <c r="H4823" s="32">
        <f>IF(B4823="","",IFERROR(INDEX(Client_List!$J:$J,MATCH(VALUE(B4823),Client_List!$A:$A,0)),""))</f>
        <v/>
      </c>
      <c r="I4823" s="70">
        <f>IF(B4823="","",IFERROR(A4823-LOOKUP(2,1/($B$4:$B4822=B4823),$A$4:$A4822),""))</f>
        <v/>
      </c>
      <c r="J4823" s="32">
        <f>IF(B4823="","",IFERROR(D4823/I4823,""))</f>
        <v/>
      </c>
      <c r="K4823" s="71">
        <f>IF(B4823="","",IFERROR(AVERAGEIFS($J$4:$J4823,$B$4:$B4823,B4823,$J$4:$J4823,"&gt;"&amp;0),""))</f>
        <v/>
      </c>
      <c r="L4823" s="11" t="n"/>
    </row>
    <row r="4824" ht="14" customHeight="1" s="72">
      <c r="A4824" s="83" t="n"/>
      <c r="B4824" s="81" t="n"/>
      <c r="C4824" s="69">
        <f>IF(B4824="","",IFERROR(INDEX(Client_List!$B:$B,MATCH(B4824,Client_List!$A:$A,0)),"⚠ NOT FOUND"))</f>
        <v/>
      </c>
      <c r="D4824" s="45" t="n"/>
      <c r="E4824" s="32">
        <f>IF(B4824="","",IFERROR(INDEX(Client_List!$C:$C,MATCH(VALUE(B4824),Client_List!$A:$A,0)),""))</f>
        <v/>
      </c>
      <c r="F4824" s="53">
        <f>IF(B4824="","",IFERROR(INDEX(Client_List!$D:$D,MATCH(VALUE(B4824),Client_List!$A:$A,0)),""))</f>
        <v/>
      </c>
      <c r="G4824" s="53">
        <f>IF(B4824="","",IFERROR(INDEX(Client_List!$K:$K,MATCH(VALUE(B4824),Client_List!$A:$A,0)),""))</f>
        <v/>
      </c>
      <c r="H4824" s="32">
        <f>IF(B4824="","",IFERROR(INDEX(Client_List!$J:$J,MATCH(VALUE(B4824),Client_List!$A:$A,0)),""))</f>
        <v/>
      </c>
      <c r="I4824" s="70">
        <f>IF(B4824="","",IFERROR(A4824-LOOKUP(2,1/($B$4:$B4823=B4824),$A$4:$A4823),""))</f>
        <v/>
      </c>
      <c r="J4824" s="32">
        <f>IF(B4824="","",IFERROR(D4824/I4824,""))</f>
        <v/>
      </c>
      <c r="K4824" s="71">
        <f>IF(B4824="","",IFERROR(AVERAGEIFS($J$4:$J4824,$B$4:$B4824,B4824,$J$4:$J4824,"&gt;"&amp;0),""))</f>
        <v/>
      </c>
      <c r="L4824" s="12" t="n"/>
    </row>
    <row r="4825" ht="14" customHeight="1" s="72">
      <c r="A4825" s="82" t="n"/>
      <c r="B4825" s="79" t="n"/>
      <c r="C4825" s="69">
        <f>IF(B4825="","",IFERROR(INDEX(Client_List!$B:$B,MATCH(B4825,Client_List!$A:$A,0)),"⚠ NOT FOUND"))</f>
        <v/>
      </c>
      <c r="D4825" s="44" t="n"/>
      <c r="E4825" s="32">
        <f>IF(B4825="","",IFERROR(INDEX(Client_List!$C:$C,MATCH(VALUE(B4825),Client_List!$A:$A,0)),""))</f>
        <v/>
      </c>
      <c r="F4825" s="53">
        <f>IF(B4825="","",IFERROR(INDEX(Client_List!$D:$D,MATCH(VALUE(B4825),Client_List!$A:$A,0)),""))</f>
        <v/>
      </c>
      <c r="G4825" s="53">
        <f>IF(B4825="","",IFERROR(INDEX(Client_List!$K:$K,MATCH(VALUE(B4825),Client_List!$A:$A,0)),""))</f>
        <v/>
      </c>
      <c r="H4825" s="32">
        <f>IF(B4825="","",IFERROR(INDEX(Client_List!$J:$J,MATCH(VALUE(B4825),Client_List!$A:$A,0)),""))</f>
        <v/>
      </c>
      <c r="I4825" s="70">
        <f>IF(B4825="","",IFERROR(A4825-LOOKUP(2,1/($B$4:$B4824=B4825),$A$4:$A4824),""))</f>
        <v/>
      </c>
      <c r="J4825" s="32">
        <f>IF(B4825="","",IFERROR(D4825/I4825,""))</f>
        <v/>
      </c>
      <c r="K4825" s="71">
        <f>IF(B4825="","",IFERROR(AVERAGEIFS($J$4:$J4825,$B$4:$B4825,B4825,$J$4:$J4825,"&gt;"&amp;0),""))</f>
        <v/>
      </c>
      <c r="L4825" s="11" t="n"/>
    </row>
    <row r="4826" ht="14" customHeight="1" s="72">
      <c r="A4826" s="83" t="n"/>
      <c r="B4826" s="81" t="n"/>
      <c r="C4826" s="69">
        <f>IF(B4826="","",IFERROR(INDEX(Client_List!$B:$B,MATCH(B4826,Client_List!$A:$A,0)),"⚠ NOT FOUND"))</f>
        <v/>
      </c>
      <c r="D4826" s="45" t="n"/>
      <c r="E4826" s="32">
        <f>IF(B4826="","",IFERROR(INDEX(Client_List!$C:$C,MATCH(VALUE(B4826),Client_List!$A:$A,0)),""))</f>
        <v/>
      </c>
      <c r="F4826" s="53">
        <f>IF(B4826="","",IFERROR(INDEX(Client_List!$D:$D,MATCH(VALUE(B4826),Client_List!$A:$A,0)),""))</f>
        <v/>
      </c>
      <c r="G4826" s="53">
        <f>IF(B4826="","",IFERROR(INDEX(Client_List!$K:$K,MATCH(VALUE(B4826),Client_List!$A:$A,0)),""))</f>
        <v/>
      </c>
      <c r="H4826" s="32">
        <f>IF(B4826="","",IFERROR(INDEX(Client_List!$J:$J,MATCH(VALUE(B4826),Client_List!$A:$A,0)),""))</f>
        <v/>
      </c>
      <c r="I4826" s="70">
        <f>IF(B4826="","",IFERROR(A4826-LOOKUP(2,1/($B$4:$B4825=B4826),$A$4:$A4825),""))</f>
        <v/>
      </c>
      <c r="J4826" s="32">
        <f>IF(B4826="","",IFERROR(D4826/I4826,""))</f>
        <v/>
      </c>
      <c r="K4826" s="71">
        <f>IF(B4826="","",IFERROR(AVERAGEIFS($J$4:$J4826,$B$4:$B4826,B4826,$J$4:$J4826,"&gt;"&amp;0),""))</f>
        <v/>
      </c>
      <c r="L4826" s="12" t="n"/>
    </row>
    <row r="4827" ht="14" customHeight="1" s="72">
      <c r="A4827" s="82" t="n"/>
      <c r="B4827" s="79" t="n"/>
      <c r="C4827" s="69">
        <f>IF(B4827="","",IFERROR(INDEX(Client_List!$B:$B,MATCH(B4827,Client_List!$A:$A,0)),"⚠ NOT FOUND"))</f>
        <v/>
      </c>
      <c r="D4827" s="44" t="n"/>
      <c r="E4827" s="32">
        <f>IF(B4827="","",IFERROR(INDEX(Client_List!$C:$C,MATCH(VALUE(B4827),Client_List!$A:$A,0)),""))</f>
        <v/>
      </c>
      <c r="F4827" s="53">
        <f>IF(B4827="","",IFERROR(INDEX(Client_List!$D:$D,MATCH(VALUE(B4827),Client_List!$A:$A,0)),""))</f>
        <v/>
      </c>
      <c r="G4827" s="53">
        <f>IF(B4827="","",IFERROR(INDEX(Client_List!$K:$K,MATCH(VALUE(B4827),Client_List!$A:$A,0)),""))</f>
        <v/>
      </c>
      <c r="H4827" s="32">
        <f>IF(B4827="","",IFERROR(INDEX(Client_List!$J:$J,MATCH(VALUE(B4827),Client_List!$A:$A,0)),""))</f>
        <v/>
      </c>
      <c r="I4827" s="70">
        <f>IF(B4827="","",IFERROR(A4827-LOOKUP(2,1/($B$4:$B4826=B4827),$A$4:$A4826),""))</f>
        <v/>
      </c>
      <c r="J4827" s="32">
        <f>IF(B4827="","",IFERROR(D4827/I4827,""))</f>
        <v/>
      </c>
      <c r="K4827" s="71">
        <f>IF(B4827="","",IFERROR(AVERAGEIFS($J$4:$J4827,$B$4:$B4827,B4827,$J$4:$J4827,"&gt;"&amp;0),""))</f>
        <v/>
      </c>
      <c r="L4827" s="11" t="n"/>
    </row>
    <row r="4828" ht="14" customHeight="1" s="72">
      <c r="A4828" s="83" t="n"/>
      <c r="B4828" s="81" t="n"/>
      <c r="C4828" s="69">
        <f>IF(B4828="","",IFERROR(INDEX(Client_List!$B:$B,MATCH(B4828,Client_List!$A:$A,0)),"⚠ NOT FOUND"))</f>
        <v/>
      </c>
      <c r="D4828" s="45" t="n"/>
      <c r="E4828" s="32">
        <f>IF(B4828="","",IFERROR(INDEX(Client_List!$C:$C,MATCH(VALUE(B4828),Client_List!$A:$A,0)),""))</f>
        <v/>
      </c>
      <c r="F4828" s="53">
        <f>IF(B4828="","",IFERROR(INDEX(Client_List!$D:$D,MATCH(VALUE(B4828),Client_List!$A:$A,0)),""))</f>
        <v/>
      </c>
      <c r="G4828" s="53">
        <f>IF(B4828="","",IFERROR(INDEX(Client_List!$K:$K,MATCH(VALUE(B4828),Client_List!$A:$A,0)),""))</f>
        <v/>
      </c>
      <c r="H4828" s="32">
        <f>IF(B4828="","",IFERROR(INDEX(Client_List!$J:$J,MATCH(VALUE(B4828),Client_List!$A:$A,0)),""))</f>
        <v/>
      </c>
      <c r="I4828" s="70">
        <f>IF(B4828="","",IFERROR(A4828-LOOKUP(2,1/($B$4:$B4827=B4828),$A$4:$A4827),""))</f>
        <v/>
      </c>
      <c r="J4828" s="32">
        <f>IF(B4828="","",IFERROR(D4828/I4828,""))</f>
        <v/>
      </c>
      <c r="K4828" s="71">
        <f>IF(B4828="","",IFERROR(AVERAGEIFS($J$4:$J4828,$B$4:$B4828,B4828,$J$4:$J4828,"&gt;"&amp;0),""))</f>
        <v/>
      </c>
      <c r="L4828" s="12" t="n"/>
    </row>
    <row r="4829" ht="14" customHeight="1" s="72">
      <c r="A4829" s="82" t="n"/>
      <c r="B4829" s="79" t="n"/>
      <c r="C4829" s="69">
        <f>IF(B4829="","",IFERROR(INDEX(Client_List!$B:$B,MATCH(B4829,Client_List!$A:$A,0)),"⚠ NOT FOUND"))</f>
        <v/>
      </c>
      <c r="D4829" s="44" t="n"/>
      <c r="E4829" s="32">
        <f>IF(B4829="","",IFERROR(INDEX(Client_List!$C:$C,MATCH(VALUE(B4829),Client_List!$A:$A,0)),""))</f>
        <v/>
      </c>
      <c r="F4829" s="53">
        <f>IF(B4829="","",IFERROR(INDEX(Client_List!$D:$D,MATCH(VALUE(B4829),Client_List!$A:$A,0)),""))</f>
        <v/>
      </c>
      <c r="G4829" s="53">
        <f>IF(B4829="","",IFERROR(INDEX(Client_List!$K:$K,MATCH(VALUE(B4829),Client_List!$A:$A,0)),""))</f>
        <v/>
      </c>
      <c r="H4829" s="32">
        <f>IF(B4829="","",IFERROR(INDEX(Client_List!$J:$J,MATCH(VALUE(B4829),Client_List!$A:$A,0)),""))</f>
        <v/>
      </c>
      <c r="I4829" s="70">
        <f>IF(B4829="","",IFERROR(A4829-LOOKUP(2,1/($B$4:$B4828=B4829),$A$4:$A4828),""))</f>
        <v/>
      </c>
      <c r="J4829" s="32">
        <f>IF(B4829="","",IFERROR(D4829/I4829,""))</f>
        <v/>
      </c>
      <c r="K4829" s="71">
        <f>IF(B4829="","",IFERROR(AVERAGEIFS($J$4:$J4829,$B$4:$B4829,B4829,$J$4:$J4829,"&gt;"&amp;0),""))</f>
        <v/>
      </c>
      <c r="L4829" s="11" t="n"/>
    </row>
    <row r="4830" ht="14" customHeight="1" s="72">
      <c r="A4830" s="83" t="n"/>
      <c r="B4830" s="81" t="n"/>
      <c r="C4830" s="69">
        <f>IF(B4830="","",IFERROR(INDEX(Client_List!$B:$B,MATCH(B4830,Client_List!$A:$A,0)),"⚠ NOT FOUND"))</f>
        <v/>
      </c>
      <c r="D4830" s="45" t="n"/>
      <c r="E4830" s="32">
        <f>IF(B4830="","",IFERROR(INDEX(Client_List!$C:$C,MATCH(VALUE(B4830),Client_List!$A:$A,0)),""))</f>
        <v/>
      </c>
      <c r="F4830" s="53">
        <f>IF(B4830="","",IFERROR(INDEX(Client_List!$D:$D,MATCH(VALUE(B4830),Client_List!$A:$A,0)),""))</f>
        <v/>
      </c>
      <c r="G4830" s="53">
        <f>IF(B4830="","",IFERROR(INDEX(Client_List!$K:$K,MATCH(VALUE(B4830),Client_List!$A:$A,0)),""))</f>
        <v/>
      </c>
      <c r="H4830" s="32">
        <f>IF(B4830="","",IFERROR(INDEX(Client_List!$J:$J,MATCH(VALUE(B4830),Client_List!$A:$A,0)),""))</f>
        <v/>
      </c>
      <c r="I4830" s="70">
        <f>IF(B4830="","",IFERROR(A4830-LOOKUP(2,1/($B$4:$B4829=B4830),$A$4:$A4829),""))</f>
        <v/>
      </c>
      <c r="J4830" s="32">
        <f>IF(B4830="","",IFERROR(D4830/I4830,""))</f>
        <v/>
      </c>
      <c r="K4830" s="71">
        <f>IF(B4830="","",IFERROR(AVERAGEIFS($J$4:$J4830,$B$4:$B4830,B4830,$J$4:$J4830,"&gt;"&amp;0),""))</f>
        <v/>
      </c>
      <c r="L4830" s="12" t="n"/>
    </row>
    <row r="4831" ht="14" customHeight="1" s="72">
      <c r="A4831" s="82" t="n"/>
      <c r="B4831" s="79" t="n"/>
      <c r="C4831" s="69">
        <f>IF(B4831="","",IFERROR(INDEX(Client_List!$B:$B,MATCH(B4831,Client_List!$A:$A,0)),"⚠ NOT FOUND"))</f>
        <v/>
      </c>
      <c r="D4831" s="44" t="n"/>
      <c r="E4831" s="32">
        <f>IF(B4831="","",IFERROR(INDEX(Client_List!$C:$C,MATCH(VALUE(B4831),Client_List!$A:$A,0)),""))</f>
        <v/>
      </c>
      <c r="F4831" s="53">
        <f>IF(B4831="","",IFERROR(INDEX(Client_List!$D:$D,MATCH(VALUE(B4831),Client_List!$A:$A,0)),""))</f>
        <v/>
      </c>
      <c r="G4831" s="53">
        <f>IF(B4831="","",IFERROR(INDEX(Client_List!$K:$K,MATCH(VALUE(B4831),Client_List!$A:$A,0)),""))</f>
        <v/>
      </c>
      <c r="H4831" s="32">
        <f>IF(B4831="","",IFERROR(INDEX(Client_List!$J:$J,MATCH(VALUE(B4831),Client_List!$A:$A,0)),""))</f>
        <v/>
      </c>
      <c r="I4831" s="70">
        <f>IF(B4831="","",IFERROR(A4831-LOOKUP(2,1/($B$4:$B4830=B4831),$A$4:$A4830),""))</f>
        <v/>
      </c>
      <c r="J4831" s="32">
        <f>IF(B4831="","",IFERROR(D4831/I4831,""))</f>
        <v/>
      </c>
      <c r="K4831" s="71">
        <f>IF(B4831="","",IFERROR(AVERAGEIFS($J$4:$J4831,$B$4:$B4831,B4831,$J$4:$J4831,"&gt;"&amp;0),""))</f>
        <v/>
      </c>
      <c r="L4831" s="11" t="n"/>
    </row>
    <row r="4832" ht="14" customHeight="1" s="72">
      <c r="A4832" s="83" t="n"/>
      <c r="B4832" s="81" t="n"/>
      <c r="C4832" s="69">
        <f>IF(B4832="","",IFERROR(INDEX(Client_List!$B:$B,MATCH(B4832,Client_List!$A:$A,0)),"⚠ NOT FOUND"))</f>
        <v/>
      </c>
      <c r="D4832" s="45" t="n"/>
      <c r="E4832" s="32">
        <f>IF(B4832="","",IFERROR(INDEX(Client_List!$C:$C,MATCH(VALUE(B4832),Client_List!$A:$A,0)),""))</f>
        <v/>
      </c>
      <c r="F4832" s="53">
        <f>IF(B4832="","",IFERROR(INDEX(Client_List!$D:$D,MATCH(VALUE(B4832),Client_List!$A:$A,0)),""))</f>
        <v/>
      </c>
      <c r="G4832" s="53">
        <f>IF(B4832="","",IFERROR(INDEX(Client_List!$K:$K,MATCH(VALUE(B4832),Client_List!$A:$A,0)),""))</f>
        <v/>
      </c>
      <c r="H4832" s="32">
        <f>IF(B4832="","",IFERROR(INDEX(Client_List!$J:$J,MATCH(VALUE(B4832),Client_List!$A:$A,0)),""))</f>
        <v/>
      </c>
      <c r="I4832" s="70">
        <f>IF(B4832="","",IFERROR(A4832-LOOKUP(2,1/($B$4:$B4831=B4832),$A$4:$A4831),""))</f>
        <v/>
      </c>
      <c r="J4832" s="32">
        <f>IF(B4832="","",IFERROR(D4832/I4832,""))</f>
        <v/>
      </c>
      <c r="K4832" s="71">
        <f>IF(B4832="","",IFERROR(AVERAGEIFS($J$4:$J4832,$B$4:$B4832,B4832,$J$4:$J4832,"&gt;"&amp;0),""))</f>
        <v/>
      </c>
      <c r="L4832" s="12" t="n"/>
    </row>
    <row r="4833" ht="14" customHeight="1" s="72">
      <c r="A4833" s="82" t="n"/>
      <c r="B4833" s="79" t="n"/>
      <c r="C4833" s="69">
        <f>IF(B4833="","",IFERROR(INDEX(Client_List!$B:$B,MATCH(B4833,Client_List!$A:$A,0)),"⚠ NOT FOUND"))</f>
        <v/>
      </c>
      <c r="D4833" s="44" t="n"/>
      <c r="E4833" s="32">
        <f>IF(B4833="","",IFERROR(INDEX(Client_List!$C:$C,MATCH(VALUE(B4833),Client_List!$A:$A,0)),""))</f>
        <v/>
      </c>
      <c r="F4833" s="53">
        <f>IF(B4833="","",IFERROR(INDEX(Client_List!$D:$D,MATCH(VALUE(B4833),Client_List!$A:$A,0)),""))</f>
        <v/>
      </c>
      <c r="G4833" s="53">
        <f>IF(B4833="","",IFERROR(INDEX(Client_List!$K:$K,MATCH(VALUE(B4833),Client_List!$A:$A,0)),""))</f>
        <v/>
      </c>
      <c r="H4833" s="32">
        <f>IF(B4833="","",IFERROR(INDEX(Client_List!$J:$J,MATCH(VALUE(B4833),Client_List!$A:$A,0)),""))</f>
        <v/>
      </c>
      <c r="I4833" s="70">
        <f>IF(B4833="","",IFERROR(A4833-LOOKUP(2,1/($B$4:$B4832=B4833),$A$4:$A4832),""))</f>
        <v/>
      </c>
      <c r="J4833" s="32">
        <f>IF(B4833="","",IFERROR(D4833/I4833,""))</f>
        <v/>
      </c>
      <c r="K4833" s="71">
        <f>IF(B4833="","",IFERROR(AVERAGEIFS($J$4:$J4833,$B$4:$B4833,B4833,$J$4:$J4833,"&gt;"&amp;0),""))</f>
        <v/>
      </c>
      <c r="L4833" s="11" t="n"/>
    </row>
    <row r="4834" ht="14" customHeight="1" s="72">
      <c r="A4834" s="83" t="n"/>
      <c r="B4834" s="81" t="n"/>
      <c r="C4834" s="69">
        <f>IF(B4834="","",IFERROR(INDEX(Client_List!$B:$B,MATCH(B4834,Client_List!$A:$A,0)),"⚠ NOT FOUND"))</f>
        <v/>
      </c>
      <c r="D4834" s="45" t="n"/>
      <c r="E4834" s="32">
        <f>IF(B4834="","",IFERROR(INDEX(Client_List!$C:$C,MATCH(VALUE(B4834),Client_List!$A:$A,0)),""))</f>
        <v/>
      </c>
      <c r="F4834" s="53">
        <f>IF(B4834="","",IFERROR(INDEX(Client_List!$D:$D,MATCH(VALUE(B4834),Client_List!$A:$A,0)),""))</f>
        <v/>
      </c>
      <c r="G4834" s="53">
        <f>IF(B4834="","",IFERROR(INDEX(Client_List!$K:$K,MATCH(VALUE(B4834),Client_List!$A:$A,0)),""))</f>
        <v/>
      </c>
      <c r="H4834" s="32">
        <f>IF(B4834="","",IFERROR(INDEX(Client_List!$J:$J,MATCH(VALUE(B4834),Client_List!$A:$A,0)),""))</f>
        <v/>
      </c>
      <c r="I4834" s="70">
        <f>IF(B4834="","",IFERROR(A4834-LOOKUP(2,1/($B$4:$B4833=B4834),$A$4:$A4833),""))</f>
        <v/>
      </c>
      <c r="J4834" s="32">
        <f>IF(B4834="","",IFERROR(D4834/I4834,""))</f>
        <v/>
      </c>
      <c r="K4834" s="71">
        <f>IF(B4834="","",IFERROR(AVERAGEIFS($J$4:$J4834,$B$4:$B4834,B4834,$J$4:$J4834,"&gt;"&amp;0),""))</f>
        <v/>
      </c>
      <c r="L4834" s="12" t="n"/>
    </row>
    <row r="4835" ht="14" customHeight="1" s="72">
      <c r="A4835" s="82" t="n"/>
      <c r="B4835" s="79" t="n"/>
      <c r="C4835" s="69">
        <f>IF(B4835="","",IFERROR(INDEX(Client_List!$B:$B,MATCH(B4835,Client_List!$A:$A,0)),"⚠ NOT FOUND"))</f>
        <v/>
      </c>
      <c r="D4835" s="44" t="n"/>
      <c r="E4835" s="32">
        <f>IF(B4835="","",IFERROR(INDEX(Client_List!$C:$C,MATCH(VALUE(B4835),Client_List!$A:$A,0)),""))</f>
        <v/>
      </c>
      <c r="F4835" s="53">
        <f>IF(B4835="","",IFERROR(INDEX(Client_List!$D:$D,MATCH(VALUE(B4835),Client_List!$A:$A,0)),""))</f>
        <v/>
      </c>
      <c r="G4835" s="53">
        <f>IF(B4835="","",IFERROR(INDEX(Client_List!$K:$K,MATCH(VALUE(B4835),Client_List!$A:$A,0)),""))</f>
        <v/>
      </c>
      <c r="H4835" s="32">
        <f>IF(B4835="","",IFERROR(INDEX(Client_List!$J:$J,MATCH(VALUE(B4835),Client_List!$A:$A,0)),""))</f>
        <v/>
      </c>
      <c r="I4835" s="70">
        <f>IF(B4835="","",IFERROR(A4835-LOOKUP(2,1/($B$4:$B4834=B4835),$A$4:$A4834),""))</f>
        <v/>
      </c>
      <c r="J4835" s="32">
        <f>IF(B4835="","",IFERROR(D4835/I4835,""))</f>
        <v/>
      </c>
      <c r="K4835" s="71">
        <f>IF(B4835="","",IFERROR(AVERAGEIFS($J$4:$J4835,$B$4:$B4835,B4835,$J$4:$J4835,"&gt;"&amp;0),""))</f>
        <v/>
      </c>
      <c r="L4835" s="11" t="n"/>
    </row>
    <row r="4836" ht="14" customHeight="1" s="72">
      <c r="A4836" s="83" t="n"/>
      <c r="B4836" s="81" t="n"/>
      <c r="C4836" s="69">
        <f>IF(B4836="","",IFERROR(INDEX(Client_List!$B:$B,MATCH(B4836,Client_List!$A:$A,0)),"⚠ NOT FOUND"))</f>
        <v/>
      </c>
      <c r="D4836" s="45" t="n"/>
      <c r="E4836" s="32">
        <f>IF(B4836="","",IFERROR(INDEX(Client_List!$C:$C,MATCH(VALUE(B4836),Client_List!$A:$A,0)),""))</f>
        <v/>
      </c>
      <c r="F4836" s="53">
        <f>IF(B4836="","",IFERROR(INDEX(Client_List!$D:$D,MATCH(VALUE(B4836),Client_List!$A:$A,0)),""))</f>
        <v/>
      </c>
      <c r="G4836" s="53">
        <f>IF(B4836="","",IFERROR(INDEX(Client_List!$K:$K,MATCH(VALUE(B4836),Client_List!$A:$A,0)),""))</f>
        <v/>
      </c>
      <c r="H4836" s="32">
        <f>IF(B4836="","",IFERROR(INDEX(Client_List!$J:$J,MATCH(VALUE(B4836),Client_List!$A:$A,0)),""))</f>
        <v/>
      </c>
      <c r="I4836" s="70">
        <f>IF(B4836="","",IFERROR(A4836-LOOKUP(2,1/($B$4:$B4835=B4836),$A$4:$A4835),""))</f>
        <v/>
      </c>
      <c r="J4836" s="32">
        <f>IF(B4836="","",IFERROR(D4836/I4836,""))</f>
        <v/>
      </c>
      <c r="K4836" s="71">
        <f>IF(B4836="","",IFERROR(AVERAGEIFS($J$4:$J4836,$B$4:$B4836,B4836,$J$4:$J4836,"&gt;"&amp;0),""))</f>
        <v/>
      </c>
      <c r="L4836" s="12" t="n"/>
    </row>
    <row r="4837" ht="14" customHeight="1" s="72">
      <c r="A4837" s="82" t="n"/>
      <c r="B4837" s="79" t="n"/>
      <c r="C4837" s="69">
        <f>IF(B4837="","",IFERROR(INDEX(Client_List!$B:$B,MATCH(B4837,Client_List!$A:$A,0)),"⚠ NOT FOUND"))</f>
        <v/>
      </c>
      <c r="D4837" s="44" t="n"/>
      <c r="E4837" s="32">
        <f>IF(B4837="","",IFERROR(INDEX(Client_List!$C:$C,MATCH(VALUE(B4837),Client_List!$A:$A,0)),""))</f>
        <v/>
      </c>
      <c r="F4837" s="53">
        <f>IF(B4837="","",IFERROR(INDEX(Client_List!$D:$D,MATCH(VALUE(B4837),Client_List!$A:$A,0)),""))</f>
        <v/>
      </c>
      <c r="G4837" s="53">
        <f>IF(B4837="","",IFERROR(INDEX(Client_List!$K:$K,MATCH(VALUE(B4837),Client_List!$A:$A,0)),""))</f>
        <v/>
      </c>
      <c r="H4837" s="32">
        <f>IF(B4837="","",IFERROR(INDEX(Client_List!$J:$J,MATCH(VALUE(B4837),Client_List!$A:$A,0)),""))</f>
        <v/>
      </c>
      <c r="I4837" s="70">
        <f>IF(B4837="","",IFERROR(A4837-LOOKUP(2,1/($B$4:$B4836=B4837),$A$4:$A4836),""))</f>
        <v/>
      </c>
      <c r="J4837" s="32">
        <f>IF(B4837="","",IFERROR(D4837/I4837,""))</f>
        <v/>
      </c>
      <c r="K4837" s="71">
        <f>IF(B4837="","",IFERROR(AVERAGEIFS($J$4:$J4837,$B$4:$B4837,B4837,$J$4:$J4837,"&gt;"&amp;0),""))</f>
        <v/>
      </c>
      <c r="L4837" s="11" t="n"/>
    </row>
    <row r="4838" ht="14" customHeight="1" s="72">
      <c r="A4838" s="83" t="n"/>
      <c r="B4838" s="81" t="n"/>
      <c r="C4838" s="69">
        <f>IF(B4838="","",IFERROR(INDEX(Client_List!$B:$B,MATCH(B4838,Client_List!$A:$A,0)),"⚠ NOT FOUND"))</f>
        <v/>
      </c>
      <c r="D4838" s="45" t="n"/>
      <c r="E4838" s="32">
        <f>IF(B4838="","",IFERROR(INDEX(Client_List!$C:$C,MATCH(VALUE(B4838),Client_List!$A:$A,0)),""))</f>
        <v/>
      </c>
      <c r="F4838" s="53">
        <f>IF(B4838="","",IFERROR(INDEX(Client_List!$D:$D,MATCH(VALUE(B4838),Client_List!$A:$A,0)),""))</f>
        <v/>
      </c>
      <c r="G4838" s="53">
        <f>IF(B4838="","",IFERROR(INDEX(Client_List!$K:$K,MATCH(VALUE(B4838),Client_List!$A:$A,0)),""))</f>
        <v/>
      </c>
      <c r="H4838" s="32">
        <f>IF(B4838="","",IFERROR(INDEX(Client_List!$J:$J,MATCH(VALUE(B4838),Client_List!$A:$A,0)),""))</f>
        <v/>
      </c>
      <c r="I4838" s="70">
        <f>IF(B4838="","",IFERROR(A4838-LOOKUP(2,1/($B$4:$B4837=B4838),$A$4:$A4837),""))</f>
        <v/>
      </c>
      <c r="J4838" s="32">
        <f>IF(B4838="","",IFERROR(D4838/I4838,""))</f>
        <v/>
      </c>
      <c r="K4838" s="71">
        <f>IF(B4838="","",IFERROR(AVERAGEIFS($J$4:$J4838,$B$4:$B4838,B4838,$J$4:$J4838,"&gt;"&amp;0),""))</f>
        <v/>
      </c>
      <c r="L4838" s="12" t="n"/>
    </row>
    <row r="4839" ht="14" customHeight="1" s="72">
      <c r="A4839" s="82" t="n"/>
      <c r="B4839" s="79" t="n"/>
      <c r="C4839" s="69">
        <f>IF(B4839="","",IFERROR(INDEX(Client_List!$B:$B,MATCH(B4839,Client_List!$A:$A,0)),"⚠ NOT FOUND"))</f>
        <v/>
      </c>
      <c r="D4839" s="44" t="n"/>
      <c r="E4839" s="32">
        <f>IF(B4839="","",IFERROR(INDEX(Client_List!$C:$C,MATCH(VALUE(B4839),Client_List!$A:$A,0)),""))</f>
        <v/>
      </c>
      <c r="F4839" s="53">
        <f>IF(B4839="","",IFERROR(INDEX(Client_List!$D:$D,MATCH(VALUE(B4839),Client_List!$A:$A,0)),""))</f>
        <v/>
      </c>
      <c r="G4839" s="53">
        <f>IF(B4839="","",IFERROR(INDEX(Client_List!$K:$K,MATCH(VALUE(B4839),Client_List!$A:$A,0)),""))</f>
        <v/>
      </c>
      <c r="H4839" s="32">
        <f>IF(B4839="","",IFERROR(INDEX(Client_List!$J:$J,MATCH(VALUE(B4839),Client_List!$A:$A,0)),""))</f>
        <v/>
      </c>
      <c r="I4839" s="70">
        <f>IF(B4839="","",IFERROR(A4839-LOOKUP(2,1/($B$4:$B4838=B4839),$A$4:$A4838),""))</f>
        <v/>
      </c>
      <c r="J4839" s="32">
        <f>IF(B4839="","",IFERROR(D4839/I4839,""))</f>
        <v/>
      </c>
      <c r="K4839" s="71">
        <f>IF(B4839="","",IFERROR(AVERAGEIFS($J$4:$J4839,$B$4:$B4839,B4839,$J$4:$J4839,"&gt;"&amp;0),""))</f>
        <v/>
      </c>
      <c r="L4839" s="11" t="n"/>
    </row>
    <row r="4840" ht="14" customHeight="1" s="72">
      <c r="A4840" s="83" t="n"/>
      <c r="B4840" s="81" t="n"/>
      <c r="C4840" s="69">
        <f>IF(B4840="","",IFERROR(INDEX(Client_List!$B:$B,MATCH(B4840,Client_List!$A:$A,0)),"⚠ NOT FOUND"))</f>
        <v/>
      </c>
      <c r="D4840" s="45" t="n"/>
      <c r="E4840" s="32">
        <f>IF(B4840="","",IFERROR(INDEX(Client_List!$C:$C,MATCH(VALUE(B4840),Client_List!$A:$A,0)),""))</f>
        <v/>
      </c>
      <c r="F4840" s="53">
        <f>IF(B4840="","",IFERROR(INDEX(Client_List!$D:$D,MATCH(VALUE(B4840),Client_List!$A:$A,0)),""))</f>
        <v/>
      </c>
      <c r="G4840" s="53">
        <f>IF(B4840="","",IFERROR(INDEX(Client_List!$K:$K,MATCH(VALUE(B4840),Client_List!$A:$A,0)),""))</f>
        <v/>
      </c>
      <c r="H4840" s="32">
        <f>IF(B4840="","",IFERROR(INDEX(Client_List!$J:$J,MATCH(VALUE(B4840),Client_List!$A:$A,0)),""))</f>
        <v/>
      </c>
      <c r="I4840" s="70">
        <f>IF(B4840="","",IFERROR(A4840-LOOKUP(2,1/($B$4:$B4839=B4840),$A$4:$A4839),""))</f>
        <v/>
      </c>
      <c r="J4840" s="32">
        <f>IF(B4840="","",IFERROR(D4840/I4840,""))</f>
        <v/>
      </c>
      <c r="K4840" s="71">
        <f>IF(B4840="","",IFERROR(AVERAGEIFS($J$4:$J4840,$B$4:$B4840,B4840,$J$4:$J4840,"&gt;"&amp;0),""))</f>
        <v/>
      </c>
      <c r="L4840" s="12" t="n"/>
    </row>
    <row r="4841" ht="14" customHeight="1" s="72">
      <c r="A4841" s="82" t="n"/>
      <c r="B4841" s="79" t="n"/>
      <c r="C4841" s="69">
        <f>IF(B4841="","",IFERROR(INDEX(Client_List!$B:$B,MATCH(B4841,Client_List!$A:$A,0)),"⚠ NOT FOUND"))</f>
        <v/>
      </c>
      <c r="D4841" s="44" t="n"/>
      <c r="E4841" s="32">
        <f>IF(B4841="","",IFERROR(INDEX(Client_List!$C:$C,MATCH(VALUE(B4841),Client_List!$A:$A,0)),""))</f>
        <v/>
      </c>
      <c r="F4841" s="53">
        <f>IF(B4841="","",IFERROR(INDEX(Client_List!$D:$D,MATCH(VALUE(B4841),Client_List!$A:$A,0)),""))</f>
        <v/>
      </c>
      <c r="G4841" s="53">
        <f>IF(B4841="","",IFERROR(INDEX(Client_List!$K:$K,MATCH(VALUE(B4841),Client_List!$A:$A,0)),""))</f>
        <v/>
      </c>
      <c r="H4841" s="32">
        <f>IF(B4841="","",IFERROR(INDEX(Client_List!$J:$J,MATCH(VALUE(B4841),Client_List!$A:$A,0)),""))</f>
        <v/>
      </c>
      <c r="I4841" s="70">
        <f>IF(B4841="","",IFERROR(A4841-LOOKUP(2,1/($B$4:$B4840=B4841),$A$4:$A4840),""))</f>
        <v/>
      </c>
      <c r="J4841" s="32">
        <f>IF(B4841="","",IFERROR(D4841/I4841,""))</f>
        <v/>
      </c>
      <c r="K4841" s="71">
        <f>IF(B4841="","",IFERROR(AVERAGEIFS($J$4:$J4841,$B$4:$B4841,B4841,$J$4:$J4841,"&gt;"&amp;0),""))</f>
        <v/>
      </c>
      <c r="L4841" s="11" t="n"/>
    </row>
    <row r="4842" ht="14" customHeight="1" s="72">
      <c r="A4842" s="83" t="n"/>
      <c r="B4842" s="81" t="n"/>
      <c r="C4842" s="69">
        <f>IF(B4842="","",IFERROR(INDEX(Client_List!$B:$B,MATCH(B4842,Client_List!$A:$A,0)),"⚠ NOT FOUND"))</f>
        <v/>
      </c>
      <c r="D4842" s="45" t="n"/>
      <c r="E4842" s="32">
        <f>IF(B4842="","",IFERROR(INDEX(Client_List!$C:$C,MATCH(VALUE(B4842),Client_List!$A:$A,0)),""))</f>
        <v/>
      </c>
      <c r="F4842" s="53">
        <f>IF(B4842="","",IFERROR(INDEX(Client_List!$D:$D,MATCH(VALUE(B4842),Client_List!$A:$A,0)),""))</f>
        <v/>
      </c>
      <c r="G4842" s="53">
        <f>IF(B4842="","",IFERROR(INDEX(Client_List!$K:$K,MATCH(VALUE(B4842),Client_List!$A:$A,0)),""))</f>
        <v/>
      </c>
      <c r="H4842" s="32">
        <f>IF(B4842="","",IFERROR(INDEX(Client_List!$J:$J,MATCH(VALUE(B4842),Client_List!$A:$A,0)),""))</f>
        <v/>
      </c>
      <c r="I4842" s="70">
        <f>IF(B4842="","",IFERROR(A4842-LOOKUP(2,1/($B$4:$B4841=B4842),$A$4:$A4841),""))</f>
        <v/>
      </c>
      <c r="J4842" s="32">
        <f>IF(B4842="","",IFERROR(D4842/I4842,""))</f>
        <v/>
      </c>
      <c r="K4842" s="71">
        <f>IF(B4842="","",IFERROR(AVERAGEIFS($J$4:$J4842,$B$4:$B4842,B4842,$J$4:$J4842,"&gt;"&amp;0),""))</f>
        <v/>
      </c>
      <c r="L4842" s="12" t="n"/>
    </row>
    <row r="4843" ht="14" customHeight="1" s="72">
      <c r="A4843" s="82" t="n"/>
      <c r="B4843" s="79" t="n"/>
      <c r="C4843" s="69">
        <f>IF(B4843="","",IFERROR(INDEX(Client_List!$B:$B,MATCH(B4843,Client_List!$A:$A,0)),"⚠ NOT FOUND"))</f>
        <v/>
      </c>
      <c r="D4843" s="44" t="n"/>
      <c r="E4843" s="32">
        <f>IF(B4843="","",IFERROR(INDEX(Client_List!$C:$C,MATCH(VALUE(B4843),Client_List!$A:$A,0)),""))</f>
        <v/>
      </c>
      <c r="F4843" s="53">
        <f>IF(B4843="","",IFERROR(INDEX(Client_List!$D:$D,MATCH(VALUE(B4843),Client_List!$A:$A,0)),""))</f>
        <v/>
      </c>
      <c r="G4843" s="53">
        <f>IF(B4843="","",IFERROR(INDEX(Client_List!$K:$K,MATCH(VALUE(B4843),Client_List!$A:$A,0)),""))</f>
        <v/>
      </c>
      <c r="H4843" s="32">
        <f>IF(B4843="","",IFERROR(INDEX(Client_List!$J:$J,MATCH(VALUE(B4843),Client_List!$A:$A,0)),""))</f>
        <v/>
      </c>
      <c r="I4843" s="70">
        <f>IF(B4843="","",IFERROR(A4843-LOOKUP(2,1/($B$4:$B4842=B4843),$A$4:$A4842),""))</f>
        <v/>
      </c>
      <c r="J4843" s="32">
        <f>IF(B4843="","",IFERROR(D4843/I4843,""))</f>
        <v/>
      </c>
      <c r="K4843" s="71">
        <f>IF(B4843="","",IFERROR(AVERAGEIFS($J$4:$J4843,$B$4:$B4843,B4843,$J$4:$J4843,"&gt;"&amp;0),""))</f>
        <v/>
      </c>
      <c r="L4843" s="11" t="n"/>
    </row>
    <row r="4844" ht="14" customHeight="1" s="72">
      <c r="A4844" s="83" t="n"/>
      <c r="B4844" s="81" t="n"/>
      <c r="C4844" s="69">
        <f>IF(B4844="","",IFERROR(INDEX(Client_List!$B:$B,MATCH(B4844,Client_List!$A:$A,0)),"⚠ NOT FOUND"))</f>
        <v/>
      </c>
      <c r="D4844" s="45" t="n"/>
      <c r="E4844" s="32">
        <f>IF(B4844="","",IFERROR(INDEX(Client_List!$C:$C,MATCH(VALUE(B4844),Client_List!$A:$A,0)),""))</f>
        <v/>
      </c>
      <c r="F4844" s="53">
        <f>IF(B4844="","",IFERROR(INDEX(Client_List!$D:$D,MATCH(VALUE(B4844),Client_List!$A:$A,0)),""))</f>
        <v/>
      </c>
      <c r="G4844" s="53">
        <f>IF(B4844="","",IFERROR(INDEX(Client_List!$K:$K,MATCH(VALUE(B4844),Client_List!$A:$A,0)),""))</f>
        <v/>
      </c>
      <c r="H4844" s="32">
        <f>IF(B4844="","",IFERROR(INDEX(Client_List!$J:$J,MATCH(VALUE(B4844),Client_List!$A:$A,0)),""))</f>
        <v/>
      </c>
      <c r="I4844" s="70">
        <f>IF(B4844="","",IFERROR(A4844-LOOKUP(2,1/($B$4:$B4843=B4844),$A$4:$A4843),""))</f>
        <v/>
      </c>
      <c r="J4844" s="32">
        <f>IF(B4844="","",IFERROR(D4844/I4844,""))</f>
        <v/>
      </c>
      <c r="K4844" s="71">
        <f>IF(B4844="","",IFERROR(AVERAGEIFS($J$4:$J4844,$B$4:$B4844,B4844,$J$4:$J4844,"&gt;"&amp;0),""))</f>
        <v/>
      </c>
      <c r="L4844" s="12" t="n"/>
    </row>
    <row r="4845" ht="14" customHeight="1" s="72">
      <c r="A4845" s="82" t="n"/>
      <c r="B4845" s="79" t="n"/>
      <c r="C4845" s="69">
        <f>IF(B4845="","",IFERROR(INDEX(Client_List!$B:$B,MATCH(B4845,Client_List!$A:$A,0)),"⚠ NOT FOUND"))</f>
        <v/>
      </c>
      <c r="D4845" s="44" t="n"/>
      <c r="E4845" s="32">
        <f>IF(B4845="","",IFERROR(INDEX(Client_List!$C:$C,MATCH(VALUE(B4845),Client_List!$A:$A,0)),""))</f>
        <v/>
      </c>
      <c r="F4845" s="53">
        <f>IF(B4845="","",IFERROR(INDEX(Client_List!$D:$D,MATCH(VALUE(B4845),Client_List!$A:$A,0)),""))</f>
        <v/>
      </c>
      <c r="G4845" s="53">
        <f>IF(B4845="","",IFERROR(INDEX(Client_List!$K:$K,MATCH(VALUE(B4845),Client_List!$A:$A,0)),""))</f>
        <v/>
      </c>
      <c r="H4845" s="32">
        <f>IF(B4845="","",IFERROR(INDEX(Client_List!$J:$J,MATCH(VALUE(B4845),Client_List!$A:$A,0)),""))</f>
        <v/>
      </c>
      <c r="I4845" s="70">
        <f>IF(B4845="","",IFERROR(A4845-LOOKUP(2,1/($B$4:$B4844=B4845),$A$4:$A4844),""))</f>
        <v/>
      </c>
      <c r="J4845" s="32">
        <f>IF(B4845="","",IFERROR(D4845/I4845,""))</f>
        <v/>
      </c>
      <c r="K4845" s="71">
        <f>IF(B4845="","",IFERROR(AVERAGEIFS($J$4:$J4845,$B$4:$B4845,B4845,$J$4:$J4845,"&gt;"&amp;0),""))</f>
        <v/>
      </c>
      <c r="L4845" s="11" t="n"/>
    </row>
    <row r="4846" ht="14" customHeight="1" s="72">
      <c r="A4846" s="83" t="n"/>
      <c r="B4846" s="81" t="n"/>
      <c r="C4846" s="69">
        <f>IF(B4846="","",IFERROR(INDEX(Client_List!$B:$B,MATCH(B4846,Client_List!$A:$A,0)),"⚠ NOT FOUND"))</f>
        <v/>
      </c>
      <c r="D4846" s="45" t="n"/>
      <c r="E4846" s="32">
        <f>IF(B4846="","",IFERROR(INDEX(Client_List!$C:$C,MATCH(VALUE(B4846),Client_List!$A:$A,0)),""))</f>
        <v/>
      </c>
      <c r="F4846" s="53">
        <f>IF(B4846="","",IFERROR(INDEX(Client_List!$D:$D,MATCH(VALUE(B4846),Client_List!$A:$A,0)),""))</f>
        <v/>
      </c>
      <c r="G4846" s="53">
        <f>IF(B4846="","",IFERROR(INDEX(Client_List!$K:$K,MATCH(VALUE(B4846),Client_List!$A:$A,0)),""))</f>
        <v/>
      </c>
      <c r="H4846" s="32">
        <f>IF(B4846="","",IFERROR(INDEX(Client_List!$J:$J,MATCH(VALUE(B4846),Client_List!$A:$A,0)),""))</f>
        <v/>
      </c>
      <c r="I4846" s="70">
        <f>IF(B4846="","",IFERROR(A4846-LOOKUP(2,1/($B$4:$B4845=B4846),$A$4:$A4845),""))</f>
        <v/>
      </c>
      <c r="J4846" s="32">
        <f>IF(B4846="","",IFERROR(D4846/I4846,""))</f>
        <v/>
      </c>
      <c r="K4846" s="71">
        <f>IF(B4846="","",IFERROR(AVERAGEIFS($J$4:$J4846,$B$4:$B4846,B4846,$J$4:$J4846,"&gt;"&amp;0),""))</f>
        <v/>
      </c>
      <c r="L4846" s="12" t="n"/>
    </row>
    <row r="4847" ht="14" customHeight="1" s="72">
      <c r="A4847" s="82" t="n"/>
      <c r="B4847" s="79" t="n"/>
      <c r="C4847" s="69">
        <f>IF(B4847="","",IFERROR(INDEX(Client_List!$B:$B,MATCH(B4847,Client_List!$A:$A,0)),"⚠ NOT FOUND"))</f>
        <v/>
      </c>
      <c r="D4847" s="44" t="n"/>
      <c r="E4847" s="32">
        <f>IF(B4847="","",IFERROR(INDEX(Client_List!$C:$C,MATCH(VALUE(B4847),Client_List!$A:$A,0)),""))</f>
        <v/>
      </c>
      <c r="F4847" s="53">
        <f>IF(B4847="","",IFERROR(INDEX(Client_List!$D:$D,MATCH(VALUE(B4847),Client_List!$A:$A,0)),""))</f>
        <v/>
      </c>
      <c r="G4847" s="53">
        <f>IF(B4847="","",IFERROR(INDEX(Client_List!$K:$K,MATCH(VALUE(B4847),Client_List!$A:$A,0)),""))</f>
        <v/>
      </c>
      <c r="H4847" s="32">
        <f>IF(B4847="","",IFERROR(INDEX(Client_List!$J:$J,MATCH(VALUE(B4847),Client_List!$A:$A,0)),""))</f>
        <v/>
      </c>
      <c r="I4847" s="70">
        <f>IF(B4847="","",IFERROR(A4847-LOOKUP(2,1/($B$4:$B4846=B4847),$A$4:$A4846),""))</f>
        <v/>
      </c>
      <c r="J4847" s="32">
        <f>IF(B4847="","",IFERROR(D4847/I4847,""))</f>
        <v/>
      </c>
      <c r="K4847" s="71">
        <f>IF(B4847="","",IFERROR(AVERAGEIFS($J$4:$J4847,$B$4:$B4847,B4847,$J$4:$J4847,"&gt;"&amp;0),""))</f>
        <v/>
      </c>
      <c r="L4847" s="11" t="n"/>
    </row>
    <row r="4848" ht="14" customHeight="1" s="72">
      <c r="A4848" s="83" t="n"/>
      <c r="B4848" s="81" t="n"/>
      <c r="C4848" s="69">
        <f>IF(B4848="","",IFERROR(INDEX(Client_List!$B:$B,MATCH(B4848,Client_List!$A:$A,0)),"⚠ NOT FOUND"))</f>
        <v/>
      </c>
      <c r="D4848" s="45" t="n"/>
      <c r="E4848" s="32">
        <f>IF(B4848="","",IFERROR(INDEX(Client_List!$C:$C,MATCH(VALUE(B4848),Client_List!$A:$A,0)),""))</f>
        <v/>
      </c>
      <c r="F4848" s="53">
        <f>IF(B4848="","",IFERROR(INDEX(Client_List!$D:$D,MATCH(VALUE(B4848),Client_List!$A:$A,0)),""))</f>
        <v/>
      </c>
      <c r="G4848" s="53">
        <f>IF(B4848="","",IFERROR(INDEX(Client_List!$K:$K,MATCH(VALUE(B4848),Client_List!$A:$A,0)),""))</f>
        <v/>
      </c>
      <c r="H4848" s="32">
        <f>IF(B4848="","",IFERROR(INDEX(Client_List!$J:$J,MATCH(VALUE(B4848),Client_List!$A:$A,0)),""))</f>
        <v/>
      </c>
      <c r="I4848" s="70">
        <f>IF(B4848="","",IFERROR(A4848-LOOKUP(2,1/($B$4:$B4847=B4848),$A$4:$A4847),""))</f>
        <v/>
      </c>
      <c r="J4848" s="32">
        <f>IF(B4848="","",IFERROR(D4848/I4848,""))</f>
        <v/>
      </c>
      <c r="K4848" s="71">
        <f>IF(B4848="","",IFERROR(AVERAGEIFS($J$4:$J4848,$B$4:$B4848,B4848,$J$4:$J4848,"&gt;"&amp;0),""))</f>
        <v/>
      </c>
      <c r="L4848" s="12" t="n"/>
    </row>
    <row r="4849" ht="14" customHeight="1" s="72">
      <c r="A4849" s="82" t="n"/>
      <c r="B4849" s="79" t="n"/>
      <c r="C4849" s="69">
        <f>IF(B4849="","",IFERROR(INDEX(Client_List!$B:$B,MATCH(B4849,Client_List!$A:$A,0)),"⚠ NOT FOUND"))</f>
        <v/>
      </c>
      <c r="D4849" s="44" t="n"/>
      <c r="E4849" s="32">
        <f>IF(B4849="","",IFERROR(INDEX(Client_List!$C:$C,MATCH(VALUE(B4849),Client_List!$A:$A,0)),""))</f>
        <v/>
      </c>
      <c r="F4849" s="53">
        <f>IF(B4849="","",IFERROR(INDEX(Client_List!$D:$D,MATCH(VALUE(B4849),Client_List!$A:$A,0)),""))</f>
        <v/>
      </c>
      <c r="G4849" s="53">
        <f>IF(B4849="","",IFERROR(INDEX(Client_List!$K:$K,MATCH(VALUE(B4849),Client_List!$A:$A,0)),""))</f>
        <v/>
      </c>
      <c r="H4849" s="32">
        <f>IF(B4849="","",IFERROR(INDEX(Client_List!$J:$J,MATCH(VALUE(B4849),Client_List!$A:$A,0)),""))</f>
        <v/>
      </c>
      <c r="I4849" s="70">
        <f>IF(B4849="","",IFERROR(A4849-LOOKUP(2,1/($B$4:$B4848=B4849),$A$4:$A4848),""))</f>
        <v/>
      </c>
      <c r="J4849" s="32">
        <f>IF(B4849="","",IFERROR(D4849/I4849,""))</f>
        <v/>
      </c>
      <c r="K4849" s="71">
        <f>IF(B4849="","",IFERROR(AVERAGEIFS($J$4:$J4849,$B$4:$B4849,B4849,$J$4:$J4849,"&gt;"&amp;0),""))</f>
        <v/>
      </c>
      <c r="L4849" s="11" t="n"/>
    </row>
    <row r="4850" ht="14" customHeight="1" s="72">
      <c r="A4850" s="83" t="n"/>
      <c r="B4850" s="81" t="n"/>
      <c r="C4850" s="69">
        <f>IF(B4850="","",IFERROR(INDEX(Client_List!$B:$B,MATCH(B4850,Client_List!$A:$A,0)),"⚠ NOT FOUND"))</f>
        <v/>
      </c>
      <c r="D4850" s="45" t="n"/>
      <c r="E4850" s="32">
        <f>IF(B4850="","",IFERROR(INDEX(Client_List!$C:$C,MATCH(VALUE(B4850),Client_List!$A:$A,0)),""))</f>
        <v/>
      </c>
      <c r="F4850" s="53">
        <f>IF(B4850="","",IFERROR(INDEX(Client_List!$D:$D,MATCH(VALUE(B4850),Client_List!$A:$A,0)),""))</f>
        <v/>
      </c>
      <c r="G4850" s="53">
        <f>IF(B4850="","",IFERROR(INDEX(Client_List!$K:$K,MATCH(VALUE(B4850),Client_List!$A:$A,0)),""))</f>
        <v/>
      </c>
      <c r="H4850" s="32">
        <f>IF(B4850="","",IFERROR(INDEX(Client_List!$J:$J,MATCH(VALUE(B4850),Client_List!$A:$A,0)),""))</f>
        <v/>
      </c>
      <c r="I4850" s="70">
        <f>IF(B4850="","",IFERROR(A4850-LOOKUP(2,1/($B$4:$B4849=B4850),$A$4:$A4849),""))</f>
        <v/>
      </c>
      <c r="J4850" s="32">
        <f>IF(B4850="","",IFERROR(D4850/I4850,""))</f>
        <v/>
      </c>
      <c r="K4850" s="71">
        <f>IF(B4850="","",IFERROR(AVERAGEIFS($J$4:$J4850,$B$4:$B4850,B4850,$J$4:$J4850,"&gt;"&amp;0),""))</f>
        <v/>
      </c>
      <c r="L4850" s="12" t="n"/>
    </row>
    <row r="4851" ht="14" customHeight="1" s="72">
      <c r="A4851" s="82" t="n"/>
      <c r="B4851" s="79" t="n"/>
      <c r="C4851" s="69">
        <f>IF(B4851="","",IFERROR(INDEX(Client_List!$B:$B,MATCH(B4851,Client_List!$A:$A,0)),"⚠ NOT FOUND"))</f>
        <v/>
      </c>
      <c r="D4851" s="44" t="n"/>
      <c r="E4851" s="32">
        <f>IF(B4851="","",IFERROR(INDEX(Client_List!$C:$C,MATCH(VALUE(B4851),Client_List!$A:$A,0)),""))</f>
        <v/>
      </c>
      <c r="F4851" s="53">
        <f>IF(B4851="","",IFERROR(INDEX(Client_List!$D:$D,MATCH(VALUE(B4851),Client_List!$A:$A,0)),""))</f>
        <v/>
      </c>
      <c r="G4851" s="53">
        <f>IF(B4851="","",IFERROR(INDEX(Client_List!$K:$K,MATCH(VALUE(B4851),Client_List!$A:$A,0)),""))</f>
        <v/>
      </c>
      <c r="H4851" s="32">
        <f>IF(B4851="","",IFERROR(INDEX(Client_List!$J:$J,MATCH(VALUE(B4851),Client_List!$A:$A,0)),""))</f>
        <v/>
      </c>
      <c r="I4851" s="70">
        <f>IF(B4851="","",IFERROR(A4851-LOOKUP(2,1/($B$4:$B4850=B4851),$A$4:$A4850),""))</f>
        <v/>
      </c>
      <c r="J4851" s="32">
        <f>IF(B4851="","",IFERROR(D4851/I4851,""))</f>
        <v/>
      </c>
      <c r="K4851" s="71">
        <f>IF(B4851="","",IFERROR(AVERAGEIFS($J$4:$J4851,$B$4:$B4851,B4851,$J$4:$J4851,"&gt;"&amp;0),""))</f>
        <v/>
      </c>
      <c r="L4851" s="11" t="n"/>
    </row>
    <row r="4852" ht="14" customHeight="1" s="72">
      <c r="A4852" s="83" t="n"/>
      <c r="B4852" s="81" t="n"/>
      <c r="C4852" s="69">
        <f>IF(B4852="","",IFERROR(INDEX(Client_List!$B:$B,MATCH(B4852,Client_List!$A:$A,0)),"⚠ NOT FOUND"))</f>
        <v/>
      </c>
      <c r="D4852" s="45" t="n"/>
      <c r="E4852" s="32">
        <f>IF(B4852="","",IFERROR(INDEX(Client_List!$C:$C,MATCH(VALUE(B4852),Client_List!$A:$A,0)),""))</f>
        <v/>
      </c>
      <c r="F4852" s="53">
        <f>IF(B4852="","",IFERROR(INDEX(Client_List!$D:$D,MATCH(VALUE(B4852),Client_List!$A:$A,0)),""))</f>
        <v/>
      </c>
      <c r="G4852" s="53">
        <f>IF(B4852="","",IFERROR(INDEX(Client_List!$K:$K,MATCH(VALUE(B4852),Client_List!$A:$A,0)),""))</f>
        <v/>
      </c>
      <c r="H4852" s="32">
        <f>IF(B4852="","",IFERROR(INDEX(Client_List!$J:$J,MATCH(VALUE(B4852),Client_List!$A:$A,0)),""))</f>
        <v/>
      </c>
      <c r="I4852" s="70">
        <f>IF(B4852="","",IFERROR(A4852-LOOKUP(2,1/($B$4:$B4851=B4852),$A$4:$A4851),""))</f>
        <v/>
      </c>
      <c r="J4852" s="32">
        <f>IF(B4852="","",IFERROR(D4852/I4852,""))</f>
        <v/>
      </c>
      <c r="K4852" s="71">
        <f>IF(B4852="","",IFERROR(AVERAGEIFS($J$4:$J4852,$B$4:$B4852,B4852,$J$4:$J4852,"&gt;"&amp;0),""))</f>
        <v/>
      </c>
      <c r="L4852" s="12" t="n"/>
    </row>
    <row r="4853" ht="14" customHeight="1" s="72">
      <c r="A4853" s="82" t="n"/>
      <c r="B4853" s="79" t="n"/>
      <c r="C4853" s="69">
        <f>IF(B4853="","",IFERROR(INDEX(Client_List!$B:$B,MATCH(B4853,Client_List!$A:$A,0)),"⚠ NOT FOUND"))</f>
        <v/>
      </c>
      <c r="D4853" s="44" t="n"/>
      <c r="E4853" s="32">
        <f>IF(B4853="","",IFERROR(INDEX(Client_List!$C:$C,MATCH(VALUE(B4853),Client_List!$A:$A,0)),""))</f>
        <v/>
      </c>
      <c r="F4853" s="53">
        <f>IF(B4853="","",IFERROR(INDEX(Client_List!$D:$D,MATCH(VALUE(B4853),Client_List!$A:$A,0)),""))</f>
        <v/>
      </c>
      <c r="G4853" s="53">
        <f>IF(B4853="","",IFERROR(INDEX(Client_List!$K:$K,MATCH(VALUE(B4853),Client_List!$A:$A,0)),""))</f>
        <v/>
      </c>
      <c r="H4853" s="32">
        <f>IF(B4853="","",IFERROR(INDEX(Client_List!$J:$J,MATCH(VALUE(B4853),Client_List!$A:$A,0)),""))</f>
        <v/>
      </c>
      <c r="I4853" s="70">
        <f>IF(B4853="","",IFERROR(A4853-LOOKUP(2,1/($B$4:$B4852=B4853),$A$4:$A4852),""))</f>
        <v/>
      </c>
      <c r="J4853" s="32">
        <f>IF(B4853="","",IFERROR(D4853/I4853,""))</f>
        <v/>
      </c>
      <c r="K4853" s="71">
        <f>IF(B4853="","",IFERROR(AVERAGEIFS($J$4:$J4853,$B$4:$B4853,B4853,$J$4:$J4853,"&gt;"&amp;0),""))</f>
        <v/>
      </c>
      <c r="L4853" s="11" t="n"/>
    </row>
    <row r="4854" ht="14" customHeight="1" s="72">
      <c r="A4854" s="83" t="n"/>
      <c r="B4854" s="81" t="n"/>
      <c r="C4854" s="69">
        <f>IF(B4854="","",IFERROR(INDEX(Client_List!$B:$B,MATCH(B4854,Client_List!$A:$A,0)),"⚠ NOT FOUND"))</f>
        <v/>
      </c>
      <c r="D4854" s="45" t="n"/>
      <c r="E4854" s="32">
        <f>IF(B4854="","",IFERROR(INDEX(Client_List!$C:$C,MATCH(VALUE(B4854),Client_List!$A:$A,0)),""))</f>
        <v/>
      </c>
      <c r="F4854" s="53">
        <f>IF(B4854="","",IFERROR(INDEX(Client_List!$D:$D,MATCH(VALUE(B4854),Client_List!$A:$A,0)),""))</f>
        <v/>
      </c>
      <c r="G4854" s="53">
        <f>IF(B4854="","",IFERROR(INDEX(Client_List!$K:$K,MATCH(VALUE(B4854),Client_List!$A:$A,0)),""))</f>
        <v/>
      </c>
      <c r="H4854" s="32">
        <f>IF(B4854="","",IFERROR(INDEX(Client_List!$J:$J,MATCH(VALUE(B4854),Client_List!$A:$A,0)),""))</f>
        <v/>
      </c>
      <c r="I4854" s="70">
        <f>IF(B4854="","",IFERROR(A4854-LOOKUP(2,1/($B$4:$B4853=B4854),$A$4:$A4853),""))</f>
        <v/>
      </c>
      <c r="J4854" s="32">
        <f>IF(B4854="","",IFERROR(D4854/I4854,""))</f>
        <v/>
      </c>
      <c r="K4854" s="71">
        <f>IF(B4854="","",IFERROR(AVERAGEIFS($J$4:$J4854,$B$4:$B4854,B4854,$J$4:$J4854,"&gt;"&amp;0),""))</f>
        <v/>
      </c>
      <c r="L4854" s="12" t="n"/>
    </row>
    <row r="4855" ht="14" customHeight="1" s="72">
      <c r="A4855" s="82" t="n"/>
      <c r="B4855" s="79" t="n"/>
      <c r="C4855" s="69">
        <f>IF(B4855="","",IFERROR(INDEX(Client_List!$B:$B,MATCH(B4855,Client_List!$A:$A,0)),"⚠ NOT FOUND"))</f>
        <v/>
      </c>
      <c r="D4855" s="44" t="n"/>
      <c r="E4855" s="32">
        <f>IF(B4855="","",IFERROR(INDEX(Client_List!$C:$C,MATCH(VALUE(B4855),Client_List!$A:$A,0)),""))</f>
        <v/>
      </c>
      <c r="F4855" s="53">
        <f>IF(B4855="","",IFERROR(INDEX(Client_List!$D:$D,MATCH(VALUE(B4855),Client_List!$A:$A,0)),""))</f>
        <v/>
      </c>
      <c r="G4855" s="53">
        <f>IF(B4855="","",IFERROR(INDEX(Client_List!$K:$K,MATCH(VALUE(B4855),Client_List!$A:$A,0)),""))</f>
        <v/>
      </c>
      <c r="H4855" s="32">
        <f>IF(B4855="","",IFERROR(INDEX(Client_List!$J:$J,MATCH(VALUE(B4855),Client_List!$A:$A,0)),""))</f>
        <v/>
      </c>
      <c r="I4855" s="70">
        <f>IF(B4855="","",IFERROR(A4855-LOOKUP(2,1/($B$4:$B4854=B4855),$A$4:$A4854),""))</f>
        <v/>
      </c>
      <c r="J4855" s="32">
        <f>IF(B4855="","",IFERROR(D4855/I4855,""))</f>
        <v/>
      </c>
      <c r="K4855" s="71">
        <f>IF(B4855="","",IFERROR(AVERAGEIFS($J$4:$J4855,$B$4:$B4855,B4855,$J$4:$J4855,"&gt;"&amp;0),""))</f>
        <v/>
      </c>
      <c r="L4855" s="11" t="n"/>
    </row>
    <row r="4856" ht="14" customHeight="1" s="72">
      <c r="A4856" s="83" t="n"/>
      <c r="B4856" s="81" t="n"/>
      <c r="C4856" s="69">
        <f>IF(B4856="","",IFERROR(INDEX(Client_List!$B:$B,MATCH(B4856,Client_List!$A:$A,0)),"⚠ NOT FOUND"))</f>
        <v/>
      </c>
      <c r="D4856" s="45" t="n"/>
      <c r="E4856" s="32">
        <f>IF(B4856="","",IFERROR(INDEX(Client_List!$C:$C,MATCH(VALUE(B4856),Client_List!$A:$A,0)),""))</f>
        <v/>
      </c>
      <c r="F4856" s="53">
        <f>IF(B4856="","",IFERROR(INDEX(Client_List!$D:$D,MATCH(VALUE(B4856),Client_List!$A:$A,0)),""))</f>
        <v/>
      </c>
      <c r="G4856" s="53">
        <f>IF(B4856="","",IFERROR(INDEX(Client_List!$K:$K,MATCH(VALUE(B4856),Client_List!$A:$A,0)),""))</f>
        <v/>
      </c>
      <c r="H4856" s="32">
        <f>IF(B4856="","",IFERROR(INDEX(Client_List!$J:$J,MATCH(VALUE(B4856),Client_List!$A:$A,0)),""))</f>
        <v/>
      </c>
      <c r="I4856" s="70">
        <f>IF(B4856="","",IFERROR(A4856-LOOKUP(2,1/($B$4:$B4855=B4856),$A$4:$A4855),""))</f>
        <v/>
      </c>
      <c r="J4856" s="32">
        <f>IF(B4856="","",IFERROR(D4856/I4856,""))</f>
        <v/>
      </c>
      <c r="K4856" s="71">
        <f>IF(B4856="","",IFERROR(AVERAGEIFS($J$4:$J4856,$B$4:$B4856,B4856,$J$4:$J4856,"&gt;"&amp;0),""))</f>
        <v/>
      </c>
      <c r="L4856" s="12" t="n"/>
    </row>
    <row r="4857" ht="14" customHeight="1" s="72">
      <c r="A4857" s="82" t="n"/>
      <c r="B4857" s="79" t="n"/>
      <c r="C4857" s="69">
        <f>IF(B4857="","",IFERROR(INDEX(Client_List!$B:$B,MATCH(B4857,Client_List!$A:$A,0)),"⚠ NOT FOUND"))</f>
        <v/>
      </c>
      <c r="D4857" s="44" t="n"/>
      <c r="E4857" s="32">
        <f>IF(B4857="","",IFERROR(INDEX(Client_List!$C:$C,MATCH(VALUE(B4857),Client_List!$A:$A,0)),""))</f>
        <v/>
      </c>
      <c r="F4857" s="53">
        <f>IF(B4857="","",IFERROR(INDEX(Client_List!$D:$D,MATCH(VALUE(B4857),Client_List!$A:$A,0)),""))</f>
        <v/>
      </c>
      <c r="G4857" s="53">
        <f>IF(B4857="","",IFERROR(INDEX(Client_List!$K:$K,MATCH(VALUE(B4857),Client_List!$A:$A,0)),""))</f>
        <v/>
      </c>
      <c r="H4857" s="32">
        <f>IF(B4857="","",IFERROR(INDEX(Client_List!$J:$J,MATCH(VALUE(B4857),Client_List!$A:$A,0)),""))</f>
        <v/>
      </c>
      <c r="I4857" s="70">
        <f>IF(B4857="","",IFERROR(A4857-LOOKUP(2,1/($B$4:$B4856=B4857),$A$4:$A4856),""))</f>
        <v/>
      </c>
      <c r="J4857" s="32">
        <f>IF(B4857="","",IFERROR(D4857/I4857,""))</f>
        <v/>
      </c>
      <c r="K4857" s="71">
        <f>IF(B4857="","",IFERROR(AVERAGEIFS($J$4:$J4857,$B$4:$B4857,B4857,$J$4:$J4857,"&gt;"&amp;0),""))</f>
        <v/>
      </c>
      <c r="L4857" s="11" t="n"/>
    </row>
    <row r="4858" ht="14" customHeight="1" s="72">
      <c r="A4858" s="83" t="n"/>
      <c r="B4858" s="81" t="n"/>
      <c r="C4858" s="69">
        <f>IF(B4858="","",IFERROR(INDEX(Client_List!$B:$B,MATCH(B4858,Client_List!$A:$A,0)),"⚠ NOT FOUND"))</f>
        <v/>
      </c>
      <c r="D4858" s="45" t="n"/>
      <c r="E4858" s="32">
        <f>IF(B4858="","",IFERROR(INDEX(Client_List!$C:$C,MATCH(VALUE(B4858),Client_List!$A:$A,0)),""))</f>
        <v/>
      </c>
      <c r="F4858" s="53">
        <f>IF(B4858="","",IFERROR(INDEX(Client_List!$D:$D,MATCH(VALUE(B4858),Client_List!$A:$A,0)),""))</f>
        <v/>
      </c>
      <c r="G4858" s="53">
        <f>IF(B4858="","",IFERROR(INDEX(Client_List!$K:$K,MATCH(VALUE(B4858),Client_List!$A:$A,0)),""))</f>
        <v/>
      </c>
      <c r="H4858" s="32">
        <f>IF(B4858="","",IFERROR(INDEX(Client_List!$J:$J,MATCH(VALUE(B4858),Client_List!$A:$A,0)),""))</f>
        <v/>
      </c>
      <c r="I4858" s="70">
        <f>IF(B4858="","",IFERROR(A4858-LOOKUP(2,1/($B$4:$B4857=B4858),$A$4:$A4857),""))</f>
        <v/>
      </c>
      <c r="J4858" s="32">
        <f>IF(B4858="","",IFERROR(D4858/I4858,""))</f>
        <v/>
      </c>
      <c r="K4858" s="71">
        <f>IF(B4858="","",IFERROR(AVERAGEIFS($J$4:$J4858,$B$4:$B4858,B4858,$J$4:$J4858,"&gt;"&amp;0),""))</f>
        <v/>
      </c>
      <c r="L4858" s="12" t="n"/>
    </row>
    <row r="4859" ht="14" customHeight="1" s="72">
      <c r="A4859" s="82" t="n"/>
      <c r="B4859" s="79" t="n"/>
      <c r="C4859" s="69">
        <f>IF(B4859="","",IFERROR(INDEX(Client_List!$B:$B,MATCH(B4859,Client_List!$A:$A,0)),"⚠ NOT FOUND"))</f>
        <v/>
      </c>
      <c r="D4859" s="44" t="n"/>
      <c r="E4859" s="32">
        <f>IF(B4859="","",IFERROR(INDEX(Client_List!$C:$C,MATCH(VALUE(B4859),Client_List!$A:$A,0)),""))</f>
        <v/>
      </c>
      <c r="F4859" s="53">
        <f>IF(B4859="","",IFERROR(INDEX(Client_List!$D:$D,MATCH(VALUE(B4859),Client_List!$A:$A,0)),""))</f>
        <v/>
      </c>
      <c r="G4859" s="53">
        <f>IF(B4859="","",IFERROR(INDEX(Client_List!$K:$K,MATCH(VALUE(B4859),Client_List!$A:$A,0)),""))</f>
        <v/>
      </c>
      <c r="H4859" s="32">
        <f>IF(B4859="","",IFERROR(INDEX(Client_List!$J:$J,MATCH(VALUE(B4859),Client_List!$A:$A,0)),""))</f>
        <v/>
      </c>
      <c r="I4859" s="70">
        <f>IF(B4859="","",IFERROR(A4859-LOOKUP(2,1/($B$4:$B4858=B4859),$A$4:$A4858),""))</f>
        <v/>
      </c>
      <c r="J4859" s="32">
        <f>IF(B4859="","",IFERROR(D4859/I4859,""))</f>
        <v/>
      </c>
      <c r="K4859" s="71">
        <f>IF(B4859="","",IFERROR(AVERAGEIFS($J$4:$J4859,$B$4:$B4859,B4859,$J$4:$J4859,"&gt;"&amp;0),""))</f>
        <v/>
      </c>
      <c r="L4859" s="11" t="n"/>
    </row>
    <row r="4860" ht="14" customHeight="1" s="72">
      <c r="A4860" s="83" t="n"/>
      <c r="B4860" s="81" t="n"/>
      <c r="C4860" s="69">
        <f>IF(B4860="","",IFERROR(INDEX(Client_List!$B:$B,MATCH(B4860,Client_List!$A:$A,0)),"⚠ NOT FOUND"))</f>
        <v/>
      </c>
      <c r="D4860" s="45" t="n"/>
      <c r="E4860" s="32">
        <f>IF(B4860="","",IFERROR(INDEX(Client_List!$C:$C,MATCH(VALUE(B4860),Client_List!$A:$A,0)),""))</f>
        <v/>
      </c>
      <c r="F4860" s="53">
        <f>IF(B4860="","",IFERROR(INDEX(Client_List!$D:$D,MATCH(VALUE(B4860),Client_List!$A:$A,0)),""))</f>
        <v/>
      </c>
      <c r="G4860" s="53">
        <f>IF(B4860="","",IFERROR(INDEX(Client_List!$K:$K,MATCH(VALUE(B4860),Client_List!$A:$A,0)),""))</f>
        <v/>
      </c>
      <c r="H4860" s="32">
        <f>IF(B4860="","",IFERROR(INDEX(Client_List!$J:$J,MATCH(VALUE(B4860),Client_List!$A:$A,0)),""))</f>
        <v/>
      </c>
      <c r="I4860" s="70">
        <f>IF(B4860="","",IFERROR(A4860-LOOKUP(2,1/($B$4:$B4859=B4860),$A$4:$A4859),""))</f>
        <v/>
      </c>
      <c r="J4860" s="32">
        <f>IF(B4860="","",IFERROR(D4860/I4860,""))</f>
        <v/>
      </c>
      <c r="K4860" s="71">
        <f>IF(B4860="","",IFERROR(AVERAGEIFS($J$4:$J4860,$B$4:$B4860,B4860,$J$4:$J4860,"&gt;"&amp;0),""))</f>
        <v/>
      </c>
      <c r="L4860" s="12" t="n"/>
    </row>
    <row r="4861" ht="14" customHeight="1" s="72">
      <c r="A4861" s="82" t="n"/>
      <c r="B4861" s="79" t="n"/>
      <c r="C4861" s="69">
        <f>IF(B4861="","",IFERROR(INDEX(Client_List!$B:$B,MATCH(B4861,Client_List!$A:$A,0)),"⚠ NOT FOUND"))</f>
        <v/>
      </c>
      <c r="D4861" s="44" t="n"/>
      <c r="E4861" s="32">
        <f>IF(B4861="","",IFERROR(INDEX(Client_List!$C:$C,MATCH(VALUE(B4861),Client_List!$A:$A,0)),""))</f>
        <v/>
      </c>
      <c r="F4861" s="53">
        <f>IF(B4861="","",IFERROR(INDEX(Client_List!$D:$D,MATCH(VALUE(B4861),Client_List!$A:$A,0)),""))</f>
        <v/>
      </c>
      <c r="G4861" s="53">
        <f>IF(B4861="","",IFERROR(INDEX(Client_List!$K:$K,MATCH(VALUE(B4861),Client_List!$A:$A,0)),""))</f>
        <v/>
      </c>
      <c r="H4861" s="32">
        <f>IF(B4861="","",IFERROR(INDEX(Client_List!$J:$J,MATCH(VALUE(B4861),Client_List!$A:$A,0)),""))</f>
        <v/>
      </c>
      <c r="I4861" s="70">
        <f>IF(B4861="","",IFERROR(A4861-LOOKUP(2,1/($B$4:$B4860=B4861),$A$4:$A4860),""))</f>
        <v/>
      </c>
      <c r="J4861" s="32">
        <f>IF(B4861="","",IFERROR(D4861/I4861,""))</f>
        <v/>
      </c>
      <c r="K4861" s="71">
        <f>IF(B4861="","",IFERROR(AVERAGEIFS($J$4:$J4861,$B$4:$B4861,B4861,$J$4:$J4861,"&gt;"&amp;0),""))</f>
        <v/>
      </c>
      <c r="L4861" s="11" t="n"/>
    </row>
    <row r="4862" ht="14" customHeight="1" s="72">
      <c r="A4862" s="83" t="n"/>
      <c r="B4862" s="81" t="n"/>
      <c r="C4862" s="69">
        <f>IF(B4862="","",IFERROR(INDEX(Client_List!$B:$B,MATCH(B4862,Client_List!$A:$A,0)),"⚠ NOT FOUND"))</f>
        <v/>
      </c>
      <c r="D4862" s="45" t="n"/>
      <c r="E4862" s="32">
        <f>IF(B4862="","",IFERROR(INDEX(Client_List!$C:$C,MATCH(VALUE(B4862),Client_List!$A:$A,0)),""))</f>
        <v/>
      </c>
      <c r="F4862" s="53">
        <f>IF(B4862="","",IFERROR(INDEX(Client_List!$D:$D,MATCH(VALUE(B4862),Client_List!$A:$A,0)),""))</f>
        <v/>
      </c>
      <c r="G4862" s="53">
        <f>IF(B4862="","",IFERROR(INDEX(Client_List!$K:$K,MATCH(VALUE(B4862),Client_List!$A:$A,0)),""))</f>
        <v/>
      </c>
      <c r="H4862" s="32">
        <f>IF(B4862="","",IFERROR(INDEX(Client_List!$J:$J,MATCH(VALUE(B4862),Client_List!$A:$A,0)),""))</f>
        <v/>
      </c>
      <c r="I4862" s="70">
        <f>IF(B4862="","",IFERROR(A4862-LOOKUP(2,1/($B$4:$B4861=B4862),$A$4:$A4861),""))</f>
        <v/>
      </c>
      <c r="J4862" s="32">
        <f>IF(B4862="","",IFERROR(D4862/I4862,""))</f>
        <v/>
      </c>
      <c r="K4862" s="71">
        <f>IF(B4862="","",IFERROR(AVERAGEIFS($J$4:$J4862,$B$4:$B4862,B4862,$J$4:$J4862,"&gt;"&amp;0),""))</f>
        <v/>
      </c>
      <c r="L4862" s="12" t="n"/>
    </row>
    <row r="4863" ht="14" customHeight="1" s="72">
      <c r="A4863" s="82" t="n"/>
      <c r="B4863" s="79" t="n"/>
      <c r="C4863" s="69">
        <f>IF(B4863="","",IFERROR(INDEX(Client_List!$B:$B,MATCH(B4863,Client_List!$A:$A,0)),"⚠ NOT FOUND"))</f>
        <v/>
      </c>
      <c r="D4863" s="44" t="n"/>
      <c r="E4863" s="32">
        <f>IF(B4863="","",IFERROR(INDEX(Client_List!$C:$C,MATCH(VALUE(B4863),Client_List!$A:$A,0)),""))</f>
        <v/>
      </c>
      <c r="F4863" s="53">
        <f>IF(B4863="","",IFERROR(INDEX(Client_List!$D:$D,MATCH(VALUE(B4863),Client_List!$A:$A,0)),""))</f>
        <v/>
      </c>
      <c r="G4863" s="53">
        <f>IF(B4863="","",IFERROR(INDEX(Client_List!$K:$K,MATCH(VALUE(B4863),Client_List!$A:$A,0)),""))</f>
        <v/>
      </c>
      <c r="H4863" s="32">
        <f>IF(B4863="","",IFERROR(INDEX(Client_List!$J:$J,MATCH(VALUE(B4863),Client_List!$A:$A,0)),""))</f>
        <v/>
      </c>
      <c r="I4863" s="70">
        <f>IF(B4863="","",IFERROR(A4863-LOOKUP(2,1/($B$4:$B4862=B4863),$A$4:$A4862),""))</f>
        <v/>
      </c>
      <c r="J4863" s="32">
        <f>IF(B4863="","",IFERROR(D4863/I4863,""))</f>
        <v/>
      </c>
      <c r="K4863" s="71">
        <f>IF(B4863="","",IFERROR(AVERAGEIFS($J$4:$J4863,$B$4:$B4863,B4863,$J$4:$J4863,"&gt;"&amp;0),""))</f>
        <v/>
      </c>
      <c r="L4863" s="11" t="n"/>
    </row>
    <row r="4864" ht="14" customHeight="1" s="72">
      <c r="A4864" s="83" t="n"/>
      <c r="B4864" s="81" t="n"/>
      <c r="C4864" s="69">
        <f>IF(B4864="","",IFERROR(INDEX(Client_List!$B:$B,MATCH(B4864,Client_List!$A:$A,0)),"⚠ NOT FOUND"))</f>
        <v/>
      </c>
      <c r="D4864" s="45" t="n"/>
      <c r="E4864" s="32">
        <f>IF(B4864="","",IFERROR(INDEX(Client_List!$C:$C,MATCH(VALUE(B4864),Client_List!$A:$A,0)),""))</f>
        <v/>
      </c>
      <c r="F4864" s="53">
        <f>IF(B4864="","",IFERROR(INDEX(Client_List!$D:$D,MATCH(VALUE(B4864),Client_List!$A:$A,0)),""))</f>
        <v/>
      </c>
      <c r="G4864" s="53">
        <f>IF(B4864="","",IFERROR(INDEX(Client_List!$K:$K,MATCH(VALUE(B4864),Client_List!$A:$A,0)),""))</f>
        <v/>
      </c>
      <c r="H4864" s="32">
        <f>IF(B4864="","",IFERROR(INDEX(Client_List!$J:$J,MATCH(VALUE(B4864),Client_List!$A:$A,0)),""))</f>
        <v/>
      </c>
      <c r="I4864" s="70">
        <f>IF(B4864="","",IFERROR(A4864-LOOKUP(2,1/($B$4:$B4863=B4864),$A$4:$A4863),""))</f>
        <v/>
      </c>
      <c r="J4864" s="32">
        <f>IF(B4864="","",IFERROR(D4864/I4864,""))</f>
        <v/>
      </c>
      <c r="K4864" s="71">
        <f>IF(B4864="","",IFERROR(AVERAGEIFS($J$4:$J4864,$B$4:$B4864,B4864,$J$4:$J4864,"&gt;"&amp;0),""))</f>
        <v/>
      </c>
      <c r="L4864" s="12" t="n"/>
    </row>
    <row r="4865" ht="14" customHeight="1" s="72">
      <c r="A4865" s="82" t="n"/>
      <c r="B4865" s="79" t="n"/>
      <c r="C4865" s="69">
        <f>IF(B4865="","",IFERROR(INDEX(Client_List!$B:$B,MATCH(B4865,Client_List!$A:$A,0)),"⚠ NOT FOUND"))</f>
        <v/>
      </c>
      <c r="D4865" s="44" t="n"/>
      <c r="E4865" s="32">
        <f>IF(B4865="","",IFERROR(INDEX(Client_List!$C:$C,MATCH(VALUE(B4865),Client_List!$A:$A,0)),""))</f>
        <v/>
      </c>
      <c r="F4865" s="53">
        <f>IF(B4865="","",IFERROR(INDEX(Client_List!$D:$D,MATCH(VALUE(B4865),Client_List!$A:$A,0)),""))</f>
        <v/>
      </c>
      <c r="G4865" s="53">
        <f>IF(B4865="","",IFERROR(INDEX(Client_List!$K:$K,MATCH(VALUE(B4865),Client_List!$A:$A,0)),""))</f>
        <v/>
      </c>
      <c r="H4865" s="32">
        <f>IF(B4865="","",IFERROR(INDEX(Client_List!$J:$J,MATCH(VALUE(B4865),Client_List!$A:$A,0)),""))</f>
        <v/>
      </c>
      <c r="I4865" s="70">
        <f>IF(B4865="","",IFERROR(A4865-LOOKUP(2,1/($B$4:$B4864=B4865),$A$4:$A4864),""))</f>
        <v/>
      </c>
      <c r="J4865" s="32">
        <f>IF(B4865="","",IFERROR(D4865/I4865,""))</f>
        <v/>
      </c>
      <c r="K4865" s="71">
        <f>IF(B4865="","",IFERROR(AVERAGEIFS($J$4:$J4865,$B$4:$B4865,B4865,$J$4:$J4865,"&gt;"&amp;0),""))</f>
        <v/>
      </c>
      <c r="L4865" s="11" t="n"/>
    </row>
    <row r="4866" ht="14" customHeight="1" s="72">
      <c r="A4866" s="83" t="n"/>
      <c r="B4866" s="81" t="n"/>
      <c r="C4866" s="69">
        <f>IF(B4866="","",IFERROR(INDEX(Client_List!$B:$B,MATCH(B4866,Client_List!$A:$A,0)),"⚠ NOT FOUND"))</f>
        <v/>
      </c>
      <c r="D4866" s="45" t="n"/>
      <c r="E4866" s="32">
        <f>IF(B4866="","",IFERROR(INDEX(Client_List!$C:$C,MATCH(VALUE(B4866),Client_List!$A:$A,0)),""))</f>
        <v/>
      </c>
      <c r="F4866" s="53">
        <f>IF(B4866="","",IFERROR(INDEX(Client_List!$D:$D,MATCH(VALUE(B4866),Client_List!$A:$A,0)),""))</f>
        <v/>
      </c>
      <c r="G4866" s="53">
        <f>IF(B4866="","",IFERROR(INDEX(Client_List!$K:$K,MATCH(VALUE(B4866),Client_List!$A:$A,0)),""))</f>
        <v/>
      </c>
      <c r="H4866" s="32">
        <f>IF(B4866="","",IFERROR(INDEX(Client_List!$J:$J,MATCH(VALUE(B4866),Client_List!$A:$A,0)),""))</f>
        <v/>
      </c>
      <c r="I4866" s="70">
        <f>IF(B4866="","",IFERROR(A4866-LOOKUP(2,1/($B$4:$B4865=B4866),$A$4:$A4865),""))</f>
        <v/>
      </c>
      <c r="J4866" s="32">
        <f>IF(B4866="","",IFERROR(D4866/I4866,""))</f>
        <v/>
      </c>
      <c r="K4866" s="71">
        <f>IF(B4866="","",IFERROR(AVERAGEIFS($J$4:$J4866,$B$4:$B4866,B4866,$J$4:$J4866,"&gt;"&amp;0),""))</f>
        <v/>
      </c>
      <c r="L4866" s="12" t="n"/>
    </row>
    <row r="4867" ht="14" customHeight="1" s="72">
      <c r="A4867" s="82" t="n"/>
      <c r="B4867" s="79" t="n"/>
      <c r="C4867" s="69">
        <f>IF(B4867="","",IFERROR(INDEX(Client_List!$B:$B,MATCH(B4867,Client_List!$A:$A,0)),"⚠ NOT FOUND"))</f>
        <v/>
      </c>
      <c r="D4867" s="44" t="n"/>
      <c r="E4867" s="32">
        <f>IF(B4867="","",IFERROR(INDEX(Client_List!$C:$C,MATCH(VALUE(B4867),Client_List!$A:$A,0)),""))</f>
        <v/>
      </c>
      <c r="F4867" s="53">
        <f>IF(B4867="","",IFERROR(INDEX(Client_List!$D:$D,MATCH(VALUE(B4867),Client_List!$A:$A,0)),""))</f>
        <v/>
      </c>
      <c r="G4867" s="53">
        <f>IF(B4867="","",IFERROR(INDEX(Client_List!$K:$K,MATCH(VALUE(B4867),Client_List!$A:$A,0)),""))</f>
        <v/>
      </c>
      <c r="H4867" s="32">
        <f>IF(B4867="","",IFERROR(INDEX(Client_List!$J:$J,MATCH(VALUE(B4867),Client_List!$A:$A,0)),""))</f>
        <v/>
      </c>
      <c r="I4867" s="70">
        <f>IF(B4867="","",IFERROR(A4867-LOOKUP(2,1/($B$4:$B4866=B4867),$A$4:$A4866),""))</f>
        <v/>
      </c>
      <c r="J4867" s="32">
        <f>IF(B4867="","",IFERROR(D4867/I4867,""))</f>
        <v/>
      </c>
      <c r="K4867" s="71">
        <f>IF(B4867="","",IFERROR(AVERAGEIFS($J$4:$J4867,$B$4:$B4867,B4867,$J$4:$J4867,"&gt;"&amp;0),""))</f>
        <v/>
      </c>
      <c r="L4867" s="11" t="n"/>
    </row>
    <row r="4868" ht="14" customHeight="1" s="72">
      <c r="A4868" s="83" t="n"/>
      <c r="B4868" s="81" t="n"/>
      <c r="C4868" s="69">
        <f>IF(B4868="","",IFERROR(INDEX(Client_List!$B:$B,MATCH(B4868,Client_List!$A:$A,0)),"⚠ NOT FOUND"))</f>
        <v/>
      </c>
      <c r="D4868" s="45" t="n"/>
      <c r="E4868" s="32">
        <f>IF(B4868="","",IFERROR(INDEX(Client_List!$C:$C,MATCH(VALUE(B4868),Client_List!$A:$A,0)),""))</f>
        <v/>
      </c>
      <c r="F4868" s="53">
        <f>IF(B4868="","",IFERROR(INDEX(Client_List!$D:$D,MATCH(VALUE(B4868),Client_List!$A:$A,0)),""))</f>
        <v/>
      </c>
      <c r="G4868" s="53">
        <f>IF(B4868="","",IFERROR(INDEX(Client_List!$K:$K,MATCH(VALUE(B4868),Client_List!$A:$A,0)),""))</f>
        <v/>
      </c>
      <c r="H4868" s="32">
        <f>IF(B4868="","",IFERROR(INDEX(Client_List!$J:$J,MATCH(VALUE(B4868),Client_List!$A:$A,0)),""))</f>
        <v/>
      </c>
      <c r="I4868" s="70">
        <f>IF(B4868="","",IFERROR(A4868-LOOKUP(2,1/($B$4:$B4867=B4868),$A$4:$A4867),""))</f>
        <v/>
      </c>
      <c r="J4868" s="32">
        <f>IF(B4868="","",IFERROR(D4868/I4868,""))</f>
        <v/>
      </c>
      <c r="K4868" s="71">
        <f>IF(B4868="","",IFERROR(AVERAGEIFS($J$4:$J4868,$B$4:$B4868,B4868,$J$4:$J4868,"&gt;"&amp;0),""))</f>
        <v/>
      </c>
      <c r="L4868" s="12" t="n"/>
    </row>
    <row r="4869" ht="14" customHeight="1" s="72">
      <c r="A4869" s="82" t="n"/>
      <c r="B4869" s="79" t="n"/>
      <c r="C4869" s="69">
        <f>IF(B4869="","",IFERROR(INDEX(Client_List!$B:$B,MATCH(B4869,Client_List!$A:$A,0)),"⚠ NOT FOUND"))</f>
        <v/>
      </c>
      <c r="D4869" s="44" t="n"/>
      <c r="E4869" s="32">
        <f>IF(B4869="","",IFERROR(INDEX(Client_List!$C:$C,MATCH(VALUE(B4869),Client_List!$A:$A,0)),""))</f>
        <v/>
      </c>
      <c r="F4869" s="53">
        <f>IF(B4869="","",IFERROR(INDEX(Client_List!$D:$D,MATCH(VALUE(B4869),Client_List!$A:$A,0)),""))</f>
        <v/>
      </c>
      <c r="G4869" s="53">
        <f>IF(B4869="","",IFERROR(INDEX(Client_List!$K:$K,MATCH(VALUE(B4869),Client_List!$A:$A,0)),""))</f>
        <v/>
      </c>
      <c r="H4869" s="32">
        <f>IF(B4869="","",IFERROR(INDEX(Client_List!$J:$J,MATCH(VALUE(B4869),Client_List!$A:$A,0)),""))</f>
        <v/>
      </c>
      <c r="I4869" s="70">
        <f>IF(B4869="","",IFERROR(A4869-LOOKUP(2,1/($B$4:$B4868=B4869),$A$4:$A4868),""))</f>
        <v/>
      </c>
      <c r="J4869" s="32">
        <f>IF(B4869="","",IFERROR(D4869/I4869,""))</f>
        <v/>
      </c>
      <c r="K4869" s="71">
        <f>IF(B4869="","",IFERROR(AVERAGEIFS($J$4:$J4869,$B$4:$B4869,B4869,$J$4:$J4869,"&gt;"&amp;0),""))</f>
        <v/>
      </c>
      <c r="L4869" s="11" t="n"/>
    </row>
    <row r="4870" ht="14" customHeight="1" s="72">
      <c r="A4870" s="83" t="n"/>
      <c r="B4870" s="81" t="n"/>
      <c r="C4870" s="69">
        <f>IF(B4870="","",IFERROR(INDEX(Client_List!$B:$B,MATCH(B4870,Client_List!$A:$A,0)),"⚠ NOT FOUND"))</f>
        <v/>
      </c>
      <c r="D4870" s="45" t="n"/>
      <c r="E4870" s="32">
        <f>IF(B4870="","",IFERROR(INDEX(Client_List!$C:$C,MATCH(VALUE(B4870),Client_List!$A:$A,0)),""))</f>
        <v/>
      </c>
      <c r="F4870" s="53">
        <f>IF(B4870="","",IFERROR(INDEX(Client_List!$D:$D,MATCH(VALUE(B4870),Client_List!$A:$A,0)),""))</f>
        <v/>
      </c>
      <c r="G4870" s="53">
        <f>IF(B4870="","",IFERROR(INDEX(Client_List!$K:$K,MATCH(VALUE(B4870),Client_List!$A:$A,0)),""))</f>
        <v/>
      </c>
      <c r="H4870" s="32">
        <f>IF(B4870="","",IFERROR(INDEX(Client_List!$J:$J,MATCH(VALUE(B4870),Client_List!$A:$A,0)),""))</f>
        <v/>
      </c>
      <c r="I4870" s="70">
        <f>IF(B4870="","",IFERROR(A4870-LOOKUP(2,1/($B$4:$B4869=B4870),$A$4:$A4869),""))</f>
        <v/>
      </c>
      <c r="J4870" s="32">
        <f>IF(B4870="","",IFERROR(D4870/I4870,""))</f>
        <v/>
      </c>
      <c r="K4870" s="71">
        <f>IF(B4870="","",IFERROR(AVERAGEIFS($J$4:$J4870,$B$4:$B4870,B4870,$J$4:$J4870,"&gt;"&amp;0),""))</f>
        <v/>
      </c>
      <c r="L4870" s="12" t="n"/>
    </row>
    <row r="4871" ht="14" customHeight="1" s="72">
      <c r="A4871" s="82" t="n"/>
      <c r="B4871" s="79" t="n"/>
      <c r="C4871" s="69">
        <f>IF(B4871="","",IFERROR(INDEX(Client_List!$B:$B,MATCH(B4871,Client_List!$A:$A,0)),"⚠ NOT FOUND"))</f>
        <v/>
      </c>
      <c r="D4871" s="44" t="n"/>
      <c r="E4871" s="32">
        <f>IF(B4871="","",IFERROR(INDEX(Client_List!$C:$C,MATCH(VALUE(B4871),Client_List!$A:$A,0)),""))</f>
        <v/>
      </c>
      <c r="F4871" s="53">
        <f>IF(B4871="","",IFERROR(INDEX(Client_List!$D:$D,MATCH(VALUE(B4871),Client_List!$A:$A,0)),""))</f>
        <v/>
      </c>
      <c r="G4871" s="53">
        <f>IF(B4871="","",IFERROR(INDEX(Client_List!$K:$K,MATCH(VALUE(B4871),Client_List!$A:$A,0)),""))</f>
        <v/>
      </c>
      <c r="H4871" s="32">
        <f>IF(B4871="","",IFERROR(INDEX(Client_List!$J:$J,MATCH(VALUE(B4871),Client_List!$A:$A,0)),""))</f>
        <v/>
      </c>
      <c r="I4871" s="70">
        <f>IF(B4871="","",IFERROR(A4871-LOOKUP(2,1/($B$4:$B4870=B4871),$A$4:$A4870),""))</f>
        <v/>
      </c>
      <c r="J4871" s="32">
        <f>IF(B4871="","",IFERROR(D4871/I4871,""))</f>
        <v/>
      </c>
      <c r="K4871" s="71">
        <f>IF(B4871="","",IFERROR(AVERAGEIFS($J$4:$J4871,$B$4:$B4871,B4871,$J$4:$J4871,"&gt;"&amp;0),""))</f>
        <v/>
      </c>
      <c r="L4871" s="11" t="n"/>
    </row>
    <row r="4872" ht="14" customHeight="1" s="72">
      <c r="A4872" s="83" t="n"/>
      <c r="B4872" s="81" t="n"/>
      <c r="C4872" s="69">
        <f>IF(B4872="","",IFERROR(INDEX(Client_List!$B:$B,MATCH(B4872,Client_List!$A:$A,0)),"⚠ NOT FOUND"))</f>
        <v/>
      </c>
      <c r="D4872" s="45" t="n"/>
      <c r="E4872" s="32">
        <f>IF(B4872="","",IFERROR(INDEX(Client_List!$C:$C,MATCH(VALUE(B4872),Client_List!$A:$A,0)),""))</f>
        <v/>
      </c>
      <c r="F4872" s="53">
        <f>IF(B4872="","",IFERROR(INDEX(Client_List!$D:$D,MATCH(VALUE(B4872),Client_List!$A:$A,0)),""))</f>
        <v/>
      </c>
      <c r="G4872" s="53">
        <f>IF(B4872="","",IFERROR(INDEX(Client_List!$K:$K,MATCH(VALUE(B4872),Client_List!$A:$A,0)),""))</f>
        <v/>
      </c>
      <c r="H4872" s="32">
        <f>IF(B4872="","",IFERROR(INDEX(Client_List!$J:$J,MATCH(VALUE(B4872),Client_List!$A:$A,0)),""))</f>
        <v/>
      </c>
      <c r="I4872" s="70">
        <f>IF(B4872="","",IFERROR(A4872-LOOKUP(2,1/($B$4:$B4871=B4872),$A$4:$A4871),""))</f>
        <v/>
      </c>
      <c r="J4872" s="32">
        <f>IF(B4872="","",IFERROR(D4872/I4872,""))</f>
        <v/>
      </c>
      <c r="K4872" s="71">
        <f>IF(B4872="","",IFERROR(AVERAGEIFS($J$4:$J4872,$B$4:$B4872,B4872,$J$4:$J4872,"&gt;"&amp;0),""))</f>
        <v/>
      </c>
      <c r="L4872" s="12" t="n"/>
    </row>
    <row r="4873" ht="14" customHeight="1" s="72">
      <c r="A4873" s="82" t="n"/>
      <c r="B4873" s="79" t="n"/>
      <c r="C4873" s="69">
        <f>IF(B4873="","",IFERROR(INDEX(Client_List!$B:$B,MATCH(B4873,Client_List!$A:$A,0)),"⚠ NOT FOUND"))</f>
        <v/>
      </c>
      <c r="D4873" s="44" t="n"/>
      <c r="E4873" s="32">
        <f>IF(B4873="","",IFERROR(INDEX(Client_List!$C:$C,MATCH(VALUE(B4873),Client_List!$A:$A,0)),""))</f>
        <v/>
      </c>
      <c r="F4873" s="53">
        <f>IF(B4873="","",IFERROR(INDEX(Client_List!$D:$D,MATCH(VALUE(B4873),Client_List!$A:$A,0)),""))</f>
        <v/>
      </c>
      <c r="G4873" s="53">
        <f>IF(B4873="","",IFERROR(INDEX(Client_List!$K:$K,MATCH(VALUE(B4873),Client_List!$A:$A,0)),""))</f>
        <v/>
      </c>
      <c r="H4873" s="32">
        <f>IF(B4873="","",IFERROR(INDEX(Client_List!$J:$J,MATCH(VALUE(B4873),Client_List!$A:$A,0)),""))</f>
        <v/>
      </c>
      <c r="I4873" s="70">
        <f>IF(B4873="","",IFERROR(A4873-LOOKUP(2,1/($B$4:$B4872=B4873),$A$4:$A4872),""))</f>
        <v/>
      </c>
      <c r="J4873" s="32">
        <f>IF(B4873="","",IFERROR(D4873/I4873,""))</f>
        <v/>
      </c>
      <c r="K4873" s="71">
        <f>IF(B4873="","",IFERROR(AVERAGEIFS($J$4:$J4873,$B$4:$B4873,B4873,$J$4:$J4873,"&gt;"&amp;0),""))</f>
        <v/>
      </c>
      <c r="L4873" s="11" t="n"/>
    </row>
    <row r="4874" ht="14" customHeight="1" s="72">
      <c r="A4874" s="83" t="n"/>
      <c r="B4874" s="81" t="n"/>
      <c r="C4874" s="69">
        <f>IF(B4874="","",IFERROR(INDEX(Client_List!$B:$B,MATCH(B4874,Client_List!$A:$A,0)),"⚠ NOT FOUND"))</f>
        <v/>
      </c>
      <c r="D4874" s="45" t="n"/>
      <c r="E4874" s="32">
        <f>IF(B4874="","",IFERROR(INDEX(Client_List!$C:$C,MATCH(VALUE(B4874),Client_List!$A:$A,0)),""))</f>
        <v/>
      </c>
      <c r="F4874" s="53">
        <f>IF(B4874="","",IFERROR(INDEX(Client_List!$D:$D,MATCH(VALUE(B4874),Client_List!$A:$A,0)),""))</f>
        <v/>
      </c>
      <c r="G4874" s="53">
        <f>IF(B4874="","",IFERROR(INDEX(Client_List!$K:$K,MATCH(VALUE(B4874),Client_List!$A:$A,0)),""))</f>
        <v/>
      </c>
      <c r="H4874" s="32">
        <f>IF(B4874="","",IFERROR(INDEX(Client_List!$J:$J,MATCH(VALUE(B4874),Client_List!$A:$A,0)),""))</f>
        <v/>
      </c>
      <c r="I4874" s="70">
        <f>IF(B4874="","",IFERROR(A4874-LOOKUP(2,1/($B$4:$B4873=B4874),$A$4:$A4873),""))</f>
        <v/>
      </c>
      <c r="J4874" s="32">
        <f>IF(B4874="","",IFERROR(D4874/I4874,""))</f>
        <v/>
      </c>
      <c r="K4874" s="71">
        <f>IF(B4874="","",IFERROR(AVERAGEIFS($J$4:$J4874,$B$4:$B4874,B4874,$J$4:$J4874,"&gt;"&amp;0),""))</f>
        <v/>
      </c>
      <c r="L4874" s="12" t="n"/>
    </row>
    <row r="4875" ht="14" customHeight="1" s="72">
      <c r="A4875" s="82" t="n"/>
      <c r="B4875" s="79" t="n"/>
      <c r="C4875" s="69">
        <f>IF(B4875="","",IFERROR(INDEX(Client_List!$B:$B,MATCH(B4875,Client_List!$A:$A,0)),"⚠ NOT FOUND"))</f>
        <v/>
      </c>
      <c r="D4875" s="44" t="n"/>
      <c r="E4875" s="32">
        <f>IF(B4875="","",IFERROR(INDEX(Client_List!$C:$C,MATCH(VALUE(B4875),Client_List!$A:$A,0)),""))</f>
        <v/>
      </c>
      <c r="F4875" s="53">
        <f>IF(B4875="","",IFERROR(INDEX(Client_List!$D:$D,MATCH(VALUE(B4875),Client_List!$A:$A,0)),""))</f>
        <v/>
      </c>
      <c r="G4875" s="53">
        <f>IF(B4875="","",IFERROR(INDEX(Client_List!$K:$K,MATCH(VALUE(B4875),Client_List!$A:$A,0)),""))</f>
        <v/>
      </c>
      <c r="H4875" s="32">
        <f>IF(B4875="","",IFERROR(INDEX(Client_List!$J:$J,MATCH(VALUE(B4875),Client_List!$A:$A,0)),""))</f>
        <v/>
      </c>
      <c r="I4875" s="70">
        <f>IF(B4875="","",IFERROR(A4875-LOOKUP(2,1/($B$4:$B4874=B4875),$A$4:$A4874),""))</f>
        <v/>
      </c>
      <c r="J4875" s="32">
        <f>IF(B4875="","",IFERROR(D4875/I4875,""))</f>
        <v/>
      </c>
      <c r="K4875" s="71">
        <f>IF(B4875="","",IFERROR(AVERAGEIFS($J$4:$J4875,$B$4:$B4875,B4875,$J$4:$J4875,"&gt;"&amp;0),""))</f>
        <v/>
      </c>
      <c r="L4875" s="11" t="n"/>
    </row>
    <row r="4876" ht="14" customHeight="1" s="72">
      <c r="A4876" s="83" t="n"/>
      <c r="B4876" s="81" t="n"/>
      <c r="C4876" s="69">
        <f>IF(B4876="","",IFERROR(INDEX(Client_List!$B:$B,MATCH(B4876,Client_List!$A:$A,0)),"⚠ NOT FOUND"))</f>
        <v/>
      </c>
      <c r="D4876" s="45" t="n"/>
      <c r="E4876" s="32">
        <f>IF(B4876="","",IFERROR(INDEX(Client_List!$C:$C,MATCH(VALUE(B4876),Client_List!$A:$A,0)),""))</f>
        <v/>
      </c>
      <c r="F4876" s="53">
        <f>IF(B4876="","",IFERROR(INDEX(Client_List!$D:$D,MATCH(VALUE(B4876),Client_List!$A:$A,0)),""))</f>
        <v/>
      </c>
      <c r="G4876" s="53">
        <f>IF(B4876="","",IFERROR(INDEX(Client_List!$K:$K,MATCH(VALUE(B4876),Client_List!$A:$A,0)),""))</f>
        <v/>
      </c>
      <c r="H4876" s="32">
        <f>IF(B4876="","",IFERROR(INDEX(Client_List!$J:$J,MATCH(VALUE(B4876),Client_List!$A:$A,0)),""))</f>
        <v/>
      </c>
      <c r="I4876" s="70">
        <f>IF(B4876="","",IFERROR(A4876-LOOKUP(2,1/($B$4:$B4875=B4876),$A$4:$A4875),""))</f>
        <v/>
      </c>
      <c r="J4876" s="32">
        <f>IF(B4876="","",IFERROR(D4876/I4876,""))</f>
        <v/>
      </c>
      <c r="K4876" s="71">
        <f>IF(B4876="","",IFERROR(AVERAGEIFS($J$4:$J4876,$B$4:$B4876,B4876,$J$4:$J4876,"&gt;"&amp;0),""))</f>
        <v/>
      </c>
      <c r="L4876" s="12" t="n"/>
    </row>
    <row r="4877" ht="14" customHeight="1" s="72">
      <c r="A4877" s="82" t="n"/>
      <c r="B4877" s="79" t="n"/>
      <c r="C4877" s="69">
        <f>IF(B4877="","",IFERROR(INDEX(Client_List!$B:$B,MATCH(B4877,Client_List!$A:$A,0)),"⚠ NOT FOUND"))</f>
        <v/>
      </c>
      <c r="D4877" s="44" t="n"/>
      <c r="E4877" s="32">
        <f>IF(B4877="","",IFERROR(INDEX(Client_List!$C:$C,MATCH(VALUE(B4877),Client_List!$A:$A,0)),""))</f>
        <v/>
      </c>
      <c r="F4877" s="53">
        <f>IF(B4877="","",IFERROR(INDEX(Client_List!$D:$D,MATCH(VALUE(B4877),Client_List!$A:$A,0)),""))</f>
        <v/>
      </c>
      <c r="G4877" s="53">
        <f>IF(B4877="","",IFERROR(INDEX(Client_List!$K:$K,MATCH(VALUE(B4877),Client_List!$A:$A,0)),""))</f>
        <v/>
      </c>
      <c r="H4877" s="32">
        <f>IF(B4877="","",IFERROR(INDEX(Client_List!$J:$J,MATCH(VALUE(B4877),Client_List!$A:$A,0)),""))</f>
        <v/>
      </c>
      <c r="I4877" s="70">
        <f>IF(B4877="","",IFERROR(A4877-LOOKUP(2,1/($B$4:$B4876=B4877),$A$4:$A4876),""))</f>
        <v/>
      </c>
      <c r="J4877" s="32">
        <f>IF(B4877="","",IFERROR(D4877/I4877,""))</f>
        <v/>
      </c>
      <c r="K4877" s="71">
        <f>IF(B4877="","",IFERROR(AVERAGEIFS($J$4:$J4877,$B$4:$B4877,B4877,$J$4:$J4877,"&gt;"&amp;0),""))</f>
        <v/>
      </c>
      <c r="L4877" s="11" t="n"/>
    </row>
    <row r="4878" ht="14" customHeight="1" s="72">
      <c r="A4878" s="83" t="n"/>
      <c r="B4878" s="81" t="n"/>
      <c r="C4878" s="69">
        <f>IF(B4878="","",IFERROR(INDEX(Client_List!$B:$B,MATCH(B4878,Client_List!$A:$A,0)),"⚠ NOT FOUND"))</f>
        <v/>
      </c>
      <c r="D4878" s="45" t="n"/>
      <c r="E4878" s="32">
        <f>IF(B4878="","",IFERROR(INDEX(Client_List!$C:$C,MATCH(VALUE(B4878),Client_List!$A:$A,0)),""))</f>
        <v/>
      </c>
      <c r="F4878" s="53">
        <f>IF(B4878="","",IFERROR(INDEX(Client_List!$D:$D,MATCH(VALUE(B4878),Client_List!$A:$A,0)),""))</f>
        <v/>
      </c>
      <c r="G4878" s="53">
        <f>IF(B4878="","",IFERROR(INDEX(Client_List!$K:$K,MATCH(VALUE(B4878),Client_List!$A:$A,0)),""))</f>
        <v/>
      </c>
      <c r="H4878" s="32">
        <f>IF(B4878="","",IFERROR(INDEX(Client_List!$J:$J,MATCH(VALUE(B4878),Client_List!$A:$A,0)),""))</f>
        <v/>
      </c>
      <c r="I4878" s="70">
        <f>IF(B4878="","",IFERROR(A4878-LOOKUP(2,1/($B$4:$B4877=B4878),$A$4:$A4877),""))</f>
        <v/>
      </c>
      <c r="J4878" s="32">
        <f>IF(B4878="","",IFERROR(D4878/I4878,""))</f>
        <v/>
      </c>
      <c r="K4878" s="71">
        <f>IF(B4878="","",IFERROR(AVERAGEIFS($J$4:$J4878,$B$4:$B4878,B4878,$J$4:$J4878,"&gt;"&amp;0),""))</f>
        <v/>
      </c>
      <c r="L4878" s="12" t="n"/>
    </row>
    <row r="4879" ht="14" customHeight="1" s="72">
      <c r="A4879" s="82" t="n"/>
      <c r="B4879" s="79" t="n"/>
      <c r="C4879" s="69">
        <f>IF(B4879="","",IFERROR(INDEX(Client_List!$B:$B,MATCH(B4879,Client_List!$A:$A,0)),"⚠ NOT FOUND"))</f>
        <v/>
      </c>
      <c r="D4879" s="44" t="n"/>
      <c r="E4879" s="32">
        <f>IF(B4879="","",IFERROR(INDEX(Client_List!$C:$C,MATCH(VALUE(B4879),Client_List!$A:$A,0)),""))</f>
        <v/>
      </c>
      <c r="F4879" s="53">
        <f>IF(B4879="","",IFERROR(INDEX(Client_List!$D:$D,MATCH(VALUE(B4879),Client_List!$A:$A,0)),""))</f>
        <v/>
      </c>
      <c r="G4879" s="53">
        <f>IF(B4879="","",IFERROR(INDEX(Client_List!$K:$K,MATCH(VALUE(B4879),Client_List!$A:$A,0)),""))</f>
        <v/>
      </c>
      <c r="H4879" s="32">
        <f>IF(B4879="","",IFERROR(INDEX(Client_List!$J:$J,MATCH(VALUE(B4879),Client_List!$A:$A,0)),""))</f>
        <v/>
      </c>
      <c r="I4879" s="70">
        <f>IF(B4879="","",IFERROR(A4879-LOOKUP(2,1/($B$4:$B4878=B4879),$A$4:$A4878),""))</f>
        <v/>
      </c>
      <c r="J4879" s="32">
        <f>IF(B4879="","",IFERROR(D4879/I4879,""))</f>
        <v/>
      </c>
      <c r="K4879" s="71">
        <f>IF(B4879="","",IFERROR(AVERAGEIFS($J$4:$J4879,$B$4:$B4879,B4879,$J$4:$J4879,"&gt;"&amp;0),""))</f>
        <v/>
      </c>
      <c r="L4879" s="11" t="n"/>
    </row>
    <row r="4880" ht="14" customHeight="1" s="72">
      <c r="A4880" s="83" t="n"/>
      <c r="B4880" s="81" t="n"/>
      <c r="C4880" s="69">
        <f>IF(B4880="","",IFERROR(INDEX(Client_List!$B:$B,MATCH(B4880,Client_List!$A:$A,0)),"⚠ NOT FOUND"))</f>
        <v/>
      </c>
      <c r="D4880" s="45" t="n"/>
      <c r="E4880" s="32">
        <f>IF(B4880="","",IFERROR(INDEX(Client_List!$C:$C,MATCH(VALUE(B4880),Client_List!$A:$A,0)),""))</f>
        <v/>
      </c>
      <c r="F4880" s="53">
        <f>IF(B4880="","",IFERROR(INDEX(Client_List!$D:$D,MATCH(VALUE(B4880),Client_List!$A:$A,0)),""))</f>
        <v/>
      </c>
      <c r="G4880" s="53">
        <f>IF(B4880="","",IFERROR(INDEX(Client_List!$K:$K,MATCH(VALUE(B4880),Client_List!$A:$A,0)),""))</f>
        <v/>
      </c>
      <c r="H4880" s="32">
        <f>IF(B4880="","",IFERROR(INDEX(Client_List!$J:$J,MATCH(VALUE(B4880),Client_List!$A:$A,0)),""))</f>
        <v/>
      </c>
      <c r="I4880" s="70">
        <f>IF(B4880="","",IFERROR(A4880-LOOKUP(2,1/($B$4:$B4879=B4880),$A$4:$A4879),""))</f>
        <v/>
      </c>
      <c r="J4880" s="32">
        <f>IF(B4880="","",IFERROR(D4880/I4880,""))</f>
        <v/>
      </c>
      <c r="K4880" s="71">
        <f>IF(B4880="","",IFERROR(AVERAGEIFS($J$4:$J4880,$B$4:$B4880,B4880,$J$4:$J4880,"&gt;"&amp;0),""))</f>
        <v/>
      </c>
      <c r="L4880" s="12" t="n"/>
    </row>
    <row r="4881" ht="14" customHeight="1" s="72">
      <c r="A4881" s="82" t="n"/>
      <c r="B4881" s="79" t="n"/>
      <c r="C4881" s="69">
        <f>IF(B4881="","",IFERROR(INDEX(Client_List!$B:$B,MATCH(B4881,Client_List!$A:$A,0)),"⚠ NOT FOUND"))</f>
        <v/>
      </c>
      <c r="D4881" s="44" t="n"/>
      <c r="E4881" s="32">
        <f>IF(B4881="","",IFERROR(INDEX(Client_List!$C:$C,MATCH(VALUE(B4881),Client_List!$A:$A,0)),""))</f>
        <v/>
      </c>
      <c r="F4881" s="53">
        <f>IF(B4881="","",IFERROR(INDEX(Client_List!$D:$D,MATCH(VALUE(B4881),Client_List!$A:$A,0)),""))</f>
        <v/>
      </c>
      <c r="G4881" s="53">
        <f>IF(B4881="","",IFERROR(INDEX(Client_List!$K:$K,MATCH(VALUE(B4881),Client_List!$A:$A,0)),""))</f>
        <v/>
      </c>
      <c r="H4881" s="32">
        <f>IF(B4881="","",IFERROR(INDEX(Client_List!$J:$J,MATCH(VALUE(B4881),Client_List!$A:$A,0)),""))</f>
        <v/>
      </c>
      <c r="I4881" s="70">
        <f>IF(B4881="","",IFERROR(A4881-LOOKUP(2,1/($B$4:$B4880=B4881),$A$4:$A4880),""))</f>
        <v/>
      </c>
      <c r="J4881" s="32">
        <f>IF(B4881="","",IFERROR(D4881/I4881,""))</f>
        <v/>
      </c>
      <c r="K4881" s="71">
        <f>IF(B4881="","",IFERROR(AVERAGEIFS($J$4:$J4881,$B$4:$B4881,B4881,$J$4:$J4881,"&gt;"&amp;0),""))</f>
        <v/>
      </c>
      <c r="L4881" s="11" t="n"/>
    </row>
    <row r="4882" ht="14" customHeight="1" s="72">
      <c r="A4882" s="83" t="n"/>
      <c r="B4882" s="81" t="n"/>
      <c r="C4882" s="69">
        <f>IF(B4882="","",IFERROR(INDEX(Client_List!$B:$B,MATCH(B4882,Client_List!$A:$A,0)),"⚠ NOT FOUND"))</f>
        <v/>
      </c>
      <c r="D4882" s="45" t="n"/>
      <c r="E4882" s="32">
        <f>IF(B4882="","",IFERROR(INDEX(Client_List!$C:$C,MATCH(VALUE(B4882),Client_List!$A:$A,0)),""))</f>
        <v/>
      </c>
      <c r="F4882" s="53">
        <f>IF(B4882="","",IFERROR(INDEX(Client_List!$D:$D,MATCH(VALUE(B4882),Client_List!$A:$A,0)),""))</f>
        <v/>
      </c>
      <c r="G4882" s="53">
        <f>IF(B4882="","",IFERROR(INDEX(Client_List!$K:$K,MATCH(VALUE(B4882),Client_List!$A:$A,0)),""))</f>
        <v/>
      </c>
      <c r="H4882" s="32">
        <f>IF(B4882="","",IFERROR(INDEX(Client_List!$J:$J,MATCH(VALUE(B4882),Client_List!$A:$A,0)),""))</f>
        <v/>
      </c>
      <c r="I4882" s="70">
        <f>IF(B4882="","",IFERROR(A4882-LOOKUP(2,1/($B$4:$B4881=B4882),$A$4:$A4881),""))</f>
        <v/>
      </c>
      <c r="J4882" s="32">
        <f>IF(B4882="","",IFERROR(D4882/I4882,""))</f>
        <v/>
      </c>
      <c r="K4882" s="71">
        <f>IF(B4882="","",IFERROR(AVERAGEIFS($J$4:$J4882,$B$4:$B4882,B4882,$J$4:$J4882,"&gt;"&amp;0),""))</f>
        <v/>
      </c>
      <c r="L4882" s="12" t="n"/>
    </row>
    <row r="4883" ht="14" customHeight="1" s="72">
      <c r="A4883" s="82" t="n"/>
      <c r="B4883" s="79" t="n"/>
      <c r="C4883" s="69">
        <f>IF(B4883="","",IFERROR(INDEX(Client_List!$B:$B,MATCH(B4883,Client_List!$A:$A,0)),"⚠ NOT FOUND"))</f>
        <v/>
      </c>
      <c r="D4883" s="44" t="n"/>
      <c r="E4883" s="32">
        <f>IF(B4883="","",IFERROR(INDEX(Client_List!$C:$C,MATCH(VALUE(B4883),Client_List!$A:$A,0)),""))</f>
        <v/>
      </c>
      <c r="F4883" s="53">
        <f>IF(B4883="","",IFERROR(INDEX(Client_List!$D:$D,MATCH(VALUE(B4883),Client_List!$A:$A,0)),""))</f>
        <v/>
      </c>
      <c r="G4883" s="53">
        <f>IF(B4883="","",IFERROR(INDEX(Client_List!$K:$K,MATCH(VALUE(B4883),Client_List!$A:$A,0)),""))</f>
        <v/>
      </c>
      <c r="H4883" s="32">
        <f>IF(B4883="","",IFERROR(INDEX(Client_List!$J:$J,MATCH(VALUE(B4883),Client_List!$A:$A,0)),""))</f>
        <v/>
      </c>
      <c r="I4883" s="70">
        <f>IF(B4883="","",IFERROR(A4883-LOOKUP(2,1/($B$4:$B4882=B4883),$A$4:$A4882),""))</f>
        <v/>
      </c>
      <c r="J4883" s="32">
        <f>IF(B4883="","",IFERROR(D4883/I4883,""))</f>
        <v/>
      </c>
      <c r="K4883" s="71">
        <f>IF(B4883="","",IFERROR(AVERAGEIFS($J$4:$J4883,$B$4:$B4883,B4883,$J$4:$J4883,"&gt;"&amp;0),""))</f>
        <v/>
      </c>
      <c r="L4883" s="11" t="n"/>
    </row>
    <row r="4884" ht="14" customHeight="1" s="72">
      <c r="A4884" s="83" t="n"/>
      <c r="B4884" s="81" t="n"/>
      <c r="C4884" s="69">
        <f>IF(B4884="","",IFERROR(INDEX(Client_List!$B:$B,MATCH(B4884,Client_List!$A:$A,0)),"⚠ NOT FOUND"))</f>
        <v/>
      </c>
      <c r="D4884" s="45" t="n"/>
      <c r="E4884" s="32">
        <f>IF(B4884="","",IFERROR(INDEX(Client_List!$C:$C,MATCH(VALUE(B4884),Client_List!$A:$A,0)),""))</f>
        <v/>
      </c>
      <c r="F4884" s="53">
        <f>IF(B4884="","",IFERROR(INDEX(Client_List!$D:$D,MATCH(VALUE(B4884),Client_List!$A:$A,0)),""))</f>
        <v/>
      </c>
      <c r="G4884" s="53">
        <f>IF(B4884="","",IFERROR(INDEX(Client_List!$K:$K,MATCH(VALUE(B4884),Client_List!$A:$A,0)),""))</f>
        <v/>
      </c>
      <c r="H4884" s="32">
        <f>IF(B4884="","",IFERROR(INDEX(Client_List!$J:$J,MATCH(VALUE(B4884),Client_List!$A:$A,0)),""))</f>
        <v/>
      </c>
      <c r="I4884" s="70">
        <f>IF(B4884="","",IFERROR(A4884-LOOKUP(2,1/($B$4:$B4883=B4884),$A$4:$A4883),""))</f>
        <v/>
      </c>
      <c r="J4884" s="32">
        <f>IF(B4884="","",IFERROR(D4884/I4884,""))</f>
        <v/>
      </c>
      <c r="K4884" s="71">
        <f>IF(B4884="","",IFERROR(AVERAGEIFS($J$4:$J4884,$B$4:$B4884,B4884,$J$4:$J4884,"&gt;"&amp;0),""))</f>
        <v/>
      </c>
      <c r="L4884" s="12" t="n"/>
    </row>
    <row r="4885" ht="14" customHeight="1" s="72">
      <c r="A4885" s="82" t="n"/>
      <c r="B4885" s="79" t="n"/>
      <c r="C4885" s="69">
        <f>IF(B4885="","",IFERROR(INDEX(Client_List!$B:$B,MATCH(B4885,Client_List!$A:$A,0)),"⚠ NOT FOUND"))</f>
        <v/>
      </c>
      <c r="D4885" s="44" t="n"/>
      <c r="E4885" s="32">
        <f>IF(B4885="","",IFERROR(INDEX(Client_List!$C:$C,MATCH(VALUE(B4885),Client_List!$A:$A,0)),""))</f>
        <v/>
      </c>
      <c r="F4885" s="53">
        <f>IF(B4885="","",IFERROR(INDEX(Client_List!$D:$D,MATCH(VALUE(B4885),Client_List!$A:$A,0)),""))</f>
        <v/>
      </c>
      <c r="G4885" s="53">
        <f>IF(B4885="","",IFERROR(INDEX(Client_List!$K:$K,MATCH(VALUE(B4885),Client_List!$A:$A,0)),""))</f>
        <v/>
      </c>
      <c r="H4885" s="32">
        <f>IF(B4885="","",IFERROR(INDEX(Client_List!$J:$J,MATCH(VALUE(B4885),Client_List!$A:$A,0)),""))</f>
        <v/>
      </c>
      <c r="I4885" s="70">
        <f>IF(B4885="","",IFERROR(A4885-LOOKUP(2,1/($B$4:$B4884=B4885),$A$4:$A4884),""))</f>
        <v/>
      </c>
      <c r="J4885" s="32">
        <f>IF(B4885="","",IFERROR(D4885/I4885,""))</f>
        <v/>
      </c>
      <c r="K4885" s="71">
        <f>IF(B4885="","",IFERROR(AVERAGEIFS($J$4:$J4885,$B$4:$B4885,B4885,$J$4:$J4885,"&gt;"&amp;0),""))</f>
        <v/>
      </c>
      <c r="L4885" s="11" t="n"/>
    </row>
    <row r="4886" ht="14" customHeight="1" s="72">
      <c r="A4886" s="83" t="n"/>
      <c r="B4886" s="81" t="n"/>
      <c r="C4886" s="69">
        <f>IF(B4886="","",IFERROR(INDEX(Client_List!$B:$B,MATCH(B4886,Client_List!$A:$A,0)),"⚠ NOT FOUND"))</f>
        <v/>
      </c>
      <c r="D4886" s="45" t="n"/>
      <c r="E4886" s="32">
        <f>IF(B4886="","",IFERROR(INDEX(Client_List!$C:$C,MATCH(VALUE(B4886),Client_List!$A:$A,0)),""))</f>
        <v/>
      </c>
      <c r="F4886" s="53">
        <f>IF(B4886="","",IFERROR(INDEX(Client_List!$D:$D,MATCH(VALUE(B4886),Client_List!$A:$A,0)),""))</f>
        <v/>
      </c>
      <c r="G4886" s="53">
        <f>IF(B4886="","",IFERROR(INDEX(Client_List!$K:$K,MATCH(VALUE(B4886),Client_List!$A:$A,0)),""))</f>
        <v/>
      </c>
      <c r="H4886" s="32">
        <f>IF(B4886="","",IFERROR(INDEX(Client_List!$J:$J,MATCH(VALUE(B4886),Client_List!$A:$A,0)),""))</f>
        <v/>
      </c>
      <c r="I4886" s="70">
        <f>IF(B4886="","",IFERROR(A4886-LOOKUP(2,1/($B$4:$B4885=B4886),$A$4:$A4885),""))</f>
        <v/>
      </c>
      <c r="J4886" s="32">
        <f>IF(B4886="","",IFERROR(D4886/I4886,""))</f>
        <v/>
      </c>
      <c r="K4886" s="71">
        <f>IF(B4886="","",IFERROR(AVERAGEIFS($J$4:$J4886,$B$4:$B4886,B4886,$J$4:$J4886,"&gt;"&amp;0),""))</f>
        <v/>
      </c>
      <c r="L4886" s="12" t="n"/>
    </row>
    <row r="4887" ht="14" customHeight="1" s="72">
      <c r="A4887" s="82" t="n"/>
      <c r="B4887" s="79" t="n"/>
      <c r="C4887" s="69">
        <f>IF(B4887="","",IFERROR(INDEX(Client_List!$B:$B,MATCH(B4887,Client_List!$A:$A,0)),"⚠ NOT FOUND"))</f>
        <v/>
      </c>
      <c r="D4887" s="44" t="n"/>
      <c r="E4887" s="32">
        <f>IF(B4887="","",IFERROR(INDEX(Client_List!$C:$C,MATCH(VALUE(B4887),Client_List!$A:$A,0)),""))</f>
        <v/>
      </c>
      <c r="F4887" s="53">
        <f>IF(B4887="","",IFERROR(INDEX(Client_List!$D:$D,MATCH(VALUE(B4887),Client_List!$A:$A,0)),""))</f>
        <v/>
      </c>
      <c r="G4887" s="53">
        <f>IF(B4887="","",IFERROR(INDEX(Client_List!$K:$K,MATCH(VALUE(B4887),Client_List!$A:$A,0)),""))</f>
        <v/>
      </c>
      <c r="H4887" s="32">
        <f>IF(B4887="","",IFERROR(INDEX(Client_List!$J:$J,MATCH(VALUE(B4887),Client_List!$A:$A,0)),""))</f>
        <v/>
      </c>
      <c r="I4887" s="70">
        <f>IF(B4887="","",IFERROR(A4887-LOOKUP(2,1/($B$4:$B4886=B4887),$A$4:$A4886),""))</f>
        <v/>
      </c>
      <c r="J4887" s="32">
        <f>IF(B4887="","",IFERROR(D4887/I4887,""))</f>
        <v/>
      </c>
      <c r="K4887" s="71">
        <f>IF(B4887="","",IFERROR(AVERAGEIFS($J$4:$J4887,$B$4:$B4887,B4887,$J$4:$J4887,"&gt;"&amp;0),""))</f>
        <v/>
      </c>
      <c r="L4887" s="11" t="n"/>
    </row>
    <row r="4888" ht="14" customHeight="1" s="72">
      <c r="A4888" s="83" t="n"/>
      <c r="B4888" s="81" t="n"/>
      <c r="C4888" s="69">
        <f>IF(B4888="","",IFERROR(INDEX(Client_List!$B:$B,MATCH(B4888,Client_List!$A:$A,0)),"⚠ NOT FOUND"))</f>
        <v/>
      </c>
      <c r="D4888" s="45" t="n"/>
      <c r="E4888" s="32">
        <f>IF(B4888="","",IFERROR(INDEX(Client_List!$C:$C,MATCH(VALUE(B4888),Client_List!$A:$A,0)),""))</f>
        <v/>
      </c>
      <c r="F4888" s="53">
        <f>IF(B4888="","",IFERROR(INDEX(Client_List!$D:$D,MATCH(VALUE(B4888),Client_List!$A:$A,0)),""))</f>
        <v/>
      </c>
      <c r="G4888" s="53">
        <f>IF(B4888="","",IFERROR(INDEX(Client_List!$K:$K,MATCH(VALUE(B4888),Client_List!$A:$A,0)),""))</f>
        <v/>
      </c>
      <c r="H4888" s="32">
        <f>IF(B4888="","",IFERROR(INDEX(Client_List!$J:$J,MATCH(VALUE(B4888),Client_List!$A:$A,0)),""))</f>
        <v/>
      </c>
      <c r="I4888" s="70">
        <f>IF(B4888="","",IFERROR(A4888-LOOKUP(2,1/($B$4:$B4887=B4888),$A$4:$A4887),""))</f>
        <v/>
      </c>
      <c r="J4888" s="32">
        <f>IF(B4888="","",IFERROR(D4888/I4888,""))</f>
        <v/>
      </c>
      <c r="K4888" s="71">
        <f>IF(B4888="","",IFERROR(AVERAGEIFS($J$4:$J4888,$B$4:$B4888,B4888,$J$4:$J4888,"&gt;"&amp;0),""))</f>
        <v/>
      </c>
      <c r="L4888" s="12" t="n"/>
    </row>
    <row r="4889" ht="14" customHeight="1" s="72">
      <c r="A4889" s="82" t="n"/>
      <c r="B4889" s="79" t="n"/>
      <c r="C4889" s="69">
        <f>IF(B4889="","",IFERROR(INDEX(Client_List!$B:$B,MATCH(B4889,Client_List!$A:$A,0)),"⚠ NOT FOUND"))</f>
        <v/>
      </c>
      <c r="D4889" s="44" t="n"/>
      <c r="E4889" s="32">
        <f>IF(B4889="","",IFERROR(INDEX(Client_List!$C:$C,MATCH(VALUE(B4889),Client_List!$A:$A,0)),""))</f>
        <v/>
      </c>
      <c r="F4889" s="53">
        <f>IF(B4889="","",IFERROR(INDEX(Client_List!$D:$D,MATCH(VALUE(B4889),Client_List!$A:$A,0)),""))</f>
        <v/>
      </c>
      <c r="G4889" s="53">
        <f>IF(B4889="","",IFERROR(INDEX(Client_List!$K:$K,MATCH(VALUE(B4889),Client_List!$A:$A,0)),""))</f>
        <v/>
      </c>
      <c r="H4889" s="32">
        <f>IF(B4889="","",IFERROR(INDEX(Client_List!$J:$J,MATCH(VALUE(B4889),Client_List!$A:$A,0)),""))</f>
        <v/>
      </c>
      <c r="I4889" s="70">
        <f>IF(B4889="","",IFERROR(A4889-LOOKUP(2,1/($B$4:$B4888=B4889),$A$4:$A4888),""))</f>
        <v/>
      </c>
      <c r="J4889" s="32">
        <f>IF(B4889="","",IFERROR(D4889/I4889,""))</f>
        <v/>
      </c>
      <c r="K4889" s="71">
        <f>IF(B4889="","",IFERROR(AVERAGEIFS($J$4:$J4889,$B$4:$B4889,B4889,$J$4:$J4889,"&gt;"&amp;0),""))</f>
        <v/>
      </c>
      <c r="L4889" s="11" t="n"/>
    </row>
    <row r="4890" ht="14" customHeight="1" s="72">
      <c r="A4890" s="83" t="n"/>
      <c r="B4890" s="81" t="n"/>
      <c r="C4890" s="69">
        <f>IF(B4890="","",IFERROR(INDEX(Client_List!$B:$B,MATCH(B4890,Client_List!$A:$A,0)),"⚠ NOT FOUND"))</f>
        <v/>
      </c>
      <c r="D4890" s="45" t="n"/>
      <c r="E4890" s="32">
        <f>IF(B4890="","",IFERROR(INDEX(Client_List!$C:$C,MATCH(VALUE(B4890),Client_List!$A:$A,0)),""))</f>
        <v/>
      </c>
      <c r="F4890" s="53">
        <f>IF(B4890="","",IFERROR(INDEX(Client_List!$D:$D,MATCH(VALUE(B4890),Client_List!$A:$A,0)),""))</f>
        <v/>
      </c>
      <c r="G4890" s="53">
        <f>IF(B4890="","",IFERROR(INDEX(Client_List!$K:$K,MATCH(VALUE(B4890),Client_List!$A:$A,0)),""))</f>
        <v/>
      </c>
      <c r="H4890" s="32">
        <f>IF(B4890="","",IFERROR(INDEX(Client_List!$J:$J,MATCH(VALUE(B4890),Client_List!$A:$A,0)),""))</f>
        <v/>
      </c>
      <c r="I4890" s="70">
        <f>IF(B4890="","",IFERROR(A4890-LOOKUP(2,1/($B$4:$B4889=B4890),$A$4:$A4889),""))</f>
        <v/>
      </c>
      <c r="J4890" s="32">
        <f>IF(B4890="","",IFERROR(D4890/I4890,""))</f>
        <v/>
      </c>
      <c r="K4890" s="71">
        <f>IF(B4890="","",IFERROR(AVERAGEIFS($J$4:$J4890,$B$4:$B4890,B4890,$J$4:$J4890,"&gt;"&amp;0),""))</f>
        <v/>
      </c>
      <c r="L4890" s="12" t="n"/>
    </row>
    <row r="4891" ht="14" customHeight="1" s="72">
      <c r="A4891" s="82" t="n"/>
      <c r="B4891" s="79" t="n"/>
      <c r="C4891" s="69">
        <f>IF(B4891="","",IFERROR(INDEX(Client_List!$B:$B,MATCH(B4891,Client_List!$A:$A,0)),"⚠ NOT FOUND"))</f>
        <v/>
      </c>
      <c r="D4891" s="44" t="n"/>
      <c r="E4891" s="32">
        <f>IF(B4891="","",IFERROR(INDEX(Client_List!$C:$C,MATCH(VALUE(B4891),Client_List!$A:$A,0)),""))</f>
        <v/>
      </c>
      <c r="F4891" s="53">
        <f>IF(B4891="","",IFERROR(INDEX(Client_List!$D:$D,MATCH(VALUE(B4891),Client_List!$A:$A,0)),""))</f>
        <v/>
      </c>
      <c r="G4891" s="53">
        <f>IF(B4891="","",IFERROR(INDEX(Client_List!$K:$K,MATCH(VALUE(B4891),Client_List!$A:$A,0)),""))</f>
        <v/>
      </c>
      <c r="H4891" s="32">
        <f>IF(B4891="","",IFERROR(INDEX(Client_List!$J:$J,MATCH(VALUE(B4891),Client_List!$A:$A,0)),""))</f>
        <v/>
      </c>
      <c r="I4891" s="70">
        <f>IF(B4891="","",IFERROR(A4891-LOOKUP(2,1/($B$4:$B4890=B4891),$A$4:$A4890),""))</f>
        <v/>
      </c>
      <c r="J4891" s="32">
        <f>IF(B4891="","",IFERROR(D4891/I4891,""))</f>
        <v/>
      </c>
      <c r="K4891" s="71">
        <f>IF(B4891="","",IFERROR(AVERAGEIFS($J$4:$J4891,$B$4:$B4891,B4891,$J$4:$J4891,"&gt;"&amp;0),""))</f>
        <v/>
      </c>
      <c r="L4891" s="11" t="n"/>
    </row>
    <row r="4892" ht="14" customHeight="1" s="72">
      <c r="A4892" s="83" t="n"/>
      <c r="B4892" s="81" t="n"/>
      <c r="C4892" s="69">
        <f>IF(B4892="","",IFERROR(INDEX(Client_List!$B:$B,MATCH(B4892,Client_List!$A:$A,0)),"⚠ NOT FOUND"))</f>
        <v/>
      </c>
      <c r="D4892" s="45" t="n"/>
      <c r="E4892" s="32">
        <f>IF(B4892="","",IFERROR(INDEX(Client_List!$C:$C,MATCH(VALUE(B4892),Client_List!$A:$A,0)),""))</f>
        <v/>
      </c>
      <c r="F4892" s="53">
        <f>IF(B4892="","",IFERROR(INDEX(Client_List!$D:$D,MATCH(VALUE(B4892),Client_List!$A:$A,0)),""))</f>
        <v/>
      </c>
      <c r="G4892" s="53">
        <f>IF(B4892="","",IFERROR(INDEX(Client_List!$K:$K,MATCH(VALUE(B4892),Client_List!$A:$A,0)),""))</f>
        <v/>
      </c>
      <c r="H4892" s="32">
        <f>IF(B4892="","",IFERROR(INDEX(Client_List!$J:$J,MATCH(VALUE(B4892),Client_List!$A:$A,0)),""))</f>
        <v/>
      </c>
      <c r="I4892" s="70">
        <f>IF(B4892="","",IFERROR(A4892-LOOKUP(2,1/($B$4:$B4891=B4892),$A$4:$A4891),""))</f>
        <v/>
      </c>
      <c r="J4892" s="32">
        <f>IF(B4892="","",IFERROR(D4892/I4892,""))</f>
        <v/>
      </c>
      <c r="K4892" s="71">
        <f>IF(B4892="","",IFERROR(AVERAGEIFS($J$4:$J4892,$B$4:$B4892,B4892,$J$4:$J4892,"&gt;"&amp;0),""))</f>
        <v/>
      </c>
      <c r="L4892" s="12" t="n"/>
    </row>
    <row r="4893" ht="14" customHeight="1" s="72">
      <c r="A4893" s="82" t="n"/>
      <c r="B4893" s="79" t="n"/>
      <c r="C4893" s="69">
        <f>IF(B4893="","",IFERROR(INDEX(Client_List!$B:$B,MATCH(B4893,Client_List!$A:$A,0)),"⚠ NOT FOUND"))</f>
        <v/>
      </c>
      <c r="D4893" s="44" t="n"/>
      <c r="E4893" s="32">
        <f>IF(B4893="","",IFERROR(INDEX(Client_List!$C:$C,MATCH(VALUE(B4893),Client_List!$A:$A,0)),""))</f>
        <v/>
      </c>
      <c r="F4893" s="53">
        <f>IF(B4893="","",IFERROR(INDEX(Client_List!$D:$D,MATCH(VALUE(B4893),Client_List!$A:$A,0)),""))</f>
        <v/>
      </c>
      <c r="G4893" s="53">
        <f>IF(B4893="","",IFERROR(INDEX(Client_List!$K:$K,MATCH(VALUE(B4893),Client_List!$A:$A,0)),""))</f>
        <v/>
      </c>
      <c r="H4893" s="32">
        <f>IF(B4893="","",IFERROR(INDEX(Client_List!$J:$J,MATCH(VALUE(B4893),Client_List!$A:$A,0)),""))</f>
        <v/>
      </c>
      <c r="I4893" s="70">
        <f>IF(B4893="","",IFERROR(A4893-LOOKUP(2,1/($B$4:$B4892=B4893),$A$4:$A4892),""))</f>
        <v/>
      </c>
      <c r="J4893" s="32">
        <f>IF(B4893="","",IFERROR(D4893/I4893,""))</f>
        <v/>
      </c>
      <c r="K4893" s="71">
        <f>IF(B4893="","",IFERROR(AVERAGEIFS($J$4:$J4893,$B$4:$B4893,B4893,$J$4:$J4893,"&gt;"&amp;0),""))</f>
        <v/>
      </c>
      <c r="L4893" s="11" t="n"/>
    </row>
    <row r="4894" ht="14" customHeight="1" s="72">
      <c r="A4894" s="83" t="n"/>
      <c r="B4894" s="81" t="n"/>
      <c r="C4894" s="69">
        <f>IF(B4894="","",IFERROR(INDEX(Client_List!$B:$B,MATCH(B4894,Client_List!$A:$A,0)),"⚠ NOT FOUND"))</f>
        <v/>
      </c>
      <c r="D4894" s="45" t="n"/>
      <c r="E4894" s="32">
        <f>IF(B4894="","",IFERROR(INDEX(Client_List!$C:$C,MATCH(VALUE(B4894),Client_List!$A:$A,0)),""))</f>
        <v/>
      </c>
      <c r="F4894" s="53">
        <f>IF(B4894="","",IFERROR(INDEX(Client_List!$D:$D,MATCH(VALUE(B4894),Client_List!$A:$A,0)),""))</f>
        <v/>
      </c>
      <c r="G4894" s="53">
        <f>IF(B4894="","",IFERROR(INDEX(Client_List!$K:$K,MATCH(VALUE(B4894),Client_List!$A:$A,0)),""))</f>
        <v/>
      </c>
      <c r="H4894" s="32">
        <f>IF(B4894="","",IFERROR(INDEX(Client_List!$J:$J,MATCH(VALUE(B4894),Client_List!$A:$A,0)),""))</f>
        <v/>
      </c>
      <c r="I4894" s="70">
        <f>IF(B4894="","",IFERROR(A4894-LOOKUP(2,1/($B$4:$B4893=B4894),$A$4:$A4893),""))</f>
        <v/>
      </c>
      <c r="J4894" s="32">
        <f>IF(B4894="","",IFERROR(D4894/I4894,""))</f>
        <v/>
      </c>
      <c r="K4894" s="71">
        <f>IF(B4894="","",IFERROR(AVERAGEIFS($J$4:$J4894,$B$4:$B4894,B4894,$J$4:$J4894,"&gt;"&amp;0),""))</f>
        <v/>
      </c>
      <c r="L4894" s="12" t="n"/>
    </row>
    <row r="4895" ht="14" customHeight="1" s="72">
      <c r="A4895" s="82" t="n"/>
      <c r="B4895" s="79" t="n"/>
      <c r="C4895" s="69">
        <f>IF(B4895="","",IFERROR(INDEX(Client_List!$B:$B,MATCH(B4895,Client_List!$A:$A,0)),"⚠ NOT FOUND"))</f>
        <v/>
      </c>
      <c r="D4895" s="44" t="n"/>
      <c r="E4895" s="32">
        <f>IF(B4895="","",IFERROR(INDEX(Client_List!$C:$C,MATCH(VALUE(B4895),Client_List!$A:$A,0)),""))</f>
        <v/>
      </c>
      <c r="F4895" s="53">
        <f>IF(B4895="","",IFERROR(INDEX(Client_List!$D:$D,MATCH(VALUE(B4895),Client_List!$A:$A,0)),""))</f>
        <v/>
      </c>
      <c r="G4895" s="53">
        <f>IF(B4895="","",IFERROR(INDEX(Client_List!$K:$K,MATCH(VALUE(B4895),Client_List!$A:$A,0)),""))</f>
        <v/>
      </c>
      <c r="H4895" s="32">
        <f>IF(B4895="","",IFERROR(INDEX(Client_List!$J:$J,MATCH(VALUE(B4895),Client_List!$A:$A,0)),""))</f>
        <v/>
      </c>
      <c r="I4895" s="70">
        <f>IF(B4895="","",IFERROR(A4895-LOOKUP(2,1/($B$4:$B4894=B4895),$A$4:$A4894),""))</f>
        <v/>
      </c>
      <c r="J4895" s="32">
        <f>IF(B4895="","",IFERROR(D4895/I4895,""))</f>
        <v/>
      </c>
      <c r="K4895" s="71">
        <f>IF(B4895="","",IFERROR(AVERAGEIFS($J$4:$J4895,$B$4:$B4895,B4895,$J$4:$J4895,"&gt;"&amp;0),""))</f>
        <v/>
      </c>
      <c r="L4895" s="11" t="n"/>
    </row>
    <row r="4896" ht="14" customHeight="1" s="72">
      <c r="A4896" s="83" t="n"/>
      <c r="B4896" s="81" t="n"/>
      <c r="C4896" s="69">
        <f>IF(B4896="","",IFERROR(INDEX(Client_List!$B:$B,MATCH(B4896,Client_List!$A:$A,0)),"⚠ NOT FOUND"))</f>
        <v/>
      </c>
      <c r="D4896" s="45" t="n"/>
      <c r="E4896" s="32">
        <f>IF(B4896="","",IFERROR(INDEX(Client_List!$C:$C,MATCH(VALUE(B4896),Client_List!$A:$A,0)),""))</f>
        <v/>
      </c>
      <c r="F4896" s="53">
        <f>IF(B4896="","",IFERROR(INDEX(Client_List!$D:$D,MATCH(VALUE(B4896),Client_List!$A:$A,0)),""))</f>
        <v/>
      </c>
      <c r="G4896" s="53">
        <f>IF(B4896="","",IFERROR(INDEX(Client_List!$K:$K,MATCH(VALUE(B4896),Client_List!$A:$A,0)),""))</f>
        <v/>
      </c>
      <c r="H4896" s="32">
        <f>IF(B4896="","",IFERROR(INDEX(Client_List!$J:$J,MATCH(VALUE(B4896),Client_List!$A:$A,0)),""))</f>
        <v/>
      </c>
      <c r="I4896" s="70">
        <f>IF(B4896="","",IFERROR(A4896-LOOKUP(2,1/($B$4:$B4895=B4896),$A$4:$A4895),""))</f>
        <v/>
      </c>
      <c r="J4896" s="32">
        <f>IF(B4896="","",IFERROR(D4896/I4896,""))</f>
        <v/>
      </c>
      <c r="K4896" s="71">
        <f>IF(B4896="","",IFERROR(AVERAGEIFS($J$4:$J4896,$B$4:$B4896,B4896,$J$4:$J4896,"&gt;"&amp;0),""))</f>
        <v/>
      </c>
      <c r="L4896" s="12" t="n"/>
    </row>
    <row r="4897" ht="14" customHeight="1" s="72">
      <c r="A4897" s="82" t="n"/>
      <c r="B4897" s="79" t="n"/>
      <c r="C4897" s="69">
        <f>IF(B4897="","",IFERROR(INDEX(Client_List!$B:$B,MATCH(B4897,Client_List!$A:$A,0)),"⚠ NOT FOUND"))</f>
        <v/>
      </c>
      <c r="D4897" s="44" t="n"/>
      <c r="E4897" s="32">
        <f>IF(B4897="","",IFERROR(INDEX(Client_List!$C:$C,MATCH(VALUE(B4897),Client_List!$A:$A,0)),""))</f>
        <v/>
      </c>
      <c r="F4897" s="53">
        <f>IF(B4897="","",IFERROR(INDEX(Client_List!$D:$D,MATCH(VALUE(B4897),Client_List!$A:$A,0)),""))</f>
        <v/>
      </c>
      <c r="G4897" s="53">
        <f>IF(B4897="","",IFERROR(INDEX(Client_List!$K:$K,MATCH(VALUE(B4897),Client_List!$A:$A,0)),""))</f>
        <v/>
      </c>
      <c r="H4897" s="32">
        <f>IF(B4897="","",IFERROR(INDEX(Client_List!$J:$J,MATCH(VALUE(B4897),Client_List!$A:$A,0)),""))</f>
        <v/>
      </c>
      <c r="I4897" s="70">
        <f>IF(B4897="","",IFERROR(A4897-LOOKUP(2,1/($B$4:$B4896=B4897),$A$4:$A4896),""))</f>
        <v/>
      </c>
      <c r="J4897" s="32">
        <f>IF(B4897="","",IFERROR(D4897/I4897,""))</f>
        <v/>
      </c>
      <c r="K4897" s="71">
        <f>IF(B4897="","",IFERROR(AVERAGEIFS($J$4:$J4897,$B$4:$B4897,B4897,$J$4:$J4897,"&gt;"&amp;0),""))</f>
        <v/>
      </c>
      <c r="L4897" s="11" t="n"/>
    </row>
    <row r="4898" ht="14" customHeight="1" s="72">
      <c r="A4898" s="83" t="n"/>
      <c r="B4898" s="81" t="n"/>
      <c r="C4898" s="69">
        <f>IF(B4898="","",IFERROR(INDEX(Client_List!$B:$B,MATCH(B4898,Client_List!$A:$A,0)),"⚠ NOT FOUND"))</f>
        <v/>
      </c>
      <c r="D4898" s="45" t="n"/>
      <c r="E4898" s="32">
        <f>IF(B4898="","",IFERROR(INDEX(Client_List!$C:$C,MATCH(VALUE(B4898),Client_List!$A:$A,0)),""))</f>
        <v/>
      </c>
      <c r="F4898" s="53">
        <f>IF(B4898="","",IFERROR(INDEX(Client_List!$D:$D,MATCH(VALUE(B4898),Client_List!$A:$A,0)),""))</f>
        <v/>
      </c>
      <c r="G4898" s="53">
        <f>IF(B4898="","",IFERROR(INDEX(Client_List!$K:$K,MATCH(VALUE(B4898),Client_List!$A:$A,0)),""))</f>
        <v/>
      </c>
      <c r="H4898" s="32">
        <f>IF(B4898="","",IFERROR(INDEX(Client_List!$J:$J,MATCH(VALUE(B4898),Client_List!$A:$A,0)),""))</f>
        <v/>
      </c>
      <c r="I4898" s="70">
        <f>IF(B4898="","",IFERROR(A4898-LOOKUP(2,1/($B$4:$B4897=B4898),$A$4:$A4897),""))</f>
        <v/>
      </c>
      <c r="J4898" s="32">
        <f>IF(B4898="","",IFERROR(D4898/I4898,""))</f>
        <v/>
      </c>
      <c r="K4898" s="71">
        <f>IF(B4898="","",IFERROR(AVERAGEIFS($J$4:$J4898,$B$4:$B4898,B4898,$J$4:$J4898,"&gt;"&amp;0),""))</f>
        <v/>
      </c>
      <c r="L4898" s="12" t="n"/>
    </row>
    <row r="4899" ht="14" customHeight="1" s="72">
      <c r="A4899" s="82" t="n"/>
      <c r="B4899" s="79" t="n"/>
      <c r="C4899" s="69">
        <f>IF(B4899="","",IFERROR(INDEX(Client_List!$B:$B,MATCH(B4899,Client_List!$A:$A,0)),"⚠ NOT FOUND"))</f>
        <v/>
      </c>
      <c r="D4899" s="44" t="n"/>
      <c r="E4899" s="32">
        <f>IF(B4899="","",IFERROR(INDEX(Client_List!$C:$C,MATCH(VALUE(B4899),Client_List!$A:$A,0)),""))</f>
        <v/>
      </c>
      <c r="F4899" s="53">
        <f>IF(B4899="","",IFERROR(INDEX(Client_List!$D:$D,MATCH(VALUE(B4899),Client_List!$A:$A,0)),""))</f>
        <v/>
      </c>
      <c r="G4899" s="53">
        <f>IF(B4899="","",IFERROR(INDEX(Client_List!$K:$K,MATCH(VALUE(B4899),Client_List!$A:$A,0)),""))</f>
        <v/>
      </c>
      <c r="H4899" s="32">
        <f>IF(B4899="","",IFERROR(INDEX(Client_List!$J:$J,MATCH(VALUE(B4899),Client_List!$A:$A,0)),""))</f>
        <v/>
      </c>
      <c r="I4899" s="70">
        <f>IF(B4899="","",IFERROR(A4899-LOOKUP(2,1/($B$4:$B4898=B4899),$A$4:$A4898),""))</f>
        <v/>
      </c>
      <c r="J4899" s="32">
        <f>IF(B4899="","",IFERROR(D4899/I4899,""))</f>
        <v/>
      </c>
      <c r="K4899" s="71">
        <f>IF(B4899="","",IFERROR(AVERAGEIFS($J$4:$J4899,$B$4:$B4899,B4899,$J$4:$J4899,"&gt;"&amp;0),""))</f>
        <v/>
      </c>
      <c r="L4899" s="11" t="n"/>
    </row>
    <row r="4900" ht="14" customHeight="1" s="72">
      <c r="A4900" s="83" t="n"/>
      <c r="B4900" s="81" t="n"/>
      <c r="C4900" s="69">
        <f>IF(B4900="","",IFERROR(INDEX(Client_List!$B:$B,MATCH(B4900,Client_List!$A:$A,0)),"⚠ NOT FOUND"))</f>
        <v/>
      </c>
      <c r="D4900" s="45" t="n"/>
      <c r="E4900" s="32">
        <f>IF(B4900="","",IFERROR(INDEX(Client_List!$C:$C,MATCH(VALUE(B4900),Client_List!$A:$A,0)),""))</f>
        <v/>
      </c>
      <c r="F4900" s="53">
        <f>IF(B4900="","",IFERROR(INDEX(Client_List!$D:$D,MATCH(VALUE(B4900),Client_List!$A:$A,0)),""))</f>
        <v/>
      </c>
      <c r="G4900" s="53">
        <f>IF(B4900="","",IFERROR(INDEX(Client_List!$K:$K,MATCH(VALUE(B4900),Client_List!$A:$A,0)),""))</f>
        <v/>
      </c>
      <c r="H4900" s="32">
        <f>IF(B4900="","",IFERROR(INDEX(Client_List!$J:$J,MATCH(VALUE(B4900),Client_List!$A:$A,0)),""))</f>
        <v/>
      </c>
      <c r="I4900" s="70">
        <f>IF(B4900="","",IFERROR(A4900-LOOKUP(2,1/($B$4:$B4899=B4900),$A$4:$A4899),""))</f>
        <v/>
      </c>
      <c r="J4900" s="32">
        <f>IF(B4900="","",IFERROR(D4900/I4900,""))</f>
        <v/>
      </c>
      <c r="K4900" s="71">
        <f>IF(B4900="","",IFERROR(AVERAGEIFS($J$4:$J4900,$B$4:$B4900,B4900,$J$4:$J4900,"&gt;"&amp;0),""))</f>
        <v/>
      </c>
      <c r="L4900" s="12" t="n"/>
    </row>
    <row r="4901" ht="14" customHeight="1" s="72">
      <c r="A4901" s="82" t="n"/>
      <c r="B4901" s="79" t="n"/>
      <c r="C4901" s="69">
        <f>IF(B4901="","",IFERROR(INDEX(Client_List!$B:$B,MATCH(B4901,Client_List!$A:$A,0)),"⚠ NOT FOUND"))</f>
        <v/>
      </c>
      <c r="D4901" s="44" t="n"/>
      <c r="E4901" s="32">
        <f>IF(B4901="","",IFERROR(INDEX(Client_List!$C:$C,MATCH(VALUE(B4901),Client_List!$A:$A,0)),""))</f>
        <v/>
      </c>
      <c r="F4901" s="53">
        <f>IF(B4901="","",IFERROR(INDEX(Client_List!$D:$D,MATCH(VALUE(B4901),Client_List!$A:$A,0)),""))</f>
        <v/>
      </c>
      <c r="G4901" s="53">
        <f>IF(B4901="","",IFERROR(INDEX(Client_List!$K:$K,MATCH(VALUE(B4901),Client_List!$A:$A,0)),""))</f>
        <v/>
      </c>
      <c r="H4901" s="32">
        <f>IF(B4901="","",IFERROR(INDEX(Client_List!$J:$J,MATCH(VALUE(B4901),Client_List!$A:$A,0)),""))</f>
        <v/>
      </c>
      <c r="I4901" s="70">
        <f>IF(B4901="","",IFERROR(A4901-LOOKUP(2,1/($B$4:$B4900=B4901),$A$4:$A4900),""))</f>
        <v/>
      </c>
      <c r="J4901" s="32">
        <f>IF(B4901="","",IFERROR(D4901/I4901,""))</f>
        <v/>
      </c>
      <c r="K4901" s="71">
        <f>IF(B4901="","",IFERROR(AVERAGEIFS($J$4:$J4901,$B$4:$B4901,B4901,$J$4:$J4901,"&gt;"&amp;0),""))</f>
        <v/>
      </c>
      <c r="L4901" s="11" t="n"/>
    </row>
    <row r="4902" ht="14" customHeight="1" s="72">
      <c r="A4902" s="83" t="n"/>
      <c r="B4902" s="81" t="n"/>
      <c r="C4902" s="69">
        <f>IF(B4902="","",IFERROR(INDEX(Client_List!$B:$B,MATCH(B4902,Client_List!$A:$A,0)),"⚠ NOT FOUND"))</f>
        <v/>
      </c>
      <c r="D4902" s="45" t="n"/>
      <c r="E4902" s="32">
        <f>IF(B4902="","",IFERROR(INDEX(Client_List!$C:$C,MATCH(VALUE(B4902),Client_List!$A:$A,0)),""))</f>
        <v/>
      </c>
      <c r="F4902" s="53">
        <f>IF(B4902="","",IFERROR(INDEX(Client_List!$D:$D,MATCH(VALUE(B4902),Client_List!$A:$A,0)),""))</f>
        <v/>
      </c>
      <c r="G4902" s="53">
        <f>IF(B4902="","",IFERROR(INDEX(Client_List!$K:$K,MATCH(VALUE(B4902),Client_List!$A:$A,0)),""))</f>
        <v/>
      </c>
      <c r="H4902" s="32">
        <f>IF(B4902="","",IFERROR(INDEX(Client_List!$J:$J,MATCH(VALUE(B4902),Client_List!$A:$A,0)),""))</f>
        <v/>
      </c>
      <c r="I4902" s="70">
        <f>IF(B4902="","",IFERROR(A4902-LOOKUP(2,1/($B$4:$B4901=B4902),$A$4:$A4901),""))</f>
        <v/>
      </c>
      <c r="J4902" s="32">
        <f>IF(B4902="","",IFERROR(D4902/I4902,""))</f>
        <v/>
      </c>
      <c r="K4902" s="71">
        <f>IF(B4902="","",IFERROR(AVERAGEIFS($J$4:$J4902,$B$4:$B4902,B4902,$J$4:$J4902,"&gt;"&amp;0),""))</f>
        <v/>
      </c>
      <c r="L4902" s="12" t="n"/>
    </row>
    <row r="4903" ht="14" customHeight="1" s="72">
      <c r="A4903" s="82" t="n"/>
      <c r="B4903" s="79" t="n"/>
      <c r="C4903" s="69">
        <f>IF(B4903="","",IFERROR(INDEX(Client_List!$B:$B,MATCH(B4903,Client_List!$A:$A,0)),"⚠ NOT FOUND"))</f>
        <v/>
      </c>
      <c r="D4903" s="44" t="n"/>
      <c r="E4903" s="32">
        <f>IF(B4903="","",IFERROR(INDEX(Client_List!$C:$C,MATCH(VALUE(B4903),Client_List!$A:$A,0)),""))</f>
        <v/>
      </c>
      <c r="F4903" s="53">
        <f>IF(B4903="","",IFERROR(INDEX(Client_List!$D:$D,MATCH(VALUE(B4903),Client_List!$A:$A,0)),""))</f>
        <v/>
      </c>
      <c r="G4903" s="53">
        <f>IF(B4903="","",IFERROR(INDEX(Client_List!$K:$K,MATCH(VALUE(B4903),Client_List!$A:$A,0)),""))</f>
        <v/>
      </c>
      <c r="H4903" s="32">
        <f>IF(B4903="","",IFERROR(INDEX(Client_List!$J:$J,MATCH(VALUE(B4903),Client_List!$A:$A,0)),""))</f>
        <v/>
      </c>
      <c r="I4903" s="70">
        <f>IF(B4903="","",IFERROR(A4903-LOOKUP(2,1/($B$4:$B4902=B4903),$A$4:$A4902),""))</f>
        <v/>
      </c>
      <c r="J4903" s="32">
        <f>IF(B4903="","",IFERROR(D4903/I4903,""))</f>
        <v/>
      </c>
      <c r="K4903" s="71">
        <f>IF(B4903="","",IFERROR(AVERAGEIFS($J$4:$J4903,$B$4:$B4903,B4903,$J$4:$J4903,"&gt;"&amp;0),""))</f>
        <v/>
      </c>
      <c r="L4903" s="11" t="n"/>
    </row>
    <row r="4904" ht="14" customHeight="1" s="72">
      <c r="A4904" s="83" t="n"/>
      <c r="B4904" s="81" t="n"/>
      <c r="C4904" s="69">
        <f>IF(B4904="","",IFERROR(INDEX(Client_List!$B:$B,MATCH(B4904,Client_List!$A:$A,0)),"⚠ NOT FOUND"))</f>
        <v/>
      </c>
      <c r="D4904" s="45" t="n"/>
      <c r="E4904" s="32">
        <f>IF(B4904="","",IFERROR(INDEX(Client_List!$C:$C,MATCH(VALUE(B4904),Client_List!$A:$A,0)),""))</f>
        <v/>
      </c>
      <c r="F4904" s="53">
        <f>IF(B4904="","",IFERROR(INDEX(Client_List!$D:$D,MATCH(VALUE(B4904),Client_List!$A:$A,0)),""))</f>
        <v/>
      </c>
      <c r="G4904" s="53">
        <f>IF(B4904="","",IFERROR(INDEX(Client_List!$K:$K,MATCH(VALUE(B4904),Client_List!$A:$A,0)),""))</f>
        <v/>
      </c>
      <c r="H4904" s="32">
        <f>IF(B4904="","",IFERROR(INDEX(Client_List!$J:$J,MATCH(VALUE(B4904),Client_List!$A:$A,0)),""))</f>
        <v/>
      </c>
      <c r="I4904" s="70">
        <f>IF(B4904="","",IFERROR(A4904-LOOKUP(2,1/($B$4:$B4903=B4904),$A$4:$A4903),""))</f>
        <v/>
      </c>
      <c r="J4904" s="32">
        <f>IF(B4904="","",IFERROR(D4904/I4904,""))</f>
        <v/>
      </c>
      <c r="K4904" s="71">
        <f>IF(B4904="","",IFERROR(AVERAGEIFS($J$4:$J4904,$B$4:$B4904,B4904,$J$4:$J4904,"&gt;"&amp;0),""))</f>
        <v/>
      </c>
      <c r="L4904" s="12" t="n"/>
    </row>
    <row r="4905" ht="14" customHeight="1" s="72">
      <c r="A4905" s="82" t="n"/>
      <c r="B4905" s="79" t="n"/>
      <c r="C4905" s="69">
        <f>IF(B4905="","",IFERROR(INDEX(Client_List!$B:$B,MATCH(B4905,Client_List!$A:$A,0)),"⚠ NOT FOUND"))</f>
        <v/>
      </c>
      <c r="D4905" s="44" t="n"/>
      <c r="E4905" s="32">
        <f>IF(B4905="","",IFERROR(INDEX(Client_List!$C:$C,MATCH(VALUE(B4905),Client_List!$A:$A,0)),""))</f>
        <v/>
      </c>
      <c r="F4905" s="53">
        <f>IF(B4905="","",IFERROR(INDEX(Client_List!$D:$D,MATCH(VALUE(B4905),Client_List!$A:$A,0)),""))</f>
        <v/>
      </c>
      <c r="G4905" s="53">
        <f>IF(B4905="","",IFERROR(INDEX(Client_List!$K:$K,MATCH(VALUE(B4905),Client_List!$A:$A,0)),""))</f>
        <v/>
      </c>
      <c r="H4905" s="32">
        <f>IF(B4905="","",IFERROR(INDEX(Client_List!$J:$J,MATCH(VALUE(B4905),Client_List!$A:$A,0)),""))</f>
        <v/>
      </c>
      <c r="I4905" s="70">
        <f>IF(B4905="","",IFERROR(A4905-LOOKUP(2,1/($B$4:$B4904=B4905),$A$4:$A4904),""))</f>
        <v/>
      </c>
      <c r="J4905" s="32">
        <f>IF(B4905="","",IFERROR(D4905/I4905,""))</f>
        <v/>
      </c>
      <c r="K4905" s="71">
        <f>IF(B4905="","",IFERROR(AVERAGEIFS($J$4:$J4905,$B$4:$B4905,B4905,$J$4:$J4905,"&gt;"&amp;0),""))</f>
        <v/>
      </c>
      <c r="L4905" s="11" t="n"/>
    </row>
    <row r="4906" ht="14" customHeight="1" s="72">
      <c r="A4906" s="83" t="n"/>
      <c r="B4906" s="81" t="n"/>
      <c r="C4906" s="69">
        <f>IF(B4906="","",IFERROR(INDEX(Client_List!$B:$B,MATCH(B4906,Client_List!$A:$A,0)),"⚠ NOT FOUND"))</f>
        <v/>
      </c>
      <c r="D4906" s="45" t="n"/>
      <c r="E4906" s="32">
        <f>IF(B4906="","",IFERROR(INDEX(Client_List!$C:$C,MATCH(VALUE(B4906),Client_List!$A:$A,0)),""))</f>
        <v/>
      </c>
      <c r="F4906" s="53">
        <f>IF(B4906="","",IFERROR(INDEX(Client_List!$D:$D,MATCH(VALUE(B4906),Client_List!$A:$A,0)),""))</f>
        <v/>
      </c>
      <c r="G4906" s="53">
        <f>IF(B4906="","",IFERROR(INDEX(Client_List!$K:$K,MATCH(VALUE(B4906),Client_List!$A:$A,0)),""))</f>
        <v/>
      </c>
      <c r="H4906" s="32">
        <f>IF(B4906="","",IFERROR(INDEX(Client_List!$J:$J,MATCH(VALUE(B4906),Client_List!$A:$A,0)),""))</f>
        <v/>
      </c>
      <c r="I4906" s="70">
        <f>IF(B4906="","",IFERROR(A4906-LOOKUP(2,1/($B$4:$B4905=B4906),$A$4:$A4905),""))</f>
        <v/>
      </c>
      <c r="J4906" s="32">
        <f>IF(B4906="","",IFERROR(D4906/I4906,""))</f>
        <v/>
      </c>
      <c r="K4906" s="71">
        <f>IF(B4906="","",IFERROR(AVERAGEIFS($J$4:$J4906,$B$4:$B4906,B4906,$J$4:$J4906,"&gt;"&amp;0),""))</f>
        <v/>
      </c>
      <c r="L4906" s="12" t="n"/>
    </row>
    <row r="4907" ht="14" customHeight="1" s="72">
      <c r="A4907" s="82" t="n"/>
      <c r="B4907" s="79" t="n"/>
      <c r="C4907" s="69">
        <f>IF(B4907="","",IFERROR(INDEX(Client_List!$B:$B,MATCH(B4907,Client_List!$A:$A,0)),"⚠ NOT FOUND"))</f>
        <v/>
      </c>
      <c r="D4907" s="44" t="n"/>
      <c r="E4907" s="32">
        <f>IF(B4907="","",IFERROR(INDEX(Client_List!$C:$C,MATCH(VALUE(B4907),Client_List!$A:$A,0)),""))</f>
        <v/>
      </c>
      <c r="F4907" s="53">
        <f>IF(B4907="","",IFERROR(INDEX(Client_List!$D:$D,MATCH(VALUE(B4907),Client_List!$A:$A,0)),""))</f>
        <v/>
      </c>
      <c r="G4907" s="53">
        <f>IF(B4907="","",IFERROR(INDEX(Client_List!$K:$K,MATCH(VALUE(B4907),Client_List!$A:$A,0)),""))</f>
        <v/>
      </c>
      <c r="H4907" s="32">
        <f>IF(B4907="","",IFERROR(INDEX(Client_List!$J:$J,MATCH(VALUE(B4907),Client_List!$A:$A,0)),""))</f>
        <v/>
      </c>
      <c r="I4907" s="70">
        <f>IF(B4907="","",IFERROR(A4907-LOOKUP(2,1/($B$4:$B4906=B4907),$A$4:$A4906),""))</f>
        <v/>
      </c>
      <c r="J4907" s="32">
        <f>IF(B4907="","",IFERROR(D4907/I4907,""))</f>
        <v/>
      </c>
      <c r="K4907" s="71">
        <f>IF(B4907="","",IFERROR(AVERAGEIFS($J$4:$J4907,$B$4:$B4907,B4907,$J$4:$J4907,"&gt;"&amp;0),""))</f>
        <v/>
      </c>
      <c r="L4907" s="11" t="n"/>
    </row>
    <row r="4908" ht="14" customHeight="1" s="72">
      <c r="A4908" s="83" t="n"/>
      <c r="B4908" s="81" t="n"/>
      <c r="C4908" s="69">
        <f>IF(B4908="","",IFERROR(INDEX(Client_List!$B:$B,MATCH(B4908,Client_List!$A:$A,0)),"⚠ NOT FOUND"))</f>
        <v/>
      </c>
      <c r="D4908" s="45" t="n"/>
      <c r="E4908" s="32">
        <f>IF(B4908="","",IFERROR(INDEX(Client_List!$C:$C,MATCH(VALUE(B4908),Client_List!$A:$A,0)),""))</f>
        <v/>
      </c>
      <c r="F4908" s="53">
        <f>IF(B4908="","",IFERROR(INDEX(Client_List!$D:$D,MATCH(VALUE(B4908),Client_List!$A:$A,0)),""))</f>
        <v/>
      </c>
      <c r="G4908" s="53">
        <f>IF(B4908="","",IFERROR(INDEX(Client_List!$K:$K,MATCH(VALUE(B4908),Client_List!$A:$A,0)),""))</f>
        <v/>
      </c>
      <c r="H4908" s="32">
        <f>IF(B4908="","",IFERROR(INDEX(Client_List!$J:$J,MATCH(VALUE(B4908),Client_List!$A:$A,0)),""))</f>
        <v/>
      </c>
      <c r="I4908" s="70">
        <f>IF(B4908="","",IFERROR(A4908-LOOKUP(2,1/($B$4:$B4907=B4908),$A$4:$A4907),""))</f>
        <v/>
      </c>
      <c r="J4908" s="32">
        <f>IF(B4908="","",IFERROR(D4908/I4908,""))</f>
        <v/>
      </c>
      <c r="K4908" s="71">
        <f>IF(B4908="","",IFERROR(AVERAGEIFS($J$4:$J4908,$B$4:$B4908,B4908,$J$4:$J4908,"&gt;"&amp;0),""))</f>
        <v/>
      </c>
      <c r="L4908" s="12" t="n"/>
    </row>
    <row r="4909" ht="14" customHeight="1" s="72">
      <c r="A4909" s="82" t="n"/>
      <c r="B4909" s="79" t="n"/>
      <c r="C4909" s="69">
        <f>IF(B4909="","",IFERROR(INDEX(Client_List!$B:$B,MATCH(B4909,Client_List!$A:$A,0)),"⚠ NOT FOUND"))</f>
        <v/>
      </c>
      <c r="D4909" s="44" t="n"/>
      <c r="E4909" s="32">
        <f>IF(B4909="","",IFERROR(INDEX(Client_List!$C:$C,MATCH(VALUE(B4909),Client_List!$A:$A,0)),""))</f>
        <v/>
      </c>
      <c r="F4909" s="53">
        <f>IF(B4909="","",IFERROR(INDEX(Client_List!$D:$D,MATCH(VALUE(B4909),Client_List!$A:$A,0)),""))</f>
        <v/>
      </c>
      <c r="G4909" s="53">
        <f>IF(B4909="","",IFERROR(INDEX(Client_List!$K:$K,MATCH(VALUE(B4909),Client_List!$A:$A,0)),""))</f>
        <v/>
      </c>
      <c r="H4909" s="32">
        <f>IF(B4909="","",IFERROR(INDEX(Client_List!$J:$J,MATCH(VALUE(B4909),Client_List!$A:$A,0)),""))</f>
        <v/>
      </c>
      <c r="I4909" s="70">
        <f>IF(B4909="","",IFERROR(A4909-LOOKUP(2,1/($B$4:$B4908=B4909),$A$4:$A4908),""))</f>
        <v/>
      </c>
      <c r="J4909" s="32">
        <f>IF(B4909="","",IFERROR(D4909/I4909,""))</f>
        <v/>
      </c>
      <c r="K4909" s="71">
        <f>IF(B4909="","",IFERROR(AVERAGEIFS($J$4:$J4909,$B$4:$B4909,B4909,$J$4:$J4909,"&gt;"&amp;0),""))</f>
        <v/>
      </c>
      <c r="L4909" s="11" t="n"/>
    </row>
    <row r="4910" ht="14" customHeight="1" s="72">
      <c r="A4910" s="83" t="n"/>
      <c r="B4910" s="81" t="n"/>
      <c r="C4910" s="69">
        <f>IF(B4910="","",IFERROR(INDEX(Client_List!$B:$B,MATCH(B4910,Client_List!$A:$A,0)),"⚠ NOT FOUND"))</f>
        <v/>
      </c>
      <c r="D4910" s="45" t="n"/>
      <c r="E4910" s="32">
        <f>IF(B4910="","",IFERROR(INDEX(Client_List!$C:$C,MATCH(VALUE(B4910),Client_List!$A:$A,0)),""))</f>
        <v/>
      </c>
      <c r="F4910" s="53">
        <f>IF(B4910="","",IFERROR(INDEX(Client_List!$D:$D,MATCH(VALUE(B4910),Client_List!$A:$A,0)),""))</f>
        <v/>
      </c>
      <c r="G4910" s="53">
        <f>IF(B4910="","",IFERROR(INDEX(Client_List!$K:$K,MATCH(VALUE(B4910),Client_List!$A:$A,0)),""))</f>
        <v/>
      </c>
      <c r="H4910" s="32">
        <f>IF(B4910="","",IFERROR(INDEX(Client_List!$J:$J,MATCH(VALUE(B4910),Client_List!$A:$A,0)),""))</f>
        <v/>
      </c>
      <c r="I4910" s="70">
        <f>IF(B4910="","",IFERROR(A4910-LOOKUP(2,1/($B$4:$B4909=B4910),$A$4:$A4909),""))</f>
        <v/>
      </c>
      <c r="J4910" s="32">
        <f>IF(B4910="","",IFERROR(D4910/I4910,""))</f>
        <v/>
      </c>
      <c r="K4910" s="71">
        <f>IF(B4910="","",IFERROR(AVERAGEIFS($J$4:$J4910,$B$4:$B4910,B4910,$J$4:$J4910,"&gt;"&amp;0),""))</f>
        <v/>
      </c>
      <c r="L4910" s="12" t="n"/>
    </row>
    <row r="4911" ht="14" customHeight="1" s="72">
      <c r="A4911" s="82" t="n"/>
      <c r="B4911" s="79" t="n"/>
      <c r="C4911" s="69">
        <f>IF(B4911="","",IFERROR(INDEX(Client_List!$B:$B,MATCH(B4911,Client_List!$A:$A,0)),"⚠ NOT FOUND"))</f>
        <v/>
      </c>
      <c r="D4911" s="44" t="n"/>
      <c r="E4911" s="32">
        <f>IF(B4911="","",IFERROR(INDEX(Client_List!$C:$C,MATCH(VALUE(B4911),Client_List!$A:$A,0)),""))</f>
        <v/>
      </c>
      <c r="F4911" s="53">
        <f>IF(B4911="","",IFERROR(INDEX(Client_List!$D:$D,MATCH(VALUE(B4911),Client_List!$A:$A,0)),""))</f>
        <v/>
      </c>
      <c r="G4911" s="53">
        <f>IF(B4911="","",IFERROR(INDEX(Client_List!$K:$K,MATCH(VALUE(B4911),Client_List!$A:$A,0)),""))</f>
        <v/>
      </c>
      <c r="H4911" s="32">
        <f>IF(B4911="","",IFERROR(INDEX(Client_List!$J:$J,MATCH(VALUE(B4911),Client_List!$A:$A,0)),""))</f>
        <v/>
      </c>
      <c r="I4911" s="70">
        <f>IF(B4911="","",IFERROR(A4911-LOOKUP(2,1/($B$4:$B4910=B4911),$A$4:$A4910),""))</f>
        <v/>
      </c>
      <c r="J4911" s="32">
        <f>IF(B4911="","",IFERROR(D4911/I4911,""))</f>
        <v/>
      </c>
      <c r="K4911" s="71">
        <f>IF(B4911="","",IFERROR(AVERAGEIFS($J$4:$J4911,$B$4:$B4911,B4911,$J$4:$J4911,"&gt;"&amp;0),""))</f>
        <v/>
      </c>
      <c r="L4911" s="11" t="n"/>
    </row>
    <row r="4912" ht="14" customHeight="1" s="72">
      <c r="A4912" s="83" t="n"/>
      <c r="B4912" s="81" t="n"/>
      <c r="C4912" s="69">
        <f>IF(B4912="","",IFERROR(INDEX(Client_List!$B:$B,MATCH(B4912,Client_List!$A:$A,0)),"⚠ NOT FOUND"))</f>
        <v/>
      </c>
      <c r="D4912" s="45" t="n"/>
      <c r="E4912" s="32">
        <f>IF(B4912="","",IFERROR(INDEX(Client_List!$C:$C,MATCH(VALUE(B4912),Client_List!$A:$A,0)),""))</f>
        <v/>
      </c>
      <c r="F4912" s="53">
        <f>IF(B4912="","",IFERROR(INDEX(Client_List!$D:$D,MATCH(VALUE(B4912),Client_List!$A:$A,0)),""))</f>
        <v/>
      </c>
      <c r="G4912" s="53">
        <f>IF(B4912="","",IFERROR(INDEX(Client_List!$K:$K,MATCH(VALUE(B4912),Client_List!$A:$A,0)),""))</f>
        <v/>
      </c>
      <c r="H4912" s="32">
        <f>IF(B4912="","",IFERROR(INDEX(Client_List!$J:$J,MATCH(VALUE(B4912),Client_List!$A:$A,0)),""))</f>
        <v/>
      </c>
      <c r="I4912" s="70">
        <f>IF(B4912="","",IFERROR(A4912-LOOKUP(2,1/($B$4:$B4911=B4912),$A$4:$A4911),""))</f>
        <v/>
      </c>
      <c r="J4912" s="32">
        <f>IF(B4912="","",IFERROR(D4912/I4912,""))</f>
        <v/>
      </c>
      <c r="K4912" s="71">
        <f>IF(B4912="","",IFERROR(AVERAGEIFS($J$4:$J4912,$B$4:$B4912,B4912,$J$4:$J4912,"&gt;"&amp;0),""))</f>
        <v/>
      </c>
      <c r="L4912" s="12" t="n"/>
    </row>
    <row r="4913" ht="14" customHeight="1" s="72">
      <c r="A4913" s="82" t="n"/>
      <c r="B4913" s="79" t="n"/>
      <c r="C4913" s="69">
        <f>IF(B4913="","",IFERROR(INDEX(Client_List!$B:$B,MATCH(B4913,Client_List!$A:$A,0)),"⚠ NOT FOUND"))</f>
        <v/>
      </c>
      <c r="D4913" s="44" t="n"/>
      <c r="E4913" s="32">
        <f>IF(B4913="","",IFERROR(INDEX(Client_List!$C:$C,MATCH(VALUE(B4913),Client_List!$A:$A,0)),""))</f>
        <v/>
      </c>
      <c r="F4913" s="53">
        <f>IF(B4913="","",IFERROR(INDEX(Client_List!$D:$D,MATCH(VALUE(B4913),Client_List!$A:$A,0)),""))</f>
        <v/>
      </c>
      <c r="G4913" s="53">
        <f>IF(B4913="","",IFERROR(INDEX(Client_List!$K:$K,MATCH(VALUE(B4913),Client_List!$A:$A,0)),""))</f>
        <v/>
      </c>
      <c r="H4913" s="32">
        <f>IF(B4913="","",IFERROR(INDEX(Client_List!$J:$J,MATCH(VALUE(B4913),Client_List!$A:$A,0)),""))</f>
        <v/>
      </c>
      <c r="I4913" s="70">
        <f>IF(B4913="","",IFERROR(A4913-LOOKUP(2,1/($B$4:$B4912=B4913),$A$4:$A4912),""))</f>
        <v/>
      </c>
      <c r="J4913" s="32">
        <f>IF(B4913="","",IFERROR(D4913/I4913,""))</f>
        <v/>
      </c>
      <c r="K4913" s="71">
        <f>IF(B4913="","",IFERROR(AVERAGEIFS($J$4:$J4913,$B$4:$B4913,B4913,$J$4:$J4913,"&gt;"&amp;0),""))</f>
        <v/>
      </c>
      <c r="L4913" s="11" t="n"/>
    </row>
    <row r="4914" ht="14" customHeight="1" s="72">
      <c r="A4914" s="83" t="n"/>
      <c r="B4914" s="81" t="n"/>
      <c r="C4914" s="69">
        <f>IF(B4914="","",IFERROR(INDEX(Client_List!$B:$B,MATCH(B4914,Client_List!$A:$A,0)),"⚠ NOT FOUND"))</f>
        <v/>
      </c>
      <c r="D4914" s="45" t="n"/>
      <c r="E4914" s="32">
        <f>IF(B4914="","",IFERROR(INDEX(Client_List!$C:$C,MATCH(VALUE(B4914),Client_List!$A:$A,0)),""))</f>
        <v/>
      </c>
      <c r="F4914" s="53">
        <f>IF(B4914="","",IFERROR(INDEX(Client_List!$D:$D,MATCH(VALUE(B4914),Client_List!$A:$A,0)),""))</f>
        <v/>
      </c>
      <c r="G4914" s="53">
        <f>IF(B4914="","",IFERROR(INDEX(Client_List!$K:$K,MATCH(VALUE(B4914),Client_List!$A:$A,0)),""))</f>
        <v/>
      </c>
      <c r="H4914" s="32">
        <f>IF(B4914="","",IFERROR(INDEX(Client_List!$J:$J,MATCH(VALUE(B4914),Client_List!$A:$A,0)),""))</f>
        <v/>
      </c>
      <c r="I4914" s="70">
        <f>IF(B4914="","",IFERROR(A4914-LOOKUP(2,1/($B$4:$B4913=B4914),$A$4:$A4913),""))</f>
        <v/>
      </c>
      <c r="J4914" s="32">
        <f>IF(B4914="","",IFERROR(D4914/I4914,""))</f>
        <v/>
      </c>
      <c r="K4914" s="71">
        <f>IF(B4914="","",IFERROR(AVERAGEIFS($J$4:$J4914,$B$4:$B4914,B4914,$J$4:$J4914,"&gt;"&amp;0),""))</f>
        <v/>
      </c>
      <c r="L4914" s="12" t="n"/>
    </row>
    <row r="4915" ht="14" customHeight="1" s="72">
      <c r="A4915" s="82" t="n"/>
      <c r="B4915" s="79" t="n"/>
      <c r="C4915" s="69">
        <f>IF(B4915="","",IFERROR(INDEX(Client_List!$B:$B,MATCH(B4915,Client_List!$A:$A,0)),"⚠ NOT FOUND"))</f>
        <v/>
      </c>
      <c r="D4915" s="44" t="n"/>
      <c r="E4915" s="32">
        <f>IF(B4915="","",IFERROR(INDEX(Client_List!$C:$C,MATCH(VALUE(B4915),Client_List!$A:$A,0)),""))</f>
        <v/>
      </c>
      <c r="F4915" s="53">
        <f>IF(B4915="","",IFERROR(INDEX(Client_List!$D:$D,MATCH(VALUE(B4915),Client_List!$A:$A,0)),""))</f>
        <v/>
      </c>
      <c r="G4915" s="53">
        <f>IF(B4915="","",IFERROR(INDEX(Client_List!$K:$K,MATCH(VALUE(B4915),Client_List!$A:$A,0)),""))</f>
        <v/>
      </c>
      <c r="H4915" s="32">
        <f>IF(B4915="","",IFERROR(INDEX(Client_List!$J:$J,MATCH(VALUE(B4915),Client_List!$A:$A,0)),""))</f>
        <v/>
      </c>
      <c r="I4915" s="70">
        <f>IF(B4915="","",IFERROR(A4915-LOOKUP(2,1/($B$4:$B4914=B4915),$A$4:$A4914),""))</f>
        <v/>
      </c>
      <c r="J4915" s="32">
        <f>IF(B4915="","",IFERROR(D4915/I4915,""))</f>
        <v/>
      </c>
      <c r="K4915" s="71">
        <f>IF(B4915="","",IFERROR(AVERAGEIFS($J$4:$J4915,$B$4:$B4915,B4915,$J$4:$J4915,"&gt;"&amp;0),""))</f>
        <v/>
      </c>
      <c r="L4915" s="11" t="n"/>
    </row>
    <row r="4916" ht="14" customHeight="1" s="72">
      <c r="A4916" s="83" t="n"/>
      <c r="B4916" s="81" t="n"/>
      <c r="C4916" s="69">
        <f>IF(B4916="","",IFERROR(INDEX(Client_List!$B:$B,MATCH(B4916,Client_List!$A:$A,0)),"⚠ NOT FOUND"))</f>
        <v/>
      </c>
      <c r="D4916" s="45" t="n"/>
      <c r="E4916" s="32">
        <f>IF(B4916="","",IFERROR(INDEX(Client_List!$C:$C,MATCH(VALUE(B4916),Client_List!$A:$A,0)),""))</f>
        <v/>
      </c>
      <c r="F4916" s="53">
        <f>IF(B4916="","",IFERROR(INDEX(Client_List!$D:$D,MATCH(VALUE(B4916),Client_List!$A:$A,0)),""))</f>
        <v/>
      </c>
      <c r="G4916" s="53">
        <f>IF(B4916="","",IFERROR(INDEX(Client_List!$K:$K,MATCH(VALUE(B4916),Client_List!$A:$A,0)),""))</f>
        <v/>
      </c>
      <c r="H4916" s="32">
        <f>IF(B4916="","",IFERROR(INDEX(Client_List!$J:$J,MATCH(VALUE(B4916),Client_List!$A:$A,0)),""))</f>
        <v/>
      </c>
      <c r="I4916" s="70">
        <f>IF(B4916="","",IFERROR(A4916-LOOKUP(2,1/($B$4:$B4915=B4916),$A$4:$A4915),""))</f>
        <v/>
      </c>
      <c r="J4916" s="32">
        <f>IF(B4916="","",IFERROR(D4916/I4916,""))</f>
        <v/>
      </c>
      <c r="K4916" s="71">
        <f>IF(B4916="","",IFERROR(AVERAGEIFS($J$4:$J4916,$B$4:$B4916,B4916,$J$4:$J4916,"&gt;"&amp;0),""))</f>
        <v/>
      </c>
      <c r="L4916" s="12" t="n"/>
    </row>
    <row r="4917" ht="14" customHeight="1" s="72">
      <c r="A4917" s="82" t="n"/>
      <c r="B4917" s="79" t="n"/>
      <c r="C4917" s="69">
        <f>IF(B4917="","",IFERROR(INDEX(Client_List!$B:$B,MATCH(B4917,Client_List!$A:$A,0)),"⚠ NOT FOUND"))</f>
        <v/>
      </c>
      <c r="D4917" s="44" t="n"/>
      <c r="E4917" s="32">
        <f>IF(B4917="","",IFERROR(INDEX(Client_List!$C:$C,MATCH(VALUE(B4917),Client_List!$A:$A,0)),""))</f>
        <v/>
      </c>
      <c r="F4917" s="53">
        <f>IF(B4917="","",IFERROR(INDEX(Client_List!$D:$D,MATCH(VALUE(B4917),Client_List!$A:$A,0)),""))</f>
        <v/>
      </c>
      <c r="G4917" s="53">
        <f>IF(B4917="","",IFERROR(INDEX(Client_List!$K:$K,MATCH(VALUE(B4917),Client_List!$A:$A,0)),""))</f>
        <v/>
      </c>
      <c r="H4917" s="32">
        <f>IF(B4917="","",IFERROR(INDEX(Client_List!$J:$J,MATCH(VALUE(B4917),Client_List!$A:$A,0)),""))</f>
        <v/>
      </c>
      <c r="I4917" s="70">
        <f>IF(B4917="","",IFERROR(A4917-LOOKUP(2,1/($B$4:$B4916=B4917),$A$4:$A4916),""))</f>
        <v/>
      </c>
      <c r="J4917" s="32">
        <f>IF(B4917="","",IFERROR(D4917/I4917,""))</f>
        <v/>
      </c>
      <c r="K4917" s="71">
        <f>IF(B4917="","",IFERROR(AVERAGEIFS($J$4:$J4917,$B$4:$B4917,B4917,$J$4:$J4917,"&gt;"&amp;0),""))</f>
        <v/>
      </c>
      <c r="L4917" s="11" t="n"/>
    </row>
    <row r="4918" ht="14" customHeight="1" s="72">
      <c r="A4918" s="83" t="n"/>
      <c r="B4918" s="81" t="n"/>
      <c r="C4918" s="69">
        <f>IF(B4918="","",IFERROR(INDEX(Client_List!$B:$B,MATCH(B4918,Client_List!$A:$A,0)),"⚠ NOT FOUND"))</f>
        <v/>
      </c>
      <c r="D4918" s="45" t="n"/>
      <c r="E4918" s="32">
        <f>IF(B4918="","",IFERROR(INDEX(Client_List!$C:$C,MATCH(VALUE(B4918),Client_List!$A:$A,0)),""))</f>
        <v/>
      </c>
      <c r="F4918" s="53">
        <f>IF(B4918="","",IFERROR(INDEX(Client_List!$D:$D,MATCH(VALUE(B4918),Client_List!$A:$A,0)),""))</f>
        <v/>
      </c>
      <c r="G4918" s="53">
        <f>IF(B4918="","",IFERROR(INDEX(Client_List!$K:$K,MATCH(VALUE(B4918),Client_List!$A:$A,0)),""))</f>
        <v/>
      </c>
      <c r="H4918" s="32">
        <f>IF(B4918="","",IFERROR(INDEX(Client_List!$J:$J,MATCH(VALUE(B4918),Client_List!$A:$A,0)),""))</f>
        <v/>
      </c>
      <c r="I4918" s="70">
        <f>IF(B4918="","",IFERROR(A4918-LOOKUP(2,1/($B$4:$B4917=B4918),$A$4:$A4917),""))</f>
        <v/>
      </c>
      <c r="J4918" s="32">
        <f>IF(B4918="","",IFERROR(D4918/I4918,""))</f>
        <v/>
      </c>
      <c r="K4918" s="71">
        <f>IF(B4918="","",IFERROR(AVERAGEIFS($J$4:$J4918,$B$4:$B4918,B4918,$J$4:$J4918,"&gt;"&amp;0),""))</f>
        <v/>
      </c>
      <c r="L4918" s="12" t="n"/>
    </row>
    <row r="4919" ht="14" customHeight="1" s="72">
      <c r="A4919" s="82" t="n"/>
      <c r="B4919" s="79" t="n"/>
      <c r="C4919" s="69">
        <f>IF(B4919="","",IFERROR(INDEX(Client_List!$B:$B,MATCH(B4919,Client_List!$A:$A,0)),"⚠ NOT FOUND"))</f>
        <v/>
      </c>
      <c r="D4919" s="44" t="n"/>
      <c r="E4919" s="32">
        <f>IF(B4919="","",IFERROR(INDEX(Client_List!$C:$C,MATCH(VALUE(B4919),Client_List!$A:$A,0)),""))</f>
        <v/>
      </c>
      <c r="F4919" s="53">
        <f>IF(B4919="","",IFERROR(INDEX(Client_List!$D:$D,MATCH(VALUE(B4919),Client_List!$A:$A,0)),""))</f>
        <v/>
      </c>
      <c r="G4919" s="53">
        <f>IF(B4919="","",IFERROR(INDEX(Client_List!$K:$K,MATCH(VALUE(B4919),Client_List!$A:$A,0)),""))</f>
        <v/>
      </c>
      <c r="H4919" s="32">
        <f>IF(B4919="","",IFERROR(INDEX(Client_List!$J:$J,MATCH(VALUE(B4919),Client_List!$A:$A,0)),""))</f>
        <v/>
      </c>
      <c r="I4919" s="70">
        <f>IF(B4919="","",IFERROR(A4919-LOOKUP(2,1/($B$4:$B4918=B4919),$A$4:$A4918),""))</f>
        <v/>
      </c>
      <c r="J4919" s="32">
        <f>IF(B4919="","",IFERROR(D4919/I4919,""))</f>
        <v/>
      </c>
      <c r="K4919" s="71">
        <f>IF(B4919="","",IFERROR(AVERAGEIFS($J$4:$J4919,$B$4:$B4919,B4919,$J$4:$J4919,"&gt;"&amp;0),""))</f>
        <v/>
      </c>
      <c r="L4919" s="11" t="n"/>
    </row>
    <row r="4920" ht="14" customHeight="1" s="72">
      <c r="A4920" s="83" t="n"/>
      <c r="B4920" s="81" t="n"/>
      <c r="C4920" s="69">
        <f>IF(B4920="","",IFERROR(INDEX(Client_List!$B:$B,MATCH(B4920,Client_List!$A:$A,0)),"⚠ NOT FOUND"))</f>
        <v/>
      </c>
      <c r="D4920" s="45" t="n"/>
      <c r="E4920" s="32">
        <f>IF(B4920="","",IFERROR(INDEX(Client_List!$C:$C,MATCH(VALUE(B4920),Client_List!$A:$A,0)),""))</f>
        <v/>
      </c>
      <c r="F4920" s="53">
        <f>IF(B4920="","",IFERROR(INDEX(Client_List!$D:$D,MATCH(VALUE(B4920),Client_List!$A:$A,0)),""))</f>
        <v/>
      </c>
      <c r="G4920" s="53">
        <f>IF(B4920="","",IFERROR(INDEX(Client_List!$K:$K,MATCH(VALUE(B4920),Client_List!$A:$A,0)),""))</f>
        <v/>
      </c>
      <c r="H4920" s="32">
        <f>IF(B4920="","",IFERROR(INDEX(Client_List!$J:$J,MATCH(VALUE(B4920),Client_List!$A:$A,0)),""))</f>
        <v/>
      </c>
      <c r="I4920" s="70">
        <f>IF(B4920="","",IFERROR(A4920-LOOKUP(2,1/($B$4:$B4919=B4920),$A$4:$A4919),""))</f>
        <v/>
      </c>
      <c r="J4920" s="32">
        <f>IF(B4920="","",IFERROR(D4920/I4920,""))</f>
        <v/>
      </c>
      <c r="K4920" s="71">
        <f>IF(B4920="","",IFERROR(AVERAGEIFS($J$4:$J4920,$B$4:$B4920,B4920,$J$4:$J4920,"&gt;"&amp;0),""))</f>
        <v/>
      </c>
      <c r="L4920" s="12" t="n"/>
    </row>
    <row r="4921" ht="14" customHeight="1" s="72">
      <c r="A4921" s="82" t="n"/>
      <c r="B4921" s="79" t="n"/>
      <c r="C4921" s="69">
        <f>IF(B4921="","",IFERROR(INDEX(Client_List!$B:$B,MATCH(B4921,Client_List!$A:$A,0)),"⚠ NOT FOUND"))</f>
        <v/>
      </c>
      <c r="D4921" s="44" t="n"/>
      <c r="E4921" s="32">
        <f>IF(B4921="","",IFERROR(INDEX(Client_List!$C:$C,MATCH(VALUE(B4921),Client_List!$A:$A,0)),""))</f>
        <v/>
      </c>
      <c r="F4921" s="53">
        <f>IF(B4921="","",IFERROR(INDEX(Client_List!$D:$D,MATCH(VALUE(B4921),Client_List!$A:$A,0)),""))</f>
        <v/>
      </c>
      <c r="G4921" s="53">
        <f>IF(B4921="","",IFERROR(INDEX(Client_List!$K:$K,MATCH(VALUE(B4921),Client_List!$A:$A,0)),""))</f>
        <v/>
      </c>
      <c r="H4921" s="32">
        <f>IF(B4921="","",IFERROR(INDEX(Client_List!$J:$J,MATCH(VALUE(B4921),Client_List!$A:$A,0)),""))</f>
        <v/>
      </c>
      <c r="I4921" s="70">
        <f>IF(B4921="","",IFERROR(A4921-LOOKUP(2,1/($B$4:$B4920=B4921),$A$4:$A4920),""))</f>
        <v/>
      </c>
      <c r="J4921" s="32">
        <f>IF(B4921="","",IFERROR(D4921/I4921,""))</f>
        <v/>
      </c>
      <c r="K4921" s="71">
        <f>IF(B4921="","",IFERROR(AVERAGEIFS($J$4:$J4921,$B$4:$B4921,B4921,$J$4:$J4921,"&gt;"&amp;0),""))</f>
        <v/>
      </c>
      <c r="L4921" s="11" t="n"/>
    </row>
    <row r="4922" ht="14" customHeight="1" s="72">
      <c r="A4922" s="83" t="n"/>
      <c r="B4922" s="81" t="n"/>
      <c r="C4922" s="69">
        <f>IF(B4922="","",IFERROR(INDEX(Client_List!$B:$B,MATCH(B4922,Client_List!$A:$A,0)),"⚠ NOT FOUND"))</f>
        <v/>
      </c>
      <c r="D4922" s="45" t="n"/>
      <c r="E4922" s="32">
        <f>IF(B4922="","",IFERROR(INDEX(Client_List!$C:$C,MATCH(VALUE(B4922),Client_List!$A:$A,0)),""))</f>
        <v/>
      </c>
      <c r="F4922" s="53">
        <f>IF(B4922="","",IFERROR(INDEX(Client_List!$D:$D,MATCH(VALUE(B4922),Client_List!$A:$A,0)),""))</f>
        <v/>
      </c>
      <c r="G4922" s="53">
        <f>IF(B4922="","",IFERROR(INDEX(Client_List!$K:$K,MATCH(VALUE(B4922),Client_List!$A:$A,0)),""))</f>
        <v/>
      </c>
      <c r="H4922" s="32">
        <f>IF(B4922="","",IFERROR(INDEX(Client_List!$J:$J,MATCH(VALUE(B4922),Client_List!$A:$A,0)),""))</f>
        <v/>
      </c>
      <c r="I4922" s="70">
        <f>IF(B4922="","",IFERROR(A4922-LOOKUP(2,1/($B$4:$B4921=B4922),$A$4:$A4921),""))</f>
        <v/>
      </c>
      <c r="J4922" s="32">
        <f>IF(B4922="","",IFERROR(D4922/I4922,""))</f>
        <v/>
      </c>
      <c r="K4922" s="71">
        <f>IF(B4922="","",IFERROR(AVERAGEIFS($J$4:$J4922,$B$4:$B4922,B4922,$J$4:$J4922,"&gt;"&amp;0),""))</f>
        <v/>
      </c>
      <c r="L4922" s="12" t="n"/>
    </row>
    <row r="4923" ht="14" customHeight="1" s="72">
      <c r="A4923" s="82" t="n"/>
      <c r="B4923" s="79" t="n"/>
      <c r="C4923" s="69">
        <f>IF(B4923="","",IFERROR(INDEX(Client_List!$B:$B,MATCH(B4923,Client_List!$A:$A,0)),"⚠ NOT FOUND"))</f>
        <v/>
      </c>
      <c r="D4923" s="44" t="n"/>
      <c r="E4923" s="32">
        <f>IF(B4923="","",IFERROR(INDEX(Client_List!$C:$C,MATCH(VALUE(B4923),Client_List!$A:$A,0)),""))</f>
        <v/>
      </c>
      <c r="F4923" s="53">
        <f>IF(B4923="","",IFERROR(INDEX(Client_List!$D:$D,MATCH(VALUE(B4923),Client_List!$A:$A,0)),""))</f>
        <v/>
      </c>
      <c r="G4923" s="53">
        <f>IF(B4923="","",IFERROR(INDEX(Client_List!$K:$K,MATCH(VALUE(B4923),Client_List!$A:$A,0)),""))</f>
        <v/>
      </c>
      <c r="H4923" s="32">
        <f>IF(B4923="","",IFERROR(INDEX(Client_List!$J:$J,MATCH(VALUE(B4923),Client_List!$A:$A,0)),""))</f>
        <v/>
      </c>
      <c r="I4923" s="70">
        <f>IF(B4923="","",IFERROR(A4923-LOOKUP(2,1/($B$4:$B4922=B4923),$A$4:$A4922),""))</f>
        <v/>
      </c>
      <c r="J4923" s="32">
        <f>IF(B4923="","",IFERROR(D4923/I4923,""))</f>
        <v/>
      </c>
      <c r="K4923" s="71">
        <f>IF(B4923="","",IFERROR(AVERAGEIFS($J$4:$J4923,$B$4:$B4923,B4923,$J$4:$J4923,"&gt;"&amp;0),""))</f>
        <v/>
      </c>
      <c r="L4923" s="11" t="n"/>
    </row>
    <row r="4924" ht="14" customHeight="1" s="72">
      <c r="A4924" s="83" t="n"/>
      <c r="B4924" s="81" t="n"/>
      <c r="C4924" s="69">
        <f>IF(B4924="","",IFERROR(INDEX(Client_List!$B:$B,MATCH(B4924,Client_List!$A:$A,0)),"⚠ NOT FOUND"))</f>
        <v/>
      </c>
      <c r="D4924" s="45" t="n"/>
      <c r="E4924" s="32">
        <f>IF(B4924="","",IFERROR(INDEX(Client_List!$C:$C,MATCH(VALUE(B4924),Client_List!$A:$A,0)),""))</f>
        <v/>
      </c>
      <c r="F4924" s="53">
        <f>IF(B4924="","",IFERROR(INDEX(Client_List!$D:$D,MATCH(VALUE(B4924),Client_List!$A:$A,0)),""))</f>
        <v/>
      </c>
      <c r="G4924" s="53">
        <f>IF(B4924="","",IFERROR(INDEX(Client_List!$K:$K,MATCH(VALUE(B4924),Client_List!$A:$A,0)),""))</f>
        <v/>
      </c>
      <c r="H4924" s="32">
        <f>IF(B4924="","",IFERROR(INDEX(Client_List!$J:$J,MATCH(VALUE(B4924),Client_List!$A:$A,0)),""))</f>
        <v/>
      </c>
      <c r="I4924" s="70">
        <f>IF(B4924="","",IFERROR(A4924-LOOKUP(2,1/($B$4:$B4923=B4924),$A$4:$A4923),""))</f>
        <v/>
      </c>
      <c r="J4924" s="32">
        <f>IF(B4924="","",IFERROR(D4924/I4924,""))</f>
        <v/>
      </c>
      <c r="K4924" s="71">
        <f>IF(B4924="","",IFERROR(AVERAGEIFS($J$4:$J4924,$B$4:$B4924,B4924,$J$4:$J4924,"&gt;"&amp;0),""))</f>
        <v/>
      </c>
      <c r="L4924" s="12" t="n"/>
    </row>
    <row r="4925" ht="14" customHeight="1" s="72">
      <c r="A4925" s="82" t="n"/>
      <c r="B4925" s="79" t="n"/>
      <c r="C4925" s="69">
        <f>IF(B4925="","",IFERROR(INDEX(Client_List!$B:$B,MATCH(B4925,Client_List!$A:$A,0)),"⚠ NOT FOUND"))</f>
        <v/>
      </c>
      <c r="D4925" s="44" t="n"/>
      <c r="E4925" s="32">
        <f>IF(B4925="","",IFERROR(INDEX(Client_List!$C:$C,MATCH(VALUE(B4925),Client_List!$A:$A,0)),""))</f>
        <v/>
      </c>
      <c r="F4925" s="53">
        <f>IF(B4925="","",IFERROR(INDEX(Client_List!$D:$D,MATCH(VALUE(B4925),Client_List!$A:$A,0)),""))</f>
        <v/>
      </c>
      <c r="G4925" s="53">
        <f>IF(B4925="","",IFERROR(INDEX(Client_List!$K:$K,MATCH(VALUE(B4925),Client_List!$A:$A,0)),""))</f>
        <v/>
      </c>
      <c r="H4925" s="32">
        <f>IF(B4925="","",IFERROR(INDEX(Client_List!$J:$J,MATCH(VALUE(B4925),Client_List!$A:$A,0)),""))</f>
        <v/>
      </c>
      <c r="I4925" s="70">
        <f>IF(B4925="","",IFERROR(A4925-LOOKUP(2,1/($B$4:$B4924=B4925),$A$4:$A4924),""))</f>
        <v/>
      </c>
      <c r="J4925" s="32">
        <f>IF(B4925="","",IFERROR(D4925/I4925,""))</f>
        <v/>
      </c>
      <c r="K4925" s="71">
        <f>IF(B4925="","",IFERROR(AVERAGEIFS($J$4:$J4925,$B$4:$B4925,B4925,$J$4:$J4925,"&gt;"&amp;0),""))</f>
        <v/>
      </c>
      <c r="L4925" s="11" t="n"/>
    </row>
    <row r="4926" ht="14" customHeight="1" s="72">
      <c r="A4926" s="83" t="n"/>
      <c r="B4926" s="81" t="n"/>
      <c r="C4926" s="69">
        <f>IF(B4926="","",IFERROR(INDEX(Client_List!$B:$B,MATCH(B4926,Client_List!$A:$A,0)),"⚠ NOT FOUND"))</f>
        <v/>
      </c>
      <c r="D4926" s="45" t="n"/>
      <c r="E4926" s="32">
        <f>IF(B4926="","",IFERROR(INDEX(Client_List!$C:$C,MATCH(VALUE(B4926),Client_List!$A:$A,0)),""))</f>
        <v/>
      </c>
      <c r="F4926" s="53">
        <f>IF(B4926="","",IFERROR(INDEX(Client_List!$D:$D,MATCH(VALUE(B4926),Client_List!$A:$A,0)),""))</f>
        <v/>
      </c>
      <c r="G4926" s="53">
        <f>IF(B4926="","",IFERROR(INDEX(Client_List!$K:$K,MATCH(VALUE(B4926),Client_List!$A:$A,0)),""))</f>
        <v/>
      </c>
      <c r="H4926" s="32">
        <f>IF(B4926="","",IFERROR(INDEX(Client_List!$J:$J,MATCH(VALUE(B4926),Client_List!$A:$A,0)),""))</f>
        <v/>
      </c>
      <c r="I4926" s="70">
        <f>IF(B4926="","",IFERROR(A4926-LOOKUP(2,1/($B$4:$B4925=B4926),$A$4:$A4925),""))</f>
        <v/>
      </c>
      <c r="J4926" s="32">
        <f>IF(B4926="","",IFERROR(D4926/I4926,""))</f>
        <v/>
      </c>
      <c r="K4926" s="71">
        <f>IF(B4926="","",IFERROR(AVERAGEIFS($J$4:$J4926,$B$4:$B4926,B4926,$J$4:$J4926,"&gt;"&amp;0),""))</f>
        <v/>
      </c>
      <c r="L4926" s="12" t="n"/>
    </row>
    <row r="4927" ht="14" customHeight="1" s="72">
      <c r="A4927" s="82" t="n"/>
      <c r="B4927" s="79" t="n"/>
      <c r="C4927" s="69">
        <f>IF(B4927="","",IFERROR(INDEX(Client_List!$B:$B,MATCH(B4927,Client_List!$A:$A,0)),"⚠ NOT FOUND"))</f>
        <v/>
      </c>
      <c r="D4927" s="44" t="n"/>
      <c r="E4927" s="32">
        <f>IF(B4927="","",IFERROR(INDEX(Client_List!$C:$C,MATCH(VALUE(B4927),Client_List!$A:$A,0)),""))</f>
        <v/>
      </c>
      <c r="F4927" s="53">
        <f>IF(B4927="","",IFERROR(INDEX(Client_List!$D:$D,MATCH(VALUE(B4927),Client_List!$A:$A,0)),""))</f>
        <v/>
      </c>
      <c r="G4927" s="53">
        <f>IF(B4927="","",IFERROR(INDEX(Client_List!$K:$K,MATCH(VALUE(B4927),Client_List!$A:$A,0)),""))</f>
        <v/>
      </c>
      <c r="H4927" s="32">
        <f>IF(B4927="","",IFERROR(INDEX(Client_List!$J:$J,MATCH(VALUE(B4927),Client_List!$A:$A,0)),""))</f>
        <v/>
      </c>
      <c r="I4927" s="70">
        <f>IF(B4927="","",IFERROR(A4927-LOOKUP(2,1/($B$4:$B4926=B4927),$A$4:$A4926),""))</f>
        <v/>
      </c>
      <c r="J4927" s="32">
        <f>IF(B4927="","",IFERROR(D4927/I4927,""))</f>
        <v/>
      </c>
      <c r="K4927" s="71">
        <f>IF(B4927="","",IFERROR(AVERAGEIFS($J$4:$J4927,$B$4:$B4927,B4927,$J$4:$J4927,"&gt;"&amp;0),""))</f>
        <v/>
      </c>
      <c r="L4927" s="11" t="n"/>
    </row>
    <row r="4928" ht="14" customHeight="1" s="72">
      <c r="A4928" s="83" t="n"/>
      <c r="B4928" s="81" t="n"/>
      <c r="C4928" s="69">
        <f>IF(B4928="","",IFERROR(INDEX(Client_List!$B:$B,MATCH(B4928,Client_List!$A:$A,0)),"⚠ NOT FOUND"))</f>
        <v/>
      </c>
      <c r="D4928" s="45" t="n"/>
      <c r="E4928" s="32">
        <f>IF(B4928="","",IFERROR(INDEX(Client_List!$C:$C,MATCH(VALUE(B4928),Client_List!$A:$A,0)),""))</f>
        <v/>
      </c>
      <c r="F4928" s="53">
        <f>IF(B4928="","",IFERROR(INDEX(Client_List!$D:$D,MATCH(VALUE(B4928),Client_List!$A:$A,0)),""))</f>
        <v/>
      </c>
      <c r="G4928" s="53">
        <f>IF(B4928="","",IFERROR(INDEX(Client_List!$K:$K,MATCH(VALUE(B4928),Client_List!$A:$A,0)),""))</f>
        <v/>
      </c>
      <c r="H4928" s="32">
        <f>IF(B4928="","",IFERROR(INDEX(Client_List!$J:$J,MATCH(VALUE(B4928),Client_List!$A:$A,0)),""))</f>
        <v/>
      </c>
      <c r="I4928" s="70">
        <f>IF(B4928="","",IFERROR(A4928-LOOKUP(2,1/($B$4:$B4927=B4928),$A$4:$A4927),""))</f>
        <v/>
      </c>
      <c r="J4928" s="32">
        <f>IF(B4928="","",IFERROR(D4928/I4928,""))</f>
        <v/>
      </c>
      <c r="K4928" s="71">
        <f>IF(B4928="","",IFERROR(AVERAGEIFS($J$4:$J4928,$B$4:$B4928,B4928,$J$4:$J4928,"&gt;"&amp;0),""))</f>
        <v/>
      </c>
      <c r="L4928" s="12" t="n"/>
    </row>
    <row r="4929" ht="14" customHeight="1" s="72">
      <c r="A4929" s="82" t="n"/>
      <c r="B4929" s="79" t="n"/>
      <c r="C4929" s="69">
        <f>IF(B4929="","",IFERROR(INDEX(Client_List!$B:$B,MATCH(B4929,Client_List!$A:$A,0)),"⚠ NOT FOUND"))</f>
        <v/>
      </c>
      <c r="D4929" s="44" t="n"/>
      <c r="E4929" s="32">
        <f>IF(B4929="","",IFERROR(INDEX(Client_List!$C:$C,MATCH(VALUE(B4929),Client_List!$A:$A,0)),""))</f>
        <v/>
      </c>
      <c r="F4929" s="53">
        <f>IF(B4929="","",IFERROR(INDEX(Client_List!$D:$D,MATCH(VALUE(B4929),Client_List!$A:$A,0)),""))</f>
        <v/>
      </c>
      <c r="G4929" s="53">
        <f>IF(B4929="","",IFERROR(INDEX(Client_List!$K:$K,MATCH(VALUE(B4929),Client_List!$A:$A,0)),""))</f>
        <v/>
      </c>
      <c r="H4929" s="32">
        <f>IF(B4929="","",IFERROR(INDEX(Client_List!$J:$J,MATCH(VALUE(B4929),Client_List!$A:$A,0)),""))</f>
        <v/>
      </c>
      <c r="I4929" s="70">
        <f>IF(B4929="","",IFERROR(A4929-LOOKUP(2,1/($B$4:$B4928=B4929),$A$4:$A4928),""))</f>
        <v/>
      </c>
      <c r="J4929" s="32">
        <f>IF(B4929="","",IFERROR(D4929/I4929,""))</f>
        <v/>
      </c>
      <c r="K4929" s="71">
        <f>IF(B4929="","",IFERROR(AVERAGEIFS($J$4:$J4929,$B$4:$B4929,B4929,$J$4:$J4929,"&gt;"&amp;0),""))</f>
        <v/>
      </c>
      <c r="L4929" s="11" t="n"/>
    </row>
    <row r="4930" ht="14" customHeight="1" s="72">
      <c r="A4930" s="83" t="n"/>
      <c r="B4930" s="81" t="n"/>
      <c r="C4930" s="69">
        <f>IF(B4930="","",IFERROR(INDEX(Client_List!$B:$B,MATCH(B4930,Client_List!$A:$A,0)),"⚠ NOT FOUND"))</f>
        <v/>
      </c>
      <c r="D4930" s="45" t="n"/>
      <c r="E4930" s="32">
        <f>IF(B4930="","",IFERROR(INDEX(Client_List!$C:$C,MATCH(VALUE(B4930),Client_List!$A:$A,0)),""))</f>
        <v/>
      </c>
      <c r="F4930" s="53">
        <f>IF(B4930="","",IFERROR(INDEX(Client_List!$D:$D,MATCH(VALUE(B4930),Client_List!$A:$A,0)),""))</f>
        <v/>
      </c>
      <c r="G4930" s="53">
        <f>IF(B4930="","",IFERROR(INDEX(Client_List!$K:$K,MATCH(VALUE(B4930),Client_List!$A:$A,0)),""))</f>
        <v/>
      </c>
      <c r="H4930" s="32">
        <f>IF(B4930="","",IFERROR(INDEX(Client_List!$J:$J,MATCH(VALUE(B4930),Client_List!$A:$A,0)),""))</f>
        <v/>
      </c>
      <c r="I4930" s="70">
        <f>IF(B4930="","",IFERROR(A4930-LOOKUP(2,1/($B$4:$B4929=B4930),$A$4:$A4929),""))</f>
        <v/>
      </c>
      <c r="J4930" s="32">
        <f>IF(B4930="","",IFERROR(D4930/I4930,""))</f>
        <v/>
      </c>
      <c r="K4930" s="71">
        <f>IF(B4930="","",IFERROR(AVERAGEIFS($J$4:$J4930,$B$4:$B4930,B4930,$J$4:$J4930,"&gt;"&amp;0),""))</f>
        <v/>
      </c>
      <c r="L4930" s="12" t="n"/>
    </row>
    <row r="4931" ht="14" customHeight="1" s="72">
      <c r="A4931" s="82" t="n"/>
      <c r="B4931" s="79" t="n"/>
      <c r="C4931" s="69">
        <f>IF(B4931="","",IFERROR(INDEX(Client_List!$B:$B,MATCH(B4931,Client_List!$A:$A,0)),"⚠ NOT FOUND"))</f>
        <v/>
      </c>
      <c r="D4931" s="44" t="n"/>
      <c r="E4931" s="32">
        <f>IF(B4931="","",IFERROR(INDEX(Client_List!$C:$C,MATCH(VALUE(B4931),Client_List!$A:$A,0)),""))</f>
        <v/>
      </c>
      <c r="F4931" s="53">
        <f>IF(B4931="","",IFERROR(INDEX(Client_List!$D:$D,MATCH(VALUE(B4931),Client_List!$A:$A,0)),""))</f>
        <v/>
      </c>
      <c r="G4931" s="53">
        <f>IF(B4931="","",IFERROR(INDEX(Client_List!$K:$K,MATCH(VALUE(B4931),Client_List!$A:$A,0)),""))</f>
        <v/>
      </c>
      <c r="H4931" s="32">
        <f>IF(B4931="","",IFERROR(INDEX(Client_List!$J:$J,MATCH(VALUE(B4931),Client_List!$A:$A,0)),""))</f>
        <v/>
      </c>
      <c r="I4931" s="70">
        <f>IF(B4931="","",IFERROR(A4931-LOOKUP(2,1/($B$4:$B4930=B4931),$A$4:$A4930),""))</f>
        <v/>
      </c>
      <c r="J4931" s="32">
        <f>IF(B4931="","",IFERROR(D4931/I4931,""))</f>
        <v/>
      </c>
      <c r="K4931" s="71">
        <f>IF(B4931="","",IFERROR(AVERAGEIFS($J$4:$J4931,$B$4:$B4931,B4931,$J$4:$J4931,"&gt;"&amp;0),""))</f>
        <v/>
      </c>
      <c r="L4931" s="11" t="n"/>
    </row>
    <row r="4932" ht="14" customHeight="1" s="72">
      <c r="A4932" s="83" t="n"/>
      <c r="B4932" s="81" t="n"/>
      <c r="C4932" s="69">
        <f>IF(B4932="","",IFERROR(INDEX(Client_List!$B:$B,MATCH(B4932,Client_List!$A:$A,0)),"⚠ NOT FOUND"))</f>
        <v/>
      </c>
      <c r="D4932" s="45" t="n"/>
      <c r="E4932" s="32">
        <f>IF(B4932="","",IFERROR(INDEX(Client_List!$C:$C,MATCH(VALUE(B4932),Client_List!$A:$A,0)),""))</f>
        <v/>
      </c>
      <c r="F4932" s="53">
        <f>IF(B4932="","",IFERROR(INDEX(Client_List!$D:$D,MATCH(VALUE(B4932),Client_List!$A:$A,0)),""))</f>
        <v/>
      </c>
      <c r="G4932" s="53">
        <f>IF(B4932="","",IFERROR(INDEX(Client_List!$K:$K,MATCH(VALUE(B4932),Client_List!$A:$A,0)),""))</f>
        <v/>
      </c>
      <c r="H4932" s="32">
        <f>IF(B4932="","",IFERROR(INDEX(Client_List!$J:$J,MATCH(VALUE(B4932),Client_List!$A:$A,0)),""))</f>
        <v/>
      </c>
      <c r="I4932" s="70">
        <f>IF(B4932="","",IFERROR(A4932-LOOKUP(2,1/($B$4:$B4931=B4932),$A$4:$A4931),""))</f>
        <v/>
      </c>
      <c r="J4932" s="32">
        <f>IF(B4932="","",IFERROR(D4932/I4932,""))</f>
        <v/>
      </c>
      <c r="K4932" s="71">
        <f>IF(B4932="","",IFERROR(AVERAGEIFS($J$4:$J4932,$B$4:$B4932,B4932,$J$4:$J4932,"&gt;"&amp;0),""))</f>
        <v/>
      </c>
      <c r="L4932" s="12" t="n"/>
    </row>
    <row r="4933" ht="14" customHeight="1" s="72">
      <c r="A4933" s="82" t="n"/>
      <c r="B4933" s="79" t="n"/>
      <c r="C4933" s="69">
        <f>IF(B4933="","",IFERROR(INDEX(Client_List!$B:$B,MATCH(B4933,Client_List!$A:$A,0)),"⚠ NOT FOUND"))</f>
        <v/>
      </c>
      <c r="D4933" s="44" t="n"/>
      <c r="E4933" s="32">
        <f>IF(B4933="","",IFERROR(INDEX(Client_List!$C:$C,MATCH(VALUE(B4933),Client_List!$A:$A,0)),""))</f>
        <v/>
      </c>
      <c r="F4933" s="53">
        <f>IF(B4933="","",IFERROR(INDEX(Client_List!$D:$D,MATCH(VALUE(B4933),Client_List!$A:$A,0)),""))</f>
        <v/>
      </c>
      <c r="G4933" s="53">
        <f>IF(B4933="","",IFERROR(INDEX(Client_List!$K:$K,MATCH(VALUE(B4933),Client_List!$A:$A,0)),""))</f>
        <v/>
      </c>
      <c r="H4933" s="32">
        <f>IF(B4933="","",IFERROR(INDEX(Client_List!$J:$J,MATCH(VALUE(B4933),Client_List!$A:$A,0)),""))</f>
        <v/>
      </c>
      <c r="I4933" s="70">
        <f>IF(B4933="","",IFERROR(A4933-LOOKUP(2,1/($B$4:$B4932=B4933),$A$4:$A4932),""))</f>
        <v/>
      </c>
      <c r="J4933" s="32">
        <f>IF(B4933="","",IFERROR(D4933/I4933,""))</f>
        <v/>
      </c>
      <c r="K4933" s="71">
        <f>IF(B4933="","",IFERROR(AVERAGEIFS($J$4:$J4933,$B$4:$B4933,B4933,$J$4:$J4933,"&gt;"&amp;0),""))</f>
        <v/>
      </c>
      <c r="L4933" s="11" t="n"/>
    </row>
    <row r="4934" ht="14" customHeight="1" s="72">
      <c r="A4934" s="83" t="n"/>
      <c r="B4934" s="81" t="n"/>
      <c r="C4934" s="69">
        <f>IF(B4934="","",IFERROR(INDEX(Client_List!$B:$B,MATCH(B4934,Client_List!$A:$A,0)),"⚠ NOT FOUND"))</f>
        <v/>
      </c>
      <c r="D4934" s="45" t="n"/>
      <c r="E4934" s="32">
        <f>IF(B4934="","",IFERROR(INDEX(Client_List!$C:$C,MATCH(VALUE(B4934),Client_List!$A:$A,0)),""))</f>
        <v/>
      </c>
      <c r="F4934" s="53">
        <f>IF(B4934="","",IFERROR(INDEX(Client_List!$D:$D,MATCH(VALUE(B4934),Client_List!$A:$A,0)),""))</f>
        <v/>
      </c>
      <c r="G4934" s="53">
        <f>IF(B4934="","",IFERROR(INDEX(Client_List!$K:$K,MATCH(VALUE(B4934),Client_List!$A:$A,0)),""))</f>
        <v/>
      </c>
      <c r="H4934" s="32">
        <f>IF(B4934="","",IFERROR(INDEX(Client_List!$J:$J,MATCH(VALUE(B4934),Client_List!$A:$A,0)),""))</f>
        <v/>
      </c>
      <c r="I4934" s="70">
        <f>IF(B4934="","",IFERROR(A4934-LOOKUP(2,1/($B$4:$B4933=B4934),$A$4:$A4933),""))</f>
        <v/>
      </c>
      <c r="J4934" s="32">
        <f>IF(B4934="","",IFERROR(D4934/I4934,""))</f>
        <v/>
      </c>
      <c r="K4934" s="71">
        <f>IF(B4934="","",IFERROR(AVERAGEIFS($J$4:$J4934,$B$4:$B4934,B4934,$J$4:$J4934,"&gt;"&amp;0),""))</f>
        <v/>
      </c>
      <c r="L4934" s="12" t="n"/>
    </row>
    <row r="4935" ht="14" customHeight="1" s="72">
      <c r="A4935" s="82" t="n"/>
      <c r="B4935" s="79" t="n"/>
      <c r="C4935" s="69">
        <f>IF(B4935="","",IFERROR(INDEX(Client_List!$B:$B,MATCH(B4935,Client_List!$A:$A,0)),"⚠ NOT FOUND"))</f>
        <v/>
      </c>
      <c r="D4935" s="44" t="n"/>
      <c r="E4935" s="32">
        <f>IF(B4935="","",IFERROR(INDEX(Client_List!$C:$C,MATCH(VALUE(B4935),Client_List!$A:$A,0)),""))</f>
        <v/>
      </c>
      <c r="F4935" s="53">
        <f>IF(B4935="","",IFERROR(INDEX(Client_List!$D:$D,MATCH(VALUE(B4935),Client_List!$A:$A,0)),""))</f>
        <v/>
      </c>
      <c r="G4935" s="53">
        <f>IF(B4935="","",IFERROR(INDEX(Client_List!$K:$K,MATCH(VALUE(B4935),Client_List!$A:$A,0)),""))</f>
        <v/>
      </c>
      <c r="H4935" s="32">
        <f>IF(B4935="","",IFERROR(INDEX(Client_List!$J:$J,MATCH(VALUE(B4935),Client_List!$A:$A,0)),""))</f>
        <v/>
      </c>
      <c r="I4935" s="70">
        <f>IF(B4935="","",IFERROR(A4935-LOOKUP(2,1/($B$4:$B4934=B4935),$A$4:$A4934),""))</f>
        <v/>
      </c>
      <c r="J4935" s="32">
        <f>IF(B4935="","",IFERROR(D4935/I4935,""))</f>
        <v/>
      </c>
      <c r="K4935" s="71">
        <f>IF(B4935="","",IFERROR(AVERAGEIFS($J$4:$J4935,$B$4:$B4935,B4935,$J$4:$J4935,"&gt;"&amp;0),""))</f>
        <v/>
      </c>
      <c r="L4935" s="11" t="n"/>
    </row>
    <row r="4936" ht="14" customHeight="1" s="72">
      <c r="A4936" s="83" t="n"/>
      <c r="B4936" s="81" t="n"/>
      <c r="C4936" s="69">
        <f>IF(B4936="","",IFERROR(INDEX(Client_List!$B:$B,MATCH(B4936,Client_List!$A:$A,0)),"⚠ NOT FOUND"))</f>
        <v/>
      </c>
      <c r="D4936" s="45" t="n"/>
      <c r="E4936" s="32">
        <f>IF(B4936="","",IFERROR(INDEX(Client_List!$C:$C,MATCH(VALUE(B4936),Client_List!$A:$A,0)),""))</f>
        <v/>
      </c>
      <c r="F4936" s="53">
        <f>IF(B4936="","",IFERROR(INDEX(Client_List!$D:$D,MATCH(VALUE(B4936),Client_List!$A:$A,0)),""))</f>
        <v/>
      </c>
      <c r="G4936" s="53">
        <f>IF(B4936="","",IFERROR(INDEX(Client_List!$K:$K,MATCH(VALUE(B4936),Client_List!$A:$A,0)),""))</f>
        <v/>
      </c>
      <c r="H4936" s="32">
        <f>IF(B4936="","",IFERROR(INDEX(Client_List!$J:$J,MATCH(VALUE(B4936),Client_List!$A:$A,0)),""))</f>
        <v/>
      </c>
      <c r="I4936" s="70">
        <f>IF(B4936="","",IFERROR(A4936-LOOKUP(2,1/($B$4:$B4935=B4936),$A$4:$A4935),""))</f>
        <v/>
      </c>
      <c r="J4936" s="32">
        <f>IF(B4936="","",IFERROR(D4936/I4936,""))</f>
        <v/>
      </c>
      <c r="K4936" s="71">
        <f>IF(B4936="","",IFERROR(AVERAGEIFS($J$4:$J4936,$B$4:$B4936,B4936,$J$4:$J4936,"&gt;"&amp;0),""))</f>
        <v/>
      </c>
      <c r="L4936" s="12" t="n"/>
    </row>
    <row r="4937" ht="14" customHeight="1" s="72">
      <c r="A4937" s="82" t="n"/>
      <c r="B4937" s="79" t="n"/>
      <c r="C4937" s="69">
        <f>IF(B4937="","",IFERROR(INDEX(Client_List!$B:$B,MATCH(B4937,Client_List!$A:$A,0)),"⚠ NOT FOUND"))</f>
        <v/>
      </c>
      <c r="D4937" s="44" t="n"/>
      <c r="E4937" s="32">
        <f>IF(B4937="","",IFERROR(INDEX(Client_List!$C:$C,MATCH(VALUE(B4937),Client_List!$A:$A,0)),""))</f>
        <v/>
      </c>
      <c r="F4937" s="53">
        <f>IF(B4937="","",IFERROR(INDEX(Client_List!$D:$D,MATCH(VALUE(B4937),Client_List!$A:$A,0)),""))</f>
        <v/>
      </c>
      <c r="G4937" s="53">
        <f>IF(B4937="","",IFERROR(INDEX(Client_List!$K:$K,MATCH(VALUE(B4937),Client_List!$A:$A,0)),""))</f>
        <v/>
      </c>
      <c r="H4937" s="32">
        <f>IF(B4937="","",IFERROR(INDEX(Client_List!$J:$J,MATCH(VALUE(B4937),Client_List!$A:$A,0)),""))</f>
        <v/>
      </c>
      <c r="I4937" s="70">
        <f>IF(B4937="","",IFERROR(A4937-LOOKUP(2,1/($B$4:$B4936=B4937),$A$4:$A4936),""))</f>
        <v/>
      </c>
      <c r="J4937" s="32">
        <f>IF(B4937="","",IFERROR(D4937/I4937,""))</f>
        <v/>
      </c>
      <c r="K4937" s="71">
        <f>IF(B4937="","",IFERROR(AVERAGEIFS($J$4:$J4937,$B$4:$B4937,B4937,$J$4:$J4937,"&gt;"&amp;0),""))</f>
        <v/>
      </c>
      <c r="L4937" s="11" t="n"/>
    </row>
    <row r="4938" ht="14" customHeight="1" s="72">
      <c r="A4938" s="83" t="n"/>
      <c r="B4938" s="81" t="n"/>
      <c r="C4938" s="69">
        <f>IF(B4938="","",IFERROR(INDEX(Client_List!$B:$B,MATCH(B4938,Client_List!$A:$A,0)),"⚠ NOT FOUND"))</f>
        <v/>
      </c>
      <c r="D4938" s="45" t="n"/>
      <c r="E4938" s="32">
        <f>IF(B4938="","",IFERROR(INDEX(Client_List!$C:$C,MATCH(VALUE(B4938),Client_List!$A:$A,0)),""))</f>
        <v/>
      </c>
      <c r="F4938" s="53">
        <f>IF(B4938="","",IFERROR(INDEX(Client_List!$D:$D,MATCH(VALUE(B4938),Client_List!$A:$A,0)),""))</f>
        <v/>
      </c>
      <c r="G4938" s="53">
        <f>IF(B4938="","",IFERROR(INDEX(Client_List!$K:$K,MATCH(VALUE(B4938),Client_List!$A:$A,0)),""))</f>
        <v/>
      </c>
      <c r="H4938" s="32">
        <f>IF(B4938="","",IFERROR(INDEX(Client_List!$J:$J,MATCH(VALUE(B4938),Client_List!$A:$A,0)),""))</f>
        <v/>
      </c>
      <c r="I4938" s="70">
        <f>IF(B4938="","",IFERROR(A4938-LOOKUP(2,1/($B$4:$B4937=B4938),$A$4:$A4937),""))</f>
        <v/>
      </c>
      <c r="J4938" s="32">
        <f>IF(B4938="","",IFERROR(D4938/I4938,""))</f>
        <v/>
      </c>
      <c r="K4938" s="71">
        <f>IF(B4938="","",IFERROR(AVERAGEIFS($J$4:$J4938,$B$4:$B4938,B4938,$J$4:$J4938,"&gt;"&amp;0),""))</f>
        <v/>
      </c>
      <c r="L4938" s="12" t="n"/>
    </row>
    <row r="4939" ht="14" customHeight="1" s="72">
      <c r="A4939" s="82" t="n"/>
      <c r="B4939" s="79" t="n"/>
      <c r="C4939" s="69">
        <f>IF(B4939="","",IFERROR(INDEX(Client_List!$B:$B,MATCH(B4939,Client_List!$A:$A,0)),"⚠ NOT FOUND"))</f>
        <v/>
      </c>
      <c r="D4939" s="44" t="n"/>
      <c r="E4939" s="32">
        <f>IF(B4939="","",IFERROR(INDEX(Client_List!$C:$C,MATCH(VALUE(B4939),Client_List!$A:$A,0)),""))</f>
        <v/>
      </c>
      <c r="F4939" s="53">
        <f>IF(B4939="","",IFERROR(INDEX(Client_List!$D:$D,MATCH(VALUE(B4939),Client_List!$A:$A,0)),""))</f>
        <v/>
      </c>
      <c r="G4939" s="53">
        <f>IF(B4939="","",IFERROR(INDEX(Client_List!$K:$K,MATCH(VALUE(B4939),Client_List!$A:$A,0)),""))</f>
        <v/>
      </c>
      <c r="H4939" s="32">
        <f>IF(B4939="","",IFERROR(INDEX(Client_List!$J:$J,MATCH(VALUE(B4939),Client_List!$A:$A,0)),""))</f>
        <v/>
      </c>
      <c r="I4939" s="70">
        <f>IF(B4939="","",IFERROR(A4939-LOOKUP(2,1/($B$4:$B4938=B4939),$A$4:$A4938),""))</f>
        <v/>
      </c>
      <c r="J4939" s="32">
        <f>IF(B4939="","",IFERROR(D4939/I4939,""))</f>
        <v/>
      </c>
      <c r="K4939" s="71">
        <f>IF(B4939="","",IFERROR(AVERAGEIFS($J$4:$J4939,$B$4:$B4939,B4939,$J$4:$J4939,"&gt;"&amp;0),""))</f>
        <v/>
      </c>
      <c r="L4939" s="11" t="n"/>
    </row>
    <row r="4940" ht="14" customHeight="1" s="72">
      <c r="A4940" s="83" t="n"/>
      <c r="B4940" s="81" t="n"/>
      <c r="C4940" s="69">
        <f>IF(B4940="","",IFERROR(INDEX(Client_List!$B:$B,MATCH(B4940,Client_List!$A:$A,0)),"⚠ NOT FOUND"))</f>
        <v/>
      </c>
      <c r="D4940" s="45" t="n"/>
      <c r="E4940" s="32">
        <f>IF(B4940="","",IFERROR(INDEX(Client_List!$C:$C,MATCH(VALUE(B4940),Client_List!$A:$A,0)),""))</f>
        <v/>
      </c>
      <c r="F4940" s="53">
        <f>IF(B4940="","",IFERROR(INDEX(Client_List!$D:$D,MATCH(VALUE(B4940),Client_List!$A:$A,0)),""))</f>
        <v/>
      </c>
      <c r="G4940" s="53">
        <f>IF(B4940="","",IFERROR(INDEX(Client_List!$K:$K,MATCH(VALUE(B4940),Client_List!$A:$A,0)),""))</f>
        <v/>
      </c>
      <c r="H4940" s="32">
        <f>IF(B4940="","",IFERROR(INDEX(Client_List!$J:$J,MATCH(VALUE(B4940),Client_List!$A:$A,0)),""))</f>
        <v/>
      </c>
      <c r="I4940" s="70">
        <f>IF(B4940="","",IFERROR(A4940-LOOKUP(2,1/($B$4:$B4939=B4940),$A$4:$A4939),""))</f>
        <v/>
      </c>
      <c r="J4940" s="32">
        <f>IF(B4940="","",IFERROR(D4940/I4940,""))</f>
        <v/>
      </c>
      <c r="K4940" s="71">
        <f>IF(B4940="","",IFERROR(AVERAGEIFS($J$4:$J4940,$B$4:$B4940,B4940,$J$4:$J4940,"&gt;"&amp;0),""))</f>
        <v/>
      </c>
      <c r="L4940" s="12" t="n"/>
    </row>
    <row r="4941" ht="14" customHeight="1" s="72">
      <c r="A4941" s="82" t="n"/>
      <c r="B4941" s="79" t="n"/>
      <c r="C4941" s="69">
        <f>IF(B4941="","",IFERROR(INDEX(Client_List!$B:$B,MATCH(B4941,Client_List!$A:$A,0)),"⚠ NOT FOUND"))</f>
        <v/>
      </c>
      <c r="D4941" s="44" t="n"/>
      <c r="E4941" s="32">
        <f>IF(B4941="","",IFERROR(INDEX(Client_List!$C:$C,MATCH(VALUE(B4941),Client_List!$A:$A,0)),""))</f>
        <v/>
      </c>
      <c r="F4941" s="53">
        <f>IF(B4941="","",IFERROR(INDEX(Client_List!$D:$D,MATCH(VALUE(B4941),Client_List!$A:$A,0)),""))</f>
        <v/>
      </c>
      <c r="G4941" s="53">
        <f>IF(B4941="","",IFERROR(INDEX(Client_List!$K:$K,MATCH(VALUE(B4941),Client_List!$A:$A,0)),""))</f>
        <v/>
      </c>
      <c r="H4941" s="32">
        <f>IF(B4941="","",IFERROR(INDEX(Client_List!$J:$J,MATCH(VALUE(B4941),Client_List!$A:$A,0)),""))</f>
        <v/>
      </c>
      <c r="I4941" s="70">
        <f>IF(B4941="","",IFERROR(A4941-LOOKUP(2,1/($B$4:$B4940=B4941),$A$4:$A4940),""))</f>
        <v/>
      </c>
      <c r="J4941" s="32">
        <f>IF(B4941="","",IFERROR(D4941/I4941,""))</f>
        <v/>
      </c>
      <c r="K4941" s="71">
        <f>IF(B4941="","",IFERROR(AVERAGEIFS($J$4:$J4941,$B$4:$B4941,B4941,$J$4:$J4941,"&gt;"&amp;0),""))</f>
        <v/>
      </c>
      <c r="L4941" s="11" t="n"/>
    </row>
    <row r="4942" ht="14" customHeight="1" s="72">
      <c r="A4942" s="83" t="n"/>
      <c r="B4942" s="81" t="n"/>
      <c r="C4942" s="69">
        <f>IF(B4942="","",IFERROR(INDEX(Client_List!$B:$B,MATCH(B4942,Client_List!$A:$A,0)),"⚠ NOT FOUND"))</f>
        <v/>
      </c>
      <c r="D4942" s="45" t="n"/>
      <c r="E4942" s="32">
        <f>IF(B4942="","",IFERROR(INDEX(Client_List!$C:$C,MATCH(VALUE(B4942),Client_List!$A:$A,0)),""))</f>
        <v/>
      </c>
      <c r="F4942" s="53">
        <f>IF(B4942="","",IFERROR(INDEX(Client_List!$D:$D,MATCH(VALUE(B4942),Client_List!$A:$A,0)),""))</f>
        <v/>
      </c>
      <c r="G4942" s="53">
        <f>IF(B4942="","",IFERROR(INDEX(Client_List!$K:$K,MATCH(VALUE(B4942),Client_List!$A:$A,0)),""))</f>
        <v/>
      </c>
      <c r="H4942" s="32">
        <f>IF(B4942="","",IFERROR(INDEX(Client_List!$J:$J,MATCH(VALUE(B4942),Client_List!$A:$A,0)),""))</f>
        <v/>
      </c>
      <c r="I4942" s="70">
        <f>IF(B4942="","",IFERROR(A4942-LOOKUP(2,1/($B$4:$B4941=B4942),$A$4:$A4941),""))</f>
        <v/>
      </c>
      <c r="J4942" s="32">
        <f>IF(B4942="","",IFERROR(D4942/I4942,""))</f>
        <v/>
      </c>
      <c r="K4942" s="71">
        <f>IF(B4942="","",IFERROR(AVERAGEIFS($J$4:$J4942,$B$4:$B4942,B4942,$J$4:$J4942,"&gt;"&amp;0),""))</f>
        <v/>
      </c>
      <c r="L4942" s="12" t="n"/>
    </row>
    <row r="4943" ht="14" customHeight="1" s="72">
      <c r="A4943" s="82" t="n"/>
      <c r="B4943" s="79" t="n"/>
      <c r="C4943" s="69">
        <f>IF(B4943="","",IFERROR(INDEX(Client_List!$B:$B,MATCH(B4943,Client_List!$A:$A,0)),"⚠ NOT FOUND"))</f>
        <v/>
      </c>
      <c r="D4943" s="44" t="n"/>
      <c r="E4943" s="32">
        <f>IF(B4943="","",IFERROR(INDEX(Client_List!$C:$C,MATCH(VALUE(B4943),Client_List!$A:$A,0)),""))</f>
        <v/>
      </c>
      <c r="F4943" s="53">
        <f>IF(B4943="","",IFERROR(INDEX(Client_List!$D:$D,MATCH(VALUE(B4943),Client_List!$A:$A,0)),""))</f>
        <v/>
      </c>
      <c r="G4943" s="53">
        <f>IF(B4943="","",IFERROR(INDEX(Client_List!$K:$K,MATCH(VALUE(B4943),Client_List!$A:$A,0)),""))</f>
        <v/>
      </c>
      <c r="H4943" s="32">
        <f>IF(B4943="","",IFERROR(INDEX(Client_List!$J:$J,MATCH(VALUE(B4943),Client_List!$A:$A,0)),""))</f>
        <v/>
      </c>
      <c r="I4943" s="70">
        <f>IF(B4943="","",IFERROR(A4943-LOOKUP(2,1/($B$4:$B4942=B4943),$A$4:$A4942),""))</f>
        <v/>
      </c>
      <c r="J4943" s="32">
        <f>IF(B4943="","",IFERROR(D4943/I4943,""))</f>
        <v/>
      </c>
      <c r="K4943" s="71">
        <f>IF(B4943="","",IFERROR(AVERAGEIFS($J$4:$J4943,$B$4:$B4943,B4943,$J$4:$J4943,"&gt;"&amp;0),""))</f>
        <v/>
      </c>
      <c r="L4943" s="11" t="n"/>
    </row>
    <row r="4944" ht="14" customHeight="1" s="72">
      <c r="A4944" s="83" t="n"/>
      <c r="B4944" s="81" t="n"/>
      <c r="C4944" s="69">
        <f>IF(B4944="","",IFERROR(INDEX(Client_List!$B:$B,MATCH(B4944,Client_List!$A:$A,0)),"⚠ NOT FOUND"))</f>
        <v/>
      </c>
      <c r="D4944" s="45" t="n"/>
      <c r="E4944" s="32">
        <f>IF(B4944="","",IFERROR(INDEX(Client_List!$C:$C,MATCH(VALUE(B4944),Client_List!$A:$A,0)),""))</f>
        <v/>
      </c>
      <c r="F4944" s="53">
        <f>IF(B4944="","",IFERROR(INDEX(Client_List!$D:$D,MATCH(VALUE(B4944),Client_List!$A:$A,0)),""))</f>
        <v/>
      </c>
      <c r="G4944" s="53">
        <f>IF(B4944="","",IFERROR(INDEX(Client_List!$K:$K,MATCH(VALUE(B4944),Client_List!$A:$A,0)),""))</f>
        <v/>
      </c>
      <c r="H4944" s="32">
        <f>IF(B4944="","",IFERROR(INDEX(Client_List!$J:$J,MATCH(VALUE(B4944),Client_List!$A:$A,0)),""))</f>
        <v/>
      </c>
      <c r="I4944" s="70">
        <f>IF(B4944="","",IFERROR(A4944-LOOKUP(2,1/($B$4:$B4943=B4944),$A$4:$A4943),""))</f>
        <v/>
      </c>
      <c r="J4944" s="32">
        <f>IF(B4944="","",IFERROR(D4944/I4944,""))</f>
        <v/>
      </c>
      <c r="K4944" s="71">
        <f>IF(B4944="","",IFERROR(AVERAGEIFS($J$4:$J4944,$B$4:$B4944,B4944,$J$4:$J4944,"&gt;"&amp;0),""))</f>
        <v/>
      </c>
      <c r="L4944" s="12" t="n"/>
    </row>
    <row r="4945" ht="14" customHeight="1" s="72">
      <c r="A4945" s="82" t="n"/>
      <c r="B4945" s="79" t="n"/>
      <c r="C4945" s="69">
        <f>IF(B4945="","",IFERROR(INDEX(Client_List!$B:$B,MATCH(B4945,Client_List!$A:$A,0)),"⚠ NOT FOUND"))</f>
        <v/>
      </c>
      <c r="D4945" s="44" t="n"/>
      <c r="E4945" s="32">
        <f>IF(B4945="","",IFERROR(INDEX(Client_List!$C:$C,MATCH(VALUE(B4945),Client_List!$A:$A,0)),""))</f>
        <v/>
      </c>
      <c r="F4945" s="53">
        <f>IF(B4945="","",IFERROR(INDEX(Client_List!$D:$D,MATCH(VALUE(B4945),Client_List!$A:$A,0)),""))</f>
        <v/>
      </c>
      <c r="G4945" s="53">
        <f>IF(B4945="","",IFERROR(INDEX(Client_List!$K:$K,MATCH(VALUE(B4945),Client_List!$A:$A,0)),""))</f>
        <v/>
      </c>
      <c r="H4945" s="32">
        <f>IF(B4945="","",IFERROR(INDEX(Client_List!$J:$J,MATCH(VALUE(B4945),Client_List!$A:$A,0)),""))</f>
        <v/>
      </c>
      <c r="I4945" s="70">
        <f>IF(B4945="","",IFERROR(A4945-LOOKUP(2,1/($B$4:$B4944=B4945),$A$4:$A4944),""))</f>
        <v/>
      </c>
      <c r="J4945" s="32">
        <f>IF(B4945="","",IFERROR(D4945/I4945,""))</f>
        <v/>
      </c>
      <c r="K4945" s="71">
        <f>IF(B4945="","",IFERROR(AVERAGEIFS($J$4:$J4945,$B$4:$B4945,B4945,$J$4:$J4945,"&gt;"&amp;0),""))</f>
        <v/>
      </c>
      <c r="L4945" s="11" t="n"/>
    </row>
    <row r="4946" ht="14" customHeight="1" s="72">
      <c r="A4946" s="83" t="n"/>
      <c r="B4946" s="81" t="n"/>
      <c r="C4946" s="69">
        <f>IF(B4946="","",IFERROR(INDEX(Client_List!$B:$B,MATCH(B4946,Client_List!$A:$A,0)),"⚠ NOT FOUND"))</f>
        <v/>
      </c>
      <c r="D4946" s="45" t="n"/>
      <c r="E4946" s="32">
        <f>IF(B4946="","",IFERROR(INDEX(Client_List!$C:$C,MATCH(VALUE(B4946),Client_List!$A:$A,0)),""))</f>
        <v/>
      </c>
      <c r="F4946" s="53">
        <f>IF(B4946="","",IFERROR(INDEX(Client_List!$D:$D,MATCH(VALUE(B4946),Client_List!$A:$A,0)),""))</f>
        <v/>
      </c>
      <c r="G4946" s="53">
        <f>IF(B4946="","",IFERROR(INDEX(Client_List!$K:$K,MATCH(VALUE(B4946),Client_List!$A:$A,0)),""))</f>
        <v/>
      </c>
      <c r="H4946" s="32">
        <f>IF(B4946="","",IFERROR(INDEX(Client_List!$J:$J,MATCH(VALUE(B4946),Client_List!$A:$A,0)),""))</f>
        <v/>
      </c>
      <c r="I4946" s="70">
        <f>IF(B4946="","",IFERROR(A4946-LOOKUP(2,1/($B$4:$B4945=B4946),$A$4:$A4945),""))</f>
        <v/>
      </c>
      <c r="J4946" s="32">
        <f>IF(B4946="","",IFERROR(D4946/I4946,""))</f>
        <v/>
      </c>
      <c r="K4946" s="71">
        <f>IF(B4946="","",IFERROR(AVERAGEIFS($J$4:$J4946,$B$4:$B4946,B4946,$J$4:$J4946,"&gt;"&amp;0),""))</f>
        <v/>
      </c>
      <c r="L4946" s="12" t="n"/>
    </row>
    <row r="4947" ht="14" customHeight="1" s="72">
      <c r="A4947" s="82" t="n"/>
      <c r="B4947" s="79" t="n"/>
      <c r="C4947" s="69">
        <f>IF(B4947="","",IFERROR(INDEX(Client_List!$B:$B,MATCH(B4947,Client_List!$A:$A,0)),"⚠ NOT FOUND"))</f>
        <v/>
      </c>
      <c r="D4947" s="44" t="n"/>
      <c r="E4947" s="32">
        <f>IF(B4947="","",IFERROR(INDEX(Client_List!$C:$C,MATCH(VALUE(B4947),Client_List!$A:$A,0)),""))</f>
        <v/>
      </c>
      <c r="F4947" s="53">
        <f>IF(B4947="","",IFERROR(INDEX(Client_List!$D:$D,MATCH(VALUE(B4947),Client_List!$A:$A,0)),""))</f>
        <v/>
      </c>
      <c r="G4947" s="53">
        <f>IF(B4947="","",IFERROR(INDEX(Client_List!$K:$K,MATCH(VALUE(B4947),Client_List!$A:$A,0)),""))</f>
        <v/>
      </c>
      <c r="H4947" s="32">
        <f>IF(B4947="","",IFERROR(INDEX(Client_List!$J:$J,MATCH(VALUE(B4947),Client_List!$A:$A,0)),""))</f>
        <v/>
      </c>
      <c r="I4947" s="70">
        <f>IF(B4947="","",IFERROR(A4947-LOOKUP(2,1/($B$4:$B4946=B4947),$A$4:$A4946),""))</f>
        <v/>
      </c>
      <c r="J4947" s="32">
        <f>IF(B4947="","",IFERROR(D4947/I4947,""))</f>
        <v/>
      </c>
      <c r="K4947" s="71">
        <f>IF(B4947="","",IFERROR(AVERAGEIFS($J$4:$J4947,$B$4:$B4947,B4947,$J$4:$J4947,"&gt;"&amp;0),""))</f>
        <v/>
      </c>
      <c r="L4947" s="11" t="n"/>
    </row>
    <row r="4948" ht="14" customHeight="1" s="72">
      <c r="A4948" s="83" t="n"/>
      <c r="B4948" s="81" t="n"/>
      <c r="C4948" s="69">
        <f>IF(B4948="","",IFERROR(INDEX(Client_List!$B:$B,MATCH(B4948,Client_List!$A:$A,0)),"⚠ NOT FOUND"))</f>
        <v/>
      </c>
      <c r="D4948" s="45" t="n"/>
      <c r="E4948" s="32">
        <f>IF(B4948="","",IFERROR(INDEX(Client_List!$C:$C,MATCH(VALUE(B4948),Client_List!$A:$A,0)),""))</f>
        <v/>
      </c>
      <c r="F4948" s="53">
        <f>IF(B4948="","",IFERROR(INDEX(Client_List!$D:$D,MATCH(VALUE(B4948),Client_List!$A:$A,0)),""))</f>
        <v/>
      </c>
      <c r="G4948" s="53">
        <f>IF(B4948="","",IFERROR(INDEX(Client_List!$K:$K,MATCH(VALUE(B4948),Client_List!$A:$A,0)),""))</f>
        <v/>
      </c>
      <c r="H4948" s="32">
        <f>IF(B4948="","",IFERROR(INDEX(Client_List!$J:$J,MATCH(VALUE(B4948),Client_List!$A:$A,0)),""))</f>
        <v/>
      </c>
      <c r="I4948" s="70">
        <f>IF(B4948="","",IFERROR(A4948-LOOKUP(2,1/($B$4:$B4947=B4948),$A$4:$A4947),""))</f>
        <v/>
      </c>
      <c r="J4948" s="32">
        <f>IF(B4948="","",IFERROR(D4948/I4948,""))</f>
        <v/>
      </c>
      <c r="K4948" s="71">
        <f>IF(B4948="","",IFERROR(AVERAGEIFS($J$4:$J4948,$B$4:$B4948,B4948,$J$4:$J4948,"&gt;"&amp;0),""))</f>
        <v/>
      </c>
      <c r="L4948" s="12" t="n"/>
    </row>
    <row r="4949" ht="14" customHeight="1" s="72">
      <c r="A4949" s="82" t="n"/>
      <c r="B4949" s="79" t="n"/>
      <c r="C4949" s="69">
        <f>IF(B4949="","",IFERROR(INDEX(Client_List!$B:$B,MATCH(B4949,Client_List!$A:$A,0)),"⚠ NOT FOUND"))</f>
        <v/>
      </c>
      <c r="D4949" s="44" t="n"/>
      <c r="E4949" s="32">
        <f>IF(B4949="","",IFERROR(INDEX(Client_List!$C:$C,MATCH(VALUE(B4949),Client_List!$A:$A,0)),""))</f>
        <v/>
      </c>
      <c r="F4949" s="53">
        <f>IF(B4949="","",IFERROR(INDEX(Client_List!$D:$D,MATCH(VALUE(B4949),Client_List!$A:$A,0)),""))</f>
        <v/>
      </c>
      <c r="G4949" s="53">
        <f>IF(B4949="","",IFERROR(INDEX(Client_List!$K:$K,MATCH(VALUE(B4949),Client_List!$A:$A,0)),""))</f>
        <v/>
      </c>
      <c r="H4949" s="32">
        <f>IF(B4949="","",IFERROR(INDEX(Client_List!$J:$J,MATCH(VALUE(B4949),Client_List!$A:$A,0)),""))</f>
        <v/>
      </c>
      <c r="I4949" s="70">
        <f>IF(B4949="","",IFERROR(A4949-LOOKUP(2,1/($B$4:$B4948=B4949),$A$4:$A4948),""))</f>
        <v/>
      </c>
      <c r="J4949" s="32">
        <f>IF(B4949="","",IFERROR(D4949/I4949,""))</f>
        <v/>
      </c>
      <c r="K4949" s="71">
        <f>IF(B4949="","",IFERROR(AVERAGEIFS($J$4:$J4949,$B$4:$B4949,B4949,$J$4:$J4949,"&gt;"&amp;0),""))</f>
        <v/>
      </c>
      <c r="L4949" s="11" t="n"/>
    </row>
    <row r="4950" ht="14" customHeight="1" s="72">
      <c r="A4950" s="83" t="n"/>
      <c r="B4950" s="81" t="n"/>
      <c r="C4950" s="69">
        <f>IF(B4950="","",IFERROR(INDEX(Client_List!$B:$B,MATCH(B4950,Client_List!$A:$A,0)),"⚠ NOT FOUND"))</f>
        <v/>
      </c>
      <c r="D4950" s="45" t="n"/>
      <c r="E4950" s="32">
        <f>IF(B4950="","",IFERROR(INDEX(Client_List!$C:$C,MATCH(VALUE(B4950),Client_List!$A:$A,0)),""))</f>
        <v/>
      </c>
      <c r="F4950" s="53">
        <f>IF(B4950="","",IFERROR(INDEX(Client_List!$D:$D,MATCH(VALUE(B4950),Client_List!$A:$A,0)),""))</f>
        <v/>
      </c>
      <c r="G4950" s="53">
        <f>IF(B4950="","",IFERROR(INDEX(Client_List!$K:$K,MATCH(VALUE(B4950),Client_List!$A:$A,0)),""))</f>
        <v/>
      </c>
      <c r="H4950" s="32">
        <f>IF(B4950="","",IFERROR(INDEX(Client_List!$J:$J,MATCH(VALUE(B4950),Client_List!$A:$A,0)),""))</f>
        <v/>
      </c>
      <c r="I4950" s="70">
        <f>IF(B4950="","",IFERROR(A4950-LOOKUP(2,1/($B$4:$B4949=B4950),$A$4:$A4949),""))</f>
        <v/>
      </c>
      <c r="J4950" s="32">
        <f>IF(B4950="","",IFERROR(D4950/I4950,""))</f>
        <v/>
      </c>
      <c r="K4950" s="71">
        <f>IF(B4950="","",IFERROR(AVERAGEIFS($J$4:$J4950,$B$4:$B4950,B4950,$J$4:$J4950,"&gt;"&amp;0),""))</f>
        <v/>
      </c>
      <c r="L4950" s="12" t="n"/>
    </row>
    <row r="4951" ht="14" customHeight="1" s="72">
      <c r="A4951" s="82" t="n"/>
      <c r="B4951" s="79" t="n"/>
      <c r="C4951" s="69">
        <f>IF(B4951="","",IFERROR(INDEX(Client_List!$B:$B,MATCH(B4951,Client_List!$A:$A,0)),"⚠ NOT FOUND"))</f>
        <v/>
      </c>
      <c r="D4951" s="44" t="n"/>
      <c r="E4951" s="32">
        <f>IF(B4951="","",IFERROR(INDEX(Client_List!$C:$C,MATCH(VALUE(B4951),Client_List!$A:$A,0)),""))</f>
        <v/>
      </c>
      <c r="F4951" s="53">
        <f>IF(B4951="","",IFERROR(INDEX(Client_List!$D:$D,MATCH(VALUE(B4951),Client_List!$A:$A,0)),""))</f>
        <v/>
      </c>
      <c r="G4951" s="53">
        <f>IF(B4951="","",IFERROR(INDEX(Client_List!$K:$K,MATCH(VALUE(B4951),Client_List!$A:$A,0)),""))</f>
        <v/>
      </c>
      <c r="H4951" s="32">
        <f>IF(B4951="","",IFERROR(INDEX(Client_List!$J:$J,MATCH(VALUE(B4951),Client_List!$A:$A,0)),""))</f>
        <v/>
      </c>
      <c r="I4951" s="70">
        <f>IF(B4951="","",IFERROR(A4951-LOOKUP(2,1/($B$4:$B4950=B4951),$A$4:$A4950),""))</f>
        <v/>
      </c>
      <c r="J4951" s="32">
        <f>IF(B4951="","",IFERROR(D4951/I4951,""))</f>
        <v/>
      </c>
      <c r="K4951" s="71">
        <f>IF(B4951="","",IFERROR(AVERAGEIFS($J$4:$J4951,$B$4:$B4951,B4951,$J$4:$J4951,"&gt;"&amp;0),""))</f>
        <v/>
      </c>
      <c r="L4951" s="11" t="n"/>
    </row>
    <row r="4952" ht="14" customHeight="1" s="72">
      <c r="A4952" s="83" t="n"/>
      <c r="B4952" s="81" t="n"/>
      <c r="C4952" s="69">
        <f>IF(B4952="","",IFERROR(INDEX(Client_List!$B:$B,MATCH(B4952,Client_List!$A:$A,0)),"⚠ NOT FOUND"))</f>
        <v/>
      </c>
      <c r="D4952" s="45" t="n"/>
      <c r="E4952" s="32">
        <f>IF(B4952="","",IFERROR(INDEX(Client_List!$C:$C,MATCH(VALUE(B4952),Client_List!$A:$A,0)),""))</f>
        <v/>
      </c>
      <c r="F4952" s="53">
        <f>IF(B4952="","",IFERROR(INDEX(Client_List!$D:$D,MATCH(VALUE(B4952),Client_List!$A:$A,0)),""))</f>
        <v/>
      </c>
      <c r="G4952" s="53">
        <f>IF(B4952="","",IFERROR(INDEX(Client_List!$K:$K,MATCH(VALUE(B4952),Client_List!$A:$A,0)),""))</f>
        <v/>
      </c>
      <c r="H4952" s="32">
        <f>IF(B4952="","",IFERROR(INDEX(Client_List!$J:$J,MATCH(VALUE(B4952),Client_List!$A:$A,0)),""))</f>
        <v/>
      </c>
      <c r="I4952" s="70">
        <f>IF(B4952="","",IFERROR(A4952-LOOKUP(2,1/($B$4:$B4951=B4952),$A$4:$A4951),""))</f>
        <v/>
      </c>
      <c r="J4952" s="32">
        <f>IF(B4952="","",IFERROR(D4952/I4952,""))</f>
        <v/>
      </c>
      <c r="K4952" s="71">
        <f>IF(B4952="","",IFERROR(AVERAGEIFS($J$4:$J4952,$B$4:$B4952,B4952,$J$4:$J4952,"&gt;"&amp;0),""))</f>
        <v/>
      </c>
      <c r="L4952" s="12" t="n"/>
    </row>
    <row r="4953" ht="14" customHeight="1" s="72">
      <c r="A4953" s="82" t="n"/>
      <c r="B4953" s="79" t="n"/>
      <c r="C4953" s="69">
        <f>IF(B4953="","",IFERROR(INDEX(Client_List!$B:$B,MATCH(B4953,Client_List!$A:$A,0)),"⚠ NOT FOUND"))</f>
        <v/>
      </c>
      <c r="D4953" s="44" t="n"/>
      <c r="E4953" s="32">
        <f>IF(B4953="","",IFERROR(INDEX(Client_List!$C:$C,MATCH(VALUE(B4953),Client_List!$A:$A,0)),""))</f>
        <v/>
      </c>
      <c r="F4953" s="53">
        <f>IF(B4953="","",IFERROR(INDEX(Client_List!$D:$D,MATCH(VALUE(B4953),Client_List!$A:$A,0)),""))</f>
        <v/>
      </c>
      <c r="G4953" s="53">
        <f>IF(B4953="","",IFERROR(INDEX(Client_List!$K:$K,MATCH(VALUE(B4953),Client_List!$A:$A,0)),""))</f>
        <v/>
      </c>
      <c r="H4953" s="32">
        <f>IF(B4953="","",IFERROR(INDEX(Client_List!$J:$J,MATCH(VALUE(B4953),Client_List!$A:$A,0)),""))</f>
        <v/>
      </c>
      <c r="I4953" s="70">
        <f>IF(B4953="","",IFERROR(A4953-LOOKUP(2,1/($B$4:$B4952=B4953),$A$4:$A4952),""))</f>
        <v/>
      </c>
      <c r="J4953" s="32">
        <f>IF(B4953="","",IFERROR(D4953/I4953,""))</f>
        <v/>
      </c>
      <c r="K4953" s="71">
        <f>IF(B4953="","",IFERROR(AVERAGEIFS($J$4:$J4953,$B$4:$B4953,B4953,$J$4:$J4953,"&gt;"&amp;0),""))</f>
        <v/>
      </c>
      <c r="L4953" s="11" t="n"/>
    </row>
    <row r="4954" ht="14" customHeight="1" s="72">
      <c r="A4954" s="83" t="n"/>
      <c r="B4954" s="81" t="n"/>
      <c r="C4954" s="69">
        <f>IF(B4954="","",IFERROR(INDEX(Client_List!$B:$B,MATCH(B4954,Client_List!$A:$A,0)),"⚠ NOT FOUND"))</f>
        <v/>
      </c>
      <c r="D4954" s="45" t="n"/>
      <c r="E4954" s="32">
        <f>IF(B4954="","",IFERROR(INDEX(Client_List!$C:$C,MATCH(VALUE(B4954),Client_List!$A:$A,0)),""))</f>
        <v/>
      </c>
      <c r="F4954" s="53">
        <f>IF(B4954="","",IFERROR(INDEX(Client_List!$D:$D,MATCH(VALUE(B4954),Client_List!$A:$A,0)),""))</f>
        <v/>
      </c>
      <c r="G4954" s="53">
        <f>IF(B4954="","",IFERROR(INDEX(Client_List!$K:$K,MATCH(VALUE(B4954),Client_List!$A:$A,0)),""))</f>
        <v/>
      </c>
      <c r="H4954" s="32">
        <f>IF(B4954="","",IFERROR(INDEX(Client_List!$J:$J,MATCH(VALUE(B4954),Client_List!$A:$A,0)),""))</f>
        <v/>
      </c>
      <c r="I4954" s="70">
        <f>IF(B4954="","",IFERROR(A4954-LOOKUP(2,1/($B$4:$B4953=B4954),$A$4:$A4953),""))</f>
        <v/>
      </c>
      <c r="J4954" s="32">
        <f>IF(B4954="","",IFERROR(D4954/I4954,""))</f>
        <v/>
      </c>
      <c r="K4954" s="71">
        <f>IF(B4954="","",IFERROR(AVERAGEIFS($J$4:$J4954,$B$4:$B4954,B4954,$J$4:$J4954,"&gt;"&amp;0),""))</f>
        <v/>
      </c>
      <c r="L4954" s="12" t="n"/>
    </row>
    <row r="4955" ht="14" customHeight="1" s="72">
      <c r="A4955" s="82" t="n"/>
      <c r="B4955" s="79" t="n"/>
      <c r="C4955" s="69">
        <f>IF(B4955="","",IFERROR(INDEX(Client_List!$B:$B,MATCH(B4955,Client_List!$A:$A,0)),"⚠ NOT FOUND"))</f>
        <v/>
      </c>
      <c r="D4955" s="44" t="n"/>
      <c r="E4955" s="32">
        <f>IF(B4955="","",IFERROR(INDEX(Client_List!$C:$C,MATCH(VALUE(B4955),Client_List!$A:$A,0)),""))</f>
        <v/>
      </c>
      <c r="F4955" s="53">
        <f>IF(B4955="","",IFERROR(INDEX(Client_List!$D:$D,MATCH(VALUE(B4955),Client_List!$A:$A,0)),""))</f>
        <v/>
      </c>
      <c r="G4955" s="53">
        <f>IF(B4955="","",IFERROR(INDEX(Client_List!$K:$K,MATCH(VALUE(B4955),Client_List!$A:$A,0)),""))</f>
        <v/>
      </c>
      <c r="H4955" s="32">
        <f>IF(B4955="","",IFERROR(INDEX(Client_List!$J:$J,MATCH(VALUE(B4955),Client_List!$A:$A,0)),""))</f>
        <v/>
      </c>
      <c r="I4955" s="70">
        <f>IF(B4955="","",IFERROR(A4955-LOOKUP(2,1/($B$4:$B4954=B4955),$A$4:$A4954),""))</f>
        <v/>
      </c>
      <c r="J4955" s="32">
        <f>IF(B4955="","",IFERROR(D4955/I4955,""))</f>
        <v/>
      </c>
      <c r="K4955" s="71">
        <f>IF(B4955="","",IFERROR(AVERAGEIFS($J$4:$J4955,$B$4:$B4955,B4955,$J$4:$J4955,"&gt;"&amp;0),""))</f>
        <v/>
      </c>
      <c r="L4955" s="11" t="n"/>
    </row>
    <row r="4956" ht="14" customHeight="1" s="72">
      <c r="A4956" s="83" t="n"/>
      <c r="B4956" s="81" t="n"/>
      <c r="C4956" s="69">
        <f>IF(B4956="","",IFERROR(INDEX(Client_List!$B:$B,MATCH(B4956,Client_List!$A:$A,0)),"⚠ NOT FOUND"))</f>
        <v/>
      </c>
      <c r="D4956" s="45" t="n"/>
      <c r="E4956" s="32">
        <f>IF(B4956="","",IFERROR(INDEX(Client_List!$C:$C,MATCH(VALUE(B4956),Client_List!$A:$A,0)),""))</f>
        <v/>
      </c>
      <c r="F4956" s="53">
        <f>IF(B4956="","",IFERROR(INDEX(Client_List!$D:$D,MATCH(VALUE(B4956),Client_List!$A:$A,0)),""))</f>
        <v/>
      </c>
      <c r="G4956" s="53">
        <f>IF(B4956="","",IFERROR(INDEX(Client_List!$K:$K,MATCH(VALUE(B4956),Client_List!$A:$A,0)),""))</f>
        <v/>
      </c>
      <c r="H4956" s="32">
        <f>IF(B4956="","",IFERROR(INDEX(Client_List!$J:$J,MATCH(VALUE(B4956),Client_List!$A:$A,0)),""))</f>
        <v/>
      </c>
      <c r="I4956" s="70">
        <f>IF(B4956="","",IFERROR(A4956-LOOKUP(2,1/($B$4:$B4955=B4956),$A$4:$A4955),""))</f>
        <v/>
      </c>
      <c r="J4956" s="32">
        <f>IF(B4956="","",IFERROR(D4956/I4956,""))</f>
        <v/>
      </c>
      <c r="K4956" s="71">
        <f>IF(B4956="","",IFERROR(AVERAGEIFS($J$4:$J4956,$B$4:$B4956,B4956,$J$4:$J4956,"&gt;"&amp;0),""))</f>
        <v/>
      </c>
      <c r="L4956" s="12" t="n"/>
    </row>
    <row r="4957" ht="14" customHeight="1" s="72">
      <c r="A4957" s="82" t="n"/>
      <c r="B4957" s="79" t="n"/>
      <c r="C4957" s="69">
        <f>IF(B4957="","",IFERROR(INDEX(Client_List!$B:$B,MATCH(B4957,Client_List!$A:$A,0)),"⚠ NOT FOUND"))</f>
        <v/>
      </c>
      <c r="D4957" s="44" t="n"/>
      <c r="E4957" s="32">
        <f>IF(B4957="","",IFERROR(INDEX(Client_List!$C:$C,MATCH(VALUE(B4957),Client_List!$A:$A,0)),""))</f>
        <v/>
      </c>
      <c r="F4957" s="53">
        <f>IF(B4957="","",IFERROR(INDEX(Client_List!$D:$D,MATCH(VALUE(B4957),Client_List!$A:$A,0)),""))</f>
        <v/>
      </c>
      <c r="G4957" s="53">
        <f>IF(B4957="","",IFERROR(INDEX(Client_List!$K:$K,MATCH(VALUE(B4957),Client_List!$A:$A,0)),""))</f>
        <v/>
      </c>
      <c r="H4957" s="32">
        <f>IF(B4957="","",IFERROR(INDEX(Client_List!$J:$J,MATCH(VALUE(B4957),Client_List!$A:$A,0)),""))</f>
        <v/>
      </c>
      <c r="I4957" s="70">
        <f>IF(B4957="","",IFERROR(A4957-LOOKUP(2,1/($B$4:$B4956=B4957),$A$4:$A4956),""))</f>
        <v/>
      </c>
      <c r="J4957" s="32">
        <f>IF(B4957="","",IFERROR(D4957/I4957,""))</f>
        <v/>
      </c>
      <c r="K4957" s="71">
        <f>IF(B4957="","",IFERROR(AVERAGEIFS($J$4:$J4957,$B$4:$B4957,B4957,$J$4:$J4957,"&gt;"&amp;0),""))</f>
        <v/>
      </c>
      <c r="L4957" s="11" t="n"/>
    </row>
    <row r="4958" ht="14" customHeight="1" s="72">
      <c r="A4958" s="83" t="n"/>
      <c r="B4958" s="81" t="n"/>
      <c r="C4958" s="69">
        <f>IF(B4958="","",IFERROR(INDEX(Client_List!$B:$B,MATCH(B4958,Client_List!$A:$A,0)),"⚠ NOT FOUND"))</f>
        <v/>
      </c>
      <c r="D4958" s="45" t="n"/>
      <c r="E4958" s="32">
        <f>IF(B4958="","",IFERROR(INDEX(Client_List!$C:$C,MATCH(VALUE(B4958),Client_List!$A:$A,0)),""))</f>
        <v/>
      </c>
      <c r="F4958" s="53">
        <f>IF(B4958="","",IFERROR(INDEX(Client_List!$D:$D,MATCH(VALUE(B4958),Client_List!$A:$A,0)),""))</f>
        <v/>
      </c>
      <c r="G4958" s="53">
        <f>IF(B4958="","",IFERROR(INDEX(Client_List!$K:$K,MATCH(VALUE(B4958),Client_List!$A:$A,0)),""))</f>
        <v/>
      </c>
      <c r="H4958" s="32">
        <f>IF(B4958="","",IFERROR(INDEX(Client_List!$J:$J,MATCH(VALUE(B4958),Client_List!$A:$A,0)),""))</f>
        <v/>
      </c>
      <c r="I4958" s="70">
        <f>IF(B4958="","",IFERROR(A4958-LOOKUP(2,1/($B$4:$B4957=B4958),$A$4:$A4957),""))</f>
        <v/>
      </c>
      <c r="J4958" s="32">
        <f>IF(B4958="","",IFERROR(D4958/I4958,""))</f>
        <v/>
      </c>
      <c r="K4958" s="71">
        <f>IF(B4958="","",IFERROR(AVERAGEIFS($J$4:$J4958,$B$4:$B4958,B4958,$J$4:$J4958,"&gt;"&amp;0),""))</f>
        <v/>
      </c>
      <c r="L4958" s="12" t="n"/>
    </row>
    <row r="4959" ht="14" customHeight="1" s="72">
      <c r="A4959" s="82" t="n"/>
      <c r="B4959" s="79" t="n"/>
      <c r="C4959" s="69">
        <f>IF(B4959="","",IFERROR(INDEX(Client_List!$B:$B,MATCH(B4959,Client_List!$A:$A,0)),"⚠ NOT FOUND"))</f>
        <v/>
      </c>
      <c r="D4959" s="44" t="n"/>
      <c r="E4959" s="32">
        <f>IF(B4959="","",IFERROR(INDEX(Client_List!$C:$C,MATCH(VALUE(B4959),Client_List!$A:$A,0)),""))</f>
        <v/>
      </c>
      <c r="F4959" s="53">
        <f>IF(B4959="","",IFERROR(INDEX(Client_List!$D:$D,MATCH(VALUE(B4959),Client_List!$A:$A,0)),""))</f>
        <v/>
      </c>
      <c r="G4959" s="53">
        <f>IF(B4959="","",IFERROR(INDEX(Client_List!$K:$K,MATCH(VALUE(B4959),Client_List!$A:$A,0)),""))</f>
        <v/>
      </c>
      <c r="H4959" s="32">
        <f>IF(B4959="","",IFERROR(INDEX(Client_List!$J:$J,MATCH(VALUE(B4959),Client_List!$A:$A,0)),""))</f>
        <v/>
      </c>
      <c r="I4959" s="70">
        <f>IF(B4959="","",IFERROR(A4959-LOOKUP(2,1/($B$4:$B4958=B4959),$A$4:$A4958),""))</f>
        <v/>
      </c>
      <c r="J4959" s="32">
        <f>IF(B4959="","",IFERROR(D4959/I4959,""))</f>
        <v/>
      </c>
      <c r="K4959" s="71">
        <f>IF(B4959="","",IFERROR(AVERAGEIFS($J$4:$J4959,$B$4:$B4959,B4959,$J$4:$J4959,"&gt;"&amp;0),""))</f>
        <v/>
      </c>
      <c r="L4959" s="11" t="n"/>
    </row>
    <row r="4960" ht="14" customHeight="1" s="72">
      <c r="A4960" s="83" t="n"/>
      <c r="B4960" s="81" t="n"/>
      <c r="C4960" s="69">
        <f>IF(B4960="","",IFERROR(INDEX(Client_List!$B:$B,MATCH(B4960,Client_List!$A:$A,0)),"⚠ NOT FOUND"))</f>
        <v/>
      </c>
      <c r="D4960" s="45" t="n"/>
      <c r="E4960" s="32">
        <f>IF(B4960="","",IFERROR(INDEX(Client_List!$C:$C,MATCH(VALUE(B4960),Client_List!$A:$A,0)),""))</f>
        <v/>
      </c>
      <c r="F4960" s="53">
        <f>IF(B4960="","",IFERROR(INDEX(Client_List!$D:$D,MATCH(VALUE(B4960),Client_List!$A:$A,0)),""))</f>
        <v/>
      </c>
      <c r="G4960" s="53">
        <f>IF(B4960="","",IFERROR(INDEX(Client_List!$K:$K,MATCH(VALUE(B4960),Client_List!$A:$A,0)),""))</f>
        <v/>
      </c>
      <c r="H4960" s="32">
        <f>IF(B4960="","",IFERROR(INDEX(Client_List!$J:$J,MATCH(VALUE(B4960),Client_List!$A:$A,0)),""))</f>
        <v/>
      </c>
      <c r="I4960" s="70">
        <f>IF(B4960="","",IFERROR(A4960-LOOKUP(2,1/($B$4:$B4959=B4960),$A$4:$A4959),""))</f>
        <v/>
      </c>
      <c r="J4960" s="32">
        <f>IF(B4960="","",IFERROR(D4960/I4960,""))</f>
        <v/>
      </c>
      <c r="K4960" s="71">
        <f>IF(B4960="","",IFERROR(AVERAGEIFS($J$4:$J4960,$B$4:$B4960,B4960,$J$4:$J4960,"&gt;"&amp;0),""))</f>
        <v/>
      </c>
      <c r="L4960" s="12" t="n"/>
    </row>
    <row r="4961" ht="14" customHeight="1" s="72">
      <c r="A4961" s="82" t="n"/>
      <c r="B4961" s="79" t="n"/>
      <c r="C4961" s="69">
        <f>IF(B4961="","",IFERROR(INDEX(Client_List!$B:$B,MATCH(B4961,Client_List!$A:$A,0)),"⚠ NOT FOUND"))</f>
        <v/>
      </c>
      <c r="D4961" s="44" t="n"/>
      <c r="E4961" s="32">
        <f>IF(B4961="","",IFERROR(INDEX(Client_List!$C:$C,MATCH(VALUE(B4961),Client_List!$A:$A,0)),""))</f>
        <v/>
      </c>
      <c r="F4961" s="53">
        <f>IF(B4961="","",IFERROR(INDEX(Client_List!$D:$D,MATCH(VALUE(B4961),Client_List!$A:$A,0)),""))</f>
        <v/>
      </c>
      <c r="G4961" s="53">
        <f>IF(B4961="","",IFERROR(INDEX(Client_List!$K:$K,MATCH(VALUE(B4961),Client_List!$A:$A,0)),""))</f>
        <v/>
      </c>
      <c r="H4961" s="32">
        <f>IF(B4961="","",IFERROR(INDEX(Client_List!$J:$J,MATCH(VALUE(B4961),Client_List!$A:$A,0)),""))</f>
        <v/>
      </c>
      <c r="I4961" s="70">
        <f>IF(B4961="","",IFERROR(A4961-LOOKUP(2,1/($B$4:$B4960=B4961),$A$4:$A4960),""))</f>
        <v/>
      </c>
      <c r="J4961" s="32">
        <f>IF(B4961="","",IFERROR(D4961/I4961,""))</f>
        <v/>
      </c>
      <c r="K4961" s="71">
        <f>IF(B4961="","",IFERROR(AVERAGEIFS($J$4:$J4961,$B$4:$B4961,B4961,$J$4:$J4961,"&gt;"&amp;0),""))</f>
        <v/>
      </c>
      <c r="L4961" s="11" t="n"/>
    </row>
    <row r="4962" ht="14" customHeight="1" s="72">
      <c r="A4962" s="83" t="n"/>
      <c r="B4962" s="81" t="n"/>
      <c r="C4962" s="69">
        <f>IF(B4962="","",IFERROR(INDEX(Client_List!$B:$B,MATCH(B4962,Client_List!$A:$A,0)),"⚠ NOT FOUND"))</f>
        <v/>
      </c>
      <c r="D4962" s="45" t="n"/>
      <c r="E4962" s="32">
        <f>IF(B4962="","",IFERROR(INDEX(Client_List!$C:$C,MATCH(VALUE(B4962),Client_List!$A:$A,0)),""))</f>
        <v/>
      </c>
      <c r="F4962" s="53">
        <f>IF(B4962="","",IFERROR(INDEX(Client_List!$D:$D,MATCH(VALUE(B4962),Client_List!$A:$A,0)),""))</f>
        <v/>
      </c>
      <c r="G4962" s="53">
        <f>IF(B4962="","",IFERROR(INDEX(Client_List!$K:$K,MATCH(VALUE(B4962),Client_List!$A:$A,0)),""))</f>
        <v/>
      </c>
      <c r="H4962" s="32">
        <f>IF(B4962="","",IFERROR(INDEX(Client_List!$J:$J,MATCH(VALUE(B4962),Client_List!$A:$A,0)),""))</f>
        <v/>
      </c>
      <c r="I4962" s="70">
        <f>IF(B4962="","",IFERROR(A4962-LOOKUP(2,1/($B$4:$B4961=B4962),$A$4:$A4961),""))</f>
        <v/>
      </c>
      <c r="J4962" s="32">
        <f>IF(B4962="","",IFERROR(D4962/I4962,""))</f>
        <v/>
      </c>
      <c r="K4962" s="71">
        <f>IF(B4962="","",IFERROR(AVERAGEIFS($J$4:$J4962,$B$4:$B4962,B4962,$J$4:$J4962,"&gt;"&amp;0),""))</f>
        <v/>
      </c>
      <c r="L4962" s="12" t="n"/>
    </row>
    <row r="4963" ht="14" customHeight="1" s="72">
      <c r="A4963" s="82" t="n"/>
      <c r="B4963" s="79" t="n"/>
      <c r="C4963" s="69">
        <f>IF(B4963="","",IFERROR(INDEX(Client_List!$B:$B,MATCH(B4963,Client_List!$A:$A,0)),"⚠ NOT FOUND"))</f>
        <v/>
      </c>
      <c r="D4963" s="44" t="n"/>
      <c r="E4963" s="32">
        <f>IF(B4963="","",IFERROR(INDEX(Client_List!$C:$C,MATCH(VALUE(B4963),Client_List!$A:$A,0)),""))</f>
        <v/>
      </c>
      <c r="F4963" s="53">
        <f>IF(B4963="","",IFERROR(INDEX(Client_List!$D:$D,MATCH(VALUE(B4963),Client_List!$A:$A,0)),""))</f>
        <v/>
      </c>
      <c r="G4963" s="53">
        <f>IF(B4963="","",IFERROR(INDEX(Client_List!$K:$K,MATCH(VALUE(B4963),Client_List!$A:$A,0)),""))</f>
        <v/>
      </c>
      <c r="H4963" s="32">
        <f>IF(B4963="","",IFERROR(INDEX(Client_List!$J:$J,MATCH(VALUE(B4963),Client_List!$A:$A,0)),""))</f>
        <v/>
      </c>
      <c r="I4963" s="70">
        <f>IF(B4963="","",IFERROR(A4963-LOOKUP(2,1/($B$4:$B4962=B4963),$A$4:$A4962),""))</f>
        <v/>
      </c>
      <c r="J4963" s="32">
        <f>IF(B4963="","",IFERROR(D4963/I4963,""))</f>
        <v/>
      </c>
      <c r="K4963" s="71">
        <f>IF(B4963="","",IFERROR(AVERAGEIFS($J$4:$J4963,$B$4:$B4963,B4963,$J$4:$J4963,"&gt;"&amp;0),""))</f>
        <v/>
      </c>
      <c r="L4963" s="11" t="n"/>
    </row>
    <row r="4964" ht="14" customHeight="1" s="72">
      <c r="A4964" s="83" t="n"/>
      <c r="B4964" s="81" t="n"/>
      <c r="C4964" s="69">
        <f>IF(B4964="","",IFERROR(INDEX(Client_List!$B:$B,MATCH(B4964,Client_List!$A:$A,0)),"⚠ NOT FOUND"))</f>
        <v/>
      </c>
      <c r="D4964" s="45" t="n"/>
      <c r="E4964" s="32">
        <f>IF(B4964="","",IFERROR(INDEX(Client_List!$C:$C,MATCH(VALUE(B4964),Client_List!$A:$A,0)),""))</f>
        <v/>
      </c>
      <c r="F4964" s="53">
        <f>IF(B4964="","",IFERROR(INDEX(Client_List!$D:$D,MATCH(VALUE(B4964),Client_List!$A:$A,0)),""))</f>
        <v/>
      </c>
      <c r="G4964" s="53">
        <f>IF(B4964="","",IFERROR(INDEX(Client_List!$K:$K,MATCH(VALUE(B4964),Client_List!$A:$A,0)),""))</f>
        <v/>
      </c>
      <c r="H4964" s="32">
        <f>IF(B4964="","",IFERROR(INDEX(Client_List!$J:$J,MATCH(VALUE(B4964),Client_List!$A:$A,0)),""))</f>
        <v/>
      </c>
      <c r="I4964" s="70">
        <f>IF(B4964="","",IFERROR(A4964-LOOKUP(2,1/($B$4:$B4963=B4964),$A$4:$A4963),""))</f>
        <v/>
      </c>
      <c r="J4964" s="32">
        <f>IF(B4964="","",IFERROR(D4964/I4964,""))</f>
        <v/>
      </c>
      <c r="K4964" s="71">
        <f>IF(B4964="","",IFERROR(AVERAGEIFS($J$4:$J4964,$B$4:$B4964,B4964,$J$4:$J4964,"&gt;"&amp;0),""))</f>
        <v/>
      </c>
      <c r="L4964" s="12" t="n"/>
    </row>
    <row r="4965" ht="14" customHeight="1" s="72">
      <c r="A4965" s="82" t="n"/>
      <c r="B4965" s="79" t="n"/>
      <c r="C4965" s="69">
        <f>IF(B4965="","",IFERROR(INDEX(Client_List!$B:$B,MATCH(B4965,Client_List!$A:$A,0)),"⚠ NOT FOUND"))</f>
        <v/>
      </c>
      <c r="D4965" s="44" t="n"/>
      <c r="E4965" s="32">
        <f>IF(B4965="","",IFERROR(INDEX(Client_List!$C:$C,MATCH(VALUE(B4965),Client_List!$A:$A,0)),""))</f>
        <v/>
      </c>
      <c r="F4965" s="53">
        <f>IF(B4965="","",IFERROR(INDEX(Client_List!$D:$D,MATCH(VALUE(B4965),Client_List!$A:$A,0)),""))</f>
        <v/>
      </c>
      <c r="G4965" s="53">
        <f>IF(B4965="","",IFERROR(INDEX(Client_List!$K:$K,MATCH(VALUE(B4965),Client_List!$A:$A,0)),""))</f>
        <v/>
      </c>
      <c r="H4965" s="32">
        <f>IF(B4965="","",IFERROR(INDEX(Client_List!$J:$J,MATCH(VALUE(B4965),Client_List!$A:$A,0)),""))</f>
        <v/>
      </c>
      <c r="I4965" s="70">
        <f>IF(B4965="","",IFERROR(A4965-LOOKUP(2,1/($B$4:$B4964=B4965),$A$4:$A4964),""))</f>
        <v/>
      </c>
      <c r="J4965" s="32">
        <f>IF(B4965="","",IFERROR(D4965/I4965,""))</f>
        <v/>
      </c>
      <c r="K4965" s="71">
        <f>IF(B4965="","",IFERROR(AVERAGEIFS($J$4:$J4965,$B$4:$B4965,B4965,$J$4:$J4965,"&gt;"&amp;0),""))</f>
        <v/>
      </c>
      <c r="L4965" s="11" t="n"/>
    </row>
    <row r="4966" ht="14" customHeight="1" s="72">
      <c r="A4966" s="83" t="n"/>
      <c r="B4966" s="81" t="n"/>
      <c r="C4966" s="69">
        <f>IF(B4966="","",IFERROR(INDEX(Client_List!$B:$B,MATCH(B4966,Client_List!$A:$A,0)),"⚠ NOT FOUND"))</f>
        <v/>
      </c>
      <c r="D4966" s="45" t="n"/>
      <c r="E4966" s="32">
        <f>IF(B4966="","",IFERROR(INDEX(Client_List!$C:$C,MATCH(VALUE(B4966),Client_List!$A:$A,0)),""))</f>
        <v/>
      </c>
      <c r="F4966" s="53">
        <f>IF(B4966="","",IFERROR(INDEX(Client_List!$D:$D,MATCH(VALUE(B4966),Client_List!$A:$A,0)),""))</f>
        <v/>
      </c>
      <c r="G4966" s="53">
        <f>IF(B4966="","",IFERROR(INDEX(Client_List!$K:$K,MATCH(VALUE(B4966),Client_List!$A:$A,0)),""))</f>
        <v/>
      </c>
      <c r="H4966" s="32">
        <f>IF(B4966="","",IFERROR(INDEX(Client_List!$J:$J,MATCH(VALUE(B4966),Client_List!$A:$A,0)),""))</f>
        <v/>
      </c>
      <c r="I4966" s="70">
        <f>IF(B4966="","",IFERROR(A4966-LOOKUP(2,1/($B$4:$B4965=B4966),$A$4:$A4965),""))</f>
        <v/>
      </c>
      <c r="J4966" s="32">
        <f>IF(B4966="","",IFERROR(D4966/I4966,""))</f>
        <v/>
      </c>
      <c r="K4966" s="71">
        <f>IF(B4966="","",IFERROR(AVERAGEIFS($J$4:$J4966,$B$4:$B4966,B4966,$J$4:$J4966,"&gt;"&amp;0),""))</f>
        <v/>
      </c>
      <c r="L4966" s="12" t="n"/>
    </row>
    <row r="4967" ht="14" customHeight="1" s="72">
      <c r="A4967" s="82" t="n"/>
      <c r="B4967" s="79" t="n"/>
      <c r="C4967" s="69">
        <f>IF(B4967="","",IFERROR(INDEX(Client_List!$B:$B,MATCH(B4967,Client_List!$A:$A,0)),"⚠ NOT FOUND"))</f>
        <v/>
      </c>
      <c r="D4967" s="44" t="n"/>
      <c r="E4967" s="32">
        <f>IF(B4967="","",IFERROR(INDEX(Client_List!$C:$C,MATCH(VALUE(B4967),Client_List!$A:$A,0)),""))</f>
        <v/>
      </c>
      <c r="F4967" s="53">
        <f>IF(B4967="","",IFERROR(INDEX(Client_List!$D:$D,MATCH(VALUE(B4967),Client_List!$A:$A,0)),""))</f>
        <v/>
      </c>
      <c r="G4967" s="53">
        <f>IF(B4967="","",IFERROR(INDEX(Client_List!$K:$K,MATCH(VALUE(B4967),Client_List!$A:$A,0)),""))</f>
        <v/>
      </c>
      <c r="H4967" s="32">
        <f>IF(B4967="","",IFERROR(INDEX(Client_List!$J:$J,MATCH(VALUE(B4967),Client_List!$A:$A,0)),""))</f>
        <v/>
      </c>
      <c r="I4967" s="70">
        <f>IF(B4967="","",IFERROR(A4967-LOOKUP(2,1/($B$4:$B4966=B4967),$A$4:$A4966),""))</f>
        <v/>
      </c>
      <c r="J4967" s="32">
        <f>IF(B4967="","",IFERROR(D4967/I4967,""))</f>
        <v/>
      </c>
      <c r="K4967" s="71">
        <f>IF(B4967="","",IFERROR(AVERAGEIFS($J$4:$J4967,$B$4:$B4967,B4967,$J$4:$J4967,"&gt;"&amp;0),""))</f>
        <v/>
      </c>
      <c r="L4967" s="11" t="n"/>
    </row>
    <row r="4968" ht="14" customHeight="1" s="72">
      <c r="A4968" s="83" t="n"/>
      <c r="B4968" s="81" t="n"/>
      <c r="C4968" s="69">
        <f>IF(B4968="","",IFERROR(INDEX(Client_List!$B:$B,MATCH(B4968,Client_List!$A:$A,0)),"⚠ NOT FOUND"))</f>
        <v/>
      </c>
      <c r="D4968" s="45" t="n"/>
      <c r="E4968" s="32">
        <f>IF(B4968="","",IFERROR(INDEX(Client_List!$C:$C,MATCH(VALUE(B4968),Client_List!$A:$A,0)),""))</f>
        <v/>
      </c>
      <c r="F4968" s="53">
        <f>IF(B4968="","",IFERROR(INDEX(Client_List!$D:$D,MATCH(VALUE(B4968),Client_List!$A:$A,0)),""))</f>
        <v/>
      </c>
      <c r="G4968" s="53">
        <f>IF(B4968="","",IFERROR(INDEX(Client_List!$K:$K,MATCH(VALUE(B4968),Client_List!$A:$A,0)),""))</f>
        <v/>
      </c>
      <c r="H4968" s="32">
        <f>IF(B4968="","",IFERROR(INDEX(Client_List!$J:$J,MATCH(VALUE(B4968),Client_List!$A:$A,0)),""))</f>
        <v/>
      </c>
      <c r="I4968" s="70">
        <f>IF(B4968="","",IFERROR(A4968-LOOKUP(2,1/($B$4:$B4967=B4968),$A$4:$A4967),""))</f>
        <v/>
      </c>
      <c r="J4968" s="32">
        <f>IF(B4968="","",IFERROR(D4968/I4968,""))</f>
        <v/>
      </c>
      <c r="K4968" s="71">
        <f>IF(B4968="","",IFERROR(AVERAGEIFS($J$4:$J4968,$B$4:$B4968,B4968,$J$4:$J4968,"&gt;"&amp;0),""))</f>
        <v/>
      </c>
      <c r="L4968" s="12" t="n"/>
    </row>
    <row r="4969" ht="14" customHeight="1" s="72">
      <c r="A4969" s="82" t="n"/>
      <c r="B4969" s="79" t="n"/>
      <c r="C4969" s="69">
        <f>IF(B4969="","",IFERROR(INDEX(Client_List!$B:$B,MATCH(B4969,Client_List!$A:$A,0)),"⚠ NOT FOUND"))</f>
        <v/>
      </c>
      <c r="D4969" s="44" t="n"/>
      <c r="E4969" s="32">
        <f>IF(B4969="","",IFERROR(INDEX(Client_List!$C:$C,MATCH(VALUE(B4969),Client_List!$A:$A,0)),""))</f>
        <v/>
      </c>
      <c r="F4969" s="53">
        <f>IF(B4969="","",IFERROR(INDEX(Client_List!$D:$D,MATCH(VALUE(B4969),Client_List!$A:$A,0)),""))</f>
        <v/>
      </c>
      <c r="G4969" s="53">
        <f>IF(B4969="","",IFERROR(INDEX(Client_List!$K:$K,MATCH(VALUE(B4969),Client_List!$A:$A,0)),""))</f>
        <v/>
      </c>
      <c r="H4969" s="32">
        <f>IF(B4969="","",IFERROR(INDEX(Client_List!$J:$J,MATCH(VALUE(B4969),Client_List!$A:$A,0)),""))</f>
        <v/>
      </c>
      <c r="I4969" s="70">
        <f>IF(B4969="","",IFERROR(A4969-LOOKUP(2,1/($B$4:$B4968=B4969),$A$4:$A4968),""))</f>
        <v/>
      </c>
      <c r="J4969" s="32">
        <f>IF(B4969="","",IFERROR(D4969/I4969,""))</f>
        <v/>
      </c>
      <c r="K4969" s="71">
        <f>IF(B4969="","",IFERROR(AVERAGEIFS($J$4:$J4969,$B$4:$B4969,B4969,$J$4:$J4969,"&gt;"&amp;0),""))</f>
        <v/>
      </c>
      <c r="L4969" s="11" t="n"/>
    </row>
    <row r="4970" ht="14" customHeight="1" s="72">
      <c r="A4970" s="83" t="n"/>
      <c r="B4970" s="81" t="n"/>
      <c r="C4970" s="69">
        <f>IF(B4970="","",IFERROR(INDEX(Client_List!$B:$B,MATCH(B4970,Client_List!$A:$A,0)),"⚠ NOT FOUND"))</f>
        <v/>
      </c>
      <c r="D4970" s="45" t="n"/>
      <c r="E4970" s="32">
        <f>IF(B4970="","",IFERROR(INDEX(Client_List!$C:$C,MATCH(VALUE(B4970),Client_List!$A:$A,0)),""))</f>
        <v/>
      </c>
      <c r="F4970" s="53">
        <f>IF(B4970="","",IFERROR(INDEX(Client_List!$D:$D,MATCH(VALUE(B4970),Client_List!$A:$A,0)),""))</f>
        <v/>
      </c>
      <c r="G4970" s="53">
        <f>IF(B4970="","",IFERROR(INDEX(Client_List!$K:$K,MATCH(VALUE(B4970),Client_List!$A:$A,0)),""))</f>
        <v/>
      </c>
      <c r="H4970" s="32">
        <f>IF(B4970="","",IFERROR(INDEX(Client_List!$J:$J,MATCH(VALUE(B4970),Client_List!$A:$A,0)),""))</f>
        <v/>
      </c>
      <c r="I4970" s="70">
        <f>IF(B4970="","",IFERROR(A4970-LOOKUP(2,1/($B$4:$B4969=B4970),$A$4:$A4969),""))</f>
        <v/>
      </c>
      <c r="J4970" s="32">
        <f>IF(B4970="","",IFERROR(D4970/I4970,""))</f>
        <v/>
      </c>
      <c r="K4970" s="71">
        <f>IF(B4970="","",IFERROR(AVERAGEIFS($J$4:$J4970,$B$4:$B4970,B4970,$J$4:$J4970,"&gt;"&amp;0),""))</f>
        <v/>
      </c>
      <c r="L4970" s="12" t="n"/>
    </row>
    <row r="4971" ht="14" customHeight="1" s="72">
      <c r="A4971" s="82" t="n"/>
      <c r="B4971" s="79" t="n"/>
      <c r="C4971" s="69">
        <f>IF(B4971="","",IFERROR(INDEX(Client_List!$B:$B,MATCH(B4971,Client_List!$A:$A,0)),"⚠ NOT FOUND"))</f>
        <v/>
      </c>
      <c r="D4971" s="44" t="n"/>
      <c r="E4971" s="32">
        <f>IF(B4971="","",IFERROR(INDEX(Client_List!$C:$C,MATCH(VALUE(B4971),Client_List!$A:$A,0)),""))</f>
        <v/>
      </c>
      <c r="F4971" s="53">
        <f>IF(B4971="","",IFERROR(INDEX(Client_List!$D:$D,MATCH(VALUE(B4971),Client_List!$A:$A,0)),""))</f>
        <v/>
      </c>
      <c r="G4971" s="53">
        <f>IF(B4971="","",IFERROR(INDEX(Client_List!$K:$K,MATCH(VALUE(B4971),Client_List!$A:$A,0)),""))</f>
        <v/>
      </c>
      <c r="H4971" s="32">
        <f>IF(B4971="","",IFERROR(INDEX(Client_List!$J:$J,MATCH(VALUE(B4971),Client_List!$A:$A,0)),""))</f>
        <v/>
      </c>
      <c r="I4971" s="70">
        <f>IF(B4971="","",IFERROR(A4971-LOOKUP(2,1/($B$4:$B4970=B4971),$A$4:$A4970),""))</f>
        <v/>
      </c>
      <c r="J4971" s="32">
        <f>IF(B4971="","",IFERROR(D4971/I4971,""))</f>
        <v/>
      </c>
      <c r="K4971" s="71">
        <f>IF(B4971="","",IFERROR(AVERAGEIFS($J$4:$J4971,$B$4:$B4971,B4971,$J$4:$J4971,"&gt;"&amp;0),""))</f>
        <v/>
      </c>
      <c r="L4971" s="11" t="n"/>
    </row>
    <row r="4972" ht="14" customHeight="1" s="72">
      <c r="A4972" s="83" t="n"/>
      <c r="B4972" s="81" t="n"/>
      <c r="C4972" s="69">
        <f>IF(B4972="","",IFERROR(INDEX(Client_List!$B:$B,MATCH(B4972,Client_List!$A:$A,0)),"⚠ NOT FOUND"))</f>
        <v/>
      </c>
      <c r="D4972" s="45" t="n"/>
      <c r="E4972" s="32">
        <f>IF(B4972="","",IFERROR(INDEX(Client_List!$C:$C,MATCH(VALUE(B4972),Client_List!$A:$A,0)),""))</f>
        <v/>
      </c>
      <c r="F4972" s="53">
        <f>IF(B4972="","",IFERROR(INDEX(Client_List!$D:$D,MATCH(VALUE(B4972),Client_List!$A:$A,0)),""))</f>
        <v/>
      </c>
      <c r="G4972" s="53">
        <f>IF(B4972="","",IFERROR(INDEX(Client_List!$K:$K,MATCH(VALUE(B4972),Client_List!$A:$A,0)),""))</f>
        <v/>
      </c>
      <c r="H4972" s="32">
        <f>IF(B4972="","",IFERROR(INDEX(Client_List!$J:$J,MATCH(VALUE(B4972),Client_List!$A:$A,0)),""))</f>
        <v/>
      </c>
      <c r="I4972" s="70">
        <f>IF(B4972="","",IFERROR(A4972-LOOKUP(2,1/($B$4:$B4971=B4972),$A$4:$A4971),""))</f>
        <v/>
      </c>
      <c r="J4972" s="32">
        <f>IF(B4972="","",IFERROR(D4972/I4972,""))</f>
        <v/>
      </c>
      <c r="K4972" s="71">
        <f>IF(B4972="","",IFERROR(AVERAGEIFS($J$4:$J4972,$B$4:$B4972,B4972,$J$4:$J4972,"&gt;"&amp;0),""))</f>
        <v/>
      </c>
      <c r="L4972" s="12" t="n"/>
    </row>
    <row r="4973" ht="14" customHeight="1" s="72">
      <c r="A4973" s="82" t="n"/>
      <c r="B4973" s="79" t="n"/>
      <c r="C4973" s="69">
        <f>IF(B4973="","",IFERROR(INDEX(Client_List!$B:$B,MATCH(B4973,Client_List!$A:$A,0)),"⚠ NOT FOUND"))</f>
        <v/>
      </c>
      <c r="D4973" s="44" t="n"/>
      <c r="E4973" s="32">
        <f>IF(B4973="","",IFERROR(INDEX(Client_List!$C:$C,MATCH(VALUE(B4973),Client_List!$A:$A,0)),""))</f>
        <v/>
      </c>
      <c r="F4973" s="53">
        <f>IF(B4973="","",IFERROR(INDEX(Client_List!$D:$D,MATCH(VALUE(B4973),Client_List!$A:$A,0)),""))</f>
        <v/>
      </c>
      <c r="G4973" s="53">
        <f>IF(B4973="","",IFERROR(INDEX(Client_List!$K:$K,MATCH(VALUE(B4973),Client_List!$A:$A,0)),""))</f>
        <v/>
      </c>
      <c r="H4973" s="32">
        <f>IF(B4973="","",IFERROR(INDEX(Client_List!$J:$J,MATCH(VALUE(B4973),Client_List!$A:$A,0)),""))</f>
        <v/>
      </c>
      <c r="I4973" s="70">
        <f>IF(B4973="","",IFERROR(A4973-LOOKUP(2,1/($B$4:$B4972=B4973),$A$4:$A4972),""))</f>
        <v/>
      </c>
      <c r="J4973" s="32">
        <f>IF(B4973="","",IFERROR(D4973/I4973,""))</f>
        <v/>
      </c>
      <c r="K4973" s="71">
        <f>IF(B4973="","",IFERROR(AVERAGEIFS($J$4:$J4973,$B$4:$B4973,B4973,$J$4:$J4973,"&gt;"&amp;0),""))</f>
        <v/>
      </c>
      <c r="L4973" s="11" t="n"/>
    </row>
    <row r="4974" ht="14" customHeight="1" s="72">
      <c r="A4974" s="83" t="n"/>
      <c r="B4974" s="81" t="n"/>
      <c r="C4974" s="69">
        <f>IF(B4974="","",IFERROR(INDEX(Client_List!$B:$B,MATCH(B4974,Client_List!$A:$A,0)),"⚠ NOT FOUND"))</f>
        <v/>
      </c>
      <c r="D4974" s="45" t="n"/>
      <c r="E4974" s="32">
        <f>IF(B4974="","",IFERROR(INDEX(Client_List!$C:$C,MATCH(VALUE(B4974),Client_List!$A:$A,0)),""))</f>
        <v/>
      </c>
      <c r="F4974" s="53">
        <f>IF(B4974="","",IFERROR(INDEX(Client_List!$D:$D,MATCH(VALUE(B4974),Client_List!$A:$A,0)),""))</f>
        <v/>
      </c>
      <c r="G4974" s="53">
        <f>IF(B4974="","",IFERROR(INDEX(Client_List!$K:$K,MATCH(VALUE(B4974),Client_List!$A:$A,0)),""))</f>
        <v/>
      </c>
      <c r="H4974" s="32">
        <f>IF(B4974="","",IFERROR(INDEX(Client_List!$J:$J,MATCH(VALUE(B4974),Client_List!$A:$A,0)),""))</f>
        <v/>
      </c>
      <c r="I4974" s="70">
        <f>IF(B4974="","",IFERROR(A4974-LOOKUP(2,1/($B$4:$B4973=B4974),$A$4:$A4973),""))</f>
        <v/>
      </c>
      <c r="J4974" s="32">
        <f>IF(B4974="","",IFERROR(D4974/I4974,""))</f>
        <v/>
      </c>
      <c r="K4974" s="71">
        <f>IF(B4974="","",IFERROR(AVERAGEIFS($J$4:$J4974,$B$4:$B4974,B4974,$J$4:$J4974,"&gt;"&amp;0),""))</f>
        <v/>
      </c>
      <c r="L4974" s="12" t="n"/>
    </row>
    <row r="4975" ht="14" customHeight="1" s="72">
      <c r="A4975" s="82" t="n"/>
      <c r="B4975" s="79" t="n"/>
      <c r="C4975" s="69">
        <f>IF(B4975="","",IFERROR(INDEX(Client_List!$B:$B,MATCH(B4975,Client_List!$A:$A,0)),"⚠ NOT FOUND"))</f>
        <v/>
      </c>
      <c r="D4975" s="44" t="n"/>
      <c r="E4975" s="32">
        <f>IF(B4975="","",IFERROR(INDEX(Client_List!$C:$C,MATCH(VALUE(B4975),Client_List!$A:$A,0)),""))</f>
        <v/>
      </c>
      <c r="F4975" s="53">
        <f>IF(B4975="","",IFERROR(INDEX(Client_List!$D:$D,MATCH(VALUE(B4975),Client_List!$A:$A,0)),""))</f>
        <v/>
      </c>
      <c r="G4975" s="53">
        <f>IF(B4975="","",IFERROR(INDEX(Client_List!$K:$K,MATCH(VALUE(B4975),Client_List!$A:$A,0)),""))</f>
        <v/>
      </c>
      <c r="H4975" s="32">
        <f>IF(B4975="","",IFERROR(INDEX(Client_List!$J:$J,MATCH(VALUE(B4975),Client_List!$A:$A,0)),""))</f>
        <v/>
      </c>
      <c r="I4975" s="70">
        <f>IF(B4975="","",IFERROR(A4975-LOOKUP(2,1/($B$4:$B4974=B4975),$A$4:$A4974),""))</f>
        <v/>
      </c>
      <c r="J4975" s="32">
        <f>IF(B4975="","",IFERROR(D4975/I4975,""))</f>
        <v/>
      </c>
      <c r="K4975" s="71">
        <f>IF(B4975="","",IFERROR(AVERAGEIFS($J$4:$J4975,$B$4:$B4975,B4975,$J$4:$J4975,"&gt;"&amp;0),""))</f>
        <v/>
      </c>
      <c r="L4975" s="11" t="n"/>
    </row>
    <row r="4976" ht="14" customHeight="1" s="72">
      <c r="A4976" s="83" t="n"/>
      <c r="B4976" s="81" t="n"/>
      <c r="C4976" s="69">
        <f>IF(B4976="","",IFERROR(INDEX(Client_List!$B:$B,MATCH(B4976,Client_List!$A:$A,0)),"⚠ NOT FOUND"))</f>
        <v/>
      </c>
      <c r="D4976" s="45" t="n"/>
      <c r="E4976" s="32">
        <f>IF(B4976="","",IFERROR(INDEX(Client_List!$C:$C,MATCH(VALUE(B4976),Client_List!$A:$A,0)),""))</f>
        <v/>
      </c>
      <c r="F4976" s="53">
        <f>IF(B4976="","",IFERROR(INDEX(Client_List!$D:$D,MATCH(VALUE(B4976),Client_List!$A:$A,0)),""))</f>
        <v/>
      </c>
      <c r="G4976" s="53">
        <f>IF(B4976="","",IFERROR(INDEX(Client_List!$K:$K,MATCH(VALUE(B4976),Client_List!$A:$A,0)),""))</f>
        <v/>
      </c>
      <c r="H4976" s="32">
        <f>IF(B4976="","",IFERROR(INDEX(Client_List!$J:$J,MATCH(VALUE(B4976),Client_List!$A:$A,0)),""))</f>
        <v/>
      </c>
      <c r="I4976" s="70">
        <f>IF(B4976="","",IFERROR(A4976-LOOKUP(2,1/($B$4:$B4975=B4976),$A$4:$A4975),""))</f>
        <v/>
      </c>
      <c r="J4976" s="32">
        <f>IF(B4976="","",IFERROR(D4976/I4976,""))</f>
        <v/>
      </c>
      <c r="K4976" s="71">
        <f>IF(B4976="","",IFERROR(AVERAGEIFS($J$4:$J4976,$B$4:$B4976,B4976,$J$4:$J4976,"&gt;"&amp;0),""))</f>
        <v/>
      </c>
      <c r="L4976" s="12" t="n"/>
    </row>
    <row r="4977" ht="14" customHeight="1" s="72">
      <c r="A4977" s="82" t="n"/>
      <c r="B4977" s="79" t="n"/>
      <c r="C4977" s="69">
        <f>IF(B4977="","",IFERROR(INDEX(Client_List!$B:$B,MATCH(B4977,Client_List!$A:$A,0)),"⚠ NOT FOUND"))</f>
        <v/>
      </c>
      <c r="D4977" s="44" t="n"/>
      <c r="E4977" s="32">
        <f>IF(B4977="","",IFERROR(INDEX(Client_List!$C:$C,MATCH(VALUE(B4977),Client_List!$A:$A,0)),""))</f>
        <v/>
      </c>
      <c r="F4977" s="53">
        <f>IF(B4977="","",IFERROR(INDEX(Client_List!$D:$D,MATCH(VALUE(B4977),Client_List!$A:$A,0)),""))</f>
        <v/>
      </c>
      <c r="G4977" s="53">
        <f>IF(B4977="","",IFERROR(INDEX(Client_List!$K:$K,MATCH(VALUE(B4977),Client_List!$A:$A,0)),""))</f>
        <v/>
      </c>
      <c r="H4977" s="32">
        <f>IF(B4977="","",IFERROR(INDEX(Client_List!$J:$J,MATCH(VALUE(B4977),Client_List!$A:$A,0)),""))</f>
        <v/>
      </c>
      <c r="I4977" s="70">
        <f>IF(B4977="","",IFERROR(A4977-LOOKUP(2,1/($B$4:$B4976=B4977),$A$4:$A4976),""))</f>
        <v/>
      </c>
      <c r="J4977" s="32">
        <f>IF(B4977="","",IFERROR(D4977/I4977,""))</f>
        <v/>
      </c>
      <c r="K4977" s="71">
        <f>IF(B4977="","",IFERROR(AVERAGEIFS($J$4:$J4977,$B$4:$B4977,B4977,$J$4:$J4977,"&gt;"&amp;0),""))</f>
        <v/>
      </c>
      <c r="L4977" s="11" t="n"/>
    </row>
    <row r="4978" ht="14" customHeight="1" s="72">
      <c r="A4978" s="83" t="n"/>
      <c r="B4978" s="81" t="n"/>
      <c r="C4978" s="69">
        <f>IF(B4978="","",IFERROR(INDEX(Client_List!$B:$B,MATCH(B4978,Client_List!$A:$A,0)),"⚠ NOT FOUND"))</f>
        <v/>
      </c>
      <c r="D4978" s="45" t="n"/>
      <c r="E4978" s="32">
        <f>IF(B4978="","",IFERROR(INDEX(Client_List!$C:$C,MATCH(VALUE(B4978),Client_List!$A:$A,0)),""))</f>
        <v/>
      </c>
      <c r="F4978" s="53">
        <f>IF(B4978="","",IFERROR(INDEX(Client_List!$D:$D,MATCH(VALUE(B4978),Client_List!$A:$A,0)),""))</f>
        <v/>
      </c>
      <c r="G4978" s="53">
        <f>IF(B4978="","",IFERROR(INDEX(Client_List!$K:$K,MATCH(VALUE(B4978),Client_List!$A:$A,0)),""))</f>
        <v/>
      </c>
      <c r="H4978" s="32">
        <f>IF(B4978="","",IFERROR(INDEX(Client_List!$J:$J,MATCH(VALUE(B4978),Client_List!$A:$A,0)),""))</f>
        <v/>
      </c>
      <c r="I4978" s="70">
        <f>IF(B4978="","",IFERROR(A4978-LOOKUP(2,1/($B$4:$B4977=B4978),$A$4:$A4977),""))</f>
        <v/>
      </c>
      <c r="J4978" s="32">
        <f>IF(B4978="","",IFERROR(D4978/I4978,""))</f>
        <v/>
      </c>
      <c r="K4978" s="71">
        <f>IF(B4978="","",IFERROR(AVERAGEIFS($J$4:$J4978,$B$4:$B4978,B4978,$J$4:$J4978,"&gt;"&amp;0),""))</f>
        <v/>
      </c>
      <c r="L4978" s="12" t="n"/>
    </row>
    <row r="4979" ht="14" customHeight="1" s="72">
      <c r="A4979" s="82" t="n"/>
      <c r="B4979" s="79" t="n"/>
      <c r="C4979" s="69">
        <f>IF(B4979="","",IFERROR(INDEX(Client_List!$B:$B,MATCH(B4979,Client_List!$A:$A,0)),"⚠ NOT FOUND"))</f>
        <v/>
      </c>
      <c r="D4979" s="44" t="n"/>
      <c r="E4979" s="32">
        <f>IF(B4979="","",IFERROR(INDEX(Client_List!$C:$C,MATCH(VALUE(B4979),Client_List!$A:$A,0)),""))</f>
        <v/>
      </c>
      <c r="F4979" s="53">
        <f>IF(B4979="","",IFERROR(INDEX(Client_List!$D:$D,MATCH(VALUE(B4979),Client_List!$A:$A,0)),""))</f>
        <v/>
      </c>
      <c r="G4979" s="53">
        <f>IF(B4979="","",IFERROR(INDEX(Client_List!$K:$K,MATCH(VALUE(B4979),Client_List!$A:$A,0)),""))</f>
        <v/>
      </c>
      <c r="H4979" s="32">
        <f>IF(B4979="","",IFERROR(INDEX(Client_List!$J:$J,MATCH(VALUE(B4979),Client_List!$A:$A,0)),""))</f>
        <v/>
      </c>
      <c r="I4979" s="70">
        <f>IF(B4979="","",IFERROR(A4979-LOOKUP(2,1/($B$4:$B4978=B4979),$A$4:$A4978),""))</f>
        <v/>
      </c>
      <c r="J4979" s="32">
        <f>IF(B4979="","",IFERROR(D4979/I4979,""))</f>
        <v/>
      </c>
      <c r="K4979" s="71">
        <f>IF(B4979="","",IFERROR(AVERAGEIFS($J$4:$J4979,$B$4:$B4979,B4979,$J$4:$J4979,"&gt;"&amp;0),""))</f>
        <v/>
      </c>
      <c r="L4979" s="11" t="n"/>
    </row>
    <row r="4980" ht="14" customHeight="1" s="72">
      <c r="A4980" s="83" t="n"/>
      <c r="B4980" s="81" t="n"/>
      <c r="C4980" s="69">
        <f>IF(B4980="","",IFERROR(INDEX(Client_List!$B:$B,MATCH(B4980,Client_List!$A:$A,0)),"⚠ NOT FOUND"))</f>
        <v/>
      </c>
      <c r="D4980" s="45" t="n"/>
      <c r="E4980" s="32">
        <f>IF(B4980="","",IFERROR(INDEX(Client_List!$C:$C,MATCH(VALUE(B4980),Client_List!$A:$A,0)),""))</f>
        <v/>
      </c>
      <c r="F4980" s="53">
        <f>IF(B4980="","",IFERROR(INDEX(Client_List!$D:$D,MATCH(VALUE(B4980),Client_List!$A:$A,0)),""))</f>
        <v/>
      </c>
      <c r="G4980" s="53">
        <f>IF(B4980="","",IFERROR(INDEX(Client_List!$K:$K,MATCH(VALUE(B4980),Client_List!$A:$A,0)),""))</f>
        <v/>
      </c>
      <c r="H4980" s="32">
        <f>IF(B4980="","",IFERROR(INDEX(Client_List!$J:$J,MATCH(VALUE(B4980),Client_List!$A:$A,0)),""))</f>
        <v/>
      </c>
      <c r="I4980" s="70">
        <f>IF(B4980="","",IFERROR(A4980-LOOKUP(2,1/($B$4:$B4979=B4980),$A$4:$A4979),""))</f>
        <v/>
      </c>
      <c r="J4980" s="32">
        <f>IF(B4980="","",IFERROR(D4980/I4980,""))</f>
        <v/>
      </c>
      <c r="K4980" s="71">
        <f>IF(B4980="","",IFERROR(AVERAGEIFS($J$4:$J4980,$B$4:$B4980,B4980,$J$4:$J4980,"&gt;"&amp;0),""))</f>
        <v/>
      </c>
      <c r="L4980" s="12" t="n"/>
    </row>
    <row r="4981" ht="14" customHeight="1" s="72">
      <c r="A4981" s="82" t="n"/>
      <c r="B4981" s="79" t="n"/>
      <c r="C4981" s="69">
        <f>IF(B4981="","",IFERROR(INDEX(Client_List!$B:$B,MATCH(B4981,Client_List!$A:$A,0)),"⚠ NOT FOUND"))</f>
        <v/>
      </c>
      <c r="D4981" s="44" t="n"/>
      <c r="E4981" s="32">
        <f>IF(B4981="","",IFERROR(INDEX(Client_List!$C:$C,MATCH(VALUE(B4981),Client_List!$A:$A,0)),""))</f>
        <v/>
      </c>
      <c r="F4981" s="53">
        <f>IF(B4981="","",IFERROR(INDEX(Client_List!$D:$D,MATCH(VALUE(B4981),Client_List!$A:$A,0)),""))</f>
        <v/>
      </c>
      <c r="G4981" s="53">
        <f>IF(B4981="","",IFERROR(INDEX(Client_List!$K:$K,MATCH(VALUE(B4981),Client_List!$A:$A,0)),""))</f>
        <v/>
      </c>
      <c r="H4981" s="32">
        <f>IF(B4981="","",IFERROR(INDEX(Client_List!$J:$J,MATCH(VALUE(B4981),Client_List!$A:$A,0)),""))</f>
        <v/>
      </c>
      <c r="I4981" s="70">
        <f>IF(B4981="","",IFERROR(A4981-LOOKUP(2,1/($B$4:$B4980=B4981),$A$4:$A4980),""))</f>
        <v/>
      </c>
      <c r="J4981" s="32">
        <f>IF(B4981="","",IFERROR(D4981/I4981,""))</f>
        <v/>
      </c>
      <c r="K4981" s="71">
        <f>IF(B4981="","",IFERROR(AVERAGEIFS($J$4:$J4981,$B$4:$B4981,B4981,$J$4:$J4981,"&gt;"&amp;0),""))</f>
        <v/>
      </c>
      <c r="L4981" s="11" t="n"/>
    </row>
    <row r="4982" ht="14" customHeight="1" s="72">
      <c r="A4982" s="83" t="n"/>
      <c r="B4982" s="81" t="n"/>
      <c r="C4982" s="69">
        <f>IF(B4982="","",IFERROR(INDEX(Client_List!$B:$B,MATCH(B4982,Client_List!$A:$A,0)),"⚠ NOT FOUND"))</f>
        <v/>
      </c>
      <c r="D4982" s="45" t="n"/>
      <c r="E4982" s="32">
        <f>IF(B4982="","",IFERROR(INDEX(Client_List!$C:$C,MATCH(VALUE(B4982),Client_List!$A:$A,0)),""))</f>
        <v/>
      </c>
      <c r="F4982" s="53">
        <f>IF(B4982="","",IFERROR(INDEX(Client_List!$D:$D,MATCH(VALUE(B4982),Client_List!$A:$A,0)),""))</f>
        <v/>
      </c>
      <c r="G4982" s="53">
        <f>IF(B4982="","",IFERROR(INDEX(Client_List!$K:$K,MATCH(VALUE(B4982),Client_List!$A:$A,0)),""))</f>
        <v/>
      </c>
      <c r="H4982" s="32">
        <f>IF(B4982="","",IFERROR(INDEX(Client_List!$J:$J,MATCH(VALUE(B4982),Client_List!$A:$A,0)),""))</f>
        <v/>
      </c>
      <c r="I4982" s="70">
        <f>IF(B4982="","",IFERROR(A4982-LOOKUP(2,1/($B$4:$B4981=B4982),$A$4:$A4981),""))</f>
        <v/>
      </c>
      <c r="J4982" s="32">
        <f>IF(B4982="","",IFERROR(D4982/I4982,""))</f>
        <v/>
      </c>
      <c r="K4982" s="71">
        <f>IF(B4982="","",IFERROR(AVERAGEIFS($J$4:$J4982,$B$4:$B4982,B4982,$J$4:$J4982,"&gt;"&amp;0),""))</f>
        <v/>
      </c>
      <c r="L4982" s="12" t="n"/>
    </row>
    <row r="4983" ht="14" customHeight="1" s="72">
      <c r="A4983" s="82" t="n"/>
      <c r="B4983" s="79" t="n"/>
      <c r="C4983" s="69">
        <f>IF(B4983="","",IFERROR(INDEX(Client_List!$B:$B,MATCH(B4983,Client_List!$A:$A,0)),"⚠ NOT FOUND"))</f>
        <v/>
      </c>
      <c r="D4983" s="44" t="n"/>
      <c r="E4983" s="32">
        <f>IF(B4983="","",IFERROR(INDEX(Client_List!$C:$C,MATCH(VALUE(B4983),Client_List!$A:$A,0)),""))</f>
        <v/>
      </c>
      <c r="F4983" s="53">
        <f>IF(B4983="","",IFERROR(INDEX(Client_List!$D:$D,MATCH(VALUE(B4983),Client_List!$A:$A,0)),""))</f>
        <v/>
      </c>
      <c r="G4983" s="53">
        <f>IF(B4983="","",IFERROR(INDEX(Client_List!$K:$K,MATCH(VALUE(B4983),Client_List!$A:$A,0)),""))</f>
        <v/>
      </c>
      <c r="H4983" s="32">
        <f>IF(B4983="","",IFERROR(INDEX(Client_List!$J:$J,MATCH(VALUE(B4983),Client_List!$A:$A,0)),""))</f>
        <v/>
      </c>
      <c r="I4983" s="70">
        <f>IF(B4983="","",IFERROR(A4983-LOOKUP(2,1/($B$4:$B4982=B4983),$A$4:$A4982),""))</f>
        <v/>
      </c>
      <c r="J4983" s="32">
        <f>IF(B4983="","",IFERROR(D4983/I4983,""))</f>
        <v/>
      </c>
      <c r="K4983" s="71">
        <f>IF(B4983="","",IFERROR(AVERAGEIFS($J$4:$J4983,$B$4:$B4983,B4983,$J$4:$J4983,"&gt;"&amp;0),""))</f>
        <v/>
      </c>
      <c r="L4983" s="11" t="n"/>
    </row>
    <row r="4984" ht="14" customHeight="1" s="72">
      <c r="A4984" s="83" t="n"/>
      <c r="B4984" s="81" t="n"/>
      <c r="C4984" s="69">
        <f>IF(B4984="","",IFERROR(INDEX(Client_List!$B:$B,MATCH(B4984,Client_List!$A:$A,0)),"⚠ NOT FOUND"))</f>
        <v/>
      </c>
      <c r="D4984" s="45" t="n"/>
      <c r="E4984" s="32">
        <f>IF(B4984="","",IFERROR(INDEX(Client_List!$C:$C,MATCH(VALUE(B4984),Client_List!$A:$A,0)),""))</f>
        <v/>
      </c>
      <c r="F4984" s="53">
        <f>IF(B4984="","",IFERROR(INDEX(Client_List!$D:$D,MATCH(VALUE(B4984),Client_List!$A:$A,0)),""))</f>
        <v/>
      </c>
      <c r="G4984" s="53">
        <f>IF(B4984="","",IFERROR(INDEX(Client_List!$K:$K,MATCH(VALUE(B4984),Client_List!$A:$A,0)),""))</f>
        <v/>
      </c>
      <c r="H4984" s="32">
        <f>IF(B4984="","",IFERROR(INDEX(Client_List!$J:$J,MATCH(VALUE(B4984),Client_List!$A:$A,0)),""))</f>
        <v/>
      </c>
      <c r="I4984" s="70">
        <f>IF(B4984="","",IFERROR(A4984-LOOKUP(2,1/($B$4:$B4983=B4984),$A$4:$A4983),""))</f>
        <v/>
      </c>
      <c r="J4984" s="32">
        <f>IF(B4984="","",IFERROR(D4984/I4984,""))</f>
        <v/>
      </c>
      <c r="K4984" s="71">
        <f>IF(B4984="","",IFERROR(AVERAGEIFS($J$4:$J4984,$B$4:$B4984,B4984,$J$4:$J4984,"&gt;"&amp;0),""))</f>
        <v/>
      </c>
      <c r="L4984" s="12" t="n"/>
    </row>
    <row r="4985" ht="14" customHeight="1" s="72">
      <c r="A4985" s="82" t="n"/>
      <c r="B4985" s="79" t="n"/>
      <c r="C4985" s="69">
        <f>IF(B4985="","",IFERROR(INDEX(Client_List!$B:$B,MATCH(B4985,Client_List!$A:$A,0)),"⚠ NOT FOUND"))</f>
        <v/>
      </c>
      <c r="D4985" s="44" t="n"/>
      <c r="E4985" s="32">
        <f>IF(B4985="","",IFERROR(INDEX(Client_List!$C:$C,MATCH(VALUE(B4985),Client_List!$A:$A,0)),""))</f>
        <v/>
      </c>
      <c r="F4985" s="53">
        <f>IF(B4985="","",IFERROR(INDEX(Client_List!$D:$D,MATCH(VALUE(B4985),Client_List!$A:$A,0)),""))</f>
        <v/>
      </c>
      <c r="G4985" s="53">
        <f>IF(B4985="","",IFERROR(INDEX(Client_List!$K:$K,MATCH(VALUE(B4985),Client_List!$A:$A,0)),""))</f>
        <v/>
      </c>
      <c r="H4985" s="32">
        <f>IF(B4985="","",IFERROR(INDEX(Client_List!$J:$J,MATCH(VALUE(B4985),Client_List!$A:$A,0)),""))</f>
        <v/>
      </c>
      <c r="I4985" s="70">
        <f>IF(B4985="","",IFERROR(A4985-LOOKUP(2,1/($B$4:$B4984=B4985),$A$4:$A4984),""))</f>
        <v/>
      </c>
      <c r="J4985" s="32">
        <f>IF(B4985="","",IFERROR(D4985/I4985,""))</f>
        <v/>
      </c>
      <c r="K4985" s="71">
        <f>IF(B4985="","",IFERROR(AVERAGEIFS($J$4:$J4985,$B$4:$B4985,B4985,$J$4:$J4985,"&gt;"&amp;0),""))</f>
        <v/>
      </c>
      <c r="L4985" s="11" t="n"/>
    </row>
    <row r="4986" ht="14" customHeight="1" s="72">
      <c r="A4986" s="83" t="n"/>
      <c r="B4986" s="81" t="n"/>
      <c r="C4986" s="69">
        <f>IF(B4986="","",IFERROR(INDEX(Client_List!$B:$B,MATCH(B4986,Client_List!$A:$A,0)),"⚠ NOT FOUND"))</f>
        <v/>
      </c>
      <c r="D4986" s="45" t="n"/>
      <c r="E4986" s="32">
        <f>IF(B4986="","",IFERROR(INDEX(Client_List!$C:$C,MATCH(VALUE(B4986),Client_List!$A:$A,0)),""))</f>
        <v/>
      </c>
      <c r="F4986" s="53">
        <f>IF(B4986="","",IFERROR(INDEX(Client_List!$D:$D,MATCH(VALUE(B4986),Client_List!$A:$A,0)),""))</f>
        <v/>
      </c>
      <c r="G4986" s="53">
        <f>IF(B4986="","",IFERROR(INDEX(Client_List!$K:$K,MATCH(VALUE(B4986),Client_List!$A:$A,0)),""))</f>
        <v/>
      </c>
      <c r="H4986" s="32">
        <f>IF(B4986="","",IFERROR(INDEX(Client_List!$J:$J,MATCH(VALUE(B4986),Client_List!$A:$A,0)),""))</f>
        <v/>
      </c>
      <c r="I4986" s="70">
        <f>IF(B4986="","",IFERROR(A4986-LOOKUP(2,1/($B$4:$B4985=B4986),$A$4:$A4985),""))</f>
        <v/>
      </c>
      <c r="J4986" s="32">
        <f>IF(B4986="","",IFERROR(D4986/I4986,""))</f>
        <v/>
      </c>
      <c r="K4986" s="71">
        <f>IF(B4986="","",IFERROR(AVERAGEIFS($J$4:$J4986,$B$4:$B4986,B4986,$J$4:$J4986,"&gt;"&amp;0),""))</f>
        <v/>
      </c>
      <c r="L4986" s="12" t="n"/>
    </row>
    <row r="4987" ht="14" customHeight="1" s="72">
      <c r="A4987" s="82" t="n"/>
      <c r="B4987" s="79" t="n"/>
      <c r="C4987" s="69">
        <f>IF(B4987="","",IFERROR(INDEX(Client_List!$B:$B,MATCH(B4987,Client_List!$A:$A,0)),"⚠ NOT FOUND"))</f>
        <v/>
      </c>
      <c r="D4987" s="44" t="n"/>
      <c r="E4987" s="32">
        <f>IF(B4987="","",IFERROR(INDEX(Client_List!$C:$C,MATCH(VALUE(B4987),Client_List!$A:$A,0)),""))</f>
        <v/>
      </c>
      <c r="F4987" s="53">
        <f>IF(B4987="","",IFERROR(INDEX(Client_List!$D:$D,MATCH(VALUE(B4987),Client_List!$A:$A,0)),""))</f>
        <v/>
      </c>
      <c r="G4987" s="53">
        <f>IF(B4987="","",IFERROR(INDEX(Client_List!$K:$K,MATCH(VALUE(B4987),Client_List!$A:$A,0)),""))</f>
        <v/>
      </c>
      <c r="H4987" s="32">
        <f>IF(B4987="","",IFERROR(INDEX(Client_List!$J:$J,MATCH(VALUE(B4987),Client_List!$A:$A,0)),""))</f>
        <v/>
      </c>
      <c r="I4987" s="70">
        <f>IF(B4987="","",IFERROR(A4987-LOOKUP(2,1/($B$4:$B4986=B4987),$A$4:$A4986),""))</f>
        <v/>
      </c>
      <c r="J4987" s="32">
        <f>IF(B4987="","",IFERROR(D4987/I4987,""))</f>
        <v/>
      </c>
      <c r="K4987" s="71">
        <f>IF(B4987="","",IFERROR(AVERAGEIFS($J$4:$J4987,$B$4:$B4987,B4987,$J$4:$J4987,"&gt;"&amp;0),""))</f>
        <v/>
      </c>
      <c r="L4987" s="11" t="n"/>
    </row>
    <row r="4988" ht="14" customHeight="1" s="72">
      <c r="A4988" s="83" t="n"/>
      <c r="B4988" s="81" t="n"/>
      <c r="C4988" s="69">
        <f>IF(B4988="","",IFERROR(INDEX(Client_List!$B:$B,MATCH(B4988,Client_List!$A:$A,0)),"⚠ NOT FOUND"))</f>
        <v/>
      </c>
      <c r="D4988" s="45" t="n"/>
      <c r="E4988" s="32">
        <f>IF(B4988="","",IFERROR(INDEX(Client_List!$C:$C,MATCH(VALUE(B4988),Client_List!$A:$A,0)),""))</f>
        <v/>
      </c>
      <c r="F4988" s="53">
        <f>IF(B4988="","",IFERROR(INDEX(Client_List!$D:$D,MATCH(VALUE(B4988),Client_List!$A:$A,0)),""))</f>
        <v/>
      </c>
      <c r="G4988" s="53">
        <f>IF(B4988="","",IFERROR(INDEX(Client_List!$K:$K,MATCH(VALUE(B4988),Client_List!$A:$A,0)),""))</f>
        <v/>
      </c>
      <c r="H4988" s="32">
        <f>IF(B4988="","",IFERROR(INDEX(Client_List!$J:$J,MATCH(VALUE(B4988),Client_List!$A:$A,0)),""))</f>
        <v/>
      </c>
      <c r="I4988" s="70">
        <f>IF(B4988="","",IFERROR(A4988-LOOKUP(2,1/($B$4:$B4987=B4988),$A$4:$A4987),""))</f>
        <v/>
      </c>
      <c r="J4988" s="32">
        <f>IF(B4988="","",IFERROR(D4988/I4988,""))</f>
        <v/>
      </c>
      <c r="K4988" s="71">
        <f>IF(B4988="","",IFERROR(AVERAGEIFS($J$4:$J4988,$B$4:$B4988,B4988,$J$4:$J4988,"&gt;"&amp;0),""))</f>
        <v/>
      </c>
      <c r="L4988" s="12" t="n"/>
    </row>
    <row r="4989" ht="14" customHeight="1" s="72">
      <c r="A4989" s="82" t="n"/>
      <c r="B4989" s="79" t="n"/>
      <c r="C4989" s="69">
        <f>IF(B4989="","",IFERROR(INDEX(Client_List!$B:$B,MATCH(B4989,Client_List!$A:$A,0)),"⚠ NOT FOUND"))</f>
        <v/>
      </c>
      <c r="D4989" s="44" t="n"/>
      <c r="E4989" s="32">
        <f>IF(B4989="","",IFERROR(INDEX(Client_List!$C:$C,MATCH(VALUE(B4989),Client_List!$A:$A,0)),""))</f>
        <v/>
      </c>
      <c r="F4989" s="53">
        <f>IF(B4989="","",IFERROR(INDEX(Client_List!$D:$D,MATCH(VALUE(B4989),Client_List!$A:$A,0)),""))</f>
        <v/>
      </c>
      <c r="G4989" s="53">
        <f>IF(B4989="","",IFERROR(INDEX(Client_List!$K:$K,MATCH(VALUE(B4989),Client_List!$A:$A,0)),""))</f>
        <v/>
      </c>
      <c r="H4989" s="32">
        <f>IF(B4989="","",IFERROR(INDEX(Client_List!$J:$J,MATCH(VALUE(B4989),Client_List!$A:$A,0)),""))</f>
        <v/>
      </c>
      <c r="I4989" s="70">
        <f>IF(B4989="","",IFERROR(A4989-LOOKUP(2,1/($B$4:$B4988=B4989),$A$4:$A4988),""))</f>
        <v/>
      </c>
      <c r="J4989" s="32">
        <f>IF(B4989="","",IFERROR(D4989/I4989,""))</f>
        <v/>
      </c>
      <c r="K4989" s="71">
        <f>IF(B4989="","",IFERROR(AVERAGEIFS($J$4:$J4989,$B$4:$B4989,B4989,$J$4:$J4989,"&gt;"&amp;0),""))</f>
        <v/>
      </c>
      <c r="L4989" s="11" t="n"/>
    </row>
    <row r="4990" ht="14" customHeight="1" s="72">
      <c r="A4990" s="83" t="n"/>
      <c r="B4990" s="81" t="n"/>
      <c r="C4990" s="69">
        <f>IF(B4990="","",IFERROR(INDEX(Client_List!$B:$B,MATCH(B4990,Client_List!$A:$A,0)),"⚠ NOT FOUND"))</f>
        <v/>
      </c>
      <c r="D4990" s="45" t="n"/>
      <c r="E4990" s="32">
        <f>IF(B4990="","",IFERROR(INDEX(Client_List!$C:$C,MATCH(VALUE(B4990),Client_List!$A:$A,0)),""))</f>
        <v/>
      </c>
      <c r="F4990" s="53">
        <f>IF(B4990="","",IFERROR(INDEX(Client_List!$D:$D,MATCH(VALUE(B4990),Client_List!$A:$A,0)),""))</f>
        <v/>
      </c>
      <c r="G4990" s="53">
        <f>IF(B4990="","",IFERROR(INDEX(Client_List!$K:$K,MATCH(VALUE(B4990),Client_List!$A:$A,0)),""))</f>
        <v/>
      </c>
      <c r="H4990" s="32">
        <f>IF(B4990="","",IFERROR(INDEX(Client_List!$J:$J,MATCH(VALUE(B4990),Client_List!$A:$A,0)),""))</f>
        <v/>
      </c>
      <c r="I4990" s="70">
        <f>IF(B4990="","",IFERROR(A4990-LOOKUP(2,1/($B$4:$B4989=B4990),$A$4:$A4989),""))</f>
        <v/>
      </c>
      <c r="J4990" s="32">
        <f>IF(B4990="","",IFERROR(D4990/I4990,""))</f>
        <v/>
      </c>
      <c r="K4990" s="71">
        <f>IF(B4990="","",IFERROR(AVERAGEIFS($J$4:$J4990,$B$4:$B4990,B4990,$J$4:$J4990,"&gt;"&amp;0),""))</f>
        <v/>
      </c>
      <c r="L4990" s="12" t="n"/>
    </row>
    <row r="4991" ht="14" customHeight="1" s="72">
      <c r="A4991" s="82" t="n"/>
      <c r="B4991" s="79" t="n"/>
      <c r="C4991" s="69">
        <f>IF(B4991="","",IFERROR(INDEX(Client_List!$B:$B,MATCH(B4991,Client_List!$A:$A,0)),"⚠ NOT FOUND"))</f>
        <v/>
      </c>
      <c r="D4991" s="44" t="n"/>
      <c r="E4991" s="32">
        <f>IF(B4991="","",IFERROR(INDEX(Client_List!$C:$C,MATCH(VALUE(B4991),Client_List!$A:$A,0)),""))</f>
        <v/>
      </c>
      <c r="F4991" s="53">
        <f>IF(B4991="","",IFERROR(INDEX(Client_List!$D:$D,MATCH(VALUE(B4991),Client_List!$A:$A,0)),""))</f>
        <v/>
      </c>
      <c r="G4991" s="53">
        <f>IF(B4991="","",IFERROR(INDEX(Client_List!$K:$K,MATCH(VALUE(B4991),Client_List!$A:$A,0)),""))</f>
        <v/>
      </c>
      <c r="H4991" s="32">
        <f>IF(B4991="","",IFERROR(INDEX(Client_List!$J:$J,MATCH(VALUE(B4991),Client_List!$A:$A,0)),""))</f>
        <v/>
      </c>
      <c r="I4991" s="70">
        <f>IF(B4991="","",IFERROR(A4991-LOOKUP(2,1/($B$4:$B4990=B4991),$A$4:$A4990),""))</f>
        <v/>
      </c>
      <c r="J4991" s="32">
        <f>IF(B4991="","",IFERROR(D4991/I4991,""))</f>
        <v/>
      </c>
      <c r="K4991" s="71">
        <f>IF(B4991="","",IFERROR(AVERAGEIFS($J$4:$J4991,$B$4:$B4991,B4991,$J$4:$J4991,"&gt;"&amp;0),""))</f>
        <v/>
      </c>
      <c r="L4991" s="11" t="n"/>
    </row>
    <row r="4992" ht="14" customHeight="1" s="72">
      <c r="A4992" s="83" t="n"/>
      <c r="B4992" s="81" t="n"/>
      <c r="C4992" s="69">
        <f>IF(B4992="","",IFERROR(INDEX(Client_List!$B:$B,MATCH(B4992,Client_List!$A:$A,0)),"⚠ NOT FOUND"))</f>
        <v/>
      </c>
      <c r="D4992" s="45" t="n"/>
      <c r="E4992" s="32">
        <f>IF(B4992="","",IFERROR(INDEX(Client_List!$C:$C,MATCH(VALUE(B4992),Client_List!$A:$A,0)),""))</f>
        <v/>
      </c>
      <c r="F4992" s="53">
        <f>IF(B4992="","",IFERROR(INDEX(Client_List!$D:$D,MATCH(VALUE(B4992),Client_List!$A:$A,0)),""))</f>
        <v/>
      </c>
      <c r="G4992" s="53">
        <f>IF(B4992="","",IFERROR(INDEX(Client_List!$K:$K,MATCH(VALUE(B4992),Client_List!$A:$A,0)),""))</f>
        <v/>
      </c>
      <c r="H4992" s="32">
        <f>IF(B4992="","",IFERROR(INDEX(Client_List!$J:$J,MATCH(VALUE(B4992),Client_List!$A:$A,0)),""))</f>
        <v/>
      </c>
      <c r="I4992" s="70">
        <f>IF(B4992="","",IFERROR(A4992-LOOKUP(2,1/($B$4:$B4991=B4992),$A$4:$A4991),""))</f>
        <v/>
      </c>
      <c r="J4992" s="32">
        <f>IF(B4992="","",IFERROR(D4992/I4992,""))</f>
        <v/>
      </c>
      <c r="K4992" s="71">
        <f>IF(B4992="","",IFERROR(AVERAGEIFS($J$4:$J4992,$B$4:$B4992,B4992,$J$4:$J4992,"&gt;"&amp;0),""))</f>
        <v/>
      </c>
      <c r="L4992" s="12" t="n"/>
    </row>
    <row r="4993" ht="14" customHeight="1" s="72">
      <c r="A4993" s="82" t="n"/>
      <c r="B4993" s="79" t="n"/>
      <c r="C4993" s="69">
        <f>IF(B4993="","",IFERROR(INDEX(Client_List!$B:$B,MATCH(B4993,Client_List!$A:$A,0)),"⚠ NOT FOUND"))</f>
        <v/>
      </c>
      <c r="D4993" s="44" t="n"/>
      <c r="E4993" s="32">
        <f>IF(B4993="","",IFERROR(INDEX(Client_List!$C:$C,MATCH(VALUE(B4993),Client_List!$A:$A,0)),""))</f>
        <v/>
      </c>
      <c r="F4993" s="53">
        <f>IF(B4993="","",IFERROR(INDEX(Client_List!$D:$D,MATCH(VALUE(B4993),Client_List!$A:$A,0)),""))</f>
        <v/>
      </c>
      <c r="G4993" s="53">
        <f>IF(B4993="","",IFERROR(INDEX(Client_List!$K:$K,MATCH(VALUE(B4993),Client_List!$A:$A,0)),""))</f>
        <v/>
      </c>
      <c r="H4993" s="32">
        <f>IF(B4993="","",IFERROR(INDEX(Client_List!$J:$J,MATCH(VALUE(B4993),Client_List!$A:$A,0)),""))</f>
        <v/>
      </c>
      <c r="I4993" s="70">
        <f>IF(B4993="","",IFERROR(A4993-LOOKUP(2,1/($B$4:$B4992=B4993),$A$4:$A4992),""))</f>
        <v/>
      </c>
      <c r="J4993" s="32">
        <f>IF(B4993="","",IFERROR(D4993/I4993,""))</f>
        <v/>
      </c>
      <c r="K4993" s="71">
        <f>IF(B4993="","",IFERROR(AVERAGEIFS($J$4:$J4993,$B$4:$B4993,B4993,$J$4:$J4993,"&gt;"&amp;0),""))</f>
        <v/>
      </c>
      <c r="L4993" s="11" t="n"/>
    </row>
    <row r="4994" ht="14" customHeight="1" s="72">
      <c r="A4994" s="83" t="n"/>
      <c r="B4994" s="81" t="n"/>
      <c r="C4994" s="69">
        <f>IF(B4994="","",IFERROR(INDEX(Client_List!$B:$B,MATCH(B4994,Client_List!$A:$A,0)),"⚠ NOT FOUND"))</f>
        <v/>
      </c>
      <c r="D4994" s="45" t="n"/>
      <c r="E4994" s="32">
        <f>IF(B4994="","",IFERROR(INDEX(Client_List!$C:$C,MATCH(VALUE(B4994),Client_List!$A:$A,0)),""))</f>
        <v/>
      </c>
      <c r="F4994" s="53">
        <f>IF(B4994="","",IFERROR(INDEX(Client_List!$D:$D,MATCH(VALUE(B4994),Client_List!$A:$A,0)),""))</f>
        <v/>
      </c>
      <c r="G4994" s="53">
        <f>IF(B4994="","",IFERROR(INDEX(Client_List!$K:$K,MATCH(VALUE(B4994),Client_List!$A:$A,0)),""))</f>
        <v/>
      </c>
      <c r="H4994" s="32">
        <f>IF(B4994="","",IFERROR(INDEX(Client_List!$J:$J,MATCH(VALUE(B4994),Client_List!$A:$A,0)),""))</f>
        <v/>
      </c>
      <c r="I4994" s="70">
        <f>IF(B4994="","",IFERROR(A4994-LOOKUP(2,1/($B$4:$B4993=B4994),$A$4:$A4993),""))</f>
        <v/>
      </c>
      <c r="J4994" s="32">
        <f>IF(B4994="","",IFERROR(D4994/I4994,""))</f>
        <v/>
      </c>
      <c r="K4994" s="71">
        <f>IF(B4994="","",IFERROR(AVERAGEIFS($J$4:$J4994,$B$4:$B4994,B4994,$J$4:$J4994,"&gt;"&amp;0),""))</f>
        <v/>
      </c>
      <c r="L4994" s="12" t="n"/>
    </row>
    <row r="4995" ht="14" customHeight="1" s="72">
      <c r="A4995" s="82" t="n"/>
      <c r="B4995" s="79" t="n"/>
      <c r="C4995" s="69">
        <f>IF(B4995="","",IFERROR(INDEX(Client_List!$B:$B,MATCH(B4995,Client_List!$A:$A,0)),"⚠ NOT FOUND"))</f>
        <v/>
      </c>
      <c r="D4995" s="44" t="n"/>
      <c r="E4995" s="32">
        <f>IF(B4995="","",IFERROR(INDEX(Client_List!$C:$C,MATCH(VALUE(B4995),Client_List!$A:$A,0)),""))</f>
        <v/>
      </c>
      <c r="F4995" s="53">
        <f>IF(B4995="","",IFERROR(INDEX(Client_List!$D:$D,MATCH(VALUE(B4995),Client_List!$A:$A,0)),""))</f>
        <v/>
      </c>
      <c r="G4995" s="53">
        <f>IF(B4995="","",IFERROR(INDEX(Client_List!$K:$K,MATCH(VALUE(B4995),Client_List!$A:$A,0)),""))</f>
        <v/>
      </c>
      <c r="H4995" s="32">
        <f>IF(B4995="","",IFERROR(INDEX(Client_List!$J:$J,MATCH(VALUE(B4995),Client_List!$A:$A,0)),""))</f>
        <v/>
      </c>
      <c r="I4995" s="70">
        <f>IF(B4995="","",IFERROR(A4995-LOOKUP(2,1/($B$4:$B4994=B4995),$A$4:$A4994),""))</f>
        <v/>
      </c>
      <c r="J4995" s="32">
        <f>IF(B4995="","",IFERROR(D4995/I4995,""))</f>
        <v/>
      </c>
      <c r="K4995" s="71">
        <f>IF(B4995="","",IFERROR(AVERAGEIFS($J$4:$J4995,$B$4:$B4995,B4995,$J$4:$J4995,"&gt;"&amp;0),""))</f>
        <v/>
      </c>
      <c r="L4995" s="11" t="n"/>
    </row>
    <row r="4996" ht="14" customHeight="1" s="72">
      <c r="A4996" s="83" t="n"/>
      <c r="B4996" s="81" t="n"/>
      <c r="C4996" s="69">
        <f>IF(B4996="","",IFERROR(INDEX(Client_List!$B:$B,MATCH(B4996,Client_List!$A:$A,0)),"⚠ NOT FOUND"))</f>
        <v/>
      </c>
      <c r="D4996" s="45" t="n"/>
      <c r="E4996" s="32">
        <f>IF(B4996="","",IFERROR(INDEX(Client_List!$C:$C,MATCH(VALUE(B4996),Client_List!$A:$A,0)),""))</f>
        <v/>
      </c>
      <c r="F4996" s="53">
        <f>IF(B4996="","",IFERROR(INDEX(Client_List!$D:$D,MATCH(VALUE(B4996),Client_List!$A:$A,0)),""))</f>
        <v/>
      </c>
      <c r="G4996" s="53">
        <f>IF(B4996="","",IFERROR(INDEX(Client_List!$K:$K,MATCH(VALUE(B4996),Client_List!$A:$A,0)),""))</f>
        <v/>
      </c>
      <c r="H4996" s="32">
        <f>IF(B4996="","",IFERROR(INDEX(Client_List!$J:$J,MATCH(VALUE(B4996),Client_List!$A:$A,0)),""))</f>
        <v/>
      </c>
      <c r="I4996" s="70">
        <f>IF(B4996="","",IFERROR(A4996-LOOKUP(2,1/($B$4:$B4995=B4996),$A$4:$A4995),""))</f>
        <v/>
      </c>
      <c r="J4996" s="32">
        <f>IF(B4996="","",IFERROR(D4996/I4996,""))</f>
        <v/>
      </c>
      <c r="K4996" s="71">
        <f>IF(B4996="","",IFERROR(AVERAGEIFS($J$4:$J4996,$B$4:$B4996,B4996,$J$4:$J4996,"&gt;"&amp;0),""))</f>
        <v/>
      </c>
      <c r="L4996" s="12" t="n"/>
    </row>
    <row r="4997" ht="14" customHeight="1" s="72">
      <c r="A4997" s="82" t="n"/>
      <c r="B4997" s="79" t="n"/>
      <c r="C4997" s="69">
        <f>IF(B4997="","",IFERROR(INDEX(Client_List!$B:$B,MATCH(B4997,Client_List!$A:$A,0)),"⚠ NOT FOUND"))</f>
        <v/>
      </c>
      <c r="D4997" s="44" t="n"/>
      <c r="E4997" s="32">
        <f>IF(B4997="","",IFERROR(INDEX(Client_List!$C:$C,MATCH(VALUE(B4997),Client_List!$A:$A,0)),""))</f>
        <v/>
      </c>
      <c r="F4997" s="53">
        <f>IF(B4997="","",IFERROR(INDEX(Client_List!$D:$D,MATCH(VALUE(B4997),Client_List!$A:$A,0)),""))</f>
        <v/>
      </c>
      <c r="G4997" s="53">
        <f>IF(B4997="","",IFERROR(INDEX(Client_List!$K:$K,MATCH(VALUE(B4997),Client_List!$A:$A,0)),""))</f>
        <v/>
      </c>
      <c r="H4997" s="32">
        <f>IF(B4997="","",IFERROR(INDEX(Client_List!$J:$J,MATCH(VALUE(B4997),Client_List!$A:$A,0)),""))</f>
        <v/>
      </c>
      <c r="I4997" s="70">
        <f>IF(B4997="","",IFERROR(A4997-LOOKUP(2,1/($B$4:$B4996=B4997),$A$4:$A4996),""))</f>
        <v/>
      </c>
      <c r="J4997" s="32">
        <f>IF(B4997="","",IFERROR(D4997/I4997,""))</f>
        <v/>
      </c>
      <c r="K4997" s="71">
        <f>IF(B4997="","",IFERROR(AVERAGEIFS($J$4:$J4997,$B$4:$B4997,B4997,$J$4:$J4997,"&gt;"&amp;0),""))</f>
        <v/>
      </c>
      <c r="L4997" s="11" t="n"/>
    </row>
    <row r="4998" ht="14" customHeight="1" s="72">
      <c r="A4998" s="83" t="n"/>
      <c r="B4998" s="81" t="n"/>
      <c r="C4998" s="69">
        <f>IF(B4998="","",IFERROR(INDEX(Client_List!$B:$B,MATCH(B4998,Client_List!$A:$A,0)),"⚠ NOT FOUND"))</f>
        <v/>
      </c>
      <c r="D4998" s="45" t="n"/>
      <c r="E4998" s="32">
        <f>IF(B4998="","",IFERROR(INDEX(Client_List!$C:$C,MATCH(VALUE(B4998),Client_List!$A:$A,0)),""))</f>
        <v/>
      </c>
      <c r="F4998" s="53">
        <f>IF(B4998="","",IFERROR(INDEX(Client_List!$D:$D,MATCH(VALUE(B4998),Client_List!$A:$A,0)),""))</f>
        <v/>
      </c>
      <c r="G4998" s="53">
        <f>IF(B4998="","",IFERROR(INDEX(Client_List!$K:$K,MATCH(VALUE(B4998),Client_List!$A:$A,0)),""))</f>
        <v/>
      </c>
      <c r="H4998" s="32">
        <f>IF(B4998="","",IFERROR(INDEX(Client_List!$J:$J,MATCH(VALUE(B4998),Client_List!$A:$A,0)),""))</f>
        <v/>
      </c>
      <c r="I4998" s="70">
        <f>IF(B4998="","",IFERROR(A4998-LOOKUP(2,1/($B$4:$B4997=B4998),$A$4:$A4997),""))</f>
        <v/>
      </c>
      <c r="J4998" s="32">
        <f>IF(B4998="","",IFERROR(D4998/I4998,""))</f>
        <v/>
      </c>
      <c r="K4998" s="71">
        <f>IF(B4998="","",IFERROR(AVERAGEIFS($J$4:$J4998,$B$4:$B4998,B4998,$J$4:$J4998,"&gt;"&amp;0),""))</f>
        <v/>
      </c>
      <c r="L4998" s="12" t="n"/>
    </row>
  </sheetData>
  <autoFilter ref="A3:L4998"/>
  <mergeCells count="2">
    <mergeCell ref="A2:L2"/>
    <mergeCell ref="A1:L1"/>
  </mergeCells>
  <conditionalFormatting sqref="A4:A2498">
    <cfRule type="expression" priority="2" dxfId="5">
      <formula>AND(B4&lt;&gt;"",A4="")</formula>
    </cfRule>
  </conditionalFormatting>
  <dataValidations count="1">
    <dataValidation sqref="A4:A2498" showDropDown="0" showInputMessage="1" showErrorMessage="1" allowBlank="0" errorTitle="Invalid Date" error="Please enter a valid delivery date between 2020 and 2035." promptTitle="Delivery Date" prompt="Enter the delivery date for this drop." type="date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N184"/>
  <sheetViews>
    <sheetView showGridLines="0" workbookViewId="0">
      <pane ySplit="3" topLeftCell="A22" activePane="bottomLeft" state="frozen"/>
      <selection pane="bottomLeft" activeCell="B41" sqref="B41"/>
    </sheetView>
  </sheetViews>
  <sheetFormatPr baseColWidth="10" defaultColWidth="8.83203125" defaultRowHeight="15"/>
  <cols>
    <col width="7" customWidth="1" style="72" min="1" max="1"/>
    <col width="44" customWidth="1" style="72" min="2" max="2"/>
    <col width="7" customWidth="1" style="72" min="3" max="3"/>
    <col width="10" customWidth="1" style="72" min="4" max="4"/>
    <col width="34" customWidth="1" style="72" min="5" max="5"/>
    <col width="16" customWidth="1" style="72" min="6" max="6"/>
    <col width="7" customWidth="1" style="72" min="7" max="7"/>
    <col width="12" customWidth="1" style="72" min="8" max="8"/>
    <col width="13" customWidth="1" style="72" min="9" max="9"/>
    <col width="14" customWidth="1" style="72" min="10" max="10"/>
    <col width="22" customWidth="1" style="72" min="11" max="11"/>
  </cols>
  <sheetData>
    <row r="1" ht="28" customHeight="1" s="72">
      <c r="A1" s="61" t="inlineStr">
        <is>
          <t>S&amp;K CLIENT LIST  —  Edit Address, Lat, Lon, Tank Size and Product here</t>
        </is>
      </c>
    </row>
    <row r="2" ht="14" customHeight="1" s="72">
      <c r="A2" s="58" t="inlineStr">
        <is>
          <t>YELLOW columns = edit freely.  Changes here flow automatically into Optimizer_Input via VLOOKUP.  Customer name in col B must match Delivery_Log exactly.</t>
        </is>
      </c>
    </row>
    <row r="3" ht="32" customHeight="1" s="72">
      <c r="A3" s="23" t="inlineStr">
        <is>
          <t>ID</t>
        </is>
      </c>
      <c r="B3" s="23" t="inlineStr">
        <is>
          <t>Customer Name</t>
        </is>
      </c>
      <c r="C3" s="23" t="inlineStr">
        <is>
          <t>Zone</t>
        </is>
      </c>
      <c r="D3" s="23" t="inlineStr">
        <is>
          <t>Zone Code</t>
        </is>
      </c>
      <c r="E3" s="23" t="inlineStr">
        <is>
          <t>Street Address</t>
        </is>
      </c>
      <c r="F3" s="23" t="inlineStr">
        <is>
          <t>City</t>
        </is>
      </c>
      <c r="G3" s="23" t="inlineStr">
        <is>
          <t>State</t>
        </is>
      </c>
      <c r="H3" s="23" t="inlineStr">
        <is>
          <t>Latitude</t>
        </is>
      </c>
      <c r="I3" s="23" t="inlineStr">
        <is>
          <t>Longitude</t>
        </is>
      </c>
      <c r="J3" s="23" t="inlineStr">
        <is>
          <t>Tank Size (lbs)</t>
        </is>
      </c>
      <c r="K3" s="23" t="inlineStr">
        <is>
          <t>Product</t>
        </is>
      </c>
    </row>
    <row r="4" ht="15" customHeight="1" s="72">
      <c r="A4" s="4" t="n">
        <v>1</v>
      </c>
      <c r="B4" s="2" t="inlineStr">
        <is>
          <t>51ST - 0001 - 51ST AVE CAFE</t>
        </is>
      </c>
      <c r="C4" s="9" t="inlineStr">
        <is>
          <t>2</t>
        </is>
      </c>
      <c r="D4" s="4" t="inlineStr">
        <is>
          <t>2D</t>
        </is>
      </c>
      <c r="E4" s="24" t="inlineStr">
        <is>
          <t>5511 N 51St Ave</t>
        </is>
      </c>
      <c r="F4" s="24" t="inlineStr">
        <is>
          <t>Glendale</t>
        </is>
      </c>
      <c r="G4" s="25" t="inlineStr">
        <is>
          <t>AZ</t>
        </is>
      </c>
      <c r="H4" s="26" t="n">
        <v>33.5171994</v>
      </c>
      <c r="I4" s="26" t="n">
        <v>-112.1681115</v>
      </c>
      <c r="J4" s="27" t="n">
        <v>350</v>
      </c>
      <c r="K4" s="25" t="inlineStr">
        <is>
          <t>FRYERS CHOICE BLEND</t>
        </is>
      </c>
      <c r="N4" t="inlineStr">
        <is>
          <t>254-237-3350</t>
        </is>
      </c>
    </row>
    <row r="5" ht="15" customHeight="1" s="72">
      <c r="A5" s="7" t="n">
        <v>1018</v>
      </c>
      <c r="B5" s="5" t="inlineStr">
        <is>
          <t>AJO - 1018 - AJO ALS BELL</t>
        </is>
      </c>
      <c r="C5" s="9" t="inlineStr">
        <is>
          <t>2</t>
        </is>
      </c>
      <c r="D5" s="7" t="inlineStr">
        <is>
          <t>2C</t>
        </is>
      </c>
      <c r="E5" s="24" t="inlineStr">
        <is>
          <t>7458 W Bell Rd</t>
        </is>
      </c>
      <c r="F5" s="24" t="inlineStr">
        <is>
          <t>Glendale</t>
        </is>
      </c>
      <c r="G5" s="25" t="inlineStr">
        <is>
          <t>AZ</t>
        </is>
      </c>
      <c r="H5" s="26" t="n">
        <v>33.6390173</v>
      </c>
      <c r="I5" s="26" t="n">
        <v>-112.2197838</v>
      </c>
      <c r="J5" s="27" t="n">
        <v>950</v>
      </c>
      <c r="K5" s="25" t="inlineStr">
        <is>
          <t>CANOLA OIL</t>
        </is>
      </c>
      <c r="N5" t="inlineStr">
        <is>
          <t>623-334-9899</t>
        </is>
      </c>
    </row>
    <row r="6" ht="15" customHeight="1" s="72">
      <c r="A6" s="4" t="n">
        <v>1063</v>
      </c>
      <c r="B6" s="2" t="inlineStr">
        <is>
          <t>ALL - 1063 - ALL AMERICAN MODERN SPORTS GRILL</t>
        </is>
      </c>
      <c r="C6" s="3" t="inlineStr">
        <is>
          <t>4</t>
        </is>
      </c>
      <c r="D6" s="4" t="inlineStr">
        <is>
          <t>4C</t>
        </is>
      </c>
      <c r="E6" s="24" t="inlineStr">
        <is>
          <t>20751 N PIMA RD #105</t>
        </is>
      </c>
      <c r="F6" s="24" t="inlineStr">
        <is>
          <t>Scottsdale</t>
        </is>
      </c>
      <c r="G6" s="25" t="inlineStr">
        <is>
          <t>AZ</t>
        </is>
      </c>
      <c r="H6" s="26" t="n">
        <v>33.674519</v>
      </c>
      <c r="I6" s="26" t="n">
        <v>-111.8880329</v>
      </c>
      <c r="J6" s="27" t="n">
        <v>900</v>
      </c>
      <c r="K6" s="25" t="inlineStr">
        <is>
          <t>CANOLA OIL</t>
        </is>
      </c>
      <c r="N6" t="inlineStr">
        <is>
          <t>(480) 887-0652</t>
        </is>
      </c>
    </row>
    <row r="7" ht="15" customHeight="1" s="72">
      <c r="A7" s="7" t="n">
        <v>1073</v>
      </c>
      <c r="B7" s="5" t="inlineStr">
        <is>
          <t>AME - 1073 - AMELIO C ENTERPRISES, INC (CACTUS CANDY)</t>
        </is>
      </c>
      <c r="C7" s="3" t="inlineStr">
        <is>
          <t>4</t>
        </is>
      </c>
      <c r="D7" s="7" t="inlineStr">
        <is>
          <t>4C</t>
        </is>
      </c>
      <c r="E7" s="24" t="inlineStr">
        <is>
          <t>2656 N 37TH DR</t>
        </is>
      </c>
      <c r="F7" s="24" t="inlineStr">
        <is>
          <t>PHOENIX</t>
        </is>
      </c>
      <c r="G7" s="25" t="inlineStr">
        <is>
          <t>AZ</t>
        </is>
      </c>
      <c r="H7" s="26" t="n">
        <v>33.4782767</v>
      </c>
      <c r="I7" s="26" t="n">
        <v>-112.140515</v>
      </c>
      <c r="J7" s="27" t="n">
        <v>2000</v>
      </c>
      <c r="K7" s="25" t="inlineStr">
        <is>
          <t>CANOLA OIL</t>
        </is>
      </c>
      <c r="N7" t="inlineStr">
        <is>
          <t>(602) 956-4833</t>
        </is>
      </c>
    </row>
    <row r="8" ht="15" customHeight="1" s="72">
      <c r="A8" s="4" t="n">
        <v>1054</v>
      </c>
      <c r="B8" s="2" t="inlineStr">
        <is>
          <t>ANG - 1054 - ANGRY CRAB SURPRISE</t>
        </is>
      </c>
      <c r="C8" s="10" t="inlineStr">
        <is>
          <t>1</t>
        </is>
      </c>
      <c r="D8" s="4" t="inlineStr">
        <is>
          <t>1C</t>
        </is>
      </c>
      <c r="E8" s="24" t="inlineStr">
        <is>
          <t>11340 W BELL RD SUITE 118</t>
        </is>
      </c>
      <c r="F8" s="24" t="inlineStr">
        <is>
          <t>SURPRISE</t>
        </is>
      </c>
      <c r="G8" s="25" t="inlineStr">
        <is>
          <t>AZ</t>
        </is>
      </c>
      <c r="H8" s="26" t="n">
        <v>33.6399393</v>
      </c>
      <c r="I8" s="26" t="n">
        <v>-112.3041939</v>
      </c>
      <c r="J8" s="27" t="n">
        <v>620</v>
      </c>
      <c r="K8" s="25" t="inlineStr">
        <is>
          <t>FRYERS CHOICE BLEND</t>
        </is>
      </c>
      <c r="N8" t="inlineStr">
        <is>
          <t>(623) 248-9190</t>
        </is>
      </c>
    </row>
    <row r="9" ht="15" customHeight="1" s="72">
      <c r="A9" s="4" t="n">
        <v>1000</v>
      </c>
      <c r="B9" s="2" t="inlineStr">
        <is>
          <t>ARR79 - 1000 - ARRIBAS 79TH AVE.</t>
        </is>
      </c>
      <c r="C9" s="9" t="inlineStr">
        <is>
          <t>2</t>
        </is>
      </c>
      <c r="D9" s="4" t="inlineStr">
        <is>
          <t>2C</t>
        </is>
      </c>
      <c r="E9" s="24" t="inlineStr">
        <is>
          <t>17211 N 79Th Ave</t>
        </is>
      </c>
      <c r="F9" s="24" t="inlineStr">
        <is>
          <t>Glendale</t>
        </is>
      </c>
      <c r="G9" s="25" t="inlineStr">
        <is>
          <t>AZ</t>
        </is>
      </c>
      <c r="H9" s="26" t="n">
        <v>33.6402137</v>
      </c>
      <c r="I9" s="26" t="n">
        <v>-112.2294109</v>
      </c>
      <c r="J9" s="27" t="n">
        <v>950</v>
      </c>
      <c r="K9" s="25" t="inlineStr">
        <is>
          <t>CANOLA OIL</t>
        </is>
      </c>
      <c r="N9" t="inlineStr">
        <is>
          <t>623-878-5777</t>
        </is>
      </c>
    </row>
    <row r="10" ht="15" customHeight="1" s="72">
      <c r="A10" s="7" t="n">
        <v>1001</v>
      </c>
      <c r="B10" s="5" t="inlineStr">
        <is>
          <t>ARRC - 1001 - ARRIBAS CAMELBACK</t>
        </is>
      </c>
      <c r="C10" s="6" t="inlineStr">
        <is>
          <t>3</t>
        </is>
      </c>
      <c r="D10" s="7" t="inlineStr">
        <is>
          <t>3D</t>
        </is>
      </c>
      <c r="E10" s="24" t="inlineStr">
        <is>
          <t>1812 E Camelback Rd</t>
        </is>
      </c>
      <c r="F10" s="24" t="inlineStr">
        <is>
          <t>Phoenix</t>
        </is>
      </c>
      <c r="G10" s="25" t="inlineStr">
        <is>
          <t>AZ</t>
        </is>
      </c>
      <c r="H10" s="26" t="n">
        <v>33.50958</v>
      </c>
      <c r="I10" s="26" t="n">
        <v>-112.042591</v>
      </c>
      <c r="J10" s="27" t="n">
        <v>700</v>
      </c>
      <c r="K10" s="25" t="inlineStr">
        <is>
          <t>CANOLA OIL</t>
        </is>
      </c>
      <c r="N10" t="inlineStr">
        <is>
          <t>480-948-9969</t>
        </is>
      </c>
    </row>
    <row r="11" ht="15" customHeight="1" s="72">
      <c r="A11" s="4" t="n">
        <v>1011</v>
      </c>
      <c r="B11" s="2" t="inlineStr">
        <is>
          <t>ARRC - 1011 - ARRIBAS CHANDLER</t>
        </is>
      </c>
      <c r="C11" s="3" t="inlineStr">
        <is>
          <t>4</t>
        </is>
      </c>
      <c r="D11" s="4" t="inlineStr">
        <is>
          <t>4F</t>
        </is>
      </c>
      <c r="E11" s="24" t="inlineStr">
        <is>
          <t>4649 E Chandler Blvd</t>
        </is>
      </c>
      <c r="F11" s="24" t="inlineStr">
        <is>
          <t>Phoenix</t>
        </is>
      </c>
      <c r="G11" s="25" t="inlineStr">
        <is>
          <t>AZ</t>
        </is>
      </c>
      <c r="H11" s="26" t="n">
        <v>33.3048264</v>
      </c>
      <c r="I11" s="26" t="n">
        <v>-111.9816146</v>
      </c>
      <c r="J11" s="27" t="n">
        <v>1000</v>
      </c>
      <c r="K11" s="25" t="inlineStr">
        <is>
          <t>CANOLA OIL</t>
        </is>
      </c>
      <c r="N11" t="inlineStr">
        <is>
          <t>623-878-5777</t>
        </is>
      </c>
    </row>
    <row r="12" ht="15" customHeight="1" s="72">
      <c r="A12" s="7" t="n">
        <v>1014</v>
      </c>
      <c r="B12" s="5" t="inlineStr">
        <is>
          <t>ARRC - 1014 - ARRIBA  GILBERT</t>
        </is>
      </c>
      <c r="C12" s="8" t="inlineStr">
        <is>
          <t>5</t>
        </is>
      </c>
      <c r="D12" s="7" t="inlineStr">
        <is>
          <t>5F</t>
        </is>
      </c>
      <c r="E12" s="24" t="inlineStr">
        <is>
          <t>2855 S Market St, Gilbert, AZ 85295</t>
        </is>
      </c>
      <c r="F12" s="28" t="inlineStr">
        <is>
          <t>Gilbert</t>
        </is>
      </c>
      <c r="G12" s="25" t="inlineStr">
        <is>
          <t>AZ</t>
        </is>
      </c>
      <c r="H12" s="29" t="n">
        <v>33.29809</v>
      </c>
      <c r="I12" s="29" t="n">
        <v>-111.744273</v>
      </c>
      <c r="J12" s="27" t="n">
        <v>900</v>
      </c>
      <c r="K12" s="25" t="inlineStr">
        <is>
          <t>CANOLA OIL</t>
        </is>
      </c>
      <c r="N12" t="inlineStr">
        <is>
          <t>480-899-7337</t>
        </is>
      </c>
    </row>
    <row r="13" ht="15" customHeight="1" s="72">
      <c r="A13" s="4" t="n">
        <v>1013</v>
      </c>
      <c r="B13" s="2" t="inlineStr">
        <is>
          <t>ARRM - 1013 - ARRIBAS GOODYEAR</t>
        </is>
      </c>
      <c r="C13" s="10" t="inlineStr">
        <is>
          <t>1</t>
        </is>
      </c>
      <c r="D13" s="4" t="inlineStr">
        <is>
          <t>1D</t>
        </is>
      </c>
      <c r="E13" s="24" t="inlineStr">
        <is>
          <t>15370 W McDowell Rd</t>
        </is>
      </c>
      <c r="F13" s="24" t="inlineStr">
        <is>
          <t>Goodyear</t>
        </is>
      </c>
      <c r="G13" s="25" t="inlineStr">
        <is>
          <t>AZ</t>
        </is>
      </c>
      <c r="H13" s="26" t="n">
        <v>33.46499</v>
      </c>
      <c r="I13" s="26" t="n">
        <v>-112.389902</v>
      </c>
      <c r="J13" s="27" t="n">
        <v>900</v>
      </c>
      <c r="K13" s="25" t="inlineStr">
        <is>
          <t>CANOLA OIL</t>
        </is>
      </c>
      <c r="N13" t="inlineStr">
        <is>
          <t>623-223-1735</t>
        </is>
      </c>
    </row>
    <row r="14" ht="15" customHeight="1" s="72">
      <c r="A14" s="7" t="n">
        <v>1081</v>
      </c>
      <c r="B14" s="5" t="inlineStr">
        <is>
          <t>ATL - 1081 - ATL WINGS ROOSEVELT</t>
        </is>
      </c>
      <c r="C14" s="6" t="inlineStr">
        <is>
          <t>3</t>
        </is>
      </c>
      <c r="D14" s="7" t="inlineStr">
        <is>
          <t>3D</t>
        </is>
      </c>
      <c r="E14" s="24" t="inlineStr">
        <is>
          <t>330 E ROOSEVELT RD</t>
        </is>
      </c>
      <c r="F14" s="24" t="inlineStr">
        <is>
          <t>PHOENIX</t>
        </is>
      </c>
      <c r="G14" s="25" t="inlineStr">
        <is>
          <t>AZ</t>
        </is>
      </c>
      <c r="H14" s="26" t="n">
        <v>33.4589406</v>
      </c>
      <c r="I14" s="26" t="n">
        <v>-112.0685493</v>
      </c>
      <c r="J14" s="27" t="n">
        <v>350</v>
      </c>
      <c r="K14" s="25" t="inlineStr">
        <is>
          <t>CANOLA OIL</t>
        </is>
      </c>
      <c r="N14" t="inlineStr">
        <is>
          <t>(602) 741-9554</t>
        </is>
      </c>
    </row>
    <row r="15" ht="15" customHeight="1" s="72">
      <c r="A15" s="4" t="n">
        <v>1083</v>
      </c>
      <c r="B15" s="2" t="inlineStr">
        <is>
          <t>ATL - 1083 - ATL WINGS MESA</t>
        </is>
      </c>
      <c r="C15" s="8" t="inlineStr">
        <is>
          <t>5</t>
        </is>
      </c>
      <c r="D15" s="4" t="inlineStr">
        <is>
          <t>5D</t>
        </is>
      </c>
      <c r="E15" s="24" t="inlineStr">
        <is>
          <t>6837 E MAIN ST</t>
        </is>
      </c>
      <c r="F15" s="24" t="inlineStr">
        <is>
          <t>Mesa</t>
        </is>
      </c>
      <c r="G15" s="25" t="inlineStr">
        <is>
          <t>AZ</t>
        </is>
      </c>
      <c r="H15" s="26" t="n">
        <v>33.4151472</v>
      </c>
      <c r="I15" s="26" t="n">
        <v>-111.6831813</v>
      </c>
      <c r="J15" s="27" t="n">
        <v>425</v>
      </c>
      <c r="K15" s="25" t="inlineStr">
        <is>
          <t>CANOLA OIL</t>
        </is>
      </c>
      <c r="N15" t="inlineStr">
        <is>
          <t>(480) 722-9464</t>
        </is>
      </c>
    </row>
    <row r="16" ht="15" customHeight="1" s="72">
      <c r="A16" s="7" t="n">
        <v>19039</v>
      </c>
      <c r="B16" s="5" t="inlineStr">
        <is>
          <t>BAC - 19039 - BACKYARD GILBERT</t>
        </is>
      </c>
      <c r="C16" s="8" t="inlineStr">
        <is>
          <t>5</t>
        </is>
      </c>
      <c r="D16" s="7" t="inlineStr">
        <is>
          <t>5F</t>
        </is>
      </c>
      <c r="E16" s="24" t="inlineStr">
        <is>
          <t>BACKYARD (SANDBAR) GILBERT</t>
        </is>
      </c>
      <c r="F16" s="24" t="inlineStr">
        <is>
          <t>Gilbert</t>
        </is>
      </c>
      <c r="G16" s="25" t="inlineStr">
        <is>
          <t>AZ</t>
        </is>
      </c>
      <c r="H16" s="26" t="n">
        <v>33.3062162</v>
      </c>
      <c r="I16" s="26" t="n">
        <v>-111.7475515</v>
      </c>
      <c r="J16" s="27" t="n">
        <v>1050</v>
      </c>
      <c r="K16" s="25" t="inlineStr">
        <is>
          <t>FRYERS CHOICE BLEND</t>
        </is>
      </c>
      <c r="N16" t="inlineStr">
        <is>
          <t>480-822-6921</t>
        </is>
      </c>
    </row>
    <row r="17" ht="15" customHeight="1" s="72">
      <c r="A17" s="4" t="n">
        <v>2067</v>
      </c>
      <c r="B17" s="2" t="inlineStr">
        <is>
          <t>BAC - 2067 - BACKYARD - DESERT RIDGE</t>
        </is>
      </c>
      <c r="C17" s="3" t="inlineStr">
        <is>
          <t>5</t>
        </is>
      </c>
      <c r="D17" s="4" t="inlineStr">
        <is>
          <t>5F</t>
        </is>
      </c>
      <c r="E17" s="24" t="inlineStr">
        <is>
          <t>21001 N Tatum Blvd</t>
        </is>
      </c>
      <c r="F17" s="24" t="inlineStr">
        <is>
          <t>Phoenix</t>
        </is>
      </c>
      <c r="G17" s="25" t="inlineStr">
        <is>
          <t>AZ</t>
        </is>
      </c>
      <c r="H17" s="26" t="n">
        <v>33.6766428</v>
      </c>
      <c r="I17" s="26" t="n">
        <v>-111.9746059</v>
      </c>
      <c r="J17" s="27" t="n">
        <v>950</v>
      </c>
      <c r="K17" s="25" t="inlineStr">
        <is>
          <t>CANOLA OIL</t>
        </is>
      </c>
      <c r="N17" t="inlineStr">
        <is>
          <t>480-585-5900</t>
        </is>
      </c>
    </row>
    <row r="18" ht="15" customHeight="1" s="72">
      <c r="A18" s="7" t="n">
        <v>2053</v>
      </c>
      <c r="B18" s="5" t="inlineStr">
        <is>
          <t>BAJ - 2053 - BAJA JOES</t>
        </is>
      </c>
      <c r="C18" s="8" t="inlineStr">
        <is>
          <t>5</t>
        </is>
      </c>
      <c r="D18" s="7" t="inlineStr">
        <is>
          <t>5D</t>
        </is>
      </c>
      <c r="E18" s="24" t="inlineStr">
        <is>
          <t>1927 N Gilbert Road</t>
        </is>
      </c>
      <c r="F18" s="24" t="inlineStr">
        <is>
          <t>Gilbert</t>
        </is>
      </c>
      <c r="G18" s="25" t="inlineStr">
        <is>
          <t>AZ</t>
        </is>
      </c>
      <c r="H18" s="26" t="n">
        <v>33.4507253</v>
      </c>
      <c r="I18" s="26" t="n">
        <v>-111.7864322</v>
      </c>
      <c r="J18" s="27" t="n">
        <v>1050</v>
      </c>
      <c r="K18" s="25" t="inlineStr">
        <is>
          <t>CANOLA OIL</t>
        </is>
      </c>
      <c r="N18" t="inlineStr">
        <is>
          <t>(480) 655-1828</t>
        </is>
      </c>
    </row>
    <row r="19" ht="15" customHeight="1" s="72">
      <c r="A19" s="4" t="n">
        <v>2045</v>
      </c>
      <c r="B19" s="2" t="inlineStr">
        <is>
          <t>BAR - 2045 - BARRIO BREWING</t>
        </is>
      </c>
      <c r="C19" s="8" t="inlineStr">
        <is>
          <t>5</t>
        </is>
      </c>
      <c r="D19" s="4" t="inlineStr">
        <is>
          <t>5F</t>
        </is>
      </c>
      <c r="E19" s="24" t="inlineStr">
        <is>
          <t>5803 S Sossaman Rd</t>
        </is>
      </c>
      <c r="F19" s="24" t="inlineStr">
        <is>
          <t>Mesa</t>
        </is>
      </c>
      <c r="G19" s="25" t="inlineStr">
        <is>
          <t>AZ</t>
        </is>
      </c>
      <c r="H19" s="26" t="n">
        <v>33.3107427</v>
      </c>
      <c r="I19" s="26" t="n">
        <v>-111.6698733</v>
      </c>
      <c r="J19" s="27" t="n">
        <v>350</v>
      </c>
      <c r="K19" s="25" t="inlineStr">
        <is>
          <t>CANOLA OIL</t>
        </is>
      </c>
      <c r="N19" t="inlineStr">
        <is>
          <t>(480) 988-7171</t>
        </is>
      </c>
    </row>
    <row r="20" ht="15" customHeight="1" s="72">
      <c r="A20" s="7" t="n">
        <v>2038</v>
      </c>
      <c r="B20" s="5" t="inlineStr">
        <is>
          <t>BEL - 2038 - BELLE'S NASHVILLE KITCHEN</t>
        </is>
      </c>
      <c r="C20" s="3" t="inlineStr">
        <is>
          <t>4</t>
        </is>
      </c>
      <c r="D20" s="7" t="inlineStr">
        <is>
          <t>4D</t>
        </is>
      </c>
      <c r="E20" s="24" t="inlineStr">
        <is>
          <t>7212 E MAIN ST</t>
        </is>
      </c>
      <c r="F20" s="24" t="inlineStr">
        <is>
          <t>Scottsdale</t>
        </is>
      </c>
      <c r="G20" s="25" t="inlineStr">
        <is>
          <t>A Z</t>
        </is>
      </c>
      <c r="H20" s="26" t="n">
        <v>33.4933908</v>
      </c>
      <c r="I20" s="26" t="n">
        <v>-111.925632</v>
      </c>
      <c r="J20" s="27" t="n">
        <v>620</v>
      </c>
      <c r="K20" s="25" t="inlineStr">
        <is>
          <t>CANOLA OIL</t>
        </is>
      </c>
      <c r="N20" t="inlineStr">
        <is>
          <t>(916) 730-3071</t>
        </is>
      </c>
    </row>
    <row r="21" ht="15" customHeight="1" s="72">
      <c r="A21" s="4" t="n">
        <v>2023</v>
      </c>
      <c r="B21" s="2" t="inlineStr">
        <is>
          <t>BOO - 2023 - BOOTY GOODYEAR</t>
        </is>
      </c>
      <c r="C21" s="10" t="inlineStr">
        <is>
          <t>1</t>
        </is>
      </c>
      <c r="D21" s="4" t="inlineStr">
        <is>
          <t>1D</t>
        </is>
      </c>
      <c r="E21" s="24" t="inlineStr">
        <is>
          <t>13375 W MCDOWELL RD STE 101</t>
        </is>
      </c>
      <c r="F21" s="24" t="inlineStr">
        <is>
          <t>GOODYEAR</t>
        </is>
      </c>
      <c r="G21" s="25" t="inlineStr">
        <is>
          <t>AZ</t>
        </is>
      </c>
      <c r="H21" s="26" t="n">
        <v>33.463417</v>
      </c>
      <c r="I21" s="26" t="n">
        <v>-112.3468017</v>
      </c>
      <c r="J21" s="27" t="n">
        <v>620</v>
      </c>
      <c r="K21" s="25" t="inlineStr">
        <is>
          <t>CANOLA OIL</t>
        </is>
      </c>
      <c r="N21" t="inlineStr">
        <is>
          <t>999-999-9999</t>
        </is>
      </c>
    </row>
    <row r="22" ht="15" customHeight="1" s="72">
      <c r="A22" s="7" t="n">
        <v>2017</v>
      </c>
      <c r="B22" s="5" t="inlineStr">
        <is>
          <t>BOOW - 2017 - BOOTY'S WATSON</t>
        </is>
      </c>
      <c r="C22" s="10" t="inlineStr">
        <is>
          <t>1</t>
        </is>
      </c>
      <c r="D22" s="7" t="inlineStr">
        <is>
          <t>1D</t>
        </is>
      </c>
      <c r="E22" s="24" t="inlineStr">
        <is>
          <t>1300 S Watson Rd Ste 109</t>
        </is>
      </c>
      <c r="F22" s="24" t="inlineStr">
        <is>
          <t>Buckeye</t>
        </is>
      </c>
      <c r="G22" s="25" t="inlineStr">
        <is>
          <t>AZ</t>
        </is>
      </c>
      <c r="H22" s="26" t="n">
        <v>33.4347806</v>
      </c>
      <c r="I22" s="26" t="n">
        <v>-112.558596</v>
      </c>
      <c r="J22" s="27" t="n">
        <v>620</v>
      </c>
      <c r="K22" s="25" t="inlineStr">
        <is>
          <t>CANOLA OIL</t>
        </is>
      </c>
      <c r="N22" t="inlineStr">
        <is>
          <t>623-386-3080</t>
        </is>
      </c>
    </row>
    <row r="23" ht="15" customHeight="1" s="72">
      <c r="A23" s="39" t="n">
        <v>2013</v>
      </c>
      <c r="B23" s="40" t="inlineStr">
        <is>
          <t>BOT - 2013 - BOTTLED BLONDE</t>
        </is>
      </c>
      <c r="C23" s="3" t="inlineStr">
        <is>
          <t>4</t>
        </is>
      </c>
      <c r="D23" s="4" t="inlineStr">
        <is>
          <t>4D</t>
        </is>
      </c>
      <c r="E23" s="24" t="inlineStr">
        <is>
          <t>7340 E Indian Plz</t>
        </is>
      </c>
      <c r="F23" s="24" t="inlineStr">
        <is>
          <t>Scottsdale</t>
        </is>
      </c>
      <c r="G23" s="25" t="inlineStr">
        <is>
          <t>AZ</t>
        </is>
      </c>
      <c r="H23" s="26" t="n">
        <v>33.5016531</v>
      </c>
      <c r="I23" s="26" t="n">
        <v>-111.9227254</v>
      </c>
      <c r="J23" s="27" t="n">
        <v>500</v>
      </c>
      <c r="K23" s="25" t="inlineStr">
        <is>
          <t>CANOLA OIL</t>
        </is>
      </c>
      <c r="N23" t="inlineStr">
        <is>
          <t>480-970-1112</t>
        </is>
      </c>
    </row>
    <row r="24" ht="15" customHeight="1" s="72">
      <c r="A24" s="7" t="n">
        <v>2078</v>
      </c>
      <c r="B24" s="5" t="inlineStr">
        <is>
          <t>BRO - 2078 - BROTHER'S PIZZA INDIAN SCHOOL</t>
        </is>
      </c>
      <c r="C24" s="6" t="inlineStr">
        <is>
          <t>3</t>
        </is>
      </c>
      <c r="D24" s="7" t="inlineStr">
        <is>
          <t>3E</t>
        </is>
      </c>
      <c r="E24" s="24" t="inlineStr">
        <is>
          <t>10720 W Indian School Rd</t>
        </is>
      </c>
      <c r="F24" s="24" t="inlineStr">
        <is>
          <t>Phoenix</t>
        </is>
      </c>
      <c r="G24" s="25" t="inlineStr">
        <is>
          <t>AZ</t>
        </is>
      </c>
      <c r="H24" s="26" t="n">
        <v>33.4953182</v>
      </c>
      <c r="I24" s="26" t="n">
        <v>-112.2907004</v>
      </c>
      <c r="J24" s="27" t="n">
        <v>350</v>
      </c>
      <c r="K24" s="25" t="inlineStr">
        <is>
          <t>CANOLA OIL</t>
        </is>
      </c>
      <c r="N24" t="inlineStr">
        <is>
          <t>(602) 320-8496</t>
        </is>
      </c>
    </row>
    <row r="25" ht="15" customHeight="1" s="72">
      <c r="A25" s="4" t="n">
        <v>2073</v>
      </c>
      <c r="B25" s="2" t="inlineStr">
        <is>
          <t>BRU - 2073 - BRUNCH SNOB</t>
        </is>
      </c>
      <c r="C25" s="3" t="inlineStr">
        <is>
          <t>4</t>
        </is>
      </c>
      <c r="D25" s="4" t="inlineStr">
        <is>
          <t>4D</t>
        </is>
      </c>
      <c r="E25" s="24" t="inlineStr">
        <is>
          <t>1920 W GERMANN RD</t>
        </is>
      </c>
      <c r="F25" s="24" t="inlineStr">
        <is>
          <t>CHANDLER</t>
        </is>
      </c>
      <c r="G25" s="25" t="inlineStr">
        <is>
          <t>AZ</t>
        </is>
      </c>
      <c r="H25" s="26" t="n">
        <v>33.2769448</v>
      </c>
      <c r="I25" s="26" t="n">
        <v>-111.8747704</v>
      </c>
      <c r="J25" s="27" t="n">
        <v>350</v>
      </c>
      <c r="K25" s="25" t="inlineStr">
        <is>
          <t>FRYERS CHOICE BLEND</t>
        </is>
      </c>
      <c r="N25" t="inlineStr">
        <is>
          <t>(816) 803-1258</t>
        </is>
      </c>
    </row>
    <row r="26" ht="15" customHeight="1" s="72">
      <c r="A26" s="7" t="n">
        <v>4038</v>
      </c>
      <c r="B26" s="5" t="inlineStr">
        <is>
          <t>BUR - 4038 - BURGERS &amp; BREWS GLENDALE</t>
        </is>
      </c>
      <c r="C26" s="9" t="inlineStr">
        <is>
          <t>2</t>
        </is>
      </c>
      <c r="D26" s="7" t="inlineStr">
        <is>
          <t>2C</t>
        </is>
      </c>
      <c r="E26" s="24" t="inlineStr">
        <is>
          <t>6670 W CACTUS RD</t>
        </is>
      </c>
      <c r="F26" s="24" t="inlineStr">
        <is>
          <t>GLENDALE</t>
        </is>
      </c>
      <c r="G26" s="25" t="inlineStr">
        <is>
          <t>AZ</t>
        </is>
      </c>
      <c r="H26" s="26" t="n">
        <v>33.5974556</v>
      </c>
      <c r="I26" s="26" t="n">
        <v>-112.2020183</v>
      </c>
      <c r="J26" s="27" t="n">
        <v>1050</v>
      </c>
      <c r="K26" s="25" t="inlineStr">
        <is>
          <t>CANOLA OIL</t>
        </is>
      </c>
      <c r="N26" t="inlineStr">
        <is>
          <t>(623) 776-2266</t>
        </is>
      </c>
    </row>
    <row r="27" ht="15" customHeight="1" s="72">
      <c r="A27" s="4" t="n">
        <v>3063</v>
      </c>
      <c r="B27" s="2" t="inlineStr">
        <is>
          <t>CAR - 3063 - CARDINAL STADIUM</t>
        </is>
      </c>
      <c r="C27" s="9" t="inlineStr">
        <is>
          <t>2</t>
        </is>
      </c>
      <c r="D27" s="4" t="inlineStr">
        <is>
          <t>2D</t>
        </is>
      </c>
      <c r="E27" s="24" t="inlineStr">
        <is>
          <t>1 CARDINAL DR</t>
        </is>
      </c>
      <c r="F27" s="24" t="inlineStr">
        <is>
          <t>GLENDALE</t>
        </is>
      </c>
      <c r="G27" s="25" t="inlineStr">
        <is>
          <t>ARIZONA</t>
        </is>
      </c>
      <c r="H27" s="26" t="n">
        <v>33.5262332</v>
      </c>
      <c r="I27" s="26" t="n">
        <v>-112.2661138</v>
      </c>
      <c r="J27" s="27" t="n">
        <v>2500</v>
      </c>
      <c r="K27" s="25" t="inlineStr">
        <is>
          <t>CANOLA OIL</t>
        </is>
      </c>
    </row>
    <row r="28" ht="15" customHeight="1" s="72">
      <c r="A28" s="7" t="n">
        <v>3069</v>
      </c>
      <c r="B28" s="5" t="inlineStr">
        <is>
          <t>CAS - 3069 - CASA DE FALAFEL</t>
        </is>
      </c>
      <c r="C28" s="9" t="inlineStr">
        <is>
          <t>2</t>
        </is>
      </c>
      <c r="D28" s="7" t="inlineStr">
        <is>
          <t>2C</t>
        </is>
      </c>
      <c r="E28" s="24" t="inlineStr">
        <is>
          <t>4920 W Thunderbird Rd</t>
        </is>
      </c>
      <c r="F28" s="24" t="inlineStr">
        <is>
          <t>Glendale</t>
        </is>
      </c>
      <c r="G28" s="25" t="inlineStr">
        <is>
          <t>AZ</t>
        </is>
      </c>
      <c r="H28" s="26" t="n">
        <v>33.6116326</v>
      </c>
      <c r="I28" s="26" t="n">
        <v>-112.1654111</v>
      </c>
      <c r="J28" s="27" t="n">
        <v>1000</v>
      </c>
      <c r="K28" s="25" t="inlineStr">
        <is>
          <t>CANOLA OIL</t>
        </is>
      </c>
      <c r="N28" t="inlineStr">
        <is>
          <t>(480) 689-0514</t>
        </is>
      </c>
    </row>
    <row r="29" ht="15" customHeight="1" s="72">
      <c r="A29" s="7" t="n">
        <v>3021</v>
      </c>
      <c r="B29" s="5" t="inlineStr">
        <is>
          <t>CRA - 3021 - JC FOOD TRADING/GLEN</t>
        </is>
      </c>
      <c r="C29" s="9" t="inlineStr">
        <is>
          <t>2</t>
        </is>
      </c>
      <c r="D29" s="7" t="inlineStr">
        <is>
          <t>2C</t>
        </is>
      </c>
      <c r="E29" s="24" t="inlineStr">
        <is>
          <t>CRAZY MIKES CHICKEN</t>
        </is>
      </c>
      <c r="F29" s="24" t="inlineStr">
        <is>
          <t>Glendale</t>
        </is>
      </c>
      <c r="G29" s="25" t="inlineStr">
        <is>
          <t>AZ</t>
        </is>
      </c>
      <c r="H29" s="26" t="n">
        <v>33.6397868</v>
      </c>
      <c r="I29" s="26" t="n">
        <v>-112.1738598</v>
      </c>
      <c r="J29" s="27" t="n">
        <v>450</v>
      </c>
      <c r="K29" s="25" t="inlineStr">
        <is>
          <t>CANOLA OIL</t>
        </is>
      </c>
      <c r="N29" t="inlineStr">
        <is>
          <t>623-463-6881</t>
        </is>
      </c>
    </row>
    <row r="30" ht="15" customHeight="1" s="72">
      <c r="A30" s="4" t="n">
        <v>3046</v>
      </c>
      <c r="B30" s="2" t="inlineStr">
        <is>
          <t>CRA - 3046 - JC FOOD TRADING /GOODYEAR</t>
        </is>
      </c>
      <c r="C30" s="9" t="inlineStr">
        <is>
          <t>2</t>
        </is>
      </c>
      <c r="D30" s="4" t="inlineStr">
        <is>
          <t>2C</t>
        </is>
      </c>
      <c r="E30" s="24" t="inlineStr">
        <is>
          <t>CRAZY MIKE'S GOODYEAR</t>
        </is>
      </c>
      <c r="F30" s="24" t="inlineStr">
        <is>
          <t>Goodyear</t>
        </is>
      </c>
      <c r="G30" s="25" t="inlineStr">
        <is>
          <t>AZ</t>
        </is>
      </c>
      <c r="H30" s="26" t="n">
        <v>33.4839957</v>
      </c>
      <c r="I30" s="26" t="n">
        <v>-112.3651191</v>
      </c>
      <c r="J30" s="27" t="n">
        <v>1000</v>
      </c>
      <c r="K30" s="25" t="inlineStr">
        <is>
          <t>CANOLA OIL</t>
        </is>
      </c>
      <c r="N30" t="inlineStr">
        <is>
          <t>213-700-4092</t>
        </is>
      </c>
    </row>
    <row r="31" ht="15" customHeight="1" s="72">
      <c r="A31" s="7" t="n">
        <v>3065</v>
      </c>
      <c r="B31" s="5" t="inlineStr">
        <is>
          <t>CRA - 3065 - CRAFTED CUISINE</t>
        </is>
      </c>
      <c r="C31" s="3" t="inlineStr">
        <is>
          <t>4</t>
        </is>
      </c>
      <c r="D31" s="7" t="inlineStr">
        <is>
          <t>4D</t>
        </is>
      </c>
      <c r="E31" s="24" t="inlineStr">
        <is>
          <t>6736 E Avalon Dr</t>
        </is>
      </c>
      <c r="F31" s="24" t="inlineStr">
        <is>
          <t>Scottsdale</t>
        </is>
      </c>
      <c r="G31" s="25" t="inlineStr">
        <is>
          <t>AZ</t>
        </is>
      </c>
      <c r="H31" s="26" t="n">
        <v>33.4830758</v>
      </c>
      <c r="I31" s="26" t="n">
        <v>-111.9358104</v>
      </c>
      <c r="J31" s="27" t="n">
        <v>350</v>
      </c>
      <c r="K31" s="25" t="inlineStr">
        <is>
          <t>CANOLA OIL</t>
        </is>
      </c>
      <c r="N31" t="inlineStr">
        <is>
          <t>(210) 529-1900</t>
        </is>
      </c>
    </row>
    <row r="32" ht="15" customHeight="1" s="72">
      <c r="A32" s="4" t="n">
        <v>3064</v>
      </c>
      <c r="B32" s="2" t="inlineStr">
        <is>
          <t>CRO - 3064 - CROWNE PLAZA RESORT</t>
        </is>
      </c>
      <c r="C32" s="3" t="inlineStr">
        <is>
          <t>4</t>
        </is>
      </c>
      <c r="D32" s="4" t="inlineStr">
        <is>
          <t>4F</t>
        </is>
      </c>
      <c r="E32" s="24" t="inlineStr">
        <is>
          <t>One N San Marcos Pl</t>
        </is>
      </c>
      <c r="F32" s="24" t="inlineStr">
        <is>
          <t>Chandler</t>
        </is>
      </c>
      <c r="G32" s="25" t="inlineStr">
        <is>
          <t>Arizona</t>
        </is>
      </c>
      <c r="H32" s="26" t="n">
        <v>33.3206372</v>
      </c>
      <c r="I32" s="26" t="n">
        <v>-111.8437719</v>
      </c>
      <c r="J32" s="27" t="n">
        <v>700</v>
      </c>
      <c r="K32" s="25" t="inlineStr">
        <is>
          <t>CANOLA OIL</t>
        </is>
      </c>
      <c r="N32" t="inlineStr">
        <is>
          <t>(480) 812-0900</t>
        </is>
      </c>
    </row>
    <row r="33" ht="15" customHeight="1" s="72">
      <c r="A33" s="7" t="inlineStr">
        <is>
          <t>4015A</t>
        </is>
      </c>
      <c r="B33" s="5" t="inlineStr">
        <is>
          <t>DAI - 4015A - DAIRY QUEEN BELL</t>
        </is>
      </c>
      <c r="C33" s="6" t="inlineStr">
        <is>
          <t>3</t>
        </is>
      </c>
      <c r="D33" s="7" t="inlineStr">
        <is>
          <t>3C</t>
        </is>
      </c>
      <c r="E33" s="24" t="inlineStr">
        <is>
          <t>3550 E BELL ROAD</t>
        </is>
      </c>
      <c r="F33" s="24" t="inlineStr">
        <is>
          <t>PHOENIX</t>
        </is>
      </c>
      <c r="G33" s="25" t="inlineStr">
        <is>
          <t>AZ</t>
        </is>
      </c>
      <c r="H33" s="26" t="n">
        <v>33.6410013</v>
      </c>
      <c r="I33" s="26" t="n">
        <v>-112.0051915</v>
      </c>
      <c r="J33" s="27" t="n">
        <v>500</v>
      </c>
      <c r="K33" s="25" t="inlineStr">
        <is>
          <t>CANOLA OIL</t>
        </is>
      </c>
      <c r="N33" t="inlineStr">
        <is>
          <t>602-788-0261 (JACIE M</t>
        </is>
      </c>
    </row>
    <row r="34" ht="15" customHeight="1" s="72">
      <c r="A34" s="4" t="n">
        <v>4026</v>
      </c>
      <c r="B34" s="2" t="inlineStr">
        <is>
          <t>DAR - 4026 - DARUMA BY RIE</t>
        </is>
      </c>
      <c r="C34" s="3" t="inlineStr">
        <is>
          <t>4</t>
        </is>
      </c>
      <c r="D34" s="4" t="inlineStr">
        <is>
          <t>4E</t>
        </is>
      </c>
      <c r="E34" s="24" t="inlineStr">
        <is>
          <t>1116 E DOBSON RD</t>
        </is>
      </c>
      <c r="F34" s="24" t="inlineStr">
        <is>
          <t>MESA</t>
        </is>
      </c>
      <c r="G34" s="25" t="inlineStr">
        <is>
          <t>AZ</t>
        </is>
      </c>
      <c r="H34" s="26" t="n">
        <v>33.3947597</v>
      </c>
      <c r="I34" s="26" t="n">
        <v>-111.8753592</v>
      </c>
      <c r="J34" s="27" t="n">
        <v>350</v>
      </c>
      <c r="K34" s="25" t="inlineStr">
        <is>
          <t>CANOLA OIL</t>
        </is>
      </c>
      <c r="N34" t="inlineStr">
        <is>
          <t>(480) 590-7979</t>
        </is>
      </c>
    </row>
    <row r="35" ht="15" customHeight="1" s="72">
      <c r="A35" s="7" t="n">
        <v>4037</v>
      </c>
      <c r="B35" s="5" t="inlineStr">
        <is>
          <t>DAR - 4037 - DARUMA RAMEN AND BOWL</t>
        </is>
      </c>
      <c r="C35" s="3" t="inlineStr">
        <is>
          <t>4</t>
        </is>
      </c>
      <c r="D35" s="7" t="inlineStr">
        <is>
          <t>4E</t>
        </is>
      </c>
      <c r="E35" s="24" t="inlineStr">
        <is>
          <t>2650 E UNIVERSITY DR</t>
        </is>
      </c>
      <c r="F35" s="24" t="inlineStr">
        <is>
          <t>MESA</t>
        </is>
      </c>
      <c r="G35" s="25" t="inlineStr">
        <is>
          <t>AZ</t>
        </is>
      </c>
      <c r="H35" s="26" t="n">
        <v>33.4234572</v>
      </c>
      <c r="I35" s="26" t="n">
        <v>-111.7735998</v>
      </c>
      <c r="J35" s="27" t="n">
        <v>350</v>
      </c>
      <c r="K35" s="25" t="inlineStr">
        <is>
          <t>CANOLA OIL</t>
        </is>
      </c>
      <c r="N35" t="inlineStr">
        <is>
          <t>(562) 760-8262</t>
        </is>
      </c>
    </row>
    <row r="36" ht="15" customHeight="1" s="72">
      <c r="A36" s="4" t="n">
        <v>4009</v>
      </c>
      <c r="B36" s="2" t="inlineStr">
        <is>
          <t>DIL - 4009 - DILLONS BBQ</t>
        </is>
      </c>
      <c r="C36" s="10" t="inlineStr">
        <is>
          <t>1</t>
        </is>
      </c>
      <c r="D36" s="4" t="inlineStr">
        <is>
          <t>1D</t>
        </is>
      </c>
      <c r="E36" s="24" t="inlineStr">
        <is>
          <t>16335 W Northern Ave</t>
        </is>
      </c>
      <c r="F36" s="24" t="inlineStr">
        <is>
          <t>Litchfield Pk</t>
        </is>
      </c>
      <c r="G36" s="25" t="inlineStr">
        <is>
          <t>AZ</t>
        </is>
      </c>
      <c r="H36" s="26" t="n">
        <v>33.5499854</v>
      </c>
      <c r="I36" s="26" t="n">
        <v>-112.4107069</v>
      </c>
      <c r="J36" s="27" t="n">
        <v>1050</v>
      </c>
      <c r="K36" s="25" t="inlineStr">
        <is>
          <t>FRYERS CHOICE BLEND</t>
        </is>
      </c>
      <c r="N36" t="inlineStr">
        <is>
          <t>623-535-4249</t>
        </is>
      </c>
    </row>
    <row r="37" ht="15" customHeight="1" s="72">
      <c r="A37" s="7" t="inlineStr">
        <is>
          <t>C173</t>
        </is>
      </c>
      <c r="B37" s="5" t="inlineStr">
        <is>
          <t>PIN - 16058 - PINYON RESTAURANT</t>
        </is>
      </c>
      <c r="C37" s="10" t="inlineStr">
        <is>
          <t>4</t>
        </is>
      </c>
      <c r="D37" s="7" t="inlineStr">
        <is>
          <t>4D</t>
        </is>
      </c>
      <c r="E37" s="24" t="inlineStr">
        <is>
          <t>7363 E Scottsdale Mall</t>
        </is>
      </c>
      <c r="F37" s="24" t="inlineStr">
        <is>
          <t>Scottsdale</t>
        </is>
      </c>
      <c r="G37" s="25" t="inlineStr">
        <is>
          <t>AZ</t>
        </is>
      </c>
      <c r="H37" s="26" t="n">
        <v>33.4925</v>
      </c>
      <c r="I37" s="26" t="n">
        <v>-111.923012</v>
      </c>
      <c r="J37" s="27" t="n">
        <v>950</v>
      </c>
      <c r="K37" s="25" t="inlineStr">
        <is>
          <t>FRYERS CHOICE</t>
        </is>
      </c>
    </row>
    <row r="38" ht="15" customHeight="1" s="72">
      <c r="A38" s="4" t="n">
        <v>4014</v>
      </c>
      <c r="B38" s="2" t="inlineStr">
        <is>
          <t>DIL- 4014 - DILLONS BAYOU</t>
        </is>
      </c>
      <c r="C38" s="9" t="inlineStr">
        <is>
          <t>2</t>
        </is>
      </c>
      <c r="D38" s="4" t="inlineStr">
        <is>
          <t>2A</t>
        </is>
      </c>
      <c r="E38" s="24" t="inlineStr">
        <is>
          <t>40202 N 87Th Ave</t>
        </is>
      </c>
      <c r="F38" s="24" t="inlineStr">
        <is>
          <t>Peoria</t>
        </is>
      </c>
      <c r="G38" s="25" t="inlineStr">
        <is>
          <t>AZ</t>
        </is>
      </c>
      <c r="H38" s="26" t="n">
        <v>33.852793</v>
      </c>
      <c r="I38" s="26" t="n">
        <v>-112.246978</v>
      </c>
      <c r="J38" s="27" t="n">
        <v>450</v>
      </c>
      <c r="K38" s="25" t="inlineStr">
        <is>
          <t>FRYERS CHOICE BLEND</t>
        </is>
      </c>
      <c r="N38" t="inlineStr">
        <is>
          <t>623-498-5427</t>
        </is>
      </c>
    </row>
    <row r="39" ht="15" customHeight="1" s="72">
      <c r="A39" s="7" t="n">
        <v>4010</v>
      </c>
      <c r="B39" s="5" t="inlineStr">
        <is>
          <t>DIL59 - 4010 - DILLONS 59TH AVE</t>
        </is>
      </c>
      <c r="C39" s="9" t="inlineStr">
        <is>
          <t>2</t>
        </is>
      </c>
      <c r="D39" s="7" t="inlineStr">
        <is>
          <t>2A</t>
        </is>
      </c>
      <c r="E39" s="24" t="inlineStr">
        <is>
          <t>20585 N 59Th Ave</t>
        </is>
      </c>
      <c r="F39" s="24" t="inlineStr">
        <is>
          <t>Glendale</t>
        </is>
      </c>
      <c r="G39" s="25" t="inlineStr">
        <is>
          <t>AZ</t>
        </is>
      </c>
      <c r="H39" s="26" t="n">
        <v>33.67218</v>
      </c>
      <c r="I39" s="26" t="n">
        <v>-112.1863112</v>
      </c>
      <c r="J39" s="27" t="n">
        <v>500</v>
      </c>
      <c r="K39" s="25" t="inlineStr">
        <is>
          <t>FRYERS CHOICE BLEND</t>
        </is>
      </c>
      <c r="N39" t="inlineStr">
        <is>
          <t>623-979-5353</t>
        </is>
      </c>
    </row>
    <row r="40" ht="15" customHeight="1" s="72">
      <c r="A40" s="4" t="n">
        <v>4027</v>
      </c>
      <c r="B40" s="2" t="inlineStr">
        <is>
          <t>DIR - 4027 - DIRTWATER</t>
        </is>
      </c>
      <c r="C40" s="8" t="inlineStr">
        <is>
          <t>5</t>
        </is>
      </c>
      <c r="D40" s="4" t="inlineStr">
        <is>
          <t>5E</t>
        </is>
      </c>
      <c r="E40" s="24" t="inlineStr">
        <is>
          <t>586 W APACHE</t>
        </is>
      </c>
      <c r="F40" s="24" t="inlineStr">
        <is>
          <t>APACHE JUNCTION</t>
        </is>
      </c>
      <c r="G40" s="25" t="inlineStr">
        <is>
          <t>AZ</t>
        </is>
      </c>
      <c r="H40" s="26" t="n">
        <v>33.4154921</v>
      </c>
      <c r="I40" s="26" t="n">
        <v>-111.5523658</v>
      </c>
      <c r="J40" s="27" t="n">
        <v>900</v>
      </c>
      <c r="K40" s="25" t="inlineStr">
        <is>
          <t>FRYERS CHOICE BLEND</t>
        </is>
      </c>
      <c r="N40" t="inlineStr">
        <is>
          <t>480-983-3478</t>
        </is>
      </c>
    </row>
    <row r="41" ht="15" customHeight="1" s="72">
      <c r="A41" s="7" t="n">
        <v>4029</v>
      </c>
      <c r="B41" s="5" t="inlineStr">
        <is>
          <t>DUR - 4029 - DURVILL FOODS</t>
        </is>
      </c>
      <c r="C41" s="3" t="inlineStr">
        <is>
          <t>4</t>
        </is>
      </c>
      <c r="D41" s="7" t="inlineStr">
        <is>
          <t>4E</t>
        </is>
      </c>
      <c r="E41" s="24" t="inlineStr">
        <is>
          <t>DURVILL FOODS</t>
        </is>
      </c>
      <c r="F41" s="24" t="inlineStr">
        <is>
          <t>Phoenix</t>
        </is>
      </c>
      <c r="G41" s="25" t="inlineStr">
        <is>
          <t>AZ</t>
        </is>
      </c>
      <c r="H41" s="26" t="n">
        <v>33.4066366</v>
      </c>
      <c r="I41" s="26" t="n">
        <v>-112.0110289</v>
      </c>
      <c r="J41" s="27" t="n">
        <v>2500</v>
      </c>
      <c r="K41" s="25" t="inlineStr">
        <is>
          <t>CANOLA OIL</t>
        </is>
      </c>
    </row>
    <row r="42" ht="15" customHeight="1" s="72">
      <c r="A42" s="4" t="n">
        <v>5006</v>
      </c>
      <c r="B42" s="2" t="inlineStr">
        <is>
          <t>ECH - 5006 - ECHO 5 SPORTS BAR</t>
        </is>
      </c>
      <c r="C42" s="8" t="inlineStr">
        <is>
          <t>5</t>
        </is>
      </c>
      <c r="D42" s="4" t="inlineStr">
        <is>
          <t>5D</t>
        </is>
      </c>
      <c r="E42" s="24" t="inlineStr">
        <is>
          <t>ECHO 5 SPORTS BAR</t>
        </is>
      </c>
      <c r="F42" s="24" t="inlineStr">
        <is>
          <t>Mesa</t>
        </is>
      </c>
      <c r="G42" s="25" t="inlineStr">
        <is>
          <t>AZ</t>
        </is>
      </c>
      <c r="H42" s="26" t="n">
        <v>33.468258</v>
      </c>
      <c r="I42" s="26" t="n">
        <v>-111.6829244</v>
      </c>
      <c r="J42" s="27" t="n">
        <v>450</v>
      </c>
      <c r="K42" s="25" t="inlineStr">
        <is>
          <t>FRYERS CHOICE BLEND</t>
        </is>
      </c>
      <c r="N42" t="inlineStr">
        <is>
          <t>602-391-7707</t>
        </is>
      </c>
    </row>
    <row r="43" ht="15" customHeight="1" s="72">
      <c r="A43" s="7" t="n">
        <v>5004</v>
      </c>
      <c r="B43" s="5" t="inlineStr">
        <is>
          <t>ELT - 5004 - EL TACO TOTE</t>
        </is>
      </c>
      <c r="C43" s="6" t="inlineStr">
        <is>
          <t>3</t>
        </is>
      </c>
      <c r="D43" s="7" t="inlineStr">
        <is>
          <t>3D</t>
        </is>
      </c>
      <c r="E43" s="24" t="inlineStr">
        <is>
          <t>3464 W Camelback Rd</t>
        </is>
      </c>
      <c r="F43" s="24" t="inlineStr">
        <is>
          <t>Phoenix</t>
        </is>
      </c>
      <c r="G43" s="25" t="inlineStr">
        <is>
          <t>AZ</t>
        </is>
      </c>
      <c r="H43" s="26" t="n">
        <v>33.5097147</v>
      </c>
      <c r="I43" s="26" t="n">
        <v>-112.1338391</v>
      </c>
      <c r="J43" s="27" t="n">
        <v>500</v>
      </c>
      <c r="K43" s="25" t="inlineStr">
        <is>
          <t>CANOLA OIL</t>
        </is>
      </c>
      <c r="N43" t="inlineStr">
        <is>
          <t>602-866-8683</t>
        </is>
      </c>
    </row>
    <row r="44" ht="15" customHeight="1" s="72">
      <c r="A44" s="4" t="n">
        <v>5018</v>
      </c>
      <c r="B44" s="2" t="inlineStr">
        <is>
          <t>ENR - 5018 - ENROUTE COFFEE AND TEA</t>
        </is>
      </c>
      <c r="C44" s="10" t="inlineStr">
        <is>
          <t>1</t>
        </is>
      </c>
      <c r="D44" s="4" t="inlineStr">
        <is>
          <t>1D</t>
        </is>
      </c>
      <c r="E44" s="24" t="inlineStr">
        <is>
          <t>15605 W ROOSEVELT ST</t>
        </is>
      </c>
      <c r="F44" s="24" t="inlineStr">
        <is>
          <t>GOODYEAR</t>
        </is>
      </c>
      <c r="G44" s="25" t="inlineStr">
        <is>
          <t>AZ</t>
        </is>
      </c>
      <c r="H44" s="26" t="n">
        <v>33.4564151</v>
      </c>
      <c r="I44" s="26" t="n">
        <v>-112.3944877</v>
      </c>
      <c r="J44" s="27" t="n">
        <v>350</v>
      </c>
      <c r="K44" s="25" t="inlineStr">
        <is>
          <t>CANOLA OIL</t>
        </is>
      </c>
      <c r="N44" t="inlineStr">
        <is>
          <t>(253) 359-7081</t>
        </is>
      </c>
    </row>
    <row r="45" ht="15" customHeight="1" s="72">
      <c r="A45" s="7" t="n">
        <v>6101</v>
      </c>
      <c r="B45" s="5" t="inlineStr">
        <is>
          <t>FAT - 6101 - FATE BREWERY</t>
        </is>
      </c>
      <c r="C45" s="3" t="inlineStr">
        <is>
          <t>4</t>
        </is>
      </c>
      <c r="D45" s="7" t="inlineStr">
        <is>
          <t>4D</t>
        </is>
      </c>
      <c r="E45" s="24" t="inlineStr">
        <is>
          <t>1312 N SCOTTSDALE RD</t>
        </is>
      </c>
      <c r="F45" s="24" t="inlineStr">
        <is>
          <t>SCOTTSDALE</t>
        </is>
      </c>
      <c r="G45" s="25" t="inlineStr">
        <is>
          <t>AZ</t>
        </is>
      </c>
      <c r="H45" s="26" t="n">
        <v>33.4627014</v>
      </c>
      <c r="I45" s="26" t="n">
        <v>-111.926838</v>
      </c>
      <c r="J45" s="27" t="n">
        <v>700</v>
      </c>
      <c r="K45" s="25" t="inlineStr">
        <is>
          <t>CANOLA OIL</t>
        </is>
      </c>
      <c r="N45" t="inlineStr">
        <is>
          <t>480-656-9100</t>
        </is>
      </c>
    </row>
    <row r="46" ht="15" customHeight="1" s="72">
      <c r="A46" s="4" t="n">
        <v>6109</v>
      </c>
      <c r="B46" s="2" t="inlineStr">
        <is>
          <t>FAT - 6109 - FATE BREWING TEMPE</t>
        </is>
      </c>
      <c r="C46" s="3" t="inlineStr">
        <is>
          <t>4</t>
        </is>
      </c>
      <c r="D46" s="4" t="inlineStr">
        <is>
          <t>4E</t>
        </is>
      </c>
      <c r="E46" s="24" t="inlineStr">
        <is>
          <t>201 E SOUTHERN AVE</t>
        </is>
      </c>
      <c r="F46" s="24" t="inlineStr">
        <is>
          <t>TEMPE</t>
        </is>
      </c>
      <c r="G46" s="25" t="inlineStr">
        <is>
          <t>AZ</t>
        </is>
      </c>
      <c r="H46" s="26" t="n">
        <v>33.3923823</v>
      </c>
      <c r="I46" s="26" t="n">
        <v>-111.9364861</v>
      </c>
      <c r="J46" s="27" t="n">
        <v>700</v>
      </c>
      <c r="K46" s="25" t="inlineStr">
        <is>
          <t>CANOLA OIL</t>
        </is>
      </c>
    </row>
    <row r="47" ht="15" customHeight="1" s="72">
      <c r="A47" s="7" t="n">
        <v>6077</v>
      </c>
      <c r="B47" s="5" t="inlineStr">
        <is>
          <t>FOU - 6077 - FOUR PEAKS BREWING</t>
        </is>
      </c>
      <c r="C47" s="3" t="inlineStr">
        <is>
          <t>4</t>
        </is>
      </c>
      <c r="D47" s="7" t="inlineStr">
        <is>
          <t>4E</t>
        </is>
      </c>
      <c r="E47" s="24" t="inlineStr">
        <is>
          <t>1340 E 8Th St</t>
        </is>
      </c>
      <c r="F47" s="24" t="inlineStr">
        <is>
          <t>Tempe</t>
        </is>
      </c>
      <c r="G47" s="25" t="inlineStr">
        <is>
          <t>AZ</t>
        </is>
      </c>
      <c r="H47" s="26" t="n">
        <v>33.4196799</v>
      </c>
      <c r="I47" s="26" t="n">
        <v>-111.915919</v>
      </c>
      <c r="J47" s="27" t="n">
        <v>2500</v>
      </c>
      <c r="K47" s="25" t="inlineStr">
        <is>
          <t>FRYERS CHOICE BLEND</t>
        </is>
      </c>
      <c r="N47" t="inlineStr">
        <is>
          <t>480-303-9967</t>
        </is>
      </c>
    </row>
    <row r="48" ht="15" customHeight="1" s="72">
      <c r="A48" s="4" t="n">
        <v>12047</v>
      </c>
      <c r="B48" s="2" t="inlineStr">
        <is>
          <t>FUN - 12047 - FUNKY FRIDAS</t>
        </is>
      </c>
      <c r="C48" s="6" t="inlineStr">
        <is>
          <t>3</t>
        </is>
      </c>
      <c r="D48" s="4" t="inlineStr">
        <is>
          <t>3C</t>
        </is>
      </c>
      <c r="E48" s="24" t="inlineStr">
        <is>
          <t>4910 E Indian School Rd</t>
        </is>
      </c>
      <c r="F48" s="24" t="inlineStr">
        <is>
          <t>Phoenix</t>
        </is>
      </c>
      <c r="G48" s="25" t="inlineStr">
        <is>
          <t>AZ</t>
        </is>
      </c>
      <c r="H48" s="26" t="n">
        <v>33.494903</v>
      </c>
      <c r="I48" s="26" t="n">
        <v>-111.9754061</v>
      </c>
      <c r="J48" s="27" t="n">
        <v>630</v>
      </c>
      <c r="K48" s="25" t="inlineStr">
        <is>
          <t>CANOLA OIL</t>
        </is>
      </c>
      <c r="N48" t="inlineStr">
        <is>
          <t>(602) 955-0358</t>
        </is>
      </c>
    </row>
    <row r="49" ht="15" customHeight="1" s="72">
      <c r="A49" s="7" t="n">
        <v>7001</v>
      </c>
      <c r="B49" s="5" t="inlineStr">
        <is>
          <t>GAR - 7001 - GARCIAS MEXICAN RESTAURANT</t>
        </is>
      </c>
      <c r="C49" s="6" t="inlineStr">
        <is>
          <t>3</t>
        </is>
      </c>
      <c r="D49" s="7" t="inlineStr">
        <is>
          <t>3D</t>
        </is>
      </c>
      <c r="E49" s="24" t="inlineStr">
        <is>
          <t>2212 N 35Th Ave</t>
        </is>
      </c>
      <c r="F49" s="24" t="inlineStr">
        <is>
          <t>Phoenix</t>
        </is>
      </c>
      <c r="G49" s="25" t="inlineStr">
        <is>
          <t>AZ</t>
        </is>
      </c>
      <c r="H49" s="26" t="n">
        <v>33.471653</v>
      </c>
      <c r="I49" s="26" t="n">
        <v>-112.1348179</v>
      </c>
      <c r="J49" s="27" t="n">
        <v>1850</v>
      </c>
      <c r="K49" s="25" t="inlineStr">
        <is>
          <t>CANOLA OIL</t>
        </is>
      </c>
      <c r="N49" t="inlineStr">
        <is>
          <t>602-272-5584</t>
        </is>
      </c>
    </row>
    <row r="50" ht="15" customHeight="1" s="72">
      <c r="A50" s="4" t="n">
        <v>7002</v>
      </c>
      <c r="B50" s="2" t="inlineStr">
        <is>
          <t>GIL - 7002 - GILBERT PIZZA</t>
        </is>
      </c>
      <c r="C50" s="8" t="inlineStr">
        <is>
          <t>5</t>
        </is>
      </c>
      <c r="D50" s="4" t="inlineStr">
        <is>
          <t>5F</t>
        </is>
      </c>
      <c r="E50" s="24" t="inlineStr">
        <is>
          <t>GILBERT PIZZA</t>
        </is>
      </c>
      <c r="F50" s="24" t="inlineStr">
        <is>
          <t>Gilbert</t>
        </is>
      </c>
      <c r="G50" s="25" t="inlineStr">
        <is>
          <t>AZ</t>
        </is>
      </c>
      <c r="H50" s="26" t="n">
        <v>33.3289767</v>
      </c>
      <c r="I50" s="26" t="n">
        <v>-111.7905114</v>
      </c>
      <c r="J50" s="27" t="n">
        <v>480</v>
      </c>
      <c r="K50" s="25" t="inlineStr">
        <is>
          <t>FRYERS CHOICE BLEND</t>
        </is>
      </c>
      <c r="N50" t="inlineStr">
        <is>
          <t>999-999-9999</t>
        </is>
      </c>
    </row>
    <row r="51" ht="15" customHeight="1" s="72">
      <c r="A51" s="7" t="n">
        <v>7053</v>
      </c>
      <c r="B51" s="5" t="inlineStr">
        <is>
          <t>GLE - 7053 - GLENROSA</t>
        </is>
      </c>
      <c r="C51" s="3" t="inlineStr">
        <is>
          <t>4</t>
        </is>
      </c>
      <c r="D51" s="7" t="inlineStr">
        <is>
          <t>4E</t>
        </is>
      </c>
      <c r="E51" s="24" t="inlineStr">
        <is>
          <t>1415 N Mill Ave</t>
        </is>
      </c>
      <c r="F51" s="24" t="inlineStr">
        <is>
          <t>Tempe</t>
        </is>
      </c>
      <c r="G51" s="25" t="inlineStr">
        <is>
          <t>AZ</t>
        </is>
      </c>
      <c r="H51" s="26" t="n">
        <v>33.4448659</v>
      </c>
      <c r="I51" s="26" t="n">
        <v>-111.9479603</v>
      </c>
      <c r="J51" s="27" t="n">
        <v>350</v>
      </c>
      <c r="K51" s="25" t="inlineStr">
        <is>
          <t>CANOLA OIL</t>
        </is>
      </c>
      <c r="N51" t="inlineStr">
        <is>
          <t>(480) 530-9880</t>
        </is>
      </c>
    </row>
    <row r="52" ht="15" customHeight="1" s="72">
      <c r="A52" s="4" t="n">
        <v>7052</v>
      </c>
      <c r="B52" s="2" t="inlineStr">
        <is>
          <t>GOL - 7052 - GOLD CANYON RESORT &amp; SPA</t>
        </is>
      </c>
      <c r="C52" s="3" t="inlineStr">
        <is>
          <t>5</t>
        </is>
      </c>
      <c r="D52" s="4" t="inlineStr">
        <is>
          <t>5E</t>
        </is>
      </c>
      <c r="E52" s="24" t="inlineStr">
        <is>
          <t>6100 S Kings Ranch Road</t>
        </is>
      </c>
      <c r="F52" s="24" t="inlineStr">
        <is>
          <t>Gold Canyon</t>
        </is>
      </c>
      <c r="G52" s="25" t="inlineStr">
        <is>
          <t>AZ</t>
        </is>
      </c>
      <c r="H52" s="26" t="n">
        <v>33.3619519</v>
      </c>
      <c r="I52" s="26" t="n">
        <v>-111.4451022</v>
      </c>
      <c r="J52" s="27" t="n">
        <v>350</v>
      </c>
      <c r="K52" s="25" t="inlineStr">
        <is>
          <t>CANOLA OIL</t>
        </is>
      </c>
      <c r="N52" t="inlineStr">
        <is>
          <t>(480) 671-5533</t>
        </is>
      </c>
    </row>
    <row r="53" ht="15" customHeight="1" s="72">
      <c r="A53" s="7" t="n">
        <v>8031</v>
      </c>
      <c r="B53" s="5" t="inlineStr">
        <is>
          <t>HAR - 8031 - HAROLDS</t>
        </is>
      </c>
      <c r="C53" s="3" t="inlineStr">
        <is>
          <t>4</t>
        </is>
      </c>
      <c r="D53" s="7" t="inlineStr">
        <is>
          <t>4A</t>
        </is>
      </c>
      <c r="E53" s="24" t="inlineStr">
        <is>
          <t>6895 E Cave Creek Rd</t>
        </is>
      </c>
      <c r="F53" s="24" t="inlineStr">
        <is>
          <t>Cave Creek</t>
        </is>
      </c>
      <c r="G53" s="25" t="inlineStr">
        <is>
          <t>AZ</t>
        </is>
      </c>
      <c r="H53" s="26" t="n">
        <v>33.8301513</v>
      </c>
      <c r="I53" s="26" t="n">
        <v>-111.9329416</v>
      </c>
      <c r="J53" s="27" t="n">
        <v>1050</v>
      </c>
      <c r="K53" s="25" t="inlineStr">
        <is>
          <t>FRYERS CHOICE BLEND</t>
        </is>
      </c>
    </row>
    <row r="54" ht="15" customHeight="1" s="72">
      <c r="A54" s="4" t="n">
        <v>8034</v>
      </c>
      <c r="B54" s="2" t="inlineStr">
        <is>
          <t>HOR - 8034 - HORNY TOAD</t>
        </is>
      </c>
      <c r="C54" s="3" t="inlineStr">
        <is>
          <t>4</t>
        </is>
      </c>
      <c r="D54" s="4" t="inlineStr">
        <is>
          <t>4A</t>
        </is>
      </c>
      <c r="E54" s="24" t="inlineStr">
        <is>
          <t>6738 E Cave Creek Rd</t>
        </is>
      </c>
      <c r="F54" s="24" t="inlineStr">
        <is>
          <t>Cave Creek</t>
        </is>
      </c>
      <c r="G54" s="25" t="inlineStr">
        <is>
          <t>AZ</t>
        </is>
      </c>
      <c r="H54" s="26" t="n">
        <v>33.8332965</v>
      </c>
      <c r="I54" s="26" t="n">
        <v>-111.9352951</v>
      </c>
      <c r="J54" s="27" t="n">
        <v>900</v>
      </c>
      <c r="K54" s="25" t="inlineStr">
        <is>
          <t>FRYERS CHOICE BLEND</t>
        </is>
      </c>
      <c r="N54" t="inlineStr">
        <is>
          <t>(480) 488-9542</t>
        </is>
      </c>
    </row>
    <row r="55" ht="15" customHeight="1" s="72">
      <c r="A55" s="7" t="n">
        <v>8005</v>
      </c>
      <c r="B55" s="5" t="inlineStr">
        <is>
          <t>HUN - 8005 - HUNGRY MONK</t>
        </is>
      </c>
      <c r="C55" s="3" t="inlineStr">
        <is>
          <t>4</t>
        </is>
      </c>
      <c r="D55" s="7" t="inlineStr">
        <is>
          <t>4F</t>
        </is>
      </c>
      <c r="E55" s="24" t="inlineStr">
        <is>
          <t>1760 W Chandler Blvd</t>
        </is>
      </c>
      <c r="F55" s="24" t="inlineStr">
        <is>
          <t>Chandler</t>
        </is>
      </c>
      <c r="G55" s="25" t="inlineStr">
        <is>
          <t>AZ</t>
        </is>
      </c>
      <c r="H55" s="26" t="n">
        <v>33.3066421</v>
      </c>
      <c r="I55" s="26" t="n">
        <v>-111.8728202</v>
      </c>
      <c r="J55" s="27" t="n">
        <v>950</v>
      </c>
      <c r="K55" s="25" t="inlineStr">
        <is>
          <t>CANOLA OIL</t>
        </is>
      </c>
      <c r="N55" t="inlineStr">
        <is>
          <t>480-963-8000 - Jimmy</t>
        </is>
      </c>
    </row>
    <row r="56" ht="15" customHeight="1" s="72">
      <c r="A56" s="4" t="n">
        <v>10001</v>
      </c>
      <c r="B56" s="2" t="inlineStr">
        <is>
          <t>JALS - 10001 - JALAPENOS INFERNO SCOTTS</t>
        </is>
      </c>
      <c r="C56" s="3" t="inlineStr">
        <is>
          <t>4</t>
        </is>
      </c>
      <c r="D56" s="4" t="inlineStr">
        <is>
          <t>4B</t>
        </is>
      </c>
      <c r="E56" s="24" t="inlineStr">
        <is>
          <t>JALAPENO'S INFERNO BISTRO</t>
        </is>
      </c>
      <c r="F56" s="24" t="inlineStr">
        <is>
          <t>Scottsdale</t>
        </is>
      </c>
      <c r="G56" s="25" t="inlineStr">
        <is>
          <t>AZ</t>
        </is>
      </c>
      <c r="H56" s="26" t="n">
        <v>33.7006784</v>
      </c>
      <c r="I56" s="26" t="n">
        <v>-111.9234223</v>
      </c>
      <c r="J56" s="27" t="n">
        <v>950</v>
      </c>
      <c r="K56" s="25" t="inlineStr">
        <is>
          <t>FRYERS CHOICE BLEND</t>
        </is>
      </c>
      <c r="N56" t="inlineStr">
        <is>
          <t>480-585-6442</t>
        </is>
      </c>
    </row>
    <row r="57" ht="15" customHeight="1" s="72">
      <c r="A57" s="7" t="n">
        <v>10011</v>
      </c>
      <c r="B57" s="5" t="inlineStr">
        <is>
          <t>JIC - 10011 - JICKY JACKS</t>
        </is>
      </c>
      <c r="C57" s="3" t="inlineStr">
        <is>
          <t>4</t>
        </is>
      </c>
      <c r="D57" s="7" t="inlineStr">
        <is>
          <t>4B</t>
        </is>
      </c>
      <c r="E57" s="24" t="inlineStr">
        <is>
          <t>9611 W CAMELBACK, STE 101</t>
        </is>
      </c>
      <c r="F57" s="24" t="inlineStr">
        <is>
          <t>PHOENIX</t>
        </is>
      </c>
      <c r="G57" s="25" t="inlineStr">
        <is>
          <t>AZ</t>
        </is>
      </c>
      <c r="H57" s="26" t="n">
        <v>33.5075938</v>
      </c>
      <c r="I57" s="26" t="n">
        <v>-112.2663063</v>
      </c>
      <c r="J57" s="27" t="n">
        <v>620</v>
      </c>
      <c r="K57" s="25" t="inlineStr">
        <is>
          <t>FRYERS CHOICE BLEND</t>
        </is>
      </c>
    </row>
    <row r="58" ht="15" customHeight="1" s="72">
      <c r="A58" s="4" t="n">
        <v>11005</v>
      </c>
      <c r="B58" s="2" t="inlineStr">
        <is>
          <t>KAR - 11005 - KARMA SUSHI</t>
        </is>
      </c>
      <c r="C58" s="3" t="inlineStr">
        <is>
          <t>4</t>
        </is>
      </c>
      <c r="D58" s="4" t="inlineStr">
        <is>
          <t>4B</t>
        </is>
      </c>
      <c r="E58" s="24" t="inlineStr">
        <is>
          <t>6 E Route 66</t>
        </is>
      </c>
      <c r="F58" s="24" t="inlineStr">
        <is>
          <t>Flagstaff</t>
        </is>
      </c>
      <c r="G58" s="25" t="inlineStr">
        <is>
          <t>AZ</t>
        </is>
      </c>
      <c r="H58" s="26" t="n">
        <v>35.1976805</v>
      </c>
      <c r="I58" s="26" t="n">
        <v>-111.648815</v>
      </c>
      <c r="J58" s="27" t="n">
        <v>950</v>
      </c>
      <c r="K58" s="25" t="inlineStr">
        <is>
          <t>CANOLA OIL</t>
        </is>
      </c>
      <c r="N58" t="inlineStr">
        <is>
          <t>928-774-6100</t>
        </is>
      </c>
    </row>
    <row r="59" ht="15" customHeight="1" s="72">
      <c r="A59" s="7" t="n">
        <v>11014</v>
      </c>
      <c r="B59" s="5" t="inlineStr">
        <is>
          <t>KAR - 11014 - KARIBU RESTAURANT</t>
        </is>
      </c>
      <c r="C59" s="3" t="inlineStr">
        <is>
          <t>4</t>
        </is>
      </c>
      <c r="D59" s="7" t="inlineStr">
        <is>
          <t>4B</t>
        </is>
      </c>
      <c r="E59" s="24" t="inlineStr">
        <is>
          <t>4935 W Glendale</t>
        </is>
      </c>
      <c r="F59" s="24" t="inlineStr">
        <is>
          <t>Glendale</t>
        </is>
      </c>
      <c r="G59" s="25" t="inlineStr">
        <is>
          <t>AZ</t>
        </is>
      </c>
      <c r="H59" s="26" t="n">
        <v>33.5379629</v>
      </c>
      <c r="I59" s="26" t="n">
        <v>-112.165954</v>
      </c>
      <c r="J59" s="27" t="n">
        <v>350</v>
      </c>
      <c r="K59" s="25" t="inlineStr">
        <is>
          <t>CANOLA OIL</t>
        </is>
      </c>
    </row>
    <row r="60" ht="15" customHeight="1" s="72">
      <c r="A60" s="4" t="n">
        <v>11013</v>
      </c>
      <c r="B60" s="2" t="inlineStr">
        <is>
          <t>KOD - 11013 - K O'DONNELS SPORTS BAR &amp; GRILL</t>
        </is>
      </c>
      <c r="C60" s="3" t="inlineStr">
        <is>
          <t>4</t>
        </is>
      </c>
      <c r="D60" s="4" t="inlineStr">
        <is>
          <t>4B</t>
        </is>
      </c>
      <c r="E60" s="24" t="inlineStr">
        <is>
          <t>14850 N Northsight Blvd</t>
        </is>
      </c>
      <c r="F60" s="24" t="inlineStr">
        <is>
          <t>Scottsdale</t>
        </is>
      </c>
      <c r="G60" s="25" t="inlineStr">
        <is>
          <t>AZ</t>
        </is>
      </c>
      <c r="H60" s="26" t="n">
        <v>33.6202368</v>
      </c>
      <c r="I60" s="26" t="n">
        <v>-111.8981626</v>
      </c>
      <c r="J60" s="27" t="n">
        <v>1050</v>
      </c>
      <c r="K60" s="25" t="inlineStr">
        <is>
          <t>CANOLA OIL</t>
        </is>
      </c>
      <c r="N60" t="inlineStr">
        <is>
          <t>(480) 241-1533</t>
        </is>
      </c>
    </row>
    <row r="61" ht="15" customHeight="1" s="72">
      <c r="A61" s="7" t="n">
        <v>11016</v>
      </c>
      <c r="B61" s="5" t="inlineStr">
        <is>
          <t>KRI - 11016 - KRISPY KRUNCHY CHICKEN</t>
        </is>
      </c>
      <c r="C61" s="3" t="inlineStr">
        <is>
          <t>4</t>
        </is>
      </c>
      <c r="D61" s="7" t="inlineStr">
        <is>
          <t>4C</t>
        </is>
      </c>
      <c r="E61" s="24" t="inlineStr">
        <is>
          <t>3501 WEST PEORIA AVE</t>
        </is>
      </c>
      <c r="F61" s="24" t="inlineStr">
        <is>
          <t>PHOENIX</t>
        </is>
      </c>
      <c r="G61" s="25" t="inlineStr">
        <is>
          <t>AZ</t>
        </is>
      </c>
      <c r="H61" s="26" t="n">
        <v>33.5816763</v>
      </c>
      <c r="I61" s="26" t="n">
        <v>-112.1345451</v>
      </c>
      <c r="J61" s="27" t="n">
        <v>350</v>
      </c>
      <c r="K61" s="25" t="inlineStr">
        <is>
          <t>CANOLA OIL</t>
        </is>
      </c>
      <c r="N61" t="inlineStr">
        <is>
          <t>(602) 621-7062</t>
        </is>
      </c>
    </row>
    <row r="62" ht="15" customHeight="1" s="72">
      <c r="A62" s="39" t="n">
        <v>12053</v>
      </c>
      <c r="B62" s="40" t="inlineStr">
        <is>
          <t>LA - 12053 - LA FIESTA CARNICERIA</t>
        </is>
      </c>
      <c r="C62" s="3" t="inlineStr">
        <is>
          <t>4</t>
        </is>
      </c>
      <c r="D62" s="4" t="inlineStr">
        <is>
          <t>4C</t>
        </is>
      </c>
      <c r="E62" s="24" t="inlineStr">
        <is>
          <t>7707 W MC 85</t>
        </is>
      </c>
      <c r="F62" s="24" t="inlineStr">
        <is>
          <t>Buckeye</t>
        </is>
      </c>
      <c r="G62" s="25" t="inlineStr">
        <is>
          <t>Arizona</t>
        </is>
      </c>
      <c r="H62" s="26" t="n">
        <v>33.3762374</v>
      </c>
      <c r="I62" s="26" t="n">
        <v>-112.5716842</v>
      </c>
      <c r="J62" s="27" t="n">
        <v>1050</v>
      </c>
      <c r="K62" s="25" t="inlineStr">
        <is>
          <t>FRYERS CHOICE BLEND</t>
        </is>
      </c>
      <c r="N62" t="inlineStr">
        <is>
          <t>(623) 474-0088</t>
        </is>
      </c>
    </row>
    <row r="63" ht="15" customHeight="1" s="72">
      <c r="A63" s="7" t="n">
        <v>2010</v>
      </c>
      <c r="B63" s="5" t="inlineStr">
        <is>
          <t>LIB - 2010 - LIBERTY TAVERN</t>
        </is>
      </c>
      <c r="C63" s="6" t="inlineStr">
        <is>
          <t>3</t>
        </is>
      </c>
      <c r="D63" s="7" t="inlineStr">
        <is>
          <t>3E</t>
        </is>
      </c>
      <c r="E63" s="24" t="inlineStr">
        <is>
          <t>LIBERTY TAVERN</t>
        </is>
      </c>
      <c r="F63" s="24" t="inlineStr">
        <is>
          <t>Phoenix</t>
        </is>
      </c>
      <c r="G63" s="25" t="inlineStr">
        <is>
          <t>AZ</t>
        </is>
      </c>
      <c r="H63" s="26" t="n">
        <v>33.5830283</v>
      </c>
      <c r="I63" s="26" t="n">
        <v>-112.0516727</v>
      </c>
      <c r="J63" s="27" t="n">
        <v>500</v>
      </c>
      <c r="K63" s="25" t="inlineStr">
        <is>
          <t>CANOLA OIL</t>
        </is>
      </c>
    </row>
    <row r="64" ht="15" customHeight="1" s="72">
      <c r="A64" s="4" t="n">
        <v>12055</v>
      </c>
      <c r="B64" s="2" t="inlineStr">
        <is>
          <t>LIT - 12055 - LITTLE O'S CENTRAL</t>
        </is>
      </c>
      <c r="C64" s="6" t="inlineStr">
        <is>
          <t>3</t>
        </is>
      </c>
      <c r="D64" s="4" t="inlineStr">
        <is>
          <t>3E</t>
        </is>
      </c>
      <c r="E64" s="24" t="inlineStr">
        <is>
          <t>8525 N CENTRAL AVE</t>
        </is>
      </c>
      <c r="F64" s="24" t="inlineStr">
        <is>
          <t>PHOENIX</t>
        </is>
      </c>
      <c r="G64" s="25" t="inlineStr">
        <is>
          <t>ARIZONA</t>
        </is>
      </c>
      <c r="H64" s="26" t="n">
        <v>33.5612603</v>
      </c>
      <c r="I64" s="26" t="n">
        <v>-112.0736725</v>
      </c>
      <c r="J64" s="27" t="n">
        <v>1050</v>
      </c>
      <c r="K64" s="25" t="inlineStr">
        <is>
          <t>CANOLA OIL</t>
        </is>
      </c>
      <c r="N64" t="inlineStr">
        <is>
          <t>DARRELL (602) 803-1875</t>
        </is>
      </c>
    </row>
    <row r="65" ht="15" customHeight="1" s="72">
      <c r="A65" s="7" t="n">
        <v>12048</v>
      </c>
      <c r="B65" s="5" t="inlineStr">
        <is>
          <t>LIV - 12048 - LIVING ROOM SCOTTSDALE</t>
        </is>
      </c>
      <c r="C65" s="3" t="inlineStr">
        <is>
          <t>4</t>
        </is>
      </c>
      <c r="D65" s="7" t="inlineStr">
        <is>
          <t>4B</t>
        </is>
      </c>
      <c r="E65" s="24" t="inlineStr">
        <is>
          <t>20751 N Pima Rd</t>
        </is>
      </c>
      <c r="F65" s="24" t="inlineStr">
        <is>
          <t>Scottsdale</t>
        </is>
      </c>
      <c r="G65" s="25" t="inlineStr">
        <is>
          <t>AZ</t>
        </is>
      </c>
      <c r="H65" s="26" t="n">
        <v>33.6755199</v>
      </c>
      <c r="I65" s="26" t="n">
        <v>-111.8883288</v>
      </c>
      <c r="J65" s="27" t="n">
        <v>1050</v>
      </c>
      <c r="K65" s="25" t="inlineStr">
        <is>
          <t>CANOLA OIL</t>
        </is>
      </c>
      <c r="N65" t="inlineStr">
        <is>
          <t>(480) 404-7465</t>
        </is>
      </c>
    </row>
    <row r="66" ht="15" customHeight="1" s="72">
      <c r="A66" s="4" t="n">
        <v>12025</v>
      </c>
      <c r="B66" s="2" t="inlineStr">
        <is>
          <t>LOC - 12025 - LOCO PATRON</t>
        </is>
      </c>
      <c r="C66" s="3" t="inlineStr">
        <is>
          <t>4</t>
        </is>
      </c>
      <c r="D66" s="4" t="inlineStr">
        <is>
          <t>4B</t>
        </is>
      </c>
      <c r="E66" s="24" t="inlineStr">
        <is>
          <t>14950 N NORTHSIGHT BLVD</t>
        </is>
      </c>
      <c r="F66" s="24" t="inlineStr">
        <is>
          <t>SCOTTSDALE</t>
        </is>
      </c>
      <c r="G66" s="25" t="inlineStr">
        <is>
          <t>AZ</t>
        </is>
      </c>
      <c r="H66" s="26" t="n">
        <v>33.6216275</v>
      </c>
      <c r="I66" s="26" t="n">
        <v>-111.8977823</v>
      </c>
      <c r="J66" s="27" t="n">
        <v>620</v>
      </c>
      <c r="K66" s="25" t="inlineStr">
        <is>
          <t>FRYERS CHOICE BLEND</t>
        </is>
      </c>
      <c r="N66" t="inlineStr">
        <is>
          <t>480-699-7271</t>
        </is>
      </c>
    </row>
    <row r="67" ht="15" customHeight="1" s="72">
      <c r="A67" s="7" t="n">
        <v>12050</v>
      </c>
      <c r="B67" s="5" t="inlineStr">
        <is>
          <t>LON - 12050 - LONG WONG 35TH</t>
        </is>
      </c>
      <c r="C67" s="6" t="inlineStr">
        <is>
          <t>3</t>
        </is>
      </c>
      <c r="D67" s="7" t="inlineStr">
        <is>
          <t>3E</t>
        </is>
      </c>
      <c r="E67" s="24" t="inlineStr">
        <is>
          <t>6260 S 35TH AVE</t>
        </is>
      </c>
      <c r="F67" s="24" t="inlineStr">
        <is>
          <t>PHOENIX</t>
        </is>
      </c>
      <c r="G67" s="25" t="inlineStr">
        <is>
          <t>AZ</t>
        </is>
      </c>
      <c r="H67" s="26" t="n">
        <v>33.3893903</v>
      </c>
      <c r="I67" s="26" t="n">
        <v>-112.1342691</v>
      </c>
      <c r="J67" s="27" t="n">
        <v>1050</v>
      </c>
      <c r="K67" s="25" t="inlineStr">
        <is>
          <t>CANOLA OIL</t>
        </is>
      </c>
      <c r="N67" t="inlineStr">
        <is>
          <t>(602) 268-3350</t>
        </is>
      </c>
    </row>
    <row r="68" ht="15" customHeight="1" s="72">
      <c r="A68" s="4" t="n">
        <v>12051</v>
      </c>
      <c r="B68" s="2" t="inlineStr">
        <is>
          <t>LON - 12051 - LONG WONG LOWER BUCKEYE</t>
        </is>
      </c>
      <c r="C68" s="9" t="inlineStr">
        <is>
          <t>2</t>
        </is>
      </c>
      <c r="D68" s="4" t="inlineStr">
        <is>
          <t>2E</t>
        </is>
      </c>
      <c r="E68" s="24" t="inlineStr">
        <is>
          <t>7625 W LOWER BUCKEYE RD</t>
        </is>
      </c>
      <c r="F68" s="24" t="inlineStr">
        <is>
          <t>PHOENIX</t>
        </is>
      </c>
      <c r="G68" s="25" t="inlineStr">
        <is>
          <t>AZ</t>
        </is>
      </c>
      <c r="H68" s="26" t="n">
        <v>33.4207294</v>
      </c>
      <c r="I68" s="26" t="n">
        <v>-112.2242321</v>
      </c>
      <c r="J68" s="27" t="n">
        <v>1050</v>
      </c>
      <c r="K68" s="25" t="inlineStr">
        <is>
          <t>CANOLA OIL</t>
        </is>
      </c>
      <c r="N68" t="inlineStr">
        <is>
          <t>(623) 248-4165</t>
        </is>
      </c>
    </row>
    <row r="69" ht="15" customHeight="1" s="72">
      <c r="A69" s="7" t="n">
        <v>12009</v>
      </c>
      <c r="B69" s="5" t="inlineStr">
        <is>
          <t>LON75 - 12009 - LONG WONG 75/THOMAS</t>
        </is>
      </c>
      <c r="C69" s="9" t="inlineStr">
        <is>
          <t>2</t>
        </is>
      </c>
      <c r="D69" s="7" t="inlineStr">
        <is>
          <t>2D</t>
        </is>
      </c>
      <c r="E69" s="24" t="inlineStr">
        <is>
          <t>7415 W Thomas Rd</t>
        </is>
      </c>
      <c r="F69" s="24" t="inlineStr">
        <is>
          <t>Phoenix</t>
        </is>
      </c>
      <c r="G69" s="25" t="inlineStr">
        <is>
          <t>AZ</t>
        </is>
      </c>
      <c r="H69" s="26" t="n">
        <v>33.4796805</v>
      </c>
      <c r="I69" s="26" t="n">
        <v>-112.219328</v>
      </c>
      <c r="J69" s="27" t="n">
        <v>700</v>
      </c>
      <c r="K69" s="25" t="inlineStr">
        <is>
          <t>CANOLA OIL</t>
        </is>
      </c>
      <c r="N69" t="inlineStr">
        <is>
          <t>623-247-5310</t>
        </is>
      </c>
    </row>
    <row r="70" ht="15" customHeight="1" s="72">
      <c r="A70" s="4" t="n">
        <v>13057</v>
      </c>
      <c r="B70" s="2" t="inlineStr">
        <is>
          <t>MAN - 13057 - MANUEL CHANDLER</t>
        </is>
      </c>
      <c r="C70" s="3" t="inlineStr">
        <is>
          <t>4</t>
        </is>
      </c>
      <c r="D70" s="4" t="inlineStr">
        <is>
          <t>4F</t>
        </is>
      </c>
      <c r="E70" s="24" t="inlineStr">
        <is>
          <t>4210 S Arizona Ave</t>
        </is>
      </c>
      <c r="F70" s="24" t="inlineStr">
        <is>
          <t>Chandler</t>
        </is>
      </c>
      <c r="G70" s="25" t="inlineStr">
        <is>
          <t>AZ</t>
        </is>
      </c>
      <c r="H70" s="26" t="n">
        <v>33.245573</v>
      </c>
      <c r="I70" s="26" t="n">
        <v>-111.842597</v>
      </c>
      <c r="J70" s="27" t="n">
        <v>950</v>
      </c>
      <c r="K70" s="25" t="inlineStr">
        <is>
          <t>CANOLA OIL</t>
        </is>
      </c>
    </row>
    <row r="71" ht="15" customHeight="1" s="72">
      <c r="A71" s="7" t="n">
        <v>13069</v>
      </c>
      <c r="B71" s="5" t="inlineStr">
        <is>
          <t>MAN - 13069 - MANUEL SHEA</t>
        </is>
      </c>
      <c r="C71" s="6" t="inlineStr">
        <is>
          <t>3</t>
        </is>
      </c>
      <c r="D71" s="7" t="inlineStr">
        <is>
          <t>3C</t>
        </is>
      </c>
      <c r="E71" s="24" t="inlineStr">
        <is>
          <t>3131 E Shea Blvd</t>
        </is>
      </c>
      <c r="F71" s="24" t="inlineStr">
        <is>
          <t>Phoenix</t>
        </is>
      </c>
      <c r="G71" s="25" t="inlineStr">
        <is>
          <t>AZ</t>
        </is>
      </c>
      <c r="H71" s="26" t="n">
        <v>33.582157</v>
      </c>
      <c r="I71" s="26" t="n">
        <v>-112.0140438</v>
      </c>
      <c r="J71" s="27" t="n">
        <v>900</v>
      </c>
      <c r="K71" s="25" t="inlineStr">
        <is>
          <t>CANOLA OIL</t>
        </is>
      </c>
    </row>
    <row r="72" ht="15" customHeight="1" s="72">
      <c r="A72" s="4" t="n">
        <v>13012</v>
      </c>
      <c r="B72" s="2" t="inlineStr">
        <is>
          <t>MAN1 - 13012 - MANUEL MCDOWELL</t>
        </is>
      </c>
      <c r="C72" s="10" t="inlineStr">
        <is>
          <t>1</t>
        </is>
      </c>
      <c r="D72" s="4" t="inlineStr">
        <is>
          <t>1D</t>
        </is>
      </c>
      <c r="E72" s="24" t="inlineStr">
        <is>
          <t>MANUEL MCDOWELL</t>
        </is>
      </c>
      <c r="F72" s="24" t="inlineStr">
        <is>
          <t>Goodyear</t>
        </is>
      </c>
      <c r="G72" s="25" t="inlineStr">
        <is>
          <t>AZ</t>
        </is>
      </c>
      <c r="H72" s="26" t="n">
        <v>33.4630917</v>
      </c>
      <c r="I72" s="26" t="n">
        <v>-112.3456586</v>
      </c>
      <c r="J72" s="27" t="n">
        <v>950</v>
      </c>
      <c r="K72" s="25" t="inlineStr">
        <is>
          <t>CANOLA OIL</t>
        </is>
      </c>
      <c r="N72" t="inlineStr">
        <is>
          <t>623-435-3793</t>
        </is>
      </c>
    </row>
    <row r="73" ht="15" customHeight="1" s="72">
      <c r="A73" s="7" t="n">
        <v>13011</v>
      </c>
      <c r="B73" s="5" t="inlineStr">
        <is>
          <t>MAN3 - 13011 - MANUEL INDIAN SCHOOL</t>
        </is>
      </c>
      <c r="C73" s="6" t="inlineStr">
        <is>
          <t>3</t>
        </is>
      </c>
      <c r="D73" s="7" t="inlineStr">
        <is>
          <t>3D</t>
        </is>
      </c>
      <c r="E73" s="24" t="inlineStr">
        <is>
          <t>2820 E Indian School Rd</t>
        </is>
      </c>
      <c r="F73" s="24" t="inlineStr">
        <is>
          <t>Phoenix</t>
        </is>
      </c>
      <c r="G73" s="25" t="inlineStr">
        <is>
          <t>AZ</t>
        </is>
      </c>
      <c r="H73" s="26" t="n">
        <v>33.4953188</v>
      </c>
      <c r="I73" s="26" t="n">
        <v>-112.0207629</v>
      </c>
      <c r="J73" s="27" t="n">
        <v>1000</v>
      </c>
      <c r="K73" s="25" t="inlineStr">
        <is>
          <t>CANOLA OIL</t>
        </is>
      </c>
      <c r="N73" t="inlineStr">
        <is>
          <t>602-957-7540</t>
        </is>
      </c>
    </row>
    <row r="74" ht="15" customHeight="1" s="72">
      <c r="A74" s="4" t="n">
        <v>13009</v>
      </c>
      <c r="B74" s="2" t="inlineStr">
        <is>
          <t>MAN6 - 13009 - MANUEL BELL</t>
        </is>
      </c>
      <c r="C74" s="6" t="inlineStr">
        <is>
          <t>3</t>
        </is>
      </c>
      <c r="D74" s="4" t="inlineStr">
        <is>
          <t>3C</t>
        </is>
      </c>
      <c r="E74" s="24" t="inlineStr">
        <is>
          <t>MANUEL BELL</t>
        </is>
      </c>
      <c r="F74" s="24" t="inlineStr">
        <is>
          <t>PHOENIX</t>
        </is>
      </c>
      <c r="G74" s="25" t="inlineStr">
        <is>
          <t>AZ</t>
        </is>
      </c>
      <c r="H74" s="26" t="n">
        <v>33.6397742</v>
      </c>
      <c r="I74" s="26" t="n">
        <v>-112.0877381</v>
      </c>
      <c r="J74" s="27" t="n">
        <v>1050</v>
      </c>
      <c r="K74" s="25" t="inlineStr">
        <is>
          <t>CANOLA OIL</t>
        </is>
      </c>
      <c r="N74" t="inlineStr">
        <is>
          <t>602-993-8778</t>
        </is>
      </c>
    </row>
    <row r="75" ht="15" customHeight="1" s="72">
      <c r="A75" s="7" t="n">
        <v>13015</v>
      </c>
      <c r="B75" s="5" t="inlineStr">
        <is>
          <t>MAN7 - 13015 - MANUEL SOUTHERN</t>
        </is>
      </c>
      <c r="C75" s="3" t="inlineStr">
        <is>
          <t>4</t>
        </is>
      </c>
      <c r="D75" s="7" t="inlineStr">
        <is>
          <t>4E</t>
        </is>
      </c>
      <c r="E75" s="24" t="inlineStr">
        <is>
          <t>2350 E Southern Ave</t>
        </is>
      </c>
      <c r="F75" s="24" t="inlineStr">
        <is>
          <t>Tempe</t>
        </is>
      </c>
      <c r="G75" s="25" t="inlineStr">
        <is>
          <t>AZ</t>
        </is>
      </c>
      <c r="H75" s="26" t="n">
        <v>33.393508</v>
      </c>
      <c r="I75" s="26" t="n">
        <v>-111.8882568</v>
      </c>
      <c r="J75" s="27" t="n">
        <v>950</v>
      </c>
      <c r="K75" s="25" t="inlineStr">
        <is>
          <t>CANOLA OIL</t>
        </is>
      </c>
      <c r="N75" t="inlineStr">
        <is>
          <t>480-345-1961 Ext. 1</t>
        </is>
      </c>
    </row>
    <row r="76" ht="15" customHeight="1" s="72">
      <c r="A76" s="4" t="n">
        <v>13014</v>
      </c>
      <c r="B76" s="2" t="inlineStr">
        <is>
          <t>MAN9 - 13014 - MANUEL SCOTTSDALE</t>
        </is>
      </c>
      <c r="C76" s="3" t="inlineStr">
        <is>
          <t>4</t>
        </is>
      </c>
      <c r="D76" s="4" t="inlineStr">
        <is>
          <t>4C</t>
        </is>
      </c>
      <c r="E76" s="24" t="inlineStr">
        <is>
          <t>8809 E Mountain View Rd</t>
        </is>
      </c>
      <c r="F76" s="24" t="inlineStr">
        <is>
          <t>Scottsdale</t>
        </is>
      </c>
      <c r="G76" s="25" t="inlineStr">
        <is>
          <t>AZ</t>
        </is>
      </c>
      <c r="H76" s="26" t="n">
        <v>33.5750337</v>
      </c>
      <c r="I76" s="26" t="n">
        <v>-111.8882476</v>
      </c>
      <c r="J76" s="27" t="n">
        <v>900</v>
      </c>
      <c r="K76" s="25" t="inlineStr">
        <is>
          <t>CANOLA OIL</t>
        </is>
      </c>
      <c r="N76" t="inlineStr">
        <is>
          <t>480-661-1587</t>
        </is>
      </c>
    </row>
    <row r="77" ht="15" customHeight="1" s="72">
      <c r="A77" s="7" t="n">
        <v>13013</v>
      </c>
      <c r="B77" s="5" t="inlineStr">
        <is>
          <t>MANP - 13013 - MANUEL PEORIA</t>
        </is>
      </c>
      <c r="C77" s="9" t="inlineStr">
        <is>
          <t>2</t>
        </is>
      </c>
      <c r="D77" s="7" t="inlineStr">
        <is>
          <t>2C</t>
        </is>
      </c>
      <c r="E77" s="24" t="inlineStr">
        <is>
          <t>MANUEL PEORIA</t>
        </is>
      </c>
      <c r="F77" s="24" t="inlineStr">
        <is>
          <t>GLENDALE</t>
        </is>
      </c>
      <c r="G77" s="25" t="inlineStr">
        <is>
          <t>AZ</t>
        </is>
      </c>
      <c r="H77" s="26" t="n">
        <v>33.5822996</v>
      </c>
      <c r="I77" s="26" t="n">
        <v>-112.1807082</v>
      </c>
      <c r="J77" s="27" t="n">
        <v>1050</v>
      </c>
      <c r="K77" s="25" t="inlineStr">
        <is>
          <t>CANOLA OIL</t>
        </is>
      </c>
      <c r="N77" t="inlineStr">
        <is>
          <t>623-979-3500</t>
        </is>
      </c>
    </row>
    <row r="78" ht="15" customHeight="1" s="72">
      <c r="A78" s="4" t="n">
        <v>13086</v>
      </c>
      <c r="B78" s="2" t="inlineStr">
        <is>
          <t>MAS - 13086 - MASON'S FAMOUS LOBSTER ROLLS</t>
        </is>
      </c>
      <c r="C78" s="3" t="inlineStr">
        <is>
          <t>4</t>
        </is>
      </c>
      <c r="D78" s="4" t="inlineStr">
        <is>
          <t>4C</t>
        </is>
      </c>
      <c r="E78" s="24" t="inlineStr">
        <is>
          <t>15257 N Scottsdale Rd</t>
        </is>
      </c>
      <c r="F78" s="24" t="inlineStr">
        <is>
          <t>Scottsdale</t>
        </is>
      </c>
      <c r="G78" s="25" t="inlineStr">
        <is>
          <t>AZ</t>
        </is>
      </c>
      <c r="H78" s="26" t="n">
        <v>33.6246658</v>
      </c>
      <c r="I78" s="26" t="n">
        <v>-111.9241166</v>
      </c>
      <c r="J78" s="27" t="n">
        <v>350</v>
      </c>
      <c r="K78" s="25" t="inlineStr">
        <is>
          <t>CANOLA OIL</t>
        </is>
      </c>
      <c r="N78" t="inlineStr">
        <is>
          <t>(646) 431-1315</t>
        </is>
      </c>
    </row>
    <row r="79" ht="15" customHeight="1" s="72">
      <c r="A79" s="7" t="n">
        <v>13061</v>
      </c>
      <c r="B79" s="5" t="inlineStr">
        <is>
          <t>MTV - 13061 - MOUNTAIN VIEW PUB</t>
        </is>
      </c>
      <c r="C79" s="3" t="inlineStr">
        <is>
          <t>4</t>
        </is>
      </c>
      <c r="D79" s="7" t="inlineStr">
        <is>
          <t>4A</t>
        </is>
      </c>
      <c r="E79" s="24" t="inlineStr">
        <is>
          <t>7033 E Cave Creek Rd</t>
        </is>
      </c>
      <c r="F79" s="24" t="inlineStr">
        <is>
          <t>Cave Creek</t>
        </is>
      </c>
      <c r="G79" s="25" t="inlineStr">
        <is>
          <t>AZ</t>
        </is>
      </c>
      <c r="H79" s="26" t="n">
        <v>33.829157</v>
      </c>
      <c r="I79" s="26" t="n">
        <v>-111.9291688</v>
      </c>
      <c r="J79" s="27" t="n">
        <v>620</v>
      </c>
      <c r="K79" s="25" t="inlineStr">
        <is>
          <t>FRYERS CHOICE BLEND</t>
        </is>
      </c>
      <c r="N79" t="inlineStr">
        <is>
          <t>(480) 575-7782</t>
        </is>
      </c>
    </row>
    <row r="80" ht="15" customHeight="1" s="72">
      <c r="A80" s="4" t="n">
        <v>2021</v>
      </c>
      <c r="B80" s="2" t="inlineStr">
        <is>
          <t>MVP - 2021 - MVP SPORTS BAR &amp; GRILL</t>
        </is>
      </c>
      <c r="C80" s="3" t="inlineStr">
        <is>
          <t>4</t>
        </is>
      </c>
      <c r="D80" s="4" t="inlineStr">
        <is>
          <t>4F</t>
        </is>
      </c>
      <c r="E80" s="24" t="inlineStr">
        <is>
          <t>980 E PECOS RD SUITE 5</t>
        </is>
      </c>
      <c r="F80" s="24" t="inlineStr">
        <is>
          <t>CHANDLER</t>
        </is>
      </c>
      <c r="G80" s="25" t="inlineStr">
        <is>
          <t>AZ</t>
        </is>
      </c>
      <c r="H80" s="26" t="n">
        <v>33.2931379</v>
      </c>
      <c r="I80" s="26" t="n">
        <v>-111.8249626</v>
      </c>
      <c r="J80" s="27" t="n">
        <v>620</v>
      </c>
      <c r="K80" s="25" t="inlineStr">
        <is>
          <t>FRYERS CHOICE BLEND</t>
        </is>
      </c>
    </row>
    <row r="81" ht="15" customHeight="1" s="72">
      <c r="A81" s="7" t="n">
        <v>14009</v>
      </c>
      <c r="B81" s="5" t="inlineStr">
        <is>
          <t>NEW - 14009 - NEW PENNY CAFE</t>
        </is>
      </c>
      <c r="C81" s="10" t="inlineStr">
        <is>
          <t>1</t>
        </is>
      </c>
      <c r="D81" s="7" t="inlineStr">
        <is>
          <t>1E</t>
        </is>
      </c>
      <c r="E81" s="24" t="inlineStr">
        <is>
          <t>735 N 114TH AVE</t>
        </is>
      </c>
      <c r="F81" s="24" t="inlineStr">
        <is>
          <t>AVONDALE</t>
        </is>
      </c>
      <c r="G81" s="25" t="inlineStr">
        <is>
          <t>AZ</t>
        </is>
      </c>
      <c r="H81" s="26" t="n">
        <v>33.4534557</v>
      </c>
      <c r="I81" s="26" t="n">
        <v>-112.3049497</v>
      </c>
      <c r="J81" s="27" t="n">
        <v>1050</v>
      </c>
      <c r="K81" s="25" t="inlineStr">
        <is>
          <t>CANOLA OIL</t>
        </is>
      </c>
      <c r="N81" t="inlineStr">
        <is>
          <t>(623) 258-2546</t>
        </is>
      </c>
    </row>
    <row r="82" ht="15" customHeight="1" s="72">
      <c r="A82" s="4" t="n">
        <v>14008</v>
      </c>
      <c r="B82" s="2" t="inlineStr">
        <is>
          <t>NOU - 14008 - NOURISH KITCHEN</t>
        </is>
      </c>
      <c r="C82" s="3" t="inlineStr">
        <is>
          <t>4</t>
        </is>
      </c>
      <c r="D82" s="4" t="inlineStr">
        <is>
          <t>4E</t>
        </is>
      </c>
      <c r="E82" s="24" t="inlineStr">
        <is>
          <t>140 S. LINDON LN</t>
        </is>
      </c>
      <c r="F82" s="24" t="inlineStr">
        <is>
          <t>TEMPE</t>
        </is>
      </c>
      <c r="G82" s="25" t="inlineStr">
        <is>
          <t>AZ</t>
        </is>
      </c>
      <c r="H82" s="26" t="n">
        <v>33.428746</v>
      </c>
      <c r="I82" s="26" t="n">
        <v>-111.965056</v>
      </c>
      <c r="J82" s="27" t="n">
        <v>2000</v>
      </c>
      <c r="K82" s="25" t="inlineStr">
        <is>
          <t>CANOLA OIL</t>
        </is>
      </c>
      <c r="N82" t="inlineStr">
        <is>
          <t>(480) 912-5143</t>
        </is>
      </c>
    </row>
    <row r="83" ht="15" customHeight="1" s="72">
      <c r="A83" s="7" t="n">
        <v>15000</v>
      </c>
      <c r="B83" s="5" t="inlineStr">
        <is>
          <t>OHS - 15000 - OHSO INDIAN SCHOOL</t>
        </is>
      </c>
      <c r="C83" s="3" t="inlineStr">
        <is>
          <t>4</t>
        </is>
      </c>
      <c r="D83" s="7" t="inlineStr">
        <is>
          <t>4D</t>
        </is>
      </c>
      <c r="E83" s="24" t="inlineStr">
        <is>
          <t>4900 E Indian School Rd</t>
        </is>
      </c>
      <c r="F83" s="24" t="inlineStr">
        <is>
          <t>Phoenix</t>
        </is>
      </c>
      <c r="G83" s="25" t="inlineStr">
        <is>
          <t>AZ</t>
        </is>
      </c>
      <c r="H83" s="26" t="n">
        <v>33.4950076</v>
      </c>
      <c r="I83" s="26" t="n">
        <v>-111.9758635</v>
      </c>
      <c r="J83" s="27" t="n">
        <v>1050</v>
      </c>
      <c r="K83" s="25" t="inlineStr">
        <is>
          <t>CANOLA OIL</t>
        </is>
      </c>
      <c r="N83" t="inlineStr">
        <is>
          <t>602-955-0358</t>
        </is>
      </c>
    </row>
    <row r="84" ht="15" customHeight="1" s="72">
      <c r="A84" s="4" t="n">
        <v>15035</v>
      </c>
      <c r="B84" s="2" t="inlineStr">
        <is>
          <t>OHS - 15035 - OHSO GILBERT</t>
        </is>
      </c>
      <c r="C84" s="8" t="inlineStr">
        <is>
          <t>5</t>
        </is>
      </c>
      <c r="D84" s="4" t="inlineStr">
        <is>
          <t>5E</t>
        </is>
      </c>
      <c r="E84" s="24" t="inlineStr">
        <is>
          <t>OHSO GILBERT</t>
        </is>
      </c>
      <c r="F84" s="24" t="inlineStr">
        <is>
          <t>Gilbert</t>
        </is>
      </c>
      <c r="G84" s="25" t="inlineStr">
        <is>
          <t>AZ</t>
        </is>
      </c>
      <c r="H84" s="26" t="n">
        <v>33.3562109</v>
      </c>
      <c r="I84" s="26" t="n">
        <v>-111.7893894</v>
      </c>
      <c r="J84" s="27" t="n">
        <v>1800</v>
      </c>
      <c r="K84" s="25" t="inlineStr">
        <is>
          <t>CANOLA OIL</t>
        </is>
      </c>
      <c r="N84" t="inlineStr">
        <is>
          <t>(602) 738-9894</t>
        </is>
      </c>
    </row>
    <row r="85" ht="15" customHeight="1" s="72">
      <c r="A85" s="7" t="n">
        <v>15001</v>
      </c>
      <c r="B85" s="5" t="inlineStr">
        <is>
          <t>OHSH - 15001 - OHSO SCOTTSDALE</t>
        </is>
      </c>
      <c r="C85" s="3" t="inlineStr">
        <is>
          <t>4</t>
        </is>
      </c>
      <c r="D85" s="7" t="inlineStr">
        <is>
          <t>4C</t>
        </is>
      </c>
      <c r="E85" s="24" t="inlineStr">
        <is>
          <t>15681 N Hayden Rd Ste 112</t>
        </is>
      </c>
      <c r="F85" s="24" t="inlineStr">
        <is>
          <t>Scottsdale</t>
        </is>
      </c>
      <c r="G85" s="25" t="inlineStr">
        <is>
          <t>AZ</t>
        </is>
      </c>
      <c r="H85" s="26" t="n">
        <v>33.62786550000001</v>
      </c>
      <c r="I85" s="26" t="n">
        <v>-111.8934385</v>
      </c>
      <c r="J85" s="27" t="n">
        <v>1050</v>
      </c>
      <c r="K85" s="25" t="inlineStr">
        <is>
          <t>CANOLA OIL</t>
        </is>
      </c>
      <c r="N85" t="inlineStr">
        <is>
          <t>480-948-3159</t>
        </is>
      </c>
    </row>
    <row r="86" ht="15" customHeight="1" s="72">
      <c r="A86" s="4" t="n">
        <v>15007</v>
      </c>
      <c r="B86" s="2" t="inlineStr">
        <is>
          <t>OHST - 15007 - OHSO TATUM</t>
        </is>
      </c>
      <c r="C86" s="3" t="inlineStr">
        <is>
          <t>4</t>
        </is>
      </c>
      <c r="D86" s="4" t="inlineStr">
        <is>
          <t>4C</t>
        </is>
      </c>
      <c r="E86" s="24" t="inlineStr">
        <is>
          <t>10810 N Tatum Blvd Ste 126</t>
        </is>
      </c>
      <c r="F86" s="24" t="inlineStr">
        <is>
          <t>Phoenix</t>
        </is>
      </c>
      <c r="G86" s="25" t="inlineStr">
        <is>
          <t>AZ</t>
        </is>
      </c>
      <c r="H86" s="26" t="n">
        <v>33.5841627</v>
      </c>
      <c r="I86" s="26" t="n">
        <v>-111.9795489</v>
      </c>
      <c r="J86" s="27" t="n">
        <v>1050</v>
      </c>
      <c r="K86" s="25" t="inlineStr">
        <is>
          <t>CANOLA OIL</t>
        </is>
      </c>
    </row>
    <row r="87" ht="15" customHeight="1" s="72">
      <c r="A87" s="7" t="n">
        <v>15041</v>
      </c>
      <c r="B87" s="5" t="inlineStr">
        <is>
          <t>ORE - 15041 - OREGANO PIMA</t>
        </is>
      </c>
      <c r="C87" s="3" t="inlineStr">
        <is>
          <t>4</t>
        </is>
      </c>
      <c r="D87" s="7" t="inlineStr">
        <is>
          <t>4C</t>
        </is>
      </c>
      <c r="E87" s="24" t="inlineStr">
        <is>
          <t>OREGANO</t>
        </is>
      </c>
      <c r="F87" s="24" t="inlineStr">
        <is>
          <t>SCOTTSDALE</t>
        </is>
      </c>
      <c r="G87" s="25" t="inlineStr">
        <is>
          <t>AZ</t>
        </is>
      </c>
      <c r="H87" s="26" t="n">
        <v>33.6271678</v>
      </c>
      <c r="I87" s="26" t="n">
        <v>-111.8915414</v>
      </c>
      <c r="J87" s="27" t="n">
        <v>630</v>
      </c>
      <c r="K87" s="25" t="inlineStr">
        <is>
          <t>CANOLA OIL</t>
        </is>
      </c>
      <c r="N87" t="inlineStr">
        <is>
          <t>999-999-9999</t>
        </is>
      </c>
    </row>
    <row r="88" ht="15" customHeight="1" s="72">
      <c r="A88" s="4" t="n">
        <v>15003</v>
      </c>
      <c r="B88" s="2" t="inlineStr">
        <is>
          <t>OREB - 15003 - OREGANO BELL</t>
        </is>
      </c>
      <c r="C88" s="9" t="inlineStr">
        <is>
          <t>2</t>
        </is>
      </c>
      <c r="D88" s="4" t="inlineStr">
        <is>
          <t>2C</t>
        </is>
      </c>
      <c r="E88" s="24" t="inlineStr">
        <is>
          <t>6738 W Bell Rd</t>
        </is>
      </c>
      <c r="F88" s="24" t="inlineStr">
        <is>
          <t>Glendale</t>
        </is>
      </c>
      <c r="G88" s="25" t="inlineStr">
        <is>
          <t>AZ</t>
        </is>
      </c>
      <c r="H88" s="26" t="n">
        <v>33.6387785</v>
      </c>
      <c r="I88" s="26" t="n">
        <v>-112.2042015</v>
      </c>
      <c r="J88" s="27" t="n">
        <v>1050</v>
      </c>
      <c r="K88" s="25" t="inlineStr">
        <is>
          <t>CANOLA OIL</t>
        </is>
      </c>
      <c r="N88" t="inlineStr">
        <is>
          <t>623-223-1150</t>
        </is>
      </c>
    </row>
    <row r="89" ht="15" customHeight="1" s="72">
      <c r="A89" s="7" t="n">
        <v>15016</v>
      </c>
      <c r="B89" s="5" t="inlineStr">
        <is>
          <t>OREB - 15016 - OREGANO SURPRISE</t>
        </is>
      </c>
      <c r="C89" s="10" t="inlineStr">
        <is>
          <t>1</t>
        </is>
      </c>
      <c r="D89" s="7" t="inlineStr">
        <is>
          <t>1C</t>
        </is>
      </c>
      <c r="E89" s="24" t="inlineStr">
        <is>
          <t>16914 W Bell Rd</t>
        </is>
      </c>
      <c r="F89" s="24" t="inlineStr">
        <is>
          <t>Surprise</t>
        </is>
      </c>
      <c r="G89" s="25" t="inlineStr">
        <is>
          <t>AZ</t>
        </is>
      </c>
      <c r="H89" s="26" t="n">
        <v>33.6394027</v>
      </c>
      <c r="I89" s="26" t="n">
        <v>-112.4230688</v>
      </c>
      <c r="J89" s="27" t="n">
        <v>630</v>
      </c>
      <c r="K89" s="25" t="inlineStr">
        <is>
          <t>CANOLA OIL</t>
        </is>
      </c>
      <c r="N89" t="inlineStr">
        <is>
          <t>999-999-9999</t>
        </is>
      </c>
    </row>
    <row r="90" ht="15" customHeight="1" s="72">
      <c r="A90" s="4" t="n">
        <v>15020</v>
      </c>
      <c r="B90" s="2" t="inlineStr">
        <is>
          <t>OREC - 15020 - OREGANO CAMELBACK</t>
        </is>
      </c>
      <c r="C90" s="6" t="inlineStr">
        <is>
          <t>3</t>
        </is>
      </c>
      <c r="D90" s="4" t="inlineStr">
        <is>
          <t>3D</t>
        </is>
      </c>
      <c r="E90" s="24" t="inlineStr">
        <is>
          <t>1008 E Camelback Rd</t>
        </is>
      </c>
      <c r="F90" s="24" t="inlineStr">
        <is>
          <t>Phoenix</t>
        </is>
      </c>
      <c r="G90" s="25" t="inlineStr">
        <is>
          <t>AZ</t>
        </is>
      </c>
      <c r="H90" s="26" t="n">
        <v>33.5094888</v>
      </c>
      <c r="I90" s="26" t="n">
        <v>-112.0602469</v>
      </c>
      <c r="J90" s="27" t="n">
        <v>450</v>
      </c>
      <c r="K90" s="25" t="inlineStr">
        <is>
          <t>CANOLA OIL</t>
        </is>
      </c>
      <c r="N90" t="inlineStr">
        <is>
          <t>602-241-0707</t>
        </is>
      </c>
    </row>
    <row r="91" ht="15" customHeight="1" s="72">
      <c r="A91" s="7" t="n">
        <v>15026</v>
      </c>
      <c r="B91" s="5" t="inlineStr">
        <is>
          <t>OREC - 15026 - OREGANO PARADISE VALLEY</t>
        </is>
      </c>
      <c r="C91" s="3" t="inlineStr">
        <is>
          <t>4</t>
        </is>
      </c>
      <c r="D91" s="7" t="inlineStr">
        <is>
          <t>4C</t>
        </is>
      </c>
      <c r="E91" s="24" t="inlineStr">
        <is>
          <t>4602 E Cactus Rd</t>
        </is>
      </c>
      <c r="F91" s="24" t="inlineStr">
        <is>
          <t>Phoenix</t>
        </is>
      </c>
      <c r="G91" s="25" t="inlineStr">
        <is>
          <t>AZ</t>
        </is>
      </c>
      <c r="H91" s="26" t="n">
        <v>33.5996701</v>
      </c>
      <c r="I91" s="26" t="n">
        <v>-111.9823088</v>
      </c>
      <c r="J91" s="27" t="n">
        <v>630</v>
      </c>
      <c r="K91" s="25" t="inlineStr">
        <is>
          <t>CANOLA OIL</t>
        </is>
      </c>
      <c r="N91" t="inlineStr">
        <is>
          <t>602-482-0054</t>
        </is>
      </c>
    </row>
    <row r="92" ht="15" customHeight="1" s="72">
      <c r="A92" s="4" t="n">
        <v>15002</v>
      </c>
      <c r="B92" s="2" t="inlineStr">
        <is>
          <t>ORECC - 15002 - OREGANO CAVE CREEK</t>
        </is>
      </c>
      <c r="C92" s="3" t="inlineStr">
        <is>
          <t>4</t>
        </is>
      </c>
      <c r="D92" s="4" t="inlineStr">
        <is>
          <t>4A</t>
        </is>
      </c>
      <c r="E92" s="24" t="inlineStr">
        <is>
          <t>37645 N Cave Creek Rd</t>
        </is>
      </c>
      <c r="F92" s="24" t="inlineStr">
        <is>
          <t>Cave Creek</t>
        </is>
      </c>
      <c r="G92" s="25" t="inlineStr">
        <is>
          <t>AZ</t>
        </is>
      </c>
      <c r="H92" s="26" t="n">
        <v>33.8279162</v>
      </c>
      <c r="I92" s="26" t="n">
        <v>-111.9546909</v>
      </c>
      <c r="J92" s="27" t="n">
        <v>480</v>
      </c>
      <c r="K92" s="25" t="inlineStr">
        <is>
          <t>CANOLA OIL</t>
        </is>
      </c>
      <c r="N92" t="inlineStr">
        <is>
          <t>480-889-0386</t>
        </is>
      </c>
    </row>
    <row r="93" ht="15" customHeight="1" s="72">
      <c r="A93" s="7" t="n">
        <v>15025</v>
      </c>
      <c r="B93" s="5" t="inlineStr">
        <is>
          <t>OREE - 15025 - OREGANO ELLIOT</t>
        </is>
      </c>
      <c r="C93" s="3" t="inlineStr">
        <is>
          <t>4</t>
        </is>
      </c>
      <c r="D93" s="7" t="inlineStr">
        <is>
          <t>4E</t>
        </is>
      </c>
      <c r="E93" s="24" t="inlineStr">
        <is>
          <t>1475 W Elliot Rd</t>
        </is>
      </c>
      <c r="F93" s="24" t="inlineStr">
        <is>
          <t>Tempe</t>
        </is>
      </c>
      <c r="G93" s="25" t="inlineStr">
        <is>
          <t>AZ</t>
        </is>
      </c>
      <c r="H93" s="26" t="n">
        <v>33.3486534</v>
      </c>
      <c r="I93" s="26" t="n">
        <v>-111.9626165</v>
      </c>
      <c r="J93" s="27" t="n">
        <v>630</v>
      </c>
      <c r="K93" s="25" t="inlineStr">
        <is>
          <t>CANOLA OIL</t>
        </is>
      </c>
      <c r="N93" t="inlineStr">
        <is>
          <t>480-966-0401</t>
        </is>
      </c>
    </row>
    <row r="94" ht="15" customHeight="1" s="72">
      <c r="A94" s="4" t="n">
        <v>15024</v>
      </c>
      <c r="B94" s="2" t="inlineStr">
        <is>
          <t>OREG - 15024 - OREGANO GILBERT</t>
        </is>
      </c>
      <c r="C94" s="8" t="inlineStr">
        <is>
          <t>5</t>
        </is>
      </c>
      <c r="D94" s="4" t="inlineStr">
        <is>
          <t>5E</t>
        </is>
      </c>
      <c r="E94" s="24" t="inlineStr">
        <is>
          <t>328 N Gilbert Rd</t>
        </is>
      </c>
      <c r="F94" s="24" t="inlineStr">
        <is>
          <t>Gilbert</t>
        </is>
      </c>
      <c r="G94" s="25" t="inlineStr">
        <is>
          <t>AZ</t>
        </is>
      </c>
      <c r="H94" s="26" t="n">
        <v>33.35585560000001</v>
      </c>
      <c r="I94" s="26" t="n">
        <v>-111.7899633</v>
      </c>
      <c r="J94" s="27" t="n">
        <v>450</v>
      </c>
      <c r="K94" s="25" t="inlineStr">
        <is>
          <t>CANOLA OIL</t>
        </is>
      </c>
      <c r="N94" t="inlineStr">
        <is>
          <t>480-882-9336</t>
        </is>
      </c>
    </row>
    <row r="95" ht="15" customHeight="1" s="72">
      <c r="A95" s="7" t="n">
        <v>15027</v>
      </c>
      <c r="B95" s="5" t="inlineStr">
        <is>
          <t>OREG - 15027 - OREGANO CHANDLER</t>
        </is>
      </c>
      <c r="C95" s="3" t="inlineStr">
        <is>
          <t>4</t>
        </is>
      </c>
      <c r="D95" s="7" t="inlineStr">
        <is>
          <t>4F</t>
        </is>
      </c>
      <c r="E95" s="24" t="inlineStr">
        <is>
          <t>1960 W Germann Rd Ste 5 Bldg G</t>
        </is>
      </c>
      <c r="F95" s="24" t="inlineStr">
        <is>
          <t>Chandler</t>
        </is>
      </c>
      <c r="G95" s="25" t="inlineStr">
        <is>
          <t>AZ</t>
        </is>
      </c>
      <c r="H95" s="26" t="n">
        <v>33.2777465</v>
      </c>
      <c r="I95" s="26" t="n">
        <v>-111.8756684</v>
      </c>
      <c r="J95" s="27" t="n">
        <v>660</v>
      </c>
      <c r="K95" s="25" t="inlineStr">
        <is>
          <t>CANOLA OIL</t>
        </is>
      </c>
      <c r="N95" t="inlineStr">
        <is>
          <t>480-265-4580</t>
        </is>
      </c>
    </row>
    <row r="96" ht="15" customHeight="1" s="72">
      <c r="A96" s="4" t="n"/>
      <c r="B96" s="2" t="n"/>
      <c r="C96" s="3" t="n"/>
      <c r="D96" s="4" t="n"/>
      <c r="E96" s="28" t="n"/>
      <c r="F96" s="28" t="n"/>
      <c r="G96" s="25" t="n"/>
      <c r="H96" s="29" t="n"/>
      <c r="I96" s="29" t="n"/>
      <c r="J96" s="27" t="n"/>
      <c r="K96" s="25" t="n"/>
    </row>
    <row r="97" ht="15" customHeight="1" s="72">
      <c r="A97" s="7" t="n">
        <v>15005</v>
      </c>
      <c r="B97" s="5" t="inlineStr">
        <is>
          <t>OREM - 15005 - OREGANO GOODYEAR</t>
        </is>
      </c>
      <c r="C97" s="10" t="inlineStr">
        <is>
          <t>1</t>
        </is>
      </c>
      <c r="D97" s="7" t="inlineStr">
        <is>
          <t>1D</t>
        </is>
      </c>
      <c r="E97" s="24" t="inlineStr">
        <is>
          <t>15280 W Mcdowell Rd</t>
        </is>
      </c>
      <c r="F97" s="24" t="inlineStr">
        <is>
          <t>Goodyear</t>
        </is>
      </c>
      <c r="G97" s="25" t="inlineStr">
        <is>
          <t>AZ</t>
        </is>
      </c>
      <c r="H97" s="26" t="n">
        <v>33.4649405</v>
      </c>
      <c r="I97" s="26" t="n">
        <v>-112.3879295</v>
      </c>
      <c r="J97" s="27" t="n">
        <v>660</v>
      </c>
      <c r="K97" s="25" t="inlineStr">
        <is>
          <t>CANOLA OIL</t>
        </is>
      </c>
      <c r="N97" t="inlineStr">
        <is>
          <t>623-760-9588</t>
        </is>
      </c>
    </row>
    <row r="98" ht="15" customHeight="1" s="72">
      <c r="A98" s="4" t="n">
        <v>15009</v>
      </c>
      <c r="B98" s="2" t="inlineStr">
        <is>
          <t>OREM - 15009 - OREGANO QUEEN CREEK</t>
        </is>
      </c>
      <c r="C98" s="8" t="inlineStr">
        <is>
          <t>5</t>
        </is>
      </c>
      <c r="D98" s="4" t="inlineStr">
        <is>
          <t>5F</t>
        </is>
      </c>
      <c r="E98" s="24" t="inlineStr">
        <is>
          <t>20677 E Maya Rd</t>
        </is>
      </c>
      <c r="F98" s="24" t="inlineStr">
        <is>
          <t>Queen Creek</t>
        </is>
      </c>
      <c r="G98" s="25" t="inlineStr">
        <is>
          <t>AZ</t>
        </is>
      </c>
      <c r="H98" s="26" t="n">
        <v>33.2536776</v>
      </c>
      <c r="I98" s="26" t="n">
        <v>-111.6372362</v>
      </c>
      <c r="J98" s="27" t="n">
        <v>500</v>
      </c>
      <c r="K98" s="25" t="inlineStr">
        <is>
          <t>CANOLA OIL</t>
        </is>
      </c>
      <c r="N98" t="inlineStr">
        <is>
          <t>480-355-0750</t>
        </is>
      </c>
    </row>
    <row r="99" ht="15" customHeight="1" s="72">
      <c r="A99" s="7" t="n">
        <v>15023</v>
      </c>
      <c r="B99" s="5" t="inlineStr">
        <is>
          <t>OREM - 15023 - OREGANO MESA</t>
        </is>
      </c>
      <c r="C99" s="3" t="inlineStr">
        <is>
          <t>4</t>
        </is>
      </c>
      <c r="D99" s="7" t="inlineStr">
        <is>
          <t>4E</t>
        </is>
      </c>
      <c r="E99" s="24" t="inlineStr">
        <is>
          <t>OREGANO MESA</t>
        </is>
      </c>
      <c r="F99" s="24" t="inlineStr">
        <is>
          <t>Mesa</t>
        </is>
      </c>
      <c r="G99" s="25" t="inlineStr">
        <is>
          <t>AZ</t>
        </is>
      </c>
      <c r="H99" s="26" t="n">
        <v>33.3939399</v>
      </c>
      <c r="I99" s="26" t="n">
        <v>-111.8750816</v>
      </c>
      <c r="J99" s="27" t="n">
        <v>630</v>
      </c>
      <c r="K99" s="25" t="inlineStr">
        <is>
          <t>CANOLA OIL</t>
        </is>
      </c>
      <c r="N99" t="inlineStr">
        <is>
          <t>480-962-0036</t>
        </is>
      </c>
    </row>
    <row r="100" ht="15" customHeight="1" s="72">
      <c r="A100" s="4" t="n">
        <v>15015</v>
      </c>
      <c r="B100" s="2" t="inlineStr">
        <is>
          <t>ORES - 15015 - OREGANO SUPERSTITION</t>
        </is>
      </c>
      <c r="C100" s="8" t="inlineStr">
        <is>
          <t>5</t>
        </is>
      </c>
      <c r="D100" s="4" t="inlineStr">
        <is>
          <t>5E</t>
        </is>
      </c>
      <c r="E100" s="24" t="inlineStr">
        <is>
          <t>6821 E Superstition Springs Blvd</t>
        </is>
      </c>
      <c r="F100" s="24" t="inlineStr">
        <is>
          <t>Mesa</t>
        </is>
      </c>
      <c r="G100" s="25" t="inlineStr">
        <is>
          <t>AZ</t>
        </is>
      </c>
      <c r="H100" s="26" t="n">
        <v>33.3832198</v>
      </c>
      <c r="I100" s="26" t="n">
        <v>-111.6838148</v>
      </c>
      <c r="J100" s="27" t="n">
        <v>500</v>
      </c>
      <c r="K100" s="25" t="inlineStr">
        <is>
          <t>CANOLA OIL</t>
        </is>
      </c>
      <c r="N100" t="inlineStr">
        <is>
          <t>999-999-9999</t>
        </is>
      </c>
    </row>
    <row r="101" ht="15" customHeight="1" s="72">
      <c r="A101" s="7" t="n">
        <v>15018</v>
      </c>
      <c r="B101" s="5" t="inlineStr">
        <is>
          <t>ORES - 15018 - OREGANO SCOTTSDALE</t>
        </is>
      </c>
      <c r="C101" s="3" t="inlineStr">
        <is>
          <t>4</t>
        </is>
      </c>
      <c r="D101" s="7" t="inlineStr">
        <is>
          <t>4D</t>
        </is>
      </c>
      <c r="E101" s="24" t="inlineStr">
        <is>
          <t>3102 N Scottsdale Rd</t>
        </is>
      </c>
      <c r="F101" s="24" t="inlineStr">
        <is>
          <t>Scottsdale</t>
        </is>
      </c>
      <c r="G101" s="25" t="inlineStr">
        <is>
          <t>AZ</t>
        </is>
      </c>
      <c r="H101" s="26" t="n">
        <v>33.4832852</v>
      </c>
      <c r="I101" s="26" t="n">
        <v>-111.9267136</v>
      </c>
      <c r="J101" s="27" t="n">
        <v>660</v>
      </c>
      <c r="K101" s="25" t="inlineStr">
        <is>
          <t>CANOLA OIL</t>
        </is>
      </c>
      <c r="N101" t="inlineStr">
        <is>
          <t>480-970-1860</t>
        </is>
      </c>
    </row>
    <row r="102" ht="15" customHeight="1" s="72">
      <c r="A102" s="4" t="n">
        <v>15051</v>
      </c>
      <c r="B102" s="2" t="inlineStr">
        <is>
          <t>ORI - 15051 - ORIGEN GILBERT LLC</t>
        </is>
      </c>
      <c r="C102" s="8" t="inlineStr">
        <is>
          <t>5</t>
        </is>
      </c>
      <c r="D102" s="4" t="inlineStr">
        <is>
          <t>5F</t>
        </is>
      </c>
      <c r="E102" s="24" t="inlineStr">
        <is>
          <t>2472 S Recker Rd</t>
        </is>
      </c>
      <c r="F102" s="24" t="inlineStr">
        <is>
          <t>Gilbert</t>
        </is>
      </c>
      <c r="G102" s="25" t="inlineStr">
        <is>
          <t>AZ</t>
        </is>
      </c>
      <c r="H102" s="26" t="n">
        <v>33.30613659999999</v>
      </c>
      <c r="I102" s="26" t="n">
        <v>-111.7047128</v>
      </c>
      <c r="J102" s="27" t="n">
        <v>350</v>
      </c>
      <c r="K102" s="25" t="inlineStr">
        <is>
          <t>CANOLA OIL</t>
        </is>
      </c>
      <c r="N102" t="inlineStr">
        <is>
          <t>(480) 765-7873</t>
        </is>
      </c>
    </row>
    <row r="103" ht="15" customHeight="1" s="72">
      <c r="A103" s="7" t="n">
        <v>16006</v>
      </c>
      <c r="B103" s="5" t="inlineStr">
        <is>
          <t>PET44 - 16006 - PETES FISH 44TH ST</t>
        </is>
      </c>
      <c r="C103" s="3" t="inlineStr">
        <is>
          <t>4</t>
        </is>
      </c>
      <c r="D103" s="7" t="inlineStr">
        <is>
          <t>4D</t>
        </is>
      </c>
      <c r="E103" s="24" t="inlineStr">
        <is>
          <t>PETE'S 44TH ST</t>
        </is>
      </c>
      <c r="F103" s="24" t="inlineStr">
        <is>
          <t>Phoenix</t>
        </is>
      </c>
      <c r="G103" s="25" t="inlineStr">
        <is>
          <t>AZ</t>
        </is>
      </c>
      <c r="H103" s="26" t="n">
        <v>33.4957209</v>
      </c>
      <c r="I103" s="26" t="n">
        <v>-111.9866128</v>
      </c>
      <c r="J103" s="27" t="n">
        <v>950</v>
      </c>
      <c r="K103" s="25" t="inlineStr">
        <is>
          <t>FRYERS CHOICE BLEND</t>
        </is>
      </c>
      <c r="N103" t="inlineStr">
        <is>
          <t>602-840-0630</t>
        </is>
      </c>
    </row>
    <row r="104" ht="15" customHeight="1" s="72">
      <c r="A104" s="4" t="n">
        <v>16007</v>
      </c>
      <c r="B104" s="2" t="inlineStr">
        <is>
          <t>PETA - 16007 - PETES FISH APACHE</t>
        </is>
      </c>
      <c r="C104" s="3" t="inlineStr">
        <is>
          <t>4</t>
        </is>
      </c>
      <c r="D104" s="4" t="inlineStr">
        <is>
          <t>4E</t>
        </is>
      </c>
      <c r="E104" s="24" t="inlineStr">
        <is>
          <t>1017 E Apache Blvd</t>
        </is>
      </c>
      <c r="F104" s="24" t="inlineStr">
        <is>
          <t>Tempe</t>
        </is>
      </c>
      <c r="G104" s="25" t="inlineStr">
        <is>
          <t>AZ</t>
        </is>
      </c>
      <c r="H104" s="26" t="n">
        <v>33.4144315</v>
      </c>
      <c r="I104" s="26" t="n">
        <v>-111.9237294</v>
      </c>
      <c r="J104" s="27" t="n">
        <v>950</v>
      </c>
      <c r="K104" s="25" t="inlineStr">
        <is>
          <t>FRYERS CHOICE BLEND</t>
        </is>
      </c>
      <c r="N104" t="inlineStr">
        <is>
          <t>(602) 882-8145</t>
        </is>
      </c>
    </row>
    <row r="105" ht="15" customHeight="1" s="72">
      <c r="A105" s="7" t="n">
        <v>16004</v>
      </c>
      <c r="B105" s="5" t="inlineStr">
        <is>
          <t>PETB - 16004 - PETES FISH BUCKEYE</t>
        </is>
      </c>
      <c r="C105" s="6" t="inlineStr">
        <is>
          <t>3</t>
        </is>
      </c>
      <c r="D105" s="7" t="inlineStr">
        <is>
          <t>3E</t>
        </is>
      </c>
      <c r="E105" s="24" t="inlineStr">
        <is>
          <t>PETE'S BUCKEYE</t>
        </is>
      </c>
      <c r="F105" s="24" t="inlineStr">
        <is>
          <t>Phoenix</t>
        </is>
      </c>
      <c r="G105" s="25" t="inlineStr">
        <is>
          <t>AZ</t>
        </is>
      </c>
      <c r="H105" s="26" t="n">
        <v>33.4364984</v>
      </c>
      <c r="I105" s="26" t="n">
        <v>-112.0584386</v>
      </c>
      <c r="J105" s="27" t="n">
        <v>950</v>
      </c>
      <c r="K105" s="25" t="inlineStr">
        <is>
          <t>FRYERS CHOICE BLEND</t>
        </is>
      </c>
      <c r="N105" t="inlineStr">
        <is>
          <t>602-252-9341</t>
        </is>
      </c>
    </row>
    <row r="106" ht="15" customHeight="1" s="72">
      <c r="A106" s="4" t="n">
        <v>16003</v>
      </c>
      <c r="B106" s="2" t="inlineStr">
        <is>
          <t>PETC - 16003 - PETES FISH CENTRAL</t>
        </is>
      </c>
      <c r="C106" s="6" t="inlineStr">
        <is>
          <t>3</t>
        </is>
      </c>
      <c r="D106" s="4" t="inlineStr">
        <is>
          <t>3E</t>
        </is>
      </c>
      <c r="E106" s="24" t="inlineStr">
        <is>
          <t>PETE'S CENTRAL</t>
        </is>
      </c>
      <c r="F106" s="24" t="inlineStr">
        <is>
          <t>Phoenix</t>
        </is>
      </c>
      <c r="G106" s="25" t="inlineStr">
        <is>
          <t>AZ</t>
        </is>
      </c>
      <c r="H106" s="26" t="n">
        <v>33.4108063</v>
      </c>
      <c r="I106" s="26" t="n">
        <v>-112.073633</v>
      </c>
      <c r="J106" s="27" t="n">
        <v>950</v>
      </c>
      <c r="K106" s="25" t="inlineStr">
        <is>
          <t>FRYERS CHOICE BLEND</t>
        </is>
      </c>
      <c r="N106" t="inlineStr">
        <is>
          <t>602-268-1828</t>
        </is>
      </c>
    </row>
    <row r="107" ht="15" customHeight="1" s="72">
      <c r="A107" s="7" t="n">
        <v>16008</v>
      </c>
      <c r="B107" s="5" t="inlineStr">
        <is>
          <t>PETG - 16008 - PETES FISH GLENDALE</t>
        </is>
      </c>
      <c r="C107" s="9" t="inlineStr">
        <is>
          <t>2</t>
        </is>
      </c>
      <c r="D107" s="7" t="inlineStr">
        <is>
          <t>2D</t>
        </is>
      </c>
      <c r="E107" s="24" t="inlineStr">
        <is>
          <t>5516 W Glendale Ave</t>
        </is>
      </c>
      <c r="F107" s="24" t="inlineStr">
        <is>
          <t>Glendale</t>
        </is>
      </c>
      <c r="G107" s="25" t="inlineStr">
        <is>
          <t>AZ</t>
        </is>
      </c>
      <c r="H107" s="26" t="n">
        <v>33.5387591</v>
      </c>
      <c r="I107" s="26" t="n">
        <v>-112.1783937</v>
      </c>
      <c r="J107" s="27" t="n">
        <v>950</v>
      </c>
      <c r="K107" s="25" t="inlineStr">
        <is>
          <t>FRYERS CHOICE BLEND</t>
        </is>
      </c>
      <c r="N107" t="inlineStr">
        <is>
          <t>623-937-6001</t>
        </is>
      </c>
    </row>
    <row r="108" ht="15" customHeight="1" s="72">
      <c r="A108" s="4" t="n">
        <v>16009</v>
      </c>
      <c r="B108" s="2" t="inlineStr">
        <is>
          <t>PETM - 16009 - PETES FISH MESA</t>
        </is>
      </c>
      <c r="C108" s="3" t="inlineStr">
        <is>
          <t>4</t>
        </is>
      </c>
      <c r="D108" s="4" t="inlineStr">
        <is>
          <t>4E</t>
        </is>
      </c>
      <c r="E108" s="24" t="inlineStr">
        <is>
          <t>22 S Mesa Dr</t>
        </is>
      </c>
      <c r="F108" s="24" t="inlineStr">
        <is>
          <t>Mesa</t>
        </is>
      </c>
      <c r="G108" s="25" t="inlineStr">
        <is>
          <t>AZ</t>
        </is>
      </c>
      <c r="H108" s="26" t="n">
        <v>33.4144184</v>
      </c>
      <c r="I108" s="26" t="n">
        <v>-111.8233194</v>
      </c>
      <c r="J108" s="27" t="n">
        <v>1950</v>
      </c>
      <c r="K108" s="25" t="inlineStr">
        <is>
          <t>FRYERS CHOICE BLEND</t>
        </is>
      </c>
      <c r="N108" t="inlineStr">
        <is>
          <t>480-962-7992</t>
        </is>
      </c>
    </row>
    <row r="109" ht="15" customHeight="1" s="72">
      <c r="A109" s="7" t="n">
        <v>16010</v>
      </c>
      <c r="B109" s="5" t="inlineStr">
        <is>
          <t>PETTOL - 16010 - PETES TOLLESON</t>
        </is>
      </c>
      <c r="C109" s="9" t="inlineStr">
        <is>
          <t>2</t>
        </is>
      </c>
      <c r="D109" s="7" t="inlineStr">
        <is>
          <t>2E</t>
        </is>
      </c>
      <c r="E109" s="24" t="inlineStr">
        <is>
          <t>9309 W Van Buren St</t>
        </is>
      </c>
      <c r="F109" s="24" t="inlineStr">
        <is>
          <t>Tolleson</t>
        </is>
      </c>
      <c r="G109" s="25" t="inlineStr">
        <is>
          <t>AZ</t>
        </is>
      </c>
      <c r="H109" s="26" t="n">
        <v>33.4500619</v>
      </c>
      <c r="I109" s="26" t="n">
        <v>-112.2603308</v>
      </c>
      <c r="J109" s="27" t="n">
        <v>1950</v>
      </c>
      <c r="K109" s="25" t="inlineStr">
        <is>
          <t>FRYERS CHOICE BLEND</t>
        </is>
      </c>
      <c r="N109" t="inlineStr">
        <is>
          <t>623-936-3111</t>
        </is>
      </c>
    </row>
    <row r="110" ht="15" customHeight="1" s="72">
      <c r="A110" s="4" t="n">
        <v>16005</v>
      </c>
      <c r="B110" s="2" t="inlineStr">
        <is>
          <t>PETVB - 16005 - PETES FISH 26TH</t>
        </is>
      </c>
      <c r="C110" s="6" t="inlineStr">
        <is>
          <t>3</t>
        </is>
      </c>
      <c r="D110" s="4" t="inlineStr">
        <is>
          <t>3E</t>
        </is>
      </c>
      <c r="E110" s="24" t="inlineStr">
        <is>
          <t>PETE'S 26TH</t>
        </is>
      </c>
      <c r="F110" s="24" t="inlineStr">
        <is>
          <t>Phoenix</t>
        </is>
      </c>
      <c r="G110" s="25" t="inlineStr">
        <is>
          <t>AZ</t>
        </is>
      </c>
      <c r="H110" s="26" t="n">
        <v>33.4513748</v>
      </c>
      <c r="I110" s="26" t="n">
        <v>-112.1165443</v>
      </c>
      <c r="J110" s="27" t="n">
        <v>950</v>
      </c>
      <c r="K110" s="25" t="inlineStr">
        <is>
          <t>FRYERS CHOICE BLEND</t>
        </is>
      </c>
      <c r="N110" t="inlineStr">
        <is>
          <t>602-278-3351</t>
        </is>
      </c>
    </row>
    <row r="111" ht="15" customHeight="1" s="72">
      <c r="A111" s="7" t="n">
        <v>16019</v>
      </c>
      <c r="B111" s="5" t="inlineStr">
        <is>
          <t>PIRA - 16019 - PIRATES ARIZONA AVE</t>
        </is>
      </c>
      <c r="C111" s="3" t="inlineStr">
        <is>
          <t>4</t>
        </is>
      </c>
      <c r="D111" s="7" t="inlineStr">
        <is>
          <t>4F</t>
        </is>
      </c>
      <c r="E111" s="24" t="inlineStr">
        <is>
          <t>200 S Arizona Ave</t>
        </is>
      </c>
      <c r="F111" s="24" t="inlineStr">
        <is>
          <t>Chandler</t>
        </is>
      </c>
      <c r="G111" s="25" t="inlineStr">
        <is>
          <t>AZ</t>
        </is>
      </c>
      <c r="H111" s="26" t="n">
        <v>33.3004503</v>
      </c>
      <c r="I111" s="26" t="n">
        <v>-111.841744</v>
      </c>
      <c r="J111" s="27" t="n">
        <v>950</v>
      </c>
      <c r="K111" s="25" t="inlineStr">
        <is>
          <t>FRYERS CHOICE BLEND</t>
        </is>
      </c>
    </row>
    <row r="112" ht="15" customHeight="1" s="72">
      <c r="A112" s="4" t="n">
        <v>16018</v>
      </c>
      <c r="B112" s="2" t="inlineStr">
        <is>
          <t>PIRL - 16018 - PIRATES MESA</t>
        </is>
      </c>
      <c r="C112" s="8" t="inlineStr">
        <is>
          <t>5</t>
        </is>
      </c>
      <c r="D112" s="4" t="inlineStr">
        <is>
          <t>5E</t>
        </is>
      </c>
      <c r="E112" s="24" t="inlineStr">
        <is>
          <t>PIRATES MESA</t>
        </is>
      </c>
      <c r="F112" s="24" t="inlineStr">
        <is>
          <t>Mesa</t>
        </is>
      </c>
      <c r="G112" s="25" t="inlineStr">
        <is>
          <t>AZ</t>
        </is>
      </c>
      <c r="H112" s="26" t="n">
        <v>33.4237382</v>
      </c>
      <c r="I112" s="26" t="n">
        <v>-111.7705505</v>
      </c>
      <c r="J112" s="27" t="n">
        <v>950</v>
      </c>
      <c r="K112" s="25" t="inlineStr">
        <is>
          <t>FRYERS CHOICE BLEND</t>
        </is>
      </c>
      <c r="N112" t="inlineStr">
        <is>
          <t>480-834-1288</t>
        </is>
      </c>
    </row>
    <row r="113" ht="15" customHeight="1" s="72">
      <c r="A113" s="7" t="n">
        <v>16015</v>
      </c>
      <c r="B113" s="5" t="inlineStr">
        <is>
          <t>POP59 - 16015 - POPO BELL</t>
        </is>
      </c>
      <c r="C113" s="9" t="inlineStr">
        <is>
          <t>2</t>
        </is>
      </c>
      <c r="D113" s="7" t="inlineStr">
        <is>
          <t>2C</t>
        </is>
      </c>
      <c r="E113" s="24" t="inlineStr">
        <is>
          <t>17037 N 59Th Ave</t>
        </is>
      </c>
      <c r="F113" s="24" t="inlineStr">
        <is>
          <t>Glendale</t>
        </is>
      </c>
      <c r="G113" s="25" t="inlineStr">
        <is>
          <t>AZ</t>
        </is>
      </c>
      <c r="H113" s="26" t="n">
        <v>33.639794</v>
      </c>
      <c r="I113" s="26" t="n">
        <v>-112.1860267</v>
      </c>
      <c r="J113" s="27" t="n">
        <v>1950</v>
      </c>
      <c r="K113" s="25" t="inlineStr">
        <is>
          <t>CANOLA OIL</t>
        </is>
      </c>
      <c r="N113" t="inlineStr">
        <is>
          <t>602-354-7738</t>
        </is>
      </c>
    </row>
    <row r="114" ht="15" customHeight="1" s="72">
      <c r="A114" s="4" t="n">
        <v>16014</v>
      </c>
      <c r="B114" s="2" t="inlineStr">
        <is>
          <t>POPIS - 16014 - POPO INDIAN SCHOOL</t>
        </is>
      </c>
      <c r="C114" s="9" t="inlineStr">
        <is>
          <t>2</t>
        </is>
      </c>
      <c r="D114" s="4" t="inlineStr">
        <is>
          <t>2D</t>
        </is>
      </c>
      <c r="E114" s="24" t="inlineStr">
        <is>
          <t>6542 W Indian School Rd</t>
        </is>
      </c>
      <c r="F114" s="24" t="inlineStr">
        <is>
          <t>Phoenix</t>
        </is>
      </c>
      <c r="G114" s="25" t="inlineStr">
        <is>
          <t>AZ</t>
        </is>
      </c>
      <c r="H114" s="26" t="n">
        <v>33.4952768</v>
      </c>
      <c r="I114" s="26" t="n">
        <v>-112.2021224</v>
      </c>
      <c r="J114" s="27" t="n">
        <v>1950</v>
      </c>
      <c r="K114" s="25" t="inlineStr">
        <is>
          <t>FRYERS CHOICE BLEND</t>
        </is>
      </c>
      <c r="N114" t="inlineStr">
        <is>
          <t>623-846-2636</t>
        </is>
      </c>
    </row>
    <row r="115" ht="15" customHeight="1" s="72">
      <c r="A115" s="7" t="n">
        <v>18042</v>
      </c>
      <c r="B115" s="5" t="inlineStr">
        <is>
          <t>RAN - 18042 - RANCHO BAR 7</t>
        </is>
      </c>
      <c r="C115" s="10" t="inlineStr">
        <is>
          <t>1</t>
        </is>
      </c>
      <c r="D115" s="7" t="inlineStr">
        <is>
          <t>1A</t>
        </is>
      </c>
      <c r="E115" s="24" t="inlineStr">
        <is>
          <t>111 E Wickenburg Way</t>
        </is>
      </c>
      <c r="F115" s="24" t="inlineStr">
        <is>
          <t>Wickenburg</t>
        </is>
      </c>
      <c r="G115" s="25" t="inlineStr">
        <is>
          <t>AZ</t>
        </is>
      </c>
      <c r="H115" s="26" t="n">
        <v>33.9689506</v>
      </c>
      <c r="I115" s="26" t="n">
        <v>-112.7294813</v>
      </c>
      <c r="J115" s="27" t="n">
        <v>1950</v>
      </c>
      <c r="K115" s="25" t="inlineStr">
        <is>
          <t>CANOLA OIL</t>
        </is>
      </c>
      <c r="N115" t="inlineStr">
        <is>
          <t>(928) 684-2492</t>
        </is>
      </c>
    </row>
    <row r="116" ht="15" customHeight="1" s="72">
      <c r="A116" s="4" t="n">
        <v>18004</v>
      </c>
      <c r="B116" s="2" t="inlineStr">
        <is>
          <t>RED - 18004 - RED WHITE BREW</t>
        </is>
      </c>
      <c r="C116" s="8" t="inlineStr">
        <is>
          <t>5</t>
        </is>
      </c>
      <c r="D116" s="4" t="inlineStr">
        <is>
          <t>5D</t>
        </is>
      </c>
      <c r="E116" s="24" t="inlineStr">
        <is>
          <t>6740 E MCDOWELL RD</t>
        </is>
      </c>
      <c r="F116" s="24" t="inlineStr">
        <is>
          <t>Mesa</t>
        </is>
      </c>
      <c r="G116" s="25" t="inlineStr">
        <is>
          <t>AZ</t>
        </is>
      </c>
      <c r="H116" s="26" t="n">
        <v>33.4668211</v>
      </c>
      <c r="I116" s="26" t="n">
        <v>-111.6850131</v>
      </c>
      <c r="J116" s="27" t="n">
        <v>660</v>
      </c>
      <c r="K116" s="25" t="inlineStr">
        <is>
          <t>CANOLA OIL</t>
        </is>
      </c>
      <c r="N116" t="inlineStr">
        <is>
          <t>480-807-9393</t>
        </is>
      </c>
    </row>
    <row r="117" ht="15" customHeight="1" s="72">
      <c r="A117" s="7" t="n">
        <v>18031</v>
      </c>
      <c r="B117" s="5" t="inlineStr">
        <is>
          <t>RED - 18031 - RED DEVIL SOUTHERN</t>
        </is>
      </c>
      <c r="C117" s="6" t="inlineStr">
        <is>
          <t>3</t>
        </is>
      </c>
      <c r="D117" s="7" t="inlineStr">
        <is>
          <t>3D</t>
        </is>
      </c>
      <c r="E117" s="24" t="inlineStr">
        <is>
          <t>208 W SOUTHERN AVE</t>
        </is>
      </c>
      <c r="F117" s="24" t="inlineStr">
        <is>
          <t>TEMPE</t>
        </is>
      </c>
      <c r="G117" s="25" t="inlineStr">
        <is>
          <t>AZ</t>
        </is>
      </c>
      <c r="H117" s="26" t="n">
        <v>33.3934903</v>
      </c>
      <c r="I117" s="26" t="n">
        <v>-111.9423309</v>
      </c>
      <c r="J117" s="27" t="n">
        <v>660</v>
      </c>
      <c r="K117" s="25" t="inlineStr">
        <is>
          <t>FRYERS CHOICE BLEND</t>
        </is>
      </c>
    </row>
    <row r="118" ht="15" customHeight="1" s="72">
      <c r="A118" s="4" t="n">
        <v>18051</v>
      </c>
      <c r="B118" s="2" t="inlineStr">
        <is>
          <t>RED - 18051 - RED ZONE SPORTS GRILL</t>
        </is>
      </c>
      <c r="C118" s="9" t="inlineStr">
        <is>
          <t>2</t>
        </is>
      </c>
      <c r="D118" s="4" t="inlineStr">
        <is>
          <t>2C</t>
        </is>
      </c>
      <c r="E118" s="24" t="inlineStr">
        <is>
          <t>8110 W UNION HILLS DR</t>
        </is>
      </c>
      <c r="F118" s="24" t="inlineStr">
        <is>
          <t>GLENDALE</t>
        </is>
      </c>
      <c r="G118" s="25" t="inlineStr">
        <is>
          <t>AZ</t>
        </is>
      </c>
      <c r="H118" s="26" t="n">
        <v>33.653518</v>
      </c>
      <c r="I118" s="26" t="n">
        <v>-112.2336283</v>
      </c>
      <c r="J118" s="27" t="n">
        <v>1050</v>
      </c>
      <c r="K118" s="25" t="inlineStr">
        <is>
          <t>CANOLA OIL</t>
        </is>
      </c>
      <c r="N118" t="inlineStr">
        <is>
          <t>(731) 443-1553</t>
        </is>
      </c>
    </row>
    <row r="119" ht="15" customHeight="1" s="72">
      <c r="A119" s="7" t="n">
        <v>18003</v>
      </c>
      <c r="B119" s="5" t="inlineStr">
        <is>
          <t>REDB - 18003 - RED DEVIL BELL</t>
        </is>
      </c>
      <c r="C119" s="6" t="inlineStr">
        <is>
          <t>3</t>
        </is>
      </c>
      <c r="D119" s="7" t="inlineStr">
        <is>
          <t>3C</t>
        </is>
      </c>
      <c r="E119" s="24" t="inlineStr">
        <is>
          <t>3004 E Bell Rd</t>
        </is>
      </c>
      <c r="F119" s="24" t="inlineStr">
        <is>
          <t>Phoenix</t>
        </is>
      </c>
      <c r="G119" s="25" t="inlineStr">
        <is>
          <t>AZ</t>
        </is>
      </c>
      <c r="H119" s="26" t="n">
        <v>33.6410545</v>
      </c>
      <c r="I119" s="26" t="n">
        <v>-112.0178642</v>
      </c>
      <c r="J119" s="27" t="n">
        <v>450</v>
      </c>
      <c r="K119" s="25" t="inlineStr">
        <is>
          <t>FRYERS CHOICE BLEND</t>
        </is>
      </c>
      <c r="N119" t="inlineStr">
        <is>
          <t>602-493-0211</t>
        </is>
      </c>
    </row>
    <row r="120" ht="15" customHeight="1" s="72">
      <c r="A120" s="4" t="n">
        <v>18001</v>
      </c>
      <c r="B120" s="2" t="inlineStr">
        <is>
          <t>REDM - 18001 - RED DEVIL MCDOWELL</t>
        </is>
      </c>
      <c r="C120" s="6" t="inlineStr">
        <is>
          <t>3</t>
        </is>
      </c>
      <c r="D120" s="4" t="inlineStr">
        <is>
          <t>3D</t>
        </is>
      </c>
      <c r="E120" s="24" t="inlineStr">
        <is>
          <t>RED DEVIL MCDOWELL</t>
        </is>
      </c>
      <c r="F120" s="24" t="inlineStr">
        <is>
          <t>Phoenix</t>
        </is>
      </c>
      <c r="G120" s="25" t="inlineStr">
        <is>
          <t>AZ</t>
        </is>
      </c>
      <c r="H120" s="26" t="n">
        <v>33.4660818</v>
      </c>
      <c r="I120" s="26" t="n">
        <v>-112.0154762</v>
      </c>
      <c r="J120" s="27" t="n">
        <v>950</v>
      </c>
      <c r="K120" s="25" t="inlineStr">
        <is>
          <t>FRYERS CHOICE BLEND</t>
        </is>
      </c>
      <c r="N120" t="inlineStr">
        <is>
          <t>602-267-1036</t>
        </is>
      </c>
    </row>
    <row r="121" ht="15" customHeight="1" s="72">
      <c r="A121" s="7" t="n">
        <v>18036</v>
      </c>
      <c r="B121" s="5" t="inlineStr">
        <is>
          <t>ROA - 18036 - ROADRUNNER SALOON</t>
        </is>
      </c>
      <c r="C121" s="6" t="inlineStr">
        <is>
          <t>3</t>
        </is>
      </c>
      <c r="D121" s="7" t="inlineStr">
        <is>
          <t>3A</t>
        </is>
      </c>
      <c r="E121" s="24" t="inlineStr">
        <is>
          <t>47801 N Black Canyon Hwy</t>
        </is>
      </c>
      <c r="F121" s="24" t="inlineStr">
        <is>
          <t>New River</t>
        </is>
      </c>
      <c r="G121" s="25" t="inlineStr">
        <is>
          <t>AZ</t>
        </is>
      </c>
      <c r="H121" s="26" t="n">
        <v>33.91893720000001</v>
      </c>
      <c r="I121" s="26" t="n">
        <v>-112.1401541</v>
      </c>
      <c r="J121" s="27" t="n">
        <v>1850</v>
      </c>
      <c r="K121" s="25" t="inlineStr">
        <is>
          <t>CANOLA OIL</t>
        </is>
      </c>
      <c r="N121" t="inlineStr">
        <is>
          <t>(480) 411-1111</t>
        </is>
      </c>
    </row>
    <row r="122" ht="15" customHeight="1" s="72">
      <c r="A122" s="4" t="n">
        <v>18054</v>
      </c>
      <c r="B122" s="2" t="inlineStr">
        <is>
          <t>RUS - 18054 - RUSTY BUCKLE SALOON</t>
        </is>
      </c>
      <c r="C122" s="8" t="inlineStr">
        <is>
          <t>5</t>
        </is>
      </c>
      <c r="D122" s="4" t="inlineStr">
        <is>
          <t>5E</t>
        </is>
      </c>
      <c r="E122" s="24" t="inlineStr">
        <is>
          <t>285 NORTH APACHE TRAIL</t>
        </is>
      </c>
      <c r="F122" s="24" t="inlineStr">
        <is>
          <t>APACHE JUNCTION</t>
        </is>
      </c>
      <c r="G122" s="25" t="inlineStr">
        <is>
          <t>AZ</t>
        </is>
      </c>
      <c r="H122" s="26" t="n">
        <v>33.4174814</v>
      </c>
      <c r="I122" s="26" t="n">
        <v>-111.5469768</v>
      </c>
      <c r="J122" s="27" t="n">
        <v>1050</v>
      </c>
      <c r="K122" s="25" t="inlineStr">
        <is>
          <t>CANOLA OIL</t>
        </is>
      </c>
      <c r="N122" t="inlineStr">
        <is>
          <t>(480) 899-2999</t>
        </is>
      </c>
    </row>
    <row r="123" ht="15" customHeight="1" s="72">
      <c r="A123" s="7" t="n">
        <v>19022</v>
      </c>
      <c r="B123" s="5" t="inlineStr">
        <is>
          <t>SAD - 19022 - SADDLE MOUNTAIN</t>
        </is>
      </c>
      <c r="C123" s="10" t="inlineStr">
        <is>
          <t>1</t>
        </is>
      </c>
      <c r="D123" s="7" t="inlineStr">
        <is>
          <t>1E</t>
        </is>
      </c>
      <c r="E123" s="24" t="inlineStr">
        <is>
          <t>SADDLE MOUNTAIN</t>
        </is>
      </c>
      <c r="F123" s="24" t="inlineStr">
        <is>
          <t>Goodyear</t>
        </is>
      </c>
      <c r="G123" s="25" t="inlineStr">
        <is>
          <t>AZ</t>
        </is>
      </c>
      <c r="H123" s="26" t="n">
        <v>33.45640900000001</v>
      </c>
      <c r="I123" s="26" t="n">
        <v>-112.395652</v>
      </c>
      <c r="J123" s="27" t="n">
        <v>1100</v>
      </c>
      <c r="K123" s="25" t="inlineStr">
        <is>
          <t>FRYERS CHOICE BLEND</t>
        </is>
      </c>
      <c r="N123" t="inlineStr">
        <is>
          <t>623-249-5520</t>
        </is>
      </c>
    </row>
    <row r="124" ht="15" customHeight="1" s="72">
      <c r="A124" s="4" t="n">
        <v>19080</v>
      </c>
      <c r="B124" s="2" t="inlineStr">
        <is>
          <t>SAR - 19080 - SARDELLA'S LAKE PLEASANT</t>
        </is>
      </c>
      <c r="C124" s="9" t="inlineStr">
        <is>
          <t>2</t>
        </is>
      </c>
      <c r="D124" s="4" t="inlineStr">
        <is>
          <t>2C</t>
        </is>
      </c>
      <c r="E124" s="24" t="inlineStr">
        <is>
          <t>8278 W Lake Pleasant Pkwy</t>
        </is>
      </c>
      <c r="F124" s="24" t="inlineStr">
        <is>
          <t>Peoria</t>
        </is>
      </c>
      <c r="G124" s="25" t="inlineStr">
        <is>
          <t>AZ</t>
        </is>
      </c>
      <c r="H124" s="26" t="n">
        <v>33.6703621</v>
      </c>
      <c r="I124" s="26" t="n">
        <v>-112.2383551</v>
      </c>
      <c r="J124" s="27" t="n">
        <v>620</v>
      </c>
      <c r="K124" s="25" t="inlineStr">
        <is>
          <t>CANOLA OIL</t>
        </is>
      </c>
      <c r="N124" t="inlineStr">
        <is>
          <t>(623) 561-9200</t>
        </is>
      </c>
    </row>
    <row r="125" ht="15" customHeight="1" s="72">
      <c r="A125" s="7" t="n">
        <v>19081</v>
      </c>
      <c r="B125" s="5" t="inlineStr">
        <is>
          <t>SAR - 19081 - SARDELLA'S 19TH AVE</t>
        </is>
      </c>
      <c r="C125" s="6" t="inlineStr">
        <is>
          <t>3</t>
        </is>
      </c>
      <c r="D125" s="7" t="inlineStr">
        <is>
          <t>3C</t>
        </is>
      </c>
      <c r="E125" s="24" t="inlineStr">
        <is>
          <t>18631 N 19Th Ave</t>
        </is>
      </c>
      <c r="F125" s="24" t="inlineStr">
        <is>
          <t>Phoenix</t>
        </is>
      </c>
      <c r="G125" s="25" t="inlineStr">
        <is>
          <t>AZ</t>
        </is>
      </c>
      <c r="H125" s="26" t="n">
        <v>33.6559375</v>
      </c>
      <c r="I125" s="26" t="n">
        <v>-112.0979379</v>
      </c>
      <c r="J125" s="27" t="n">
        <v>620</v>
      </c>
      <c r="K125" s="25" t="inlineStr">
        <is>
          <t>CANOLA OIL</t>
        </is>
      </c>
      <c r="N125" t="inlineStr">
        <is>
          <t>(623) 492-0550</t>
        </is>
      </c>
    </row>
    <row r="126" ht="15" customHeight="1" s="72">
      <c r="A126" s="4" t="n">
        <v>19082</v>
      </c>
      <c r="B126" s="2" t="inlineStr">
        <is>
          <t>SAR - 19082 - SARDELLA'S CACTUS</t>
        </is>
      </c>
      <c r="C126" s="6" t="inlineStr">
        <is>
          <t>3</t>
        </is>
      </c>
      <c r="D126" s="4" t="inlineStr">
        <is>
          <t>3C</t>
        </is>
      </c>
      <c r="E126" s="24" t="inlineStr">
        <is>
          <t>4212 W Cactus Rd</t>
        </is>
      </c>
      <c r="F126" s="24" t="inlineStr">
        <is>
          <t>Phoenix</t>
        </is>
      </c>
      <c r="G126" s="25" t="inlineStr">
        <is>
          <t>AZ</t>
        </is>
      </c>
      <c r="H126" s="26" t="n">
        <v>33.5980529</v>
      </c>
      <c r="I126" s="26" t="n">
        <v>-112.1509389</v>
      </c>
      <c r="J126" s="27" t="n">
        <v>620</v>
      </c>
      <c r="K126" s="25" t="inlineStr">
        <is>
          <t>CANOLA OIL</t>
        </is>
      </c>
    </row>
    <row r="127" ht="15" customHeight="1" s="72">
      <c r="A127" s="7" t="n">
        <v>19089</v>
      </c>
      <c r="B127" s="5" t="inlineStr">
        <is>
          <t>SEI - 19089 - SEIDO SUSHI</t>
        </is>
      </c>
      <c r="C127" s="6" t="inlineStr">
        <is>
          <t>3</t>
        </is>
      </c>
      <c r="D127" s="7" t="inlineStr">
        <is>
          <t>3D</t>
        </is>
      </c>
      <c r="E127" s="24" t="inlineStr">
        <is>
          <t>4372 W. Olive Ave</t>
        </is>
      </c>
      <c r="F127" s="24" t="inlineStr">
        <is>
          <t>Glendale</t>
        </is>
      </c>
      <c r="G127" s="25" t="inlineStr">
        <is>
          <t>AZ</t>
        </is>
      </c>
      <c r="H127" s="26" t="n">
        <v>33.5678887</v>
      </c>
      <c r="I127" s="26" t="n">
        <v>-112.1538264</v>
      </c>
      <c r="J127" s="27" t="n">
        <v>350</v>
      </c>
      <c r="K127" s="25" t="inlineStr">
        <is>
          <t>CANOLA OIL</t>
        </is>
      </c>
    </row>
    <row r="128" ht="15" customHeight="1" s="72">
      <c r="A128" s="4" t="n">
        <v>19107</v>
      </c>
      <c r="B128" s="2" t="inlineStr">
        <is>
          <t>SHA - 19107 - SHARKO'S CATERING</t>
        </is>
      </c>
      <c r="C128" s="6" t="inlineStr">
        <is>
          <t>3</t>
        </is>
      </c>
      <c r="D128" s="4" t="inlineStr">
        <is>
          <t>3D</t>
        </is>
      </c>
      <c r="E128" s="24" t="inlineStr">
        <is>
          <t>4522 North 26th Dr.</t>
        </is>
      </c>
      <c r="F128" s="24" t="inlineStr">
        <is>
          <t>Phoenix</t>
        </is>
      </c>
      <c r="G128" s="25" t="inlineStr">
        <is>
          <t>AZ</t>
        </is>
      </c>
      <c r="H128" s="26" t="n">
        <v>33.502972</v>
      </c>
      <c r="I128" s="26" t="n">
        <v>-112.116158</v>
      </c>
      <c r="J128" s="27" t="n">
        <v>450</v>
      </c>
      <c r="K128" s="25" t="inlineStr">
        <is>
          <t>CANOLA OIL</t>
        </is>
      </c>
      <c r="N128" t="inlineStr">
        <is>
          <t>(602) 242-2662</t>
        </is>
      </c>
    </row>
    <row r="129" ht="15" customHeight="1" s="72">
      <c r="A129" s="7" t="n">
        <v>19110</v>
      </c>
      <c r="B129" s="5" t="inlineStr">
        <is>
          <t>SOC - 19110 - SOCIAL TAP EATERY</t>
        </is>
      </c>
      <c r="C129" s="3" t="inlineStr">
        <is>
          <t>4</t>
        </is>
      </c>
      <c r="D129" s="7" t="inlineStr">
        <is>
          <t>4D</t>
        </is>
      </c>
      <c r="E129" s="24" t="inlineStr">
        <is>
          <t>4312 N Brown Ave</t>
        </is>
      </c>
      <c r="F129" s="24" t="inlineStr">
        <is>
          <t>Scottsdale</t>
        </is>
      </c>
      <c r="G129" s="25" t="inlineStr">
        <is>
          <t>AZ</t>
        </is>
      </c>
      <c r="H129" s="26" t="n">
        <v>33.4987599</v>
      </c>
      <c r="I129" s="26" t="n">
        <v>-111.9246156</v>
      </c>
      <c r="J129" s="27" t="n">
        <v>1500</v>
      </c>
      <c r="K129" s="25" t="inlineStr">
        <is>
          <t>CANOLA OIL</t>
        </is>
      </c>
      <c r="N129" t="inlineStr">
        <is>
          <t>(937) 776-6762</t>
        </is>
      </c>
    </row>
    <row r="130" ht="15" customHeight="1" s="72">
      <c r="A130" s="4" t="n">
        <v>19119</v>
      </c>
      <c r="B130" s="2" t="inlineStr">
        <is>
          <t>SOU - 19119 - SOUL FIRE TACOS</t>
        </is>
      </c>
      <c r="C130" s="3" t="inlineStr">
        <is>
          <t>4</t>
        </is>
      </c>
      <c r="D130" s="4" t="inlineStr">
        <is>
          <t>4C</t>
        </is>
      </c>
      <c r="E130" s="24" t="inlineStr">
        <is>
          <t>15111 N HAYDEN RD #120</t>
        </is>
      </c>
      <c r="F130" s="24" t="inlineStr">
        <is>
          <t>SCOTTSDALE</t>
        </is>
      </c>
      <c r="G130" s="25" t="inlineStr">
        <is>
          <t>AZ</t>
        </is>
      </c>
      <c r="H130" s="26" t="n">
        <v>33.622056</v>
      </c>
      <c r="I130" s="26" t="n">
        <v>-111.904496</v>
      </c>
      <c r="J130" s="27" t="n">
        <v>480</v>
      </c>
      <c r="K130" s="25" t="inlineStr">
        <is>
          <t>FRYERS CHOICE BLEND</t>
        </is>
      </c>
      <c r="N130" t="inlineStr">
        <is>
          <t>(480) 225-4342</t>
        </is>
      </c>
    </row>
    <row r="131" ht="15" customHeight="1" s="72">
      <c r="A131" s="7" t="n">
        <v>19031</v>
      </c>
      <c r="B131" s="5" t="inlineStr">
        <is>
          <t>STA - 19031 - STATE 48 BREWERY</t>
        </is>
      </c>
      <c r="C131" s="10" t="inlineStr">
        <is>
          <t>1</t>
        </is>
      </c>
      <c r="D131" s="7" t="inlineStr">
        <is>
          <t>1C</t>
        </is>
      </c>
      <c r="E131" s="24" t="inlineStr">
        <is>
          <t>13823 W BELL RD</t>
        </is>
      </c>
      <c r="F131" s="24" t="inlineStr">
        <is>
          <t>SUPRISE</t>
        </is>
      </c>
      <c r="G131" s="25" t="inlineStr">
        <is>
          <t>AZ</t>
        </is>
      </c>
      <c r="H131" s="26" t="n">
        <v>33.6382448</v>
      </c>
      <c r="I131" s="26" t="n">
        <v>-112.357798</v>
      </c>
      <c r="J131" s="27" t="n">
        <v>950</v>
      </c>
      <c r="K131" s="25" t="inlineStr">
        <is>
          <t>CANOLA OIL</t>
        </is>
      </c>
      <c r="N131" t="inlineStr">
        <is>
          <t>623-584-1095</t>
        </is>
      </c>
    </row>
    <row r="132" ht="15" customHeight="1" s="72">
      <c r="A132" s="4" t="n">
        <v>19033</v>
      </c>
      <c r="B132" s="2" t="inlineStr">
        <is>
          <t>STA - 19033 - STATE 48 SCOTTSDALE</t>
        </is>
      </c>
      <c r="C132" s="3" t="inlineStr">
        <is>
          <t>4</t>
        </is>
      </c>
      <c r="D132" s="4" t="inlineStr">
        <is>
          <t>4C</t>
        </is>
      </c>
      <c r="E132" s="24" t="inlineStr">
        <is>
          <t>15600 N Hayden Rd</t>
        </is>
      </c>
      <c r="F132" s="24" t="inlineStr">
        <is>
          <t>Scottsdale</t>
        </is>
      </c>
      <c r="G132" s="25" t="inlineStr">
        <is>
          <t>AZ</t>
        </is>
      </c>
      <c r="H132" s="26" t="n">
        <v>33.6281212</v>
      </c>
      <c r="I132" s="26" t="n">
        <v>-111.8964059</v>
      </c>
      <c r="J132" s="27" t="n">
        <v>350</v>
      </c>
      <c r="K132" s="25" t="inlineStr">
        <is>
          <t>FRYERS CHOICE BLEND</t>
        </is>
      </c>
    </row>
    <row r="133" ht="15" customHeight="1" s="72">
      <c r="A133" s="7" t="n">
        <v>19035</v>
      </c>
      <c r="B133" s="5" t="inlineStr">
        <is>
          <t>STA - 19035 - STATE 48 GLENDALE</t>
        </is>
      </c>
      <c r="C133" s="9" t="inlineStr">
        <is>
          <t>2</t>
        </is>
      </c>
      <c r="D133" s="7" t="inlineStr">
        <is>
          <t>2D</t>
        </is>
      </c>
      <c r="E133" s="24" t="inlineStr">
        <is>
          <t>6770 N SUNRISE BLVD G-100</t>
        </is>
      </c>
      <c r="F133" s="24" t="inlineStr">
        <is>
          <t>GLENDALE</t>
        </is>
      </c>
      <c r="G133" s="25" t="inlineStr">
        <is>
          <t>AZ</t>
        </is>
      </c>
      <c r="H133" s="26" t="n">
        <v>33.5339016</v>
      </c>
      <c r="I133" s="26" t="n">
        <v>-112.260605</v>
      </c>
      <c r="J133" s="27" t="n">
        <v>350</v>
      </c>
      <c r="K133" s="25" t="inlineStr">
        <is>
          <t>CANOLA OIL</t>
        </is>
      </c>
    </row>
    <row r="134" ht="15" customHeight="1" s="72">
      <c r="A134" s="4" t="n">
        <v>19123</v>
      </c>
      <c r="B134" s="2" t="inlineStr">
        <is>
          <t>STA - 19123 - STATE 48 HAPPY VALLEY</t>
        </is>
      </c>
      <c r="C134" s="6" t="inlineStr">
        <is>
          <t>3</t>
        </is>
      </c>
      <c r="D134" s="4" t="inlineStr">
        <is>
          <t>3B</t>
        </is>
      </c>
      <c r="E134" s="24" t="inlineStr">
        <is>
          <t>2530 W HAPPY VALLEY RD</t>
        </is>
      </c>
      <c r="F134" s="24" t="inlineStr">
        <is>
          <t>PHOENIX</t>
        </is>
      </c>
      <c r="G134" s="25" t="inlineStr">
        <is>
          <t>AZ</t>
        </is>
      </c>
      <c r="H134" s="26" t="n">
        <v>33.71529110000001</v>
      </c>
      <c r="I134" s="26" t="n">
        <v>-112.1136426</v>
      </c>
      <c r="J134" s="27" t="n">
        <v>350</v>
      </c>
      <c r="K134" s="25" t="inlineStr">
        <is>
          <t>CANOLA OIL</t>
        </is>
      </c>
    </row>
    <row r="135" ht="15" customHeight="1" s="72">
      <c r="A135" s="7" t="n">
        <v>19077</v>
      </c>
      <c r="B135" s="5" t="inlineStr">
        <is>
          <t>SUG - 19077- SUGAR JAM</t>
        </is>
      </c>
      <c r="C135" s="3" t="inlineStr">
        <is>
          <t>4</t>
        </is>
      </c>
      <c r="D135" s="7" t="inlineStr">
        <is>
          <t>4C</t>
        </is>
      </c>
      <c r="E135" s="24" t="inlineStr">
        <is>
          <t>15111 N Hayden Rd Ste 170</t>
        </is>
      </c>
      <c r="F135" s="24" t="inlineStr">
        <is>
          <t>Scottsdale</t>
        </is>
      </c>
      <c r="G135" s="25" t="inlineStr">
        <is>
          <t>AZ</t>
        </is>
      </c>
      <c r="H135" s="26" t="n">
        <v>33.62204</v>
      </c>
      <c r="I135" s="26" t="n">
        <v>-111.9044144</v>
      </c>
      <c r="J135" s="27" t="n">
        <v>1050</v>
      </c>
      <c r="K135" s="25" t="inlineStr">
        <is>
          <t>FRYERS CHOICE BLEND</t>
        </is>
      </c>
      <c r="N135" t="inlineStr">
        <is>
          <t>(480) 225-4242</t>
        </is>
      </c>
    </row>
    <row r="136" ht="15" customHeight="1" s="72">
      <c r="A136" s="4" t="n">
        <v>19117</v>
      </c>
      <c r="B136" s="2" t="inlineStr">
        <is>
          <t>SUN - 19117 - SUNSHINE BREAKFAST BAR TEMPE</t>
        </is>
      </c>
      <c r="C136" s="6" t="inlineStr">
        <is>
          <t>3</t>
        </is>
      </c>
      <c r="D136" s="4" t="inlineStr">
        <is>
          <t>3C</t>
        </is>
      </c>
      <c r="E136" s="24" t="inlineStr">
        <is>
          <t>788 E BASELINE RD</t>
        </is>
      </c>
      <c r="F136" s="24" t="inlineStr">
        <is>
          <t>TEMPE</t>
        </is>
      </c>
      <c r="G136" s="25" t="inlineStr">
        <is>
          <t>AZ</t>
        </is>
      </c>
      <c r="H136" s="26" t="n">
        <v>33.3787189</v>
      </c>
      <c r="I136" s="26" t="n">
        <v>-111.9301978</v>
      </c>
      <c r="J136" s="27" t="n">
        <v>500</v>
      </c>
      <c r="K136" s="25" t="inlineStr">
        <is>
          <t>FRYERS CHOICE BLEND</t>
        </is>
      </c>
      <c r="N136" t="inlineStr">
        <is>
          <t>(480) 272-2388</t>
        </is>
      </c>
    </row>
    <row r="137" ht="15" customHeight="1" s="72">
      <c r="A137" s="7" t="n">
        <v>20081</v>
      </c>
      <c r="B137" s="5" t="inlineStr">
        <is>
          <t>TAC - 20081 - TACO GUILD</t>
        </is>
      </c>
      <c r="C137" s="6" t="inlineStr">
        <is>
          <t>3</t>
        </is>
      </c>
      <c r="D137" s="7" t="inlineStr">
        <is>
          <t>3D</t>
        </is>
      </c>
      <c r="E137" s="24" t="inlineStr">
        <is>
          <t>TACO GUILD</t>
        </is>
      </c>
      <c r="F137" s="24" t="inlineStr">
        <is>
          <t>PHOENIX</t>
        </is>
      </c>
      <c r="G137" s="25" t="inlineStr">
        <is>
          <t>AZ</t>
        </is>
      </c>
      <c r="H137" s="26" t="n">
        <v>33.4877599</v>
      </c>
      <c r="I137" s="26" t="n">
        <v>-112.0656849</v>
      </c>
      <c r="J137" s="27" t="n">
        <v>1050</v>
      </c>
      <c r="K137" s="25" t="inlineStr">
        <is>
          <t>CANOLA OIL</t>
        </is>
      </c>
    </row>
    <row r="138" ht="15" customHeight="1" s="72">
      <c r="A138" s="4" t="n">
        <v>20090</v>
      </c>
      <c r="B138" s="2" t="inlineStr">
        <is>
          <t>TAI - 20090 - TAILGATERS LAKE PLEASANT</t>
        </is>
      </c>
      <c r="C138" s="9" t="inlineStr">
        <is>
          <t>2</t>
        </is>
      </c>
      <c r="D138" s="4" t="inlineStr">
        <is>
          <t>2C</t>
        </is>
      </c>
      <c r="E138" s="24" t="inlineStr">
        <is>
          <t>10146 W LAKE PLEASANT PKWY</t>
        </is>
      </c>
      <c r="F138" s="24" t="inlineStr">
        <is>
          <t>PEORIA</t>
        </is>
      </c>
      <c r="G138" s="25" t="inlineStr">
        <is>
          <t>AZ</t>
        </is>
      </c>
      <c r="H138" s="26" t="n">
        <v>33.6783247</v>
      </c>
      <c r="I138" s="26" t="n">
        <v>-112.2768177</v>
      </c>
      <c r="J138" s="27" t="n">
        <v>1050</v>
      </c>
      <c r="K138" s="25" t="inlineStr">
        <is>
          <t>CANOLA OIL</t>
        </is>
      </c>
      <c r="N138" t="inlineStr">
        <is>
          <t>(623) 825-9999</t>
        </is>
      </c>
    </row>
    <row r="139" ht="15" customHeight="1" s="72">
      <c r="A139" s="7" t="n">
        <v>20091</v>
      </c>
      <c r="B139" s="5" t="inlineStr">
        <is>
          <t>TAI - 20091 - TAILGATERS BELL SURPRISE</t>
        </is>
      </c>
      <c r="C139" s="10" t="inlineStr">
        <is>
          <t>1</t>
        </is>
      </c>
      <c r="D139" s="7" t="inlineStr">
        <is>
          <t>1C</t>
        </is>
      </c>
      <c r="E139" s="24" t="inlineStr">
        <is>
          <t>15529 W BELL RD</t>
        </is>
      </c>
      <c r="F139" s="24" t="inlineStr">
        <is>
          <t>SURPRISE</t>
        </is>
      </c>
      <c r="G139" s="25" t="inlineStr">
        <is>
          <t>AZ</t>
        </is>
      </c>
      <c r="H139" s="26" t="n">
        <v>33.636786</v>
      </c>
      <c r="I139" s="26" t="n">
        <v>-112.3946409</v>
      </c>
      <c r="J139" s="27" t="n">
        <v>1050</v>
      </c>
      <c r="K139" s="25" t="inlineStr">
        <is>
          <t>CANOLA OIL</t>
        </is>
      </c>
      <c r="N139" t="inlineStr">
        <is>
          <t>(623) 544-1111</t>
        </is>
      </c>
    </row>
    <row r="140" ht="15" customHeight="1" s="72">
      <c r="A140" s="4" t="n">
        <v>20092</v>
      </c>
      <c r="B140" s="2" t="inlineStr">
        <is>
          <t>TAI - 20092 - TAILGATERS ESTRELLA</t>
        </is>
      </c>
      <c r="C140" s="10" t="inlineStr">
        <is>
          <t>1</t>
        </is>
      </c>
      <c r="D140" s="4" t="inlineStr">
        <is>
          <t>1E</t>
        </is>
      </c>
      <c r="E140" s="24" t="inlineStr">
        <is>
          <t>530 N ESTRELLA PKWY</t>
        </is>
      </c>
      <c r="F140" s="24" t="inlineStr">
        <is>
          <t>GOODYEAR</t>
        </is>
      </c>
      <c r="G140" s="25" t="inlineStr">
        <is>
          <t>AZ</t>
        </is>
      </c>
      <c r="H140" s="26" t="n">
        <v>33.4525673</v>
      </c>
      <c r="I140" s="26" t="n">
        <v>-112.3939295</v>
      </c>
      <c r="J140" s="27" t="n">
        <v>1050</v>
      </c>
      <c r="K140" s="25" t="inlineStr">
        <is>
          <t>CANOLA OIL</t>
        </is>
      </c>
      <c r="N140" t="inlineStr">
        <is>
          <t>(623) 533-6888</t>
        </is>
      </c>
    </row>
    <row r="141" ht="15" customHeight="1" s="72">
      <c r="A141" s="7" t="n">
        <v>20093</v>
      </c>
      <c r="B141" s="5" t="inlineStr">
        <is>
          <t>TAI - 20093 - TAILGATERS DYSART</t>
        </is>
      </c>
      <c r="C141" s="9" t="inlineStr">
        <is>
          <t>2</t>
        </is>
      </c>
      <c r="D141" s="7" t="inlineStr">
        <is>
          <t>2D</t>
        </is>
      </c>
      <c r="E141" s="24" t="inlineStr">
        <is>
          <t>5110 N DYSART RD</t>
        </is>
      </c>
      <c r="F141" s="24" t="inlineStr">
        <is>
          <t>LITCHFIELD PARK</t>
        </is>
      </c>
      <c r="G141" s="25" t="inlineStr">
        <is>
          <t>AZ</t>
        </is>
      </c>
      <c r="H141" s="26" t="n">
        <v>33.5093666</v>
      </c>
      <c r="I141" s="26" t="n">
        <v>-112.342473</v>
      </c>
      <c r="J141" s="27" t="n">
        <v>1050</v>
      </c>
      <c r="K141" s="25" t="inlineStr">
        <is>
          <t>FRYERS CHOICE BLEND</t>
        </is>
      </c>
      <c r="N141" t="inlineStr">
        <is>
          <t>(623) 547-2227</t>
        </is>
      </c>
    </row>
    <row r="142" ht="15" customHeight="1" s="72">
      <c r="A142" s="4" t="n">
        <v>20094</v>
      </c>
      <c r="B142" s="2" t="inlineStr">
        <is>
          <t>TAI - 20094 - TAILGATERS WATSON</t>
        </is>
      </c>
      <c r="C142" s="10" t="inlineStr">
        <is>
          <t>1</t>
        </is>
      </c>
      <c r="D142" s="4" t="inlineStr">
        <is>
          <t>1E</t>
        </is>
      </c>
      <c r="E142" s="24" t="inlineStr">
        <is>
          <t>457 S WATSON RD</t>
        </is>
      </c>
      <c r="F142" s="24" t="inlineStr">
        <is>
          <t>BUCKEYE</t>
        </is>
      </c>
      <c r="G142" s="25" t="inlineStr">
        <is>
          <t>AZ</t>
        </is>
      </c>
      <c r="H142" s="26" t="n">
        <v>33.442979</v>
      </c>
      <c r="I142" s="26" t="n">
        <v>-112.5547635</v>
      </c>
      <c r="J142" s="27" t="n">
        <v>1050</v>
      </c>
      <c r="K142" s="25" t="inlineStr">
        <is>
          <t>CANOLA OIL</t>
        </is>
      </c>
      <c r="N142" t="inlineStr">
        <is>
          <t>(623) 440-2222</t>
        </is>
      </c>
    </row>
    <row r="143" ht="15" customHeight="1" s="72">
      <c r="A143" s="7" t="n">
        <v>20095</v>
      </c>
      <c r="B143" s="5" t="inlineStr">
        <is>
          <t>TAI - 20095 - TAILGATERS TATUM CAVE CR</t>
        </is>
      </c>
      <c r="C143" s="3" t="inlineStr">
        <is>
          <t>4</t>
        </is>
      </c>
      <c r="D143" s="7" t="inlineStr">
        <is>
          <t>4B</t>
        </is>
      </c>
      <c r="E143" s="24" t="inlineStr">
        <is>
          <t>28234 N TATUM BLVD</t>
        </is>
      </c>
      <c r="F143" s="24" t="inlineStr">
        <is>
          <t>CAVE CREEK</t>
        </is>
      </c>
      <c r="G143" s="25" t="inlineStr">
        <is>
          <t>AZ</t>
        </is>
      </c>
      <c r="H143" s="26" t="n">
        <v>33.7422555</v>
      </c>
      <c r="I143" s="26" t="n">
        <v>-111.9798691</v>
      </c>
      <c r="J143" s="27" t="n">
        <v>1050</v>
      </c>
      <c r="K143" s="25" t="inlineStr">
        <is>
          <t>CANOLA OIL</t>
        </is>
      </c>
      <c r="N143" t="inlineStr">
        <is>
          <t>(480) 585-7777</t>
        </is>
      </c>
    </row>
    <row r="144" ht="15" customHeight="1" s="72">
      <c r="A144" s="4" t="n">
        <v>20098</v>
      </c>
      <c r="B144" s="2" t="inlineStr">
        <is>
          <t>TAI - 20098 - IL PRIMO BELL CAVE CREEK</t>
        </is>
      </c>
      <c r="C144" s="3" t="inlineStr">
        <is>
          <t>4</t>
        </is>
      </c>
      <c r="D144" s="4" t="inlineStr">
        <is>
          <t>4B</t>
        </is>
      </c>
      <c r="E144" s="24" t="inlineStr">
        <is>
          <t>16880 N CAVE CREEK RD</t>
        </is>
      </c>
      <c r="F144" s="24" t="inlineStr">
        <is>
          <t>PHOENIX</t>
        </is>
      </c>
      <c r="G144" s="25" t="inlineStr">
        <is>
          <t>AZ</t>
        </is>
      </c>
      <c r="H144" s="26" t="n">
        <v>33.6402464</v>
      </c>
      <c r="I144" s="26" t="n">
        <v>-112.0328493</v>
      </c>
      <c r="J144" s="27" t="n">
        <v>1050</v>
      </c>
      <c r="K144" s="25" t="inlineStr">
        <is>
          <t>CANOLA OIL</t>
        </is>
      </c>
    </row>
    <row r="145" ht="15" customHeight="1" s="72">
      <c r="A145" s="7" t="n">
        <v>22006</v>
      </c>
      <c r="B145" s="5" t="inlineStr">
        <is>
          <t>TAP - 22006 - TAP HOUSE SPORTS GRILL</t>
        </is>
      </c>
      <c r="C145" s="10" t="inlineStr">
        <is>
          <t>1</t>
        </is>
      </c>
      <c r="D145" s="7" t="inlineStr">
        <is>
          <t>1C</t>
        </is>
      </c>
      <c r="E145" s="24" t="inlineStr">
        <is>
          <t>VENUE TAPROOM</t>
        </is>
      </c>
      <c r="F145" s="24" t="inlineStr">
        <is>
          <t>Surprise</t>
        </is>
      </c>
      <c r="G145" s="25" t="inlineStr">
        <is>
          <t>AZ</t>
        </is>
      </c>
      <c r="H145" s="26" t="n">
        <v>33.6082034</v>
      </c>
      <c r="I145" s="26" t="n">
        <v>-112.3573367</v>
      </c>
      <c r="J145" s="27" t="n">
        <v>950</v>
      </c>
      <c r="K145" s="25" t="inlineStr">
        <is>
          <t>FRYERS CHOICE BLEND</t>
        </is>
      </c>
      <c r="N145" t="inlineStr">
        <is>
          <t>(623) 584-0255</t>
        </is>
      </c>
    </row>
    <row r="146" ht="15" customHeight="1" s="72">
      <c r="A146" s="4" t="n">
        <v>20013</v>
      </c>
      <c r="B146" s="2" t="inlineStr">
        <is>
          <t>THE - 20013 - THE VIG HAYDEN</t>
        </is>
      </c>
      <c r="C146" s="3" t="inlineStr">
        <is>
          <t>4</t>
        </is>
      </c>
      <c r="D146" s="4" t="inlineStr">
        <is>
          <t>4C</t>
        </is>
      </c>
      <c r="E146" s="24" t="inlineStr">
        <is>
          <t>7345 N Via Paseo Del Sur</t>
        </is>
      </c>
      <c r="F146" s="24" t="inlineStr">
        <is>
          <t>Scottsdale</t>
        </is>
      </c>
      <c r="G146" s="25" t="inlineStr">
        <is>
          <t>AZ</t>
        </is>
      </c>
      <c r="H146" s="26" t="n">
        <v>33.5430114</v>
      </c>
      <c r="I146" s="26" t="n">
        <v>-111.9052496</v>
      </c>
      <c r="J146" s="27" t="n">
        <v>1050</v>
      </c>
      <c r="K146" s="25" t="inlineStr">
        <is>
          <t>CANOLA OIL</t>
        </is>
      </c>
      <c r="N146" t="inlineStr">
        <is>
          <t>(480) 758-5399</t>
        </is>
      </c>
    </row>
    <row r="147" ht="15" customHeight="1" s="72">
      <c r="A147" s="7" t="n">
        <v>20014</v>
      </c>
      <c r="B147" s="5" t="inlineStr">
        <is>
          <t>THE - 20014 - THE TACK ROOM</t>
        </is>
      </c>
      <c r="C147" s="10" t="inlineStr">
        <is>
          <t>1</t>
        </is>
      </c>
      <c r="D147" s="7" t="inlineStr">
        <is>
          <t>1E</t>
        </is>
      </c>
      <c r="E147" s="24" t="inlineStr">
        <is>
          <t>10300 South Miller Road</t>
        </is>
      </c>
      <c r="F147" s="24" t="inlineStr">
        <is>
          <t>Buckeye</t>
        </is>
      </c>
      <c r="G147" s="25" t="inlineStr">
        <is>
          <t>AZ</t>
        </is>
      </c>
      <c r="H147" s="26" t="n">
        <v>33.3539128</v>
      </c>
      <c r="I147" s="26" t="n">
        <v>-112.5918433</v>
      </c>
      <c r="J147" s="27" t="n">
        <v>1050</v>
      </c>
      <c r="K147" s="25" t="inlineStr">
        <is>
          <t>CANOLA OIL</t>
        </is>
      </c>
    </row>
    <row r="148" ht="15" customHeight="1" s="72">
      <c r="A148" s="4" t="n">
        <v>20019</v>
      </c>
      <c r="B148" s="2" t="inlineStr">
        <is>
          <t>THE - 20019 - THE PLACE</t>
        </is>
      </c>
      <c r="C148" s="9" t="inlineStr">
        <is>
          <t>2</t>
        </is>
      </c>
      <c r="D148" s="4" t="inlineStr">
        <is>
          <t>2C</t>
        </is>
      </c>
      <c r="E148" s="24" t="inlineStr">
        <is>
          <t>5171 W Bell Rd</t>
        </is>
      </c>
      <c r="F148" s="24" t="inlineStr">
        <is>
          <t>Glendale</t>
        </is>
      </c>
      <c r="G148" s="25" t="inlineStr">
        <is>
          <t>AZ</t>
        </is>
      </c>
      <c r="H148" s="26" t="n">
        <v>33.6386767</v>
      </c>
      <c r="I148" s="26" t="n">
        <v>-112.1709561</v>
      </c>
      <c r="J148" s="27" t="n">
        <v>1050</v>
      </c>
      <c r="K148" s="25" t="inlineStr">
        <is>
          <t>CANOLA OIL</t>
        </is>
      </c>
      <c r="N148" t="inlineStr">
        <is>
          <t>(602) 896-9929</t>
        </is>
      </c>
    </row>
    <row r="149" ht="15" customHeight="1" s="72">
      <c r="A149" s="7" t="n">
        <v>20021</v>
      </c>
      <c r="B149" s="5" t="inlineStr">
        <is>
          <t>THE - 20021 - THE VIG VAL VISTA</t>
        </is>
      </c>
      <c r="C149" s="8" t="inlineStr">
        <is>
          <t>5</t>
        </is>
      </c>
      <c r="D149" s="7" t="inlineStr">
        <is>
          <t>5E</t>
        </is>
      </c>
      <c r="E149" s="24" t="inlineStr">
        <is>
          <t>1744 S VAL VISTA DR</t>
        </is>
      </c>
      <c r="F149" s="24" t="inlineStr">
        <is>
          <t>MESA</t>
        </is>
      </c>
      <c r="G149" s="25" t="inlineStr">
        <is>
          <t>AZ</t>
        </is>
      </c>
      <c r="H149" s="26" t="n">
        <v>33.3833265</v>
      </c>
      <c r="I149" s="26" t="n">
        <v>-111.7569014</v>
      </c>
      <c r="J149" s="27" t="n">
        <v>1050</v>
      </c>
      <c r="K149" s="25" t="inlineStr">
        <is>
          <t>CANOLA OIL</t>
        </is>
      </c>
      <c r="N149" t="inlineStr">
        <is>
          <t>(480) 758-5399</t>
        </is>
      </c>
    </row>
    <row r="150" ht="15" customHeight="1" s="72">
      <c r="A150" s="4" t="n">
        <v>20088</v>
      </c>
      <c r="B150" s="2" t="inlineStr">
        <is>
          <t>THE - 20088 - THE VIG BELL</t>
        </is>
      </c>
      <c r="C150" s="3" t="inlineStr">
        <is>
          <t>4</t>
        </is>
      </c>
      <c r="D150" s="4" t="inlineStr">
        <is>
          <t>4D</t>
        </is>
      </c>
      <c r="E150" s="24" t="inlineStr">
        <is>
          <t>10199 E BELL RD</t>
        </is>
      </c>
      <c r="F150" s="24" t="inlineStr">
        <is>
          <t>SCOTTSDALE</t>
        </is>
      </c>
      <c r="G150" s="25" t="inlineStr">
        <is>
          <t>AZ</t>
        </is>
      </c>
      <c r="H150" s="26" t="n">
        <v>33.6395371</v>
      </c>
      <c r="I150" s="26" t="n">
        <v>-111.8617453</v>
      </c>
      <c r="J150" s="27" t="n">
        <v>1050</v>
      </c>
      <c r="K150" s="25" t="inlineStr">
        <is>
          <t>CANOLA OIL</t>
        </is>
      </c>
      <c r="N150" t="inlineStr">
        <is>
          <t>(480) 935-2949</t>
        </is>
      </c>
    </row>
    <row r="151" ht="15" customHeight="1" s="72">
      <c r="A151" s="7" t="n">
        <v>20033</v>
      </c>
      <c r="B151" s="5" t="inlineStr">
        <is>
          <t>THE- 20033 - THE HERMOSA INN</t>
        </is>
      </c>
      <c r="C151" s="3" t="inlineStr">
        <is>
          <t>4</t>
        </is>
      </c>
      <c r="D151" s="7" t="inlineStr">
        <is>
          <t>4D</t>
        </is>
      </c>
      <c r="E151" s="24" t="inlineStr">
        <is>
          <t>THE HERMOSA INN</t>
        </is>
      </c>
      <c r="F151" s="24" t="inlineStr">
        <is>
          <t>Paradise Vly</t>
        </is>
      </c>
      <c r="G151" s="25" t="inlineStr">
        <is>
          <t>AZ</t>
        </is>
      </c>
      <c r="H151" s="26" t="n">
        <v>33.5183357</v>
      </c>
      <c r="I151" s="26" t="n">
        <v>-112.0049045</v>
      </c>
      <c r="J151" s="27" t="n">
        <v>1050</v>
      </c>
      <c r="K151" s="25" t="inlineStr">
        <is>
          <t>CANOLA OIL</t>
        </is>
      </c>
      <c r="N151" t="inlineStr">
        <is>
          <t>602-955-8614</t>
        </is>
      </c>
    </row>
    <row r="152" ht="15" customHeight="1" s="72">
      <c r="A152" s="4" t="n">
        <v>20051</v>
      </c>
      <c r="B152" s="2" t="inlineStr">
        <is>
          <t>TIM - 20051 - TIM FINNEGANS</t>
        </is>
      </c>
      <c r="C152" s="9" t="inlineStr">
        <is>
          <t>2</t>
        </is>
      </c>
      <c r="D152" s="4" t="inlineStr">
        <is>
          <t>2C</t>
        </is>
      </c>
      <c r="E152" s="24" t="inlineStr">
        <is>
          <t>TIM FINNEGANS</t>
        </is>
      </c>
      <c r="F152" s="24" t="inlineStr">
        <is>
          <t>Glendale</t>
        </is>
      </c>
      <c r="G152" s="25" t="inlineStr">
        <is>
          <t>AZ</t>
        </is>
      </c>
      <c r="H152" s="26" t="n">
        <v>33.6404709</v>
      </c>
      <c r="I152" s="26" t="n">
        <v>-112.1860298</v>
      </c>
      <c r="J152" s="27" t="n">
        <v>300</v>
      </c>
      <c r="K152" s="25" t="inlineStr">
        <is>
          <t>FRYERS CHOICE BLEND</t>
        </is>
      </c>
      <c r="N152" t="inlineStr">
        <is>
          <t>602 875 8331</t>
        </is>
      </c>
    </row>
    <row r="153" ht="15" customHeight="1" s="72">
      <c r="A153" s="7" t="n">
        <v>20077</v>
      </c>
      <c r="B153" s="5" t="inlineStr">
        <is>
          <t>TON - 20077 - TONTO BAR AND GRILL</t>
        </is>
      </c>
      <c r="C153" s="3" t="inlineStr">
        <is>
          <t>4</t>
        </is>
      </c>
      <c r="D153" s="7" t="inlineStr">
        <is>
          <t>4A</t>
        </is>
      </c>
      <c r="E153" s="24" t="inlineStr">
        <is>
          <t>5736 E RANCHO MANANA BLVD</t>
        </is>
      </c>
      <c r="F153" s="24" t="inlineStr">
        <is>
          <t>CAVE CREEK</t>
        </is>
      </c>
      <c r="G153" s="25" t="inlineStr">
        <is>
          <t>AZ</t>
        </is>
      </c>
      <c r="H153" s="26" t="n">
        <v>33.8331529</v>
      </c>
      <c r="I153" s="26" t="n">
        <v>-111.9561758</v>
      </c>
      <c r="J153" s="27" t="n">
        <v>630</v>
      </c>
      <c r="K153" s="25" t="inlineStr">
        <is>
          <t>FRYERS CHOICE BLEND</t>
        </is>
      </c>
      <c r="N153" t="inlineStr">
        <is>
          <t>480-575-1916</t>
        </is>
      </c>
    </row>
    <row r="154" ht="15" customHeight="1" s="72">
      <c r="A154" s="4" t="n">
        <v>21001</v>
      </c>
      <c r="B154" s="2" t="inlineStr">
        <is>
          <t>UNC83 - 21001 - UNCLE SAMS PEORIA</t>
        </is>
      </c>
      <c r="C154" s="9" t="inlineStr">
        <is>
          <t>2</t>
        </is>
      </c>
      <c r="D154" s="4" t="inlineStr">
        <is>
          <t>2C</t>
        </is>
      </c>
      <c r="E154" s="24" t="inlineStr">
        <is>
          <t>18913 N 83Rd Ave</t>
        </is>
      </c>
      <c r="F154" s="24" t="inlineStr">
        <is>
          <t>Peoria</t>
        </is>
      </c>
      <c r="G154" s="25" t="inlineStr">
        <is>
          <t>AZ</t>
        </is>
      </c>
      <c r="H154" s="26" t="n">
        <v>33.65575</v>
      </c>
      <c r="I154" s="26" t="n">
        <v>-112.2370715</v>
      </c>
      <c r="J154" s="27" t="n">
        <v>1200</v>
      </c>
      <c r="K154" s="25" t="inlineStr">
        <is>
          <t>FRYERS CHOICE BLEND</t>
        </is>
      </c>
      <c r="N154" t="inlineStr">
        <is>
          <t>602-996-3511</t>
        </is>
      </c>
    </row>
    <row r="155" ht="15" customHeight="1" s="72">
      <c r="A155" s="7" t="n">
        <v>21002</v>
      </c>
      <c r="B155" s="5" t="inlineStr">
        <is>
          <t>UNCS - 21002 - UNCLE SAMS PHOENIX</t>
        </is>
      </c>
      <c r="C155" s="6" t="inlineStr">
        <is>
          <t>3</t>
        </is>
      </c>
      <c r="D155" s="7" t="inlineStr">
        <is>
          <t>3C</t>
        </is>
      </c>
      <c r="E155" s="24" t="inlineStr">
        <is>
          <t>3217 E Shea Blvd</t>
        </is>
      </c>
      <c r="F155" s="24" t="inlineStr">
        <is>
          <t>Phoenix</t>
        </is>
      </c>
      <c r="G155" s="25" t="inlineStr">
        <is>
          <t>AZ</t>
        </is>
      </c>
      <c r="H155" s="26" t="n">
        <v>33.5821122</v>
      </c>
      <c r="I155" s="26" t="n">
        <v>-112.0121697</v>
      </c>
      <c r="J155" s="27" t="n">
        <v>1850</v>
      </c>
      <c r="K155" s="25" t="inlineStr">
        <is>
          <t>FRYERS CHOICE BLEND</t>
        </is>
      </c>
      <c r="N155" t="inlineStr">
        <is>
          <t>602-996-3511</t>
        </is>
      </c>
    </row>
    <row r="156" ht="15" customHeight="1" s="72">
      <c r="A156" s="4" t="n">
        <v>20097</v>
      </c>
      <c r="B156" s="2" t="inlineStr">
        <is>
          <t>VIG - 20097 - THE VIG PARK WEST</t>
        </is>
      </c>
      <c r="C156" s="9" t="inlineStr">
        <is>
          <t>2</t>
        </is>
      </c>
      <c r="D156" s="4" t="inlineStr">
        <is>
          <t>2D</t>
        </is>
      </c>
      <c r="E156" s="24" t="inlineStr">
        <is>
          <t>9824 W NORTHERN AVE</t>
        </is>
      </c>
      <c r="F156" s="24" t="inlineStr">
        <is>
          <t>PEORIA</t>
        </is>
      </c>
      <c r="G156" s="25" t="inlineStr">
        <is>
          <t>AZ</t>
        </is>
      </c>
      <c r="H156" s="26" t="n">
        <v>33.5516186</v>
      </c>
      <c r="I156" s="26" t="n">
        <v>-112.2709113</v>
      </c>
      <c r="J156" s="27" t="n">
        <v>1050</v>
      </c>
      <c r="K156" s="25" t="inlineStr">
        <is>
          <t>CANOLA OIL</t>
        </is>
      </c>
      <c r="N156" t="inlineStr">
        <is>
          <t>(602) 478-2414</t>
        </is>
      </c>
    </row>
    <row r="157" ht="15" customHeight="1" s="72">
      <c r="A157" s="7" t="n">
        <v>1057</v>
      </c>
      <c r="B157" s="5" t="inlineStr">
        <is>
          <t>ANG - 1057 - ANGRY CRAB TUCSON</t>
        </is>
      </c>
      <c r="C157" s="30" t="n"/>
      <c r="D157" s="7" t="inlineStr">
        <is>
          <t>TU</t>
        </is>
      </c>
      <c r="E157" s="24" t="inlineStr">
        <is>
          <t>ANGRY CRAB TUCSON</t>
        </is>
      </c>
      <c r="F157" s="24" t="inlineStr">
        <is>
          <t>TUCSON</t>
        </is>
      </c>
      <c r="G157" s="25" t="inlineStr">
        <is>
          <t>AZ</t>
        </is>
      </c>
      <c r="H157" s="26" t="n">
        <v>32.2497944</v>
      </c>
      <c r="I157" s="26" t="n">
        <v>-110.994047</v>
      </c>
      <c r="J157" s="27" t="n">
        <v>1000</v>
      </c>
      <c r="K157" s="25" t="inlineStr">
        <is>
          <t>FRYERS CHOICE BLEND</t>
        </is>
      </c>
      <c r="N157" t="inlineStr">
        <is>
          <t>602-403-0439</t>
        </is>
      </c>
    </row>
    <row r="158" ht="15" customHeight="1" s="72">
      <c r="A158" s="4" t="n">
        <v>2016</v>
      </c>
      <c r="B158" s="2" t="inlineStr">
        <is>
          <t>BOO - 2016 - BOOTY'S SURPRISE</t>
        </is>
      </c>
      <c r="C158" s="30" t="n"/>
      <c r="D158" s="4" t="n"/>
      <c r="E158" s="24" t="inlineStr">
        <is>
          <t>15557 W BELL RD STE 405</t>
        </is>
      </c>
      <c r="F158" s="24" t="inlineStr">
        <is>
          <t>SURPRISE</t>
        </is>
      </c>
      <c r="G158" s="25" t="inlineStr">
        <is>
          <t>AZ</t>
        </is>
      </c>
      <c r="H158" s="26" t="n">
        <v>33.6370757</v>
      </c>
      <c r="I158" s="26" t="n">
        <v>-112.3951187</v>
      </c>
      <c r="J158" s="27" t="n">
        <v>700</v>
      </c>
      <c r="K158" s="25" t="inlineStr">
        <is>
          <t>CANOLA OIL</t>
        </is>
      </c>
      <c r="N158" t="inlineStr">
        <is>
          <t>623-546-7757</t>
        </is>
      </c>
    </row>
    <row r="159" ht="15" customHeight="1" s="72">
      <c r="A159" s="7" t="n">
        <v>3056</v>
      </c>
      <c r="B159" s="5" t="inlineStr">
        <is>
          <t>CHA - 3056 - CHARLEYS AT THE LAKE</t>
        </is>
      </c>
      <c r="C159" s="30" t="inlineStr">
        <is>
          <t>2</t>
        </is>
      </c>
      <c r="D159" s="7" t="inlineStr">
        <is>
          <t>2C</t>
        </is>
      </c>
      <c r="E159" s="24" t="inlineStr">
        <is>
          <t>19260 N WESTBROOK PKWY</t>
        </is>
      </c>
      <c r="F159" s="24" t="inlineStr">
        <is>
          <t>PEORIA</t>
        </is>
      </c>
      <c r="G159" s="25" t="inlineStr">
        <is>
          <t>AZ</t>
        </is>
      </c>
      <c r="H159" s="26" t="n">
        <v>33.6598773</v>
      </c>
      <c r="I159" s="26" t="n">
        <v>-112.2659717</v>
      </c>
      <c r="J159" s="27" t="n">
        <v>350</v>
      </c>
      <c r="K159" s="25" t="inlineStr">
        <is>
          <t>CANOLA OIL</t>
        </is>
      </c>
      <c r="N159" t="inlineStr">
        <is>
          <t>(608) 235-2558</t>
        </is>
      </c>
    </row>
    <row r="160" ht="15" customHeight="1" s="72">
      <c r="A160" s="4" t="n">
        <v>3028</v>
      </c>
      <c r="B160" s="2" t="inlineStr">
        <is>
          <t>COW - 3028 - COWBOY COOKIN</t>
        </is>
      </c>
      <c r="C160" s="30" t="n"/>
      <c r="D160" s="4" t="inlineStr">
        <is>
          <t>W</t>
        </is>
      </c>
      <c r="E160" s="24" t="inlineStr">
        <is>
          <t>495 E WICKENBURG WAY</t>
        </is>
      </c>
      <c r="F160" s="24" t="inlineStr">
        <is>
          <t>Wickenburg</t>
        </is>
      </c>
      <c r="G160" s="25" t="inlineStr">
        <is>
          <t>AZ</t>
        </is>
      </c>
      <c r="H160" s="26" t="n">
        <v>33.9709542</v>
      </c>
      <c r="I160" s="26" t="n">
        <v>-112.7222422</v>
      </c>
      <c r="J160" s="27" t="n">
        <v>950</v>
      </c>
      <c r="K160" s="25" t="inlineStr">
        <is>
          <t>CANOLA OIL</t>
        </is>
      </c>
      <c r="N160" t="inlineStr">
        <is>
          <t>(928) 684-3882</t>
        </is>
      </c>
    </row>
    <row r="161">
      <c r="A161" s="7" t="n">
        <v>3083</v>
      </c>
      <c r="B161" s="5" t="inlineStr">
        <is>
          <t>CRU - 3083 - CRUST - PEORIA</t>
        </is>
      </c>
      <c r="C161" s="30" t="n"/>
      <c r="D161" s="7" t="n"/>
      <c r="E161" s="24" t="inlineStr">
        <is>
          <t>25201 N WESTWING PKWY</t>
        </is>
      </c>
      <c r="F161" s="24" t="inlineStr">
        <is>
          <t>PEORIA</t>
        </is>
      </c>
      <c r="G161" s="25" t="inlineStr">
        <is>
          <t>AZ</t>
        </is>
      </c>
      <c r="H161" s="26" t="n">
        <v>33.7280456</v>
      </c>
      <c r="I161" s="26" t="n">
        <v>-112.2428546</v>
      </c>
      <c r="J161" s="27" t="n">
        <v>350</v>
      </c>
      <c r="K161" s="25" t="inlineStr">
        <is>
          <t>CANOLA OIL</t>
        </is>
      </c>
      <c r="N161" t="inlineStr">
        <is>
          <t>(480) 797-7823</t>
        </is>
      </c>
    </row>
    <row r="162">
      <c r="A162" s="4" t="n">
        <v>10012</v>
      </c>
      <c r="B162" s="2" t="inlineStr">
        <is>
          <t>JAY - 10012 - JAY TRAVEL CENTER</t>
        </is>
      </c>
      <c r="C162" s="30" t="n"/>
      <c r="D162" s="4" t="n"/>
      <c r="E162" s="24" t="inlineStr">
        <is>
          <t>2500 Interstate 10 Business Loop</t>
        </is>
      </c>
      <c r="F162" s="24" t="inlineStr">
        <is>
          <t>SAN SIMON</t>
        </is>
      </c>
      <c r="G162" s="25" t="inlineStr">
        <is>
          <t>AZ</t>
        </is>
      </c>
      <c r="H162" s="26" t="n">
        <v>32.2707468</v>
      </c>
      <c r="I162" s="26" t="n">
        <v>-109.244125</v>
      </c>
      <c r="J162" s="27" t="n">
        <v>2500</v>
      </c>
      <c r="K162" s="25" t="inlineStr">
        <is>
          <t>CANOLA OIL</t>
        </is>
      </c>
      <c r="N162" t="inlineStr">
        <is>
          <t>(520) 262-9358</t>
        </is>
      </c>
    </row>
    <row r="163">
      <c r="A163" s="7" t="n">
        <v>12021</v>
      </c>
      <c r="B163" s="5" t="inlineStr">
        <is>
          <t>LOT - 12021 - LOTUS LOUNGE</t>
        </is>
      </c>
      <c r="C163" s="30" t="n"/>
      <c r="D163" s="7" t="inlineStr">
        <is>
          <t>F</t>
        </is>
      </c>
      <c r="E163" s="24" t="inlineStr">
        <is>
          <t>106 N San Francisco St</t>
        </is>
      </c>
      <c r="F163" s="24" t="inlineStr">
        <is>
          <t>Flagstaff</t>
        </is>
      </c>
      <c r="G163" s="25" t="inlineStr">
        <is>
          <t>AZ</t>
        </is>
      </c>
      <c r="H163" s="26" t="n">
        <v>35.1984087</v>
      </c>
      <c r="I163" s="26" t="n">
        <v>-111.6472392</v>
      </c>
      <c r="J163" s="27" t="n">
        <v>700</v>
      </c>
      <c r="K163" s="25" t="inlineStr">
        <is>
          <t>CANOLA OIL</t>
        </is>
      </c>
      <c r="N163" t="inlineStr">
        <is>
          <t>928-779-6971</t>
        </is>
      </c>
    </row>
    <row r="164">
      <c r="A164" s="4" t="n">
        <v>12062</v>
      </c>
      <c r="B164" s="2" t="inlineStr">
        <is>
          <t>LOV - 12062 - LOVEY'S ESSENCE - AVONDALE</t>
        </is>
      </c>
      <c r="C164" s="30" t="n"/>
      <c r="D164" s="4" t="n"/>
      <c r="E164" s="24" t="inlineStr">
        <is>
          <t>214 E. WESTERN AVE</t>
        </is>
      </c>
      <c r="F164" s="24" t="inlineStr">
        <is>
          <t>AVONDALE</t>
        </is>
      </c>
      <c r="G164" s="25" t="inlineStr">
        <is>
          <t>AZ</t>
        </is>
      </c>
      <c r="H164" s="26" t="n">
        <v>33.4355527</v>
      </c>
      <c r="I164" s="26" t="n">
        <v>-112.3466337</v>
      </c>
      <c r="J164" s="27" t="n">
        <v>350</v>
      </c>
      <c r="K164" s="25" t="inlineStr">
        <is>
          <t>CANOLA OIL</t>
        </is>
      </c>
      <c r="N164" t="inlineStr">
        <is>
          <t>(623) 910-6861</t>
        </is>
      </c>
    </row>
    <row r="165">
      <c r="A165" s="7" t="n">
        <v>15032</v>
      </c>
      <c r="B165" s="5" t="inlineStr">
        <is>
          <t>ORE - 15032 - OREGANO COUNTRY</t>
        </is>
      </c>
      <c r="C165" s="30" t="n"/>
      <c r="D165" s="7" t="inlineStr">
        <is>
          <t>T</t>
        </is>
      </c>
      <c r="E165" s="24" t="inlineStr">
        <is>
          <t>980 N Country Club Dr</t>
        </is>
      </c>
      <c r="F165" s="24" t="inlineStr">
        <is>
          <t>Flagstaff</t>
        </is>
      </c>
      <c r="G165" s="25" t="inlineStr">
        <is>
          <t>AZ</t>
        </is>
      </c>
      <c r="H165" s="26" t="n">
        <v>35.2144516</v>
      </c>
      <c r="I165" s="26" t="n">
        <v>-111.5792097</v>
      </c>
      <c r="J165" s="27" t="n">
        <v>950</v>
      </c>
      <c r="K165" s="25" t="inlineStr">
        <is>
          <t>CANOLA OIL</t>
        </is>
      </c>
      <c r="N165" t="inlineStr">
        <is>
          <t>999-999-9999</t>
        </is>
      </c>
    </row>
    <row r="166">
      <c r="A166" s="4" t="n">
        <v>15033</v>
      </c>
      <c r="B166" s="2" t="inlineStr">
        <is>
          <t>OREL - 15033 - OREGANO LANDING</t>
        </is>
      </c>
      <c r="C166" s="30" t="n"/>
      <c r="D166" s="4" t="inlineStr">
        <is>
          <t>T</t>
        </is>
      </c>
      <c r="E166" s="24" t="inlineStr">
        <is>
          <t>4884 S Landing Way</t>
        </is>
      </c>
      <c r="F166" s="24" t="inlineStr">
        <is>
          <t>Tucson</t>
        </is>
      </c>
      <c r="G166" s="25" t="inlineStr">
        <is>
          <t>AZ</t>
        </is>
      </c>
      <c r="H166" s="26" t="n">
        <v>32.164645</v>
      </c>
      <c r="I166" s="26" t="n">
        <v>-110.990036</v>
      </c>
      <c r="J166" s="27" t="n">
        <v>500</v>
      </c>
      <c r="K166" s="25" t="inlineStr">
        <is>
          <t>CANOLA OIL</t>
        </is>
      </c>
      <c r="N166" t="inlineStr">
        <is>
          <t>999-999-9999</t>
        </is>
      </c>
    </row>
    <row r="167">
      <c r="A167" s="7" t="n">
        <v>15028</v>
      </c>
      <c r="B167" s="5" t="inlineStr">
        <is>
          <t>OREO - 15028 - OREGANO TUCSON</t>
        </is>
      </c>
      <c r="C167" s="30" t="n"/>
      <c r="D167" s="7" t="inlineStr">
        <is>
          <t>TU</t>
        </is>
      </c>
      <c r="E167" s="24" t="inlineStr">
        <is>
          <t>100 W Orange Grove Rd</t>
        </is>
      </c>
      <c r="F167" s="24" t="inlineStr">
        <is>
          <t>Tucson</t>
        </is>
      </c>
      <c r="G167" s="25" t="inlineStr">
        <is>
          <t>AZ</t>
        </is>
      </c>
      <c r="H167" s="26" t="n">
        <v>32.3231585</v>
      </c>
      <c r="I167" s="26" t="n">
        <v>-110.9736484</v>
      </c>
      <c r="J167" s="27" t="n">
        <v>950</v>
      </c>
      <c r="K167" s="25" t="inlineStr">
        <is>
          <t>CANOLA OIL</t>
        </is>
      </c>
      <c r="N167" t="inlineStr">
        <is>
          <t>520-229-9999</t>
        </is>
      </c>
    </row>
    <row r="168">
      <c r="A168" s="4" t="n">
        <v>15004</v>
      </c>
      <c r="B168" s="2" t="inlineStr">
        <is>
          <t>ORER - 15004 - OREGANO FLAGSTAFF</t>
        </is>
      </c>
      <c r="C168" s="30" t="n"/>
      <c r="D168" s="4" t="inlineStr">
        <is>
          <t>F</t>
        </is>
      </c>
      <c r="E168" s="24" t="inlineStr">
        <is>
          <t>1061 S Plaza Way</t>
        </is>
      </c>
      <c r="F168" s="24" t="inlineStr">
        <is>
          <t>Flagstaff</t>
        </is>
      </c>
      <c r="G168" s="25" t="inlineStr">
        <is>
          <t>AZ</t>
        </is>
      </c>
      <c r="H168" s="26" t="n">
        <v>35.188986</v>
      </c>
      <c r="I168" s="26" t="n">
        <v>-111.6634641</v>
      </c>
      <c r="J168" s="27" t="n">
        <v>700</v>
      </c>
      <c r="K168" s="25" t="inlineStr">
        <is>
          <t>CANOLA OIL</t>
        </is>
      </c>
      <c r="N168" t="inlineStr">
        <is>
          <t>(928) 773-8600</t>
        </is>
      </c>
    </row>
    <row r="169">
      <c r="A169" s="7" t="n">
        <v>15021</v>
      </c>
      <c r="B169" s="5" t="inlineStr">
        <is>
          <t>ORES - 15021 - OREGANO SPEEDWAY</t>
        </is>
      </c>
      <c r="C169" s="30" t="n"/>
      <c r="D169" s="7" t="inlineStr">
        <is>
          <t>TU</t>
        </is>
      </c>
      <c r="E169" s="24" t="inlineStr">
        <is>
          <t>4900 E Speedway Blvd</t>
        </is>
      </c>
      <c r="F169" s="24" t="inlineStr">
        <is>
          <t>Tucson</t>
        </is>
      </c>
      <c r="G169" s="25" t="inlineStr">
        <is>
          <t>AZ</t>
        </is>
      </c>
      <c r="H169" s="26" t="n">
        <v>32.2358619</v>
      </c>
      <c r="I169" s="26" t="n">
        <v>-110.8879356</v>
      </c>
      <c r="J169" s="27" t="n">
        <v>700</v>
      </c>
      <c r="K169" s="25" t="inlineStr">
        <is>
          <t>CANOLA OIL</t>
        </is>
      </c>
      <c r="N169" t="inlineStr">
        <is>
          <t>520-327-8955</t>
        </is>
      </c>
    </row>
    <row r="170">
      <c r="A170" s="4" t="n">
        <v>16052</v>
      </c>
      <c r="B170" s="2" t="inlineStr">
        <is>
          <t>PAL - 16052 - THE PALACE SALOON</t>
        </is>
      </c>
      <c r="C170" s="30" t="n"/>
      <c r="D170" s="4" t="inlineStr">
        <is>
          <t>P</t>
        </is>
      </c>
      <c r="E170" s="24" t="inlineStr">
        <is>
          <t>120 S Montezuma St</t>
        </is>
      </c>
      <c r="F170" s="24" t="inlineStr">
        <is>
          <t>Prescott</t>
        </is>
      </c>
      <c r="G170" s="25" t="inlineStr">
        <is>
          <t>AZ</t>
        </is>
      </c>
      <c r="H170" s="26" t="n">
        <v>34.5413076</v>
      </c>
      <c r="I170" s="26" t="n">
        <v>-112.470323</v>
      </c>
      <c r="J170" s="27" t="n">
        <v>1800</v>
      </c>
      <c r="K170" s="25" t="inlineStr">
        <is>
          <t>CANOLA OIL</t>
        </is>
      </c>
      <c r="N170" t="inlineStr">
        <is>
          <t>(428) 541-1996</t>
        </is>
      </c>
    </row>
    <row r="171">
      <c r="A171" s="7" t="n">
        <v>16027</v>
      </c>
      <c r="B171" s="5" t="inlineStr">
        <is>
          <t>PIR - 16027 - PIRATE CASA GRANDE</t>
        </is>
      </c>
      <c r="C171" s="30" t="n"/>
      <c r="D171" s="7" t="inlineStr">
        <is>
          <t>C</t>
        </is>
      </c>
      <c r="E171" s="24" t="inlineStr">
        <is>
          <t>818 N Pinal Ave</t>
        </is>
      </c>
      <c r="F171" s="24" t="inlineStr">
        <is>
          <t>Casa Grande</t>
        </is>
      </c>
      <c r="G171" s="25" t="inlineStr">
        <is>
          <t>AZ</t>
        </is>
      </c>
      <c r="H171" s="26" t="n">
        <v>32.88137</v>
      </c>
      <c r="I171" s="26" t="n">
        <v>-111.7569141</v>
      </c>
      <c r="J171" s="27" t="n">
        <v>700</v>
      </c>
      <c r="K171" s="25" t="inlineStr">
        <is>
          <t>FRYERS CHOICE BLEND</t>
        </is>
      </c>
      <c r="N171" t="inlineStr">
        <is>
          <t>520-836-2646</t>
        </is>
      </c>
    </row>
    <row r="172">
      <c r="A172" s="4" t="n">
        <v>16051</v>
      </c>
      <c r="B172" s="2" t="inlineStr">
        <is>
          <t>POP - 16051 - POPOS MCDOWELL</t>
        </is>
      </c>
      <c r="C172" s="30" t="inlineStr">
        <is>
          <t>1</t>
        </is>
      </c>
      <c r="D172" s="4" t="inlineStr">
        <is>
          <t>1D</t>
        </is>
      </c>
      <c r="E172" s="24" t="inlineStr">
        <is>
          <t>15375 W MCDOWELL RD</t>
        </is>
      </c>
      <c r="F172" s="24" t="inlineStr">
        <is>
          <t>GOODYEAR</t>
        </is>
      </c>
      <c r="G172" s="25" t="inlineStr">
        <is>
          <t>ARIZONA</t>
        </is>
      </c>
      <c r="H172" s="26" t="n">
        <v>33.4640925</v>
      </c>
      <c r="I172" s="26" t="n">
        <v>-112.3899888</v>
      </c>
      <c r="J172" s="27" t="n">
        <v>2000</v>
      </c>
      <c r="K172" s="25" t="inlineStr">
        <is>
          <t>CANOLA OIL</t>
        </is>
      </c>
    </row>
    <row r="173">
      <c r="A173" s="7" t="n">
        <v>20089</v>
      </c>
      <c r="B173" s="5" t="inlineStr">
        <is>
          <t>TAI - 20089 - TAILGATERS PRESCOTT</t>
        </is>
      </c>
      <c r="C173" s="30" t="n"/>
      <c r="D173" s="7" t="inlineStr">
        <is>
          <t>P</t>
        </is>
      </c>
      <c r="E173" s="24" t="inlineStr">
        <is>
          <t>7160 E PAV WAY</t>
        </is>
      </c>
      <c r="F173" s="24" t="inlineStr">
        <is>
          <t>PRESCOTT VALLEY</t>
        </is>
      </c>
      <c r="G173" s="25" t="inlineStr">
        <is>
          <t>AZ</t>
        </is>
      </c>
      <c r="H173" s="26" t="n">
        <v>34.5848353</v>
      </c>
      <c r="I173" s="26" t="n">
        <v>-112.3389905</v>
      </c>
      <c r="J173" s="27" t="n">
        <v>1050</v>
      </c>
      <c r="K173" s="25" t="inlineStr">
        <is>
          <t>CANOLA OIL</t>
        </is>
      </c>
    </row>
    <row r="174">
      <c r="A174" s="4" t="n">
        <v>16058</v>
      </c>
      <c r="B174" s="46" t="inlineStr">
        <is>
          <t>PIN - 16058 - PINYON RESTAURANT</t>
        </is>
      </c>
      <c r="C174" s="30" t="n"/>
      <c r="D174" s="4" t="n"/>
      <c r="E174" s="24" t="inlineStr">
        <is>
          <t xml:space="preserve"> 7363 E Scottsdale Mall, Scottsdale, AZ 85251</t>
        </is>
      </c>
      <c r="F174" s="24" t="inlineStr">
        <is>
          <t>Scottsdale</t>
        </is>
      </c>
      <c r="G174" s="25" t="inlineStr">
        <is>
          <t>AZ</t>
        </is>
      </c>
      <c r="H174" s="26" t="n">
        <v>33.4925</v>
      </c>
      <c r="I174" s="26" t="n">
        <v>-111.923012</v>
      </c>
      <c r="J174" s="47" t="n">
        <v>1000</v>
      </c>
      <c r="K174" s="25" t="inlineStr">
        <is>
          <t>FRYERS CHOICE BLEND</t>
        </is>
      </c>
    </row>
    <row r="175">
      <c r="A175" s="7" t="n">
        <v>4025</v>
      </c>
      <c r="B175" s="5" t="inlineStr">
        <is>
          <t>DIL - 4025 - DILLON WESTERN TRAILS</t>
        </is>
      </c>
      <c r="C175" s="30" t="inlineStr">
        <is>
          <t>1</t>
        </is>
      </c>
      <c r="D175" s="7" t="inlineStr">
        <is>
          <t>1B</t>
        </is>
      </c>
      <c r="E175" s="24" t="inlineStr">
        <is>
          <t>37838 W GRAND AVE</t>
        </is>
      </c>
      <c r="F175" s="24" t="inlineStr">
        <is>
          <t>MORISTOWN</t>
        </is>
      </c>
      <c r="G175" s="25" t="inlineStr">
        <is>
          <t>AZ</t>
        </is>
      </c>
      <c r="H175" s="26" t="n">
        <v>33.8290398</v>
      </c>
      <c r="I175" s="26" t="n">
        <v>-112.5948689</v>
      </c>
      <c r="J175" s="27" t="n">
        <v>1050</v>
      </c>
      <c r="K175" s="25" t="inlineStr">
        <is>
          <t>FRYERS CHOICE BLEND</t>
        </is>
      </c>
    </row>
    <row r="176">
      <c r="A176" s="4" t="n"/>
      <c r="B176" s="2" t="n"/>
      <c r="C176" s="30" t="n"/>
      <c r="D176" s="4" t="n"/>
      <c r="E176" s="24" t="n"/>
      <c r="F176" s="24" t="n"/>
      <c r="G176" s="25" t="n"/>
      <c r="H176" s="26" t="n"/>
      <c r="I176" s="26" t="n"/>
      <c r="J176" s="27" t="n"/>
      <c r="K176" s="25" t="n"/>
    </row>
    <row r="177">
      <c r="A177" s="7" t="n"/>
      <c r="B177" s="5" t="n"/>
      <c r="C177" s="30" t="n"/>
      <c r="D177" s="7" t="n"/>
      <c r="E177" s="24" t="n"/>
      <c r="F177" s="24" t="n"/>
      <c r="G177" s="25" t="n"/>
      <c r="H177" s="26" t="n"/>
      <c r="I177" s="26" t="n"/>
      <c r="J177" s="27" t="n"/>
      <c r="K177" s="25" t="n"/>
    </row>
    <row r="178">
      <c r="A178" s="4" t="n"/>
      <c r="B178" s="2" t="n"/>
      <c r="C178" s="30" t="n"/>
      <c r="D178" s="4" t="n"/>
      <c r="E178" s="24" t="n"/>
      <c r="F178" s="24" t="n"/>
      <c r="G178" s="25" t="n"/>
      <c r="H178" s="26" t="n"/>
      <c r="I178" s="26" t="n"/>
      <c r="J178" s="27" t="n"/>
      <c r="K178" s="25" t="n"/>
    </row>
    <row r="179">
      <c r="A179" s="7" t="n"/>
      <c r="B179" s="5" t="n"/>
      <c r="C179" s="30" t="n"/>
      <c r="D179" s="7" t="n"/>
      <c r="E179" s="24" t="n"/>
      <c r="F179" s="24" t="n"/>
      <c r="G179" s="25" t="n"/>
      <c r="H179" s="26" t="n"/>
      <c r="I179" s="26" t="n"/>
      <c r="J179" s="27" t="n"/>
      <c r="K179" s="25" t="n"/>
    </row>
    <row r="180">
      <c r="A180" s="4" t="n"/>
      <c r="B180" s="2" t="n"/>
      <c r="C180" s="30" t="n"/>
      <c r="D180" s="4" t="n"/>
      <c r="E180" s="24" t="n"/>
      <c r="F180" s="24" t="n"/>
      <c r="G180" s="25" t="n"/>
      <c r="H180" s="26" t="n"/>
      <c r="I180" s="26" t="n"/>
      <c r="J180" s="27" t="n"/>
      <c r="K180" s="25" t="n"/>
    </row>
    <row r="181">
      <c r="A181" s="7" t="n"/>
      <c r="B181" s="5" t="n"/>
      <c r="C181" s="30" t="n"/>
      <c r="D181" s="7" t="n"/>
      <c r="E181" s="24" t="n"/>
      <c r="F181" s="24" t="n"/>
      <c r="G181" s="25" t="n"/>
      <c r="H181" s="26" t="n"/>
      <c r="I181" s="26" t="n"/>
      <c r="J181" s="27" t="n"/>
      <c r="K181" s="25" t="n"/>
    </row>
    <row r="182">
      <c r="A182" s="4" t="n"/>
      <c r="B182" s="2" t="n"/>
      <c r="C182" s="30" t="n"/>
      <c r="D182" s="4" t="n"/>
      <c r="E182" s="24" t="n"/>
      <c r="F182" s="24" t="n"/>
      <c r="G182" s="25" t="n"/>
      <c r="H182" s="26" t="n"/>
      <c r="I182" s="26" t="n"/>
      <c r="J182" s="27" t="n"/>
      <c r="K182" s="25" t="n"/>
    </row>
    <row r="183">
      <c r="A183" s="7" t="n"/>
      <c r="B183" s="5" t="n"/>
      <c r="C183" s="30" t="n"/>
      <c r="D183" s="7" t="n"/>
      <c r="E183" s="24" t="n"/>
      <c r="F183" s="24" t="n"/>
      <c r="G183" s="25" t="n"/>
      <c r="H183" s="26" t="n"/>
      <c r="I183" s="26" t="n"/>
      <c r="J183" s="27" t="n"/>
      <c r="K183" s="25" t="n"/>
    </row>
    <row r="184">
      <c r="A184" s="7" t="n"/>
      <c r="B184" s="5" t="n"/>
      <c r="C184" s="30" t="n"/>
      <c r="D184" s="7" t="n"/>
      <c r="E184" s="24" t="n"/>
      <c r="F184" s="24" t="n"/>
      <c r="G184" s="25" t="n"/>
      <c r="H184" s="26" t="n"/>
      <c r="I184" s="26" t="n"/>
      <c r="J184" s="27" t="n"/>
      <c r="K184" s="25" t="n"/>
    </row>
  </sheetData>
  <autoFilter ref="A3:K17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8A020"/>
    <outlinePr summaryBelow="1" summaryRight="1"/>
    <pageSetUpPr/>
  </sheetPr>
  <dimension ref="A1:R175"/>
  <sheetViews>
    <sheetView showGridLines="0" tabSelected="1" zoomScaleNormal="140" workbookViewId="0">
      <pane ySplit="5" topLeftCell="A105" activePane="bottomLeft" state="frozen"/>
      <selection pane="bottomLeft" activeCell="H109" sqref="H109"/>
    </sheetView>
  </sheetViews>
  <sheetFormatPr baseColWidth="10" defaultColWidth="8.83203125" defaultRowHeight="15"/>
  <cols>
    <col width="5.33203125" customWidth="1" style="72" min="1" max="1"/>
    <col width="8.1640625" bestFit="1" customWidth="1" style="51" min="2" max="2"/>
    <col width="44" customWidth="1" style="72" min="3" max="3"/>
    <col width="11.5" customWidth="1" style="72" min="4" max="4"/>
    <col width="16.5" customWidth="1" style="72" min="5" max="5"/>
    <col width="8" customWidth="1" style="72" min="6" max="6"/>
    <col width="10" customWidth="1" style="72" min="7" max="7"/>
    <col width="12" customWidth="1" style="72" min="8" max="8"/>
    <col width="10.6640625" customWidth="1" style="85" min="9" max="9"/>
    <col width="13" customWidth="1" style="72" min="10" max="10"/>
    <col width="9" customWidth="1" style="72" min="11" max="11"/>
    <col width="13" customWidth="1" style="72" min="12" max="12"/>
    <col width="11" customWidth="1" style="72" min="13" max="15"/>
    <col width="9" customWidth="1" style="72" min="16" max="16"/>
    <col width="12.6640625" customWidth="1" style="72" min="17" max="17"/>
    <col width="16" customWidth="1" style="72" min="18" max="18"/>
  </cols>
  <sheetData>
    <row r="1" ht="28" customHeight="1" s="72">
      <c r="B1" s="61" t="inlineStr">
        <is>
          <t>S&amp;K OIL SALES — OPTIMIZER INPUT  (all calculations auto-update from Delivery_Log)</t>
        </is>
      </c>
    </row>
    <row r="2" ht="22" customHeight="1" s="72">
      <c r="B2" s="48" t="inlineStr">
        <is>
          <t>Min Oil %</t>
        </is>
      </c>
      <c r="C2" s="14" t="n">
        <v>0.15</v>
      </c>
      <c r="D2" s="13" t="inlineStr">
        <is>
          <t>Visit Window (days)</t>
        </is>
      </c>
      <c r="E2" s="15" t="n">
        <v>7</v>
      </c>
      <c r="F2" s="13" t="inlineStr">
        <is>
          <t>Shift Min</t>
        </is>
      </c>
      <c r="G2" s="15" t="n">
        <v>600</v>
      </c>
      <c r="H2" s="13" t="inlineStr">
        <is>
          <t>Svc Min/Stop</t>
        </is>
      </c>
      <c r="I2" s="55" t="n">
        <v>20</v>
      </c>
      <c r="O2" s="35" t="inlineStr">
        <is>
          <t># of Deliveries since:</t>
        </is>
      </c>
      <c r="P2" s="36" t="n"/>
      <c r="Q2" s="37" t="n">
        <v>46023</v>
      </c>
    </row>
    <row r="3" ht="14" customHeight="1" s="72">
      <c r="B3" s="66" t="inlineStr">
        <is>
          <t xml:space="preserve">■ Red=Critical(≤2d)  ■ Amber=Urgent(3–5d)  ■ Green=Normal(6–7d)  ■ Grey=Not needed  │  Blue italic = live formula pulling from Delivery_Log  </t>
        </is>
      </c>
    </row>
    <row r="4" ht="16" customHeight="1" s="72">
      <c r="B4" s="62" t="inlineStr">
        <is>
          <t>CLIENT &amp; LOCATION</t>
        </is>
      </c>
      <c r="G4" s="64" t="inlineStr">
        <is>
          <t>TANK &amp; CONSUMPTION</t>
        </is>
      </c>
      <c r="J4" s="63" t="inlineStr">
        <is>
          <t>LAST DELIVERY  ← from log</t>
        </is>
      </c>
      <c r="L4" s="67" t="inlineStr">
        <is>
          <t>CALCULATED</t>
        </is>
      </c>
      <c r="M4" s="68" t="n"/>
      <c r="N4" s="68" t="n"/>
      <c r="O4" s="68" t="n"/>
      <c r="P4" s="68" t="n"/>
      <c r="Q4" s="68" t="n"/>
    </row>
    <row r="5" ht="36" customHeight="1" s="72">
      <c r="A5" s="49" t="inlineStr">
        <is>
          <t>Num.</t>
        </is>
      </c>
      <c r="B5" s="49" t="inlineStr">
        <is>
          <t>ID</t>
        </is>
      </c>
      <c r="C5" s="16" t="inlineStr">
        <is>
          <t>Customer</t>
        </is>
      </c>
      <c r="D5" s="16" t="inlineStr">
        <is>
          <t>Zone</t>
        </is>
      </c>
      <c r="E5" s="16" t="inlineStr">
        <is>
          <t>Address</t>
        </is>
      </c>
      <c r="F5" s="16" t="inlineStr">
        <is>
          <t>Lat / Lon</t>
        </is>
      </c>
      <c r="G5" s="16" t="inlineStr">
        <is>
          <t>Tank (lbs)</t>
        </is>
      </c>
      <c r="H5" s="16" t="inlineStr">
        <is>
          <t>Last Per Day Cons
(lbs/day)</t>
        </is>
      </c>
      <c r="I5" s="56" t="inlineStr">
        <is>
          <t>Product</t>
        </is>
      </c>
      <c r="J5" s="16" t="inlineStr">
        <is>
          <t>Last Delivery</t>
        </is>
      </c>
      <c r="K5" s="16" t="inlineStr">
        <is>
          <t>Days Since</t>
        </is>
      </c>
      <c r="L5" s="16" t="inlineStr">
        <is>
          <t>Est. Current
(lbs)</t>
        </is>
      </c>
      <c r="M5" s="16" t="inlineStr">
        <is>
          <t>Refill
(lbs)</t>
        </is>
      </c>
      <c r="N5" s="16" t="inlineStr">
        <is>
          <t>Days Until
Empty</t>
        </is>
      </c>
      <c r="O5" s="16" t="inlineStr">
        <is>
          <t>Next Delivery By:</t>
        </is>
      </c>
      <c r="P5" s="16">
        <f>"Next "&amp;E2&amp; " Days?"</f>
        <v/>
      </c>
      <c r="Q5" s="16">
        <f>"# Deliveries since "&amp; TEXT(Q2,"mm/dd/yyyy")</f>
        <v/>
      </c>
      <c r="R5" s="16" t="inlineStr">
        <is>
          <t>Notes</t>
        </is>
      </c>
    </row>
    <row r="6">
      <c r="A6" t="n">
        <v>1</v>
      </c>
      <c r="B6" s="50" t="inlineStr">
        <is>
          <t>0001</t>
        </is>
      </c>
      <c r="C6" s="41" t="inlineStr">
        <is>
          <t>51ST - 0001 - 51ST AVE CAFE</t>
        </is>
      </c>
      <c r="D6" s="52" t="inlineStr">
        <is>
          <t>2</t>
        </is>
      </c>
      <c r="E6" s="41">
        <f>IFERROR(VLOOKUP(C6,Client_List!$B:$K,4,0)&amp;", "&amp;VLOOKUP(C6,Client_List!$B:$K,5,0)&amp;" AZ","")</f>
        <v/>
      </c>
      <c r="F6" s="38">
        <f>IFERROR(VLOOKUP(C6,Client_List!$B:$K,7,0)&amp;", "&amp;VLOOKUP(C6,Client_List!$B:$K,8,0),"")</f>
        <v/>
      </c>
      <c r="G6" s="42">
        <f>IFERROR(VLOOKUP(C6,Client_List!$B:$K,9,0),"")</f>
        <v/>
      </c>
      <c r="H6" s="18">
        <f>IFERROR(LOOKUP(2,1/((Delivery_Log!$B$4:$B$4998=VALUE(B6))*(ISNUMBER(Delivery_Log!$J$4:$J$4998))*(Delivery_Log!$J$4:$J$4998&gt;0)),Delivery_Log!$J$4:$J$4998),"")</f>
        <v/>
      </c>
      <c r="I6" s="41">
        <f>IFERROR(VLOOKUP(C6,Client_List!$B:$K,10,0),"")</f>
        <v/>
      </c>
      <c r="J6" s="19">
        <f>IFERROR(_xlfn.MAXIFS(Delivery_Log!$A$4:$A$4998,Delivery_Log!$B$4:$B$4998,VALUE(B6)),"—")</f>
        <v/>
      </c>
      <c r="K6" s="20">
        <f>IFERROR(IF(J6="—","",TODAY()-J6),"")</f>
        <v/>
      </c>
      <c r="L6" s="21">
        <f>IFERROR(IF(OR(K6="",H6=""),"",MAX(G6*0.03,G6-K6*H6)),"")</f>
        <v/>
      </c>
      <c r="M6" s="21">
        <f>IFERROR(IF(L6="","",G6-L6),"")</f>
        <v/>
      </c>
      <c r="N6" s="22">
        <f>IFERROR(IF(OR(L6="",H6=""),"",MIN(21,MAX(0,(L6-G6*$C$2)/H6))),"")</f>
        <v/>
      </c>
      <c r="O6" s="34">
        <f>TODAY()+ROUNDUP(N6,0)</f>
        <v/>
      </c>
      <c r="P6" s="32">
        <f>IFERROR(IF(N6="","—",IF(N6&lt;=$E$2,"YES","—")),"—")</f>
        <v/>
      </c>
      <c r="Q6" s="17">
        <f>COUNTIFS(Delivery_Log!$B$4:$B$5998,VALUE(B6),Delivery_Log!$A$4:$A$5998,"&gt;="&amp;$Q$2)</f>
        <v/>
      </c>
      <c r="R6" s="38" t="n"/>
    </row>
    <row r="7" ht="15" customHeight="1" s="72">
      <c r="A7" t="n">
        <v>2</v>
      </c>
      <c r="B7" s="50" t="n">
        <v>1018</v>
      </c>
      <c r="C7" s="5" t="inlineStr">
        <is>
          <t>AJO - 1018 - AJO ALS BELL</t>
        </is>
      </c>
      <c r="D7" s="52" t="inlineStr">
        <is>
          <t>2</t>
        </is>
      </c>
      <c r="E7" s="41">
        <f>IFERROR(VLOOKUP(C7,Client_List!$B:$K,4,0)&amp;", "&amp;VLOOKUP(C7,Client_List!$B:$K,5,0)&amp;" AZ","")</f>
        <v/>
      </c>
      <c r="F7" s="38">
        <f>IFERROR(VLOOKUP(C7,Client_List!$B:$K,7,0)&amp;", "&amp;VLOOKUP(C7,Client_List!$B:$K,8,0),"")</f>
        <v/>
      </c>
      <c r="G7" s="42">
        <f>IFERROR(VLOOKUP(C7,Client_List!$B:$K,9,0),"")</f>
        <v/>
      </c>
      <c r="H7" s="18">
        <f>IFERROR(LOOKUP(2,1/((Delivery_Log!$B$4:$B$4998=VALUE(B7))*(ISNUMBER(Delivery_Log!$J$4:$J$4998))*(Delivery_Log!$J$4:$J$4998&gt;0)),Delivery_Log!$J$4:$J$4998),"")</f>
        <v/>
      </c>
      <c r="I7" s="41">
        <f>IFERROR(VLOOKUP(C7,Client_List!$B:$K,10,0),"")</f>
        <v/>
      </c>
      <c r="J7" s="19">
        <f>IFERROR(_xlfn.MAXIFS(Delivery_Log!$A$4:$A$4998,Delivery_Log!$B$4:$B$4998,VALUE(B7)),"—")</f>
        <v/>
      </c>
      <c r="K7" s="20">
        <f>IFERROR(IF(J7="—","",TODAY()-J7),"")</f>
        <v/>
      </c>
      <c r="L7" s="21">
        <f>IFERROR(IF(OR(K7="",H7=""),"",MAX(G7*0.03,G7-K7*H7)),"")</f>
        <v/>
      </c>
      <c r="M7" s="21">
        <f>IFERROR(IF(L7="","",G7-L7),"")</f>
        <v/>
      </c>
      <c r="N7" s="22">
        <f>IFERROR(IF(OR(L7="",H7=""),"",MIN(21,MAX(0,(L7-G7*$C$2)/H7))),"")</f>
        <v/>
      </c>
      <c r="O7" s="34">
        <f>TODAY()+ROUNDUP(N7,0)</f>
        <v/>
      </c>
      <c r="P7" s="33">
        <f>IFERROR(IF(N7="","—",IF(N7&lt;=$E$2,"YES","—")),"—")</f>
        <v/>
      </c>
      <c r="Q7" s="17">
        <f>COUNTIFS(Delivery_Log!$B$4:$B$5998,VALUE(B7),Delivery_Log!$A$4:$A$5998,"&gt;="&amp;$Q$2)</f>
        <v/>
      </c>
      <c r="R7" s="38" t="n"/>
    </row>
    <row r="8" ht="15" customHeight="1" s="72">
      <c r="A8" t="n">
        <v>3</v>
      </c>
      <c r="B8" s="50" t="n">
        <v>1063</v>
      </c>
      <c r="C8" s="41" t="inlineStr">
        <is>
          <t>ALL - 1063 - ALL AMERICAN MODERN SPORTS GRILL</t>
        </is>
      </c>
      <c r="D8" s="52" t="inlineStr">
        <is>
          <t>4</t>
        </is>
      </c>
      <c r="E8" s="41">
        <f>IFERROR(VLOOKUP(C8,Client_List!$B:$K,4,0)&amp;", "&amp;VLOOKUP(C8,Client_List!$B:$K,5,0)&amp;" AZ","")</f>
        <v/>
      </c>
      <c r="F8" s="38">
        <f>IFERROR(VLOOKUP(C8,Client_List!$B:$K,7,0)&amp;", "&amp;VLOOKUP(C8,Client_List!$B:$K,8,0),"")</f>
        <v/>
      </c>
      <c r="G8" s="42">
        <f>IFERROR(VLOOKUP(C8,Client_List!$B:$K,9,0),"")</f>
        <v/>
      </c>
      <c r="H8" s="18">
        <f>IFERROR(LOOKUP(2,1/((Delivery_Log!$B$4:$B$4998=VALUE(B8))*(ISNUMBER(Delivery_Log!$J$4:$J$4998))*(Delivery_Log!$J$4:$J$4998&gt;0)),Delivery_Log!$J$4:$J$4998),"")</f>
        <v/>
      </c>
      <c r="I8" s="41">
        <f>IFERROR(VLOOKUP(C8,Client_List!$B:$K,10,0),"")</f>
        <v/>
      </c>
      <c r="J8" s="19">
        <f>IFERROR(_xlfn.MAXIFS(Delivery_Log!$A$4:$A$4998,Delivery_Log!$B$4:$B$4998,VALUE(B8)),"—")</f>
        <v/>
      </c>
      <c r="K8" s="20">
        <f>IFERROR(IF(J8="—","",TODAY()-J8),"")</f>
        <v/>
      </c>
      <c r="L8" s="21">
        <f>IFERROR(IF(OR(K8="",H8=""),"",MAX(G8*0.03,G8-K8*H8)),"")</f>
        <v/>
      </c>
      <c r="M8" s="21">
        <f>IFERROR(IF(L8="","",G8-L8),"")</f>
        <v/>
      </c>
      <c r="N8" s="22">
        <f>IFERROR(IF(OR(L8="",H8=""),"",MIN(21,MAX(0,(L8-G8*$C$2)/H8))),"")</f>
        <v/>
      </c>
      <c r="O8" s="34">
        <f>TODAY()+ROUNDUP(N8,0)</f>
        <v/>
      </c>
      <c r="P8" s="32">
        <f>IFERROR(IF(N8="","—",IF(N8&lt;=$E$2,"YES","—")),"—")</f>
        <v/>
      </c>
      <c r="Q8" s="17">
        <f>COUNTIFS(Delivery_Log!$B$4:$B$5998,VALUE(B8),Delivery_Log!$A$4:$A$5998,"&gt;="&amp;$Q$2)</f>
        <v/>
      </c>
      <c r="R8" s="38" t="n"/>
    </row>
    <row r="9" ht="15" customHeight="1" s="72">
      <c r="A9" t="n">
        <v>4</v>
      </c>
      <c r="B9" s="50" t="n">
        <v>1073</v>
      </c>
      <c r="C9" s="41" t="inlineStr">
        <is>
          <t>AME - 1073 - AMELIO C ENTERPRISES, INC (CACTUS CANDY)</t>
        </is>
      </c>
      <c r="D9" s="52" t="inlineStr">
        <is>
          <t>4</t>
        </is>
      </c>
      <c r="E9" s="41">
        <f>IFERROR(VLOOKUP(C9,Client_List!$B:$K,4,0)&amp;", "&amp;VLOOKUP(C9,Client_List!$B:$K,5,0)&amp;" AZ","")</f>
        <v/>
      </c>
      <c r="F9" s="38">
        <f>IFERROR(VLOOKUP(C9,Client_List!$B:$K,7,0)&amp;", "&amp;VLOOKUP(C9,Client_List!$B:$K,8,0),"")</f>
        <v/>
      </c>
      <c r="G9" s="42">
        <f>IFERROR(VLOOKUP(C9,Client_List!$B:$K,9,0),"")</f>
        <v/>
      </c>
      <c r="H9" s="18">
        <f>IFERROR(LOOKUP(2,1/((Delivery_Log!$B$4:$B$4998=VALUE(B9))*(ISNUMBER(Delivery_Log!$J$4:$J$4998))*(Delivery_Log!$J$4:$J$4998&gt;0)),Delivery_Log!$J$4:$J$4998),"")</f>
        <v/>
      </c>
      <c r="I9" s="41">
        <f>IFERROR(VLOOKUP(C9,Client_List!$B:$K,10,0),"")</f>
        <v/>
      </c>
      <c r="J9" s="19">
        <f>IFERROR(_xlfn.MAXIFS(Delivery_Log!$A$4:$A$4998,Delivery_Log!$B$4:$B$4998,VALUE(B9)),"—")</f>
        <v/>
      </c>
      <c r="K9" s="20">
        <f>IFERROR(IF(J9="—","",TODAY()-J9),"")</f>
        <v/>
      </c>
      <c r="L9" s="21">
        <f>IFERROR(IF(OR(K9="",H9=""),"",MAX(G9*0.03,G9-K9*H9)),"")</f>
        <v/>
      </c>
      <c r="M9" s="21">
        <f>IFERROR(IF(L9="","",G9-L9),"")</f>
        <v/>
      </c>
      <c r="N9" s="22">
        <f>IFERROR(IF(OR(L9="",H9=""),"",MIN(21,MAX(0,(L9-G9*$C$2)/H9))),"")</f>
        <v/>
      </c>
      <c r="O9" s="34">
        <f>TODAY()+ROUNDUP(N9,0)</f>
        <v/>
      </c>
      <c r="P9" s="32">
        <f>IFERROR(IF(N9="","—",IF(N9&lt;=$E$2,"YES","—")),"—")</f>
        <v/>
      </c>
      <c r="Q9" s="17">
        <f>COUNTIFS(Delivery_Log!$B$4:$B$5998,VALUE(B9),Delivery_Log!$A$4:$A$5998,"&gt;="&amp;$Q$2)</f>
        <v/>
      </c>
      <c r="R9" s="38" t="n"/>
    </row>
    <row r="10" ht="15" customHeight="1" s="72">
      <c r="A10" t="n">
        <v>5</v>
      </c>
      <c r="B10" s="50" t="n">
        <v>1054</v>
      </c>
      <c r="C10" s="41" t="inlineStr">
        <is>
          <t>ANG - 1054 - ANGRY CRAB SURPRISE</t>
        </is>
      </c>
      <c r="D10" s="52" t="inlineStr">
        <is>
          <t>1</t>
        </is>
      </c>
      <c r="E10" s="41">
        <f>IFERROR(VLOOKUP(C10,Client_List!$B:$K,4,0)&amp;", "&amp;VLOOKUP(C10,Client_List!$B:$K,5,0)&amp;" AZ","")</f>
        <v/>
      </c>
      <c r="F10" s="38">
        <f>IFERROR(VLOOKUP(C10,Client_List!$B:$K,7,0)&amp;", "&amp;VLOOKUP(C10,Client_List!$B:$K,8,0),"")</f>
        <v/>
      </c>
      <c r="G10" s="42">
        <f>IFERROR(VLOOKUP(C10,Client_List!$B:$K,9,0),"")</f>
        <v/>
      </c>
      <c r="H10" s="18">
        <f>IFERROR(LOOKUP(2,1/((Delivery_Log!$B$4:$B$4998=VALUE(B10))*(ISNUMBER(Delivery_Log!$J$4:$J$4998))*(Delivery_Log!$J$4:$J$4998&gt;0)),Delivery_Log!$J$4:$J$4998),"")</f>
        <v/>
      </c>
      <c r="I10" s="41">
        <f>IFERROR(VLOOKUP(C10,Client_List!$B:$K,10,0),"")</f>
        <v/>
      </c>
      <c r="J10" s="19">
        <f>IFERROR(_xlfn.MAXIFS(Delivery_Log!$A$4:$A$4998,Delivery_Log!$B$4:$B$4998,VALUE(B10)),"—")</f>
        <v/>
      </c>
      <c r="K10" s="20">
        <f>IFERROR(IF(J10="—","",TODAY()-J10),"")</f>
        <v/>
      </c>
      <c r="L10" s="21">
        <f>IFERROR(IF(OR(K10="",H10=""),"",MAX(G10*0.03,G10-K10*H10)),"")</f>
        <v/>
      </c>
      <c r="M10" s="21">
        <f>IFERROR(IF(L10="","",G10-L10),"")</f>
        <v/>
      </c>
      <c r="N10" s="22">
        <f>IFERROR(IF(OR(L10="",H10=""),"",MIN(21,MAX(0,(L10-G10*$C$2)/H10))),"")</f>
        <v/>
      </c>
      <c r="O10" s="34">
        <f>TODAY()+ROUNDUP(N10,0)</f>
        <v/>
      </c>
      <c r="P10" s="33">
        <f>IFERROR(IF(N10="","—",IF(N10&lt;=$E$2,"YES","—")),"—")</f>
        <v/>
      </c>
      <c r="Q10" s="17">
        <f>COUNTIFS(Delivery_Log!$B$4:$B$5998,VALUE(B10),Delivery_Log!$A$4:$A$5998,"&gt;="&amp;$Q$2)</f>
        <v/>
      </c>
      <c r="R10" s="38" t="n"/>
    </row>
    <row r="11" ht="15" customHeight="1" s="72">
      <c r="A11" t="n">
        <v>6</v>
      </c>
      <c r="B11" s="50" t="n">
        <v>1000</v>
      </c>
      <c r="C11" s="41" t="inlineStr">
        <is>
          <t>ARR79 - 1000 - ARRIBAS 79TH AVE.</t>
        </is>
      </c>
      <c r="D11" s="52" t="inlineStr">
        <is>
          <t>2</t>
        </is>
      </c>
      <c r="E11" s="41">
        <f>IFERROR(VLOOKUP(C11,Client_List!$B:$K,4,0)&amp;", "&amp;VLOOKUP(C11,Client_List!$B:$K,5,0)&amp;" AZ","")</f>
        <v/>
      </c>
      <c r="F11" s="38">
        <f>IFERROR(VLOOKUP(C11,Client_List!$B:$K,7,0)&amp;", "&amp;VLOOKUP(C11,Client_List!$B:$K,8,0),"")</f>
        <v/>
      </c>
      <c r="G11" s="42">
        <f>IFERROR(VLOOKUP(C11,Client_List!$B:$K,9,0),"")</f>
        <v/>
      </c>
      <c r="H11" s="18">
        <f>IFERROR(LOOKUP(2,1/((Delivery_Log!$B$4:$B$4998=VALUE(B11))*(ISNUMBER(Delivery_Log!$J$4:$J$4998))*(Delivery_Log!$J$4:$J$4998&gt;0)),Delivery_Log!$J$4:$J$4998),"")</f>
        <v/>
      </c>
      <c r="I11" s="41">
        <f>IFERROR(VLOOKUP(C11,Client_List!$B:$K,10,0),"")</f>
        <v/>
      </c>
      <c r="J11" s="19">
        <f>IFERROR(_xlfn.MAXIFS(Delivery_Log!$A$4:$A$4998,Delivery_Log!$B$4:$B$4998,VALUE(B11)),"—")</f>
        <v/>
      </c>
      <c r="K11" s="20">
        <f>IFERROR(IF(J11="—","",TODAY()-J11),"")</f>
        <v/>
      </c>
      <c r="L11" s="21">
        <f>IFERROR(IF(OR(K11="",H11=""),"",MAX(G11*0.03,G11-K11*H11)),"")</f>
        <v/>
      </c>
      <c r="M11" s="21">
        <f>IFERROR(IF(L11="","",G11-L11),"")</f>
        <v/>
      </c>
      <c r="N11" s="22">
        <f>IFERROR(IF(OR(L11="",H11=""),"",MIN(21,MAX(0,(L11-G11*$C$2)/H11))),"")</f>
        <v/>
      </c>
      <c r="O11" s="34">
        <f>TODAY()+ROUNDUP(N11,0)</f>
        <v/>
      </c>
      <c r="P11" s="33">
        <f>IFERROR(IF(N11="","—",IF(N11&lt;=$E$2,"YES","—")),"—")</f>
        <v/>
      </c>
      <c r="Q11" s="17">
        <f>COUNTIFS(Delivery_Log!$B$4:$B$5998,VALUE(B11),Delivery_Log!$A$4:$A$5998,"&gt;="&amp;$Q$2)</f>
        <v/>
      </c>
      <c r="R11" s="38" t="n"/>
    </row>
    <row r="12" ht="15" customHeight="1" s="72">
      <c r="A12" t="n">
        <v>7</v>
      </c>
      <c r="B12" s="50" t="n">
        <v>1001</v>
      </c>
      <c r="C12" s="41" t="inlineStr">
        <is>
          <t>ARRC - 1001 - ARRIBAS CAMELBACK</t>
        </is>
      </c>
      <c r="D12" s="52" t="inlineStr">
        <is>
          <t>3</t>
        </is>
      </c>
      <c r="E12" s="41">
        <f>IFERROR(VLOOKUP(C12,Client_List!$B:$K,4,0)&amp;", "&amp;VLOOKUP(C12,Client_List!$B:$K,5,0)&amp;" AZ","")</f>
        <v/>
      </c>
      <c r="F12" s="38">
        <f>IFERROR(VLOOKUP(C12,Client_List!$B:$K,7,0)&amp;", "&amp;VLOOKUP(C12,Client_List!$B:$K,8,0),"")</f>
        <v/>
      </c>
      <c r="G12" s="42">
        <f>IFERROR(VLOOKUP(C12,Client_List!$B:$K,9,0),"")</f>
        <v/>
      </c>
      <c r="H12" s="18">
        <f>IFERROR(LOOKUP(2,1/((Delivery_Log!$B$4:$B$4998=VALUE(B12))*(ISNUMBER(Delivery_Log!$J$4:$J$4998))*(Delivery_Log!$J$4:$J$4998&gt;0)),Delivery_Log!$J$4:$J$4998),"")</f>
        <v/>
      </c>
      <c r="I12" s="41">
        <f>IFERROR(VLOOKUP(C12,Client_List!$B:$K,10,0),"")</f>
        <v/>
      </c>
      <c r="J12" s="19">
        <f>IFERROR(_xlfn.MAXIFS(Delivery_Log!$A$4:$A$4998,Delivery_Log!$B$4:$B$4998,VALUE(B12)),"—")</f>
        <v/>
      </c>
      <c r="K12" s="20">
        <f>IFERROR(IF(J12="—","",TODAY()-J12),"")</f>
        <v/>
      </c>
      <c r="L12" s="21">
        <f>IFERROR(IF(OR(K12="",H12=""),"",MAX(G12*0.03,G12-K12*H12)),"")</f>
        <v/>
      </c>
      <c r="M12" s="21">
        <f>IFERROR(IF(L12="","",G12-L12),"")</f>
        <v/>
      </c>
      <c r="N12" s="22">
        <f>IFERROR(IF(OR(L12="",H12=""),"",MIN(21,MAX(0,(L12-G12*$C$2)/H12))),"")</f>
        <v/>
      </c>
      <c r="O12" s="34">
        <f>TODAY()+ROUNDUP(N12,0)</f>
        <v/>
      </c>
      <c r="P12" s="33">
        <f>IFERROR(IF(N12="","—",IF(N12&lt;=$E$2,"YES","—")),"—")</f>
        <v/>
      </c>
      <c r="Q12" s="17">
        <f>COUNTIFS(Delivery_Log!$B$4:$B$5998,VALUE(B12),Delivery_Log!$A$4:$A$5998,"&gt;="&amp;$Q$2)</f>
        <v/>
      </c>
      <c r="R12" s="38" t="n"/>
    </row>
    <row r="13" ht="15" customHeight="1" s="72">
      <c r="A13" t="n">
        <v>8</v>
      </c>
      <c r="B13" s="50" t="n">
        <v>1011</v>
      </c>
      <c r="C13" s="41" t="inlineStr">
        <is>
          <t>ARRC - 1011 - ARRIBAS CHANDLER</t>
        </is>
      </c>
      <c r="D13" s="52" t="inlineStr">
        <is>
          <t>4</t>
        </is>
      </c>
      <c r="E13" s="41">
        <f>IFERROR(VLOOKUP(C13,Client_List!$B:$K,4,0)&amp;", "&amp;VLOOKUP(C13,Client_List!$B:$K,5,0)&amp;" AZ","")</f>
        <v/>
      </c>
      <c r="F13" s="38">
        <f>IFERROR(VLOOKUP(C13,Client_List!$B:$K,7,0)&amp;", "&amp;VLOOKUP(C13,Client_List!$B:$K,8,0),"")</f>
        <v/>
      </c>
      <c r="G13" s="42">
        <f>IFERROR(VLOOKUP(C13,Client_List!$B:$K,9,0),"")</f>
        <v/>
      </c>
      <c r="H13" s="18">
        <f>IFERROR(LOOKUP(2,1/((Delivery_Log!$B$4:$B$4998=VALUE(B13))*(ISNUMBER(Delivery_Log!$J$4:$J$4998))*(Delivery_Log!$J$4:$J$4998&gt;0)),Delivery_Log!$J$4:$J$4998),"")</f>
        <v/>
      </c>
      <c r="I13" s="41">
        <f>IFERROR(VLOOKUP(C13,Client_List!$B:$K,10,0),"")</f>
        <v/>
      </c>
      <c r="J13" s="19">
        <f>IFERROR(_xlfn.MAXIFS(Delivery_Log!$A$4:$A$4998,Delivery_Log!$B$4:$B$4998,VALUE(B13)),"—")</f>
        <v/>
      </c>
      <c r="K13" s="20">
        <f>IFERROR(IF(J13="—","",TODAY()-J13),"")</f>
        <v/>
      </c>
      <c r="L13" s="21">
        <f>IFERROR(IF(OR(K13="",H13=""),"",MAX(G13*0.03,G13-K13*H13)),"")</f>
        <v/>
      </c>
      <c r="M13" s="21">
        <f>IFERROR(IF(L13="","",G13-L13),"")</f>
        <v/>
      </c>
      <c r="N13" s="22">
        <f>IFERROR(IF(OR(L13="",H13=""),"",MIN(21,MAX(0,(L13-G13*$C$2)/H13))),"")</f>
        <v/>
      </c>
      <c r="O13" s="34">
        <f>TODAY()+ROUNDUP(N13,0)</f>
        <v/>
      </c>
      <c r="P13" s="33">
        <f>IFERROR(IF(N13="","—",IF(N13&lt;=$E$2,"YES","—")),"—")</f>
        <v/>
      </c>
      <c r="Q13" s="17">
        <f>COUNTIFS(Delivery_Log!$B$4:$B$5998,VALUE(B13),Delivery_Log!$A$4:$A$5998,"&gt;="&amp;$Q$2)</f>
        <v/>
      </c>
      <c r="R13" s="38" t="n"/>
    </row>
    <row r="14" ht="15" customHeight="1" s="72">
      <c r="A14" t="n">
        <v>9</v>
      </c>
      <c r="B14" s="50" t="n">
        <v>1014</v>
      </c>
      <c r="C14" s="41" t="inlineStr">
        <is>
          <t>ARRC - 1014 - ARRIBA  GILBERT</t>
        </is>
      </c>
      <c r="D14" s="52" t="inlineStr">
        <is>
          <t>5</t>
        </is>
      </c>
      <c r="E14" s="41">
        <f>IFERROR(VLOOKUP(C14,Client_List!$B:$K,4,0)&amp;", "&amp;VLOOKUP(C14,Client_List!$B:$K,5,0)&amp;" AZ","")</f>
        <v/>
      </c>
      <c r="F14" s="38">
        <f>IFERROR(VLOOKUP(C14,Client_List!$B:$K,7,0)&amp;", "&amp;VLOOKUP(C14,Client_List!$B:$K,8,0),"")</f>
        <v/>
      </c>
      <c r="G14" s="42">
        <f>IFERROR(VLOOKUP(C14,Client_List!$B:$K,9,0),"")</f>
        <v/>
      </c>
      <c r="H14" s="18">
        <f>IFERROR(LOOKUP(2,1/((Delivery_Log!$B$4:$B$4998=VALUE(B14))*(ISNUMBER(Delivery_Log!$J$4:$J$4998))*(Delivery_Log!$J$4:$J$4998&gt;0)),Delivery_Log!$J$4:$J$4998),"")</f>
        <v/>
      </c>
      <c r="I14" s="41">
        <f>IFERROR(VLOOKUP(C14,Client_List!$B:$K,10,0),"")</f>
        <v/>
      </c>
      <c r="J14" s="19">
        <f>IFERROR(_xlfn.MAXIFS(Delivery_Log!$A$4:$A$4998,Delivery_Log!$B$4:$B$4998,VALUE(B14)),"—")</f>
        <v/>
      </c>
      <c r="K14" s="20">
        <f>IFERROR(IF(J14="—","",TODAY()-J14),"")</f>
        <v/>
      </c>
      <c r="L14" s="21">
        <f>IFERROR(IF(OR(K14="",H14=""),"",MAX(G14*0.03,G14-K14*H14)),"")</f>
        <v/>
      </c>
      <c r="M14" s="21">
        <f>IFERROR(IF(L14="","",G14-L14),"")</f>
        <v/>
      </c>
      <c r="N14" s="22">
        <f>IFERROR(IF(OR(L14="",H14=""),"",MIN(21,MAX(0,(L14-G14*$C$2)/H14))),"")</f>
        <v/>
      </c>
      <c r="O14" s="34">
        <f>TODAY()+ROUNDUP(N14,0)</f>
        <v/>
      </c>
      <c r="P14" s="33">
        <f>IFERROR(IF(N14="","—",IF(N14&lt;=$E$2,"YES","—")),"—")</f>
        <v/>
      </c>
      <c r="Q14" s="17">
        <f>COUNTIFS(Delivery_Log!$B$4:$B$5998,VALUE(B14),Delivery_Log!$A$4:$A$5998,"&gt;="&amp;$Q$2)</f>
        <v/>
      </c>
      <c r="R14" s="38" t="n"/>
    </row>
    <row r="15" ht="15" customHeight="1" s="72">
      <c r="A15" t="n">
        <v>10</v>
      </c>
      <c r="B15" s="50" t="n">
        <v>1013</v>
      </c>
      <c r="C15" s="41" t="inlineStr">
        <is>
          <t>ARRM - 1013 - ARRIBAS GOODYEAR</t>
        </is>
      </c>
      <c r="D15" s="52" t="inlineStr">
        <is>
          <t>1</t>
        </is>
      </c>
      <c r="E15" s="41">
        <f>IFERROR(VLOOKUP(C15,Client_List!$B:$K,4,0)&amp;", "&amp;VLOOKUP(C15,Client_List!$B:$K,5,0)&amp;" AZ","")</f>
        <v/>
      </c>
      <c r="F15" s="38">
        <f>IFERROR(VLOOKUP(C15,Client_List!$B:$K,7,0)&amp;", "&amp;VLOOKUP(C15,Client_List!$B:$K,8,0),"")</f>
        <v/>
      </c>
      <c r="G15" s="42">
        <f>IFERROR(VLOOKUP(C15,Client_List!$B:$K,9,0),"")</f>
        <v/>
      </c>
      <c r="H15" s="18">
        <f>IFERROR(LOOKUP(2,1/((Delivery_Log!$B$4:$B$4998=VALUE(B15))*(ISNUMBER(Delivery_Log!$J$4:$J$4998))*(Delivery_Log!$J$4:$J$4998&gt;0)),Delivery_Log!$J$4:$J$4998),"")</f>
        <v/>
      </c>
      <c r="I15" s="41">
        <f>IFERROR(VLOOKUP(C15,Client_List!$B:$K,10,0),"")</f>
        <v/>
      </c>
      <c r="J15" s="19">
        <f>IFERROR(_xlfn.MAXIFS(Delivery_Log!$A$4:$A$4998,Delivery_Log!$B$4:$B$4998,VALUE(B15)),"—")</f>
        <v/>
      </c>
      <c r="K15" s="20">
        <f>IFERROR(IF(J15="—","",TODAY()-J15),"")</f>
        <v/>
      </c>
      <c r="L15" s="21">
        <f>IFERROR(IF(OR(K15="",H15=""),"",MAX(G15*0.03,G15-K15*H15)),"")</f>
        <v/>
      </c>
      <c r="M15" s="21">
        <f>IFERROR(IF(L15="","",G15-L15),"")</f>
        <v/>
      </c>
      <c r="N15" s="22">
        <f>IFERROR(IF(OR(L15="",H15=""),"",MIN(21,MAX(0,(L15-G15*$C$2)/H15))),"")</f>
        <v/>
      </c>
      <c r="O15" s="34">
        <f>TODAY()+ROUNDUP(N15,0)</f>
        <v/>
      </c>
      <c r="P15" s="33">
        <f>IFERROR(IF(N15="","—",IF(N15&lt;=$E$2,"YES","—")),"—")</f>
        <v/>
      </c>
      <c r="Q15" s="17">
        <f>COUNTIFS(Delivery_Log!$B$4:$B$5998,VALUE(B15),Delivery_Log!$A$4:$A$5998,"&gt;="&amp;$Q$2)</f>
        <v/>
      </c>
      <c r="R15" s="38" t="n"/>
    </row>
    <row r="16" ht="15" customHeight="1" s="72">
      <c r="A16" t="n">
        <v>11</v>
      </c>
      <c r="B16" s="50" t="n">
        <v>1081</v>
      </c>
      <c r="C16" s="41" t="inlineStr">
        <is>
          <t>ATL - 1081 - ATL WINGS ROOSEVELT</t>
        </is>
      </c>
      <c r="D16" s="52" t="inlineStr">
        <is>
          <t>3</t>
        </is>
      </c>
      <c r="E16" s="41">
        <f>IFERROR(VLOOKUP(C16,Client_List!$B:$K,4,0)&amp;", "&amp;VLOOKUP(C16,Client_List!$B:$K,5,0)&amp;" AZ","")</f>
        <v/>
      </c>
      <c r="F16" s="38">
        <f>IFERROR(VLOOKUP(C16,Client_List!$B:$K,7,0)&amp;", "&amp;VLOOKUP(C16,Client_List!$B:$K,8,0),"")</f>
        <v/>
      </c>
      <c r="G16" s="42">
        <f>IFERROR(VLOOKUP(C16,Client_List!$B:$K,9,0),"")</f>
        <v/>
      </c>
      <c r="H16" s="18">
        <f>IFERROR(LOOKUP(2,1/((Delivery_Log!$B$4:$B$4998=VALUE(B16))*(ISNUMBER(Delivery_Log!$J$4:$J$4998))*(Delivery_Log!$J$4:$J$4998&gt;0)),Delivery_Log!$J$4:$J$4998),"")</f>
        <v/>
      </c>
      <c r="I16" s="41">
        <f>IFERROR(VLOOKUP(C16,Client_List!$B:$K,10,0),"")</f>
        <v/>
      </c>
      <c r="J16" s="19">
        <f>IFERROR(_xlfn.MAXIFS(Delivery_Log!$A$4:$A$4998,Delivery_Log!$B$4:$B$4998,VALUE(B16)),"—")</f>
        <v/>
      </c>
      <c r="K16" s="20">
        <f>IFERROR(IF(J16="—","",TODAY()-J16),"")</f>
        <v/>
      </c>
      <c r="L16" s="21">
        <f>IFERROR(IF(OR(K16="",H16=""),"",MAX(G16*0.03,G16-K16*H16)),"")</f>
        <v/>
      </c>
      <c r="M16" s="21">
        <f>IFERROR(IF(L16="","",G16-L16),"")</f>
        <v/>
      </c>
      <c r="N16" s="22">
        <f>IFERROR(IF(OR(L16="",H16=""),"",MIN(21,MAX(0,(L16-G16*$C$2)/H16))),"")</f>
        <v/>
      </c>
      <c r="O16" s="34">
        <f>TODAY()+ROUNDUP(N16,0)</f>
        <v/>
      </c>
      <c r="P16" s="33">
        <f>IFERROR(IF(N16="","—",IF(N16&lt;=$E$2,"YES","—")),"—")</f>
        <v/>
      </c>
      <c r="Q16" s="17">
        <f>COUNTIFS(Delivery_Log!$B$4:$B$5998,VALUE(B16),Delivery_Log!$A$4:$A$5998,"&gt;="&amp;$Q$2)</f>
        <v/>
      </c>
      <c r="R16" s="38" t="n"/>
    </row>
    <row r="17" ht="15" customHeight="1" s="72">
      <c r="A17" t="n">
        <v>12</v>
      </c>
      <c r="B17" s="50" t="n">
        <v>1083</v>
      </c>
      <c r="C17" s="41" t="inlineStr">
        <is>
          <t>ATL - 1083 - ATL WINGS MESA</t>
        </is>
      </c>
      <c r="D17" s="52" t="inlineStr">
        <is>
          <t>5</t>
        </is>
      </c>
      <c r="E17" s="41">
        <f>IFERROR(VLOOKUP(C17,Client_List!$B:$K,4,0)&amp;", "&amp;VLOOKUP(C17,Client_List!$B:$K,5,0)&amp;" AZ","")</f>
        <v/>
      </c>
      <c r="F17" s="38">
        <f>IFERROR(VLOOKUP(C17,Client_List!$B:$K,7,0)&amp;", "&amp;VLOOKUP(C17,Client_List!$B:$K,8,0),"")</f>
        <v/>
      </c>
      <c r="G17" s="42">
        <f>IFERROR(VLOOKUP(C17,Client_List!$B:$K,9,0),"")</f>
        <v/>
      </c>
      <c r="H17" s="18">
        <f>IFERROR(LOOKUP(2,1/((Delivery_Log!$B$4:$B$4998=VALUE(B17))*(ISNUMBER(Delivery_Log!$J$4:$J$4998))*(Delivery_Log!$J$4:$J$4998&gt;0)),Delivery_Log!$J$4:$J$4998),"")</f>
        <v/>
      </c>
      <c r="I17" s="41">
        <f>IFERROR(VLOOKUP(C17,Client_List!$B:$K,10,0),"")</f>
        <v/>
      </c>
      <c r="J17" s="19">
        <f>IFERROR(_xlfn.MAXIFS(Delivery_Log!$A$4:$A$4998,Delivery_Log!$B$4:$B$4998,VALUE(B17)),"—")</f>
        <v/>
      </c>
      <c r="K17" s="20">
        <f>IFERROR(IF(J17="—","",TODAY()-J17),"")</f>
        <v/>
      </c>
      <c r="L17" s="21">
        <f>IFERROR(IF(OR(K17="",H17=""),"",MAX(G17*0.03,G17-K17*H17)),"")</f>
        <v/>
      </c>
      <c r="M17" s="21">
        <f>IFERROR(IF(L17="","",G17-L17),"")</f>
        <v/>
      </c>
      <c r="N17" s="22">
        <f>IFERROR(IF(OR(L17="",H17=""),"",MIN(21,MAX(0,(L17-G17*$C$2)/H17))),"")</f>
        <v/>
      </c>
      <c r="O17" s="34">
        <f>TODAY()+ROUNDUP(N17,0)</f>
        <v/>
      </c>
      <c r="P17" s="33">
        <f>IFERROR(IF(N17="","—",IF(N17&lt;=$E$2,"YES","—")),"—")</f>
        <v/>
      </c>
      <c r="Q17" s="17">
        <f>COUNTIFS(Delivery_Log!$B$4:$B$5998,VALUE(B17),Delivery_Log!$A$4:$A$5998,"&gt;="&amp;$Q$2)</f>
        <v/>
      </c>
      <c r="R17" s="38" t="n"/>
    </row>
    <row r="18" ht="15" customHeight="1" s="72">
      <c r="A18" t="n">
        <v>13</v>
      </c>
      <c r="B18" s="50" t="n">
        <v>19039</v>
      </c>
      <c r="C18" s="41" t="inlineStr">
        <is>
          <t>BAC - 19039 - BACKYARD GILBERT</t>
        </is>
      </c>
      <c r="D18" s="52" t="inlineStr">
        <is>
          <t>5</t>
        </is>
      </c>
      <c r="E18" s="41">
        <f>IFERROR(VLOOKUP(C18,Client_List!$B:$K,4,0)&amp;", "&amp;VLOOKUP(C18,Client_List!$B:$K,5,0)&amp;" AZ","")</f>
        <v/>
      </c>
      <c r="F18" s="38">
        <f>IFERROR(VLOOKUP(C18,Client_List!$B:$K,7,0)&amp;", "&amp;VLOOKUP(C18,Client_List!$B:$K,8,0),"")</f>
        <v/>
      </c>
      <c r="G18" s="42">
        <f>IFERROR(VLOOKUP(C18,Client_List!$B:$K,9,0),"")</f>
        <v/>
      </c>
      <c r="H18" s="18">
        <f>IFERROR(LOOKUP(2,1/((Delivery_Log!$B$4:$B$4998=VALUE(B18))*(ISNUMBER(Delivery_Log!$J$4:$J$4998))*(Delivery_Log!$J$4:$J$4998&gt;0)),Delivery_Log!$J$4:$J$4998),"")</f>
        <v/>
      </c>
      <c r="I18" s="41">
        <f>IFERROR(VLOOKUP(C18,Client_List!$B:$K,10,0),"")</f>
        <v/>
      </c>
      <c r="J18" s="19">
        <f>IFERROR(_xlfn.MAXIFS(Delivery_Log!$A$4:$A$4998,Delivery_Log!$B$4:$B$4998,VALUE(B18)),"—")</f>
        <v/>
      </c>
      <c r="K18" s="20">
        <f>IFERROR(IF(J18="—","",TODAY()-J18),"")</f>
        <v/>
      </c>
      <c r="L18" s="21">
        <f>IFERROR(IF(OR(K18="",H18=""),"",MAX(G18*0.03,G18-K18*H18)),"")</f>
        <v/>
      </c>
      <c r="M18" s="21">
        <f>IFERROR(IF(L18="","",G18-L18),"")</f>
        <v/>
      </c>
      <c r="N18" s="22">
        <f>IFERROR(IF(OR(L18="",H18=""),"",MIN(21,MAX(0,(L18-G18*$C$2)/H18))),"")</f>
        <v/>
      </c>
      <c r="O18" s="34">
        <f>TODAY()+ROUNDUP(N18,0)</f>
        <v/>
      </c>
      <c r="P18" s="32">
        <f>IFERROR(IF(N18="","—",IF(N18&lt;=$E$2,"YES","—")),"—")</f>
        <v/>
      </c>
      <c r="Q18" s="17">
        <f>COUNTIFS(Delivery_Log!$B$4:$B$5998,VALUE(B18),Delivery_Log!$A$4:$A$5998,"&gt;="&amp;$Q$2)</f>
        <v/>
      </c>
      <c r="R18" s="38" t="n"/>
    </row>
    <row r="19" ht="15" customHeight="1" s="72">
      <c r="A19" t="n">
        <v>14</v>
      </c>
      <c r="B19" s="50" t="n">
        <v>2067</v>
      </c>
      <c r="C19" s="41" t="inlineStr">
        <is>
          <t>BAC - 2067 - BACKYARD - DESERT RIDGE</t>
        </is>
      </c>
      <c r="D19" s="52" t="inlineStr">
        <is>
          <t>4</t>
        </is>
      </c>
      <c r="E19" s="41">
        <f>IFERROR(VLOOKUP(C19,Client_List!$B:$K,4,0)&amp;", "&amp;VLOOKUP(C19,Client_List!$B:$K,5,0)&amp;" AZ","")</f>
        <v/>
      </c>
      <c r="F19" s="38">
        <f>IFERROR(VLOOKUP(C19,Client_List!$B:$K,7,0)&amp;", "&amp;VLOOKUP(C19,Client_List!$B:$K,8,0),"")</f>
        <v/>
      </c>
      <c r="G19" s="42">
        <f>IFERROR(VLOOKUP(C19,Client_List!$B:$K,9,0),"")</f>
        <v/>
      </c>
      <c r="H19" s="18">
        <f>IFERROR(LOOKUP(2,1/((Delivery_Log!$B$4:$B$4998=VALUE(B19))*(ISNUMBER(Delivery_Log!$J$4:$J$4998))*(Delivery_Log!$J$4:$J$4998&gt;0)),Delivery_Log!$J$4:$J$4998),"")</f>
        <v/>
      </c>
      <c r="I19" s="41">
        <f>IFERROR(VLOOKUP(C19,Client_List!$B:$K,10,0),"")</f>
        <v/>
      </c>
      <c r="J19" s="19">
        <f>IFERROR(_xlfn.MAXIFS(Delivery_Log!$A$4:$A$4998,Delivery_Log!$B$4:$B$4998,VALUE(B19)),"—")</f>
        <v/>
      </c>
      <c r="K19" s="20">
        <f>IFERROR(IF(J19="—","",TODAY()-J19),"")</f>
        <v/>
      </c>
      <c r="L19" s="21">
        <f>IFERROR(IF(OR(K19="",H19=""),"",MAX(G19*0.03,G19-K19*H19)),"")</f>
        <v/>
      </c>
      <c r="M19" s="21">
        <f>IFERROR(IF(L19="","",G19-L19),"")</f>
        <v/>
      </c>
      <c r="N19" s="22">
        <f>IFERROR(IF(OR(L19="",H19=""),"",MIN(21,MAX(0,(L19-G19*$C$2)/H19))),"")</f>
        <v/>
      </c>
      <c r="O19" s="34">
        <f>TODAY()+ROUNDUP(N19,0)</f>
        <v/>
      </c>
      <c r="P19" s="33">
        <f>IFERROR(IF(N19="","—",IF(N19&lt;=$E$2,"YES","—")),"—")</f>
        <v/>
      </c>
      <c r="Q19" s="17">
        <f>COUNTIFS(Delivery_Log!$B$4:$B$5998,VALUE(B19),Delivery_Log!$A$4:$A$5998,"&gt;="&amp;$Q$2)</f>
        <v/>
      </c>
      <c r="R19" s="38" t="n"/>
    </row>
    <row r="20" ht="15" customHeight="1" s="72">
      <c r="A20" t="n">
        <v>15</v>
      </c>
      <c r="B20" s="50" t="n">
        <v>2053</v>
      </c>
      <c r="C20" s="41" t="inlineStr">
        <is>
          <t>BAJ - 2053 - BAJA JOES</t>
        </is>
      </c>
      <c r="D20" s="52" t="inlineStr">
        <is>
          <t>5</t>
        </is>
      </c>
      <c r="E20" s="41">
        <f>IFERROR(VLOOKUP(C20,Client_List!$B:$K,4,0)&amp;", "&amp;VLOOKUP(C20,Client_List!$B:$K,5,0)&amp;" AZ","")</f>
        <v/>
      </c>
      <c r="F20" s="38">
        <f>IFERROR(VLOOKUP(C20,Client_List!$B:$K,7,0)&amp;", "&amp;VLOOKUP(C20,Client_List!$B:$K,8,0),"")</f>
        <v/>
      </c>
      <c r="G20" s="42">
        <f>IFERROR(VLOOKUP(C20,Client_List!$B:$K,9,0),"")</f>
        <v/>
      </c>
      <c r="H20" s="18">
        <f>IFERROR(LOOKUP(2,1/((Delivery_Log!$B$4:$B$4998=VALUE(B20))*(ISNUMBER(Delivery_Log!$J$4:$J$4998))*(Delivery_Log!$J$4:$J$4998&gt;0)),Delivery_Log!$J$4:$J$4998),"")</f>
        <v/>
      </c>
      <c r="I20" s="41">
        <f>IFERROR(VLOOKUP(C20,Client_List!$B:$K,10,0),"")</f>
        <v/>
      </c>
      <c r="J20" s="19">
        <f>IFERROR(_xlfn.MAXIFS(Delivery_Log!$A$4:$A$4998,Delivery_Log!$B$4:$B$4998,VALUE(B20)),"—")</f>
        <v/>
      </c>
      <c r="K20" s="20">
        <f>IFERROR(IF(J20="—","",TODAY()-J20),"")</f>
        <v/>
      </c>
      <c r="L20" s="21">
        <f>IFERROR(IF(OR(K20="",H20=""),"",MAX(G20*0.03,G20-K20*H20)),"")</f>
        <v/>
      </c>
      <c r="M20" s="21">
        <f>IFERROR(IF(L20="","",G20-L20),"")</f>
        <v/>
      </c>
      <c r="N20" s="22">
        <f>IFERROR(IF(OR(L20="",H20=""),"",MIN(21,MAX(0,(L20-G20*$C$2)/H20))),"")</f>
        <v/>
      </c>
      <c r="O20" s="34">
        <f>TODAY()+ROUNDUP(N20,0)</f>
        <v/>
      </c>
      <c r="P20" s="32">
        <f>IFERROR(IF(N20="","—",IF(N20&lt;=$E$2,"YES","—")),"—")</f>
        <v/>
      </c>
      <c r="Q20" s="17">
        <f>COUNTIFS(Delivery_Log!$B$4:$B$5998,VALUE(B20),Delivery_Log!$A$4:$A$5998,"&gt;="&amp;$Q$2)</f>
        <v/>
      </c>
      <c r="R20" s="38" t="n"/>
    </row>
    <row r="21" ht="15" customHeight="1" s="72">
      <c r="A21" t="n">
        <v>16</v>
      </c>
      <c r="B21" s="50" t="n">
        <v>2045</v>
      </c>
      <c r="C21" s="41" t="inlineStr">
        <is>
          <t>BAR - 2045 - BARRIO BREWING</t>
        </is>
      </c>
      <c r="D21" s="52" t="inlineStr">
        <is>
          <t>5</t>
        </is>
      </c>
      <c r="E21" s="41">
        <f>IFERROR(VLOOKUP(C21,Client_List!$B:$K,4,0)&amp;", "&amp;VLOOKUP(C21,Client_List!$B:$K,5,0)&amp;" AZ","")</f>
        <v/>
      </c>
      <c r="F21" s="38">
        <f>IFERROR(VLOOKUP(C21,Client_List!$B:$K,7,0)&amp;", "&amp;VLOOKUP(C21,Client_List!$B:$K,8,0),"")</f>
        <v/>
      </c>
      <c r="G21" s="42">
        <f>IFERROR(VLOOKUP(C21,Client_List!$B:$K,9,0),"")</f>
        <v/>
      </c>
      <c r="H21" s="18">
        <f>IFERROR(LOOKUP(2,1/((Delivery_Log!$B$4:$B$4998=VALUE(B21))*(ISNUMBER(Delivery_Log!$J$4:$J$4998))*(Delivery_Log!$J$4:$J$4998&gt;0)),Delivery_Log!$J$4:$J$4998),"")</f>
        <v/>
      </c>
      <c r="I21" s="41">
        <f>IFERROR(VLOOKUP(C21,Client_List!$B:$K,10,0),"")</f>
        <v/>
      </c>
      <c r="J21" s="19">
        <f>IFERROR(_xlfn.MAXIFS(Delivery_Log!$A$4:$A$4998,Delivery_Log!$B$4:$B$4998,VALUE(B21)),"—")</f>
        <v/>
      </c>
      <c r="K21" s="20">
        <f>IFERROR(IF(J21="—","",TODAY()-J21),"")</f>
        <v/>
      </c>
      <c r="L21" s="21">
        <f>IFERROR(IF(OR(K21="",H21=""),"",MAX(G21*0.03,G21-K21*H21)),"")</f>
        <v/>
      </c>
      <c r="M21" s="21">
        <f>IFERROR(IF(L21="","",G21-L21),"")</f>
        <v/>
      </c>
      <c r="N21" s="22">
        <f>IFERROR(IF(OR(L21="",H21=""),"",MIN(21,MAX(0,(L21-G21*$C$2)/H21))),"")</f>
        <v/>
      </c>
      <c r="O21" s="34">
        <f>TODAY()+ROUNDUP(N21,0)</f>
        <v/>
      </c>
      <c r="P21" s="33">
        <f>IFERROR(IF(N21="","—",IF(N21&lt;=$E$2,"YES","—")),"—")</f>
        <v/>
      </c>
      <c r="Q21" s="17">
        <f>COUNTIFS(Delivery_Log!$B$4:$B$5998,VALUE(B21),Delivery_Log!$A$4:$A$5998,"&gt;="&amp;$Q$2)</f>
        <v/>
      </c>
      <c r="R21" s="38" t="n"/>
    </row>
    <row r="22" ht="15" customHeight="1" s="72">
      <c r="A22" t="n">
        <v>17</v>
      </c>
      <c r="B22" s="50" t="n">
        <v>2038</v>
      </c>
      <c r="C22" s="41" t="inlineStr">
        <is>
          <t>BEL - 2038 - BELLE'S NASHVILLE KITCHEN</t>
        </is>
      </c>
      <c r="D22" s="52" t="inlineStr">
        <is>
          <t>4</t>
        </is>
      </c>
      <c r="E22" s="41">
        <f>IFERROR(VLOOKUP(C22,Client_List!$B:$K,4,0)&amp;", "&amp;VLOOKUP(C22,Client_List!$B:$K,5,0)&amp;" AZ","")</f>
        <v/>
      </c>
      <c r="F22" s="38">
        <f>IFERROR(VLOOKUP(C22,Client_List!$B:$K,7,0)&amp;", "&amp;VLOOKUP(C22,Client_List!$B:$K,8,0),"")</f>
        <v/>
      </c>
      <c r="G22" s="42">
        <f>IFERROR(VLOOKUP(C22,Client_List!$B:$K,9,0),"")</f>
        <v/>
      </c>
      <c r="H22" s="18">
        <f>IFERROR(LOOKUP(2,1/((Delivery_Log!$B$4:$B$4998=VALUE(B22))*(ISNUMBER(Delivery_Log!$J$4:$J$4998))*(Delivery_Log!$J$4:$J$4998&gt;0)),Delivery_Log!$J$4:$J$4998),"")</f>
        <v/>
      </c>
      <c r="I22" s="41">
        <f>IFERROR(VLOOKUP(C22,Client_List!$B:$K,10,0),"")</f>
        <v/>
      </c>
      <c r="J22" s="19">
        <f>IFERROR(_xlfn.MAXIFS(Delivery_Log!$A$4:$A$4998,Delivery_Log!$B$4:$B$4998,VALUE(B22)),"—")</f>
        <v/>
      </c>
      <c r="K22" s="20">
        <f>IFERROR(IF(J22="—","",TODAY()-J22),"")</f>
        <v/>
      </c>
      <c r="L22" s="21">
        <f>IFERROR(IF(OR(K22="",H22=""),"",MAX(G22*0.03,G22-K22*H22)),"")</f>
        <v/>
      </c>
      <c r="M22" s="21">
        <f>IFERROR(IF(L22="","",G22-L22),"")</f>
        <v/>
      </c>
      <c r="N22" s="22">
        <f>IFERROR(IF(OR(L22="",H22=""),"",MIN(21,MAX(0,(L22-G22*$C$2)/H22))),"")</f>
        <v/>
      </c>
      <c r="O22" s="34">
        <f>TODAY()+ROUNDUP(N22,0)</f>
        <v/>
      </c>
      <c r="P22" s="32">
        <f>IFERROR(IF(N22="","—",IF(N22&lt;=$E$2,"YES","—")),"—")</f>
        <v/>
      </c>
      <c r="Q22" s="17">
        <f>COUNTIFS(Delivery_Log!$B$4:$B$5998,VALUE(B22),Delivery_Log!$A$4:$A$5998,"&gt;="&amp;$Q$2)</f>
        <v/>
      </c>
      <c r="R22" s="38" t="n"/>
    </row>
    <row r="23" ht="15" customHeight="1" s="72">
      <c r="A23" t="n">
        <v>18</v>
      </c>
      <c r="B23" s="50" t="n">
        <v>2023</v>
      </c>
      <c r="C23" s="41" t="inlineStr">
        <is>
          <t>BOO - 2023 - BOOTY GOODYEAR</t>
        </is>
      </c>
      <c r="D23" s="52" t="inlineStr">
        <is>
          <t>1</t>
        </is>
      </c>
      <c r="E23" s="41">
        <f>IFERROR(VLOOKUP(C23,Client_List!$B:$K,4,0)&amp;", "&amp;VLOOKUP(C23,Client_List!$B:$K,5,0)&amp;" AZ","")</f>
        <v/>
      </c>
      <c r="F23" s="38">
        <f>IFERROR(VLOOKUP(C23,Client_List!$B:$K,7,0)&amp;", "&amp;VLOOKUP(C23,Client_List!$B:$K,8,0),"")</f>
        <v/>
      </c>
      <c r="G23" s="42">
        <f>IFERROR(VLOOKUP(C23,Client_List!$B:$K,9,0),"")</f>
        <v/>
      </c>
      <c r="H23" s="18">
        <f>IFERROR(LOOKUP(2,1/((Delivery_Log!$B$4:$B$4998=VALUE(B23))*(ISNUMBER(Delivery_Log!$J$4:$J$4998))*(Delivery_Log!$J$4:$J$4998&gt;0)),Delivery_Log!$J$4:$J$4998),"")</f>
        <v/>
      </c>
      <c r="I23" s="41">
        <f>IFERROR(VLOOKUP(C23,Client_List!$B:$K,10,0),"")</f>
        <v/>
      </c>
      <c r="J23" s="19">
        <f>IFERROR(_xlfn.MAXIFS(Delivery_Log!$A$4:$A$4998,Delivery_Log!$B$4:$B$4998,VALUE(B23)),"—")</f>
        <v/>
      </c>
      <c r="K23" s="20">
        <f>IFERROR(IF(J23="—","",TODAY()-J23),"")</f>
        <v/>
      </c>
      <c r="L23" s="21">
        <f>IFERROR(IF(OR(K23="",H23=""),"",MAX(G23*0.03,G23-K23*H23)),"")</f>
        <v/>
      </c>
      <c r="M23" s="21">
        <f>IFERROR(IF(L23="","",G23-L23),"")</f>
        <v/>
      </c>
      <c r="N23" s="22">
        <f>IFERROR(IF(OR(L23="",H23=""),"",MIN(21,MAX(0,(L23-G23*$C$2)/H23))),"")</f>
        <v/>
      </c>
      <c r="O23" s="34">
        <f>TODAY()+ROUNDUP(N23,0)</f>
        <v/>
      </c>
      <c r="P23" s="33">
        <f>IFERROR(IF(N23="","—",IF(N23&lt;=$E$2,"YES","—")),"—")</f>
        <v/>
      </c>
      <c r="Q23" s="17">
        <f>COUNTIFS(Delivery_Log!$B$4:$B$5998,VALUE(B23),Delivery_Log!$A$4:$A$5998,"&gt;="&amp;$Q$2)</f>
        <v/>
      </c>
      <c r="R23" s="38" t="n"/>
    </row>
    <row r="24" ht="15" customHeight="1" s="72">
      <c r="A24" t="n">
        <v>19</v>
      </c>
      <c r="B24" s="50" t="n">
        <v>2017</v>
      </c>
      <c r="C24" s="41" t="inlineStr">
        <is>
          <t>BOOW - 2017 - BOOTY'S WATSON</t>
        </is>
      </c>
      <c r="D24" s="52" t="inlineStr">
        <is>
          <t>1</t>
        </is>
      </c>
      <c r="E24" s="41">
        <f>IFERROR(VLOOKUP(C24,Client_List!$B:$K,4,0)&amp;", "&amp;VLOOKUP(C24,Client_List!$B:$K,5,0)&amp;" AZ","")</f>
        <v/>
      </c>
      <c r="F24" s="38">
        <f>IFERROR(VLOOKUP(C24,Client_List!$B:$K,7,0)&amp;", "&amp;VLOOKUP(C24,Client_List!$B:$K,8,0),"")</f>
        <v/>
      </c>
      <c r="G24" s="42">
        <f>IFERROR(VLOOKUP(C24,Client_List!$B:$K,9,0),"")</f>
        <v/>
      </c>
      <c r="H24" s="18">
        <f>IFERROR(LOOKUP(2,1/((Delivery_Log!$B$4:$B$4998=VALUE(B24))*(ISNUMBER(Delivery_Log!$J$4:$J$4998))*(Delivery_Log!$J$4:$J$4998&gt;0)),Delivery_Log!$J$4:$J$4998),"")</f>
        <v/>
      </c>
      <c r="I24" s="41">
        <f>IFERROR(VLOOKUP(C24,Client_List!$B:$K,10,0),"")</f>
        <v/>
      </c>
      <c r="J24" s="19">
        <f>IFERROR(_xlfn.MAXIFS(Delivery_Log!$A$4:$A$4998,Delivery_Log!$B$4:$B$4998,VALUE(B24)),"—")</f>
        <v/>
      </c>
      <c r="K24" s="20">
        <f>IFERROR(IF(J24="—","",TODAY()-J24),"")</f>
        <v/>
      </c>
      <c r="L24" s="21">
        <f>IFERROR(IF(OR(K24="",H24=""),"",MAX(G24*0.03,G24-K24*H24)),"")</f>
        <v/>
      </c>
      <c r="M24" s="21">
        <f>IFERROR(IF(L24="","",G24-L24),"")</f>
        <v/>
      </c>
      <c r="N24" s="22">
        <f>IFERROR(IF(OR(L24="",H24=""),"",MIN(21,MAX(0,(L24-G24*$C$2)/H24))),"")</f>
        <v/>
      </c>
      <c r="O24" s="34">
        <f>TODAY()+ROUNDUP(N24,0)</f>
        <v/>
      </c>
      <c r="P24" s="33">
        <f>IFERROR(IF(N24="","—",IF(N24&lt;=$E$2,"YES","—")),"—")</f>
        <v/>
      </c>
      <c r="Q24" s="17">
        <f>COUNTIFS(Delivery_Log!$B$4:$B$5998,VALUE(B24),Delivery_Log!$A$4:$A$5998,"&gt;="&amp;$Q$2)</f>
        <v/>
      </c>
      <c r="R24" s="38" t="n"/>
    </row>
    <row r="25" ht="15" customHeight="1" s="72">
      <c r="A25" t="n">
        <v>20</v>
      </c>
      <c r="B25" s="50" t="n">
        <v>2078</v>
      </c>
      <c r="C25" s="41" t="inlineStr">
        <is>
          <t>BRO - 2078 - BROTHER'S PIZZA INDIAN SCHOOL</t>
        </is>
      </c>
      <c r="D25" s="52" t="inlineStr">
        <is>
          <t>3</t>
        </is>
      </c>
      <c r="E25" s="41">
        <f>IFERROR(VLOOKUP(C25,Client_List!$B:$K,4,0)&amp;", "&amp;VLOOKUP(C25,Client_List!$B:$K,5,0)&amp;" AZ","")</f>
        <v/>
      </c>
      <c r="F25" s="38">
        <f>IFERROR(VLOOKUP(C25,Client_List!$B:$K,7,0)&amp;", "&amp;VLOOKUP(C25,Client_List!$B:$K,8,0),"")</f>
        <v/>
      </c>
      <c r="G25" s="42">
        <f>IFERROR(VLOOKUP(C25,Client_List!$B:$K,9,0),"")</f>
        <v/>
      </c>
      <c r="H25" s="18">
        <f>IFERROR(LOOKUP(2,1/((Delivery_Log!$B$4:$B$4998=VALUE(B25))*(ISNUMBER(Delivery_Log!$J$4:$J$4998))*(Delivery_Log!$J$4:$J$4998&gt;0)),Delivery_Log!$J$4:$J$4998),"")</f>
        <v/>
      </c>
      <c r="I25" s="41">
        <f>IFERROR(VLOOKUP(C25,Client_List!$B:$K,10,0),"")</f>
        <v/>
      </c>
      <c r="J25" s="19">
        <f>IFERROR(_xlfn.MAXIFS(Delivery_Log!$A$4:$A$4998,Delivery_Log!$B$4:$B$4998,VALUE(B25)),"—")</f>
        <v/>
      </c>
      <c r="K25" s="20">
        <f>IFERROR(IF(J25="—","",TODAY()-J25),"")</f>
        <v/>
      </c>
      <c r="L25" s="21">
        <f>IFERROR(IF(OR(K25="",H25=""),"",MAX(G25*0.03,G25-K25*H25)),"")</f>
        <v/>
      </c>
      <c r="M25" s="21">
        <f>IFERROR(IF(L25="","",G25-L25),"")</f>
        <v/>
      </c>
      <c r="N25" s="22">
        <f>IFERROR(IF(OR(L25="",H25=""),"",MIN(21,MAX(0,(L25-G25*$C$2)/H25))),"")</f>
        <v/>
      </c>
      <c r="O25" s="34">
        <f>TODAY()+ROUNDUP(N25,0)</f>
        <v/>
      </c>
      <c r="P25" s="32">
        <f>IFERROR(IF(N25="","—",IF(N25&lt;=$E$2,"YES","—")),"—")</f>
        <v/>
      </c>
      <c r="Q25" s="17">
        <f>COUNTIFS(Delivery_Log!$B$4:$B$5998,VALUE(B25),Delivery_Log!$A$4:$A$5998,"&gt;="&amp;$Q$2)</f>
        <v/>
      </c>
      <c r="R25" s="38" t="n"/>
    </row>
    <row r="26" ht="15" customHeight="1" s="72">
      <c r="A26" t="n">
        <v>21</v>
      </c>
      <c r="B26" s="50" t="n">
        <v>2073</v>
      </c>
      <c r="C26" s="41" t="inlineStr">
        <is>
          <t>BRU - 2073 - BRUNCH SNOB</t>
        </is>
      </c>
      <c r="D26" s="52" t="inlineStr">
        <is>
          <t>4</t>
        </is>
      </c>
      <c r="E26" s="41">
        <f>IFERROR(VLOOKUP(C26,Client_List!$B:$K,4,0)&amp;", "&amp;VLOOKUP(C26,Client_List!$B:$K,5,0)&amp;" AZ","")</f>
        <v/>
      </c>
      <c r="F26" s="38">
        <f>IFERROR(VLOOKUP(C26,Client_List!$B:$K,7,0)&amp;", "&amp;VLOOKUP(C26,Client_List!$B:$K,8,0),"")</f>
        <v/>
      </c>
      <c r="G26" s="42">
        <f>IFERROR(VLOOKUP(C26,Client_List!$B:$K,9,0),"")</f>
        <v/>
      </c>
      <c r="H26" s="18">
        <f>IFERROR(LOOKUP(2,1/((Delivery_Log!$B$4:$B$4998=VALUE(B26))*(ISNUMBER(Delivery_Log!$J$4:$J$4998))*(Delivery_Log!$J$4:$J$4998&gt;0)),Delivery_Log!$J$4:$J$4998),"")</f>
        <v/>
      </c>
      <c r="I26" s="41">
        <f>IFERROR(VLOOKUP(C26,Client_List!$B:$K,10,0),"")</f>
        <v/>
      </c>
      <c r="J26" s="19">
        <f>IFERROR(_xlfn.MAXIFS(Delivery_Log!$A$4:$A$4998,Delivery_Log!$B$4:$B$4998,VALUE(B26)),"—")</f>
        <v/>
      </c>
      <c r="K26" s="20">
        <f>IFERROR(IF(J26="—","",TODAY()-J26),"")</f>
        <v/>
      </c>
      <c r="L26" s="21">
        <f>IFERROR(IF(OR(K26="",H26=""),"",MAX(G26*0.03,G26-K26*H26)),"")</f>
        <v/>
      </c>
      <c r="M26" s="21">
        <f>IFERROR(IF(L26="","",G26-L26),"")</f>
        <v/>
      </c>
      <c r="N26" s="22">
        <f>IFERROR(IF(OR(L26="",H26=""),"",MIN(21,MAX(0,(L26-G26*$C$2)/H26))),"")</f>
        <v/>
      </c>
      <c r="O26" s="34">
        <f>TODAY()+ROUNDUP(N26,0)</f>
        <v/>
      </c>
      <c r="P26" s="33">
        <f>IFERROR(IF(N26="","—",IF(N26&lt;=$E$2,"YES","—")),"—")</f>
        <v/>
      </c>
      <c r="Q26" s="17">
        <f>COUNTIFS(Delivery_Log!$B$4:$B$5998,VALUE(B26),Delivery_Log!$A$4:$A$5998,"&gt;="&amp;$Q$2)</f>
        <v/>
      </c>
      <c r="R26" s="38" t="n"/>
    </row>
    <row r="27" ht="15" customHeight="1" s="72">
      <c r="A27" t="n">
        <v>22</v>
      </c>
      <c r="B27" s="50" t="n">
        <v>4038</v>
      </c>
      <c r="C27" s="41" t="inlineStr">
        <is>
          <t>BUR - 4038 - BURGERS &amp; BREWS GLENDALE</t>
        </is>
      </c>
      <c r="D27" s="52" t="inlineStr">
        <is>
          <t>2</t>
        </is>
      </c>
      <c r="E27" s="41">
        <f>IFERROR(VLOOKUP(C27,Client_List!$B:$K,4,0)&amp;", "&amp;VLOOKUP(C27,Client_List!$B:$K,5,0)&amp;" AZ","")</f>
        <v/>
      </c>
      <c r="F27" s="38">
        <f>IFERROR(VLOOKUP(C27,Client_List!$B:$K,7,0)&amp;", "&amp;VLOOKUP(C27,Client_List!$B:$K,8,0),"")</f>
        <v/>
      </c>
      <c r="G27" s="42">
        <f>IFERROR(VLOOKUP(C27,Client_List!$B:$K,9,0),"")</f>
        <v/>
      </c>
      <c r="H27" s="18">
        <f>IFERROR(LOOKUP(2,1/((Delivery_Log!$B$4:$B$4998=VALUE(B27))*(ISNUMBER(Delivery_Log!$J$4:$J$4998))*(Delivery_Log!$J$4:$J$4998&gt;0)),Delivery_Log!$J$4:$J$4998),"")</f>
        <v/>
      </c>
      <c r="I27" s="41">
        <f>IFERROR(VLOOKUP(C27,Client_List!$B:$K,10,0),"")</f>
        <v/>
      </c>
      <c r="J27" s="19">
        <f>IFERROR(_xlfn.MAXIFS(Delivery_Log!$A$4:$A$4998,Delivery_Log!$B$4:$B$4998,VALUE(B27)),"—")</f>
        <v/>
      </c>
      <c r="K27" s="20">
        <f>IFERROR(IF(J27="—","",TODAY()-J27),"")</f>
        <v/>
      </c>
      <c r="L27" s="21">
        <f>IFERROR(IF(OR(K27="",H27=""),"",MAX(G27*0.03,G27-K27*H27)),"")</f>
        <v/>
      </c>
      <c r="M27" s="21">
        <f>IFERROR(IF(L27="","",G27-L27),"")</f>
        <v/>
      </c>
      <c r="N27" s="22">
        <f>IFERROR(IF(OR(L27="",H27=""),"",MIN(21,MAX(0,(L27-G27*$C$2)/H27))),"")</f>
        <v/>
      </c>
      <c r="O27" s="34">
        <f>TODAY()+ROUNDUP(N27,0)</f>
        <v/>
      </c>
      <c r="P27" s="32">
        <f>IFERROR(IF(N27="","—",IF(N27&lt;=$E$2,"YES","—")),"—")</f>
        <v/>
      </c>
      <c r="Q27" s="17">
        <f>COUNTIFS(Delivery_Log!$B$4:$B$5998,VALUE(B27),Delivery_Log!$A$4:$A$5998,"&gt;="&amp;$Q$2)</f>
        <v/>
      </c>
      <c r="R27" s="38" t="n"/>
    </row>
    <row r="28" ht="15" customHeight="1" s="72">
      <c r="A28" t="n">
        <v>23</v>
      </c>
      <c r="B28" s="50" t="n">
        <v>3063</v>
      </c>
      <c r="C28" s="41" t="inlineStr">
        <is>
          <t>CAR - 3063 - CARDINAL STADIUM</t>
        </is>
      </c>
      <c r="D28" s="52" t="inlineStr">
        <is>
          <t>2</t>
        </is>
      </c>
      <c r="E28" s="41">
        <f>IFERROR(VLOOKUP(C28,Client_List!$B:$K,4,0)&amp;", "&amp;VLOOKUP(C28,Client_List!$B:$K,5,0)&amp;" AZ","")</f>
        <v/>
      </c>
      <c r="F28" s="38">
        <f>IFERROR(VLOOKUP(C28,Client_List!$B:$K,7,0)&amp;", "&amp;VLOOKUP(C28,Client_List!$B:$K,8,0),"")</f>
        <v/>
      </c>
      <c r="G28" s="42">
        <f>IFERROR(VLOOKUP(C28,Client_List!$B:$K,9,0),"")</f>
        <v/>
      </c>
      <c r="H28" s="18">
        <f>IFERROR(LOOKUP(2,1/((Delivery_Log!$B$4:$B$4998=VALUE(B28))*(ISNUMBER(Delivery_Log!$J$4:$J$4998))*(Delivery_Log!$J$4:$J$4998&gt;0)),Delivery_Log!$J$4:$J$4998),"")</f>
        <v/>
      </c>
      <c r="I28" s="41">
        <f>IFERROR(VLOOKUP(C28,Client_List!$B:$K,10,0),"")</f>
        <v/>
      </c>
      <c r="J28" s="19">
        <f>IFERROR(_xlfn.MAXIFS(Delivery_Log!$A$4:$A$4998,Delivery_Log!$B$4:$B$4998,VALUE(B28)),"—")</f>
        <v/>
      </c>
      <c r="K28" s="20">
        <f>IFERROR(IF(J28="—","",TODAY()-J28),"")</f>
        <v/>
      </c>
      <c r="L28" s="21">
        <f>IFERROR(IF(OR(K28="",H28=""),"",MAX(G28*0.03,G28-K28*H28)),"")</f>
        <v/>
      </c>
      <c r="M28" s="21">
        <f>IFERROR(IF(L28="","",G28-L28),"")</f>
        <v/>
      </c>
      <c r="N28" s="22">
        <f>IFERROR(IF(OR(L28="",H28=""),"",MIN(21,MAX(0,(L28-G28*$C$2)/H28))),"")</f>
        <v/>
      </c>
      <c r="O28" s="34">
        <f>TODAY()+ROUNDUP(N28,0)</f>
        <v/>
      </c>
      <c r="P28" s="33">
        <f>IFERROR(IF(N28="","—",IF(N28&lt;=$E$2,"YES","—")),"—")</f>
        <v/>
      </c>
      <c r="Q28" s="17">
        <f>COUNTIFS(Delivery_Log!$B$4:$B$5998,VALUE(B28),Delivery_Log!$A$4:$A$5998,"&gt;="&amp;$Q$2)</f>
        <v/>
      </c>
      <c r="R28" s="38" t="n"/>
    </row>
    <row r="29" ht="15" customHeight="1" s="72">
      <c r="A29" t="n">
        <v>24</v>
      </c>
      <c r="B29" s="50" t="n">
        <v>3069</v>
      </c>
      <c r="C29" s="41" t="inlineStr">
        <is>
          <t>CAS - 3069 - CASA DE FALAFEL</t>
        </is>
      </c>
      <c r="D29" s="52" t="inlineStr">
        <is>
          <t>2</t>
        </is>
      </c>
      <c r="E29" s="41">
        <f>IFERROR(VLOOKUP(C29,Client_List!$B:$K,4,0)&amp;", "&amp;VLOOKUP(C29,Client_List!$B:$K,5,0)&amp;" AZ","")</f>
        <v/>
      </c>
      <c r="F29" s="38">
        <f>IFERROR(VLOOKUP(C29,Client_List!$B:$K,7,0)&amp;", "&amp;VLOOKUP(C29,Client_List!$B:$K,8,0),"")</f>
        <v/>
      </c>
      <c r="G29" s="42">
        <f>IFERROR(VLOOKUP(C29,Client_List!$B:$K,9,0),"")</f>
        <v/>
      </c>
      <c r="H29" s="18">
        <f>IFERROR(LOOKUP(2,1/((Delivery_Log!$B$4:$B$4998=VALUE(B29))*(ISNUMBER(Delivery_Log!$J$4:$J$4998))*(Delivery_Log!$J$4:$J$4998&gt;0)),Delivery_Log!$J$4:$J$4998),"")</f>
        <v/>
      </c>
      <c r="I29" s="41">
        <f>IFERROR(VLOOKUP(C29,Client_List!$B:$K,10,0),"")</f>
        <v/>
      </c>
      <c r="J29" s="19">
        <f>IFERROR(_xlfn.MAXIFS(Delivery_Log!$A$4:$A$4998,Delivery_Log!$B$4:$B$4998,VALUE(B29)),"—")</f>
        <v/>
      </c>
      <c r="K29" s="20">
        <f>IFERROR(IF(J29="—","",TODAY()-J29),"")</f>
        <v/>
      </c>
      <c r="L29" s="21">
        <f>IFERROR(IF(OR(K29="",H29=""),"",MAX(G29*0.03,G29-K29*H29)),"")</f>
        <v/>
      </c>
      <c r="M29" s="21">
        <f>IFERROR(IF(L29="","",G29-L29),"")</f>
        <v/>
      </c>
      <c r="N29" s="22">
        <f>IFERROR(IF(OR(L29="",H29=""),"",MIN(21,MAX(0,(L29-G29*$C$2)/H29))),"")</f>
        <v/>
      </c>
      <c r="O29" s="34">
        <f>TODAY()+ROUNDUP(N29,0)</f>
        <v/>
      </c>
      <c r="P29" s="32">
        <f>IFERROR(IF(N29="","—",IF(N29&lt;=$E$2,"YES","—")),"—")</f>
        <v/>
      </c>
      <c r="Q29" s="17">
        <f>COUNTIFS(Delivery_Log!$B$4:$B$5998,VALUE(B29),Delivery_Log!$A$4:$A$5998,"&gt;="&amp;$Q$2)</f>
        <v/>
      </c>
      <c r="R29" s="38" t="n"/>
    </row>
    <row r="30" ht="15" customHeight="1" s="72">
      <c r="A30" t="n">
        <v>25</v>
      </c>
      <c r="B30" s="50" t="n">
        <v>3021</v>
      </c>
      <c r="C30" s="41" t="inlineStr">
        <is>
          <t>CRA - 3021 - JC FOOD TRADING/GLEN</t>
        </is>
      </c>
      <c r="D30" s="52" t="inlineStr">
        <is>
          <t>2</t>
        </is>
      </c>
      <c r="E30" s="41">
        <f>IFERROR(VLOOKUP(C30,Client_List!$B:$K,4,0)&amp;", "&amp;VLOOKUP(C30,Client_List!$B:$K,5,0)&amp;" AZ","")</f>
        <v/>
      </c>
      <c r="F30" s="38">
        <f>IFERROR(VLOOKUP(C30,Client_List!$B:$K,7,0)&amp;", "&amp;VLOOKUP(C30,Client_List!$B:$K,8,0),"")</f>
        <v/>
      </c>
      <c r="G30" s="42">
        <f>IFERROR(VLOOKUP(C30,Client_List!$B:$K,9,0),"")</f>
        <v/>
      </c>
      <c r="H30" s="18">
        <f>IFERROR(LOOKUP(2,1/((Delivery_Log!$B$4:$B$4998=VALUE(B30))*(ISNUMBER(Delivery_Log!$J$4:$J$4998))*(Delivery_Log!$J$4:$J$4998&gt;0)),Delivery_Log!$J$4:$J$4998),"")</f>
        <v/>
      </c>
      <c r="I30" s="41">
        <f>IFERROR(VLOOKUP(C30,Client_List!$B:$K,10,0),"")</f>
        <v/>
      </c>
      <c r="J30" s="19">
        <f>IFERROR(_xlfn.MAXIFS(Delivery_Log!$A$4:$A$4998,Delivery_Log!$B$4:$B$4998,VALUE(B30)),"—")</f>
        <v/>
      </c>
      <c r="K30" s="20">
        <f>IFERROR(IF(J30="—","",TODAY()-J30),"")</f>
        <v/>
      </c>
      <c r="L30" s="21">
        <f>IFERROR(IF(OR(K30="",H30=""),"",MAX(G30*0.03,G30-K30*H30)),"")</f>
        <v/>
      </c>
      <c r="M30" s="21">
        <f>IFERROR(IF(L30="","",G30-L30),"")</f>
        <v/>
      </c>
      <c r="N30" s="22">
        <f>IFERROR(IF(OR(L30="",H30=""),"",MIN(21,MAX(0,(L30-G30*$C$2)/H30))),"")</f>
        <v/>
      </c>
      <c r="O30" s="34">
        <f>TODAY()+ROUNDUP(N30,0)</f>
        <v/>
      </c>
      <c r="P30" s="33">
        <f>IFERROR(IF(N30="","—",IF(N30&lt;=$E$2,"YES","—")),"—")</f>
        <v/>
      </c>
      <c r="Q30" s="17">
        <f>COUNTIFS(Delivery_Log!$B$4:$B$5998,VALUE(B30),Delivery_Log!$A$4:$A$5998,"&gt;="&amp;$Q$2)</f>
        <v/>
      </c>
      <c r="R30" s="38" t="n"/>
    </row>
    <row r="31" ht="15" customHeight="1" s="72">
      <c r="A31" t="n">
        <v>26</v>
      </c>
      <c r="B31" s="50" t="n">
        <v>3046</v>
      </c>
      <c r="C31" s="41" t="inlineStr">
        <is>
          <t>CRA - 3046 - JC FOOD TRADING /GOODYEAR</t>
        </is>
      </c>
      <c r="D31" s="52" t="inlineStr">
        <is>
          <t>2</t>
        </is>
      </c>
      <c r="E31" s="41">
        <f>IFERROR(VLOOKUP(C31,Client_List!$B:$K,4,0)&amp;", "&amp;VLOOKUP(C31,Client_List!$B:$K,5,0)&amp;" AZ","")</f>
        <v/>
      </c>
      <c r="F31" s="38">
        <f>IFERROR(VLOOKUP(C31,Client_List!$B:$K,7,0)&amp;", "&amp;VLOOKUP(C31,Client_List!$B:$K,8,0),"")</f>
        <v/>
      </c>
      <c r="G31" s="42">
        <f>IFERROR(VLOOKUP(C31,Client_List!$B:$K,9,0),"")</f>
        <v/>
      </c>
      <c r="H31" s="18">
        <f>IFERROR(LOOKUP(2,1/((Delivery_Log!$B$4:$B$4998=VALUE(B31))*(ISNUMBER(Delivery_Log!$J$4:$J$4998))*(Delivery_Log!$J$4:$J$4998&gt;0)),Delivery_Log!$J$4:$J$4998),"")</f>
        <v/>
      </c>
      <c r="I31" s="41">
        <f>IFERROR(VLOOKUP(C31,Client_List!$B:$K,10,0),"")</f>
        <v/>
      </c>
      <c r="J31" s="19">
        <f>IFERROR(_xlfn.MAXIFS(Delivery_Log!$A$4:$A$4998,Delivery_Log!$B$4:$B$4998,VALUE(B31)),"—")</f>
        <v/>
      </c>
      <c r="K31" s="20">
        <f>IFERROR(IF(J31="—","",TODAY()-J31),"")</f>
        <v/>
      </c>
      <c r="L31" s="21">
        <f>IFERROR(IF(OR(K31="",H31=""),"",MAX(G31*0.03,G31-K31*H31)),"")</f>
        <v/>
      </c>
      <c r="M31" s="21">
        <f>IFERROR(IF(L31="","",G31-L31),"")</f>
        <v/>
      </c>
      <c r="N31" s="22">
        <f>IFERROR(IF(OR(L31="",H31=""),"",MIN(21,MAX(0,(L31-G31*$C$2)/H31))),"")</f>
        <v/>
      </c>
      <c r="O31" s="34">
        <f>TODAY()+ROUNDUP(N31,0)</f>
        <v/>
      </c>
      <c r="P31" s="32">
        <f>IFERROR(IF(N31="","—",IF(N31&lt;=$E$2,"YES","—")),"—")</f>
        <v/>
      </c>
      <c r="Q31" s="17">
        <f>COUNTIFS(Delivery_Log!$B$4:$B$5998,VALUE(B31),Delivery_Log!$A$4:$A$5998,"&gt;="&amp;$Q$2)</f>
        <v/>
      </c>
      <c r="R31" s="38" t="n"/>
    </row>
    <row r="32" ht="15" customHeight="1" s="72">
      <c r="A32" t="n">
        <v>27</v>
      </c>
      <c r="B32" s="50" t="n">
        <v>3065</v>
      </c>
      <c r="C32" s="41" t="inlineStr">
        <is>
          <t>CRA - 3065 - CRAFTED CUISINE</t>
        </is>
      </c>
      <c r="D32" s="52" t="inlineStr">
        <is>
          <t>4</t>
        </is>
      </c>
      <c r="E32" s="41">
        <f>IFERROR(VLOOKUP(C32,Client_List!$B:$K,4,0)&amp;", "&amp;VLOOKUP(C32,Client_List!$B:$K,5,0)&amp;" AZ","")</f>
        <v/>
      </c>
      <c r="F32" s="38">
        <f>IFERROR(VLOOKUP(C32,Client_List!$B:$K,7,0)&amp;", "&amp;VLOOKUP(C32,Client_List!$B:$K,8,0),"")</f>
        <v/>
      </c>
      <c r="G32" s="42">
        <f>IFERROR(VLOOKUP(C32,Client_List!$B:$K,9,0),"")</f>
        <v/>
      </c>
      <c r="H32" s="18">
        <f>IFERROR(LOOKUP(2,1/((Delivery_Log!$B$4:$B$4998=VALUE(B32))*(ISNUMBER(Delivery_Log!$J$4:$J$4998))*(Delivery_Log!$J$4:$J$4998&gt;0)),Delivery_Log!$J$4:$J$4998),"")</f>
        <v/>
      </c>
      <c r="I32" s="41">
        <f>IFERROR(VLOOKUP(C32,Client_List!$B:$K,10,0),"")</f>
        <v/>
      </c>
      <c r="J32" s="19">
        <f>IFERROR(_xlfn.MAXIFS(Delivery_Log!$A$4:$A$4998,Delivery_Log!$B$4:$B$4998,VALUE(B32)),"—")</f>
        <v/>
      </c>
      <c r="K32" s="20">
        <f>IFERROR(IF(J32="—","",TODAY()-J32),"")</f>
        <v/>
      </c>
      <c r="L32" s="21">
        <f>IFERROR(IF(OR(K32="",H32=""),"",MAX(G32*0.03,G32-K32*H32)),"")</f>
        <v/>
      </c>
      <c r="M32" s="21">
        <f>IFERROR(IF(L32="","",G32-L32),"")</f>
        <v/>
      </c>
      <c r="N32" s="22">
        <f>IFERROR(IF(OR(L32="",H32=""),"",MIN(21,MAX(0,(L32-G32*$C$2)/H32))),"")</f>
        <v/>
      </c>
      <c r="O32" s="34">
        <f>TODAY()+ROUNDUP(N32,0)</f>
        <v/>
      </c>
      <c r="P32" s="32">
        <f>IFERROR(IF(N32="","—",IF(N32&lt;=$E$2,"YES","—")),"—")</f>
        <v/>
      </c>
      <c r="Q32" s="17">
        <f>COUNTIFS(Delivery_Log!$B$4:$B$5998,VALUE(B32),Delivery_Log!$A$4:$A$5998,"&gt;="&amp;$Q$2)</f>
        <v/>
      </c>
      <c r="R32" s="38" t="n"/>
    </row>
    <row r="33" ht="15" customHeight="1" s="72">
      <c r="A33" t="n">
        <v>28</v>
      </c>
      <c r="B33" s="50" t="n">
        <v>3064</v>
      </c>
      <c r="C33" s="41" t="inlineStr">
        <is>
          <t>CRO - 3064 - CROWNE PLAZA RESORT</t>
        </is>
      </c>
      <c r="D33" s="52" t="inlineStr">
        <is>
          <t>4</t>
        </is>
      </c>
      <c r="E33" s="41">
        <f>IFERROR(VLOOKUP(C33,Client_List!$B:$K,4,0)&amp;", "&amp;VLOOKUP(C33,Client_List!$B:$K,5,0)&amp;" AZ","")</f>
        <v/>
      </c>
      <c r="F33" s="38">
        <f>IFERROR(VLOOKUP(C33,Client_List!$B:$K,7,0)&amp;", "&amp;VLOOKUP(C33,Client_List!$B:$K,8,0),"")</f>
        <v/>
      </c>
      <c r="G33" s="42">
        <f>IFERROR(VLOOKUP(C33,Client_List!$B:$K,9,0),"")</f>
        <v/>
      </c>
      <c r="H33" s="18">
        <f>IFERROR(LOOKUP(2,1/((Delivery_Log!$B$4:$B$4998=VALUE(B33))*(ISNUMBER(Delivery_Log!$J$4:$J$4998))*(Delivery_Log!$J$4:$J$4998&gt;0)),Delivery_Log!$J$4:$J$4998),"")</f>
        <v/>
      </c>
      <c r="I33" s="41">
        <f>IFERROR(VLOOKUP(C33,Client_List!$B:$K,10,0),"")</f>
        <v/>
      </c>
      <c r="J33" s="19">
        <f>IFERROR(_xlfn.MAXIFS(Delivery_Log!$A$4:$A$4998,Delivery_Log!$B$4:$B$4998,VALUE(B33)),"—")</f>
        <v/>
      </c>
      <c r="K33" s="20">
        <f>IFERROR(IF(J33="—","",TODAY()-J33),"")</f>
        <v/>
      </c>
      <c r="L33" s="21">
        <f>IFERROR(IF(OR(K33="",H33=""),"",MAX(G33*0.03,G33-K33*H33)),"")</f>
        <v/>
      </c>
      <c r="M33" s="21">
        <f>IFERROR(IF(L33="","",G33-L33),"")</f>
        <v/>
      </c>
      <c r="N33" s="22">
        <f>IFERROR(IF(OR(L33="",H33=""),"",MIN(21,MAX(0,(L33-G33*$C$2)/H33))),"")</f>
        <v/>
      </c>
      <c r="O33" s="34">
        <f>TODAY()+ROUNDUP(N33,0)</f>
        <v/>
      </c>
      <c r="P33" s="33">
        <f>IFERROR(IF(N33="","—",IF(N33&lt;=$E$2,"YES","—")),"—")</f>
        <v/>
      </c>
      <c r="Q33" s="17">
        <f>COUNTIFS(Delivery_Log!$B$4:$B$5998,VALUE(B33),Delivery_Log!$A$4:$A$5998,"&gt;="&amp;$Q$2)</f>
        <v/>
      </c>
      <c r="R33" s="38" t="n"/>
    </row>
    <row r="34" ht="15" customHeight="1" s="72">
      <c r="A34" t="n">
        <v>29</v>
      </c>
      <c r="B34" s="50" t="inlineStr">
        <is>
          <t>4015A</t>
        </is>
      </c>
      <c r="C34" s="41" t="inlineStr">
        <is>
          <t>DAI - 4015A - DAIRY QUEEN BELL</t>
        </is>
      </c>
      <c r="D34" s="52" t="inlineStr">
        <is>
          <t>3</t>
        </is>
      </c>
      <c r="E34" s="41">
        <f>IFERROR(VLOOKUP(C34,Client_List!$B:$K,4,0)&amp;", "&amp;VLOOKUP(C34,Client_List!$B:$K,5,0)&amp;" AZ","")</f>
        <v/>
      </c>
      <c r="F34" s="38">
        <f>IFERROR(VLOOKUP(C34,Client_List!$B:$K,7,0)&amp;", "&amp;VLOOKUP(C34,Client_List!$B:$K,8,0),"")</f>
        <v/>
      </c>
      <c r="G34" s="42">
        <f>IFERROR(VLOOKUP(C34,Client_List!$B:$K,9,0),"")</f>
        <v/>
      </c>
      <c r="H34" s="18">
        <f>IFERROR(LOOKUP(2,1/((Delivery_Log!$B$4:$B$4998=VALUE(B34))*(ISNUMBER(Delivery_Log!$J$4:$J$4998))*(Delivery_Log!$J$4:$J$4998&gt;0)),Delivery_Log!$J$4:$J$4998),"")</f>
        <v/>
      </c>
      <c r="I34" s="41">
        <f>IFERROR(VLOOKUP(C34,Client_List!$B:$K,10,0),"")</f>
        <v/>
      </c>
      <c r="J34" s="19">
        <f>IFERROR(_xlfn.MAXIFS(Delivery_Log!$A$4:$A$4998,Delivery_Log!$B$4:$B$4998,VALUE(B34)),"—")</f>
        <v/>
      </c>
      <c r="K34" s="20">
        <f>IFERROR(IF(J34="—","",TODAY()-J34),"")</f>
        <v/>
      </c>
      <c r="L34" s="21">
        <f>IFERROR(IF(OR(K34="",H34=""),"",MAX(G34*0.03,G34-K34*H34)),"")</f>
        <v/>
      </c>
      <c r="M34" s="21">
        <f>IFERROR(IF(L34="","",G34-L34),"")</f>
        <v/>
      </c>
      <c r="N34" s="22">
        <f>IFERROR(IF(OR(L34="",H34=""),"",MIN(21,MAX(0,(L34-G34*$C$2)/H34))),"")</f>
        <v/>
      </c>
      <c r="O34" s="34">
        <f>TODAY()+ROUNDUP(N34,0)</f>
        <v/>
      </c>
      <c r="P34" s="32">
        <f>IFERROR(IF(N34="","—",IF(N34&lt;=$E$2,"YES","—")),"—")</f>
        <v/>
      </c>
      <c r="Q34" s="17">
        <f>COUNTIFS(Delivery_Log!$B$4:$B$5998,VALUE(B34),Delivery_Log!$A$4:$A$5998,"&gt;="&amp;$Q$2)</f>
        <v/>
      </c>
      <c r="R34" s="38" t="n"/>
    </row>
    <row r="35" ht="15" customHeight="1" s="72">
      <c r="A35" t="n">
        <v>30</v>
      </c>
      <c r="B35" s="50" t="n">
        <v>4026</v>
      </c>
      <c r="C35" s="41" t="inlineStr">
        <is>
          <t>DAR - 4026 - DARUMA BY RIE</t>
        </is>
      </c>
      <c r="D35" s="52" t="inlineStr">
        <is>
          <t>4</t>
        </is>
      </c>
      <c r="E35" s="41">
        <f>IFERROR(VLOOKUP(C35,Client_List!$B:$K,4,0)&amp;", "&amp;VLOOKUP(C35,Client_List!$B:$K,5,0)&amp;" AZ","")</f>
        <v/>
      </c>
      <c r="F35" s="38">
        <f>IFERROR(VLOOKUP(C35,Client_List!$B:$K,7,0)&amp;", "&amp;VLOOKUP(C35,Client_List!$B:$K,8,0),"")</f>
        <v/>
      </c>
      <c r="G35" s="42">
        <f>IFERROR(VLOOKUP(C35,Client_List!$B:$K,9,0),"")</f>
        <v/>
      </c>
      <c r="H35" s="18">
        <f>IFERROR(LOOKUP(2,1/((Delivery_Log!$B$4:$B$4998=VALUE(B35))*(ISNUMBER(Delivery_Log!$J$4:$J$4998))*(Delivery_Log!$J$4:$J$4998&gt;0)),Delivery_Log!$J$4:$J$4998),"")</f>
        <v/>
      </c>
      <c r="I35" s="41">
        <f>IFERROR(VLOOKUP(C35,Client_List!$B:$K,10,0),"")</f>
        <v/>
      </c>
      <c r="J35" s="19">
        <f>IFERROR(_xlfn.MAXIFS(Delivery_Log!$A$4:$A$4998,Delivery_Log!$B$4:$B$4998,VALUE(B35)),"—")</f>
        <v/>
      </c>
      <c r="K35" s="20">
        <f>IFERROR(IF(J35="—","",TODAY()-J35),"")</f>
        <v/>
      </c>
      <c r="L35" s="21">
        <f>IFERROR(IF(OR(K35="",H35=""),"",MAX(G35*0.03,G35-K35*H35)),"")</f>
        <v/>
      </c>
      <c r="M35" s="21">
        <f>IFERROR(IF(L35="","",G35-L35),"")</f>
        <v/>
      </c>
      <c r="N35" s="22">
        <f>IFERROR(IF(OR(L35="",H35=""),"",MIN(21,MAX(0,(L35-G35*$C$2)/H35))),"")</f>
        <v/>
      </c>
      <c r="O35" s="34">
        <f>TODAY()+ROUNDUP(N35,0)</f>
        <v/>
      </c>
      <c r="P35" s="32">
        <f>IFERROR(IF(N35="","—",IF(N35&lt;=$E$2,"YES","—")),"—")</f>
        <v/>
      </c>
      <c r="Q35" s="17">
        <f>COUNTIFS(Delivery_Log!$B$4:$B$5998,VALUE(B35),Delivery_Log!$A$4:$A$5998,"&gt;="&amp;$Q$2)</f>
        <v/>
      </c>
      <c r="R35" s="38" t="n"/>
    </row>
    <row r="36" ht="15" customHeight="1" s="72">
      <c r="A36" t="n">
        <v>31</v>
      </c>
      <c r="B36" s="50" t="inlineStr">
        <is>
          <t>4037</t>
        </is>
      </c>
      <c r="C36" s="41" t="inlineStr">
        <is>
          <t>DAR - 4037 - DARUMA RAMEN AND BOWL</t>
        </is>
      </c>
      <c r="D36" s="52" t="inlineStr">
        <is>
          <t>4</t>
        </is>
      </c>
      <c r="E36" s="41">
        <f>IFERROR(VLOOKUP(C36,Client_List!$B:$K,4,0)&amp;", "&amp;VLOOKUP(C36,Client_List!$B:$K,5,0)&amp;" AZ","")</f>
        <v/>
      </c>
      <c r="F36" s="38">
        <f>IFERROR(VLOOKUP(C36,Client_List!$B:$K,7,0)&amp;", "&amp;VLOOKUP(C36,Client_List!$B:$K,8,0),"")</f>
        <v/>
      </c>
      <c r="G36" s="42">
        <f>IFERROR(VLOOKUP(C36,Client_List!$B:$K,9,0),"")</f>
        <v/>
      </c>
      <c r="H36" s="18">
        <f>IFERROR(LOOKUP(2,1/((Delivery_Log!$B$4:$B$4998=VALUE(B36))*(ISNUMBER(Delivery_Log!$J$4:$J$4998))*(Delivery_Log!$J$4:$J$4998&gt;0)),Delivery_Log!$J$4:$J$4998),"")</f>
        <v/>
      </c>
      <c r="I36" s="41">
        <f>IFERROR(VLOOKUP(C36,Client_List!$B:$K,10,0),"")</f>
        <v/>
      </c>
      <c r="J36" s="19">
        <f>IFERROR(_xlfn.MAXIFS(Delivery_Log!$A$4:$A$4998,Delivery_Log!$B$4:$B$4998,VALUE(B36)),"—")</f>
        <v/>
      </c>
      <c r="K36" s="20">
        <f>IFERROR(IF(J36="—","",TODAY()-J36),"")</f>
        <v/>
      </c>
      <c r="L36" s="21">
        <f>IFERROR(IF(OR(K36="",H36=""),"",MAX(G36*0.03,G36-K36*H36)),"")</f>
        <v/>
      </c>
      <c r="M36" s="21">
        <f>IFERROR(IF(L36="","",G36-L36),"")</f>
        <v/>
      </c>
      <c r="N36" s="22">
        <f>IFERROR(IF(OR(L36="",H36=""),"",MIN(21,MAX(0,(L36-G36*$C$2)/H36))),"")</f>
        <v/>
      </c>
      <c r="O36" s="34">
        <f>TODAY()+ROUNDUP(N36,0)</f>
        <v/>
      </c>
      <c r="P36" s="33">
        <f>IFERROR(IF(N36="","—",IF(N36&lt;=$E$2,"YES","—")),"—")</f>
        <v/>
      </c>
      <c r="Q36" s="17">
        <f>COUNTIFS(Delivery_Log!$B$4:$B$5998,VALUE(B36),Delivery_Log!$A$4:$A$5998,"&gt;="&amp;$Q$2)</f>
        <v/>
      </c>
      <c r="R36" s="38" t="n"/>
    </row>
    <row r="37" ht="15" customHeight="1" s="72">
      <c r="A37" t="n">
        <v>32</v>
      </c>
      <c r="B37" s="50" t="n">
        <v>4009</v>
      </c>
      <c r="C37" s="41" t="inlineStr">
        <is>
          <t>DIL - 4009 - DILLONS BBQ</t>
        </is>
      </c>
      <c r="D37" s="52" t="inlineStr">
        <is>
          <t>1</t>
        </is>
      </c>
      <c r="E37" s="41">
        <f>IFERROR(VLOOKUP(C37,Client_List!$B:$K,4,0)&amp;", "&amp;VLOOKUP(C37,Client_List!$B:$K,5,0)&amp;" AZ","")</f>
        <v/>
      </c>
      <c r="F37" s="38">
        <f>IFERROR(VLOOKUP(C37,Client_List!$B:$K,7,0)&amp;", "&amp;VLOOKUP(C37,Client_List!$B:$K,8,0),"")</f>
        <v/>
      </c>
      <c r="G37" s="42">
        <f>IFERROR(VLOOKUP(C37,Client_List!$B:$K,9,0),"")</f>
        <v/>
      </c>
      <c r="H37" s="18">
        <f>IFERROR(LOOKUP(2,1/((Delivery_Log!$B$4:$B$4998=VALUE(B37))*(ISNUMBER(Delivery_Log!$J$4:$J$4998))*(Delivery_Log!$J$4:$J$4998&gt;0)),Delivery_Log!$J$4:$J$4998),"")</f>
        <v/>
      </c>
      <c r="I37" s="41">
        <f>IFERROR(VLOOKUP(C37,Client_List!$B:$K,10,0),"")</f>
        <v/>
      </c>
      <c r="J37" s="19">
        <f>IFERROR(_xlfn.MAXIFS(Delivery_Log!$A$4:$A$4998,Delivery_Log!$B$4:$B$4998,VALUE(B37)),"—")</f>
        <v/>
      </c>
      <c r="K37" s="20">
        <f>IFERROR(IF(J37="—","",TODAY()-J37),"")</f>
        <v/>
      </c>
      <c r="L37" s="21">
        <f>IFERROR(IF(OR(K37="",H37=""),"",MAX(G37*0.03,G37-K37*H37)),"")</f>
        <v/>
      </c>
      <c r="M37" s="21">
        <f>IFERROR(IF(L37="","",G37-L37),"")</f>
        <v/>
      </c>
      <c r="N37" s="22">
        <f>IFERROR(IF(OR(L37="",H37=""),"",MIN(21,MAX(0,(L37-G37*$C$2)/H37))),"")</f>
        <v/>
      </c>
      <c r="O37" s="34">
        <f>TODAY()+ROUNDUP(N37,0)</f>
        <v/>
      </c>
      <c r="P37" s="33">
        <f>IFERROR(IF(N37="","—",IF(N37&lt;=$E$2,"YES","—")),"—")</f>
        <v/>
      </c>
      <c r="Q37" s="17">
        <f>COUNTIFS(Delivery_Log!$B$4:$B$5998,VALUE(B37),Delivery_Log!$A$4:$A$5998,"&gt;="&amp;$Q$2)</f>
        <v/>
      </c>
      <c r="R37" s="38" t="n"/>
    </row>
    <row r="38" ht="15" customHeight="1" s="72">
      <c r="A38" t="n">
        <v>33</v>
      </c>
      <c r="B38" s="50" t="n">
        <v>4025</v>
      </c>
      <c r="C38" s="41" t="inlineStr">
        <is>
          <t>DIL - 4025 - DILLON WESTERN TRAILS</t>
        </is>
      </c>
      <c r="D38" s="52" t="inlineStr">
        <is>
          <t>1</t>
        </is>
      </c>
      <c r="E38" s="41">
        <f>IFERROR(VLOOKUP(C38,Client_List!$B:$K,4,0)&amp;", "&amp;VLOOKUP(C38,Client_List!$B:$K,5,0)&amp;" AZ","")</f>
        <v/>
      </c>
      <c r="F38" s="38">
        <f>IFERROR(VLOOKUP(C38,Client_List!$B:$K,7,0)&amp;", "&amp;VLOOKUP(C38,Client_List!$B:$K,8,0),"")</f>
        <v/>
      </c>
      <c r="G38" s="42">
        <f>IFERROR(VLOOKUP(C38,Client_List!$B:$K,9,0),"")</f>
        <v/>
      </c>
      <c r="H38" s="18">
        <f>IFERROR(LOOKUP(2,1/((Delivery_Log!$B$4:$B$4998=VALUE(B38))*(ISNUMBER(Delivery_Log!$J$4:$J$4998))*(Delivery_Log!$J$4:$J$4998&gt;0)),Delivery_Log!$J$4:$J$4998),"")</f>
        <v/>
      </c>
      <c r="I38" s="41">
        <f>IFERROR(VLOOKUP(C38,Client_List!$B:$K,10,0),"")</f>
        <v/>
      </c>
      <c r="J38" s="19">
        <f>IFERROR(_xlfn.MAXIFS(Delivery_Log!$A$4:$A$4998,Delivery_Log!$B$4:$B$4998,VALUE(B38)),"—")</f>
        <v/>
      </c>
      <c r="K38" s="20">
        <f>IFERROR(IF(J38="—","",TODAY()-J38),"")</f>
        <v/>
      </c>
      <c r="L38" s="21">
        <f>IFERROR(IF(OR(K38="",H38=""),"",MAX(G38*0.03,G38-K38*H38)),"")</f>
        <v/>
      </c>
      <c r="M38" s="21">
        <f>IFERROR(IF(L38="","",G38-L38),"")</f>
        <v/>
      </c>
      <c r="N38" s="22">
        <f>IFERROR(IF(OR(L38="",H38=""),"",MIN(21,MAX(0,(L38-G38*$C$2)/H38))),"")</f>
        <v/>
      </c>
      <c r="O38" s="34">
        <f>TODAY()+ROUNDUP(N38,0)</f>
        <v/>
      </c>
      <c r="P38" s="32">
        <f>IFERROR(IF(N38="","—",IF(N38&lt;=$E$2,"YES","—")),"—")</f>
        <v/>
      </c>
      <c r="Q38" s="17">
        <f>COUNTIFS(Delivery_Log!$B$4:$B$5998,VALUE(B38),Delivery_Log!$A$4:$A$5998,"&gt;="&amp;$Q$2)</f>
        <v/>
      </c>
      <c r="R38" s="38" t="n"/>
    </row>
    <row r="39" ht="15" customHeight="1" s="72">
      <c r="A39" t="n">
        <v>34</v>
      </c>
      <c r="B39" s="50" t="n">
        <v>4014</v>
      </c>
      <c r="C39" s="41" t="inlineStr">
        <is>
          <t>DIL- 4014 - DILLONS BAYOU</t>
        </is>
      </c>
      <c r="D39" s="52" t="inlineStr">
        <is>
          <t>2</t>
        </is>
      </c>
      <c r="E39" s="41">
        <f>IFERROR(VLOOKUP(C39,Client_List!$B:$K,4,0)&amp;", "&amp;VLOOKUP(C39,Client_List!$B:$K,5,0)&amp;" AZ","")</f>
        <v/>
      </c>
      <c r="F39" s="38">
        <f>IFERROR(VLOOKUP(C39,Client_List!$B:$K,7,0)&amp;", "&amp;VLOOKUP(C39,Client_List!$B:$K,8,0),"")</f>
        <v/>
      </c>
      <c r="G39" s="42">
        <f>IFERROR(VLOOKUP(C39,Client_List!$B:$K,9,0),"")</f>
        <v/>
      </c>
      <c r="H39" s="18">
        <f>IFERROR(LOOKUP(2,1/((Delivery_Log!$B$4:$B$4998=VALUE(B39))*(ISNUMBER(Delivery_Log!$J$4:$J$4998))*(Delivery_Log!$J$4:$J$4998&gt;0)),Delivery_Log!$J$4:$J$4998),"")</f>
        <v/>
      </c>
      <c r="I39" s="41">
        <f>IFERROR(VLOOKUP(C39,Client_List!$B:$K,10,0),"")</f>
        <v/>
      </c>
      <c r="J39" s="19">
        <f>IFERROR(_xlfn.MAXIFS(Delivery_Log!$A$4:$A$4998,Delivery_Log!$B$4:$B$4998,VALUE(B39)),"—")</f>
        <v/>
      </c>
      <c r="K39" s="20">
        <f>IFERROR(IF(J39="—","",TODAY()-J39),"")</f>
        <v/>
      </c>
      <c r="L39" s="21">
        <f>IFERROR(IF(OR(K39="",H39=""),"",MAX(G39*0.03,G39-K39*H39)),"")</f>
        <v/>
      </c>
      <c r="M39" s="21">
        <f>IFERROR(IF(L39="","",G39-L39),"")</f>
        <v/>
      </c>
      <c r="N39" s="22">
        <f>IFERROR(IF(OR(L39="",H39=""),"",MIN(21,MAX(0,(L39-G39*$C$2)/H39))),"")</f>
        <v/>
      </c>
      <c r="O39" s="34">
        <f>TODAY()+ROUNDUP(N39,0)</f>
        <v/>
      </c>
      <c r="P39" s="33">
        <f>IFERROR(IF(N39="","—",IF(N39&lt;=$E$2,"YES","—")),"—")</f>
        <v/>
      </c>
      <c r="Q39" s="17">
        <f>COUNTIFS(Delivery_Log!$B$4:$B$5998,VALUE(B39),Delivery_Log!$A$4:$A$5998,"&gt;="&amp;$Q$2)</f>
        <v/>
      </c>
      <c r="R39" s="38" t="n"/>
    </row>
    <row r="40" ht="15" customHeight="1" s="72">
      <c r="A40" t="n">
        <v>35</v>
      </c>
      <c r="B40" s="50" t="n">
        <v>4010</v>
      </c>
      <c r="C40" s="41" t="inlineStr">
        <is>
          <t>DIL59 - 4010 - DILLONS 59TH AVE</t>
        </is>
      </c>
      <c r="D40" s="52" t="inlineStr">
        <is>
          <t>2</t>
        </is>
      </c>
      <c r="E40" s="41">
        <f>IFERROR(VLOOKUP(C40,Client_List!$B:$K,4,0)&amp;", "&amp;VLOOKUP(C40,Client_List!$B:$K,5,0)&amp;" AZ","")</f>
        <v/>
      </c>
      <c r="F40" s="38">
        <f>IFERROR(VLOOKUP(C40,Client_List!$B:$K,7,0)&amp;", "&amp;VLOOKUP(C40,Client_List!$B:$K,8,0),"")</f>
        <v/>
      </c>
      <c r="G40" s="42">
        <f>IFERROR(VLOOKUP(C40,Client_List!$B:$K,9,0),"")</f>
        <v/>
      </c>
      <c r="H40" s="18">
        <f>IFERROR(LOOKUP(2,1/((Delivery_Log!$B$4:$B$4998=VALUE(B40))*(ISNUMBER(Delivery_Log!$J$4:$J$4998))*(Delivery_Log!$J$4:$J$4998&gt;0)),Delivery_Log!$J$4:$J$4998),"")</f>
        <v/>
      </c>
      <c r="I40" s="41">
        <f>IFERROR(VLOOKUP(C40,Client_List!$B:$K,10,0),"")</f>
        <v/>
      </c>
      <c r="J40" s="19">
        <f>IFERROR(_xlfn.MAXIFS(Delivery_Log!$A$4:$A$4998,Delivery_Log!$B$4:$B$4998,VALUE(B40)),"—")</f>
        <v/>
      </c>
      <c r="K40" s="20">
        <f>IFERROR(IF(J40="—","",TODAY()-J40),"")</f>
        <v/>
      </c>
      <c r="L40" s="21">
        <f>IFERROR(IF(OR(K40="",H40=""),"",MAX(G40*0.03,G40-K40*H40)),"")</f>
        <v/>
      </c>
      <c r="M40" s="21">
        <f>IFERROR(IF(L40="","",G40-L40),"")</f>
        <v/>
      </c>
      <c r="N40" s="22">
        <f>IFERROR(IF(OR(L40="",H40=""),"",MIN(21,MAX(0,(L40-G40*$C$2)/H40))),"")</f>
        <v/>
      </c>
      <c r="O40" s="34">
        <f>TODAY()+ROUNDUP(N40,0)</f>
        <v/>
      </c>
      <c r="P40" s="33">
        <f>IFERROR(IF(N40="","—",IF(N40&lt;=$E$2,"YES","—")),"—")</f>
        <v/>
      </c>
      <c r="Q40" s="17">
        <f>COUNTIFS(Delivery_Log!$B$4:$B$5998,VALUE(B40),Delivery_Log!$A$4:$A$5998,"&gt;="&amp;$Q$2)</f>
        <v/>
      </c>
      <c r="R40" s="38" t="n"/>
    </row>
    <row r="41" ht="15" customHeight="1" s="72">
      <c r="A41" t="n">
        <v>36</v>
      </c>
      <c r="B41" s="50" t="n">
        <v>4027</v>
      </c>
      <c r="C41" s="41" t="inlineStr">
        <is>
          <t>DIR - 4027 - DIRTWATER</t>
        </is>
      </c>
      <c r="D41" s="52" t="inlineStr">
        <is>
          <t>5</t>
        </is>
      </c>
      <c r="E41" s="41">
        <f>IFERROR(VLOOKUP(C41,Client_List!$B:$K,4,0)&amp;", "&amp;VLOOKUP(C41,Client_List!$B:$K,5,0)&amp;" AZ","")</f>
        <v/>
      </c>
      <c r="F41" s="38">
        <f>IFERROR(VLOOKUP(C41,Client_List!$B:$K,7,0)&amp;", "&amp;VLOOKUP(C41,Client_List!$B:$K,8,0),"")</f>
        <v/>
      </c>
      <c r="G41" s="42">
        <f>IFERROR(VLOOKUP(C41,Client_List!$B:$K,9,0),"")</f>
        <v/>
      </c>
      <c r="H41" s="18">
        <f>IFERROR(LOOKUP(2,1/((Delivery_Log!$B$4:$B$4998=VALUE(B41))*(ISNUMBER(Delivery_Log!$J$4:$J$4998))*(Delivery_Log!$J$4:$J$4998&gt;0)),Delivery_Log!$J$4:$J$4998),"")</f>
        <v/>
      </c>
      <c r="I41" s="41">
        <f>IFERROR(VLOOKUP(C41,Client_List!$B:$K,10,0),"")</f>
        <v/>
      </c>
      <c r="J41" s="19">
        <f>IFERROR(_xlfn.MAXIFS(Delivery_Log!$A$4:$A$4998,Delivery_Log!$B$4:$B$4998,VALUE(B41)),"—")</f>
        <v/>
      </c>
      <c r="K41" s="20">
        <f>IFERROR(IF(J41="—","",TODAY()-J41),"")</f>
        <v/>
      </c>
      <c r="L41" s="21">
        <f>IFERROR(IF(OR(K41="",H41=""),"",MAX(G41*0.03,G41-K41*H41)),"")</f>
        <v/>
      </c>
      <c r="M41" s="21">
        <f>IFERROR(IF(L41="","",G41-L41),"")</f>
        <v/>
      </c>
      <c r="N41" s="22">
        <f>IFERROR(IF(OR(L41="",H41=""),"",MIN(21,MAX(0,(L41-G41*$C$2)/H41))),"")</f>
        <v/>
      </c>
      <c r="O41" s="34">
        <f>TODAY()+ROUNDUP(N41,0)</f>
        <v/>
      </c>
      <c r="P41" s="32">
        <f>IFERROR(IF(N41="","—",IF(N41&lt;=$E$2,"YES","—")),"—")</f>
        <v/>
      </c>
      <c r="Q41" s="17">
        <f>COUNTIFS(Delivery_Log!$B$4:$B$5998,VALUE(B41),Delivery_Log!$A$4:$A$5998,"&gt;="&amp;$Q$2)</f>
        <v/>
      </c>
      <c r="R41" s="38" t="n"/>
    </row>
    <row r="42" ht="15" customHeight="1" s="72">
      <c r="A42" t="n">
        <v>37</v>
      </c>
      <c r="B42" s="50" t="n">
        <v>4029</v>
      </c>
      <c r="C42" s="41" t="inlineStr">
        <is>
          <t>DUR - 4029 - DURVILL FOODS</t>
        </is>
      </c>
      <c r="D42" s="52" t="inlineStr">
        <is>
          <t>4</t>
        </is>
      </c>
      <c r="E42" s="41">
        <f>IFERROR(VLOOKUP(C42,Client_List!$B:$K,4,0)&amp;", "&amp;VLOOKUP(C42,Client_List!$B:$K,5,0)&amp;" AZ","")</f>
        <v/>
      </c>
      <c r="F42" s="38">
        <f>IFERROR(VLOOKUP(C42,Client_List!$B:$K,7,0)&amp;", "&amp;VLOOKUP(C42,Client_List!$B:$K,8,0),"")</f>
        <v/>
      </c>
      <c r="G42" s="42">
        <f>IFERROR(VLOOKUP(C42,Client_List!$B:$K,9,0),"")</f>
        <v/>
      </c>
      <c r="H42" s="18">
        <f>IFERROR(LOOKUP(2,1/((Delivery_Log!$B$4:$B$4998=VALUE(B42))*(ISNUMBER(Delivery_Log!$J$4:$J$4998))*(Delivery_Log!$J$4:$J$4998&gt;0)),Delivery_Log!$J$4:$J$4998),"")</f>
        <v/>
      </c>
      <c r="I42" s="41">
        <f>IFERROR(VLOOKUP(C42,Client_List!$B:$K,10,0),"")</f>
        <v/>
      </c>
      <c r="J42" s="19">
        <f>IFERROR(_xlfn.MAXIFS(Delivery_Log!$A$4:$A$4998,Delivery_Log!$B$4:$B$4998,VALUE(B42)),"—")</f>
        <v/>
      </c>
      <c r="K42" s="20">
        <f>IFERROR(IF(J42="—","",TODAY()-J42),"")</f>
        <v/>
      </c>
      <c r="L42" s="21">
        <f>IFERROR(IF(OR(K42="",H42=""),"",MAX(G42*0.03,G42-K42*H42)),"")</f>
        <v/>
      </c>
      <c r="M42" s="21">
        <f>IFERROR(IF(L42="","",G42-L42),"")</f>
        <v/>
      </c>
      <c r="N42" s="22">
        <f>IFERROR(IF(OR(L42="",H42=""),"",MIN(21,MAX(0,(L42-G42*$C$2)/H42))),"")</f>
        <v/>
      </c>
      <c r="O42" s="34">
        <f>TODAY()+ROUNDUP(N42,0)</f>
        <v/>
      </c>
      <c r="P42" s="33">
        <f>IFERROR(IF(N42="","—",IF(N42&lt;=$E$2,"YES","—")),"—")</f>
        <v/>
      </c>
      <c r="Q42" s="17">
        <f>COUNTIFS(Delivery_Log!$B$4:$B$5998,VALUE(B42),Delivery_Log!$A$4:$A$5998,"&gt;="&amp;$Q$2)</f>
        <v/>
      </c>
      <c r="R42" s="38" t="n"/>
    </row>
    <row r="43" ht="15" customHeight="1" s="72">
      <c r="A43" t="n">
        <v>38</v>
      </c>
      <c r="B43" s="50" t="n">
        <v>5006</v>
      </c>
      <c r="C43" s="41" t="inlineStr">
        <is>
          <t>ECH - 5006 - ECHO 5 SPORTS BAR</t>
        </is>
      </c>
      <c r="D43" s="52" t="inlineStr">
        <is>
          <t>5</t>
        </is>
      </c>
      <c r="E43" s="41">
        <f>IFERROR(VLOOKUP(C43,Client_List!$B:$K,4,0)&amp;", "&amp;VLOOKUP(C43,Client_List!$B:$K,5,0)&amp;" AZ","")</f>
        <v/>
      </c>
      <c r="F43" s="38">
        <f>IFERROR(VLOOKUP(C43,Client_List!$B:$K,7,0)&amp;", "&amp;VLOOKUP(C43,Client_List!$B:$K,8,0),"")</f>
        <v/>
      </c>
      <c r="G43" s="42">
        <f>IFERROR(VLOOKUP(C43,Client_List!$B:$K,9,0),"")</f>
        <v/>
      </c>
      <c r="H43" s="18">
        <f>IFERROR(LOOKUP(2,1/((Delivery_Log!$B$4:$B$4998=VALUE(B43))*(ISNUMBER(Delivery_Log!$J$4:$J$4998))*(Delivery_Log!$J$4:$J$4998&gt;0)),Delivery_Log!$J$4:$J$4998),"")</f>
        <v/>
      </c>
      <c r="I43" s="41">
        <f>IFERROR(VLOOKUP(C43,Client_List!$B:$K,10,0),"")</f>
        <v/>
      </c>
      <c r="J43" s="19">
        <f>IFERROR(_xlfn.MAXIFS(Delivery_Log!$A$4:$A$4998,Delivery_Log!$B$4:$B$4998,VALUE(B43)),"—")</f>
        <v/>
      </c>
      <c r="K43" s="20">
        <f>IFERROR(IF(J43="—","",TODAY()-J43),"")</f>
        <v/>
      </c>
      <c r="L43" s="21">
        <f>IFERROR(IF(OR(K43="",H43=""),"",MAX(G43*0.03,G43-K43*H43)),"")</f>
        <v/>
      </c>
      <c r="M43" s="21">
        <f>IFERROR(IF(L43="","",G43-L43),"")</f>
        <v/>
      </c>
      <c r="N43" s="22">
        <f>IFERROR(IF(OR(L43="",H43=""),"",MIN(21,MAX(0,(L43-G43*$C$2)/H43))),"")</f>
        <v/>
      </c>
      <c r="O43" s="34">
        <f>TODAY()+ROUNDUP(N43,0)</f>
        <v/>
      </c>
      <c r="P43" s="33">
        <f>IFERROR(IF(N43="","—",IF(N43&lt;=$E$2,"YES","—")),"—")</f>
        <v/>
      </c>
      <c r="Q43" s="17">
        <f>COUNTIFS(Delivery_Log!$B$4:$B$5998,VALUE(B43),Delivery_Log!$A$4:$A$5998,"&gt;="&amp;$Q$2)</f>
        <v/>
      </c>
      <c r="R43" s="38" t="n"/>
    </row>
    <row r="44" ht="15" customHeight="1" s="72">
      <c r="A44" t="n">
        <v>39</v>
      </c>
      <c r="B44" s="50" t="n">
        <v>5004</v>
      </c>
      <c r="C44" s="41" t="inlineStr">
        <is>
          <t>ELT - 5004 - EL TACO TOTE</t>
        </is>
      </c>
      <c r="D44" s="52" t="inlineStr">
        <is>
          <t>3</t>
        </is>
      </c>
      <c r="E44" s="41">
        <f>IFERROR(VLOOKUP(C44,Client_List!$B:$K,4,0)&amp;", "&amp;VLOOKUP(C44,Client_List!$B:$K,5,0)&amp;" AZ","")</f>
        <v/>
      </c>
      <c r="F44" s="38">
        <f>IFERROR(VLOOKUP(C44,Client_List!$B:$K,7,0)&amp;", "&amp;VLOOKUP(C44,Client_List!$B:$K,8,0),"")</f>
        <v/>
      </c>
      <c r="G44" s="42">
        <f>IFERROR(VLOOKUP(C44,Client_List!$B:$K,9,0),"")</f>
        <v/>
      </c>
      <c r="H44" s="18">
        <f>IFERROR(LOOKUP(2,1/((Delivery_Log!$B$4:$B$4998=VALUE(B44))*(ISNUMBER(Delivery_Log!$J$4:$J$4998))*(Delivery_Log!$J$4:$J$4998&gt;0)),Delivery_Log!$J$4:$J$4998),"")</f>
        <v/>
      </c>
      <c r="I44" s="41">
        <f>IFERROR(VLOOKUP(C44,Client_List!$B:$K,10,0),"")</f>
        <v/>
      </c>
      <c r="J44" s="19">
        <f>IFERROR(_xlfn.MAXIFS(Delivery_Log!$A$4:$A$4998,Delivery_Log!$B$4:$B$4998,VALUE(B44)),"—")</f>
        <v/>
      </c>
      <c r="K44" s="20">
        <f>IFERROR(IF(J44="—","",TODAY()-J44),"")</f>
        <v/>
      </c>
      <c r="L44" s="21">
        <f>IFERROR(IF(OR(K44="",H44=""),"",MAX(G44*0.03,G44-K44*H44)),"")</f>
        <v/>
      </c>
      <c r="M44" s="21">
        <f>IFERROR(IF(L44="","",G44-L44),"")</f>
        <v/>
      </c>
      <c r="N44" s="22">
        <f>IFERROR(IF(OR(L44="",H44=""),"",MIN(21,MAX(0,(L44-G44*$C$2)/H44))),"")</f>
        <v/>
      </c>
      <c r="O44" s="34">
        <f>TODAY()+ROUNDUP(N44,0)</f>
        <v/>
      </c>
      <c r="P44" s="32">
        <f>IFERROR(IF(N44="","—",IF(N44&lt;=$E$2,"YES","—")),"—")</f>
        <v/>
      </c>
      <c r="Q44" s="17">
        <f>COUNTIFS(Delivery_Log!$B$4:$B$5998,VALUE(B44),Delivery_Log!$A$4:$A$5998,"&gt;="&amp;$Q$2)</f>
        <v/>
      </c>
      <c r="R44" s="38" t="n"/>
    </row>
    <row r="45" ht="15" customHeight="1" s="72">
      <c r="A45" t="n">
        <v>40</v>
      </c>
      <c r="B45" s="50" t="n">
        <v>5018</v>
      </c>
      <c r="C45" s="41" t="inlineStr">
        <is>
          <t>ENR - 5018 - ENROUTE COFFEE AND TEA</t>
        </is>
      </c>
      <c r="D45" s="52" t="inlineStr">
        <is>
          <t>1</t>
        </is>
      </c>
      <c r="E45" s="41">
        <f>IFERROR(VLOOKUP(C45,Client_List!$B:$K,4,0)&amp;", "&amp;VLOOKUP(C45,Client_List!$B:$K,5,0)&amp;" AZ","")</f>
        <v/>
      </c>
      <c r="F45" s="38">
        <f>IFERROR(VLOOKUP(C45,Client_List!$B:$K,7,0)&amp;", "&amp;VLOOKUP(C45,Client_List!$B:$K,8,0),"")</f>
        <v/>
      </c>
      <c r="G45" s="42">
        <f>IFERROR(VLOOKUP(C45,Client_List!$B:$K,9,0),"")</f>
        <v/>
      </c>
      <c r="H45" s="18">
        <f>IFERROR(LOOKUP(2,1/((Delivery_Log!$B$4:$B$4998=VALUE(B45))*(ISNUMBER(Delivery_Log!$J$4:$J$4998))*(Delivery_Log!$J$4:$J$4998&gt;0)),Delivery_Log!$J$4:$J$4998),"")</f>
        <v/>
      </c>
      <c r="I45" s="41">
        <f>IFERROR(VLOOKUP(C45,Client_List!$B:$K,10,0),"")</f>
        <v/>
      </c>
      <c r="J45" s="19">
        <f>IFERROR(_xlfn.MAXIFS(Delivery_Log!$A$4:$A$4998,Delivery_Log!$B$4:$B$4998,VALUE(B45)),"—")</f>
        <v/>
      </c>
      <c r="K45" s="20">
        <f>IFERROR(IF(J45="—","",TODAY()-J45),"")</f>
        <v/>
      </c>
      <c r="L45" s="21">
        <f>IFERROR(IF(OR(K45="",H45=""),"",MAX(G45*0.03,G45-K45*H45)),"")</f>
        <v/>
      </c>
      <c r="M45" s="21">
        <f>IFERROR(IF(L45="","",G45-L45),"")</f>
        <v/>
      </c>
      <c r="N45" s="22">
        <f>IFERROR(IF(OR(L45="",H45=""),"",MIN(21,MAX(0,(L45-G45*$C$2)/H45))),"")</f>
        <v/>
      </c>
      <c r="O45" s="34">
        <f>TODAY()+ROUNDUP(N45,0)</f>
        <v/>
      </c>
      <c r="P45" s="32">
        <f>IFERROR(IF(N45="","—",IF(N45&lt;=$E$2,"YES","—")),"—")</f>
        <v/>
      </c>
      <c r="Q45" s="17">
        <f>COUNTIFS(Delivery_Log!$B$4:$B$5998,VALUE(B45),Delivery_Log!$A$4:$A$5998,"&gt;="&amp;$Q$2)</f>
        <v/>
      </c>
      <c r="R45" s="38" t="n"/>
    </row>
    <row r="46" ht="15" customHeight="1" s="72">
      <c r="A46" t="n">
        <v>41</v>
      </c>
      <c r="B46" s="50" t="n">
        <v>6101</v>
      </c>
      <c r="C46" s="41" t="inlineStr">
        <is>
          <t>FAT - 6101 - FATE BREWERY</t>
        </is>
      </c>
      <c r="D46" s="52" t="inlineStr">
        <is>
          <t>4</t>
        </is>
      </c>
      <c r="E46" s="41">
        <f>IFERROR(VLOOKUP(C46,Client_List!$B:$K,4,0)&amp;", "&amp;VLOOKUP(C46,Client_List!$B:$K,5,0)&amp;" AZ","")</f>
        <v/>
      </c>
      <c r="F46" s="38">
        <f>IFERROR(VLOOKUP(C46,Client_List!$B:$K,7,0)&amp;", "&amp;VLOOKUP(C46,Client_List!$B:$K,8,0),"")</f>
        <v/>
      </c>
      <c r="G46" s="42">
        <f>IFERROR(VLOOKUP(C46,Client_List!$B:$K,9,0),"")</f>
        <v/>
      </c>
      <c r="H46" s="18">
        <f>IFERROR(LOOKUP(2,1/((Delivery_Log!$B$4:$B$4998=VALUE(B46))*(ISNUMBER(Delivery_Log!$J$4:$J$4998))*(Delivery_Log!$J$4:$J$4998&gt;0)),Delivery_Log!$J$4:$J$4998),"")</f>
        <v/>
      </c>
      <c r="I46" s="41">
        <f>IFERROR(VLOOKUP(C46,Client_List!$B:$K,10,0),"")</f>
        <v/>
      </c>
      <c r="J46" s="19">
        <f>IFERROR(_xlfn.MAXIFS(Delivery_Log!$A$4:$A$4998,Delivery_Log!$B$4:$B$4998,VALUE(B46)),"—")</f>
        <v/>
      </c>
      <c r="K46" s="20">
        <f>IFERROR(IF(J46="—","",TODAY()-J46),"")</f>
        <v/>
      </c>
      <c r="L46" s="21">
        <f>IFERROR(IF(OR(K46="",H46=""),"",MAX(G46*0.03,G46-K46*H46)),"")</f>
        <v/>
      </c>
      <c r="M46" s="21">
        <f>IFERROR(IF(L46="","",G46-L46),"")</f>
        <v/>
      </c>
      <c r="N46" s="22">
        <f>IFERROR(IF(OR(L46="",H46=""),"",MIN(21,MAX(0,(L46-G46*$C$2)/H46))),"")</f>
        <v/>
      </c>
      <c r="O46" s="34">
        <f>TODAY()+ROUNDUP(N46,0)</f>
        <v/>
      </c>
      <c r="P46" s="33">
        <f>IFERROR(IF(N46="","—",IF(N46&lt;=$E$2,"YES","—")),"—")</f>
        <v/>
      </c>
      <c r="Q46" s="17">
        <f>COUNTIFS(Delivery_Log!$B$4:$B$5998,VALUE(B46),Delivery_Log!$A$4:$A$5998,"&gt;="&amp;$Q$2)</f>
        <v/>
      </c>
      <c r="R46" s="38" t="n"/>
    </row>
    <row r="47" ht="15" customHeight="1" s="72">
      <c r="A47" t="n">
        <v>42</v>
      </c>
      <c r="B47" s="50" t="n">
        <v>6109</v>
      </c>
      <c r="C47" s="41" t="inlineStr">
        <is>
          <t>FAT - 6109 - FATE BREWING TEMPE</t>
        </is>
      </c>
      <c r="D47" s="52" t="inlineStr">
        <is>
          <t>4</t>
        </is>
      </c>
      <c r="E47" s="41">
        <f>IFERROR(VLOOKUP(C47,Client_List!$B:$K,4,0)&amp;", "&amp;VLOOKUP(C47,Client_List!$B:$K,5,0)&amp;" AZ","")</f>
        <v/>
      </c>
      <c r="F47" s="38">
        <f>IFERROR(VLOOKUP(C47,Client_List!$B:$K,7,0)&amp;", "&amp;VLOOKUP(C47,Client_List!$B:$K,8,0),"")</f>
        <v/>
      </c>
      <c r="G47" s="42">
        <f>IFERROR(VLOOKUP(C47,Client_List!$B:$K,9,0),"")</f>
        <v/>
      </c>
      <c r="H47" s="18">
        <f>IFERROR(LOOKUP(2,1/((Delivery_Log!$B$4:$B$4998=VALUE(B47))*(ISNUMBER(Delivery_Log!$J$4:$J$4998))*(Delivery_Log!$J$4:$J$4998&gt;0)),Delivery_Log!$J$4:$J$4998),"")</f>
        <v/>
      </c>
      <c r="I47" s="41">
        <f>IFERROR(VLOOKUP(C47,Client_List!$B:$K,10,0),"")</f>
        <v/>
      </c>
      <c r="J47" s="19">
        <f>IFERROR(_xlfn.MAXIFS(Delivery_Log!$A$4:$A$4998,Delivery_Log!$B$4:$B$4998,VALUE(B47)),"—")</f>
        <v/>
      </c>
      <c r="K47" s="20">
        <f>IFERROR(IF(J47="—","",TODAY()-J47),"")</f>
        <v/>
      </c>
      <c r="L47" s="21">
        <f>IFERROR(IF(OR(K47="",H47=""),"",MAX(G47*0.03,G47-K47*H47)),"")</f>
        <v/>
      </c>
      <c r="M47" s="21">
        <f>IFERROR(IF(L47="","",G47-L47),"")</f>
        <v/>
      </c>
      <c r="N47" s="22">
        <f>IFERROR(IF(OR(L47="",H47=""),"",MIN(21,MAX(0,(L47-G47*$C$2)/H47))),"")</f>
        <v/>
      </c>
      <c r="O47" s="34">
        <f>TODAY()+ROUNDUP(N47,0)</f>
        <v/>
      </c>
      <c r="P47" s="33">
        <f>IFERROR(IF(N47="","—",IF(N47&lt;=$E$2,"YES","—")),"—")</f>
        <v/>
      </c>
      <c r="Q47" s="17">
        <f>COUNTIFS(Delivery_Log!$B$4:$B$5998,VALUE(B47),Delivery_Log!$A$4:$A$5998,"&gt;="&amp;$Q$2)</f>
        <v/>
      </c>
      <c r="R47" s="38" t="n"/>
    </row>
    <row r="48" ht="15" customHeight="1" s="72">
      <c r="A48" t="n">
        <v>43</v>
      </c>
      <c r="B48" s="50" t="n">
        <v>6077</v>
      </c>
      <c r="C48" s="41" t="inlineStr">
        <is>
          <t>FOU - 6077 - FOUR PEAKS BREWING</t>
        </is>
      </c>
      <c r="D48" s="52" t="inlineStr">
        <is>
          <t>4</t>
        </is>
      </c>
      <c r="E48" s="41">
        <f>IFERROR(VLOOKUP(C48,Client_List!$B:$K,4,0)&amp;", "&amp;VLOOKUP(C48,Client_List!$B:$K,5,0)&amp;" AZ","")</f>
        <v/>
      </c>
      <c r="F48" s="38">
        <f>IFERROR(VLOOKUP(C48,Client_List!$B:$K,7,0)&amp;", "&amp;VLOOKUP(C48,Client_List!$B:$K,8,0),"")</f>
        <v/>
      </c>
      <c r="G48" s="42">
        <f>IFERROR(VLOOKUP(C48,Client_List!$B:$K,9,0),"")</f>
        <v/>
      </c>
      <c r="H48" s="18">
        <f>IFERROR(LOOKUP(2,1/((Delivery_Log!$B$4:$B$4998=VALUE(B48))*(ISNUMBER(Delivery_Log!$J$4:$J$4998))*(Delivery_Log!$J$4:$J$4998&gt;0)),Delivery_Log!$J$4:$J$4998),"")</f>
        <v/>
      </c>
      <c r="I48" s="41">
        <f>IFERROR(VLOOKUP(C48,Client_List!$B:$K,10,0),"")</f>
        <v/>
      </c>
      <c r="J48" s="19">
        <f>IFERROR(_xlfn.MAXIFS(Delivery_Log!$A$4:$A$4998,Delivery_Log!$B$4:$B$4998,VALUE(B48)),"—")</f>
        <v/>
      </c>
      <c r="K48" s="20">
        <f>IFERROR(IF(J48="—","",TODAY()-J48),"")</f>
        <v/>
      </c>
      <c r="L48" s="21">
        <f>IFERROR(IF(OR(K48="",H48=""),"",MAX(G48*0.03,G48-K48*H48)),"")</f>
        <v/>
      </c>
      <c r="M48" s="21">
        <f>IFERROR(IF(L48="","",G48-L48),"")</f>
        <v/>
      </c>
      <c r="N48" s="22">
        <f>IFERROR(IF(OR(L48="",H48=""),"",MIN(21,MAX(0,(L48-G48*$C$2)/H48))),"")</f>
        <v/>
      </c>
      <c r="O48" s="34">
        <f>TODAY()+ROUNDUP(N48,0)</f>
        <v/>
      </c>
      <c r="P48" s="33">
        <f>IFERROR(IF(N48="","—",IF(N48&lt;=$E$2,"YES","—")),"—")</f>
        <v/>
      </c>
      <c r="Q48" s="17">
        <f>COUNTIFS(Delivery_Log!$B$4:$B$5998,VALUE(B48),Delivery_Log!$A$4:$A$5998,"&gt;="&amp;$Q$2)</f>
        <v/>
      </c>
      <c r="R48" s="38" t="n"/>
    </row>
    <row r="49" ht="15" customHeight="1" s="72">
      <c r="A49" t="n">
        <v>44</v>
      </c>
      <c r="B49" s="50" t="n">
        <v>12047</v>
      </c>
      <c r="C49" s="41" t="inlineStr">
        <is>
          <t>FUN - 12047 - FUNKY FRIDAS</t>
        </is>
      </c>
      <c r="D49" s="52" t="inlineStr">
        <is>
          <t>3</t>
        </is>
      </c>
      <c r="E49" s="41">
        <f>IFERROR(VLOOKUP(C49,Client_List!$B:$K,4,0)&amp;", "&amp;VLOOKUP(C49,Client_List!$B:$K,5,0)&amp;" AZ","")</f>
        <v/>
      </c>
      <c r="F49" s="38">
        <f>IFERROR(VLOOKUP(C49,Client_List!$B:$K,7,0)&amp;", "&amp;VLOOKUP(C49,Client_List!$B:$K,8,0),"")</f>
        <v/>
      </c>
      <c r="G49" s="42">
        <f>IFERROR(VLOOKUP(C49,Client_List!$B:$K,9,0),"")</f>
        <v/>
      </c>
      <c r="H49" s="18">
        <f>IFERROR(LOOKUP(2,1/((Delivery_Log!$B$4:$B$4998=VALUE(B49))*(ISNUMBER(Delivery_Log!$J$4:$J$4998))*(Delivery_Log!$J$4:$J$4998&gt;0)),Delivery_Log!$J$4:$J$4998),"")</f>
        <v/>
      </c>
      <c r="I49" s="41">
        <f>IFERROR(VLOOKUP(C49,Client_List!$B:$K,10,0),"")</f>
        <v/>
      </c>
      <c r="J49" s="19">
        <f>IFERROR(_xlfn.MAXIFS(Delivery_Log!$A$4:$A$4998,Delivery_Log!$B$4:$B$4998,VALUE(B49)),"—")</f>
        <v/>
      </c>
      <c r="K49" s="20">
        <f>IFERROR(IF(J49="—","",TODAY()-J49),"")</f>
        <v/>
      </c>
      <c r="L49" s="21">
        <f>IFERROR(IF(OR(K49="",H49=""),"",MAX(G49*0.03,G49-K49*H49)),"")</f>
        <v/>
      </c>
      <c r="M49" s="21">
        <f>IFERROR(IF(L49="","",G49-L49),"")</f>
        <v/>
      </c>
      <c r="N49" s="22">
        <f>IFERROR(IF(OR(L49="",H49=""),"",MIN(21,MAX(0,(L49-G49*$C$2)/H49))),"")</f>
        <v/>
      </c>
      <c r="O49" s="34">
        <f>TODAY()+ROUNDUP(N49,0)</f>
        <v/>
      </c>
      <c r="P49" s="32">
        <f>IFERROR(IF(N49="","—",IF(N49&lt;=$E$2,"YES","—")),"—")</f>
        <v/>
      </c>
      <c r="Q49" s="17">
        <f>COUNTIFS(Delivery_Log!$B$4:$B$5998,VALUE(B49),Delivery_Log!$A$4:$A$5998,"&gt;="&amp;$Q$2)</f>
        <v/>
      </c>
      <c r="R49" s="38" t="n"/>
    </row>
    <row r="50" ht="15" customHeight="1" s="72">
      <c r="A50" t="n">
        <v>45</v>
      </c>
      <c r="B50" s="50" t="n">
        <v>7001</v>
      </c>
      <c r="C50" s="41" t="inlineStr">
        <is>
          <t>GAR - 7001 - GARCIAS MEXICAN RESTAURANT</t>
        </is>
      </c>
      <c r="D50" s="52" t="inlineStr">
        <is>
          <t>3</t>
        </is>
      </c>
      <c r="E50" s="41">
        <f>IFERROR(VLOOKUP(C50,Client_List!$B:$K,4,0)&amp;", "&amp;VLOOKUP(C50,Client_List!$B:$K,5,0)&amp;" AZ","")</f>
        <v/>
      </c>
      <c r="F50" s="38">
        <f>IFERROR(VLOOKUP(C50,Client_List!$B:$K,7,0)&amp;", "&amp;VLOOKUP(C50,Client_List!$B:$K,8,0),"")</f>
        <v/>
      </c>
      <c r="G50" s="42">
        <f>IFERROR(VLOOKUP(C50,Client_List!$B:$K,9,0),"")</f>
        <v/>
      </c>
      <c r="H50" s="18">
        <f>IFERROR(LOOKUP(2,1/((Delivery_Log!$B$4:$B$4998=VALUE(B50))*(ISNUMBER(Delivery_Log!$J$4:$J$4998))*(Delivery_Log!$J$4:$J$4998&gt;0)),Delivery_Log!$J$4:$J$4998),"")</f>
        <v/>
      </c>
      <c r="I50" s="41">
        <f>IFERROR(VLOOKUP(C50,Client_List!$B:$K,10,0),"")</f>
        <v/>
      </c>
      <c r="J50" s="19">
        <f>IFERROR(_xlfn.MAXIFS(Delivery_Log!$A$4:$A$4998,Delivery_Log!$B$4:$B$4998,VALUE(B50)),"—")</f>
        <v/>
      </c>
      <c r="K50" s="20">
        <f>IFERROR(IF(J50="—","",TODAY()-J50),"")</f>
        <v/>
      </c>
      <c r="L50" s="21">
        <f>IFERROR(IF(OR(K50="",H50=""),"",MAX(G50*0.03,G50-K50*H50)),"")</f>
        <v/>
      </c>
      <c r="M50" s="21">
        <f>IFERROR(IF(L50="","",G50-L50),"")</f>
        <v/>
      </c>
      <c r="N50" s="22">
        <f>IFERROR(IF(OR(L50="",H50=""),"",MIN(21,MAX(0,(L50-G50*$C$2)/H50))),"")</f>
        <v/>
      </c>
      <c r="O50" s="34">
        <f>TODAY()+ROUNDUP(N50,0)</f>
        <v/>
      </c>
      <c r="P50" s="32">
        <f>IFERROR(IF(N50="","—",IF(N50&lt;=$E$2,"YES","—")),"—")</f>
        <v/>
      </c>
      <c r="Q50" s="17">
        <f>COUNTIFS(Delivery_Log!$B$4:$B$5998,VALUE(B50),Delivery_Log!$A$4:$A$5998,"&gt;="&amp;$Q$2)</f>
        <v/>
      </c>
      <c r="R50" s="38" t="n"/>
    </row>
    <row r="51" ht="15" customHeight="1" s="72">
      <c r="A51" t="n">
        <v>46</v>
      </c>
      <c r="B51" s="50" t="n">
        <v>7002</v>
      </c>
      <c r="C51" s="41" t="inlineStr">
        <is>
          <t>GIL - 7002 - GILBERT PIZZA</t>
        </is>
      </c>
      <c r="D51" s="52" t="inlineStr">
        <is>
          <t>5</t>
        </is>
      </c>
      <c r="E51" s="41">
        <f>IFERROR(VLOOKUP(C51,Client_List!$B:$K,4,0)&amp;", "&amp;VLOOKUP(C51,Client_List!$B:$K,5,0)&amp;" AZ","")</f>
        <v/>
      </c>
      <c r="F51" s="38">
        <f>IFERROR(VLOOKUP(C51,Client_List!$B:$K,7,0)&amp;", "&amp;VLOOKUP(C51,Client_List!$B:$K,8,0),"")</f>
        <v/>
      </c>
      <c r="G51" s="42">
        <f>IFERROR(VLOOKUP(C51,Client_List!$B:$K,9,0),"")</f>
        <v/>
      </c>
      <c r="H51" s="18">
        <f>IFERROR(LOOKUP(2,1/((Delivery_Log!$B$4:$B$4998=VALUE(B51))*(ISNUMBER(Delivery_Log!$J$4:$J$4998))*(Delivery_Log!$J$4:$J$4998&gt;0)),Delivery_Log!$J$4:$J$4998),"")</f>
        <v/>
      </c>
      <c r="I51" s="41">
        <f>IFERROR(VLOOKUP(C51,Client_List!$B:$K,10,0),"")</f>
        <v/>
      </c>
      <c r="J51" s="19">
        <f>IFERROR(_xlfn.MAXIFS(Delivery_Log!$A$4:$A$4998,Delivery_Log!$B$4:$B$4998,VALUE(B51)),"—")</f>
        <v/>
      </c>
      <c r="K51" s="20">
        <f>IFERROR(IF(J51="—","",TODAY()-J51),"")</f>
        <v/>
      </c>
      <c r="L51" s="21">
        <f>IFERROR(IF(OR(K51="",H51=""),"",MAX(G51*0.03,G51-K51*H51)),"")</f>
        <v/>
      </c>
      <c r="M51" s="21">
        <f>IFERROR(IF(L51="","",G51-L51),"")</f>
        <v/>
      </c>
      <c r="N51" s="22">
        <f>IFERROR(IF(OR(L51="",H51=""),"",MIN(21,MAX(0,(L51-G51*$C$2)/H51))),"")</f>
        <v/>
      </c>
      <c r="O51" s="34">
        <f>TODAY()+ROUNDUP(N51,0)</f>
        <v/>
      </c>
      <c r="P51" s="33">
        <f>IFERROR(IF(N51="","—",IF(N51&lt;=$E$2,"YES","—")),"—")</f>
        <v/>
      </c>
      <c r="Q51" s="17">
        <f>COUNTIFS(Delivery_Log!$B$4:$B$5998,VALUE(B51),Delivery_Log!$A$4:$A$5998,"&gt;="&amp;$Q$2)</f>
        <v/>
      </c>
      <c r="R51" s="38" t="n"/>
    </row>
    <row r="52" ht="15" customHeight="1" s="72">
      <c r="A52" t="n">
        <v>47</v>
      </c>
      <c r="B52" s="50" t="n">
        <v>7053</v>
      </c>
      <c r="C52" s="41" t="inlineStr">
        <is>
          <t>GLE - 7053 - GLENROSA</t>
        </is>
      </c>
      <c r="D52" s="52" t="inlineStr">
        <is>
          <t>4</t>
        </is>
      </c>
      <c r="E52" s="41">
        <f>IFERROR(VLOOKUP(C52,Client_List!$B:$K,4,0)&amp;", "&amp;VLOOKUP(C52,Client_List!$B:$K,5,0)&amp;" AZ","")</f>
        <v/>
      </c>
      <c r="F52" s="38">
        <f>IFERROR(VLOOKUP(C52,Client_List!$B:$K,7,0)&amp;", "&amp;VLOOKUP(C52,Client_List!$B:$K,8,0),"")</f>
        <v/>
      </c>
      <c r="G52" s="42">
        <f>IFERROR(VLOOKUP(C52,Client_List!$B:$K,9,0),"")</f>
        <v/>
      </c>
      <c r="H52" s="18">
        <f>IFERROR(LOOKUP(2,1/((Delivery_Log!$B$4:$B$4998=VALUE(B52))*(ISNUMBER(Delivery_Log!$J$4:$J$4998))*(Delivery_Log!$J$4:$J$4998&gt;0)),Delivery_Log!$J$4:$J$4998),"")</f>
        <v/>
      </c>
      <c r="I52" s="41">
        <f>IFERROR(VLOOKUP(C52,Client_List!$B:$K,10,0),"")</f>
        <v/>
      </c>
      <c r="J52" s="19">
        <f>IFERROR(_xlfn.MAXIFS(Delivery_Log!$A$4:$A$4998,Delivery_Log!$B$4:$B$4998,VALUE(B52)),"—")</f>
        <v/>
      </c>
      <c r="K52" s="20">
        <f>IFERROR(IF(J52="—","",TODAY()-J52),"")</f>
        <v/>
      </c>
      <c r="L52" s="21">
        <f>IFERROR(IF(OR(K52="",H52=""),"",MAX(G52*0.03,G52-K52*H52)),"")</f>
        <v/>
      </c>
      <c r="M52" s="21">
        <f>IFERROR(IF(L52="","",G52-L52),"")</f>
        <v/>
      </c>
      <c r="N52" s="22">
        <f>IFERROR(IF(OR(L52="",H52=""),"",MIN(21,MAX(0,(L52-G52*$C$2)/H52))),"")</f>
        <v/>
      </c>
      <c r="O52" s="34">
        <f>TODAY()+ROUNDUP(N52,0)</f>
        <v/>
      </c>
      <c r="P52" s="33">
        <f>IFERROR(IF(N52="","—",IF(N52&lt;=$E$2,"YES","—")),"—")</f>
        <v/>
      </c>
      <c r="Q52" s="17">
        <f>COUNTIFS(Delivery_Log!$B$4:$B$5998,VALUE(B52),Delivery_Log!$A$4:$A$5998,"&gt;="&amp;$Q$2)</f>
        <v/>
      </c>
      <c r="R52" s="38" t="n"/>
    </row>
    <row r="53" ht="15" customHeight="1" s="72">
      <c r="A53" t="n">
        <v>48</v>
      </c>
      <c r="B53" s="50" t="n">
        <v>7052</v>
      </c>
      <c r="C53" s="41" t="inlineStr">
        <is>
          <t>GOL - 7052 - GOLD CANYON RESORT &amp; SPA</t>
        </is>
      </c>
      <c r="D53" s="52" t="inlineStr">
        <is>
          <t>4</t>
        </is>
      </c>
      <c r="E53" s="41">
        <f>IFERROR(VLOOKUP(C53,Client_List!$B:$K,4,0)&amp;", "&amp;VLOOKUP(C53,Client_List!$B:$K,5,0)&amp;" AZ","")</f>
        <v/>
      </c>
      <c r="F53" s="38">
        <f>IFERROR(VLOOKUP(C53,Client_List!$B:$K,7,0)&amp;", "&amp;VLOOKUP(C53,Client_List!$B:$K,8,0),"")</f>
        <v/>
      </c>
      <c r="G53" s="42">
        <f>IFERROR(VLOOKUP(C53,Client_List!$B:$K,9,0),"")</f>
        <v/>
      </c>
      <c r="H53" s="18">
        <f>IFERROR(LOOKUP(2,1/((Delivery_Log!$B$4:$B$4998=VALUE(B53))*(ISNUMBER(Delivery_Log!$J$4:$J$4998))*(Delivery_Log!$J$4:$J$4998&gt;0)),Delivery_Log!$J$4:$J$4998),"")</f>
        <v/>
      </c>
      <c r="I53" s="41">
        <f>IFERROR(VLOOKUP(C53,Client_List!$B:$K,10,0),"")</f>
        <v/>
      </c>
      <c r="J53" s="19">
        <f>IFERROR(_xlfn.MAXIFS(Delivery_Log!$A$4:$A$4998,Delivery_Log!$B$4:$B$4998,VALUE(B53)),"—")</f>
        <v/>
      </c>
      <c r="K53" s="20">
        <f>IFERROR(IF(J53="—","",TODAY()-J53),"")</f>
        <v/>
      </c>
      <c r="L53" s="21">
        <f>IFERROR(IF(OR(K53="",H53=""),"",MAX(G53*0.03,G53-K53*H53)),"")</f>
        <v/>
      </c>
      <c r="M53" s="21">
        <f>IFERROR(IF(L53="","",G53-L53),"")</f>
        <v/>
      </c>
      <c r="N53" s="22">
        <f>IFERROR(IF(OR(L53="",H53=""),"",MIN(21,MAX(0,(L53-G53*$C$2)/H53))),"")</f>
        <v/>
      </c>
      <c r="O53" s="34">
        <f>TODAY()+ROUNDUP(N53,0)</f>
        <v/>
      </c>
      <c r="P53" s="33">
        <f>IFERROR(IF(N53="","—",IF(N53&lt;=$E$2,"YES","—")),"—")</f>
        <v/>
      </c>
      <c r="Q53" s="17">
        <f>COUNTIFS(Delivery_Log!$B$4:$B$5998,VALUE(B53),Delivery_Log!$A$4:$A$5998,"&gt;="&amp;$Q$2)</f>
        <v/>
      </c>
      <c r="R53" s="38" t="n"/>
    </row>
    <row r="54" ht="15" customHeight="1" s="72">
      <c r="A54" t="n">
        <v>49</v>
      </c>
      <c r="B54" s="50" t="n">
        <v>8031</v>
      </c>
      <c r="C54" s="41" t="inlineStr">
        <is>
          <t>HAR - 8031 - HAROLDS</t>
        </is>
      </c>
      <c r="D54" s="52" t="inlineStr">
        <is>
          <t>4</t>
        </is>
      </c>
      <c r="E54" s="41">
        <f>IFERROR(VLOOKUP(C54,Client_List!$B:$K,4,0)&amp;", "&amp;VLOOKUP(C54,Client_List!$B:$K,5,0)&amp;" AZ","")</f>
        <v/>
      </c>
      <c r="F54" s="38">
        <f>IFERROR(VLOOKUP(C54,Client_List!$B:$K,7,0)&amp;", "&amp;VLOOKUP(C54,Client_List!$B:$K,8,0),"")</f>
        <v/>
      </c>
      <c r="G54" s="42">
        <f>IFERROR(VLOOKUP(C54,Client_List!$B:$K,9,0),"")</f>
        <v/>
      </c>
      <c r="H54" s="18">
        <f>IFERROR(LOOKUP(2,1/((Delivery_Log!$B$4:$B$4998=VALUE(B54))*(ISNUMBER(Delivery_Log!$J$4:$J$4998))*(Delivery_Log!$J$4:$J$4998&gt;0)),Delivery_Log!$J$4:$J$4998),"")</f>
        <v/>
      </c>
      <c r="I54" s="41">
        <f>IFERROR(VLOOKUP(C54,Client_List!$B:$K,10,0),"")</f>
        <v/>
      </c>
      <c r="J54" s="19">
        <f>IFERROR(_xlfn.MAXIFS(Delivery_Log!$A$4:$A$4998,Delivery_Log!$B$4:$B$4998,VALUE(B54)),"—")</f>
        <v/>
      </c>
      <c r="K54" s="20">
        <f>IFERROR(IF(J54="—","",TODAY()-J54),"")</f>
        <v/>
      </c>
      <c r="L54" s="21">
        <f>IFERROR(IF(OR(K54="",H54=""),"",MAX(G54*0.03,G54-K54*H54)),"")</f>
        <v/>
      </c>
      <c r="M54" s="21">
        <f>IFERROR(IF(L54="","",G54-L54),"")</f>
        <v/>
      </c>
      <c r="N54" s="22">
        <f>IFERROR(IF(OR(L54="",H54=""),"",MIN(21,MAX(0,(L54-G54*$C$2)/H54))),"")</f>
        <v/>
      </c>
      <c r="O54" s="34">
        <f>TODAY()+ROUNDUP(N54,0)</f>
        <v/>
      </c>
      <c r="P54" s="33">
        <f>IFERROR(IF(N54="","—",IF(N54&lt;=$E$2,"YES","—")),"—")</f>
        <v/>
      </c>
      <c r="Q54" s="17">
        <f>COUNTIFS(Delivery_Log!$B$4:$B$5998,VALUE(B54),Delivery_Log!$A$4:$A$5998,"&gt;="&amp;$Q$2)</f>
        <v/>
      </c>
      <c r="R54" s="38" t="n"/>
    </row>
    <row r="55" ht="15" customHeight="1" s="72">
      <c r="A55" t="n">
        <v>50</v>
      </c>
      <c r="B55" s="50" t="n">
        <v>8034</v>
      </c>
      <c r="C55" s="41" t="inlineStr">
        <is>
          <t>HOR - 8034 - HORNY TOAD</t>
        </is>
      </c>
      <c r="D55" s="52" t="inlineStr">
        <is>
          <t>4</t>
        </is>
      </c>
      <c r="E55" s="41">
        <f>IFERROR(VLOOKUP(C55,Client_List!$B:$K,4,0)&amp;", "&amp;VLOOKUP(C55,Client_List!$B:$K,5,0)&amp;" AZ","")</f>
        <v/>
      </c>
      <c r="F55" s="38">
        <f>IFERROR(VLOOKUP(C55,Client_List!$B:$K,7,0)&amp;", "&amp;VLOOKUP(C55,Client_List!$B:$K,8,0),"")</f>
        <v/>
      </c>
      <c r="G55" s="42">
        <f>IFERROR(VLOOKUP(C55,Client_List!$B:$K,9,0),"")</f>
        <v/>
      </c>
      <c r="H55" s="18">
        <f>IFERROR(LOOKUP(2,1/((Delivery_Log!$B$4:$B$4998=VALUE(B55))*(ISNUMBER(Delivery_Log!$J$4:$J$4998))*(Delivery_Log!$J$4:$J$4998&gt;0)),Delivery_Log!$J$4:$J$4998),"")</f>
        <v/>
      </c>
      <c r="I55" s="41">
        <f>IFERROR(VLOOKUP(C55,Client_List!$B:$K,10,0),"")</f>
        <v/>
      </c>
      <c r="J55" s="19">
        <f>IFERROR(_xlfn.MAXIFS(Delivery_Log!$A$4:$A$4998,Delivery_Log!$B$4:$B$4998,VALUE(B55)),"—")</f>
        <v/>
      </c>
      <c r="K55" s="20">
        <f>IFERROR(IF(J55="—","",TODAY()-J55),"")</f>
        <v/>
      </c>
      <c r="L55" s="21">
        <f>IFERROR(IF(OR(K55="",H55=""),"",MAX(G55*0.03,G55-K55*H55)),"")</f>
        <v/>
      </c>
      <c r="M55" s="21">
        <f>IFERROR(IF(L55="","",G55-L55),"")</f>
        <v/>
      </c>
      <c r="N55" s="22">
        <f>IFERROR(IF(OR(L55="",H55=""),"",MIN(21,MAX(0,(L55-G55*$C$2)/H55))),"")</f>
        <v/>
      </c>
      <c r="O55" s="34">
        <f>TODAY()+ROUNDUP(N55,0)</f>
        <v/>
      </c>
      <c r="P55" s="33">
        <f>IFERROR(IF(N55="","—",IF(N55&lt;=$E$2,"YES","—")),"—")</f>
        <v/>
      </c>
      <c r="Q55" s="17">
        <f>COUNTIFS(Delivery_Log!$B$4:$B$5998,VALUE(B55),Delivery_Log!$A$4:$A$5998,"&gt;="&amp;$Q$2)</f>
        <v/>
      </c>
      <c r="R55" s="38" t="n"/>
    </row>
    <row r="56" ht="15" customHeight="1" s="72">
      <c r="A56" t="n">
        <v>51</v>
      </c>
      <c r="B56" s="50" t="n">
        <v>8005</v>
      </c>
      <c r="C56" s="41" t="inlineStr">
        <is>
          <t>HUN - 8005 - HUNGRY MONK</t>
        </is>
      </c>
      <c r="D56" s="52" t="inlineStr">
        <is>
          <t>4</t>
        </is>
      </c>
      <c r="E56" s="41">
        <f>IFERROR(VLOOKUP(C56,Client_List!$B:$K,4,0)&amp;", "&amp;VLOOKUP(C56,Client_List!$B:$K,5,0)&amp;" AZ","")</f>
        <v/>
      </c>
      <c r="F56" s="38">
        <f>IFERROR(VLOOKUP(C56,Client_List!$B:$K,7,0)&amp;", "&amp;VLOOKUP(C56,Client_List!$B:$K,8,0),"")</f>
        <v/>
      </c>
      <c r="G56" s="42">
        <f>IFERROR(VLOOKUP(C56,Client_List!$B:$K,9,0),"")</f>
        <v/>
      </c>
      <c r="H56" s="18">
        <f>IFERROR(LOOKUP(2,1/((Delivery_Log!$B$4:$B$4998=VALUE(B56))*(ISNUMBER(Delivery_Log!$J$4:$J$4998))*(Delivery_Log!$J$4:$J$4998&gt;0)),Delivery_Log!$J$4:$J$4998),"")</f>
        <v/>
      </c>
      <c r="I56" s="41">
        <f>IFERROR(VLOOKUP(C56,Client_List!$B:$K,10,0),"")</f>
        <v/>
      </c>
      <c r="J56" s="19">
        <f>IFERROR(_xlfn.MAXIFS(Delivery_Log!$A$4:$A$4998,Delivery_Log!$B$4:$B$4998,VALUE(B56)),"—")</f>
        <v/>
      </c>
      <c r="K56" s="20">
        <f>IFERROR(IF(J56="—","",TODAY()-J56),"")</f>
        <v/>
      </c>
      <c r="L56" s="21">
        <f>IFERROR(IF(OR(K56="",H56=""),"",MAX(G56*0.03,G56-K56*H56)),"")</f>
        <v/>
      </c>
      <c r="M56" s="21">
        <f>IFERROR(IF(L56="","",G56-L56),"")</f>
        <v/>
      </c>
      <c r="N56" s="22">
        <f>IFERROR(IF(OR(L56="",H56=""),"",MIN(21,MAX(0,(L56-G56*$C$2)/H56))),"")</f>
        <v/>
      </c>
      <c r="O56" s="34">
        <f>TODAY()+ROUNDUP(N56,0)</f>
        <v/>
      </c>
      <c r="P56" s="32">
        <f>IFERROR(IF(N56="","—",IF(N56&lt;=$E$2,"YES","—")),"—")</f>
        <v/>
      </c>
      <c r="Q56" s="17">
        <f>COUNTIFS(Delivery_Log!$B$4:$B$5998,VALUE(B56),Delivery_Log!$A$4:$A$5998,"&gt;="&amp;$Q$2)</f>
        <v/>
      </c>
      <c r="R56" s="38" t="n"/>
    </row>
    <row r="57" ht="15" customHeight="1" s="72">
      <c r="A57" t="n">
        <v>52</v>
      </c>
      <c r="B57" s="50" t="n">
        <v>10001</v>
      </c>
      <c r="C57" s="41" t="inlineStr">
        <is>
          <t>JALS - 10001 - JALAPENOS INFERNO SCOTTS</t>
        </is>
      </c>
      <c r="D57" s="52" t="inlineStr">
        <is>
          <t>4</t>
        </is>
      </c>
      <c r="E57" s="41">
        <f>IFERROR(VLOOKUP(C57,Client_List!$B:$K,4,0)&amp;", "&amp;VLOOKUP(C57,Client_List!$B:$K,5,0)&amp;" AZ","")</f>
        <v/>
      </c>
      <c r="F57" s="38">
        <f>IFERROR(VLOOKUP(C57,Client_List!$B:$K,7,0)&amp;", "&amp;VLOOKUP(C57,Client_List!$B:$K,8,0),"")</f>
        <v/>
      </c>
      <c r="G57" s="42">
        <f>IFERROR(VLOOKUP(C57,Client_List!$B:$K,9,0),"")</f>
        <v/>
      </c>
      <c r="H57" s="18">
        <f>IFERROR(LOOKUP(2,1/((Delivery_Log!$B$4:$B$4998=VALUE(B57))*(ISNUMBER(Delivery_Log!$J$4:$J$4998))*(Delivery_Log!$J$4:$J$4998&gt;0)),Delivery_Log!$J$4:$J$4998),"")</f>
        <v/>
      </c>
      <c r="I57" s="41">
        <f>IFERROR(VLOOKUP(C57,Client_List!$B:$K,10,0),"")</f>
        <v/>
      </c>
      <c r="J57" s="19">
        <f>IFERROR(_xlfn.MAXIFS(Delivery_Log!$A$4:$A$4998,Delivery_Log!$B$4:$B$4998,VALUE(B57)),"—")</f>
        <v/>
      </c>
      <c r="K57" s="20">
        <f>IFERROR(IF(J57="—","",TODAY()-J57),"")</f>
        <v/>
      </c>
      <c r="L57" s="21">
        <f>IFERROR(IF(OR(K57="",H57=""),"",MAX(G57*0.03,G57-K57*H57)),"")</f>
        <v/>
      </c>
      <c r="M57" s="21">
        <f>IFERROR(IF(L57="","",G57-L57),"")</f>
        <v/>
      </c>
      <c r="N57" s="22">
        <f>IFERROR(IF(OR(L57="",H57=""),"",MIN(21,MAX(0,(L57-G57*$C$2)/H57))),"")</f>
        <v/>
      </c>
      <c r="O57" s="34">
        <f>TODAY()+ROUNDUP(N57,0)</f>
        <v/>
      </c>
      <c r="P57" s="33">
        <f>IFERROR(IF(N57="","—",IF(N57&lt;=$E$2,"YES","—")),"—")</f>
        <v/>
      </c>
      <c r="Q57" s="17">
        <f>COUNTIFS(Delivery_Log!$B$4:$B$5998,VALUE(B57),Delivery_Log!$A$4:$A$5998,"&gt;="&amp;$Q$2)</f>
        <v/>
      </c>
      <c r="R57" s="38" t="n"/>
    </row>
    <row r="58" ht="15" customHeight="1" s="72">
      <c r="A58" t="n">
        <v>53</v>
      </c>
      <c r="B58" s="50" t="n">
        <v>10011</v>
      </c>
      <c r="C58" s="41" t="inlineStr">
        <is>
          <t>JIC - 10011 - JICKY JACKS</t>
        </is>
      </c>
      <c r="D58" s="52" t="inlineStr">
        <is>
          <t>4</t>
        </is>
      </c>
      <c r="E58" s="41">
        <f>IFERROR(VLOOKUP(C58,Client_List!$B:$K,4,0)&amp;", "&amp;VLOOKUP(C58,Client_List!$B:$K,5,0)&amp;" AZ","")</f>
        <v/>
      </c>
      <c r="F58" s="38">
        <f>IFERROR(VLOOKUP(C58,Client_List!$B:$K,7,0)&amp;", "&amp;VLOOKUP(C58,Client_List!$B:$K,8,0),"")</f>
        <v/>
      </c>
      <c r="G58" s="42">
        <f>IFERROR(VLOOKUP(C58,Client_List!$B:$K,9,0),"")</f>
        <v/>
      </c>
      <c r="H58" s="18">
        <f>IFERROR(LOOKUP(2,1/((Delivery_Log!$B$4:$B$4998=VALUE(B58))*(ISNUMBER(Delivery_Log!$J$4:$J$4998))*(Delivery_Log!$J$4:$J$4998&gt;0)),Delivery_Log!$J$4:$J$4998),"")</f>
        <v/>
      </c>
      <c r="I58" s="41">
        <f>IFERROR(VLOOKUP(C58,Client_List!$B:$K,10,0),"")</f>
        <v/>
      </c>
      <c r="J58" s="19">
        <f>IFERROR(_xlfn.MAXIFS(Delivery_Log!$A$4:$A$4998,Delivery_Log!$B$4:$B$4998,VALUE(B58)),"—")</f>
        <v/>
      </c>
      <c r="K58" s="20">
        <f>IFERROR(IF(J58="—","",TODAY()-J58),"")</f>
        <v/>
      </c>
      <c r="L58" s="21">
        <f>IFERROR(IF(OR(K58="",H58=""),"",MAX(G58*0.03,G58-K58*H58)),"")</f>
        <v/>
      </c>
      <c r="M58" s="21">
        <f>IFERROR(IF(L58="","",G58-L58),"")</f>
        <v/>
      </c>
      <c r="N58" s="22">
        <f>IFERROR(IF(OR(L58="",H58=""),"",MIN(21,MAX(0,(L58-G58*$C$2)/H58))),"")</f>
        <v/>
      </c>
      <c r="O58" s="34">
        <f>TODAY()+ROUNDUP(N58,0)</f>
        <v/>
      </c>
      <c r="P58" s="32">
        <f>IFERROR(IF(N58="","—",IF(N58&lt;=$E$2,"YES","—")),"—")</f>
        <v/>
      </c>
      <c r="Q58" s="17">
        <f>COUNTIFS(Delivery_Log!$B$4:$B$5998,VALUE(B58),Delivery_Log!$A$4:$A$5998,"&gt;="&amp;$Q$2)</f>
        <v/>
      </c>
      <c r="R58" s="38" t="n"/>
    </row>
    <row r="59" ht="15" customHeight="1" s="72">
      <c r="A59" t="n">
        <v>54</v>
      </c>
      <c r="B59" s="50" t="n">
        <v>11005</v>
      </c>
      <c r="C59" s="41" t="inlineStr">
        <is>
          <t>KAR - 11005 - KARMA SUSHI</t>
        </is>
      </c>
      <c r="D59" s="52" t="inlineStr">
        <is>
          <t>4</t>
        </is>
      </c>
      <c r="E59" s="41">
        <f>IFERROR(VLOOKUP(C59,Client_List!$B:$K,4,0)&amp;", "&amp;VLOOKUP(C59,Client_List!$B:$K,5,0)&amp;" AZ","")</f>
        <v/>
      </c>
      <c r="F59" s="38">
        <f>IFERROR(VLOOKUP(C59,Client_List!$B:$K,7,0)&amp;", "&amp;VLOOKUP(C59,Client_List!$B:$K,8,0),"")</f>
        <v/>
      </c>
      <c r="G59" s="42">
        <f>IFERROR(VLOOKUP(C59,Client_List!$B:$K,9,0),"")</f>
        <v/>
      </c>
      <c r="H59" s="18">
        <f>IFERROR(LOOKUP(2,1/((Delivery_Log!$B$4:$B$4998=VALUE(B59))*(ISNUMBER(Delivery_Log!$J$4:$J$4998))*(Delivery_Log!$J$4:$J$4998&gt;0)),Delivery_Log!$J$4:$J$4998),"")</f>
        <v/>
      </c>
      <c r="I59" s="41">
        <f>IFERROR(VLOOKUP(C59,Client_List!$B:$K,10,0),"")</f>
        <v/>
      </c>
      <c r="J59" s="19">
        <f>IFERROR(_xlfn.MAXIFS(Delivery_Log!$A$4:$A$4998,Delivery_Log!$B$4:$B$4998,VALUE(B59)),"—")</f>
        <v/>
      </c>
      <c r="K59" s="20">
        <f>IFERROR(IF(J59="—","",TODAY()-J59),"")</f>
        <v/>
      </c>
      <c r="L59" s="21">
        <f>IFERROR(IF(OR(K59="",H59=""),"",MAX(G59*0.03,G59-K59*H59)),"")</f>
        <v/>
      </c>
      <c r="M59" s="21">
        <f>IFERROR(IF(L59="","",G59-L59),"")</f>
        <v/>
      </c>
      <c r="N59" s="22">
        <f>IFERROR(IF(OR(L59="",H59=""),"",MIN(21,MAX(0,(L59-G59*$C$2)/H59))),"")</f>
        <v/>
      </c>
      <c r="O59" s="34">
        <f>TODAY()+ROUNDUP(N59,0)</f>
        <v/>
      </c>
      <c r="P59" s="32">
        <f>IFERROR(IF(N59="","—",IF(N59&lt;=$E$2,"YES","—")),"—")</f>
        <v/>
      </c>
      <c r="Q59" s="17">
        <f>COUNTIFS(Delivery_Log!$B$4:$B$5998,VALUE(B59),Delivery_Log!$A$4:$A$5998,"&gt;="&amp;$Q$2)</f>
        <v/>
      </c>
      <c r="R59" s="38" t="n"/>
    </row>
    <row r="60" ht="15" customHeight="1" s="72">
      <c r="A60" t="n">
        <v>55</v>
      </c>
      <c r="B60" s="50" t="n">
        <v>11014</v>
      </c>
      <c r="C60" s="41" t="inlineStr">
        <is>
          <t>KAR - 11014 - KARIBU RESTAURANT</t>
        </is>
      </c>
      <c r="D60" s="52" t="inlineStr">
        <is>
          <t>4</t>
        </is>
      </c>
      <c r="E60" s="41">
        <f>IFERROR(VLOOKUP(C60,Client_List!$B:$K,4,0)&amp;", "&amp;VLOOKUP(C60,Client_List!$B:$K,5,0)&amp;" AZ","")</f>
        <v/>
      </c>
      <c r="F60" s="38">
        <f>IFERROR(VLOOKUP(C60,Client_List!$B:$K,7,0)&amp;", "&amp;VLOOKUP(C60,Client_List!$B:$K,8,0),"")</f>
        <v/>
      </c>
      <c r="G60" s="42">
        <f>IFERROR(VLOOKUP(C60,Client_List!$B:$K,9,0),"")</f>
        <v/>
      </c>
      <c r="H60" s="18">
        <f>IFERROR(LOOKUP(2,1/((Delivery_Log!$B$4:$B$4998=VALUE(B60))*(ISNUMBER(Delivery_Log!$J$4:$J$4998))*(Delivery_Log!$J$4:$J$4998&gt;0)),Delivery_Log!$J$4:$J$4998),"")</f>
        <v/>
      </c>
      <c r="I60" s="41">
        <f>IFERROR(VLOOKUP(C60,Client_List!$B:$K,10,0),"")</f>
        <v/>
      </c>
      <c r="J60" s="19">
        <f>IFERROR(_xlfn.MAXIFS(Delivery_Log!$A$4:$A$4998,Delivery_Log!$B$4:$B$4998,VALUE(B60)),"—")</f>
        <v/>
      </c>
      <c r="K60" s="20">
        <f>IFERROR(IF(J60="—","",TODAY()-J60),"")</f>
        <v/>
      </c>
      <c r="L60" s="21">
        <f>IFERROR(IF(OR(K60="",H60=""),"",MAX(G60*0.03,G60-K60*H60)),"")</f>
        <v/>
      </c>
      <c r="M60" s="21">
        <f>IFERROR(IF(L60="","",G60-L60),"")</f>
        <v/>
      </c>
      <c r="N60" s="22">
        <f>IFERROR(IF(OR(L60="",H60=""),"",MIN(21,MAX(0,(L60-G60*$C$2)/H60))),"")</f>
        <v/>
      </c>
      <c r="O60" s="34">
        <f>TODAY()+ROUNDUP(N60,0)</f>
        <v/>
      </c>
      <c r="P60" s="32">
        <f>IFERROR(IF(N60="","—",IF(N60&lt;=$E$2,"YES","—")),"—")</f>
        <v/>
      </c>
      <c r="Q60" s="17">
        <f>COUNTIFS(Delivery_Log!$B$4:$B$5998,VALUE(B60),Delivery_Log!$A$4:$A$5998,"&gt;="&amp;$Q$2)</f>
        <v/>
      </c>
      <c r="R60" s="38" t="n"/>
    </row>
    <row r="61" ht="15" customHeight="1" s="72">
      <c r="A61" t="n">
        <v>56</v>
      </c>
      <c r="B61" s="50" t="n">
        <v>11013</v>
      </c>
      <c r="C61" s="41" t="inlineStr">
        <is>
          <t>KOD - 11013 - K O'DONNELS SPORTS BAR &amp; GRILL</t>
        </is>
      </c>
      <c r="D61" s="52" t="inlineStr">
        <is>
          <t>4</t>
        </is>
      </c>
      <c r="E61" s="41">
        <f>IFERROR(VLOOKUP(C61,Client_List!$B:$K,4,0)&amp;", "&amp;VLOOKUP(C61,Client_List!$B:$K,5,0)&amp;" AZ","")</f>
        <v/>
      </c>
      <c r="F61" s="38">
        <f>IFERROR(VLOOKUP(C61,Client_List!$B:$K,7,0)&amp;", "&amp;VLOOKUP(C61,Client_List!$B:$K,8,0),"")</f>
        <v/>
      </c>
      <c r="G61" s="42">
        <f>IFERROR(VLOOKUP(C61,Client_List!$B:$K,9,0),"")</f>
        <v/>
      </c>
      <c r="H61" s="18">
        <f>IFERROR(LOOKUP(2,1/((Delivery_Log!$B$4:$B$4998=VALUE(B61))*(ISNUMBER(Delivery_Log!$J$4:$J$4998))*(Delivery_Log!$J$4:$J$4998&gt;0)),Delivery_Log!$J$4:$J$4998),"")</f>
        <v/>
      </c>
      <c r="I61" s="41">
        <f>IFERROR(VLOOKUP(C61,Client_List!$B:$K,10,0),"")</f>
        <v/>
      </c>
      <c r="J61" s="19">
        <f>IFERROR(_xlfn.MAXIFS(Delivery_Log!$A$4:$A$4998,Delivery_Log!$B$4:$B$4998,VALUE(B61)),"—")</f>
        <v/>
      </c>
      <c r="K61" s="20">
        <f>IFERROR(IF(J61="—","",TODAY()-J61),"")</f>
        <v/>
      </c>
      <c r="L61" s="21">
        <f>IFERROR(IF(OR(K61="",H61=""),"",MAX(G61*0.03,G61-K61*H61)),"")</f>
        <v/>
      </c>
      <c r="M61" s="21">
        <f>IFERROR(IF(L61="","",G61-L61),"")</f>
        <v/>
      </c>
      <c r="N61" s="22">
        <f>IFERROR(IF(OR(L61="",H61=""),"",MIN(21,MAX(0,(L61-G61*$C$2)/H61))),"")</f>
        <v/>
      </c>
      <c r="O61" s="34">
        <f>TODAY()+ROUNDUP(N61,0)</f>
        <v/>
      </c>
      <c r="P61" s="32">
        <f>IFERROR(IF(N61="","—",IF(N61&lt;=$E$2,"YES","—")),"—")</f>
        <v/>
      </c>
      <c r="Q61" s="17">
        <f>COUNTIFS(Delivery_Log!$B$4:$B$5998,VALUE(B61),Delivery_Log!$A$4:$A$5998,"&gt;="&amp;$Q$2)</f>
        <v/>
      </c>
      <c r="R61" s="38" t="n"/>
    </row>
    <row r="62" ht="15" customHeight="1" s="72">
      <c r="A62" t="n">
        <v>57</v>
      </c>
      <c r="B62" s="50" t="n">
        <v>11016</v>
      </c>
      <c r="C62" s="41" t="inlineStr">
        <is>
          <t>KRI - 11016 - KRISPY KRUNCHY CHICKEN</t>
        </is>
      </c>
      <c r="D62" s="52" t="inlineStr">
        <is>
          <t>4</t>
        </is>
      </c>
      <c r="E62" s="41">
        <f>IFERROR(VLOOKUP(C62,Client_List!$B:$K,4,0)&amp;", "&amp;VLOOKUP(C62,Client_List!$B:$K,5,0)&amp;" AZ","")</f>
        <v/>
      </c>
      <c r="F62" s="38">
        <f>IFERROR(VLOOKUP(C62,Client_List!$B:$K,7,0)&amp;", "&amp;VLOOKUP(C62,Client_List!$B:$K,8,0),"")</f>
        <v/>
      </c>
      <c r="G62" s="42">
        <f>IFERROR(VLOOKUP(C62,Client_List!$B:$K,9,0),"")</f>
        <v/>
      </c>
      <c r="H62" s="18">
        <f>IFERROR(LOOKUP(2,1/((Delivery_Log!$B$4:$B$4998=VALUE(B62))*(ISNUMBER(Delivery_Log!$J$4:$J$4998))*(Delivery_Log!$J$4:$J$4998&gt;0)),Delivery_Log!$J$4:$J$4998),"")</f>
        <v/>
      </c>
      <c r="I62" s="41">
        <f>IFERROR(VLOOKUP(C62,Client_List!$B:$K,10,0),"")</f>
        <v/>
      </c>
      <c r="J62" s="19">
        <f>IFERROR(_xlfn.MAXIFS(Delivery_Log!$A$4:$A$4998,Delivery_Log!$B$4:$B$4998,VALUE(B62)),"—")</f>
        <v/>
      </c>
      <c r="K62" s="20">
        <f>IFERROR(IF(J62="—","",TODAY()-J62),"")</f>
        <v/>
      </c>
      <c r="L62" s="21">
        <f>IFERROR(IF(OR(K62="",H62=""),"",MAX(G62*0.03,G62-K62*H62)),"")</f>
        <v/>
      </c>
      <c r="M62" s="21">
        <f>IFERROR(IF(L62="","",G62-L62),"")</f>
        <v/>
      </c>
      <c r="N62" s="22">
        <f>IFERROR(IF(OR(L62="",H62=""),"",MIN(21,MAX(0,(L62-G62*$C$2)/H62))),"")</f>
        <v/>
      </c>
      <c r="O62" s="34">
        <f>TODAY()+ROUNDUP(N62,0)</f>
        <v/>
      </c>
      <c r="P62" s="32">
        <f>IFERROR(IF(N62="","—",IF(N62&lt;=$E$2,"YES","—")),"—")</f>
        <v/>
      </c>
      <c r="Q62" s="17">
        <f>COUNTIFS(Delivery_Log!$B$4:$B$5998,VALUE(B62),Delivery_Log!$A$4:$A$5998,"&gt;="&amp;$Q$2)</f>
        <v/>
      </c>
      <c r="R62" s="38" t="n"/>
    </row>
    <row r="63" ht="15" customHeight="1" s="72">
      <c r="A63" t="n">
        <v>58</v>
      </c>
      <c r="B63" s="50" t="n">
        <v>12053</v>
      </c>
      <c r="C63" s="41" t="inlineStr">
        <is>
          <t>LA - 12053 - LA FIESTA CARNICERIA</t>
        </is>
      </c>
      <c r="D63" s="52" t="inlineStr">
        <is>
          <t>4</t>
        </is>
      </c>
      <c r="E63" s="41">
        <f>IFERROR(VLOOKUP(C63,Client_List!$B:$K,4,0)&amp;", "&amp;VLOOKUP(C63,Client_List!$B:$K,5,0)&amp;" AZ","")</f>
        <v/>
      </c>
      <c r="F63" s="38">
        <f>IFERROR(VLOOKUP(C63,Client_List!$B:$K,7,0)&amp;", "&amp;VLOOKUP(C63,Client_List!$B:$K,8,0),"")</f>
        <v/>
      </c>
      <c r="G63" s="42">
        <f>IFERROR(VLOOKUP(C63,Client_List!$B:$K,9,0),"")</f>
        <v/>
      </c>
      <c r="H63" s="18">
        <f>IFERROR(LOOKUP(2,1/((Delivery_Log!$B$4:$B$4998=VALUE(B63))*(ISNUMBER(Delivery_Log!$J$4:$J$4998))*(Delivery_Log!$J$4:$J$4998&gt;0)),Delivery_Log!$J$4:$J$4998),"")</f>
        <v/>
      </c>
      <c r="I63" s="41">
        <f>IFERROR(VLOOKUP(C63,Client_List!$B:$K,10,0),"")</f>
        <v/>
      </c>
      <c r="J63" s="19">
        <f>IFERROR(_xlfn.MAXIFS(Delivery_Log!$A$4:$A$4998,Delivery_Log!$B$4:$B$4998,VALUE(B63)),"—")</f>
        <v/>
      </c>
      <c r="K63" s="20">
        <f>IFERROR(IF(J63="—","",TODAY()-J63),"")</f>
        <v/>
      </c>
      <c r="L63" s="21">
        <f>IFERROR(IF(OR(K63="",H63=""),"",MAX(G63*0.03,G63-K63*H63)),"")</f>
        <v/>
      </c>
      <c r="M63" s="21">
        <f>IFERROR(IF(L63="","",G63-L63),"")</f>
        <v/>
      </c>
      <c r="N63" s="22">
        <f>IFERROR(IF(OR(L63="",H63=""),"",MIN(21,MAX(0,(L63-G63*$C$2)/H63))),"")</f>
        <v/>
      </c>
      <c r="O63" s="34">
        <f>TODAY()+ROUNDUP(N63,0)</f>
        <v/>
      </c>
      <c r="P63" s="32">
        <f>IFERROR(IF(N63="","—",IF(N63&lt;=$E$2,"YES","—")),"—")</f>
        <v/>
      </c>
      <c r="Q63" s="17">
        <f>COUNTIFS(Delivery_Log!$B$4:$B$5998,VALUE(B63),Delivery_Log!$A$4:$A$5998,"&gt;="&amp;$Q$2)</f>
        <v/>
      </c>
      <c r="R63" s="38" t="inlineStr">
        <is>
          <t>Pull this out</t>
        </is>
      </c>
    </row>
    <row r="64" ht="15" customHeight="1" s="72">
      <c r="A64" t="n">
        <v>59</v>
      </c>
      <c r="B64" s="50" t="n">
        <v>2010</v>
      </c>
      <c r="C64" s="41" t="inlineStr">
        <is>
          <t>LIB - 2010 - LIBERTY TAVERN</t>
        </is>
      </c>
      <c r="D64" s="52" t="inlineStr">
        <is>
          <t>3</t>
        </is>
      </c>
      <c r="E64" s="41">
        <f>IFERROR(VLOOKUP(C64,Client_List!$B:$K,4,0)&amp;", "&amp;VLOOKUP(C64,Client_List!$B:$K,5,0)&amp;" AZ","")</f>
        <v/>
      </c>
      <c r="F64" s="38">
        <f>IFERROR(VLOOKUP(C64,Client_List!$B:$K,7,0)&amp;", "&amp;VLOOKUP(C64,Client_List!$B:$K,8,0),"")</f>
        <v/>
      </c>
      <c r="G64" s="42">
        <f>IFERROR(VLOOKUP(C64,Client_List!$B:$K,9,0),"")</f>
        <v/>
      </c>
      <c r="H64" s="18">
        <f>IFERROR(LOOKUP(2,1/((Delivery_Log!$B$4:$B$4998=VALUE(B64))*(ISNUMBER(Delivery_Log!$J$4:$J$4998))*(Delivery_Log!$J$4:$J$4998&gt;0)),Delivery_Log!$J$4:$J$4998),"")</f>
        <v/>
      </c>
      <c r="I64" s="41">
        <f>IFERROR(VLOOKUP(C64,Client_List!$B:$K,10,0),"")</f>
        <v/>
      </c>
      <c r="J64" s="19">
        <f>IFERROR(_xlfn.MAXIFS(Delivery_Log!$A$4:$A$4998,Delivery_Log!$B$4:$B$4998,VALUE(B64)),"—")</f>
        <v/>
      </c>
      <c r="K64" s="20">
        <f>IFERROR(IF(J64="—","",TODAY()-J64),"")</f>
        <v/>
      </c>
      <c r="L64" s="21">
        <f>IFERROR(IF(OR(K64="",H64=""),"",MAX(G64*0.03,G64-K64*H64)),"")</f>
        <v/>
      </c>
      <c r="M64" s="21">
        <f>IFERROR(IF(L64="","",G64-L64),"")</f>
        <v/>
      </c>
      <c r="N64" s="22">
        <f>IFERROR(IF(OR(L64="",H64=""),"",MIN(21,MAX(0,(L64-G64*$C$2)/H64))),"")</f>
        <v/>
      </c>
      <c r="O64" s="34">
        <f>TODAY()+ROUNDUP(N64,0)</f>
        <v/>
      </c>
      <c r="P64" s="32">
        <f>IFERROR(IF(N64="","—",IF(N64&lt;=$E$2,"YES","—")),"—")</f>
        <v/>
      </c>
      <c r="Q64" s="17">
        <f>COUNTIFS(Delivery_Log!$B$4:$B$5998,VALUE(B64),Delivery_Log!$A$4:$A$5998,"&gt;="&amp;$Q$2)</f>
        <v/>
      </c>
      <c r="R64" s="38" t="n"/>
    </row>
    <row r="65" ht="15" customHeight="1" s="72">
      <c r="A65" t="n">
        <v>60</v>
      </c>
      <c r="B65" s="50" t="n">
        <v>12055</v>
      </c>
      <c r="C65" s="41" t="inlineStr">
        <is>
          <t>LIT - 12055 - LITTLE O'S CENTRAL</t>
        </is>
      </c>
      <c r="D65" s="52" t="inlineStr">
        <is>
          <t>3</t>
        </is>
      </c>
      <c r="E65" s="41">
        <f>IFERROR(VLOOKUP(C65,Client_List!$B:$K,4,0)&amp;", "&amp;VLOOKUP(C65,Client_List!$B:$K,5,0)&amp;" AZ","")</f>
        <v/>
      </c>
      <c r="F65" s="38">
        <f>IFERROR(VLOOKUP(C65,Client_List!$B:$K,7,0)&amp;", "&amp;VLOOKUP(C65,Client_List!$B:$K,8,0),"")</f>
        <v/>
      </c>
      <c r="G65" s="42">
        <f>IFERROR(VLOOKUP(C65,Client_List!$B:$K,9,0),"")</f>
        <v/>
      </c>
      <c r="H65" s="18">
        <f>IFERROR(LOOKUP(2,1/((Delivery_Log!$B$4:$B$4998=VALUE(B65))*(ISNUMBER(Delivery_Log!$J$4:$J$4998))*(Delivery_Log!$J$4:$J$4998&gt;0)),Delivery_Log!$J$4:$J$4998),"")</f>
        <v/>
      </c>
      <c r="I65" s="41">
        <f>IFERROR(VLOOKUP(C65,Client_List!$B:$K,10,0),"")</f>
        <v/>
      </c>
      <c r="J65" s="19">
        <f>IFERROR(_xlfn.MAXIFS(Delivery_Log!$A$4:$A$4998,Delivery_Log!$B$4:$B$4998,VALUE(B65)),"—")</f>
        <v/>
      </c>
      <c r="K65" s="20">
        <f>IFERROR(IF(J65="—","",TODAY()-J65),"")</f>
        <v/>
      </c>
      <c r="L65" s="21">
        <f>IFERROR(IF(OR(K65="",H65=""),"",MAX(G65*0.03,G65-K65*H65)),"")</f>
        <v/>
      </c>
      <c r="M65" s="21">
        <f>IFERROR(IF(L65="","",G65-L65),"")</f>
        <v/>
      </c>
      <c r="N65" s="22">
        <f>IFERROR(IF(OR(L65="",H65=""),"",MIN(21,MAX(0,(L65-G65*$C$2)/H65))),"")</f>
        <v/>
      </c>
      <c r="O65" s="34">
        <f>TODAY()+ROUNDUP(N65,0)</f>
        <v/>
      </c>
      <c r="P65" s="32">
        <f>IFERROR(IF(N65="","—",IF(N65&lt;=$E$2,"YES","—")),"—")</f>
        <v/>
      </c>
      <c r="Q65" s="17">
        <f>COUNTIFS(Delivery_Log!$B$4:$B$5998,VALUE(B65),Delivery_Log!$A$4:$A$5998,"&gt;="&amp;$Q$2)</f>
        <v/>
      </c>
      <c r="R65" s="38" t="n"/>
    </row>
    <row r="66" ht="15" customHeight="1" s="72">
      <c r="A66" t="n">
        <v>61</v>
      </c>
      <c r="B66" s="50" t="n">
        <v>12048</v>
      </c>
      <c r="C66" s="41" t="inlineStr">
        <is>
          <t>LIV - 12048 - LIVING ROOM SCOTTSDALE</t>
        </is>
      </c>
      <c r="D66" s="52" t="inlineStr">
        <is>
          <t>4</t>
        </is>
      </c>
      <c r="E66" s="41">
        <f>IFERROR(VLOOKUP(C66,Client_List!$B:$K,4,0)&amp;", "&amp;VLOOKUP(C66,Client_List!$B:$K,5,0)&amp;" AZ","")</f>
        <v/>
      </c>
      <c r="F66" s="38">
        <f>IFERROR(VLOOKUP(C66,Client_List!$B:$K,7,0)&amp;", "&amp;VLOOKUP(C66,Client_List!$B:$K,8,0),"")</f>
        <v/>
      </c>
      <c r="G66" s="42">
        <f>IFERROR(VLOOKUP(C66,Client_List!$B:$K,9,0),"")</f>
        <v/>
      </c>
      <c r="H66" s="18">
        <f>IFERROR(LOOKUP(2,1/((Delivery_Log!$B$4:$B$4998=VALUE(B66))*(ISNUMBER(Delivery_Log!$J$4:$J$4998))*(Delivery_Log!$J$4:$J$4998&gt;0)),Delivery_Log!$J$4:$J$4998),"")</f>
        <v/>
      </c>
      <c r="I66" s="41">
        <f>IFERROR(VLOOKUP(C66,Client_List!$B:$K,10,0),"")</f>
        <v/>
      </c>
      <c r="J66" s="19">
        <f>IFERROR(_xlfn.MAXIFS(Delivery_Log!$A$4:$A$4998,Delivery_Log!$B$4:$B$4998,VALUE(B66)),"—")</f>
        <v/>
      </c>
      <c r="K66" s="20">
        <f>IFERROR(IF(J66="—","",TODAY()-J66),"")</f>
        <v/>
      </c>
      <c r="L66" s="21">
        <f>IFERROR(IF(OR(K66="",H66=""),"",MAX(G66*0.03,G66-K66*H66)),"")</f>
        <v/>
      </c>
      <c r="M66" s="21">
        <f>IFERROR(IF(L66="","",G66-L66),"")</f>
        <v/>
      </c>
      <c r="N66" s="22">
        <f>IFERROR(IF(OR(L66="",H66=""),"",MIN(21,MAX(0,(L66-G66*$C$2)/H66))),"")</f>
        <v/>
      </c>
      <c r="O66" s="34">
        <f>TODAY()+ROUNDUP(N66,0)</f>
        <v/>
      </c>
      <c r="P66" s="32">
        <f>IFERROR(IF(N66="","—",IF(N66&lt;=$E$2,"YES","—")),"—")</f>
        <v/>
      </c>
      <c r="Q66" s="17">
        <f>COUNTIFS(Delivery_Log!$B$4:$B$5998,VALUE(B66),Delivery_Log!$A$4:$A$5998,"&gt;="&amp;$Q$2)</f>
        <v/>
      </c>
      <c r="R66" s="38" t="n"/>
    </row>
    <row r="67" ht="15" customHeight="1" s="72">
      <c r="A67" t="n">
        <v>62</v>
      </c>
      <c r="B67" s="50" t="n">
        <v>12025</v>
      </c>
      <c r="C67" s="41" t="inlineStr">
        <is>
          <t>LOC - 12025 - LOCO PATRON</t>
        </is>
      </c>
      <c r="D67" s="52" t="inlineStr">
        <is>
          <t>4</t>
        </is>
      </c>
      <c r="E67" s="41">
        <f>IFERROR(VLOOKUP(C67,Client_List!$B:$K,4,0)&amp;", "&amp;VLOOKUP(C67,Client_List!$B:$K,5,0)&amp;" AZ","")</f>
        <v/>
      </c>
      <c r="F67" s="38">
        <f>IFERROR(VLOOKUP(C67,Client_List!$B:$K,7,0)&amp;", "&amp;VLOOKUP(C67,Client_List!$B:$K,8,0),"")</f>
        <v/>
      </c>
      <c r="G67" s="42">
        <f>IFERROR(VLOOKUP(C67,Client_List!$B:$K,9,0),"")</f>
        <v/>
      </c>
      <c r="H67" s="18">
        <f>IFERROR(LOOKUP(2,1/((Delivery_Log!$B$4:$B$4998=VALUE(B67))*(ISNUMBER(Delivery_Log!$J$4:$J$4998))*(Delivery_Log!$J$4:$J$4998&gt;0)),Delivery_Log!$J$4:$J$4998),"")</f>
        <v/>
      </c>
      <c r="I67" s="41">
        <f>IFERROR(VLOOKUP(C67,Client_List!$B:$K,10,0),"")</f>
        <v/>
      </c>
      <c r="J67" s="19">
        <f>IFERROR(_xlfn.MAXIFS(Delivery_Log!$A$4:$A$4998,Delivery_Log!$B$4:$B$4998,VALUE(B67)),"—")</f>
        <v/>
      </c>
      <c r="K67" s="20">
        <f>IFERROR(IF(J67="—","",TODAY()-J67),"")</f>
        <v/>
      </c>
      <c r="L67" s="21">
        <f>IFERROR(IF(OR(K67="",H67=""),"",MAX(G67*0.03,G67-K67*H67)),"")</f>
        <v/>
      </c>
      <c r="M67" s="21">
        <f>IFERROR(IF(L67="","",G67-L67),"")</f>
        <v/>
      </c>
      <c r="N67" s="22">
        <f>IFERROR(IF(OR(L67="",H67=""),"",MIN(21,MAX(0,(L67-G67*$C$2)/H67))),"")</f>
        <v/>
      </c>
      <c r="O67" s="34">
        <f>TODAY()+ROUNDUP(N67,0)</f>
        <v/>
      </c>
      <c r="P67" s="32">
        <f>IFERROR(IF(N67="","—",IF(N67&lt;=$E$2,"YES","—")),"—")</f>
        <v/>
      </c>
      <c r="Q67" s="17">
        <f>COUNTIFS(Delivery_Log!$B$4:$B$5998,VALUE(B67),Delivery_Log!$A$4:$A$5998,"&gt;="&amp;$Q$2)</f>
        <v/>
      </c>
      <c r="R67" s="38" t="n"/>
    </row>
    <row r="68" ht="15" customHeight="1" s="72">
      <c r="A68" t="n">
        <v>63</v>
      </c>
      <c r="B68" s="50" t="n">
        <v>12050</v>
      </c>
      <c r="C68" s="41" t="inlineStr">
        <is>
          <t>LON - 12050 - LONG WONG 35TH</t>
        </is>
      </c>
      <c r="D68" s="52" t="inlineStr">
        <is>
          <t>3</t>
        </is>
      </c>
      <c r="E68" s="41">
        <f>IFERROR(VLOOKUP(C68,Client_List!$B:$K,4,0)&amp;", "&amp;VLOOKUP(C68,Client_List!$B:$K,5,0)&amp;" AZ","")</f>
        <v/>
      </c>
      <c r="F68" s="38">
        <f>IFERROR(VLOOKUP(C68,Client_List!$B:$K,7,0)&amp;", "&amp;VLOOKUP(C68,Client_List!$B:$K,8,0),"")</f>
        <v/>
      </c>
      <c r="G68" s="42">
        <f>IFERROR(VLOOKUP(C68,Client_List!$B:$K,9,0),"")</f>
        <v/>
      </c>
      <c r="H68" s="18">
        <f>IFERROR(LOOKUP(2,1/((Delivery_Log!$B$4:$B$4998=VALUE(B68))*(ISNUMBER(Delivery_Log!$J$4:$J$4998))*(Delivery_Log!$J$4:$J$4998&gt;0)),Delivery_Log!$J$4:$J$4998),"")</f>
        <v/>
      </c>
      <c r="I68" s="41">
        <f>IFERROR(VLOOKUP(C68,Client_List!$B:$K,10,0),"")</f>
        <v/>
      </c>
      <c r="J68" s="19">
        <f>IFERROR(_xlfn.MAXIFS(Delivery_Log!$A$4:$A$4998,Delivery_Log!$B$4:$B$4998,VALUE(B68)),"—")</f>
        <v/>
      </c>
      <c r="K68" s="20">
        <f>IFERROR(IF(J68="—","",TODAY()-J68),"")</f>
        <v/>
      </c>
      <c r="L68" s="21">
        <f>IFERROR(IF(OR(K68="",H68=""),"",MAX(G68*0.03,G68-K68*H68)),"")</f>
        <v/>
      </c>
      <c r="M68" s="21">
        <f>IFERROR(IF(L68="","",G68-L68),"")</f>
        <v/>
      </c>
      <c r="N68" s="22">
        <f>IFERROR(IF(OR(L68="",H68=""),"",MIN(21,MAX(0,(L68-G68*$C$2)/H68))),"")</f>
        <v/>
      </c>
      <c r="O68" s="34">
        <f>TODAY()+ROUNDUP(N68,0)</f>
        <v/>
      </c>
      <c r="P68" s="33">
        <f>IFERROR(IF(N68="","—",IF(N68&lt;=$E$2,"YES","—")),"—")</f>
        <v/>
      </c>
      <c r="Q68" s="17">
        <f>COUNTIFS(Delivery_Log!$B$4:$B$5998,VALUE(B68),Delivery_Log!$A$4:$A$5998,"&gt;="&amp;$Q$2)</f>
        <v/>
      </c>
      <c r="R68" s="38" t="n"/>
    </row>
    <row r="69" ht="15" customHeight="1" s="72">
      <c r="A69" t="n">
        <v>64</v>
      </c>
      <c r="B69" s="50" t="n">
        <v>12051</v>
      </c>
      <c r="C69" s="41" t="inlineStr">
        <is>
          <t>LON - 12051 - LONG WONG LOWER BUCKEYE</t>
        </is>
      </c>
      <c r="D69" s="52" t="inlineStr">
        <is>
          <t>2</t>
        </is>
      </c>
      <c r="E69" s="41">
        <f>IFERROR(VLOOKUP(C69,Client_List!$B:$K,4,0)&amp;", "&amp;VLOOKUP(C69,Client_List!$B:$K,5,0)&amp;" AZ","")</f>
        <v/>
      </c>
      <c r="F69" s="38">
        <f>IFERROR(VLOOKUP(C69,Client_List!$B:$K,7,0)&amp;", "&amp;VLOOKUP(C69,Client_List!$B:$K,8,0),"")</f>
        <v/>
      </c>
      <c r="G69" s="42">
        <f>IFERROR(VLOOKUP(C69,Client_List!$B:$K,9,0),"")</f>
        <v/>
      </c>
      <c r="H69" s="18">
        <f>IFERROR(LOOKUP(2,1/((Delivery_Log!$B$4:$B$4998=VALUE(B69))*(ISNUMBER(Delivery_Log!$J$4:$J$4998))*(Delivery_Log!$J$4:$J$4998&gt;0)),Delivery_Log!$J$4:$J$4998),"")</f>
        <v/>
      </c>
      <c r="I69" s="41">
        <f>IFERROR(VLOOKUP(C69,Client_List!$B:$K,10,0),"")</f>
        <v/>
      </c>
      <c r="J69" s="19">
        <f>IFERROR(_xlfn.MAXIFS(Delivery_Log!$A$4:$A$4998,Delivery_Log!$B$4:$B$4998,VALUE(B69)),"—")</f>
        <v/>
      </c>
      <c r="K69" s="20">
        <f>IFERROR(IF(J69="—","",TODAY()-J69),"")</f>
        <v/>
      </c>
      <c r="L69" s="21">
        <f>IFERROR(IF(OR(K69="",H69=""),"",MAX(G69*0.03,G69-K69*H69)),"")</f>
        <v/>
      </c>
      <c r="M69" s="21">
        <f>IFERROR(IF(L69="","",G69-L69),"")</f>
        <v/>
      </c>
      <c r="N69" s="22">
        <f>IFERROR(IF(OR(L69="",H69=""),"",MIN(21,MAX(0,(L69-G69*$C$2)/H69))),"")</f>
        <v/>
      </c>
      <c r="O69" s="34">
        <f>TODAY()+ROUNDUP(N69,0)</f>
        <v/>
      </c>
      <c r="P69" s="33">
        <f>IFERROR(IF(N69="","—",IF(N69&lt;=$E$2,"YES","—")),"—")</f>
        <v/>
      </c>
      <c r="Q69" s="17">
        <f>COUNTIFS(Delivery_Log!$B$4:$B$5998,VALUE(B69),Delivery_Log!$A$4:$A$5998,"&gt;="&amp;$Q$2)</f>
        <v/>
      </c>
      <c r="R69" s="38" t="n"/>
    </row>
    <row r="70" ht="15" customHeight="1" s="72">
      <c r="A70" t="n">
        <v>65</v>
      </c>
      <c r="B70" s="50" t="n">
        <v>12009</v>
      </c>
      <c r="C70" s="41" t="inlineStr">
        <is>
          <t>LON75 - 12009 - LONG WONG 75/THOMAS</t>
        </is>
      </c>
      <c r="D70" s="52" t="inlineStr">
        <is>
          <t>2</t>
        </is>
      </c>
      <c r="E70" s="41">
        <f>IFERROR(VLOOKUP(C70,Client_List!$B:$K,4,0)&amp;", "&amp;VLOOKUP(C70,Client_List!$B:$K,5,0)&amp;" AZ","")</f>
        <v/>
      </c>
      <c r="F70" s="38">
        <f>IFERROR(VLOOKUP(C70,Client_List!$B:$K,7,0)&amp;", "&amp;VLOOKUP(C70,Client_List!$B:$K,8,0),"")</f>
        <v/>
      </c>
      <c r="G70" s="42">
        <f>IFERROR(VLOOKUP(C70,Client_List!$B:$K,9,0),"")</f>
        <v/>
      </c>
      <c r="H70" s="18">
        <f>IFERROR(LOOKUP(2,1/((Delivery_Log!$B$4:$B$4998=VALUE(B70))*(ISNUMBER(Delivery_Log!$J$4:$J$4998))*(Delivery_Log!$J$4:$J$4998&gt;0)),Delivery_Log!$J$4:$J$4998),"")</f>
        <v/>
      </c>
      <c r="I70" s="41">
        <f>IFERROR(VLOOKUP(C70,Client_List!$B:$K,10,0),"")</f>
        <v/>
      </c>
      <c r="J70" s="19">
        <f>IFERROR(_xlfn.MAXIFS(Delivery_Log!$A$4:$A$4998,Delivery_Log!$B$4:$B$4998,VALUE(B70)),"—")</f>
        <v/>
      </c>
      <c r="K70" s="20">
        <f>IFERROR(IF(J70="—","",TODAY()-J70),"")</f>
        <v/>
      </c>
      <c r="L70" s="21">
        <f>IFERROR(IF(OR(K70="",H70=""),"",MAX(G70*0.03,G70-K70*H70)),"")</f>
        <v/>
      </c>
      <c r="M70" s="21">
        <f>IFERROR(IF(L70="","",G70-L70),"")</f>
        <v/>
      </c>
      <c r="N70" s="22">
        <f>IFERROR(IF(OR(L70="",H70=""),"",MIN(21,MAX(0,(L70-G70*$C$2)/H70))),"")</f>
        <v/>
      </c>
      <c r="O70" s="34">
        <f>TODAY()+ROUNDUP(N70,0)</f>
        <v/>
      </c>
      <c r="P70" s="32">
        <f>IFERROR(IF(N70="","—",IF(N70&lt;=$E$2,"YES","—")),"—")</f>
        <v/>
      </c>
      <c r="Q70" s="17">
        <f>COUNTIFS(Delivery_Log!$B$4:$B$5998,VALUE(B70),Delivery_Log!$A$4:$A$5998,"&gt;="&amp;$Q$2)</f>
        <v/>
      </c>
      <c r="R70" s="38" t="n"/>
    </row>
    <row r="71" ht="15" customHeight="1" s="72">
      <c r="A71" t="n">
        <v>66</v>
      </c>
      <c r="B71" s="50" t="n">
        <v>13057</v>
      </c>
      <c r="C71" s="41" t="inlineStr">
        <is>
          <t>MAN - 13057 - MANUEL CHANDLER</t>
        </is>
      </c>
      <c r="D71" s="52" t="inlineStr">
        <is>
          <t>4</t>
        </is>
      </c>
      <c r="E71" s="41">
        <f>IFERROR(VLOOKUP(C71,Client_List!$B:$K,4,0)&amp;", "&amp;VLOOKUP(C71,Client_List!$B:$K,5,0)&amp;" AZ","")</f>
        <v/>
      </c>
      <c r="F71" s="38">
        <f>IFERROR(VLOOKUP(C71,Client_List!$B:$K,7,0)&amp;", "&amp;VLOOKUP(C71,Client_List!$B:$K,8,0),"")</f>
        <v/>
      </c>
      <c r="G71" s="42">
        <f>IFERROR(VLOOKUP(C71,Client_List!$B:$K,9,0),"")</f>
        <v/>
      </c>
      <c r="H71" s="18">
        <f>IFERROR(LOOKUP(2,1/((Delivery_Log!$B$4:$B$4998=VALUE(B71))*(ISNUMBER(Delivery_Log!$J$4:$J$4998))*(Delivery_Log!$J$4:$J$4998&gt;0)),Delivery_Log!$J$4:$J$4998),"")</f>
        <v/>
      </c>
      <c r="I71" s="41">
        <f>IFERROR(VLOOKUP(C71,Client_List!$B:$K,10,0),"")</f>
        <v/>
      </c>
      <c r="J71" s="19">
        <f>IFERROR(_xlfn.MAXIFS(Delivery_Log!$A$4:$A$4998,Delivery_Log!$B$4:$B$4998,VALUE(B71)),"—")</f>
        <v/>
      </c>
      <c r="K71" s="20">
        <f>IFERROR(IF(J71="—","",TODAY()-J71),"")</f>
        <v/>
      </c>
      <c r="L71" s="21">
        <f>IFERROR(IF(OR(K71="",H71=""),"",MAX(G71*0.03,G71-K71*H71)),"")</f>
        <v/>
      </c>
      <c r="M71" s="21">
        <f>IFERROR(IF(L71="","",G71-L71),"")</f>
        <v/>
      </c>
      <c r="N71" s="22">
        <f>IFERROR(IF(OR(L71="",H71=""),"",MIN(21,MAX(0,(L71-G71*$C$2)/H71))),"")</f>
        <v/>
      </c>
      <c r="O71" s="34">
        <f>TODAY()+ROUNDUP(N71,0)</f>
        <v/>
      </c>
      <c r="P71" s="32">
        <f>IFERROR(IF(N71="","—",IF(N71&lt;=$E$2,"YES","—")),"—")</f>
        <v/>
      </c>
      <c r="Q71" s="17">
        <f>COUNTIFS(Delivery_Log!$B$4:$B$5998,VALUE(B71),Delivery_Log!$A$4:$A$5998,"&gt;="&amp;$Q$2)</f>
        <v/>
      </c>
      <c r="R71" s="38" t="n"/>
    </row>
    <row r="72" ht="15" customHeight="1" s="72">
      <c r="A72" t="n">
        <v>67</v>
      </c>
      <c r="B72" s="50" t="n">
        <v>13069</v>
      </c>
      <c r="C72" s="41" t="inlineStr">
        <is>
          <t>MAN - 13069 - MANUEL SHEA</t>
        </is>
      </c>
      <c r="D72" s="52" t="inlineStr">
        <is>
          <t>3</t>
        </is>
      </c>
      <c r="E72" s="41">
        <f>IFERROR(VLOOKUP(C72,Client_List!$B:$K,4,0)&amp;", "&amp;VLOOKUP(C72,Client_List!$B:$K,5,0)&amp;" AZ","")</f>
        <v/>
      </c>
      <c r="F72" s="38">
        <f>IFERROR(VLOOKUP(C72,Client_List!$B:$K,7,0)&amp;", "&amp;VLOOKUP(C72,Client_List!$B:$K,8,0),"")</f>
        <v/>
      </c>
      <c r="G72" s="42">
        <f>IFERROR(VLOOKUP(C72,Client_List!$B:$K,9,0),"")</f>
        <v/>
      </c>
      <c r="H72" s="18">
        <f>IFERROR(LOOKUP(2,1/((Delivery_Log!$B$4:$B$4998=VALUE(B72))*(ISNUMBER(Delivery_Log!$J$4:$J$4998))*(Delivery_Log!$J$4:$J$4998&gt;0)),Delivery_Log!$J$4:$J$4998),"")</f>
        <v/>
      </c>
      <c r="I72" s="41">
        <f>IFERROR(VLOOKUP(C72,Client_List!$B:$K,10,0),"")</f>
        <v/>
      </c>
      <c r="J72" s="19">
        <f>IFERROR(_xlfn.MAXIFS(Delivery_Log!$A$4:$A$4998,Delivery_Log!$B$4:$B$4998,VALUE(B72)),"—")</f>
        <v/>
      </c>
      <c r="K72" s="20">
        <f>IFERROR(IF(J72="—","",TODAY()-J72),"")</f>
        <v/>
      </c>
      <c r="L72" s="21">
        <f>IFERROR(IF(OR(K72="",H72=""),"",MAX(G72*0.03,G72-K72*H72)),"")</f>
        <v/>
      </c>
      <c r="M72" s="21">
        <f>IFERROR(IF(L72="","",G72-L72),"")</f>
        <v/>
      </c>
      <c r="N72" s="22">
        <f>IFERROR(IF(OR(L72="",H72=""),"",MIN(21,MAX(0,(L72-G72*$C$2)/H72))),"")</f>
        <v/>
      </c>
      <c r="O72" s="34">
        <f>TODAY()+ROUNDUP(N72,0)</f>
        <v/>
      </c>
      <c r="P72" s="33">
        <f>IFERROR(IF(N72="","—",IF(N72&lt;=$E$2,"YES","—")),"—")</f>
        <v/>
      </c>
      <c r="Q72" s="17">
        <f>COUNTIFS(Delivery_Log!$B$4:$B$5998,VALUE(B72),Delivery_Log!$A$4:$A$5998,"&gt;="&amp;$Q$2)</f>
        <v/>
      </c>
      <c r="R72" s="38" t="n"/>
    </row>
    <row r="73" ht="15" customHeight="1" s="72">
      <c r="A73" t="n">
        <v>68</v>
      </c>
      <c r="B73" s="50" t="n">
        <v>13012</v>
      </c>
      <c r="C73" s="41" t="inlineStr">
        <is>
          <t>MAN1 - 13012 - MANUEL MCDOWELL</t>
        </is>
      </c>
      <c r="D73" s="52" t="inlineStr">
        <is>
          <t>1</t>
        </is>
      </c>
      <c r="E73" s="41">
        <f>IFERROR(VLOOKUP(C73,Client_List!$B:$K,4,0)&amp;", "&amp;VLOOKUP(C73,Client_List!$B:$K,5,0)&amp;" AZ","")</f>
        <v/>
      </c>
      <c r="F73" s="38">
        <f>IFERROR(VLOOKUP(C73,Client_List!$B:$K,7,0)&amp;", "&amp;VLOOKUP(C73,Client_List!$B:$K,8,0),"")</f>
        <v/>
      </c>
      <c r="G73" s="42">
        <f>IFERROR(VLOOKUP(C73,Client_List!$B:$K,9,0),"")</f>
        <v/>
      </c>
      <c r="H73" s="18">
        <f>IFERROR(LOOKUP(2,1/((Delivery_Log!$B$4:$B$4998=VALUE(B73))*(ISNUMBER(Delivery_Log!$J$4:$J$4998))*(Delivery_Log!$J$4:$J$4998&gt;0)),Delivery_Log!$J$4:$J$4998),"")</f>
        <v/>
      </c>
      <c r="I73" s="41">
        <f>IFERROR(VLOOKUP(C73,Client_List!$B:$K,10,0),"")</f>
        <v/>
      </c>
      <c r="J73" s="19">
        <f>IFERROR(_xlfn.MAXIFS(Delivery_Log!$A$4:$A$4998,Delivery_Log!$B$4:$B$4998,VALUE(B73)),"—")</f>
        <v/>
      </c>
      <c r="K73" s="20">
        <f>IFERROR(IF(J73="—","",TODAY()-J73),"")</f>
        <v/>
      </c>
      <c r="L73" s="21">
        <f>IFERROR(IF(OR(K73="",H73=""),"",MAX(G73*0.03,G73-K73*H73)),"")</f>
        <v/>
      </c>
      <c r="M73" s="21">
        <f>IFERROR(IF(L73="","",G73-L73),"")</f>
        <v/>
      </c>
      <c r="N73" s="22">
        <f>IFERROR(IF(OR(L73="",H73=""),"",MIN(21,MAX(0,(L73-G73*$C$2)/H73))),"")</f>
        <v/>
      </c>
      <c r="O73" s="34">
        <f>TODAY()+ROUNDUP(N73,0)</f>
        <v/>
      </c>
      <c r="P73" s="33">
        <f>IFERROR(IF(N73="","—",IF(N73&lt;=$E$2,"YES","—")),"—")</f>
        <v/>
      </c>
      <c r="Q73" s="17">
        <f>COUNTIFS(Delivery_Log!$B$4:$B$5998,VALUE(B73),Delivery_Log!$A$4:$A$5998,"&gt;="&amp;$Q$2)</f>
        <v/>
      </c>
      <c r="R73" s="38" t="n"/>
    </row>
    <row r="74" ht="15" customHeight="1" s="72">
      <c r="A74" t="n">
        <v>69</v>
      </c>
      <c r="B74" s="50" t="n">
        <v>13011</v>
      </c>
      <c r="C74" s="41" t="inlineStr">
        <is>
          <t>MAN3 - 13011 - MANUEL INDIAN SCHOOL</t>
        </is>
      </c>
      <c r="D74" s="52" t="inlineStr">
        <is>
          <t>3</t>
        </is>
      </c>
      <c r="E74" s="41">
        <f>IFERROR(VLOOKUP(C74,Client_List!$B:$K,4,0)&amp;", "&amp;VLOOKUP(C74,Client_List!$B:$K,5,0)&amp;" AZ","")</f>
        <v/>
      </c>
      <c r="F74" s="38">
        <f>IFERROR(VLOOKUP(C74,Client_List!$B:$K,7,0)&amp;", "&amp;VLOOKUP(C74,Client_List!$B:$K,8,0),"")</f>
        <v/>
      </c>
      <c r="G74" s="42">
        <f>IFERROR(VLOOKUP(C74,Client_List!$B:$K,9,0),"")</f>
        <v/>
      </c>
      <c r="H74" s="18">
        <f>IFERROR(LOOKUP(2,1/((Delivery_Log!$B$4:$B$4998=VALUE(B74))*(ISNUMBER(Delivery_Log!$J$4:$J$4998))*(Delivery_Log!$J$4:$J$4998&gt;0)),Delivery_Log!$J$4:$J$4998),"")</f>
        <v/>
      </c>
      <c r="I74" s="41">
        <f>IFERROR(VLOOKUP(C74,Client_List!$B:$K,10,0),"")</f>
        <v/>
      </c>
      <c r="J74" s="19">
        <f>IFERROR(_xlfn.MAXIFS(Delivery_Log!$A$4:$A$4998,Delivery_Log!$B$4:$B$4998,VALUE(B74)),"—")</f>
        <v/>
      </c>
      <c r="K74" s="20">
        <f>IFERROR(IF(J74="—","",TODAY()-J74),"")</f>
        <v/>
      </c>
      <c r="L74" s="21">
        <f>IFERROR(IF(OR(K74="",H74=""),"",MAX(G74*0.03,G74-K74*H74)),"")</f>
        <v/>
      </c>
      <c r="M74" s="21">
        <f>IFERROR(IF(L74="","",G74-L74),"")</f>
        <v/>
      </c>
      <c r="N74" s="22">
        <f>IFERROR(IF(OR(L74="",H74=""),"",MIN(21,MAX(0,(L74-G74*$C$2)/H74))),"")</f>
        <v/>
      </c>
      <c r="O74" s="34">
        <f>TODAY()+ROUNDUP(N74,0)</f>
        <v/>
      </c>
      <c r="P74" s="32">
        <f>IFERROR(IF(N74="","—",IF(N74&lt;=$E$2,"YES","—")),"—")</f>
        <v/>
      </c>
      <c r="Q74" s="17">
        <f>COUNTIFS(Delivery_Log!$B$4:$B$5998,VALUE(B74),Delivery_Log!$A$4:$A$5998,"&gt;="&amp;$Q$2)</f>
        <v/>
      </c>
      <c r="R74" s="38" t="n"/>
    </row>
    <row r="75" ht="15" customHeight="1" s="72">
      <c r="A75" t="n">
        <v>70</v>
      </c>
      <c r="B75" s="50" t="n">
        <v>13009</v>
      </c>
      <c r="C75" s="41" t="inlineStr">
        <is>
          <t>MAN6 - 13009 - MANUEL BELL</t>
        </is>
      </c>
      <c r="D75" s="52" t="inlineStr">
        <is>
          <t>3</t>
        </is>
      </c>
      <c r="E75" s="41">
        <f>IFERROR(VLOOKUP(C75,Client_List!$B:$K,4,0)&amp;", "&amp;VLOOKUP(C75,Client_List!$B:$K,5,0)&amp;" AZ","")</f>
        <v/>
      </c>
      <c r="F75" s="38">
        <f>IFERROR(VLOOKUP(C75,Client_List!$B:$K,7,0)&amp;", "&amp;VLOOKUP(C75,Client_List!$B:$K,8,0),"")</f>
        <v/>
      </c>
      <c r="G75" s="42">
        <f>IFERROR(VLOOKUP(C75,Client_List!$B:$K,9,0),"")</f>
        <v/>
      </c>
      <c r="H75" s="18">
        <f>IFERROR(LOOKUP(2,1/((Delivery_Log!$B$4:$B$4998=VALUE(B75))*(ISNUMBER(Delivery_Log!$J$4:$J$4998))*(Delivery_Log!$J$4:$J$4998&gt;0)),Delivery_Log!$J$4:$J$4998),"")</f>
        <v/>
      </c>
      <c r="I75" s="41">
        <f>IFERROR(VLOOKUP(C75,Client_List!$B:$K,10,0),"")</f>
        <v/>
      </c>
      <c r="J75" s="19">
        <f>IFERROR(_xlfn.MAXIFS(Delivery_Log!$A$4:$A$4998,Delivery_Log!$B$4:$B$4998,VALUE(B75)),"—")</f>
        <v/>
      </c>
      <c r="K75" s="20">
        <f>IFERROR(IF(J75="—","",TODAY()-J75),"")</f>
        <v/>
      </c>
      <c r="L75" s="21">
        <f>IFERROR(IF(OR(K75="",H75=""),"",MAX(G75*0.03,G75-K75*H75)),"")</f>
        <v/>
      </c>
      <c r="M75" s="21">
        <f>IFERROR(IF(L75="","",G75-L75),"")</f>
        <v/>
      </c>
      <c r="N75" s="22">
        <f>IFERROR(IF(OR(L75="",H75=""),"",MIN(21,MAX(0,(L75-G75*$C$2)/H75))),"")</f>
        <v/>
      </c>
      <c r="O75" s="34">
        <f>TODAY()+ROUNDUP(N75,0)</f>
        <v/>
      </c>
      <c r="P75" s="33">
        <f>IFERROR(IF(N75="","—",IF(N75&lt;=$E$2,"YES","—")),"—")</f>
        <v/>
      </c>
      <c r="Q75" s="17">
        <f>COUNTIFS(Delivery_Log!$B$4:$B$5998,VALUE(B75),Delivery_Log!$A$4:$A$5998,"&gt;="&amp;$Q$2)</f>
        <v/>
      </c>
      <c r="R75" s="38" t="n"/>
    </row>
    <row r="76" ht="15" customHeight="1" s="72">
      <c r="A76" t="n">
        <v>71</v>
      </c>
      <c r="B76" s="50" t="n">
        <v>13015</v>
      </c>
      <c r="C76" s="41" t="inlineStr">
        <is>
          <t>MAN7 - 13015 - MANUEL SOUTHERN</t>
        </is>
      </c>
      <c r="D76" s="52" t="inlineStr">
        <is>
          <t>4</t>
        </is>
      </c>
      <c r="E76" s="41">
        <f>IFERROR(VLOOKUP(C76,Client_List!$B:$K,4,0)&amp;", "&amp;VLOOKUP(C76,Client_List!$B:$K,5,0)&amp;" AZ","")</f>
        <v/>
      </c>
      <c r="F76" s="38">
        <f>IFERROR(VLOOKUP(C76,Client_List!$B:$K,7,0)&amp;", "&amp;VLOOKUP(C76,Client_List!$B:$K,8,0),"")</f>
        <v/>
      </c>
      <c r="G76" s="42">
        <f>IFERROR(VLOOKUP(C76,Client_List!$B:$K,9,0),"")</f>
        <v/>
      </c>
      <c r="H76" s="18">
        <f>IFERROR(LOOKUP(2,1/((Delivery_Log!$B$4:$B$4998=VALUE(B76))*(ISNUMBER(Delivery_Log!$J$4:$J$4998))*(Delivery_Log!$J$4:$J$4998&gt;0)),Delivery_Log!$J$4:$J$4998),"")</f>
        <v/>
      </c>
      <c r="I76" s="41">
        <f>IFERROR(VLOOKUP(C76,Client_List!$B:$K,10,0),"")</f>
        <v/>
      </c>
      <c r="J76" s="19">
        <f>IFERROR(_xlfn.MAXIFS(Delivery_Log!$A$4:$A$4998,Delivery_Log!$B$4:$B$4998,VALUE(B76)),"—")</f>
        <v/>
      </c>
      <c r="K76" s="20">
        <f>IFERROR(IF(J76="—","",TODAY()-J76),"")</f>
        <v/>
      </c>
      <c r="L76" s="21">
        <f>IFERROR(IF(OR(K76="",H76=""),"",MAX(G76*0.03,G76-K76*H76)),"")</f>
        <v/>
      </c>
      <c r="M76" s="21">
        <f>IFERROR(IF(L76="","",G76-L76),"")</f>
        <v/>
      </c>
      <c r="N76" s="22">
        <f>IFERROR(IF(OR(L76="",H76=""),"",MIN(21,MAX(0,(L76-G76*$C$2)/H76))),"")</f>
        <v/>
      </c>
      <c r="O76" s="34">
        <f>TODAY()+ROUNDUP(N76,0)</f>
        <v/>
      </c>
      <c r="P76" s="33">
        <f>IFERROR(IF(N76="","—",IF(N76&lt;=$E$2,"YES","—")),"—")</f>
        <v/>
      </c>
      <c r="Q76" s="17">
        <f>COUNTIFS(Delivery_Log!$B$4:$B$5998,VALUE(B76),Delivery_Log!$A$4:$A$5998,"&gt;="&amp;$Q$2)</f>
        <v/>
      </c>
      <c r="R76" s="38" t="n"/>
    </row>
    <row r="77" ht="15" customHeight="1" s="72">
      <c r="A77" t="n">
        <v>72</v>
      </c>
      <c r="B77" s="50" t="n">
        <v>13014</v>
      </c>
      <c r="C77" s="41" t="inlineStr">
        <is>
          <t>MAN9 - 13014 - MANUEL SCOTTSDALE</t>
        </is>
      </c>
      <c r="D77" s="52" t="inlineStr">
        <is>
          <t>4</t>
        </is>
      </c>
      <c r="E77" s="41">
        <f>IFERROR(VLOOKUP(C77,Client_List!$B:$K,4,0)&amp;", "&amp;VLOOKUP(C77,Client_List!$B:$K,5,0)&amp;" AZ","")</f>
        <v/>
      </c>
      <c r="F77" s="38">
        <f>IFERROR(VLOOKUP(C77,Client_List!$B:$K,7,0)&amp;", "&amp;VLOOKUP(C77,Client_List!$B:$K,8,0),"")</f>
        <v/>
      </c>
      <c r="G77" s="42">
        <f>IFERROR(VLOOKUP(C77,Client_List!$B:$K,9,0),"")</f>
        <v/>
      </c>
      <c r="H77" s="18">
        <f>IFERROR(LOOKUP(2,1/((Delivery_Log!$B$4:$B$4998=VALUE(B77))*(ISNUMBER(Delivery_Log!$J$4:$J$4998))*(Delivery_Log!$J$4:$J$4998&gt;0)),Delivery_Log!$J$4:$J$4998),"")</f>
        <v/>
      </c>
      <c r="I77" s="41">
        <f>IFERROR(VLOOKUP(C77,Client_List!$B:$K,10,0),"")</f>
        <v/>
      </c>
      <c r="J77" s="19">
        <f>IFERROR(_xlfn.MAXIFS(Delivery_Log!$A$4:$A$4998,Delivery_Log!$B$4:$B$4998,VALUE(B77)),"—")</f>
        <v/>
      </c>
      <c r="K77" s="20">
        <f>IFERROR(IF(J77="—","",TODAY()-J77),"")</f>
        <v/>
      </c>
      <c r="L77" s="21">
        <f>IFERROR(IF(OR(K77="",H77=""),"",MAX(G77*0.03,G77-K77*H77)),"")</f>
        <v/>
      </c>
      <c r="M77" s="21">
        <f>IFERROR(IF(L77="","",G77-L77),"")</f>
        <v/>
      </c>
      <c r="N77" s="22">
        <f>IFERROR(IF(OR(L77="",H77=""),"",MIN(21,MAX(0,(L77-G77*$C$2)/H77))),"")</f>
        <v/>
      </c>
      <c r="O77" s="34">
        <f>TODAY()+ROUNDUP(N77,0)</f>
        <v/>
      </c>
      <c r="P77" s="33">
        <f>IFERROR(IF(N77="","—",IF(N77&lt;=$E$2,"YES","—")),"—")</f>
        <v/>
      </c>
      <c r="Q77" s="17">
        <f>COUNTIFS(Delivery_Log!$B$4:$B$5998,VALUE(B77),Delivery_Log!$A$4:$A$5998,"&gt;="&amp;$Q$2)</f>
        <v/>
      </c>
      <c r="R77" s="38" t="n"/>
    </row>
    <row r="78" ht="15" customHeight="1" s="72">
      <c r="A78" t="n">
        <v>73</v>
      </c>
      <c r="B78" s="50" t="n">
        <v>13013</v>
      </c>
      <c r="C78" s="41" t="inlineStr">
        <is>
          <t>MANP - 13013 - MANUEL PEORIA</t>
        </is>
      </c>
      <c r="D78" s="52" t="inlineStr">
        <is>
          <t>2</t>
        </is>
      </c>
      <c r="E78" s="41">
        <f>IFERROR(VLOOKUP(C78,Client_List!$B:$K,4,0)&amp;", "&amp;VLOOKUP(C78,Client_List!$B:$K,5,0)&amp;" AZ","")</f>
        <v/>
      </c>
      <c r="F78" s="38">
        <f>IFERROR(VLOOKUP(C78,Client_List!$B:$K,7,0)&amp;", "&amp;VLOOKUP(C78,Client_List!$B:$K,8,0),"")</f>
        <v/>
      </c>
      <c r="G78" s="42">
        <f>IFERROR(VLOOKUP(C78,Client_List!$B:$K,9,0),"")</f>
        <v/>
      </c>
      <c r="H78" s="18">
        <f>IFERROR(LOOKUP(2,1/((Delivery_Log!$B$4:$B$4998=VALUE(B78))*(ISNUMBER(Delivery_Log!$J$4:$J$4998))*(Delivery_Log!$J$4:$J$4998&gt;0)),Delivery_Log!$J$4:$J$4998),"")</f>
        <v/>
      </c>
      <c r="I78" s="41">
        <f>IFERROR(VLOOKUP(C78,Client_List!$B:$K,10,0),"")</f>
        <v/>
      </c>
      <c r="J78" s="19">
        <f>IFERROR(_xlfn.MAXIFS(Delivery_Log!$A$4:$A$4998,Delivery_Log!$B$4:$B$4998,VALUE(B78)),"—")</f>
        <v/>
      </c>
      <c r="K78" s="20">
        <f>IFERROR(IF(J78="—","",TODAY()-J78),"")</f>
        <v/>
      </c>
      <c r="L78" s="21">
        <f>IFERROR(IF(OR(K78="",H78=""),"",MAX(G78*0.03,G78-K78*H78)),"")</f>
        <v/>
      </c>
      <c r="M78" s="21">
        <f>IFERROR(IF(L78="","",G78-L78),"")</f>
        <v/>
      </c>
      <c r="N78" s="22">
        <f>IFERROR(IF(OR(L78="",H78=""),"",MIN(21,MAX(0,(L78-G78*$C$2)/H78))),"")</f>
        <v/>
      </c>
      <c r="O78" s="34">
        <f>TODAY()+ROUNDUP(N78,0)</f>
        <v/>
      </c>
      <c r="P78" s="33">
        <f>IFERROR(IF(N78="","—",IF(N78&lt;=$E$2,"YES","—")),"—")</f>
        <v/>
      </c>
      <c r="Q78" s="17">
        <f>COUNTIFS(Delivery_Log!$B$4:$B$5998,VALUE(B78),Delivery_Log!$A$4:$A$5998,"&gt;="&amp;$Q$2)</f>
        <v/>
      </c>
      <c r="R78" s="38" t="n"/>
    </row>
    <row r="79" ht="15" customHeight="1" s="72">
      <c r="A79" t="n">
        <v>74</v>
      </c>
      <c r="B79" s="50" t="n">
        <v>13086</v>
      </c>
      <c r="C79" s="41" t="inlineStr">
        <is>
          <t>MAS - 13086 - MASON'S FAMOUS LOBSTER ROLLS</t>
        </is>
      </c>
      <c r="D79" s="52" t="inlineStr">
        <is>
          <t>4</t>
        </is>
      </c>
      <c r="E79" s="41">
        <f>IFERROR(VLOOKUP(C79,Client_List!$B:$K,4,0)&amp;", "&amp;VLOOKUP(C79,Client_List!$B:$K,5,0)&amp;" AZ","")</f>
        <v/>
      </c>
      <c r="F79" s="38">
        <f>IFERROR(VLOOKUP(C79,Client_List!$B:$K,7,0)&amp;", "&amp;VLOOKUP(C79,Client_List!$B:$K,8,0),"")</f>
        <v/>
      </c>
      <c r="G79" s="42">
        <f>IFERROR(VLOOKUP(C79,Client_List!$B:$K,9,0),"")</f>
        <v/>
      </c>
      <c r="H79" s="18">
        <f>IFERROR(LOOKUP(2,1/((Delivery_Log!$B$4:$B$4998=VALUE(B79))*(ISNUMBER(Delivery_Log!$J$4:$J$4998))*(Delivery_Log!$J$4:$J$4998&gt;0)),Delivery_Log!$J$4:$J$4998),"")</f>
        <v/>
      </c>
      <c r="I79" s="41">
        <f>IFERROR(VLOOKUP(C79,Client_List!$B:$K,10,0),"")</f>
        <v/>
      </c>
      <c r="J79" s="19">
        <f>IFERROR(_xlfn.MAXIFS(Delivery_Log!$A$4:$A$4998,Delivery_Log!$B$4:$B$4998,VALUE(B79)),"—")</f>
        <v/>
      </c>
      <c r="K79" s="20">
        <f>IFERROR(IF(J79="—","",TODAY()-J79),"")</f>
        <v/>
      </c>
      <c r="L79" s="21">
        <f>IFERROR(IF(OR(K79="",H79=""),"",MAX(G79*0.03,G79-K79*H79)),"")</f>
        <v/>
      </c>
      <c r="M79" s="21">
        <f>IFERROR(IF(L79="","",G79-L79),"")</f>
        <v/>
      </c>
      <c r="N79" s="22">
        <f>IFERROR(IF(OR(L79="",H79=""),"",MIN(21,MAX(0,(L79-G79*$C$2)/H79))),"")</f>
        <v/>
      </c>
      <c r="O79" s="34">
        <f>TODAY()+ROUNDUP(N79,0)</f>
        <v/>
      </c>
      <c r="P79" s="32">
        <f>IFERROR(IF(N79="","—",IF(N79&lt;=$E$2,"YES","—")),"—")</f>
        <v/>
      </c>
      <c r="Q79" s="17">
        <f>COUNTIFS(Delivery_Log!$B$4:$B$5998,VALUE(B79),Delivery_Log!$A$4:$A$5998,"&gt;="&amp;$Q$2)</f>
        <v/>
      </c>
      <c r="R79" s="38" t="n"/>
    </row>
    <row r="80" ht="15" customHeight="1" s="72">
      <c r="A80" t="n">
        <v>75</v>
      </c>
      <c r="B80" s="50" t="n">
        <v>13061</v>
      </c>
      <c r="C80" s="41" t="inlineStr">
        <is>
          <t>MTV - 13061 - MOUNTAIN VIEW PUB</t>
        </is>
      </c>
      <c r="D80" s="52" t="inlineStr">
        <is>
          <t>4</t>
        </is>
      </c>
      <c r="E80" s="41">
        <f>IFERROR(VLOOKUP(C80,Client_List!$B:$K,4,0)&amp;", "&amp;VLOOKUP(C80,Client_List!$B:$K,5,0)&amp;" AZ","")</f>
        <v/>
      </c>
      <c r="F80" s="38">
        <f>IFERROR(VLOOKUP(C80,Client_List!$B:$K,7,0)&amp;", "&amp;VLOOKUP(C80,Client_List!$B:$K,8,0),"")</f>
        <v/>
      </c>
      <c r="G80" s="42">
        <f>IFERROR(VLOOKUP(C80,Client_List!$B:$K,9,0),"")</f>
        <v/>
      </c>
      <c r="H80" s="18">
        <f>IFERROR(LOOKUP(2,1/((Delivery_Log!$B$4:$B$4998=VALUE(B80))*(ISNUMBER(Delivery_Log!$J$4:$J$4998))*(Delivery_Log!$J$4:$J$4998&gt;0)),Delivery_Log!$J$4:$J$4998),"")</f>
        <v/>
      </c>
      <c r="I80" s="41">
        <f>IFERROR(VLOOKUP(C80,Client_List!$B:$K,10,0),"")</f>
        <v/>
      </c>
      <c r="J80" s="19">
        <f>IFERROR(_xlfn.MAXIFS(Delivery_Log!$A$4:$A$4998,Delivery_Log!$B$4:$B$4998,VALUE(B80)),"—")</f>
        <v/>
      </c>
      <c r="K80" s="20">
        <f>IFERROR(IF(J80="—","",TODAY()-J80),"")</f>
        <v/>
      </c>
      <c r="L80" s="21">
        <f>IFERROR(IF(OR(K80="",H80=""),"",MAX(G80*0.03,G80-K80*H80)),"")</f>
        <v/>
      </c>
      <c r="M80" s="21">
        <f>IFERROR(IF(L80="","",G80-L80),"")</f>
        <v/>
      </c>
      <c r="N80" s="22">
        <f>IFERROR(IF(OR(L80="",H80=""),"",MIN(21,MAX(0,(L80-G80*$C$2)/H80))),"")</f>
        <v/>
      </c>
      <c r="O80" s="34">
        <f>TODAY()+ROUNDUP(N80,0)</f>
        <v/>
      </c>
      <c r="P80" s="32">
        <f>IFERROR(IF(N80="","—",IF(N80&lt;=$E$2,"YES","—")),"—")</f>
        <v/>
      </c>
      <c r="Q80" s="17">
        <f>COUNTIFS(Delivery_Log!$B$4:$B$5998,VALUE(B80),Delivery_Log!$A$4:$A$5998,"&gt;="&amp;$Q$2)</f>
        <v/>
      </c>
      <c r="R80" s="38" t="n"/>
    </row>
    <row r="81" ht="15" customHeight="1" s="72">
      <c r="A81" t="n">
        <v>76</v>
      </c>
      <c r="B81" s="50" t="n">
        <v>2021</v>
      </c>
      <c r="C81" s="41" t="inlineStr">
        <is>
          <t>MVP - 2021 - MVP SPORTS BAR &amp; GRILL</t>
        </is>
      </c>
      <c r="D81" s="52" t="inlineStr">
        <is>
          <t>4</t>
        </is>
      </c>
      <c r="E81" s="41">
        <f>IFERROR(VLOOKUP(C81,Client_List!$B:$K,4,0)&amp;", "&amp;VLOOKUP(C81,Client_List!$B:$K,5,0)&amp;" AZ","")</f>
        <v/>
      </c>
      <c r="F81" s="38">
        <f>IFERROR(VLOOKUP(C81,Client_List!$B:$K,7,0)&amp;", "&amp;VLOOKUP(C81,Client_List!$B:$K,8,0),"")</f>
        <v/>
      </c>
      <c r="G81" s="42">
        <f>IFERROR(VLOOKUP(C81,Client_List!$B:$K,9,0),"")</f>
        <v/>
      </c>
      <c r="H81" s="18">
        <f>IFERROR(LOOKUP(2,1/((Delivery_Log!$B$4:$B$4998=VALUE(B81))*(ISNUMBER(Delivery_Log!$J$4:$J$4998))*(Delivery_Log!$J$4:$J$4998&gt;0)),Delivery_Log!$J$4:$J$4998),"")</f>
        <v/>
      </c>
      <c r="I81" s="41">
        <f>IFERROR(VLOOKUP(C81,Client_List!$B:$K,10,0),"")</f>
        <v/>
      </c>
      <c r="J81" s="19">
        <f>IFERROR(_xlfn.MAXIFS(Delivery_Log!$A$4:$A$4998,Delivery_Log!$B$4:$B$4998,VALUE(B81)),"—")</f>
        <v/>
      </c>
      <c r="K81" s="20">
        <f>IFERROR(IF(J81="—","",TODAY()-J81),"")</f>
        <v/>
      </c>
      <c r="L81" s="21">
        <f>IFERROR(IF(OR(K81="",H81=""),"",MAX(G81*0.03,G81-K81*H81)),"")</f>
        <v/>
      </c>
      <c r="M81" s="21">
        <f>IFERROR(IF(L81="","",G81-L81),"")</f>
        <v/>
      </c>
      <c r="N81" s="22">
        <f>IFERROR(IF(OR(L81="",H81=""),"",MIN(21,MAX(0,(L81-G81*$C$2)/H81))),"")</f>
        <v/>
      </c>
      <c r="O81" s="34">
        <f>TODAY()+ROUNDUP(N81,0)</f>
        <v/>
      </c>
      <c r="P81" s="32">
        <f>IFERROR(IF(N81="","—",IF(N81&lt;=$E$2,"YES","—")),"—")</f>
        <v/>
      </c>
      <c r="Q81" s="17">
        <f>COUNTIFS(Delivery_Log!$B$4:$B$5998,VALUE(B81),Delivery_Log!$A$4:$A$5998,"&gt;="&amp;$Q$2)</f>
        <v/>
      </c>
      <c r="R81" s="38" t="n"/>
    </row>
    <row r="82" ht="15" customHeight="1" s="72">
      <c r="A82" t="n">
        <v>77</v>
      </c>
      <c r="B82" s="50" t="n">
        <v>14009</v>
      </c>
      <c r="C82" s="41" t="inlineStr">
        <is>
          <t>NEW - 14009 - NEW PENNY CAFE</t>
        </is>
      </c>
      <c r="D82" s="52" t="inlineStr">
        <is>
          <t>1</t>
        </is>
      </c>
      <c r="E82" s="41">
        <f>IFERROR(VLOOKUP(C82,Client_List!$B:$K,4,0)&amp;", "&amp;VLOOKUP(C82,Client_List!$B:$K,5,0)&amp;" AZ","")</f>
        <v/>
      </c>
      <c r="F82" s="38">
        <f>IFERROR(VLOOKUP(C82,Client_List!$B:$K,7,0)&amp;", "&amp;VLOOKUP(C82,Client_List!$B:$K,8,0),"")</f>
        <v/>
      </c>
      <c r="G82" s="42">
        <f>IFERROR(VLOOKUP(C82,Client_List!$B:$K,9,0),"")</f>
        <v/>
      </c>
      <c r="H82" s="18">
        <f>IFERROR(LOOKUP(2,1/((Delivery_Log!$B$4:$B$4998=VALUE(B82))*(ISNUMBER(Delivery_Log!$J$4:$J$4998))*(Delivery_Log!$J$4:$J$4998&gt;0)),Delivery_Log!$J$4:$J$4998),"")</f>
        <v/>
      </c>
      <c r="I82" s="41">
        <f>IFERROR(VLOOKUP(C82,Client_List!$B:$K,10,0),"")</f>
        <v/>
      </c>
      <c r="J82" s="19">
        <f>IFERROR(_xlfn.MAXIFS(Delivery_Log!$A$4:$A$4998,Delivery_Log!$B$4:$B$4998,VALUE(B82)),"—")</f>
        <v/>
      </c>
      <c r="K82" s="20">
        <f>IFERROR(IF(J82="—","",TODAY()-J82),"")</f>
        <v/>
      </c>
      <c r="L82" s="21">
        <f>IFERROR(IF(OR(K82="",H82=""),"",MAX(G82*0.03,G82-K82*H82)),"")</f>
        <v/>
      </c>
      <c r="M82" s="21">
        <f>IFERROR(IF(L82="","",G82-L82),"")</f>
        <v/>
      </c>
      <c r="N82" s="22">
        <f>IFERROR(IF(OR(L82="",H82=""),"",MIN(21,MAX(0,(L82-G82*$C$2)/H82))),"")</f>
        <v/>
      </c>
      <c r="O82" s="34">
        <f>TODAY()+ROUNDUP(N82,0)</f>
        <v/>
      </c>
      <c r="P82" s="32">
        <f>IFERROR(IF(N82="","—",IF(N82&lt;=$E$2,"YES","—")),"—")</f>
        <v/>
      </c>
      <c r="Q82" s="17">
        <f>COUNTIFS(Delivery_Log!$B$4:$B$5998,VALUE(B82),Delivery_Log!$A$4:$A$5998,"&gt;="&amp;$Q$2)</f>
        <v/>
      </c>
      <c r="R82" s="38" t="n"/>
    </row>
    <row r="83" ht="15" customHeight="1" s="72">
      <c r="A83" t="n">
        <v>78</v>
      </c>
      <c r="B83" s="50" t="n">
        <v>14008</v>
      </c>
      <c r="C83" s="41" t="inlineStr">
        <is>
          <t>NOU - 14008 - NOURISH KITCHEN</t>
        </is>
      </c>
      <c r="D83" s="52" t="inlineStr">
        <is>
          <t>4</t>
        </is>
      </c>
      <c r="E83" s="41">
        <f>IFERROR(VLOOKUP(C83,Client_List!$B:$K,4,0)&amp;", "&amp;VLOOKUP(C83,Client_List!$B:$K,5,0)&amp;" AZ","")</f>
        <v/>
      </c>
      <c r="F83" s="38">
        <f>IFERROR(VLOOKUP(C83,Client_List!$B:$K,7,0)&amp;", "&amp;VLOOKUP(C83,Client_List!$B:$K,8,0),"")</f>
        <v/>
      </c>
      <c r="G83" s="42">
        <f>IFERROR(VLOOKUP(C83,Client_List!$B:$K,9,0),"")</f>
        <v/>
      </c>
      <c r="H83" s="18">
        <f>IFERROR(LOOKUP(2,1/((Delivery_Log!$B$4:$B$4998=VALUE(B83))*(ISNUMBER(Delivery_Log!$J$4:$J$4998))*(Delivery_Log!$J$4:$J$4998&gt;0)),Delivery_Log!$J$4:$J$4998),"")</f>
        <v/>
      </c>
      <c r="I83" s="41">
        <f>IFERROR(VLOOKUP(C83,Client_List!$B:$K,10,0),"")</f>
        <v/>
      </c>
      <c r="J83" s="19">
        <f>IFERROR(_xlfn.MAXIFS(Delivery_Log!$A$4:$A$4998,Delivery_Log!$B$4:$B$4998,VALUE(B83)),"—")</f>
        <v/>
      </c>
      <c r="K83" s="20">
        <f>IFERROR(IF(J83="—","",TODAY()-J83),"")</f>
        <v/>
      </c>
      <c r="L83" s="21">
        <f>IFERROR(IF(OR(K83="",H83=""),"",MAX(G83*0.03,G83-K83*H83)),"")</f>
        <v/>
      </c>
      <c r="M83" s="21">
        <f>IFERROR(IF(L83="","",G83-L83),"")</f>
        <v/>
      </c>
      <c r="N83" s="22">
        <f>IFERROR(IF(OR(L83="",H83=""),"",MIN(21,MAX(0,(L83-G83*$C$2)/H83))),"")</f>
        <v/>
      </c>
      <c r="O83" s="34">
        <f>TODAY()+ROUNDUP(N83,0)</f>
        <v/>
      </c>
      <c r="P83" s="32">
        <f>IFERROR(IF(N83="","—",IF(N83&lt;=$E$2,"YES","—")),"—")</f>
        <v/>
      </c>
      <c r="Q83" s="17">
        <f>COUNTIFS(Delivery_Log!$B$4:$B$5998,VALUE(B83),Delivery_Log!$A$4:$A$5998,"&gt;="&amp;$Q$2)</f>
        <v/>
      </c>
      <c r="R83" s="38" t="n"/>
    </row>
    <row r="84" ht="15" customHeight="1" s="72">
      <c r="A84" t="n">
        <v>79</v>
      </c>
      <c r="B84" s="50" t="n">
        <v>15000</v>
      </c>
      <c r="C84" s="41" t="inlineStr">
        <is>
          <t>OHS - 15000 - OHSO INDIAN SCHOOL</t>
        </is>
      </c>
      <c r="D84" s="52" t="inlineStr">
        <is>
          <t>4</t>
        </is>
      </c>
      <c r="E84" s="41">
        <f>IFERROR(VLOOKUP(C84,Client_List!$B:$K,4,0)&amp;", "&amp;VLOOKUP(C84,Client_List!$B:$K,5,0)&amp;" AZ","")</f>
        <v/>
      </c>
      <c r="F84" s="38">
        <f>IFERROR(VLOOKUP(C84,Client_List!$B:$K,7,0)&amp;", "&amp;VLOOKUP(C84,Client_List!$B:$K,8,0),"")</f>
        <v/>
      </c>
      <c r="G84" s="42">
        <f>IFERROR(VLOOKUP(C84,Client_List!$B:$K,9,0),"")</f>
        <v/>
      </c>
      <c r="H84" s="18">
        <f>IFERROR(LOOKUP(2,1/((Delivery_Log!$B$4:$B$4998=VALUE(B84))*(ISNUMBER(Delivery_Log!$J$4:$J$4998))*(Delivery_Log!$J$4:$J$4998&gt;0)),Delivery_Log!$J$4:$J$4998),"")</f>
        <v/>
      </c>
      <c r="I84" s="41">
        <f>IFERROR(VLOOKUP(C84,Client_List!$B:$K,10,0),"")</f>
        <v/>
      </c>
      <c r="J84" s="19">
        <f>IFERROR(_xlfn.MAXIFS(Delivery_Log!$A$4:$A$4998,Delivery_Log!$B$4:$B$4998,VALUE(B84)),"—")</f>
        <v/>
      </c>
      <c r="K84" s="20">
        <f>IFERROR(IF(J84="—","",TODAY()-J84),"")</f>
        <v/>
      </c>
      <c r="L84" s="21">
        <f>IFERROR(IF(OR(K84="",H84=""),"",MAX(G84*0.03,G84-K84*H84)),"")</f>
        <v/>
      </c>
      <c r="M84" s="21">
        <f>IFERROR(IF(L84="","",G84-L84),"")</f>
        <v/>
      </c>
      <c r="N84" s="22">
        <f>IFERROR(IF(OR(L84="",H84=""),"",MIN(21,MAX(0,(L84-G84*$C$2)/H84))),"")</f>
        <v/>
      </c>
      <c r="O84" s="34">
        <f>TODAY()+ROUNDUP(N84,0)</f>
        <v/>
      </c>
      <c r="P84" s="33">
        <f>IFERROR(IF(N84="","—",IF(N84&lt;=$E$2,"YES","—")),"—")</f>
        <v/>
      </c>
      <c r="Q84" s="17">
        <f>COUNTIFS(Delivery_Log!$B$4:$B$5998,VALUE(B84),Delivery_Log!$A$4:$A$5998,"&gt;="&amp;$Q$2)</f>
        <v/>
      </c>
      <c r="R84" s="38" t="n"/>
    </row>
    <row r="85" ht="15" customHeight="1" s="72">
      <c r="A85" t="n">
        <v>80</v>
      </c>
      <c r="B85" s="50" t="n">
        <v>15035</v>
      </c>
      <c r="C85" s="41" t="inlineStr">
        <is>
          <t>OHS - 15035 - OHSO GILBERT</t>
        </is>
      </c>
      <c r="D85" s="52" t="inlineStr">
        <is>
          <t>5</t>
        </is>
      </c>
      <c r="E85" s="41">
        <f>IFERROR(VLOOKUP(C85,Client_List!$B:$K,4,0)&amp;", "&amp;VLOOKUP(C85,Client_List!$B:$K,5,0)&amp;" AZ","")</f>
        <v/>
      </c>
      <c r="F85" s="38">
        <f>IFERROR(VLOOKUP(C85,Client_List!$B:$K,7,0)&amp;", "&amp;VLOOKUP(C85,Client_List!$B:$K,8,0),"")</f>
        <v/>
      </c>
      <c r="G85" s="42">
        <f>IFERROR(VLOOKUP(C85,Client_List!$B:$K,9,0),"")</f>
        <v/>
      </c>
      <c r="H85" s="18">
        <f>IFERROR(LOOKUP(2,1/((Delivery_Log!$B$4:$B$4998=VALUE(B85))*(ISNUMBER(Delivery_Log!$J$4:$J$4998))*(Delivery_Log!$J$4:$J$4998&gt;0)),Delivery_Log!$J$4:$J$4998),"")</f>
        <v/>
      </c>
      <c r="I85" s="41">
        <f>IFERROR(VLOOKUP(C85,Client_List!$B:$K,10,0),"")</f>
        <v/>
      </c>
      <c r="J85" s="19">
        <f>IFERROR(_xlfn.MAXIFS(Delivery_Log!$A$4:$A$4998,Delivery_Log!$B$4:$B$4998,VALUE(B85)),"—")</f>
        <v/>
      </c>
      <c r="K85" s="20">
        <f>IFERROR(IF(J85="—","",TODAY()-J85),"")</f>
        <v/>
      </c>
      <c r="L85" s="21">
        <f>IFERROR(IF(OR(K85="",H85=""),"",MAX(G85*0.03,G85-K85*H85)),"")</f>
        <v/>
      </c>
      <c r="M85" s="21">
        <f>IFERROR(IF(L85="","",G85-L85),"")</f>
        <v/>
      </c>
      <c r="N85" s="22">
        <f>IFERROR(IF(OR(L85="",H85=""),"",MIN(21,MAX(0,(L85-G85*$C$2)/H85))),"")</f>
        <v/>
      </c>
      <c r="O85" s="34">
        <f>TODAY()+ROUNDUP(N85,0)</f>
        <v/>
      </c>
      <c r="P85" s="33">
        <f>IFERROR(IF(N85="","—",IF(N85&lt;=$E$2,"YES","—")),"—")</f>
        <v/>
      </c>
      <c r="Q85" s="17">
        <f>COUNTIFS(Delivery_Log!$B$4:$B$5998,VALUE(B85),Delivery_Log!$A$4:$A$5998,"&gt;="&amp;$Q$2)</f>
        <v/>
      </c>
      <c r="R85" s="38" t="n"/>
    </row>
    <row r="86" ht="15" customHeight="1" s="72">
      <c r="A86" t="n">
        <v>81</v>
      </c>
      <c r="B86" s="50" t="n">
        <v>15001</v>
      </c>
      <c r="C86" s="41" t="inlineStr">
        <is>
          <t>OHSH - 15001 - OHSO SCOTTSDALE</t>
        </is>
      </c>
      <c r="D86" s="52" t="inlineStr">
        <is>
          <t>4</t>
        </is>
      </c>
      <c r="E86" s="41">
        <f>IFERROR(VLOOKUP(C86,Client_List!$B:$K,4,0)&amp;", "&amp;VLOOKUP(C86,Client_List!$B:$K,5,0)&amp;" AZ","")</f>
        <v/>
      </c>
      <c r="F86" s="38">
        <f>IFERROR(VLOOKUP(C86,Client_List!$B:$K,7,0)&amp;", "&amp;VLOOKUP(C86,Client_List!$B:$K,8,0),"")</f>
        <v/>
      </c>
      <c r="G86" s="42">
        <f>IFERROR(VLOOKUP(C86,Client_List!$B:$K,9,0),"")</f>
        <v/>
      </c>
      <c r="H86" s="18">
        <f>IFERROR(LOOKUP(2,1/((Delivery_Log!$B$4:$B$4998=VALUE(B86))*(ISNUMBER(Delivery_Log!$J$4:$J$4998))*(Delivery_Log!$J$4:$J$4998&gt;0)),Delivery_Log!$J$4:$J$4998),"")</f>
        <v/>
      </c>
      <c r="I86" s="41">
        <f>IFERROR(VLOOKUP(C86,Client_List!$B:$K,10,0),"")</f>
        <v/>
      </c>
      <c r="J86" s="19">
        <f>IFERROR(_xlfn.MAXIFS(Delivery_Log!$A$4:$A$4998,Delivery_Log!$B$4:$B$4998,VALUE(B86)),"—")</f>
        <v/>
      </c>
      <c r="K86" s="20">
        <f>IFERROR(IF(J86="—","",TODAY()-J86),"")</f>
        <v/>
      </c>
      <c r="L86" s="21">
        <f>IFERROR(IF(OR(K86="",H86=""),"",MAX(G86*0.03,G86-K86*H86)),"")</f>
        <v/>
      </c>
      <c r="M86" s="21">
        <f>IFERROR(IF(L86="","",G86-L86),"")</f>
        <v/>
      </c>
      <c r="N86" s="22">
        <f>IFERROR(IF(OR(L86="",H86=""),"",MIN(21,MAX(0,(L86-G86*$C$2)/H86))),"")</f>
        <v/>
      </c>
      <c r="O86" s="34">
        <f>TODAY()+ROUNDUP(N86,0)</f>
        <v/>
      </c>
      <c r="P86" s="33">
        <f>IFERROR(IF(N86="","—",IF(N86&lt;=$E$2,"YES","—")),"—")</f>
        <v/>
      </c>
      <c r="Q86" s="17">
        <f>COUNTIFS(Delivery_Log!$B$4:$B$5998,VALUE(B86),Delivery_Log!$A$4:$A$5998,"&gt;="&amp;$Q$2)</f>
        <v/>
      </c>
      <c r="R86" s="38" t="n"/>
    </row>
    <row r="87" ht="15" customHeight="1" s="72">
      <c r="A87" t="n">
        <v>82</v>
      </c>
      <c r="B87" s="50" t="n">
        <v>15007</v>
      </c>
      <c r="C87" s="41" t="inlineStr">
        <is>
          <t>OHST - 15007 - OHSO TATUM</t>
        </is>
      </c>
      <c r="D87" s="52" t="inlineStr">
        <is>
          <t>4</t>
        </is>
      </c>
      <c r="E87" s="41">
        <f>IFERROR(VLOOKUP(C87,Client_List!$B:$K,4,0)&amp;", "&amp;VLOOKUP(C87,Client_List!$B:$K,5,0)&amp;" AZ","")</f>
        <v/>
      </c>
      <c r="F87" s="38">
        <f>IFERROR(VLOOKUP(C87,Client_List!$B:$K,7,0)&amp;", "&amp;VLOOKUP(C87,Client_List!$B:$K,8,0),"")</f>
        <v/>
      </c>
      <c r="G87" s="42">
        <f>IFERROR(VLOOKUP(C87,Client_List!$B:$K,9,0),"")</f>
        <v/>
      </c>
      <c r="H87" s="18">
        <f>IFERROR(LOOKUP(2,1/((Delivery_Log!$B$4:$B$4998=VALUE(B87))*(ISNUMBER(Delivery_Log!$J$4:$J$4998))*(Delivery_Log!$J$4:$J$4998&gt;0)),Delivery_Log!$J$4:$J$4998),"")</f>
        <v/>
      </c>
      <c r="I87" s="41">
        <f>IFERROR(VLOOKUP(C87,Client_List!$B:$K,10,0),"")</f>
        <v/>
      </c>
      <c r="J87" s="19">
        <f>IFERROR(_xlfn.MAXIFS(Delivery_Log!$A$4:$A$4998,Delivery_Log!$B$4:$B$4998,VALUE(B87)),"—")</f>
        <v/>
      </c>
      <c r="K87" s="20">
        <f>IFERROR(IF(J87="—","",TODAY()-J87),"")</f>
        <v/>
      </c>
      <c r="L87" s="21">
        <f>IFERROR(IF(OR(K87="",H87=""),"",MAX(G87*0.03,G87-K87*H87)),"")</f>
        <v/>
      </c>
      <c r="M87" s="21">
        <f>IFERROR(IF(L87="","",G87-L87),"")</f>
        <v/>
      </c>
      <c r="N87" s="22">
        <f>IFERROR(IF(OR(L87="",H87=""),"",MIN(21,MAX(0,(L87-G87*$C$2)/H87))),"")</f>
        <v/>
      </c>
      <c r="O87" s="34">
        <f>TODAY()+ROUNDUP(N87,0)</f>
        <v/>
      </c>
      <c r="P87" s="32">
        <f>IFERROR(IF(N87="","—",IF(N87&lt;=$E$2,"YES","—")),"—")</f>
        <v/>
      </c>
      <c r="Q87" s="17">
        <f>COUNTIFS(Delivery_Log!$B$4:$B$5998,VALUE(B87),Delivery_Log!$A$4:$A$5998,"&gt;="&amp;$Q$2)</f>
        <v/>
      </c>
      <c r="R87" s="38" t="n"/>
    </row>
    <row r="88" ht="15" customHeight="1" s="72">
      <c r="A88" t="n">
        <v>83</v>
      </c>
      <c r="B88" s="50" t="n">
        <v>15041</v>
      </c>
      <c r="C88" s="41" t="inlineStr">
        <is>
          <t>ORE - 15041 - OREGANO PIMA</t>
        </is>
      </c>
      <c r="D88" s="52" t="inlineStr">
        <is>
          <t>4</t>
        </is>
      </c>
      <c r="E88" s="41">
        <f>IFERROR(VLOOKUP(C88,Client_List!$B:$K,4,0)&amp;", "&amp;VLOOKUP(C88,Client_List!$B:$K,5,0)&amp;" AZ","")</f>
        <v/>
      </c>
      <c r="F88" s="38">
        <f>IFERROR(VLOOKUP(C88,Client_List!$B:$K,7,0)&amp;", "&amp;VLOOKUP(C88,Client_List!$B:$K,8,0),"")</f>
        <v/>
      </c>
      <c r="G88" s="42">
        <f>IFERROR(VLOOKUP(C88,Client_List!$B:$K,9,0),"")</f>
        <v/>
      </c>
      <c r="H88" s="18">
        <f>IFERROR(LOOKUP(2,1/((Delivery_Log!$B$4:$B$4998=VALUE(B88))*(ISNUMBER(Delivery_Log!$J$4:$J$4998))*(Delivery_Log!$J$4:$J$4998&gt;0)),Delivery_Log!$J$4:$J$4998),"")</f>
        <v/>
      </c>
      <c r="I88" s="41">
        <f>IFERROR(VLOOKUP(C88,Client_List!$B:$K,10,0),"")</f>
        <v/>
      </c>
      <c r="J88" s="19">
        <f>IFERROR(_xlfn.MAXIFS(Delivery_Log!$A$4:$A$4998,Delivery_Log!$B$4:$B$4998,VALUE(B88)),"—")</f>
        <v/>
      </c>
      <c r="K88" s="20">
        <f>IFERROR(IF(J88="—","",TODAY()-J88),"")</f>
        <v/>
      </c>
      <c r="L88" s="21">
        <f>IFERROR(IF(OR(K88="",H88=""),"",MAX(G88*0.03,G88-K88*H88)),"")</f>
        <v/>
      </c>
      <c r="M88" s="21">
        <f>IFERROR(IF(L88="","",G88-L88),"")</f>
        <v/>
      </c>
      <c r="N88" s="22">
        <f>IFERROR(IF(OR(L88="",H88=""),"",MIN(21,MAX(0,(L88-G88*$C$2)/H88))),"")</f>
        <v/>
      </c>
      <c r="O88" s="34">
        <f>TODAY()+ROUNDUP(N88,0)</f>
        <v/>
      </c>
      <c r="P88" s="32">
        <f>IFERROR(IF(N88="","—",IF(N88&lt;=$E$2,"YES","—")),"—")</f>
        <v/>
      </c>
      <c r="Q88" s="17">
        <f>COUNTIFS(Delivery_Log!$B$4:$B$5998,VALUE(B88),Delivery_Log!$A$4:$A$5998,"&gt;="&amp;$Q$2)</f>
        <v/>
      </c>
      <c r="R88" s="38" t="n"/>
    </row>
    <row r="89" ht="15" customHeight="1" s="72">
      <c r="A89" t="n">
        <v>84</v>
      </c>
      <c r="B89" s="50" t="n">
        <v>15003</v>
      </c>
      <c r="C89" s="41" t="inlineStr">
        <is>
          <t>OREB - 15003 - OREGANO BELL</t>
        </is>
      </c>
      <c r="D89" s="52" t="inlineStr">
        <is>
          <t>2</t>
        </is>
      </c>
      <c r="E89" s="41">
        <f>IFERROR(VLOOKUP(C89,Client_List!$B:$K,4,0)&amp;", "&amp;VLOOKUP(C89,Client_List!$B:$K,5,0)&amp;" AZ","")</f>
        <v/>
      </c>
      <c r="F89" s="38">
        <f>IFERROR(VLOOKUP(C89,Client_List!$B:$K,7,0)&amp;", "&amp;VLOOKUP(C89,Client_List!$B:$K,8,0),"")</f>
        <v/>
      </c>
      <c r="G89" s="42">
        <f>IFERROR(VLOOKUP(C89,Client_List!$B:$K,9,0),"")</f>
        <v/>
      </c>
      <c r="H89" s="18">
        <f>IFERROR(LOOKUP(2,1/((Delivery_Log!$B$4:$B$4998=VALUE(B89))*(ISNUMBER(Delivery_Log!$J$4:$J$4998))*(Delivery_Log!$J$4:$J$4998&gt;0)),Delivery_Log!$J$4:$J$4998),"")</f>
        <v/>
      </c>
      <c r="I89" s="41">
        <f>IFERROR(VLOOKUP(C89,Client_List!$B:$K,10,0),"")</f>
        <v/>
      </c>
      <c r="J89" s="19">
        <f>IFERROR(_xlfn.MAXIFS(Delivery_Log!$A$4:$A$4998,Delivery_Log!$B$4:$B$4998,VALUE(B89)),"—")</f>
        <v/>
      </c>
      <c r="K89" s="20">
        <f>IFERROR(IF(J89="—","",TODAY()-J89),"")</f>
        <v/>
      </c>
      <c r="L89" s="21">
        <f>IFERROR(IF(OR(K89="",H89=""),"",MAX(G89*0.03,G89-K89*H89)),"")</f>
        <v/>
      </c>
      <c r="M89" s="21">
        <f>IFERROR(IF(L89="","",G89-L89),"")</f>
        <v/>
      </c>
      <c r="N89" s="22">
        <f>IFERROR(IF(OR(L89="",H89=""),"",MIN(21,MAX(0,(L89-G89*$C$2)/H89))),"")</f>
        <v/>
      </c>
      <c r="O89" s="34">
        <f>TODAY()+ROUNDUP(N89,0)</f>
        <v/>
      </c>
      <c r="P89" s="32">
        <f>IFERROR(IF(N89="","—",IF(N89&lt;=$E$2,"YES","—")),"—")</f>
        <v/>
      </c>
      <c r="Q89" s="17">
        <f>COUNTIFS(Delivery_Log!$B$4:$B$5998,VALUE(B89),Delivery_Log!$A$4:$A$5998,"&gt;="&amp;$Q$2)</f>
        <v/>
      </c>
      <c r="R89" s="38" t="n"/>
    </row>
    <row r="90" ht="15" customHeight="1" s="72">
      <c r="A90" t="n">
        <v>85</v>
      </c>
      <c r="B90" s="50" t="n">
        <v>15016</v>
      </c>
      <c r="C90" s="41" t="inlineStr">
        <is>
          <t>OREB - 15016 - OREGANO SURPRISE</t>
        </is>
      </c>
      <c r="D90" s="52" t="inlineStr">
        <is>
          <t>1</t>
        </is>
      </c>
      <c r="E90" s="41">
        <f>IFERROR(VLOOKUP(C90,Client_List!$B:$K,4,0)&amp;", "&amp;VLOOKUP(C90,Client_List!$B:$K,5,0)&amp;" AZ","")</f>
        <v/>
      </c>
      <c r="F90" s="38">
        <f>IFERROR(VLOOKUP(C90,Client_List!$B:$K,7,0)&amp;", "&amp;VLOOKUP(C90,Client_List!$B:$K,8,0),"")</f>
        <v/>
      </c>
      <c r="G90" s="42">
        <f>IFERROR(VLOOKUP(C90,Client_List!$B:$K,9,0),"")</f>
        <v/>
      </c>
      <c r="H90" s="18">
        <f>IFERROR(LOOKUP(2,1/((Delivery_Log!$B$4:$B$4998=VALUE(B90))*(ISNUMBER(Delivery_Log!$J$4:$J$4998))*(Delivery_Log!$J$4:$J$4998&gt;0)),Delivery_Log!$J$4:$J$4998),"")</f>
        <v/>
      </c>
      <c r="I90" s="41">
        <f>IFERROR(VLOOKUP(C90,Client_List!$B:$K,10,0),"")</f>
        <v/>
      </c>
      <c r="J90" s="19">
        <f>IFERROR(_xlfn.MAXIFS(Delivery_Log!$A$4:$A$4998,Delivery_Log!$B$4:$B$4998,VALUE(B90)),"—")</f>
        <v/>
      </c>
      <c r="K90" s="20">
        <f>IFERROR(IF(J90="—","",TODAY()-J90),"")</f>
        <v/>
      </c>
      <c r="L90" s="21">
        <f>IFERROR(IF(OR(K90="",H90=""),"",MAX(G90*0.03,G90-K90*H90)),"")</f>
        <v/>
      </c>
      <c r="M90" s="21">
        <f>IFERROR(IF(L90="","",G90-L90),"")</f>
        <v/>
      </c>
      <c r="N90" s="22">
        <f>IFERROR(IF(OR(L90="",H90=""),"",MIN(21,MAX(0,(L90-G90*$C$2)/H90))),"")</f>
        <v/>
      </c>
      <c r="O90" s="34">
        <f>TODAY()+ROUNDUP(N90,0)</f>
        <v/>
      </c>
      <c r="P90" s="33">
        <f>IFERROR(IF(N90="","—",IF(N90&lt;=$E$2,"YES","—")),"—")</f>
        <v/>
      </c>
      <c r="Q90" s="17">
        <f>COUNTIFS(Delivery_Log!$B$4:$B$5998,VALUE(B90),Delivery_Log!$A$4:$A$5998,"&gt;="&amp;$Q$2)</f>
        <v/>
      </c>
      <c r="R90" s="38" t="n"/>
    </row>
    <row r="91" ht="15" customHeight="1" s="72">
      <c r="A91" t="n">
        <v>86</v>
      </c>
      <c r="B91" s="50" t="n">
        <v>15020</v>
      </c>
      <c r="C91" s="41" t="inlineStr">
        <is>
          <t>OREC - 15020 - OREGANO CAMELBACK</t>
        </is>
      </c>
      <c r="D91" s="52" t="inlineStr">
        <is>
          <t>3</t>
        </is>
      </c>
      <c r="E91" s="41">
        <f>IFERROR(VLOOKUP(C91,Client_List!$B:$K,4,0)&amp;", "&amp;VLOOKUP(C91,Client_List!$B:$K,5,0)&amp;" AZ","")</f>
        <v/>
      </c>
      <c r="F91" s="38">
        <f>IFERROR(VLOOKUP(C91,Client_List!$B:$K,7,0)&amp;", "&amp;VLOOKUP(C91,Client_List!$B:$K,8,0),"")</f>
        <v/>
      </c>
      <c r="G91" s="42">
        <f>IFERROR(VLOOKUP(C91,Client_List!$B:$K,9,0),"")</f>
        <v/>
      </c>
      <c r="H91" s="18">
        <f>IFERROR(LOOKUP(2,1/((Delivery_Log!$B$4:$B$4998=VALUE(B91))*(ISNUMBER(Delivery_Log!$J$4:$J$4998))*(Delivery_Log!$J$4:$J$4998&gt;0)),Delivery_Log!$J$4:$J$4998),"")</f>
        <v/>
      </c>
      <c r="I91" s="41">
        <f>IFERROR(VLOOKUP(C91,Client_List!$B:$K,10,0),"")</f>
        <v/>
      </c>
      <c r="J91" s="19">
        <f>IFERROR(_xlfn.MAXIFS(Delivery_Log!$A$4:$A$4998,Delivery_Log!$B$4:$B$4998,VALUE(B91)),"—")</f>
        <v/>
      </c>
      <c r="K91" s="20">
        <f>IFERROR(IF(J91="—","",TODAY()-J91),"")</f>
        <v/>
      </c>
      <c r="L91" s="21">
        <f>IFERROR(IF(OR(K91="",H91=""),"",MAX(G91*0.03,G91-K91*H91)),"")</f>
        <v/>
      </c>
      <c r="M91" s="21">
        <f>IFERROR(IF(L91="","",G91-L91),"")</f>
        <v/>
      </c>
      <c r="N91" s="22">
        <f>IFERROR(IF(OR(L91="",H91=""),"",MIN(21,MAX(0,(L91-G91*$C$2)/H91))),"")</f>
        <v/>
      </c>
      <c r="O91" s="34">
        <f>TODAY()+ROUNDUP(N91,0)</f>
        <v/>
      </c>
      <c r="P91" s="32">
        <f>IFERROR(IF(N91="","—",IF(N91&lt;=$E$2,"YES","—")),"—")</f>
        <v/>
      </c>
      <c r="Q91" s="17">
        <f>COUNTIFS(Delivery_Log!$B$4:$B$5998,VALUE(B91),Delivery_Log!$A$4:$A$5998,"&gt;="&amp;$Q$2)</f>
        <v/>
      </c>
      <c r="R91" s="38" t="n"/>
    </row>
    <row r="92" ht="15" customHeight="1" s="72">
      <c r="A92" t="n">
        <v>87</v>
      </c>
      <c r="B92" s="50" t="n">
        <v>15026</v>
      </c>
      <c r="C92" s="41" t="inlineStr">
        <is>
          <t>OREC - 15026 - OREGANO PARADISE VALLEY</t>
        </is>
      </c>
      <c r="D92" s="52" t="inlineStr">
        <is>
          <t>4</t>
        </is>
      </c>
      <c r="E92" s="41">
        <f>IFERROR(VLOOKUP(C92,Client_List!$B:$K,4,0)&amp;", "&amp;VLOOKUP(C92,Client_List!$B:$K,5,0)&amp;" AZ","")</f>
        <v/>
      </c>
      <c r="F92" s="38">
        <f>IFERROR(VLOOKUP(C92,Client_List!$B:$K,7,0)&amp;", "&amp;VLOOKUP(C92,Client_List!$B:$K,8,0),"")</f>
        <v/>
      </c>
      <c r="G92" s="42">
        <f>IFERROR(VLOOKUP(C92,Client_List!$B:$K,9,0),"")</f>
        <v/>
      </c>
      <c r="H92" s="18">
        <f>IFERROR(LOOKUP(2,1/((Delivery_Log!$B$4:$B$4998=VALUE(B92))*(ISNUMBER(Delivery_Log!$J$4:$J$4998))*(Delivery_Log!$J$4:$J$4998&gt;0)),Delivery_Log!$J$4:$J$4998),"")</f>
        <v/>
      </c>
      <c r="I92" s="41">
        <f>IFERROR(VLOOKUP(C92,Client_List!$B:$K,10,0),"")</f>
        <v/>
      </c>
      <c r="J92" s="19">
        <f>IFERROR(_xlfn.MAXIFS(Delivery_Log!$A$4:$A$4998,Delivery_Log!$B$4:$B$4998,VALUE(B92)),"—")</f>
        <v/>
      </c>
      <c r="K92" s="20">
        <f>IFERROR(IF(J92="—","",TODAY()-J92),"")</f>
        <v/>
      </c>
      <c r="L92" s="21">
        <f>IFERROR(IF(OR(K92="",H92=""),"",MAX(G92*0.03,G92-K92*H92)),"")</f>
        <v/>
      </c>
      <c r="M92" s="21">
        <f>IFERROR(IF(L92="","",G92-L92),"")</f>
        <v/>
      </c>
      <c r="N92" s="22">
        <f>IFERROR(IF(OR(L92="",H92=""),"",MIN(21,MAX(0,(L92-G92*$C$2)/H92))),"")</f>
        <v/>
      </c>
      <c r="O92" s="34">
        <f>TODAY()+ROUNDUP(N92,0)</f>
        <v/>
      </c>
      <c r="P92" s="32">
        <f>IFERROR(IF(N92="","—",IF(N92&lt;=$E$2,"YES","—")),"—")</f>
        <v/>
      </c>
      <c r="Q92" s="17">
        <f>COUNTIFS(Delivery_Log!$B$4:$B$5998,VALUE(B92),Delivery_Log!$A$4:$A$5998,"&gt;="&amp;$Q$2)</f>
        <v/>
      </c>
      <c r="R92" s="38" t="n"/>
    </row>
    <row r="93" ht="15" customHeight="1" s="72">
      <c r="A93" t="n">
        <v>88</v>
      </c>
      <c r="B93" s="50" t="n">
        <v>15002</v>
      </c>
      <c r="C93" s="41" t="inlineStr">
        <is>
          <t>ORECC - 15002 - OREGANO CAVE CREEK</t>
        </is>
      </c>
      <c r="D93" s="52" t="inlineStr">
        <is>
          <t>4</t>
        </is>
      </c>
      <c r="E93" s="41">
        <f>IFERROR(VLOOKUP(C93,Client_List!$B:$K,4,0)&amp;", "&amp;VLOOKUP(C93,Client_List!$B:$K,5,0)&amp;" AZ","")</f>
        <v/>
      </c>
      <c r="F93" s="38">
        <f>IFERROR(VLOOKUP(C93,Client_List!$B:$K,7,0)&amp;", "&amp;VLOOKUP(C93,Client_List!$B:$K,8,0),"")</f>
        <v/>
      </c>
      <c r="G93" s="42">
        <f>IFERROR(VLOOKUP(C93,Client_List!$B:$K,9,0),"")</f>
        <v/>
      </c>
      <c r="H93" s="18">
        <f>IFERROR(LOOKUP(2,1/((Delivery_Log!$B$4:$B$4998=VALUE(B93))*(ISNUMBER(Delivery_Log!$J$4:$J$4998))*(Delivery_Log!$J$4:$J$4998&gt;0)),Delivery_Log!$J$4:$J$4998),"")</f>
        <v/>
      </c>
      <c r="I93" s="41">
        <f>IFERROR(VLOOKUP(C93,Client_List!$B:$K,10,0),"")</f>
        <v/>
      </c>
      <c r="J93" s="19">
        <f>IFERROR(_xlfn.MAXIFS(Delivery_Log!$A$4:$A$4998,Delivery_Log!$B$4:$B$4998,VALUE(B93)),"—")</f>
        <v/>
      </c>
      <c r="K93" s="20">
        <f>IFERROR(IF(J93="—","",TODAY()-J93),"")</f>
        <v/>
      </c>
      <c r="L93" s="21">
        <f>IFERROR(IF(OR(K93="",H93=""),"",MAX(G93*0.03,G93-K93*H93)),"")</f>
        <v/>
      </c>
      <c r="M93" s="21">
        <f>IFERROR(IF(L93="","",G93-L93),"")</f>
        <v/>
      </c>
      <c r="N93" s="22">
        <f>IFERROR(IF(OR(L93="",H93=""),"",MIN(21,MAX(0,(L93-G93*$C$2)/H93))),"")</f>
        <v/>
      </c>
      <c r="O93" s="34">
        <f>TODAY()+ROUNDUP(N93,0)</f>
        <v/>
      </c>
      <c r="P93" s="32">
        <f>IFERROR(IF(N93="","—",IF(N93&lt;=$E$2,"YES","—")),"—")</f>
        <v/>
      </c>
      <c r="Q93" s="17">
        <f>COUNTIFS(Delivery_Log!$B$4:$B$5998,VALUE(B93),Delivery_Log!$A$4:$A$5998,"&gt;="&amp;$Q$2)</f>
        <v/>
      </c>
      <c r="R93" s="38" t="n"/>
    </row>
    <row r="94" ht="15" customHeight="1" s="72">
      <c r="A94" t="n">
        <v>89</v>
      </c>
      <c r="B94" s="50" t="n">
        <v>15025</v>
      </c>
      <c r="C94" s="41" t="inlineStr">
        <is>
          <t>OREE - 15025 - OREGANO ELLIOT</t>
        </is>
      </c>
      <c r="D94" s="52" t="inlineStr">
        <is>
          <t>4</t>
        </is>
      </c>
      <c r="E94" s="41">
        <f>IFERROR(VLOOKUP(C94,Client_List!$B:$K,4,0)&amp;", "&amp;VLOOKUP(C94,Client_List!$B:$K,5,0)&amp;" AZ","")</f>
        <v/>
      </c>
      <c r="F94" s="38">
        <f>IFERROR(VLOOKUP(C94,Client_List!$B:$K,7,0)&amp;", "&amp;VLOOKUP(C94,Client_List!$B:$K,8,0),"")</f>
        <v/>
      </c>
      <c r="G94" s="42">
        <f>IFERROR(VLOOKUP(C94,Client_List!$B:$K,9,0),"")</f>
        <v/>
      </c>
      <c r="H94" s="18">
        <f>IFERROR(LOOKUP(2,1/((Delivery_Log!$B$4:$B$4998=VALUE(B94))*(ISNUMBER(Delivery_Log!$J$4:$J$4998))*(Delivery_Log!$J$4:$J$4998&gt;0)),Delivery_Log!$J$4:$J$4998),"")</f>
        <v/>
      </c>
      <c r="I94" s="41">
        <f>IFERROR(VLOOKUP(C94,Client_List!$B:$K,10,0),"")</f>
        <v/>
      </c>
      <c r="J94" s="19">
        <f>IFERROR(_xlfn.MAXIFS(Delivery_Log!$A$4:$A$4998,Delivery_Log!$B$4:$B$4998,VALUE(B94)),"—")</f>
        <v/>
      </c>
      <c r="K94" s="20">
        <f>IFERROR(IF(J94="—","",TODAY()-J94),"")</f>
        <v/>
      </c>
      <c r="L94" s="21">
        <f>IFERROR(IF(OR(K94="",H94=""),"",MAX(G94*0.03,G94-K94*H94)),"")</f>
        <v/>
      </c>
      <c r="M94" s="21">
        <f>IFERROR(IF(L94="","",G94-L94),"")</f>
        <v/>
      </c>
      <c r="N94" s="22">
        <f>IFERROR(IF(OR(L94="",H94=""),"",MIN(21,MAX(0,(L94-G94*$C$2)/H94))),"")</f>
        <v/>
      </c>
      <c r="O94" s="34">
        <f>TODAY()+ROUNDUP(N94,0)</f>
        <v/>
      </c>
      <c r="P94" s="33">
        <f>IFERROR(IF(N94="","—",IF(N94&lt;=$E$2,"YES","—")),"—")</f>
        <v/>
      </c>
      <c r="Q94" s="17">
        <f>COUNTIFS(Delivery_Log!$B$4:$B$5998,VALUE(B94),Delivery_Log!$A$4:$A$5998,"&gt;="&amp;$Q$2)</f>
        <v/>
      </c>
      <c r="R94" s="38" t="n"/>
    </row>
    <row r="95" ht="15" customHeight="1" s="72">
      <c r="A95" t="n">
        <v>90</v>
      </c>
      <c r="B95" s="50" t="n">
        <v>15024</v>
      </c>
      <c r="C95" s="41" t="inlineStr">
        <is>
          <t>OREG - 15024 - OREGANO GILBERT</t>
        </is>
      </c>
      <c r="D95" s="52" t="inlineStr">
        <is>
          <t>5</t>
        </is>
      </c>
      <c r="E95" s="41">
        <f>IFERROR(VLOOKUP(C95,Client_List!$B:$K,4,0)&amp;", "&amp;VLOOKUP(C95,Client_List!$B:$K,5,0)&amp;" AZ","")</f>
        <v/>
      </c>
      <c r="F95" s="38">
        <f>IFERROR(VLOOKUP(C95,Client_List!$B:$K,7,0)&amp;", "&amp;VLOOKUP(C95,Client_List!$B:$K,8,0),"")</f>
        <v/>
      </c>
      <c r="G95" s="42">
        <f>IFERROR(VLOOKUP(C95,Client_List!$B:$K,9,0),"")</f>
        <v/>
      </c>
      <c r="H95" s="18">
        <f>IFERROR(LOOKUP(2,1/((Delivery_Log!$B$4:$B$4998=VALUE(B95))*(ISNUMBER(Delivery_Log!$J$4:$J$4998))*(Delivery_Log!$J$4:$J$4998&gt;0)),Delivery_Log!$J$4:$J$4998),"")</f>
        <v/>
      </c>
      <c r="I95" s="41">
        <f>IFERROR(VLOOKUP(C95,Client_List!$B:$K,10,0),"")</f>
        <v/>
      </c>
      <c r="J95" s="19">
        <f>IFERROR(_xlfn.MAXIFS(Delivery_Log!$A$4:$A$4998,Delivery_Log!$B$4:$B$4998,VALUE(B95)),"—")</f>
        <v/>
      </c>
      <c r="K95" s="20">
        <f>IFERROR(IF(J95="—","",TODAY()-J95),"")</f>
        <v/>
      </c>
      <c r="L95" s="21">
        <f>IFERROR(IF(OR(K95="",H95=""),"",MAX(G95*0.03,G95-K95*H95)),"")</f>
        <v/>
      </c>
      <c r="M95" s="21">
        <f>IFERROR(IF(L95="","",G95-L95),"")</f>
        <v/>
      </c>
      <c r="N95" s="22">
        <f>IFERROR(IF(OR(L95="",H95=""),"",MIN(21,MAX(0,(L95-G95*$C$2)/H95))),"")</f>
        <v/>
      </c>
      <c r="O95" s="34">
        <f>TODAY()+ROUNDUP(N95,0)</f>
        <v/>
      </c>
      <c r="P95" s="33">
        <f>IFERROR(IF(N95="","—",IF(N95&lt;=$E$2,"YES","—")),"—")</f>
        <v/>
      </c>
      <c r="Q95" s="17">
        <f>COUNTIFS(Delivery_Log!$B$4:$B$5998,VALUE(B95),Delivery_Log!$A$4:$A$5998,"&gt;="&amp;$Q$2)</f>
        <v/>
      </c>
      <c r="R95" s="38" t="n"/>
    </row>
    <row r="96" ht="15" customHeight="1" s="72">
      <c r="A96" t="n">
        <v>91</v>
      </c>
      <c r="B96" s="50" t="n">
        <v>15027</v>
      </c>
      <c r="C96" s="41" t="inlineStr">
        <is>
          <t>OREG - 15027 - OREGANO CHANDLER</t>
        </is>
      </c>
      <c r="D96" s="52" t="inlineStr">
        <is>
          <t>4</t>
        </is>
      </c>
      <c r="E96" s="41">
        <f>IFERROR(VLOOKUP(C96,Client_List!$B:$K,4,0)&amp;", "&amp;VLOOKUP(C96,Client_List!$B:$K,5,0)&amp;" AZ","")</f>
        <v/>
      </c>
      <c r="F96" s="38">
        <f>IFERROR(VLOOKUP(C96,Client_List!$B:$K,7,0)&amp;", "&amp;VLOOKUP(C96,Client_List!$B:$K,8,0),"")</f>
        <v/>
      </c>
      <c r="G96" s="42">
        <f>IFERROR(VLOOKUP(C96,Client_List!$B:$K,9,0),"")</f>
        <v/>
      </c>
      <c r="H96" s="18">
        <f>IFERROR(LOOKUP(2,1/((Delivery_Log!$B$4:$B$4998=VALUE(B96))*(ISNUMBER(Delivery_Log!$J$4:$J$4998))*(Delivery_Log!$J$4:$J$4998&gt;0)),Delivery_Log!$J$4:$J$4998),"")</f>
        <v/>
      </c>
      <c r="I96" s="41">
        <f>IFERROR(VLOOKUP(C96,Client_List!$B:$K,10,0),"")</f>
        <v/>
      </c>
      <c r="J96" s="19">
        <f>IFERROR(_xlfn.MAXIFS(Delivery_Log!$A$4:$A$4998,Delivery_Log!$B$4:$B$4998,VALUE(B96)),"—")</f>
        <v/>
      </c>
      <c r="K96" s="20">
        <f>IFERROR(IF(J96="—","",TODAY()-J96),"")</f>
        <v/>
      </c>
      <c r="L96" s="21">
        <f>IFERROR(IF(OR(K96="",H96=""),"",MAX(G96*0.03,G96-K96*H96)),"")</f>
        <v/>
      </c>
      <c r="M96" s="21">
        <f>IFERROR(IF(L96="","",G96-L96),"")</f>
        <v/>
      </c>
      <c r="N96" s="22">
        <f>IFERROR(IF(OR(L96="",H96=""),"",MIN(21,MAX(0,(L96-G96*$C$2)/H96))),"")</f>
        <v/>
      </c>
      <c r="O96" s="34">
        <f>TODAY()+ROUNDUP(N96,0)</f>
        <v/>
      </c>
      <c r="P96" s="33">
        <f>IFERROR(IF(N96="","—",IF(N96&lt;=$E$2,"YES","—")),"—")</f>
        <v/>
      </c>
      <c r="Q96" s="17">
        <f>COUNTIFS(Delivery_Log!$B$4:$B$5998,VALUE(B96),Delivery_Log!$A$4:$A$5998,"&gt;="&amp;$Q$2)</f>
        <v/>
      </c>
      <c r="R96" s="38" t="n"/>
    </row>
    <row r="97" ht="15" customHeight="1" s="72">
      <c r="A97" t="n">
        <v>92</v>
      </c>
      <c r="B97" s="50" t="n"/>
      <c r="C97" s="41" t="inlineStr">
        <is>
          <t>OREGANO CORP</t>
        </is>
      </c>
      <c r="D97" s="52" t="inlineStr">
        <is>
          <t>4</t>
        </is>
      </c>
      <c r="E97" s="41">
        <f>IFERROR(VLOOKUP(C97,Client_List!$B:$K,4,0)&amp;", "&amp;VLOOKUP(C97,Client_List!$B:$K,5,0)&amp;" AZ","")</f>
        <v/>
      </c>
      <c r="F97" s="38">
        <f>IFERROR(VLOOKUP(C97,Client_List!$B:$K,7,0)&amp;", "&amp;VLOOKUP(C97,Client_List!$B:$K,8,0),"")</f>
        <v/>
      </c>
      <c r="G97" s="42">
        <f>IFERROR(VLOOKUP(C97,Client_List!$B:$K,9,0),"")</f>
        <v/>
      </c>
      <c r="H97" s="18">
        <f>IFERROR(LOOKUP(2,1/((Delivery_Log!$B$4:$B$4998=VALUE(B97))*(Delivery_Log!$J$4:$J$4998&gt;0)),Delivery_Log!$J$4:$J$4998),"")</f>
        <v/>
      </c>
      <c r="I97" s="41">
        <f>IFERROR(VLOOKUP(C97,Client_List!$B:$K,10,0),"")</f>
        <v/>
      </c>
      <c r="J97" s="19">
        <f>IFERROR(_xlfn.MAXIFS(Delivery_Log!$A$4:$A$4998,Delivery_Log!$B$4:$B$4998,C97),"—")</f>
        <v/>
      </c>
      <c r="K97" s="20">
        <f>IFERROR(IF(J97="—","",TODAY()-J97),"")</f>
        <v/>
      </c>
      <c r="L97" s="21">
        <f>IFERROR(IF(OR(K97="",H97=""),"",MAX(G97*0.03,G97-K97*H97)),"")</f>
        <v/>
      </c>
      <c r="M97" s="21">
        <f>IFERROR(IF(L97="","",G97-L97),"")</f>
        <v/>
      </c>
      <c r="N97" s="22">
        <f>IFERROR(IF(OR(L97="",H97=""),"",MIN(21,MAX(0,(L97-G97*$C$2)/H97))),"")</f>
        <v/>
      </c>
      <c r="O97" s="34">
        <f>TODAY()+ROUNDUP(N97,0)</f>
        <v/>
      </c>
      <c r="P97" s="32">
        <f>IFERROR(IF(N97="","—",IF(N97&lt;=$E$2,"YES","—")),"—")</f>
        <v/>
      </c>
      <c r="Q97" s="17">
        <f>COUNTIFS(Delivery_Log!$B$4:$B$5998,"="&amp;C97,Delivery_Log!$A$4:$A$5998,"&gt;="&amp;$Q$2)</f>
        <v/>
      </c>
      <c r="R97" s="38" t="n"/>
    </row>
    <row r="98" ht="15" customHeight="1" s="72">
      <c r="A98" t="n">
        <v>93</v>
      </c>
      <c r="B98" s="50" t="n">
        <v>15005</v>
      </c>
      <c r="C98" s="41" t="inlineStr">
        <is>
          <t>OREM - 15005 - OREGANO GOODYEAR</t>
        </is>
      </c>
      <c r="D98" s="52" t="inlineStr">
        <is>
          <t>1</t>
        </is>
      </c>
      <c r="E98" s="41">
        <f>IFERROR(VLOOKUP(C98,Client_List!$B:$K,4,0)&amp;", "&amp;VLOOKUP(C98,Client_List!$B:$K,5,0)&amp;" AZ","")</f>
        <v/>
      </c>
      <c r="F98" s="38">
        <f>IFERROR(VLOOKUP(C98,Client_List!$B:$K,7,0)&amp;", "&amp;VLOOKUP(C98,Client_List!$B:$K,8,0),"")</f>
        <v/>
      </c>
      <c r="G98" s="42">
        <f>IFERROR(VLOOKUP(C98,Client_List!$B:$K,9,0),"")</f>
        <v/>
      </c>
      <c r="H98" s="18">
        <f>IFERROR(LOOKUP(2,1/((Delivery_Log!$B$4:$B$4998=VALUE(B98))*(ISNUMBER(Delivery_Log!$J$4:$J$4998))*(Delivery_Log!$J$4:$J$4998&gt;0)),Delivery_Log!$J$4:$J$4998),"")</f>
        <v/>
      </c>
      <c r="I98" s="41">
        <f>IFERROR(VLOOKUP(C98,Client_List!$B:$K,10,0),"")</f>
        <v/>
      </c>
      <c r="J98" s="19">
        <f>IFERROR(_xlfn.MAXIFS(Delivery_Log!$A$4:$A$4998,Delivery_Log!$B$4:$B$4998,VALUE(B98)),"—")</f>
        <v/>
      </c>
      <c r="K98" s="20">
        <f>IFERROR(IF(J98="—","",TODAY()-J98),"")</f>
        <v/>
      </c>
      <c r="L98" s="21">
        <f>IFERROR(IF(OR(K98="",H98=""),"",MAX(G98*0.03,G98-K98*H98)),"")</f>
        <v/>
      </c>
      <c r="M98" s="21">
        <f>IFERROR(IF(L98="","",G98-L98),"")</f>
        <v/>
      </c>
      <c r="N98" s="22">
        <f>IFERROR(IF(OR(L98="",H98=""),"",MIN(21,MAX(0,(L98-G98*$C$2)/H98))),"")</f>
        <v/>
      </c>
      <c r="O98" s="34">
        <f>TODAY()+ROUNDUP(N98,0)</f>
        <v/>
      </c>
      <c r="P98" s="33">
        <f>IFERROR(IF(N98="","—",IF(N98&lt;=$E$2,"YES","—")),"—")</f>
        <v/>
      </c>
      <c r="Q98" s="17">
        <f>COUNTIFS(Delivery_Log!$B$4:$B$5998,VALUE(B98),Delivery_Log!$A$4:$A$5998,"&gt;="&amp;$Q$2)</f>
        <v/>
      </c>
      <c r="R98" s="38" t="n"/>
    </row>
    <row r="99" ht="15" customHeight="1" s="72">
      <c r="A99" t="n">
        <v>94</v>
      </c>
      <c r="B99" s="50" t="n">
        <v>15009</v>
      </c>
      <c r="C99" s="41" t="inlineStr">
        <is>
          <t>OREM - 15009 - OREGANO QUEEN CREEK</t>
        </is>
      </c>
      <c r="D99" s="52" t="inlineStr">
        <is>
          <t>5</t>
        </is>
      </c>
      <c r="E99" s="41">
        <f>IFERROR(VLOOKUP(C99,Client_List!$B:$K,4,0)&amp;", "&amp;VLOOKUP(C99,Client_List!$B:$K,5,0)&amp;" AZ","")</f>
        <v/>
      </c>
      <c r="F99" s="38">
        <f>IFERROR(VLOOKUP(C99,Client_List!$B:$K,7,0)&amp;", "&amp;VLOOKUP(C99,Client_List!$B:$K,8,0),"")</f>
        <v/>
      </c>
      <c r="G99" s="42">
        <f>IFERROR(VLOOKUP(C99,Client_List!$B:$K,9,0),"")</f>
        <v/>
      </c>
      <c r="H99" s="18">
        <f>IFERROR(LOOKUP(2,1/((Delivery_Log!$B$4:$B$4998=VALUE(B99))*(ISNUMBER(Delivery_Log!$J$4:$J$4998))*(Delivery_Log!$J$4:$J$4998&gt;0)),Delivery_Log!$J$4:$J$4998),"")</f>
        <v/>
      </c>
      <c r="I99" s="41">
        <f>IFERROR(VLOOKUP(C99,Client_List!$B:$K,10,0),"")</f>
        <v/>
      </c>
      <c r="J99" s="19">
        <f>IFERROR(_xlfn.MAXIFS(Delivery_Log!$A$4:$A$4998,Delivery_Log!$B$4:$B$4998,VALUE(B99)),"—")</f>
        <v/>
      </c>
      <c r="K99" s="20">
        <f>IFERROR(IF(J99="—","",TODAY()-J99),"")</f>
        <v/>
      </c>
      <c r="L99" s="21">
        <f>IFERROR(IF(OR(K99="",H99=""),"",MAX(G99*0.03,G99-K99*H99)),"")</f>
        <v/>
      </c>
      <c r="M99" s="21">
        <f>IFERROR(IF(L99="","",G99-L99),"")</f>
        <v/>
      </c>
      <c r="N99" s="22">
        <f>IFERROR(IF(OR(L99="",H99=""),"",MIN(21,MAX(0,(L99-G99*$C$2)/H99))),"")</f>
        <v/>
      </c>
      <c r="O99" s="34">
        <f>TODAY()+ROUNDUP(N99,0)</f>
        <v/>
      </c>
      <c r="P99" s="33">
        <f>IFERROR(IF(N99="","—",IF(N99&lt;=$E$2,"YES","—")),"—")</f>
        <v/>
      </c>
      <c r="Q99" s="17">
        <f>COUNTIFS(Delivery_Log!$B$4:$B$5998,VALUE(B99),Delivery_Log!$A$4:$A$5998,"&gt;="&amp;$Q$2)</f>
        <v/>
      </c>
      <c r="R99" s="38" t="n"/>
    </row>
    <row r="100" ht="15" customHeight="1" s="72">
      <c r="A100" t="n">
        <v>95</v>
      </c>
      <c r="B100" s="50" t="n">
        <v>15023</v>
      </c>
      <c r="C100" s="41" t="inlineStr">
        <is>
          <t>OREM - 15023 - OREGANO MESA</t>
        </is>
      </c>
      <c r="D100" s="52" t="inlineStr">
        <is>
          <t>4</t>
        </is>
      </c>
      <c r="E100" s="41">
        <f>IFERROR(VLOOKUP(C100,Client_List!$B:$K,4,0)&amp;", "&amp;VLOOKUP(C100,Client_List!$B:$K,5,0)&amp;" AZ","")</f>
        <v/>
      </c>
      <c r="F100" s="38">
        <f>IFERROR(VLOOKUP(C100,Client_List!$B:$K,7,0)&amp;", "&amp;VLOOKUP(C100,Client_List!$B:$K,8,0),"")</f>
        <v/>
      </c>
      <c r="G100" s="42">
        <f>IFERROR(VLOOKUP(C100,Client_List!$B:$K,9,0),"")</f>
        <v/>
      </c>
      <c r="H100" s="18">
        <f>IFERROR(LOOKUP(2,1/((Delivery_Log!$B$4:$B$4998=VALUE(B100))*(ISNUMBER(Delivery_Log!$J$4:$J$4998))*(Delivery_Log!$J$4:$J$4998&gt;0)),Delivery_Log!$J$4:$J$4998),"")</f>
        <v/>
      </c>
      <c r="I100" s="41">
        <f>IFERROR(VLOOKUP(C100,Client_List!$B:$K,10,0),"")</f>
        <v/>
      </c>
      <c r="J100" s="19">
        <f>IFERROR(_xlfn.MAXIFS(Delivery_Log!$A$4:$A$4998,Delivery_Log!$B$4:$B$4998,VALUE(B100)),"—")</f>
        <v/>
      </c>
      <c r="K100" s="20">
        <f>IFERROR(IF(J100="—","",TODAY()-J100),"")</f>
        <v/>
      </c>
      <c r="L100" s="21">
        <f>IFERROR(IF(OR(K100="",H100=""),"",MAX(G100*0.03,G100-K100*H100)),"")</f>
        <v/>
      </c>
      <c r="M100" s="21">
        <f>IFERROR(IF(L100="","",G100-L100),"")</f>
        <v/>
      </c>
      <c r="N100" s="22">
        <f>IFERROR(IF(OR(L100="",H100=""),"",MIN(21,MAX(0,(L100-G100*$C$2)/H100))),"")</f>
        <v/>
      </c>
      <c r="O100" s="34">
        <f>TODAY()+ROUNDUP(N100,0)</f>
        <v/>
      </c>
      <c r="P100" s="32">
        <f>IFERROR(IF(N100="","—",IF(N100&lt;=$E$2,"YES","—")),"—")</f>
        <v/>
      </c>
      <c r="Q100" s="17">
        <f>COUNTIFS(Delivery_Log!$B$4:$B$5998,VALUE(B100),Delivery_Log!$A$4:$A$5998,"&gt;="&amp;$Q$2)</f>
        <v/>
      </c>
      <c r="R100" s="38" t="n"/>
    </row>
    <row r="101" ht="15" customHeight="1" s="72">
      <c r="A101" t="n">
        <v>96</v>
      </c>
      <c r="B101" s="50" t="n">
        <v>15015</v>
      </c>
      <c r="C101" s="41" t="inlineStr">
        <is>
          <t>ORES - 15015 - OREGANO SUPERSTITION</t>
        </is>
      </c>
      <c r="D101" s="52" t="inlineStr">
        <is>
          <t>5</t>
        </is>
      </c>
      <c r="E101" s="41">
        <f>IFERROR(VLOOKUP(C101,Client_List!$B:$K,4,0)&amp;", "&amp;VLOOKUP(C101,Client_List!$B:$K,5,0)&amp;" AZ","")</f>
        <v/>
      </c>
      <c r="F101" s="38">
        <f>IFERROR(VLOOKUP(C101,Client_List!$B:$K,7,0)&amp;", "&amp;VLOOKUP(C101,Client_List!$B:$K,8,0),"")</f>
        <v/>
      </c>
      <c r="G101" s="42">
        <f>IFERROR(VLOOKUP(C101,Client_List!$B:$K,9,0),"")</f>
        <v/>
      </c>
      <c r="H101" s="18">
        <f>IFERROR(LOOKUP(2,1/((Delivery_Log!$B$4:$B$4998=VALUE(B101))*(ISNUMBER(Delivery_Log!$J$4:$J$4998))*(Delivery_Log!$J$4:$J$4998&gt;0)),Delivery_Log!$J$4:$J$4998),"")</f>
        <v/>
      </c>
      <c r="I101" s="41">
        <f>IFERROR(VLOOKUP(C101,Client_List!$B:$K,10,0),"")</f>
        <v/>
      </c>
      <c r="J101" s="19">
        <f>IFERROR(_xlfn.MAXIFS(Delivery_Log!$A$4:$A$4998,Delivery_Log!$B$4:$B$4998,VALUE(B101)),"—")</f>
        <v/>
      </c>
      <c r="K101" s="20">
        <f>IFERROR(IF(J101="—","",TODAY()-J101),"")</f>
        <v/>
      </c>
      <c r="L101" s="21">
        <f>IFERROR(IF(OR(K101="",H101=""),"",MAX(G101*0.03,G101-K101*H101)),"")</f>
        <v/>
      </c>
      <c r="M101" s="21">
        <f>IFERROR(IF(L101="","",G101-L101),"")</f>
        <v/>
      </c>
      <c r="N101" s="22">
        <f>IFERROR(IF(OR(L101="",H101=""),"",MIN(21,MAX(0,(L101-G101*$C$2)/H101))),"")</f>
        <v/>
      </c>
      <c r="O101" s="34">
        <f>TODAY()+ROUNDUP(N101,0)</f>
        <v/>
      </c>
      <c r="P101" s="33">
        <f>IFERROR(IF(N101="","—",IF(N101&lt;=$E$2,"YES","—")),"—")</f>
        <v/>
      </c>
      <c r="Q101" s="17">
        <f>COUNTIFS(Delivery_Log!$B$4:$B$5998,VALUE(B101),Delivery_Log!$A$4:$A$5998,"&gt;="&amp;$Q$2)</f>
        <v/>
      </c>
      <c r="R101" s="38" t="n"/>
    </row>
    <row r="102" ht="15" customHeight="1" s="72">
      <c r="A102" t="n">
        <v>97</v>
      </c>
      <c r="B102" s="50" t="n">
        <v>15018</v>
      </c>
      <c r="C102" s="41" t="inlineStr">
        <is>
          <t>ORES - 15018 - OREGANO SCOTTSDALE</t>
        </is>
      </c>
      <c r="D102" s="52" t="inlineStr">
        <is>
          <t>4</t>
        </is>
      </c>
      <c r="E102" s="41">
        <f>IFERROR(VLOOKUP(C102,Client_List!$B:$K,4,0)&amp;", "&amp;VLOOKUP(C102,Client_List!$B:$K,5,0)&amp;" AZ","")</f>
        <v/>
      </c>
      <c r="F102" s="38">
        <f>IFERROR(VLOOKUP(C102,Client_List!$B:$K,7,0)&amp;", "&amp;VLOOKUP(C102,Client_List!$B:$K,8,0),"")</f>
        <v/>
      </c>
      <c r="G102" s="42">
        <f>IFERROR(VLOOKUP(C102,Client_List!$B:$K,9,0),"")</f>
        <v/>
      </c>
      <c r="H102" s="18">
        <f>IFERROR(LOOKUP(2,1/((Delivery_Log!$B$4:$B$4998=VALUE(B102))*(ISNUMBER(Delivery_Log!$J$4:$J$4998))*(Delivery_Log!$J$4:$J$4998&gt;0)),Delivery_Log!$J$4:$J$4998),"")</f>
        <v/>
      </c>
      <c r="I102" s="41">
        <f>IFERROR(VLOOKUP(C102,Client_List!$B:$K,10,0),"")</f>
        <v/>
      </c>
      <c r="J102" s="19">
        <f>IFERROR(_xlfn.MAXIFS(Delivery_Log!$A$4:$A$4998,Delivery_Log!$B$4:$B$4998,VALUE(B102)),"—")</f>
        <v/>
      </c>
      <c r="K102" s="20">
        <f>IFERROR(IF(J102="—","",TODAY()-J102),"")</f>
        <v/>
      </c>
      <c r="L102" s="21">
        <f>IFERROR(IF(OR(K102="",H102=""),"",MAX(G102*0.03,G102-K102*H102)),"")</f>
        <v/>
      </c>
      <c r="M102" s="21">
        <f>IFERROR(IF(L102="","",G102-L102),"")</f>
        <v/>
      </c>
      <c r="N102" s="22">
        <f>IFERROR(IF(OR(L102="",H102=""),"",MIN(21,MAX(0,(L102-G102*$C$2)/H102))),"")</f>
        <v/>
      </c>
      <c r="O102" s="34">
        <f>TODAY()+ROUNDUP(N102,0)</f>
        <v/>
      </c>
      <c r="P102" s="32">
        <f>IFERROR(IF(N102="","—",IF(N102&lt;=$E$2,"YES","—")),"—")</f>
        <v/>
      </c>
      <c r="Q102" s="17">
        <f>COUNTIFS(Delivery_Log!$B$4:$B$5998,VALUE(B102),Delivery_Log!$A$4:$A$5998,"&gt;="&amp;$Q$2)</f>
        <v/>
      </c>
      <c r="R102" s="38" t="n"/>
    </row>
    <row r="103" ht="15" customHeight="1" s="72">
      <c r="A103" t="n">
        <v>98</v>
      </c>
      <c r="B103" s="50" t="n">
        <v>15051</v>
      </c>
      <c r="C103" s="41" t="inlineStr">
        <is>
          <t>ORI - 15051 - ORIGEN GILBERT LLC</t>
        </is>
      </c>
      <c r="D103" s="52" t="inlineStr">
        <is>
          <t>5</t>
        </is>
      </c>
      <c r="E103" s="41">
        <f>IFERROR(VLOOKUP(C103,Client_List!$B:$K,4,0)&amp;", "&amp;VLOOKUP(C103,Client_List!$B:$K,5,0)&amp;" AZ","")</f>
        <v/>
      </c>
      <c r="F103" s="38">
        <f>IFERROR(VLOOKUP(C103,Client_List!$B:$K,7,0)&amp;", "&amp;VLOOKUP(C103,Client_List!$B:$K,8,0),"")</f>
        <v/>
      </c>
      <c r="G103" s="42">
        <f>IFERROR(VLOOKUP(C103,Client_List!$B:$K,9,0),"")</f>
        <v/>
      </c>
      <c r="H103" s="18">
        <f>IFERROR(LOOKUP(2,1/((Delivery_Log!$B$4:$B$4998=VALUE(B103))*(ISNUMBER(Delivery_Log!$J$4:$J$4998))*(Delivery_Log!$J$4:$J$4998&gt;0)),Delivery_Log!$J$4:$J$4998),"")</f>
        <v/>
      </c>
      <c r="I103" s="41">
        <f>IFERROR(VLOOKUP(C103,Client_List!$B:$K,10,0),"")</f>
        <v/>
      </c>
      <c r="J103" s="19">
        <f>IFERROR(_xlfn.MAXIFS(Delivery_Log!$A$4:$A$4998,Delivery_Log!$B$4:$B$4998,VALUE(B103)),"—")</f>
        <v/>
      </c>
      <c r="K103" s="20">
        <f>IFERROR(IF(J103="—","",TODAY()-J103),"")</f>
        <v/>
      </c>
      <c r="L103" s="21">
        <f>IFERROR(IF(OR(K103="",H103=""),"",MAX(G103*0.03,G103-K103*H103)),"")</f>
        <v/>
      </c>
      <c r="M103" s="21">
        <f>IFERROR(IF(L103="","",G103-L103),"")</f>
        <v/>
      </c>
      <c r="N103" s="22">
        <f>IFERROR(IF(OR(L103="",H103=""),"",MIN(21,MAX(0,(L103-G103*$C$2)/H103))),"")</f>
        <v/>
      </c>
      <c r="O103" s="34">
        <f>TODAY()+ROUNDUP(N103,0)</f>
        <v/>
      </c>
      <c r="P103" s="33">
        <f>IFERROR(IF(N103="","—",IF(N103&lt;=$E$2,"YES","—")),"—")</f>
        <v/>
      </c>
      <c r="Q103" s="17">
        <f>COUNTIFS(Delivery_Log!$B$4:$B$5998,VALUE(B103),Delivery_Log!$A$4:$A$5998,"&gt;="&amp;$Q$2)</f>
        <v/>
      </c>
      <c r="R103" s="38" t="n"/>
    </row>
    <row r="104" ht="15" customHeight="1" s="72">
      <c r="A104" t="n">
        <v>99</v>
      </c>
      <c r="B104" s="50" t="n">
        <v>16006</v>
      </c>
      <c r="C104" s="41" t="inlineStr">
        <is>
          <t>PET44 - 16006 - PETES FISH 44TH ST</t>
        </is>
      </c>
      <c r="D104" s="52" t="inlineStr">
        <is>
          <t>4</t>
        </is>
      </c>
      <c r="E104" s="41">
        <f>IFERROR(VLOOKUP(C104,Client_List!$B:$K,4,0)&amp;", "&amp;VLOOKUP(C104,Client_List!$B:$K,5,0)&amp;" AZ","")</f>
        <v/>
      </c>
      <c r="F104" s="38">
        <f>IFERROR(VLOOKUP(C104,Client_List!$B:$K,7,0)&amp;", "&amp;VLOOKUP(C104,Client_List!$B:$K,8,0),"")</f>
        <v/>
      </c>
      <c r="G104" s="42">
        <f>IFERROR(VLOOKUP(C104,Client_List!$B:$K,9,0),"")</f>
        <v/>
      </c>
      <c r="H104" s="18">
        <f>IFERROR(LOOKUP(2,1/((Delivery_Log!$B$4:$B$4998=VALUE(B104))*(ISNUMBER(Delivery_Log!$J$4:$J$4998))*(Delivery_Log!$J$4:$J$4998&gt;0)),Delivery_Log!$J$4:$J$4998),"")</f>
        <v/>
      </c>
      <c r="I104" s="41">
        <f>IFERROR(VLOOKUP(C104,Client_List!$B:$K,10,0),"")</f>
        <v/>
      </c>
      <c r="J104" s="19">
        <f>IFERROR(_xlfn.MAXIFS(Delivery_Log!$A$4:$A$4998,Delivery_Log!$B$4:$B$4998,VALUE(B104)),"—")</f>
        <v/>
      </c>
      <c r="K104" s="20">
        <f>IFERROR(IF(J104="—","",TODAY()-J104),"")</f>
        <v/>
      </c>
      <c r="L104" s="21">
        <f>IFERROR(IF(OR(K104="",H104=""),"",MAX(G104*0.03,G104-K104*H104)),"")</f>
        <v/>
      </c>
      <c r="M104" s="21">
        <f>IFERROR(IF(L104="","",G104-L104),"")</f>
        <v/>
      </c>
      <c r="N104" s="22">
        <f>IFERROR(IF(OR(L104="",H104=""),"",MIN(21,MAX(0,(L104-G104*$C$2)/H104))),"")</f>
        <v/>
      </c>
      <c r="O104" s="34">
        <f>TODAY()+ROUNDUP(N104,0)</f>
        <v/>
      </c>
      <c r="P104" s="33">
        <f>IFERROR(IF(N104="","—",IF(N104&lt;=$E$2,"YES","—")),"—")</f>
        <v/>
      </c>
      <c r="Q104" s="17">
        <f>COUNTIFS(Delivery_Log!$B$4:$B$5998,VALUE(B104),Delivery_Log!$A$4:$A$5998,"&gt;="&amp;$Q$2)</f>
        <v/>
      </c>
      <c r="R104" s="38" t="n"/>
    </row>
    <row r="105" ht="15" customHeight="1" s="72">
      <c r="A105" t="n">
        <v>100</v>
      </c>
      <c r="B105" s="50" t="n">
        <v>16007</v>
      </c>
      <c r="C105" s="41" t="inlineStr">
        <is>
          <t>PETA - 16007 - PETES FISH APACHE</t>
        </is>
      </c>
      <c r="D105" s="52" t="inlineStr">
        <is>
          <t>4</t>
        </is>
      </c>
      <c r="E105" s="41">
        <f>IFERROR(VLOOKUP(C105,Client_List!$B:$K,4,0)&amp;", "&amp;VLOOKUP(C105,Client_List!$B:$K,5,0)&amp;" AZ","")</f>
        <v/>
      </c>
      <c r="F105" s="38">
        <f>IFERROR(VLOOKUP(C105,Client_List!$B:$K,7,0)&amp;", "&amp;VLOOKUP(C105,Client_List!$B:$K,8,0),"")</f>
        <v/>
      </c>
      <c r="G105" s="42">
        <f>IFERROR(VLOOKUP(C105,Client_List!$B:$K,9,0),"")</f>
        <v/>
      </c>
      <c r="H105" s="18">
        <f>IFERROR(LOOKUP(2,1/((Delivery_Log!$B$4:$B$4998=VALUE(B105))*(ISNUMBER(Delivery_Log!$J$4:$J$4998))*(Delivery_Log!$J$4:$J$4998&gt;0)),Delivery_Log!$J$4:$J$4998),"")</f>
        <v/>
      </c>
      <c r="I105" s="41">
        <f>IFERROR(VLOOKUP(C105,Client_List!$B:$K,10,0),"")</f>
        <v/>
      </c>
      <c r="J105" s="19">
        <f>IFERROR(_xlfn.MAXIFS(Delivery_Log!$A$4:$A$4998,Delivery_Log!$B$4:$B$4998,VALUE(B105)),"—")</f>
        <v/>
      </c>
      <c r="K105" s="20">
        <f>IFERROR(IF(J105="—","",TODAY()-J105),"")</f>
        <v/>
      </c>
      <c r="L105" s="21">
        <f>IFERROR(IF(OR(K105="",H105=""),"",MAX(G105*0.03,G105-K105*H105)),"")</f>
        <v/>
      </c>
      <c r="M105" s="21">
        <f>IFERROR(IF(L105="","",G105-L105),"")</f>
        <v/>
      </c>
      <c r="N105" s="22">
        <f>IFERROR(IF(OR(L105="",H105=""),"",MIN(21,MAX(0,(L105-G105*$C$2)/H105))),"")</f>
        <v/>
      </c>
      <c r="O105" s="34">
        <f>TODAY()+ROUNDUP(N105,0)</f>
        <v/>
      </c>
      <c r="P105" s="33">
        <f>IFERROR(IF(N105="","—",IF(N105&lt;=$E$2,"YES","—")),"—")</f>
        <v/>
      </c>
      <c r="Q105" s="17">
        <f>COUNTIFS(Delivery_Log!$B$4:$B$5998,VALUE(B105),Delivery_Log!$A$4:$A$5998,"&gt;="&amp;$Q$2)</f>
        <v/>
      </c>
      <c r="R105" s="38" t="n"/>
    </row>
    <row r="106" ht="15" customHeight="1" s="72">
      <c r="A106" t="n">
        <v>101</v>
      </c>
      <c r="B106" s="50" t="n">
        <v>16004</v>
      </c>
      <c r="C106" s="41" t="inlineStr">
        <is>
          <t>PETB - 16004 - PETES FISH BUCKEYE</t>
        </is>
      </c>
      <c r="D106" s="52" t="inlineStr">
        <is>
          <t>3</t>
        </is>
      </c>
      <c r="E106" s="41">
        <f>IFERROR(VLOOKUP(C106,Client_List!$B:$K,4,0)&amp;", "&amp;VLOOKUP(C106,Client_List!$B:$K,5,0)&amp;" AZ","")</f>
        <v/>
      </c>
      <c r="F106" s="38">
        <f>IFERROR(VLOOKUP(C106,Client_List!$B:$K,7,0)&amp;", "&amp;VLOOKUP(C106,Client_List!$B:$K,8,0),"")</f>
        <v/>
      </c>
      <c r="G106" s="42">
        <f>IFERROR(VLOOKUP(C106,Client_List!$B:$K,9,0),"")</f>
        <v/>
      </c>
      <c r="H106" s="18">
        <f>IFERROR(LOOKUP(2,1/((Delivery_Log!$B$4:$B$4998=VALUE(B106))*(ISNUMBER(Delivery_Log!$J$4:$J$4998))*(Delivery_Log!$J$4:$J$4998&gt;0)),Delivery_Log!$J$4:$J$4998),"")</f>
        <v/>
      </c>
      <c r="I106" s="41">
        <f>IFERROR(VLOOKUP(C106,Client_List!$B:$K,10,0),"")</f>
        <v/>
      </c>
      <c r="J106" s="19">
        <f>IFERROR(_xlfn.MAXIFS(Delivery_Log!$A$4:$A$4998,Delivery_Log!$B$4:$B$4998,VALUE(B106)),"—")</f>
        <v/>
      </c>
      <c r="K106" s="20">
        <f>IFERROR(IF(J106="—","",TODAY()-J106),"")</f>
        <v/>
      </c>
      <c r="L106" s="21">
        <f>IFERROR(IF(OR(K106="",H106=""),"",MAX(G106*0.03,G106-K106*H106)),"")</f>
        <v/>
      </c>
      <c r="M106" s="21">
        <f>IFERROR(IF(L106="","",G106-L106),"")</f>
        <v/>
      </c>
      <c r="N106" s="22">
        <f>IFERROR(IF(OR(L106="",H106=""),"",MIN(21,MAX(0,(L106-G106*$C$2)/H106))),"")</f>
        <v/>
      </c>
      <c r="O106" s="34">
        <f>TODAY()+ROUNDUP(N106,0)</f>
        <v/>
      </c>
      <c r="P106" s="33">
        <f>IFERROR(IF(N106="","—",IF(N106&lt;=$E$2,"YES","—")),"—")</f>
        <v/>
      </c>
      <c r="Q106" s="17">
        <f>COUNTIFS(Delivery_Log!$B$4:$B$5998,VALUE(B106),Delivery_Log!$A$4:$A$5998,"&gt;="&amp;$Q$2)</f>
        <v/>
      </c>
      <c r="R106" s="38" t="n"/>
    </row>
    <row r="107" ht="15" customHeight="1" s="72">
      <c r="A107" t="n">
        <v>102</v>
      </c>
      <c r="B107" s="50" t="n">
        <v>16003</v>
      </c>
      <c r="C107" s="41" t="inlineStr">
        <is>
          <t>PETC - 16003 - PETES FISH CENTRAL</t>
        </is>
      </c>
      <c r="D107" s="52" t="inlineStr">
        <is>
          <t>3</t>
        </is>
      </c>
      <c r="E107" s="41">
        <f>IFERROR(VLOOKUP(C107,Client_List!$B:$K,4,0)&amp;", "&amp;VLOOKUP(C107,Client_List!$B:$K,5,0)&amp;" AZ","")</f>
        <v/>
      </c>
      <c r="F107" s="38">
        <f>IFERROR(VLOOKUP(C107,Client_List!$B:$K,7,0)&amp;", "&amp;VLOOKUP(C107,Client_List!$B:$K,8,0),"")</f>
        <v/>
      </c>
      <c r="G107" s="42">
        <f>IFERROR(VLOOKUP(C107,Client_List!$B:$K,9,0),"")</f>
        <v/>
      </c>
      <c r="H107" s="18">
        <f>IFERROR(LOOKUP(2,1/((Delivery_Log!$B$4:$B$4998=VALUE(B107))*(ISNUMBER(Delivery_Log!$J$4:$J$4998))*(Delivery_Log!$J$4:$J$4998&gt;0)),Delivery_Log!$J$4:$J$4998),"")</f>
        <v/>
      </c>
      <c r="I107" s="41">
        <f>IFERROR(VLOOKUP(C107,Client_List!$B:$K,10,0),"")</f>
        <v/>
      </c>
      <c r="J107" s="19">
        <f>IFERROR(_xlfn.MAXIFS(Delivery_Log!$A$4:$A$4998,Delivery_Log!$B$4:$B$4998,VALUE(B107)),"—")</f>
        <v/>
      </c>
      <c r="K107" s="20">
        <f>IFERROR(IF(J107="—","",TODAY()-J107),"")</f>
        <v/>
      </c>
      <c r="L107" s="21">
        <f>IFERROR(IF(OR(K107="",H107=""),"",MAX(G107*0.03,G107-K107*H107)),"")</f>
        <v/>
      </c>
      <c r="M107" s="21">
        <f>IFERROR(IF(L107="","",G107-L107),"")</f>
        <v/>
      </c>
      <c r="N107" s="22">
        <f>IFERROR(IF(OR(L107="",H107=""),"",MIN(21,MAX(0,(L107-G107*$C$2)/H107))),"")</f>
        <v/>
      </c>
      <c r="O107" s="34">
        <f>TODAY()+ROUNDUP(N107,0)</f>
        <v/>
      </c>
      <c r="P107" s="33">
        <f>IFERROR(IF(N107="","—",IF(N107&lt;=$E$2,"YES","—")),"—")</f>
        <v/>
      </c>
      <c r="Q107" s="17">
        <f>COUNTIFS(Delivery_Log!$B$4:$B$5998,VALUE(B107),Delivery_Log!$A$4:$A$5998,"&gt;="&amp;$Q$2)</f>
        <v/>
      </c>
      <c r="R107" s="38" t="n"/>
    </row>
    <row r="108" ht="15" customHeight="1" s="72">
      <c r="A108" t="n">
        <v>103</v>
      </c>
      <c r="B108" s="50" t="n">
        <v>16008</v>
      </c>
      <c r="C108" s="41" t="inlineStr">
        <is>
          <t>PETG - 16008 - PETES FISH GLENDALE</t>
        </is>
      </c>
      <c r="D108" s="52" t="inlineStr">
        <is>
          <t>2</t>
        </is>
      </c>
      <c r="E108" s="41">
        <f>IFERROR(VLOOKUP(C108,Client_List!$B:$K,4,0)&amp;", "&amp;VLOOKUP(C108,Client_List!$B:$K,5,0)&amp;" AZ","")</f>
        <v/>
      </c>
      <c r="F108" s="38">
        <f>IFERROR(VLOOKUP(C108,Client_List!$B:$K,7,0)&amp;", "&amp;VLOOKUP(C108,Client_List!$B:$K,8,0),"")</f>
        <v/>
      </c>
      <c r="G108" s="42">
        <f>IFERROR(VLOOKUP(C108,Client_List!$B:$K,9,0),"")</f>
        <v/>
      </c>
      <c r="H108" s="18">
        <f>IFERROR(LOOKUP(2,1/((Delivery_Log!$B$4:$B$4998=VALUE(B108))*(ISNUMBER(Delivery_Log!$J$4:$J$4998))*(Delivery_Log!$J$4:$J$4998&gt;0)),Delivery_Log!$J$4:$J$4998),"")</f>
        <v/>
      </c>
      <c r="I108" s="41">
        <f>IFERROR(VLOOKUP(C108,Client_List!$B:$K,10,0),"")</f>
        <v/>
      </c>
      <c r="J108" s="19">
        <f>IFERROR(_xlfn.MAXIFS(Delivery_Log!$A$4:$A$4998,Delivery_Log!$B$4:$B$4998,VALUE(B108)),"—")</f>
        <v/>
      </c>
      <c r="K108" s="20">
        <f>IFERROR(IF(J108="—","",TODAY()-J108),"")</f>
        <v/>
      </c>
      <c r="L108" s="21">
        <f>IFERROR(IF(OR(K108="",H108=""),"",MAX(G108*0.03,G108-K108*H108)),"")</f>
        <v/>
      </c>
      <c r="M108" s="21">
        <f>IFERROR(IF(L108="","",G108-L108),"")</f>
        <v/>
      </c>
      <c r="N108" s="22">
        <f>IFERROR(IF(OR(L108="",H108=""),"",MIN(21,MAX(0,(L108-G108*$C$2)/H108))),"")</f>
        <v/>
      </c>
      <c r="O108" s="34">
        <f>TODAY()+ROUNDUP(N108,0)</f>
        <v/>
      </c>
      <c r="P108" s="33">
        <f>IFERROR(IF(N108="","—",IF(N108&lt;=$E$2,"YES","—")),"—")</f>
        <v/>
      </c>
      <c r="Q108" s="17">
        <f>COUNTIFS(Delivery_Log!$B$4:$B$5998,VALUE(B108),Delivery_Log!$A$4:$A$5998,"&gt;="&amp;$Q$2)</f>
        <v/>
      </c>
      <c r="R108" s="38" t="n"/>
    </row>
    <row r="109" ht="15" customHeight="1" s="72">
      <c r="A109" t="n">
        <v>104</v>
      </c>
      <c r="B109" s="50" t="n">
        <v>16009</v>
      </c>
      <c r="C109" s="41" t="inlineStr">
        <is>
          <t>PETM - 16009 - PETES FISH MESA</t>
        </is>
      </c>
      <c r="D109" s="52" t="inlineStr">
        <is>
          <t>4</t>
        </is>
      </c>
      <c r="E109" s="41">
        <f>IFERROR(VLOOKUP(C109,Client_List!$B:$K,4,0)&amp;", "&amp;VLOOKUP(C109,Client_List!$B:$K,5,0)&amp;" AZ","")</f>
        <v/>
      </c>
      <c r="F109" s="38">
        <f>IFERROR(VLOOKUP(C109,Client_List!$B:$K,7,0)&amp;", "&amp;VLOOKUP(C109,Client_List!$B:$K,8,0),"")</f>
        <v/>
      </c>
      <c r="G109" s="42">
        <f>IFERROR(VLOOKUP(C109,Client_List!$B:$K,9,0),"")</f>
        <v/>
      </c>
      <c r="H109" s="18">
        <f>IFERROR(LOOKUP(2,1/((Delivery_Log!$B$4:$B$4998=VALUE(B109))*(ISNUMBER(Delivery_Log!$J$4:$J$4998))*(Delivery_Log!$J$4:$J$4998&gt;0)),Delivery_Log!$J$4:$J$4998),"")</f>
        <v/>
      </c>
      <c r="I109" s="41">
        <f>IFERROR(VLOOKUP(C109,Client_List!$B:$K,10,0),"")</f>
        <v/>
      </c>
      <c r="J109" s="19">
        <f>IFERROR(_xlfn.MAXIFS(Delivery_Log!$A$4:$A$4998,Delivery_Log!$B$4:$B$4998,VALUE(B109)),"—")</f>
        <v/>
      </c>
      <c r="K109" s="20">
        <f>IFERROR(IF(J109="—","",TODAY()-J109),"")</f>
        <v/>
      </c>
      <c r="L109" s="21">
        <f>IFERROR(IF(OR(K109="",H109=""),"",MAX(G109*0.03,G109-K109*H109)),"")</f>
        <v/>
      </c>
      <c r="M109" s="21">
        <f>IFERROR(IF(L109="","",G109-L109),"")</f>
        <v/>
      </c>
      <c r="N109" s="22">
        <f>IFERROR(IF(OR(L109="",H109=""),"",MIN(21,MAX(0,(L109-G109*$C$2)/H109))),"")</f>
        <v/>
      </c>
      <c r="O109" s="34">
        <f>TODAY()+ROUNDUP(N109,0)</f>
        <v/>
      </c>
      <c r="P109" s="33">
        <f>IFERROR(IF(N109="","—",IF(N109&lt;=$E$2,"YES","—")),"—")</f>
        <v/>
      </c>
      <c r="Q109" s="17">
        <f>COUNTIFS(Delivery_Log!$B$4:$B$5998,VALUE(B109),Delivery_Log!$A$4:$A$5998,"&gt;="&amp;$Q$2)</f>
        <v/>
      </c>
      <c r="R109" s="38" t="n"/>
    </row>
    <row r="110" ht="15" customHeight="1" s="72">
      <c r="A110" t="n">
        <v>105</v>
      </c>
      <c r="B110" s="50" t="n">
        <v>16010</v>
      </c>
      <c r="C110" s="41" t="inlineStr">
        <is>
          <t>PETTOL - 16010 - PETES TOLLESON</t>
        </is>
      </c>
      <c r="D110" s="52" t="inlineStr">
        <is>
          <t>2</t>
        </is>
      </c>
      <c r="E110" s="41">
        <f>IFERROR(VLOOKUP(C110,Client_List!$B:$K,4,0)&amp;", "&amp;VLOOKUP(C110,Client_List!$B:$K,5,0)&amp;" AZ","")</f>
        <v/>
      </c>
      <c r="F110" s="38">
        <f>IFERROR(VLOOKUP(C110,Client_List!$B:$K,7,0)&amp;", "&amp;VLOOKUP(C110,Client_List!$B:$K,8,0),"")</f>
        <v/>
      </c>
      <c r="G110" s="42">
        <f>IFERROR(VLOOKUP(C110,Client_List!$B:$K,9,0),"")</f>
        <v/>
      </c>
      <c r="H110" s="18">
        <f>IFERROR(LOOKUP(2,1/((Delivery_Log!$B$4:$B$4998=VALUE(B110))*(ISNUMBER(Delivery_Log!$J$4:$J$4998))*(Delivery_Log!$J$4:$J$4998&gt;0)),Delivery_Log!$J$4:$J$4998),"")</f>
        <v/>
      </c>
      <c r="I110" s="41">
        <f>IFERROR(VLOOKUP(C110,Client_List!$B:$K,10,0),"")</f>
        <v/>
      </c>
      <c r="J110" s="19">
        <f>IFERROR(_xlfn.MAXIFS(Delivery_Log!$A$4:$A$4998,Delivery_Log!$B$4:$B$4998,VALUE(B110)),"—")</f>
        <v/>
      </c>
      <c r="K110" s="20">
        <f>IFERROR(IF(J110="—","",TODAY()-J110),"")</f>
        <v/>
      </c>
      <c r="L110" s="21">
        <f>IFERROR(IF(OR(K110="",H110=""),"",MAX(G110*0.03,G110-K110*H110)),"")</f>
        <v/>
      </c>
      <c r="M110" s="21">
        <f>IFERROR(IF(L110="","",G110-L110),"")</f>
        <v/>
      </c>
      <c r="N110" s="22">
        <f>IFERROR(IF(OR(L110="",H110=""),"",MIN(21,MAX(0,(L110-G110*$C$2)/H110))),"")</f>
        <v/>
      </c>
      <c r="O110" s="34">
        <f>TODAY()+ROUNDUP(N110,0)</f>
        <v/>
      </c>
      <c r="P110" s="33">
        <f>IFERROR(IF(N110="","—",IF(N110&lt;=$E$2,"YES","—")),"—")</f>
        <v/>
      </c>
      <c r="Q110" s="17">
        <f>COUNTIFS(Delivery_Log!$B$4:$B$5998,VALUE(B110),Delivery_Log!$A$4:$A$5998,"&gt;="&amp;$Q$2)</f>
        <v/>
      </c>
      <c r="R110" s="38" t="n"/>
    </row>
    <row r="111" ht="15" customHeight="1" s="72">
      <c r="A111" t="n">
        <v>106</v>
      </c>
      <c r="B111" s="50" t="n">
        <v>16005</v>
      </c>
      <c r="C111" s="41" t="inlineStr">
        <is>
          <t>PETVB - 16005 - PETES FISH 26TH</t>
        </is>
      </c>
      <c r="D111" s="52" t="inlineStr">
        <is>
          <t>3</t>
        </is>
      </c>
      <c r="E111" s="41">
        <f>IFERROR(VLOOKUP(C111,Client_List!$B:$K,4,0)&amp;", "&amp;VLOOKUP(C111,Client_List!$B:$K,5,0)&amp;" AZ","")</f>
        <v/>
      </c>
      <c r="F111" s="38">
        <f>IFERROR(VLOOKUP(C111,Client_List!$B:$K,7,0)&amp;", "&amp;VLOOKUP(C111,Client_List!$B:$K,8,0),"")</f>
        <v/>
      </c>
      <c r="G111" s="42">
        <f>IFERROR(VLOOKUP(C111,Client_List!$B:$K,9,0),"")</f>
        <v/>
      </c>
      <c r="H111" s="18">
        <f>IFERROR(LOOKUP(2,1/((Delivery_Log!$B$4:$B$4998=VALUE(B111))*(ISNUMBER(Delivery_Log!$J$4:$J$4998))*(Delivery_Log!$J$4:$J$4998&gt;0)),Delivery_Log!$J$4:$J$4998),"")</f>
        <v/>
      </c>
      <c r="I111" s="41">
        <f>IFERROR(VLOOKUP(C111,Client_List!$B:$K,10,0),"")</f>
        <v/>
      </c>
      <c r="J111" s="19">
        <f>IFERROR(_xlfn.MAXIFS(Delivery_Log!$A$4:$A$4998,Delivery_Log!$B$4:$B$4998,VALUE(B111)),"—")</f>
        <v/>
      </c>
      <c r="K111" s="20">
        <f>IFERROR(IF(J111="—","",TODAY()-J111),"")</f>
        <v/>
      </c>
      <c r="L111" s="21">
        <f>IFERROR(IF(OR(K111="",H111=""),"",MAX(G111*0.03,G111-K111*H111)),"")</f>
        <v/>
      </c>
      <c r="M111" s="21">
        <f>IFERROR(IF(L111="","",G111-L111),"")</f>
        <v/>
      </c>
      <c r="N111" s="22">
        <f>IFERROR(IF(OR(L111="",H111=""),"",MIN(21,MAX(0,(L111-G111*$C$2)/H111))),"")</f>
        <v/>
      </c>
      <c r="O111" s="34">
        <f>TODAY()+ROUNDUP(N111,0)</f>
        <v/>
      </c>
      <c r="P111" s="33">
        <f>IFERROR(IF(N111="","—",IF(N111&lt;=$E$2,"YES","—")),"—")</f>
        <v/>
      </c>
      <c r="Q111" s="17">
        <f>COUNTIFS(Delivery_Log!$B$4:$B$5998,VALUE(B111),Delivery_Log!$A$4:$A$5998,"&gt;="&amp;$Q$2)</f>
        <v/>
      </c>
      <c r="R111" s="38" t="n"/>
    </row>
    <row r="112" ht="15" customHeight="1" s="72">
      <c r="A112" t="n">
        <v>107</v>
      </c>
      <c r="B112" s="50" t="n">
        <v>16019</v>
      </c>
      <c r="C112" s="41" t="inlineStr">
        <is>
          <t>PIRA - 16019 - PIRATES ARIZONA AVE</t>
        </is>
      </c>
      <c r="D112" s="52" t="inlineStr">
        <is>
          <t>4</t>
        </is>
      </c>
      <c r="E112" s="41">
        <f>IFERROR(VLOOKUP(C112,Client_List!$B:$K,4,0)&amp;", "&amp;VLOOKUP(C112,Client_List!$B:$K,5,0)&amp;" AZ","")</f>
        <v/>
      </c>
      <c r="F112" s="38">
        <f>IFERROR(VLOOKUP(C112,Client_List!$B:$K,7,0)&amp;", "&amp;VLOOKUP(C112,Client_List!$B:$K,8,0),"")</f>
        <v/>
      </c>
      <c r="G112" s="42">
        <f>IFERROR(VLOOKUP(C112,Client_List!$B:$K,9,0),"")</f>
        <v/>
      </c>
      <c r="H112" s="18">
        <f>IFERROR(LOOKUP(2,1/((Delivery_Log!$B$4:$B$4998=VALUE(B112))*(ISNUMBER(Delivery_Log!$J$4:$J$4998))*(Delivery_Log!$J$4:$J$4998&gt;0)),Delivery_Log!$J$4:$J$4998),"")</f>
        <v/>
      </c>
      <c r="I112" s="41">
        <f>IFERROR(VLOOKUP(C112,Client_List!$B:$K,10,0),"")</f>
        <v/>
      </c>
      <c r="J112" s="19">
        <f>IFERROR(_xlfn.MAXIFS(Delivery_Log!$A$4:$A$4998,Delivery_Log!$B$4:$B$4998,VALUE(B112)),"—")</f>
        <v/>
      </c>
      <c r="K112" s="20">
        <f>IFERROR(IF(J112="—","",TODAY()-J112),"")</f>
        <v/>
      </c>
      <c r="L112" s="21">
        <f>IFERROR(IF(OR(K112="",H112=""),"",MAX(G112*0.03,G112-K112*H112)),"")</f>
        <v/>
      </c>
      <c r="M112" s="21">
        <f>IFERROR(IF(L112="","",G112-L112),"")</f>
        <v/>
      </c>
      <c r="N112" s="22">
        <f>IFERROR(IF(OR(L112="",H112=""),"",MIN(21,MAX(0,(L112-G112*$C$2)/H112))),"")</f>
        <v/>
      </c>
      <c r="O112" s="34">
        <f>TODAY()+ROUNDUP(N112,0)</f>
        <v/>
      </c>
      <c r="P112" s="33">
        <f>IFERROR(IF(N112="","—",IF(N112&lt;=$E$2,"YES","—")),"—")</f>
        <v/>
      </c>
      <c r="Q112" s="17">
        <f>COUNTIFS(Delivery_Log!$B$4:$B$5998,VALUE(B112),Delivery_Log!$A$4:$A$5998,"&gt;="&amp;$Q$2)</f>
        <v/>
      </c>
      <c r="R112" s="38" t="n"/>
    </row>
    <row r="113" ht="15" customHeight="1" s="72">
      <c r="A113" t="n">
        <v>108</v>
      </c>
      <c r="B113" s="50" t="n">
        <v>16018</v>
      </c>
      <c r="C113" s="41" t="inlineStr">
        <is>
          <t>PIRL - 16018 - PIRATES MESA</t>
        </is>
      </c>
      <c r="D113" s="52" t="inlineStr">
        <is>
          <t>5</t>
        </is>
      </c>
      <c r="E113" s="41">
        <f>IFERROR(VLOOKUP(C113,Client_List!$B:$K,4,0)&amp;", "&amp;VLOOKUP(C113,Client_List!$B:$K,5,0)&amp;" AZ","")</f>
        <v/>
      </c>
      <c r="F113" s="38">
        <f>IFERROR(VLOOKUP(C113,Client_List!$B:$K,7,0)&amp;", "&amp;VLOOKUP(C113,Client_List!$B:$K,8,0),"")</f>
        <v/>
      </c>
      <c r="G113" s="42">
        <f>IFERROR(VLOOKUP(C113,Client_List!$B:$K,9,0),"")</f>
        <v/>
      </c>
      <c r="H113" s="18">
        <f>IFERROR(LOOKUP(2,1/((Delivery_Log!$B$4:$B$4998=VALUE(B113))*(ISNUMBER(Delivery_Log!$J$4:$J$4998))*(Delivery_Log!$J$4:$J$4998&gt;0)),Delivery_Log!$J$4:$J$4998),"")</f>
        <v/>
      </c>
      <c r="I113" s="41">
        <f>IFERROR(VLOOKUP(C113,Client_List!$B:$K,10,0),"")</f>
        <v/>
      </c>
      <c r="J113" s="19">
        <f>IFERROR(_xlfn.MAXIFS(Delivery_Log!$A$4:$A$4998,Delivery_Log!$B$4:$B$4998,VALUE(B113)),"—")</f>
        <v/>
      </c>
      <c r="K113" s="20">
        <f>IFERROR(IF(J113="—","",TODAY()-J113),"")</f>
        <v/>
      </c>
      <c r="L113" s="21">
        <f>IFERROR(IF(OR(K113="",H113=""),"",MAX(G113*0.03,G113-K113*H113)),"")</f>
        <v/>
      </c>
      <c r="M113" s="21">
        <f>IFERROR(IF(L113="","",G113-L113),"")</f>
        <v/>
      </c>
      <c r="N113" s="22">
        <f>IFERROR(IF(OR(L113="",H113=""),"",MIN(21,MAX(0,(L113-G113*$C$2)/H113))),"")</f>
        <v/>
      </c>
      <c r="O113" s="34">
        <f>TODAY()+ROUNDUP(N113,0)</f>
        <v/>
      </c>
      <c r="P113" s="32">
        <f>IFERROR(IF(N113="","—",IF(N113&lt;=$E$2,"YES","—")),"—")</f>
        <v/>
      </c>
      <c r="Q113" s="17">
        <f>COUNTIFS(Delivery_Log!$B$4:$B$5998,VALUE(B113),Delivery_Log!$A$4:$A$5998,"&gt;="&amp;$Q$2)</f>
        <v/>
      </c>
      <c r="R113" s="38" t="n"/>
    </row>
    <row r="114" ht="15" customHeight="1" s="72">
      <c r="A114" t="n">
        <v>109</v>
      </c>
      <c r="B114" s="50" t="n">
        <v>16015</v>
      </c>
      <c r="C114" s="41" t="inlineStr">
        <is>
          <t>POP59 - 16015 - POPO BELL</t>
        </is>
      </c>
      <c r="D114" s="52" t="inlineStr">
        <is>
          <t>2</t>
        </is>
      </c>
      <c r="E114" s="41">
        <f>IFERROR(VLOOKUP(C114,Client_List!$B:$K,4,0)&amp;", "&amp;VLOOKUP(C114,Client_List!$B:$K,5,0)&amp;" AZ","")</f>
        <v/>
      </c>
      <c r="F114" s="38">
        <f>IFERROR(VLOOKUP(C114,Client_List!$B:$K,7,0)&amp;", "&amp;VLOOKUP(C114,Client_List!$B:$K,8,0),"")</f>
        <v/>
      </c>
      <c r="G114" s="42">
        <f>IFERROR(VLOOKUP(C114,Client_List!$B:$K,9,0),"")</f>
        <v/>
      </c>
      <c r="H114" s="18">
        <f>IFERROR(LOOKUP(2,1/((Delivery_Log!$B$4:$B$4998=VALUE(B114))*(ISNUMBER(Delivery_Log!$J$4:$J$4998))*(Delivery_Log!$J$4:$J$4998&gt;0)),Delivery_Log!$J$4:$J$4998),"")</f>
        <v/>
      </c>
      <c r="I114" s="41">
        <f>IFERROR(VLOOKUP(C114,Client_List!$B:$K,10,0),"")</f>
        <v/>
      </c>
      <c r="J114" s="19">
        <f>IFERROR(_xlfn.MAXIFS(Delivery_Log!$A$4:$A$4998,Delivery_Log!$B$4:$B$4998,VALUE(B114)),"—")</f>
        <v/>
      </c>
      <c r="K114" s="20">
        <f>IFERROR(IF(J114="—","",TODAY()-J114),"")</f>
        <v/>
      </c>
      <c r="L114" s="21">
        <f>IFERROR(IF(OR(K114="",H114=""),"",MAX(G114*0.03,G114-K114*H114)),"")</f>
        <v/>
      </c>
      <c r="M114" s="21">
        <f>IFERROR(IF(L114="","",G114-L114),"")</f>
        <v/>
      </c>
      <c r="N114" s="22">
        <f>IFERROR(IF(OR(L114="",H114=""),"",MIN(21,MAX(0,(L114-G114*$C$2)/H114))),"")</f>
        <v/>
      </c>
      <c r="O114" s="34">
        <f>TODAY()+ROUNDUP(N114,0)</f>
        <v/>
      </c>
      <c r="P114" s="33">
        <f>IFERROR(IF(N114="","—",IF(N114&lt;=$E$2,"YES","—")),"—")</f>
        <v/>
      </c>
      <c r="Q114" s="17">
        <f>COUNTIFS(Delivery_Log!$B$4:$B$5998,VALUE(B114),Delivery_Log!$A$4:$A$5998,"&gt;="&amp;$Q$2)</f>
        <v/>
      </c>
      <c r="R114" s="38" t="n"/>
    </row>
    <row r="115" ht="15" customHeight="1" s="72">
      <c r="A115" t="n">
        <v>110</v>
      </c>
      <c r="B115" s="50" t="n">
        <v>16014</v>
      </c>
      <c r="C115" s="41" t="inlineStr">
        <is>
          <t>POPIS - 16014 - POPO INDIAN SCHOOL</t>
        </is>
      </c>
      <c r="D115" s="52" t="inlineStr">
        <is>
          <t>2</t>
        </is>
      </c>
      <c r="E115" s="41">
        <f>IFERROR(VLOOKUP(C115,Client_List!$B:$K,4,0)&amp;", "&amp;VLOOKUP(C115,Client_List!$B:$K,5,0)&amp;" AZ","")</f>
        <v/>
      </c>
      <c r="F115" s="38">
        <f>IFERROR(VLOOKUP(C115,Client_List!$B:$K,7,0)&amp;", "&amp;VLOOKUP(C115,Client_List!$B:$K,8,0),"")</f>
        <v/>
      </c>
      <c r="G115" s="42">
        <f>IFERROR(VLOOKUP(C115,Client_List!$B:$K,9,0),"")</f>
        <v/>
      </c>
      <c r="H115" s="18">
        <f>IFERROR(LOOKUP(2,1/((Delivery_Log!$B$4:$B$4998=VALUE(B115))*(ISNUMBER(Delivery_Log!$J$4:$J$4998))*(Delivery_Log!$J$4:$J$4998&gt;0)),Delivery_Log!$J$4:$J$4998),"")</f>
        <v/>
      </c>
      <c r="I115" s="41">
        <f>IFERROR(VLOOKUP(C115,Client_List!$B:$K,10,0),"")</f>
        <v/>
      </c>
      <c r="J115" s="19">
        <f>IFERROR(_xlfn.MAXIFS(Delivery_Log!$A$4:$A$4998,Delivery_Log!$B$4:$B$4998,VALUE(B115)),"—")</f>
        <v/>
      </c>
      <c r="K115" s="20">
        <f>IFERROR(IF(J115="—","",TODAY()-J115),"")</f>
        <v/>
      </c>
      <c r="L115" s="21">
        <f>IFERROR(IF(OR(K115="",H115=""),"",MAX(G115*0.03,G115-K115*H115)),"")</f>
        <v/>
      </c>
      <c r="M115" s="21">
        <f>IFERROR(IF(L115="","",G115-L115),"")</f>
        <v/>
      </c>
      <c r="N115" s="22">
        <f>IFERROR(IF(OR(L115="",H115=""),"",MIN(21,MAX(0,(L115-G115*$C$2)/H115))),"")</f>
        <v/>
      </c>
      <c r="O115" s="34">
        <f>TODAY()+ROUNDUP(N115,0)</f>
        <v/>
      </c>
      <c r="P115" s="33">
        <f>IFERROR(IF(N115="","—",IF(N115&lt;=$E$2,"YES","—")),"—")</f>
        <v/>
      </c>
      <c r="Q115" s="17">
        <f>COUNTIFS(Delivery_Log!$B$4:$B$5998,VALUE(B115),Delivery_Log!$A$4:$A$5998,"&gt;="&amp;$Q$2)</f>
        <v/>
      </c>
      <c r="R115" s="38" t="n"/>
    </row>
    <row r="116" ht="15" customHeight="1" s="72">
      <c r="A116" t="n">
        <v>111</v>
      </c>
      <c r="B116" s="50" t="n">
        <v>18042</v>
      </c>
      <c r="C116" s="41" t="inlineStr">
        <is>
          <t>RAN - 18042 - RANCHO BAR 7</t>
        </is>
      </c>
      <c r="D116" s="52" t="inlineStr">
        <is>
          <t>1</t>
        </is>
      </c>
      <c r="E116" s="41">
        <f>IFERROR(VLOOKUP(C116,Client_List!$B:$K,4,0)&amp;", "&amp;VLOOKUP(C116,Client_List!$B:$K,5,0)&amp;" AZ","")</f>
        <v/>
      </c>
      <c r="F116" s="38">
        <f>IFERROR(VLOOKUP(C116,Client_List!$B:$K,7,0)&amp;", "&amp;VLOOKUP(C116,Client_List!$B:$K,8,0),"")</f>
        <v/>
      </c>
      <c r="G116" s="42">
        <f>IFERROR(VLOOKUP(C116,Client_List!$B:$K,9,0),"")</f>
        <v/>
      </c>
      <c r="H116" s="18">
        <f>IFERROR(LOOKUP(2,1/((Delivery_Log!$B$4:$B$4998=VALUE(B116))*(ISNUMBER(Delivery_Log!$J$4:$J$4998))*(Delivery_Log!$J$4:$J$4998&gt;0)),Delivery_Log!$J$4:$J$4998),"")</f>
        <v/>
      </c>
      <c r="I116" s="41">
        <f>IFERROR(VLOOKUP(C116,Client_List!$B:$K,10,0),"")</f>
        <v/>
      </c>
      <c r="J116" s="19">
        <f>IFERROR(_xlfn.MAXIFS(Delivery_Log!$A$4:$A$4998,Delivery_Log!$B$4:$B$4998,VALUE(B116)),"—")</f>
        <v/>
      </c>
      <c r="K116" s="20">
        <f>IFERROR(IF(J116="—","",TODAY()-J116),"")</f>
        <v/>
      </c>
      <c r="L116" s="21">
        <f>IFERROR(IF(OR(K116="",H116=""),"",MAX(G116*0.03,G116-K116*H116)),"")</f>
        <v/>
      </c>
      <c r="M116" s="21">
        <f>IFERROR(IF(L116="","",G116-L116),"")</f>
        <v/>
      </c>
      <c r="N116" s="22">
        <f>IFERROR(IF(OR(L116="",H116=""),"",MIN(21,MAX(0,(L116-G116*$C$2)/H116))),"")</f>
        <v/>
      </c>
      <c r="O116" s="34">
        <f>TODAY()+ROUNDUP(N116,0)</f>
        <v/>
      </c>
      <c r="P116" s="32">
        <f>IFERROR(IF(N116="","—",IF(N116&lt;=$E$2,"YES","—")),"—")</f>
        <v/>
      </c>
      <c r="Q116" s="17">
        <f>COUNTIFS(Delivery_Log!$B$4:$B$5998,VALUE(B116),Delivery_Log!$A$4:$A$5998,"&gt;="&amp;$Q$2)</f>
        <v/>
      </c>
      <c r="R116" s="38" t="n"/>
    </row>
    <row r="117" ht="15" customHeight="1" s="72">
      <c r="A117" t="n">
        <v>112</v>
      </c>
      <c r="B117" s="50" t="n">
        <v>18004</v>
      </c>
      <c r="C117" s="41" t="inlineStr">
        <is>
          <t>RED - 18004 - RED WHITE BREW</t>
        </is>
      </c>
      <c r="D117" s="52" t="inlineStr">
        <is>
          <t>5</t>
        </is>
      </c>
      <c r="E117" s="41">
        <f>IFERROR(VLOOKUP(C117,Client_List!$B:$K,4,0)&amp;", "&amp;VLOOKUP(C117,Client_List!$B:$K,5,0)&amp;" AZ","")</f>
        <v/>
      </c>
      <c r="F117" s="38">
        <f>IFERROR(VLOOKUP(C117,Client_List!$B:$K,7,0)&amp;", "&amp;VLOOKUP(C117,Client_List!$B:$K,8,0),"")</f>
        <v/>
      </c>
      <c r="G117" s="42">
        <f>IFERROR(VLOOKUP(C117,Client_List!$B:$K,9,0),"")</f>
        <v/>
      </c>
      <c r="H117" s="18">
        <f>IFERROR(LOOKUP(2,1/((Delivery_Log!$B$4:$B$4998=VALUE(B117))*(ISNUMBER(Delivery_Log!$J$4:$J$4998))*(Delivery_Log!$J$4:$J$4998&gt;0)),Delivery_Log!$J$4:$J$4998),"")</f>
        <v/>
      </c>
      <c r="I117" s="41">
        <f>IFERROR(VLOOKUP(C117,Client_List!$B:$K,10,0),"")</f>
        <v/>
      </c>
      <c r="J117" s="19">
        <f>IFERROR(_xlfn.MAXIFS(Delivery_Log!$A$4:$A$4998,Delivery_Log!$B$4:$B$4998,VALUE(B117)),"—")</f>
        <v/>
      </c>
      <c r="K117" s="20">
        <f>IFERROR(IF(J117="—","",TODAY()-J117),"")</f>
        <v/>
      </c>
      <c r="L117" s="21">
        <f>IFERROR(IF(OR(K117="",H117=""),"",MAX(G117*0.03,G117-K117*H117)),"")</f>
        <v/>
      </c>
      <c r="M117" s="21">
        <f>IFERROR(IF(L117="","",G117-L117),"")</f>
        <v/>
      </c>
      <c r="N117" s="22">
        <f>IFERROR(IF(OR(L117="",H117=""),"",MIN(21,MAX(0,(L117-G117*$C$2)/H117))),"")</f>
        <v/>
      </c>
      <c r="O117" s="34">
        <f>TODAY()+ROUNDUP(N117,0)</f>
        <v/>
      </c>
      <c r="P117" s="33">
        <f>IFERROR(IF(N117="","—",IF(N117&lt;=$E$2,"YES","—")),"—")</f>
        <v/>
      </c>
      <c r="Q117" s="17">
        <f>COUNTIFS(Delivery_Log!$B$4:$B$5998,VALUE(B117),Delivery_Log!$A$4:$A$5998,"&gt;="&amp;$Q$2)</f>
        <v/>
      </c>
      <c r="R117" s="38" t="n"/>
    </row>
    <row r="118" ht="15" customHeight="1" s="72">
      <c r="A118" t="n">
        <v>113</v>
      </c>
      <c r="B118" s="50" t="n">
        <v>18031</v>
      </c>
      <c r="C118" s="41" t="inlineStr">
        <is>
          <t>RED - 18031 - RED DEVIL SOUTHERN</t>
        </is>
      </c>
      <c r="D118" s="52" t="inlineStr">
        <is>
          <t>3</t>
        </is>
      </c>
      <c r="E118" s="41">
        <f>IFERROR(VLOOKUP(C118,Client_List!$B:$K,4,0)&amp;", "&amp;VLOOKUP(C118,Client_List!$B:$K,5,0)&amp;" AZ","")</f>
        <v/>
      </c>
      <c r="F118" s="38">
        <f>IFERROR(VLOOKUP(C118,Client_List!$B:$K,7,0)&amp;", "&amp;VLOOKUP(C118,Client_List!$B:$K,8,0),"")</f>
        <v/>
      </c>
      <c r="G118" s="42">
        <f>IFERROR(VLOOKUP(C118,Client_List!$B:$K,9,0),"")</f>
        <v/>
      </c>
      <c r="H118" s="18">
        <f>IFERROR(LOOKUP(2,1/((Delivery_Log!$B$4:$B$4998=VALUE(B118))*(ISNUMBER(Delivery_Log!$J$4:$J$4998))*(Delivery_Log!$J$4:$J$4998&gt;0)),Delivery_Log!$J$4:$J$4998),"")</f>
        <v/>
      </c>
      <c r="I118" s="41">
        <f>IFERROR(VLOOKUP(C118,Client_List!$B:$K,10,0),"")</f>
        <v/>
      </c>
      <c r="J118" s="19">
        <f>IFERROR(_xlfn.MAXIFS(Delivery_Log!$A$4:$A$4998,Delivery_Log!$B$4:$B$4998,VALUE(B118)),"—")</f>
        <v/>
      </c>
      <c r="K118" s="20">
        <f>IFERROR(IF(J118="—","",TODAY()-J118),"")</f>
        <v/>
      </c>
      <c r="L118" s="21">
        <f>IFERROR(IF(OR(K118="",H118=""),"",MAX(G118*0.03,G118-K118*H118)),"")</f>
        <v/>
      </c>
      <c r="M118" s="21">
        <f>IFERROR(IF(L118="","",G118-L118),"")</f>
        <v/>
      </c>
      <c r="N118" s="22">
        <f>IFERROR(IF(OR(L118="",H118=""),"",MIN(21,MAX(0,(L118-G118*$C$2)/H118))),"")</f>
        <v/>
      </c>
      <c r="O118" s="34">
        <f>TODAY()+ROUNDUP(N118,0)</f>
        <v/>
      </c>
      <c r="P118" s="32">
        <f>IFERROR(IF(N118="","—",IF(N118&lt;=$E$2,"YES","—")),"—")</f>
        <v/>
      </c>
      <c r="Q118" s="17">
        <f>COUNTIFS(Delivery_Log!$B$4:$B$5998,VALUE(B118),Delivery_Log!$A$4:$A$5998,"&gt;="&amp;$Q$2)</f>
        <v/>
      </c>
      <c r="R118" s="38" t="n"/>
    </row>
    <row r="119" ht="15" customHeight="1" s="72">
      <c r="A119" t="n">
        <v>114</v>
      </c>
      <c r="B119" s="50" t="n">
        <v>18051</v>
      </c>
      <c r="C119" s="41" t="inlineStr">
        <is>
          <t>RED - 18051 - RED ZONE SPORTS GRILL</t>
        </is>
      </c>
      <c r="D119" s="52" t="inlineStr">
        <is>
          <t>2</t>
        </is>
      </c>
      <c r="E119" s="41">
        <f>IFERROR(VLOOKUP(C119,Client_List!$B:$K,4,0)&amp;", "&amp;VLOOKUP(C119,Client_List!$B:$K,5,0)&amp;" AZ","")</f>
        <v/>
      </c>
      <c r="F119" s="38">
        <f>IFERROR(VLOOKUP(C119,Client_List!$B:$K,7,0)&amp;", "&amp;VLOOKUP(C119,Client_List!$B:$K,8,0),"")</f>
        <v/>
      </c>
      <c r="G119" s="42">
        <f>IFERROR(VLOOKUP(C119,Client_List!$B:$K,9,0),"")</f>
        <v/>
      </c>
      <c r="H119" s="18">
        <f>IFERROR(LOOKUP(2,1/((Delivery_Log!$B$4:$B$4998=VALUE(B119))*(ISNUMBER(Delivery_Log!$J$4:$J$4998))*(Delivery_Log!$J$4:$J$4998&gt;0)),Delivery_Log!$J$4:$J$4998),"")</f>
        <v/>
      </c>
      <c r="I119" s="41">
        <f>IFERROR(VLOOKUP(C119,Client_List!$B:$K,10,0),"")</f>
        <v/>
      </c>
      <c r="J119" s="19">
        <f>IFERROR(_xlfn.MAXIFS(Delivery_Log!$A$4:$A$4998,Delivery_Log!$B$4:$B$4998,VALUE(B119)),"—")</f>
        <v/>
      </c>
      <c r="K119" s="20">
        <f>IFERROR(IF(J119="—","",TODAY()-J119),"")</f>
        <v/>
      </c>
      <c r="L119" s="21">
        <f>IFERROR(IF(OR(K119="",H119=""),"",MAX(G119*0.03,G119-K119*H119)),"")</f>
        <v/>
      </c>
      <c r="M119" s="21">
        <f>IFERROR(IF(L119="","",G119-L119),"")</f>
        <v/>
      </c>
      <c r="N119" s="22">
        <f>IFERROR(IF(OR(L119="",H119=""),"",MIN(21,MAX(0,(L119-G119*$C$2)/H119))),"")</f>
        <v/>
      </c>
      <c r="O119" s="34">
        <f>TODAY()+ROUNDUP(N119,0)</f>
        <v/>
      </c>
      <c r="P119" s="32">
        <f>IFERROR(IF(N119="","—",IF(N119&lt;=$E$2,"YES","—")),"—")</f>
        <v/>
      </c>
      <c r="Q119" s="17">
        <f>COUNTIFS(Delivery_Log!$B$4:$B$5998,VALUE(B119),Delivery_Log!$A$4:$A$5998,"&gt;="&amp;$Q$2)</f>
        <v/>
      </c>
      <c r="R119" s="38" t="n"/>
    </row>
    <row r="120" ht="15" customHeight="1" s="72">
      <c r="A120" t="n">
        <v>115</v>
      </c>
      <c r="B120" s="50" t="n">
        <v>18003</v>
      </c>
      <c r="C120" s="41" t="inlineStr">
        <is>
          <t>REDB - 18003 - RED DEVIL BELL</t>
        </is>
      </c>
      <c r="D120" s="52" t="inlineStr">
        <is>
          <t>3</t>
        </is>
      </c>
      <c r="E120" s="41">
        <f>IFERROR(VLOOKUP(C120,Client_List!$B:$K,4,0)&amp;", "&amp;VLOOKUP(C120,Client_List!$B:$K,5,0)&amp;" AZ","")</f>
        <v/>
      </c>
      <c r="F120" s="38">
        <f>IFERROR(VLOOKUP(C120,Client_List!$B:$K,7,0)&amp;", "&amp;VLOOKUP(C120,Client_List!$B:$K,8,0),"")</f>
        <v/>
      </c>
      <c r="G120" s="42">
        <f>IFERROR(VLOOKUP(C120,Client_List!$B:$K,9,0),"")</f>
        <v/>
      </c>
      <c r="H120" s="18">
        <f>IFERROR(LOOKUP(2,1/((Delivery_Log!$B$4:$B$4998=VALUE(B120))*(ISNUMBER(Delivery_Log!$J$4:$J$4998))*(Delivery_Log!$J$4:$J$4998&gt;0)),Delivery_Log!$J$4:$J$4998),"")</f>
        <v/>
      </c>
      <c r="I120" s="41">
        <f>IFERROR(VLOOKUP(C120,Client_List!$B:$K,10,0),"")</f>
        <v/>
      </c>
      <c r="J120" s="19">
        <f>IFERROR(_xlfn.MAXIFS(Delivery_Log!$A$4:$A$4998,Delivery_Log!$B$4:$B$4998,VALUE(B120)),"—")</f>
        <v/>
      </c>
      <c r="K120" s="20">
        <f>IFERROR(IF(J120="—","",TODAY()-J120),"")</f>
        <v/>
      </c>
      <c r="L120" s="21">
        <f>IFERROR(IF(OR(K120="",H120=""),"",MAX(G120*0.03,G120-K120*H120)),"")</f>
        <v/>
      </c>
      <c r="M120" s="21">
        <f>IFERROR(IF(L120="","",G120-L120),"")</f>
        <v/>
      </c>
      <c r="N120" s="22">
        <f>IFERROR(IF(OR(L120="",H120=""),"",MIN(21,MAX(0,(L120-G120*$C$2)/H120))),"")</f>
        <v/>
      </c>
      <c r="O120" s="34">
        <f>TODAY()+ROUNDUP(N120,0)</f>
        <v/>
      </c>
      <c r="P120" s="33">
        <f>IFERROR(IF(N120="","—",IF(N120&lt;=$E$2,"YES","—")),"—")</f>
        <v/>
      </c>
      <c r="Q120" s="17">
        <f>COUNTIFS(Delivery_Log!$B$4:$B$5998,VALUE(B120),Delivery_Log!$A$4:$A$5998,"&gt;="&amp;$Q$2)</f>
        <v/>
      </c>
      <c r="R120" s="38" t="n"/>
    </row>
    <row r="121" ht="15" customHeight="1" s="72">
      <c r="A121" t="n">
        <v>116</v>
      </c>
      <c r="B121" s="50" t="n">
        <v>18001</v>
      </c>
      <c r="C121" s="41" t="inlineStr">
        <is>
          <t>REDM - 18001 - RED DEVIL MCDOWELL</t>
        </is>
      </c>
      <c r="D121" s="52" t="inlineStr">
        <is>
          <t>3</t>
        </is>
      </c>
      <c r="E121" s="41">
        <f>IFERROR(VLOOKUP(C121,Client_List!$B:$K,4,0)&amp;", "&amp;VLOOKUP(C121,Client_List!$B:$K,5,0)&amp;" AZ","")</f>
        <v/>
      </c>
      <c r="F121" s="38">
        <f>IFERROR(VLOOKUP(C121,Client_List!$B:$K,7,0)&amp;", "&amp;VLOOKUP(C121,Client_List!$B:$K,8,0),"")</f>
        <v/>
      </c>
      <c r="G121" s="42">
        <f>IFERROR(VLOOKUP(C121,Client_List!$B:$K,9,0),"")</f>
        <v/>
      </c>
      <c r="H121" s="18">
        <f>IFERROR(LOOKUP(2,1/((Delivery_Log!$B$4:$B$4998=VALUE(B121))*(ISNUMBER(Delivery_Log!$J$4:$J$4998))*(Delivery_Log!$J$4:$J$4998&gt;0)),Delivery_Log!$J$4:$J$4998),"")</f>
        <v/>
      </c>
      <c r="I121" s="41">
        <f>IFERROR(VLOOKUP(C121,Client_List!$B:$K,10,0),"")</f>
        <v/>
      </c>
      <c r="J121" s="19">
        <f>IFERROR(_xlfn.MAXIFS(Delivery_Log!$A$4:$A$4998,Delivery_Log!$B$4:$B$4998,VALUE(B121)),"—")</f>
        <v/>
      </c>
      <c r="K121" s="20">
        <f>IFERROR(IF(J121="—","",TODAY()-J121),"")</f>
        <v/>
      </c>
      <c r="L121" s="21">
        <f>IFERROR(IF(OR(K121="",H121=""),"",MAX(G121*0.03,G121-K121*H121)),"")</f>
        <v/>
      </c>
      <c r="M121" s="21">
        <f>IFERROR(IF(L121="","",G121-L121),"")</f>
        <v/>
      </c>
      <c r="N121" s="22">
        <f>IFERROR(IF(OR(L121="",H121=""),"",MIN(21,MAX(0,(L121-G121*$C$2)/H121))),"")</f>
        <v/>
      </c>
      <c r="O121" s="34">
        <f>TODAY()+ROUNDUP(N121,0)</f>
        <v/>
      </c>
      <c r="P121" s="33">
        <f>IFERROR(IF(N121="","—",IF(N121&lt;=$E$2,"YES","—")),"—")</f>
        <v/>
      </c>
      <c r="Q121" s="17">
        <f>COUNTIFS(Delivery_Log!$B$4:$B$5998,VALUE(B121),Delivery_Log!$A$4:$A$5998,"&gt;="&amp;$Q$2)</f>
        <v/>
      </c>
      <c r="R121" s="38" t="n"/>
    </row>
    <row r="122" ht="15" customHeight="1" s="72">
      <c r="A122" t="n">
        <v>117</v>
      </c>
      <c r="B122" s="50" t="n">
        <v>18036</v>
      </c>
      <c r="C122" s="41" t="inlineStr">
        <is>
          <t>ROA - 18036 - ROADRUNNER SALOON</t>
        </is>
      </c>
      <c r="D122" s="52" t="inlineStr">
        <is>
          <t>3</t>
        </is>
      </c>
      <c r="E122" s="41">
        <f>IFERROR(VLOOKUP(C122,Client_List!$B:$K,4,0)&amp;", "&amp;VLOOKUP(C122,Client_List!$B:$K,5,0)&amp;" AZ","")</f>
        <v/>
      </c>
      <c r="F122" s="38">
        <f>IFERROR(VLOOKUP(C122,Client_List!$B:$K,7,0)&amp;", "&amp;VLOOKUP(C122,Client_List!$B:$K,8,0),"")</f>
        <v/>
      </c>
      <c r="G122" s="42">
        <f>IFERROR(VLOOKUP(C122,Client_List!$B:$K,9,0),"")</f>
        <v/>
      </c>
      <c r="H122" s="18">
        <f>IFERROR(LOOKUP(2,1/((Delivery_Log!$B$4:$B$4998=VALUE(B122))*(ISNUMBER(Delivery_Log!$J$4:$J$4998))*(Delivery_Log!$J$4:$J$4998&gt;0)),Delivery_Log!$J$4:$J$4998),"")</f>
        <v/>
      </c>
      <c r="I122" s="41">
        <f>IFERROR(VLOOKUP(C122,Client_List!$B:$K,10,0),"")</f>
        <v/>
      </c>
      <c r="J122" s="19">
        <f>IFERROR(_xlfn.MAXIFS(Delivery_Log!$A$4:$A$4998,Delivery_Log!$B$4:$B$4998,VALUE(B122)),"—")</f>
        <v/>
      </c>
      <c r="K122" s="20">
        <f>IFERROR(IF(J122="—","",TODAY()-J122),"")</f>
        <v/>
      </c>
      <c r="L122" s="21">
        <f>IFERROR(IF(OR(K122="",H122=""),"",MAX(G122*0.03,G122-K122*H122)),"")</f>
        <v/>
      </c>
      <c r="M122" s="21">
        <f>IFERROR(IF(L122="","",G122-L122),"")</f>
        <v/>
      </c>
      <c r="N122" s="22">
        <f>IFERROR(IF(OR(L122="",H122=""),"",MIN(21,MAX(0,(L122-G122*$C$2)/H122))),"")</f>
        <v/>
      </c>
      <c r="O122" s="34">
        <f>TODAY()+ROUNDUP(N122,0)</f>
        <v/>
      </c>
      <c r="P122" s="32">
        <f>IFERROR(IF(N122="","—",IF(N122&lt;=$E$2,"YES","—")),"—")</f>
        <v/>
      </c>
      <c r="Q122" s="17">
        <f>COUNTIFS(Delivery_Log!$B$4:$B$5998,VALUE(B122),Delivery_Log!$A$4:$A$5998,"&gt;="&amp;$Q$2)</f>
        <v/>
      </c>
      <c r="R122" s="38" t="n"/>
    </row>
    <row r="123" ht="15" customHeight="1" s="72">
      <c r="A123" t="n">
        <v>118</v>
      </c>
      <c r="B123" s="50" t="n">
        <v>18054</v>
      </c>
      <c r="C123" s="41" t="inlineStr">
        <is>
          <t>RUS - 18054 - RUSTY BUCKLE SALOON</t>
        </is>
      </c>
      <c r="D123" s="52" t="inlineStr">
        <is>
          <t>5</t>
        </is>
      </c>
      <c r="E123" s="41">
        <f>IFERROR(VLOOKUP(C123,Client_List!$B:$K,4,0)&amp;", "&amp;VLOOKUP(C123,Client_List!$B:$K,5,0)&amp;" AZ","")</f>
        <v/>
      </c>
      <c r="F123" s="38">
        <f>IFERROR(VLOOKUP(C123,Client_List!$B:$K,7,0)&amp;", "&amp;VLOOKUP(C123,Client_List!$B:$K,8,0),"")</f>
        <v/>
      </c>
      <c r="G123" s="42">
        <f>IFERROR(VLOOKUP(C123,Client_List!$B:$K,9,0),"")</f>
        <v/>
      </c>
      <c r="H123" s="18">
        <f>IFERROR(LOOKUP(2,1/((Delivery_Log!$B$4:$B$4998=VALUE(B123))*(ISNUMBER(Delivery_Log!$J$4:$J$4998))*(Delivery_Log!$J$4:$J$4998&gt;0)),Delivery_Log!$J$4:$J$4998),"")</f>
        <v/>
      </c>
      <c r="I123" s="41">
        <f>IFERROR(VLOOKUP(C123,Client_List!$B:$K,10,0),"")</f>
        <v/>
      </c>
      <c r="J123" s="19">
        <f>IFERROR(_xlfn.MAXIFS(Delivery_Log!$A$4:$A$4998,Delivery_Log!$B$4:$B$4998,VALUE(B123)),"—")</f>
        <v/>
      </c>
      <c r="K123" s="20">
        <f>IFERROR(IF(J123="—","",TODAY()-J123),"")</f>
        <v/>
      </c>
      <c r="L123" s="21">
        <f>IFERROR(IF(OR(K123="",H123=""),"",MAX(G123*0.03,G123-K123*H123)),"")</f>
        <v/>
      </c>
      <c r="M123" s="21">
        <f>IFERROR(IF(L123="","",G123-L123),"")</f>
        <v/>
      </c>
      <c r="N123" s="22">
        <f>IFERROR(IF(OR(L123="",H123=""),"",MIN(21,MAX(0,(L123-G123*$C$2)/H123))),"")</f>
        <v/>
      </c>
      <c r="O123" s="34">
        <f>TODAY()+ROUNDUP(N123,0)</f>
        <v/>
      </c>
      <c r="P123" s="33">
        <f>IFERROR(IF(N123="","—",IF(N123&lt;=$E$2,"YES","—")),"—")</f>
        <v/>
      </c>
      <c r="Q123" s="17">
        <f>COUNTIFS(Delivery_Log!$B$4:$B$5998,VALUE(B123),Delivery_Log!$A$4:$A$5998,"&gt;="&amp;$Q$2)</f>
        <v/>
      </c>
      <c r="R123" s="38" t="n"/>
    </row>
    <row r="124" ht="15" customHeight="1" s="72">
      <c r="A124" t="n">
        <v>119</v>
      </c>
      <c r="B124" s="50" t="n">
        <v>19022</v>
      </c>
      <c r="C124" s="41" t="inlineStr">
        <is>
          <t>SAD - 19022 - SADDLE MOUNTAIN</t>
        </is>
      </c>
      <c r="D124" s="52" t="inlineStr">
        <is>
          <t>1</t>
        </is>
      </c>
      <c r="E124" s="41">
        <f>IFERROR(VLOOKUP(C124,Client_List!$B:$K,4,0)&amp;", "&amp;VLOOKUP(C124,Client_List!$B:$K,5,0)&amp;" AZ","")</f>
        <v/>
      </c>
      <c r="F124" s="38">
        <f>IFERROR(VLOOKUP(C124,Client_List!$B:$K,7,0)&amp;", "&amp;VLOOKUP(C124,Client_List!$B:$K,8,0),"")</f>
        <v/>
      </c>
      <c r="G124" s="42">
        <f>IFERROR(VLOOKUP(C124,Client_List!$B:$K,9,0),"")</f>
        <v/>
      </c>
      <c r="H124" s="18">
        <f>IFERROR(LOOKUP(2,1/((Delivery_Log!$B$4:$B$4998=VALUE(B124))*(ISNUMBER(Delivery_Log!$J$4:$J$4998))*(Delivery_Log!$J$4:$J$4998&gt;0)),Delivery_Log!$J$4:$J$4998),"")</f>
        <v/>
      </c>
      <c r="I124" s="41">
        <f>IFERROR(VLOOKUP(C124,Client_List!$B:$K,10,0),"")</f>
        <v/>
      </c>
      <c r="J124" s="19">
        <f>IFERROR(_xlfn.MAXIFS(Delivery_Log!$A$4:$A$4998,Delivery_Log!$B$4:$B$4998,VALUE(B124)),"—")</f>
        <v/>
      </c>
      <c r="K124" s="20">
        <f>IFERROR(IF(J124="—","",TODAY()-J124),"")</f>
        <v/>
      </c>
      <c r="L124" s="21">
        <f>IFERROR(IF(OR(K124="",H124=""),"",MAX(G124*0.03,G124-K124*H124)),"")</f>
        <v/>
      </c>
      <c r="M124" s="21">
        <f>IFERROR(IF(L124="","",G124-L124),"")</f>
        <v/>
      </c>
      <c r="N124" s="22">
        <f>IFERROR(IF(OR(L124="",H124=""),"",MIN(21,MAX(0,(L124-G124*$C$2)/H124))),"")</f>
        <v/>
      </c>
      <c r="O124" s="34">
        <f>TODAY()+ROUNDUP(N124,0)</f>
        <v/>
      </c>
      <c r="P124" s="33">
        <f>IFERROR(IF(N124="","—",IF(N124&lt;=$E$2,"YES","—")),"—")</f>
        <v/>
      </c>
      <c r="Q124" s="17">
        <f>COUNTIFS(Delivery_Log!$B$4:$B$5998,VALUE(B124),Delivery_Log!$A$4:$A$5998,"&gt;="&amp;$Q$2)</f>
        <v/>
      </c>
      <c r="R124" s="38" t="n"/>
    </row>
    <row r="125" ht="15" customHeight="1" s="72">
      <c r="A125" t="n">
        <v>120</v>
      </c>
      <c r="B125" s="50" t="n">
        <v>19080</v>
      </c>
      <c r="C125" s="41" t="inlineStr">
        <is>
          <t>SAR - 19080 - SARDELLA'S LAKE PLEASANT</t>
        </is>
      </c>
      <c r="D125" s="52" t="inlineStr">
        <is>
          <t>2</t>
        </is>
      </c>
      <c r="E125" s="41">
        <f>IFERROR(VLOOKUP(C125,Client_List!$B:$K,4,0)&amp;", "&amp;VLOOKUP(C125,Client_List!$B:$K,5,0)&amp;" AZ","")</f>
        <v/>
      </c>
      <c r="F125" s="38">
        <f>IFERROR(VLOOKUP(C125,Client_List!$B:$K,7,0)&amp;", "&amp;VLOOKUP(C125,Client_List!$B:$K,8,0),"")</f>
        <v/>
      </c>
      <c r="G125" s="42">
        <f>IFERROR(VLOOKUP(C125,Client_List!$B:$K,9,0),"")</f>
        <v/>
      </c>
      <c r="H125" s="18">
        <f>IFERROR(LOOKUP(2,1/((Delivery_Log!$B$4:$B$4998=VALUE(B125))*(ISNUMBER(Delivery_Log!$J$4:$J$4998))*(Delivery_Log!$J$4:$J$4998&gt;0)),Delivery_Log!$J$4:$J$4998),"")</f>
        <v/>
      </c>
      <c r="I125" s="41">
        <f>IFERROR(VLOOKUP(C125,Client_List!$B:$K,10,0),"")</f>
        <v/>
      </c>
      <c r="J125" s="19">
        <f>IFERROR(_xlfn.MAXIFS(Delivery_Log!$A$4:$A$4998,Delivery_Log!$B$4:$B$4998,VALUE(B125)),"—")</f>
        <v/>
      </c>
      <c r="K125" s="20">
        <f>IFERROR(IF(J125="—","",TODAY()-J125),"")</f>
        <v/>
      </c>
      <c r="L125" s="21">
        <f>IFERROR(IF(OR(K125="",H125=""),"",MAX(G125*0.03,G125-K125*H125)),"")</f>
        <v/>
      </c>
      <c r="M125" s="21">
        <f>IFERROR(IF(L125="","",G125-L125),"")</f>
        <v/>
      </c>
      <c r="N125" s="22">
        <f>IFERROR(IF(OR(L125="",H125=""),"",MIN(21,MAX(0,(L125-G125*$C$2)/H125))),"")</f>
        <v/>
      </c>
      <c r="O125" s="34">
        <f>TODAY()+ROUNDUP(N125,0)</f>
        <v/>
      </c>
      <c r="P125" s="33">
        <f>IFERROR(IF(N125="","—",IF(N125&lt;=$E$2,"YES","—")),"—")</f>
        <v/>
      </c>
      <c r="Q125" s="17">
        <f>COUNTIFS(Delivery_Log!$B$4:$B$5998,VALUE(B125),Delivery_Log!$A$4:$A$5998,"&gt;="&amp;$Q$2)</f>
        <v/>
      </c>
      <c r="R125" s="38" t="n"/>
    </row>
    <row r="126" ht="15" customHeight="1" s="72">
      <c r="A126" t="n">
        <v>121</v>
      </c>
      <c r="B126" s="50" t="n">
        <v>19081</v>
      </c>
      <c r="C126" s="41" t="inlineStr">
        <is>
          <t>SAR - 19081 - SARDELLA'S 19TH AVE</t>
        </is>
      </c>
      <c r="D126" s="52" t="inlineStr">
        <is>
          <t>3</t>
        </is>
      </c>
      <c r="E126" s="41">
        <f>IFERROR(VLOOKUP(C126,Client_List!$B:$K,4,0)&amp;", "&amp;VLOOKUP(C126,Client_List!$B:$K,5,0)&amp;" AZ","")</f>
        <v/>
      </c>
      <c r="F126" s="38">
        <f>IFERROR(VLOOKUP(C126,Client_List!$B:$K,7,0)&amp;", "&amp;VLOOKUP(C126,Client_List!$B:$K,8,0),"")</f>
        <v/>
      </c>
      <c r="G126" s="42">
        <f>IFERROR(VLOOKUP(C126,Client_List!$B:$K,9,0),"")</f>
        <v/>
      </c>
      <c r="H126" s="18">
        <f>IFERROR(LOOKUP(2,1/((Delivery_Log!$B$4:$B$4998=VALUE(B126))*(ISNUMBER(Delivery_Log!$J$4:$J$4998))*(Delivery_Log!$J$4:$J$4998&gt;0)),Delivery_Log!$J$4:$J$4998),"")</f>
        <v/>
      </c>
      <c r="I126" s="41">
        <f>IFERROR(VLOOKUP(C126,Client_List!$B:$K,10,0),"")</f>
        <v/>
      </c>
      <c r="J126" s="19">
        <f>IFERROR(_xlfn.MAXIFS(Delivery_Log!$A$4:$A$4998,Delivery_Log!$B$4:$B$4998,VALUE(B126)),"—")</f>
        <v/>
      </c>
      <c r="K126" s="20">
        <f>IFERROR(IF(J126="—","",TODAY()-J126),"")</f>
        <v/>
      </c>
      <c r="L126" s="21">
        <f>IFERROR(IF(OR(K126="",H126=""),"",MAX(G126*0.03,G126-K126*H126)),"")</f>
        <v/>
      </c>
      <c r="M126" s="21">
        <f>IFERROR(IF(L126="","",G126-L126),"")</f>
        <v/>
      </c>
      <c r="N126" s="22">
        <f>IFERROR(IF(OR(L126="",H126=""),"",MIN(21,MAX(0,(L126-G126*$C$2)/H126))),"")</f>
        <v/>
      </c>
      <c r="O126" s="34">
        <f>TODAY()+ROUNDUP(N126,0)</f>
        <v/>
      </c>
      <c r="P126" s="32">
        <f>IFERROR(IF(N126="","—",IF(N126&lt;=$E$2,"YES","—")),"—")</f>
        <v/>
      </c>
      <c r="Q126" s="17">
        <f>COUNTIFS(Delivery_Log!$B$4:$B$5998,VALUE(B126),Delivery_Log!$A$4:$A$5998,"&gt;="&amp;$Q$2)</f>
        <v/>
      </c>
      <c r="R126" s="38" t="n"/>
    </row>
    <row r="127" ht="15" customHeight="1" s="72">
      <c r="A127" t="n">
        <v>122</v>
      </c>
      <c r="B127" s="50" t="n">
        <v>19082</v>
      </c>
      <c r="C127" s="41" t="inlineStr">
        <is>
          <t>SAR - 19082 - SARDELLA'S CACTUS</t>
        </is>
      </c>
      <c r="D127" s="52" t="inlineStr">
        <is>
          <t>3</t>
        </is>
      </c>
      <c r="E127" s="41">
        <f>IFERROR(VLOOKUP(C127,Client_List!$B:$K,4,0)&amp;", "&amp;VLOOKUP(C127,Client_List!$B:$K,5,0)&amp;" AZ","")</f>
        <v/>
      </c>
      <c r="F127" s="38">
        <f>IFERROR(VLOOKUP(C127,Client_List!$B:$K,7,0)&amp;", "&amp;VLOOKUP(C127,Client_List!$B:$K,8,0),"")</f>
        <v/>
      </c>
      <c r="G127" s="42">
        <f>IFERROR(VLOOKUP(C127,Client_List!$B:$K,9,0),"")</f>
        <v/>
      </c>
      <c r="H127" s="18">
        <f>IFERROR(LOOKUP(2,1/((Delivery_Log!$B$4:$B$4998=VALUE(B127))*(ISNUMBER(Delivery_Log!$J$4:$J$4998))*(Delivery_Log!$J$4:$J$4998&gt;0)),Delivery_Log!$J$4:$J$4998),"")</f>
        <v/>
      </c>
      <c r="I127" s="41">
        <f>IFERROR(VLOOKUP(C127,Client_List!$B:$K,10,0),"")</f>
        <v/>
      </c>
      <c r="J127" s="19">
        <f>IFERROR(_xlfn.MAXIFS(Delivery_Log!$A$4:$A$4998,Delivery_Log!$B$4:$B$4998,VALUE(B127)),"—")</f>
        <v/>
      </c>
      <c r="K127" s="20">
        <f>IFERROR(IF(J127="—","",TODAY()-J127),"")</f>
        <v/>
      </c>
      <c r="L127" s="21">
        <f>IFERROR(IF(OR(K127="",H127=""),"",MAX(G127*0.03,G127-K127*H127)),"")</f>
        <v/>
      </c>
      <c r="M127" s="21">
        <f>IFERROR(IF(L127="","",G127-L127),"")</f>
        <v/>
      </c>
      <c r="N127" s="22">
        <f>IFERROR(IF(OR(L127="",H127=""),"",MIN(21,MAX(0,(L127-G127*$C$2)/H127))),"")</f>
        <v/>
      </c>
      <c r="O127" s="34">
        <f>TODAY()+ROUNDUP(N127,0)</f>
        <v/>
      </c>
      <c r="P127" s="33">
        <f>IFERROR(IF(N127="","—",IF(N127&lt;=$E$2,"YES","—")),"—")</f>
        <v/>
      </c>
      <c r="Q127" s="17">
        <f>COUNTIFS(Delivery_Log!$B$4:$B$5998,VALUE(B127),Delivery_Log!$A$4:$A$5998,"&gt;="&amp;$Q$2)</f>
        <v/>
      </c>
      <c r="R127" s="38" t="n"/>
    </row>
    <row r="128" ht="15" customHeight="1" s="72">
      <c r="A128" t="n">
        <v>123</v>
      </c>
      <c r="B128" s="50" t="n">
        <v>19089</v>
      </c>
      <c r="C128" s="41" t="inlineStr">
        <is>
          <t>SEI - 19089 - SEIDO SUSHI</t>
        </is>
      </c>
      <c r="D128" s="52" t="inlineStr">
        <is>
          <t>3</t>
        </is>
      </c>
      <c r="E128" s="41">
        <f>IFERROR(VLOOKUP(C128,Client_List!$B:$K,4,0)&amp;", "&amp;VLOOKUP(C128,Client_List!$B:$K,5,0)&amp;" AZ","")</f>
        <v/>
      </c>
      <c r="F128" s="38">
        <f>IFERROR(VLOOKUP(C128,Client_List!$B:$K,7,0)&amp;", "&amp;VLOOKUP(C128,Client_List!$B:$K,8,0),"")</f>
        <v/>
      </c>
      <c r="G128" s="42">
        <f>IFERROR(VLOOKUP(C128,Client_List!$B:$K,9,0),"")</f>
        <v/>
      </c>
      <c r="H128" s="18">
        <f>IFERROR(LOOKUP(2,1/((Delivery_Log!$B$4:$B$4998=VALUE(B128))*(ISNUMBER(Delivery_Log!$J$4:$J$4998))*(Delivery_Log!$J$4:$J$4998&gt;0)),Delivery_Log!$J$4:$J$4998),"")</f>
        <v/>
      </c>
      <c r="I128" s="41">
        <f>IFERROR(VLOOKUP(C128,Client_List!$B:$K,10,0),"")</f>
        <v/>
      </c>
      <c r="J128" s="19">
        <f>IFERROR(_xlfn.MAXIFS(Delivery_Log!$A$4:$A$4998,Delivery_Log!$B$4:$B$4998,VALUE(B128)),"—")</f>
        <v/>
      </c>
      <c r="K128" s="20">
        <f>IFERROR(IF(J128="—","",TODAY()-J128),"")</f>
        <v/>
      </c>
      <c r="L128" s="21">
        <f>IFERROR(IF(OR(K128="",H128=""),"",MAX(G128*0.03,G128-K128*H128)),"")</f>
        <v/>
      </c>
      <c r="M128" s="21">
        <f>IFERROR(IF(L128="","",G128-L128),"")</f>
        <v/>
      </c>
      <c r="N128" s="22">
        <f>IFERROR(IF(OR(L128="",H128=""),"",MIN(21,MAX(0,(L128-G128*$C$2)/H128))),"")</f>
        <v/>
      </c>
      <c r="O128" s="34">
        <f>TODAY()+ROUNDUP(N128,0)</f>
        <v/>
      </c>
      <c r="P128" s="33">
        <f>IFERROR(IF(N128="","—",IF(N128&lt;=$E$2,"YES","—")),"—")</f>
        <v/>
      </c>
      <c r="Q128" s="17">
        <f>COUNTIFS(Delivery_Log!$B$4:$B$5998,VALUE(B128),Delivery_Log!$A$4:$A$5998,"&gt;="&amp;$Q$2)</f>
        <v/>
      </c>
      <c r="R128" s="38" t="n"/>
    </row>
    <row r="129" ht="15" customHeight="1" s="72">
      <c r="A129" t="n">
        <v>124</v>
      </c>
      <c r="B129" s="50" t="n">
        <v>19107</v>
      </c>
      <c r="C129" s="41" t="inlineStr">
        <is>
          <t>SHA - 19107 - SHARKO'S CATERING</t>
        </is>
      </c>
      <c r="D129" s="52" t="inlineStr">
        <is>
          <t>3</t>
        </is>
      </c>
      <c r="E129" s="41">
        <f>IFERROR(VLOOKUP(C129,Client_List!$B:$K,4,0)&amp;", "&amp;VLOOKUP(C129,Client_List!$B:$K,5,0)&amp;" AZ","")</f>
        <v/>
      </c>
      <c r="F129" s="38">
        <f>IFERROR(VLOOKUP(C129,Client_List!$B:$K,7,0)&amp;", "&amp;VLOOKUP(C129,Client_List!$B:$K,8,0),"")</f>
        <v/>
      </c>
      <c r="G129" s="42">
        <f>IFERROR(VLOOKUP(C129,Client_List!$B:$K,9,0),"")</f>
        <v/>
      </c>
      <c r="H129" s="18">
        <f>IFERROR(LOOKUP(2,1/((Delivery_Log!$B$4:$B$4998=VALUE(B129))*(ISNUMBER(Delivery_Log!$J$4:$J$4998))*(Delivery_Log!$J$4:$J$4998&gt;0)),Delivery_Log!$J$4:$J$4998),"")</f>
        <v/>
      </c>
      <c r="I129" s="41">
        <f>IFERROR(VLOOKUP(C129,Client_List!$B:$K,10,0),"")</f>
        <v/>
      </c>
      <c r="J129" s="19">
        <f>IFERROR(_xlfn.MAXIFS(Delivery_Log!$A$4:$A$4998,Delivery_Log!$B$4:$B$4998,VALUE(B129)),"—")</f>
        <v/>
      </c>
      <c r="K129" s="20">
        <f>IFERROR(IF(J129="—","",TODAY()-J129),"")</f>
        <v/>
      </c>
      <c r="L129" s="21">
        <f>IFERROR(IF(OR(K129="",H129=""),"",MAX(G129*0.03,G129-K129*H129)),"")</f>
        <v/>
      </c>
      <c r="M129" s="21">
        <f>IFERROR(IF(L129="","",G129-L129),"")</f>
        <v/>
      </c>
      <c r="N129" s="22">
        <f>IFERROR(IF(OR(L129="",H129=""),"",MIN(21,MAX(0,(L129-G129*$C$2)/H129))),"")</f>
        <v/>
      </c>
      <c r="O129" s="34">
        <f>TODAY()+ROUNDUP(N129,0)</f>
        <v/>
      </c>
      <c r="P129" s="32">
        <f>IFERROR(IF(N129="","—",IF(N129&lt;=$E$2,"YES","—")),"—")</f>
        <v/>
      </c>
      <c r="Q129" s="17">
        <f>COUNTIFS(Delivery_Log!$B$4:$B$5998,VALUE(B129),Delivery_Log!$A$4:$A$5998,"&gt;="&amp;$Q$2)</f>
        <v/>
      </c>
      <c r="R129" s="38" t="n"/>
    </row>
    <row r="130" ht="15" customHeight="1" s="72">
      <c r="A130" t="n">
        <v>125</v>
      </c>
      <c r="B130" s="50" t="n">
        <v>19110</v>
      </c>
      <c r="C130" s="41" t="inlineStr">
        <is>
          <t>SOC - 19110 - SOCIAL TAP EATERY</t>
        </is>
      </c>
      <c r="D130" s="52" t="inlineStr">
        <is>
          <t>4</t>
        </is>
      </c>
      <c r="E130" s="41">
        <f>IFERROR(VLOOKUP(C130,Client_List!$B:$K,4,0)&amp;", "&amp;VLOOKUP(C130,Client_List!$B:$K,5,0)&amp;" AZ","")</f>
        <v/>
      </c>
      <c r="F130" s="38">
        <f>IFERROR(VLOOKUP(C130,Client_List!$B:$K,7,0)&amp;", "&amp;VLOOKUP(C130,Client_List!$B:$K,8,0),"")</f>
        <v/>
      </c>
      <c r="G130" s="42">
        <f>IFERROR(VLOOKUP(C130,Client_List!$B:$K,9,0),"")</f>
        <v/>
      </c>
      <c r="H130" s="18">
        <f>IFERROR(LOOKUP(2,1/((Delivery_Log!$B$4:$B$4998=VALUE(B130))*(ISNUMBER(Delivery_Log!$J$4:$J$4998))*(Delivery_Log!$J$4:$J$4998&gt;0)),Delivery_Log!$J$4:$J$4998),"")</f>
        <v/>
      </c>
      <c r="I130" s="41">
        <f>IFERROR(VLOOKUP(C130,Client_List!$B:$K,10,0),"")</f>
        <v/>
      </c>
      <c r="J130" s="19">
        <f>IFERROR(_xlfn.MAXIFS(Delivery_Log!$A$4:$A$4998,Delivery_Log!$B$4:$B$4998,VALUE(B130)),"—")</f>
        <v/>
      </c>
      <c r="K130" s="20">
        <f>IFERROR(IF(J130="—","",TODAY()-J130),"")</f>
        <v/>
      </c>
      <c r="L130" s="21">
        <f>IFERROR(IF(OR(K130="",H130=""),"",MAX(G130*0.03,G130-K130*H130)),"")</f>
        <v/>
      </c>
      <c r="M130" s="21">
        <f>IFERROR(IF(L130="","",G130-L130),"")</f>
        <v/>
      </c>
      <c r="N130" s="22">
        <f>IFERROR(IF(OR(L130="",H130=""),"",MIN(21,MAX(0,(L130-G130*$C$2)/H130))),"")</f>
        <v/>
      </c>
      <c r="O130" s="34">
        <f>TODAY()+ROUNDUP(N130,0)</f>
        <v/>
      </c>
      <c r="P130" s="32">
        <f>IFERROR(IF(N130="","—",IF(N130&lt;=$E$2,"YES","—")),"—")</f>
        <v/>
      </c>
      <c r="Q130" s="17">
        <f>COUNTIFS(Delivery_Log!$B$4:$B$5998,VALUE(B130),Delivery_Log!$A$4:$A$5998,"&gt;="&amp;$Q$2)</f>
        <v/>
      </c>
      <c r="R130" s="38" t="n"/>
    </row>
    <row r="131" ht="15" customHeight="1" s="72">
      <c r="A131" t="n">
        <v>126</v>
      </c>
      <c r="B131" s="50" t="n">
        <v>19119</v>
      </c>
      <c r="C131" s="41" t="inlineStr">
        <is>
          <t>SOU - 19119 - SOUL FIRE TACOS</t>
        </is>
      </c>
      <c r="D131" s="52" t="inlineStr">
        <is>
          <t>4</t>
        </is>
      </c>
      <c r="E131" s="41">
        <f>IFERROR(VLOOKUP(C131,Client_List!$B:$K,4,0)&amp;", "&amp;VLOOKUP(C131,Client_List!$B:$K,5,0)&amp;" AZ","")</f>
        <v/>
      </c>
      <c r="F131" s="38">
        <f>IFERROR(VLOOKUP(C131,Client_List!$B:$K,7,0)&amp;", "&amp;VLOOKUP(C131,Client_List!$B:$K,8,0),"")</f>
        <v/>
      </c>
      <c r="G131" s="42">
        <f>IFERROR(VLOOKUP(C131,Client_List!$B:$K,9,0),"")</f>
        <v/>
      </c>
      <c r="H131" s="18">
        <f>IFERROR(LOOKUP(2,1/((Delivery_Log!$B$4:$B$4998=VALUE(B131))*(ISNUMBER(Delivery_Log!$J$4:$J$4998))*(Delivery_Log!$J$4:$J$4998&gt;0)),Delivery_Log!$J$4:$J$4998),"")</f>
        <v/>
      </c>
      <c r="I131" s="41">
        <f>IFERROR(VLOOKUP(C131,Client_List!$B:$K,10,0),"")</f>
        <v/>
      </c>
      <c r="J131" s="19">
        <f>IFERROR(_xlfn.MAXIFS(Delivery_Log!$A$4:$A$4998,Delivery_Log!$B$4:$B$4998,VALUE(B131)),"—")</f>
        <v/>
      </c>
      <c r="K131" s="20">
        <f>IFERROR(IF(J131="—","",TODAY()-J131),"")</f>
        <v/>
      </c>
      <c r="L131" s="21">
        <f>IFERROR(IF(OR(K131="",H131=""),"",MAX(G131*0.03,G131-K131*H131)),"")</f>
        <v/>
      </c>
      <c r="M131" s="21">
        <f>IFERROR(IF(L131="","",G131-L131),"")</f>
        <v/>
      </c>
      <c r="N131" s="22">
        <f>IFERROR(IF(OR(L131="",H131=""),"",MIN(21,MAX(0,(L131-G131*$C$2)/H131))),"")</f>
        <v/>
      </c>
      <c r="O131" s="34">
        <f>TODAY()+ROUNDUP(N131,0)</f>
        <v/>
      </c>
      <c r="P131" s="33">
        <f>IFERROR(IF(N131="","—",IF(N131&lt;=$E$2,"YES","—")),"—")</f>
        <v/>
      </c>
      <c r="Q131" s="17">
        <f>COUNTIFS(Delivery_Log!$B$4:$B$5998,VALUE(B131),Delivery_Log!$A$4:$A$5998,"&gt;="&amp;$Q$2)</f>
        <v/>
      </c>
      <c r="R131" s="38" t="n"/>
    </row>
    <row r="132" ht="15" customHeight="1" s="72">
      <c r="A132" t="n">
        <v>127</v>
      </c>
      <c r="B132" s="50" t="n">
        <v>19031</v>
      </c>
      <c r="C132" s="41" t="inlineStr">
        <is>
          <t>STA - 19031 - STATE 48 BREWERY</t>
        </is>
      </c>
      <c r="D132" s="52" t="inlineStr">
        <is>
          <t>1</t>
        </is>
      </c>
      <c r="E132" s="41">
        <f>IFERROR(VLOOKUP(C132,Client_List!$B:$K,4,0)&amp;", "&amp;VLOOKUP(C132,Client_List!$B:$K,5,0)&amp;" AZ","")</f>
        <v/>
      </c>
      <c r="F132" s="38">
        <f>IFERROR(VLOOKUP(C132,Client_List!$B:$K,7,0)&amp;", "&amp;VLOOKUP(C132,Client_List!$B:$K,8,0),"")</f>
        <v/>
      </c>
      <c r="G132" s="42">
        <f>IFERROR(VLOOKUP(C132,Client_List!$B:$K,9,0),"")</f>
        <v/>
      </c>
      <c r="H132" s="18">
        <f>IFERROR(LOOKUP(2,1/((Delivery_Log!$B$4:$B$4998=VALUE(B132))*(ISNUMBER(Delivery_Log!$J$4:$J$4998))*(Delivery_Log!$J$4:$J$4998&gt;0)),Delivery_Log!$J$4:$J$4998),"")</f>
        <v/>
      </c>
      <c r="I132" s="41">
        <f>IFERROR(VLOOKUP(C132,Client_List!$B:$K,10,0),"")</f>
        <v/>
      </c>
      <c r="J132" s="19">
        <f>IFERROR(_xlfn.MAXIFS(Delivery_Log!$A$4:$A$4998,Delivery_Log!$B$4:$B$4998,VALUE(B132)),"—")</f>
        <v/>
      </c>
      <c r="K132" s="20">
        <f>IFERROR(IF(J132="—","",TODAY()-J132),"")</f>
        <v/>
      </c>
      <c r="L132" s="21">
        <f>IFERROR(IF(OR(K132="",H132=""),"",MAX(G132*0.03,G132-K132*H132)),"")</f>
        <v/>
      </c>
      <c r="M132" s="21">
        <f>IFERROR(IF(L132="","",G132-L132),"")</f>
        <v/>
      </c>
      <c r="N132" s="22">
        <f>IFERROR(IF(OR(L132="",H132=""),"",MIN(21,MAX(0,(L132-G132*$C$2)/H132))),"")</f>
        <v/>
      </c>
      <c r="O132" s="34">
        <f>TODAY()+ROUNDUP(N132,0)</f>
        <v/>
      </c>
      <c r="P132" s="33">
        <f>IFERROR(IF(N132="","—",IF(N132&lt;=$E$2,"YES","—")),"—")</f>
        <v/>
      </c>
      <c r="Q132" s="17">
        <f>COUNTIFS(Delivery_Log!$B$4:$B$5998,VALUE(B132),Delivery_Log!$A$4:$A$5998,"&gt;="&amp;$Q$2)</f>
        <v/>
      </c>
      <c r="R132" s="38" t="n"/>
    </row>
    <row r="133" ht="15" customHeight="1" s="72">
      <c r="A133" t="n">
        <v>128</v>
      </c>
      <c r="B133" s="50" t="n">
        <v>19033</v>
      </c>
      <c r="C133" s="41" t="inlineStr">
        <is>
          <t>STA - 19033 - STATE 48 SCOTTSDALE</t>
        </is>
      </c>
      <c r="D133" s="52" t="inlineStr">
        <is>
          <t>4</t>
        </is>
      </c>
      <c r="E133" s="41">
        <f>IFERROR(VLOOKUP(C133,Client_List!$B:$K,4,0)&amp;", "&amp;VLOOKUP(C133,Client_List!$B:$K,5,0)&amp;" AZ","")</f>
        <v/>
      </c>
      <c r="F133" s="38">
        <f>IFERROR(VLOOKUP(C133,Client_List!$B:$K,7,0)&amp;", "&amp;VLOOKUP(C133,Client_List!$B:$K,8,0),"")</f>
        <v/>
      </c>
      <c r="G133" s="42">
        <f>IFERROR(VLOOKUP(C133,Client_List!$B:$K,9,0),"")</f>
        <v/>
      </c>
      <c r="H133" s="18">
        <f>IFERROR(LOOKUP(2,1/((Delivery_Log!$B$4:$B$4998=VALUE(B133))*(ISNUMBER(Delivery_Log!$J$4:$J$4998))*(Delivery_Log!$J$4:$J$4998&gt;0)),Delivery_Log!$J$4:$J$4998),"")</f>
        <v/>
      </c>
      <c r="I133" s="41">
        <f>IFERROR(VLOOKUP(C133,Client_List!$B:$K,10,0),"")</f>
        <v/>
      </c>
      <c r="J133" s="19">
        <f>IFERROR(_xlfn.MAXIFS(Delivery_Log!$A$4:$A$4998,Delivery_Log!$B$4:$B$4998,VALUE(B133)),"—")</f>
        <v/>
      </c>
      <c r="K133" s="20">
        <f>IFERROR(IF(J133="—","",TODAY()-J133),"")</f>
        <v/>
      </c>
      <c r="L133" s="21">
        <f>IFERROR(IF(OR(K133="",H133=""),"",MAX(G133*0.03,G133-K133*H133)),"")</f>
        <v/>
      </c>
      <c r="M133" s="21">
        <f>IFERROR(IF(L133="","",G133-L133),"")</f>
        <v/>
      </c>
      <c r="N133" s="22">
        <f>IFERROR(IF(OR(L133="",H133=""),"",MIN(21,MAX(0,(L133-G133*$C$2)/H133))),"")</f>
        <v/>
      </c>
      <c r="O133" s="34">
        <f>TODAY()+ROUNDUP(N133,0)</f>
        <v/>
      </c>
      <c r="P133" s="33">
        <f>IFERROR(IF(N133="","—",IF(N133&lt;=$E$2,"YES","—")),"—")</f>
        <v/>
      </c>
      <c r="Q133" s="17">
        <f>COUNTIFS(Delivery_Log!$B$4:$B$5998,VALUE(B133),Delivery_Log!$A$4:$A$5998,"&gt;="&amp;$Q$2)</f>
        <v/>
      </c>
      <c r="R133" s="38" t="n"/>
    </row>
    <row r="134" ht="15" customHeight="1" s="72">
      <c r="A134" t="n">
        <v>129</v>
      </c>
      <c r="B134" s="50" t="n">
        <v>19035</v>
      </c>
      <c r="C134" s="41" t="inlineStr">
        <is>
          <t>STA - 19035 - STATE 48 GLENDALE</t>
        </is>
      </c>
      <c r="D134" s="52" t="inlineStr">
        <is>
          <t>2</t>
        </is>
      </c>
      <c r="E134" s="41">
        <f>IFERROR(VLOOKUP(C134,Client_List!$B:$K,4,0)&amp;", "&amp;VLOOKUP(C134,Client_List!$B:$K,5,0)&amp;" AZ","")</f>
        <v/>
      </c>
      <c r="F134" s="38">
        <f>IFERROR(VLOOKUP(C134,Client_List!$B:$K,7,0)&amp;", "&amp;VLOOKUP(C134,Client_List!$B:$K,8,0),"")</f>
        <v/>
      </c>
      <c r="G134" s="42">
        <f>IFERROR(VLOOKUP(C134,Client_List!$B:$K,9,0),"")</f>
        <v/>
      </c>
      <c r="H134" s="18">
        <f>IFERROR(LOOKUP(2,1/((Delivery_Log!$B$4:$B$4998=VALUE(B134))*(ISNUMBER(Delivery_Log!$J$4:$J$4998))*(Delivery_Log!$J$4:$J$4998&gt;0)),Delivery_Log!$J$4:$J$4998),"")</f>
        <v/>
      </c>
      <c r="I134" s="41">
        <f>IFERROR(VLOOKUP(C134,Client_List!$B:$K,10,0),"")</f>
        <v/>
      </c>
      <c r="J134" s="19">
        <f>IFERROR(_xlfn.MAXIFS(Delivery_Log!$A$4:$A$4998,Delivery_Log!$B$4:$B$4998,VALUE(B134)),"—")</f>
        <v/>
      </c>
      <c r="K134" s="20">
        <f>IFERROR(IF(J134="—","",TODAY()-J134),"")</f>
        <v/>
      </c>
      <c r="L134" s="21">
        <f>IFERROR(IF(OR(K134="",H134=""),"",MAX(G134*0.03,G134-K134*H134)),"")</f>
        <v/>
      </c>
      <c r="M134" s="21">
        <f>IFERROR(IF(L134="","",G134-L134),"")</f>
        <v/>
      </c>
      <c r="N134" s="22">
        <f>IFERROR(IF(OR(L134="",H134=""),"",MIN(21,MAX(0,(L134-G134*$C$2)/H134))),"")</f>
        <v/>
      </c>
      <c r="O134" s="34">
        <f>TODAY()+ROUNDUP(N134,0)</f>
        <v/>
      </c>
      <c r="P134" s="33">
        <f>IFERROR(IF(N134="","—",IF(N134&lt;=$E$2,"YES","—")),"—")</f>
        <v/>
      </c>
      <c r="Q134" s="17">
        <f>COUNTIFS(Delivery_Log!$B$4:$B$5998,VALUE(B134),Delivery_Log!$A$4:$A$5998,"&gt;="&amp;$Q$2)</f>
        <v/>
      </c>
      <c r="R134" s="38" t="n"/>
    </row>
    <row r="135" ht="15" customHeight="1" s="72">
      <c r="A135" t="n">
        <v>130</v>
      </c>
      <c r="B135" s="50" t="inlineStr">
        <is>
          <t>19123</t>
        </is>
      </c>
      <c r="C135" s="41" t="inlineStr">
        <is>
          <t>STA - 19123 - STATE 48 HAPPY VALLEY</t>
        </is>
      </c>
      <c r="D135" s="52" t="inlineStr">
        <is>
          <t>3</t>
        </is>
      </c>
      <c r="E135" s="41">
        <f>IFERROR(VLOOKUP(C135,Client_List!$B:$K,4,0)&amp;", "&amp;VLOOKUP(C135,Client_List!$B:$K,5,0)&amp;" AZ","")</f>
        <v/>
      </c>
      <c r="F135" s="38">
        <f>IFERROR(VLOOKUP(C135,Client_List!$B:$K,7,0)&amp;", "&amp;VLOOKUP(C135,Client_List!$B:$K,8,0),"")</f>
        <v/>
      </c>
      <c r="G135" s="42">
        <f>IFERROR(VLOOKUP(C135,Client_List!$B:$K,9,0),"")</f>
        <v/>
      </c>
      <c r="H135" s="18">
        <f>IFERROR(LOOKUP(2,1/((Delivery_Log!$B$4:$B$4998=VALUE(B135))*(ISNUMBER(Delivery_Log!$J$4:$J$4998))*(Delivery_Log!$J$4:$J$4998&gt;0)),Delivery_Log!$J$4:$J$4998),"")</f>
        <v/>
      </c>
      <c r="I135" s="41">
        <f>IFERROR(VLOOKUP(C135,Client_List!$B:$K,10,0),"")</f>
        <v/>
      </c>
      <c r="J135" s="19">
        <f>IFERROR(_xlfn.MAXIFS(Delivery_Log!$A$4:$A$4998,Delivery_Log!$B$4:$B$4998,VALUE(B135)),"—")</f>
        <v/>
      </c>
      <c r="K135" s="20">
        <f>IFERROR(IF(J135="—","",TODAY()-J135),"")</f>
        <v/>
      </c>
      <c r="L135" s="21">
        <f>IFERROR(IF(OR(K135="",H135=""),"",MAX(G135*0.03,G135-K135*H135)),"")</f>
        <v/>
      </c>
      <c r="M135" s="21">
        <f>IFERROR(IF(L135="","",G135-L135),"")</f>
        <v/>
      </c>
      <c r="N135" s="22">
        <f>IFERROR(IF(OR(L135="",H135=""),"",MIN(21,MAX(0,(L135-G135*$C$2)/H135))),"")</f>
        <v/>
      </c>
      <c r="O135" s="34">
        <f>TODAY()+ROUNDUP(N135,0)</f>
        <v/>
      </c>
      <c r="P135" s="33">
        <f>IFERROR(IF(N135="","—",IF(N135&lt;=$E$2,"YES","—")),"—")</f>
        <v/>
      </c>
      <c r="Q135" s="17">
        <f>COUNTIFS(Delivery_Log!$B$4:$B$5998,VALUE(B135),Delivery_Log!$A$4:$A$5998,"&gt;="&amp;$Q$2)</f>
        <v/>
      </c>
      <c r="R135" s="38" t="n"/>
    </row>
    <row r="136" ht="15" customHeight="1" s="72">
      <c r="A136" t="n">
        <v>131</v>
      </c>
      <c r="B136" s="50" t="n">
        <v>19077</v>
      </c>
      <c r="C136" s="41" t="inlineStr">
        <is>
          <t>SUG - 19077- SUGAR JAM</t>
        </is>
      </c>
      <c r="D136" s="52" t="inlineStr">
        <is>
          <t>4</t>
        </is>
      </c>
      <c r="E136" s="41">
        <f>IFERROR(VLOOKUP(C136,Client_List!$B:$K,4,0)&amp;", "&amp;VLOOKUP(C136,Client_List!$B:$K,5,0)&amp;" AZ","")</f>
        <v/>
      </c>
      <c r="F136" s="38">
        <f>IFERROR(VLOOKUP(C136,Client_List!$B:$K,7,0)&amp;", "&amp;VLOOKUP(C136,Client_List!$B:$K,8,0),"")</f>
        <v/>
      </c>
      <c r="G136" s="42">
        <f>IFERROR(VLOOKUP(C136,Client_List!$B:$K,9,0),"")</f>
        <v/>
      </c>
      <c r="H136" s="18">
        <f>IFERROR(LOOKUP(2,1/((Delivery_Log!$B$4:$B$4998=VALUE(B136))*(ISNUMBER(Delivery_Log!$J$4:$J$4998))*(Delivery_Log!$J$4:$J$4998&gt;0)),Delivery_Log!$J$4:$J$4998),"")</f>
        <v/>
      </c>
      <c r="I136" s="41">
        <f>IFERROR(VLOOKUP(C136,Client_List!$B:$K,10,0),"")</f>
        <v/>
      </c>
      <c r="J136" s="19">
        <f>IFERROR(_xlfn.MAXIFS(Delivery_Log!$A$4:$A$4998,Delivery_Log!$B$4:$B$4998,VALUE(B136)),"—")</f>
        <v/>
      </c>
      <c r="K136" s="20">
        <f>IFERROR(IF(J136="—","",TODAY()-J136),"")</f>
        <v/>
      </c>
      <c r="L136" s="21">
        <f>IFERROR(IF(OR(K136="",H136=""),"",MAX(G136*0.03,G136-K136*H136)),"")</f>
        <v/>
      </c>
      <c r="M136" s="21">
        <f>IFERROR(IF(L136="","",G136-L136),"")</f>
        <v/>
      </c>
      <c r="N136" s="22">
        <f>IFERROR(IF(OR(L136="",H136=""),"",MIN(21,MAX(0,(L136-G136*$C$2)/H136))),"")</f>
        <v/>
      </c>
      <c r="O136" s="34">
        <f>TODAY()+ROUNDUP(N136,0)</f>
        <v/>
      </c>
      <c r="P136" s="33">
        <f>IFERROR(IF(N136="","—",IF(N136&lt;=$E$2,"YES","—")),"—")</f>
        <v/>
      </c>
      <c r="Q136" s="17">
        <f>COUNTIFS(Delivery_Log!$B$4:$B$5998,VALUE(B136),Delivery_Log!$A$4:$A$5998,"&gt;="&amp;$Q$2)</f>
        <v/>
      </c>
      <c r="R136" s="38" t="n"/>
    </row>
    <row r="137" ht="15" customHeight="1" s="72">
      <c r="A137" t="n">
        <v>132</v>
      </c>
      <c r="B137" s="50" t="n">
        <v>19117</v>
      </c>
      <c r="C137" s="41" t="inlineStr">
        <is>
          <t>SUN - 19117 - SUNSHINE BREAKFAST BAR TEMPE</t>
        </is>
      </c>
      <c r="D137" s="52" t="inlineStr">
        <is>
          <t>3</t>
        </is>
      </c>
      <c r="E137" s="41">
        <f>IFERROR(VLOOKUP(C137,Client_List!$B:$K,4,0)&amp;", "&amp;VLOOKUP(C137,Client_List!$B:$K,5,0)&amp;" AZ","")</f>
        <v/>
      </c>
      <c r="F137" s="38">
        <f>IFERROR(VLOOKUP(C137,Client_List!$B:$K,7,0)&amp;", "&amp;VLOOKUP(C137,Client_List!$B:$K,8,0),"")</f>
        <v/>
      </c>
      <c r="G137" s="42">
        <f>IFERROR(VLOOKUP(C137,Client_List!$B:$K,9,0),"")</f>
        <v/>
      </c>
      <c r="H137" s="18">
        <f>IFERROR(LOOKUP(2,1/((Delivery_Log!$B$4:$B$4998=VALUE(B137))*(ISNUMBER(Delivery_Log!$J$4:$J$4998))*(Delivery_Log!$J$4:$J$4998&gt;0)),Delivery_Log!$J$4:$J$4998),"")</f>
        <v/>
      </c>
      <c r="I137" s="41">
        <f>IFERROR(VLOOKUP(C137,Client_List!$B:$K,10,0),"")</f>
        <v/>
      </c>
      <c r="J137" s="19">
        <f>IFERROR(_xlfn.MAXIFS(Delivery_Log!$A$4:$A$4998,Delivery_Log!$B$4:$B$4998,VALUE(B137)),"—")</f>
        <v/>
      </c>
      <c r="K137" s="20">
        <f>IFERROR(IF(J137="—","",TODAY()-J137),"")</f>
        <v/>
      </c>
      <c r="L137" s="21">
        <f>IFERROR(IF(OR(K137="",H137=""),"",MAX(G137*0.03,G137-K137*H137)),"")</f>
        <v/>
      </c>
      <c r="M137" s="21">
        <f>IFERROR(IF(L137="","",G137-L137),"")</f>
        <v/>
      </c>
      <c r="N137" s="22">
        <f>IFERROR(IF(OR(L137="",H137=""),"",MIN(21,MAX(0,(L137-G137*$C$2)/H137))),"")</f>
        <v/>
      </c>
      <c r="O137" s="34">
        <f>TODAY()+ROUNDUP(N137,0)</f>
        <v/>
      </c>
      <c r="P137" s="32">
        <f>IFERROR(IF(N137="","—",IF(N137&lt;=$E$2,"YES","—")),"—")</f>
        <v/>
      </c>
      <c r="Q137" s="17">
        <f>COUNTIFS(Delivery_Log!$B$4:$B$5998,VALUE(B137),Delivery_Log!$A$4:$A$5998,"&gt;="&amp;$Q$2)</f>
        <v/>
      </c>
      <c r="R137" s="38" t="n"/>
    </row>
    <row r="138" ht="15" customHeight="1" s="72">
      <c r="A138" t="n">
        <v>133</v>
      </c>
      <c r="B138" s="50" t="n">
        <v>20081</v>
      </c>
      <c r="C138" s="41" t="inlineStr">
        <is>
          <t>TAC - 20081 - TACO GUILD</t>
        </is>
      </c>
      <c r="D138" s="52" t="inlineStr">
        <is>
          <t>3</t>
        </is>
      </c>
      <c r="E138" s="41">
        <f>IFERROR(VLOOKUP(C138,Client_List!$B:$K,4,0)&amp;", "&amp;VLOOKUP(C138,Client_List!$B:$K,5,0)&amp;" AZ","")</f>
        <v/>
      </c>
      <c r="F138" s="38">
        <f>IFERROR(VLOOKUP(C138,Client_List!$B:$K,7,0)&amp;", "&amp;VLOOKUP(C138,Client_List!$B:$K,8,0),"")</f>
        <v/>
      </c>
      <c r="G138" s="42">
        <f>IFERROR(VLOOKUP(C138,Client_List!$B:$K,9,0),"")</f>
        <v/>
      </c>
      <c r="H138" s="18">
        <f>IFERROR(LOOKUP(2,1/((Delivery_Log!$B$4:$B$4998=VALUE(B138))*(ISNUMBER(Delivery_Log!$J$4:$J$4998))*(Delivery_Log!$J$4:$J$4998&gt;0)),Delivery_Log!$J$4:$J$4998),"")</f>
        <v/>
      </c>
      <c r="I138" s="41">
        <f>IFERROR(VLOOKUP(C138,Client_List!$B:$K,10,0),"")</f>
        <v/>
      </c>
      <c r="J138" s="19">
        <f>IFERROR(_xlfn.MAXIFS(Delivery_Log!$A$4:$A$4998,Delivery_Log!$B$4:$B$4998,VALUE(B138)),"—")</f>
        <v/>
      </c>
      <c r="K138" s="20">
        <f>IFERROR(IF(J138="—","",TODAY()-J138),"")</f>
        <v/>
      </c>
      <c r="L138" s="21">
        <f>IFERROR(IF(OR(K138="",H138=""),"",MAX(G138*0.03,G138-K138*H138)),"")</f>
        <v/>
      </c>
      <c r="M138" s="21">
        <f>IFERROR(IF(L138="","",G138-L138),"")</f>
        <v/>
      </c>
      <c r="N138" s="22">
        <f>IFERROR(IF(OR(L138="",H138=""),"",MIN(21,MAX(0,(L138-G138*$C$2)/H138))),"")</f>
        <v/>
      </c>
      <c r="O138" s="34">
        <f>TODAY()+ROUNDUP(N138,0)</f>
        <v/>
      </c>
      <c r="P138" s="33">
        <f>IFERROR(IF(N138="","—",IF(N138&lt;=$E$2,"YES","—")),"—")</f>
        <v/>
      </c>
      <c r="Q138" s="17">
        <f>COUNTIFS(Delivery_Log!$B$4:$B$5998,VALUE(B138),Delivery_Log!$A$4:$A$5998,"&gt;="&amp;$Q$2)</f>
        <v/>
      </c>
      <c r="R138" s="38" t="n"/>
    </row>
    <row r="139" ht="15" customHeight="1" s="72">
      <c r="A139" t="n">
        <v>134</v>
      </c>
      <c r="B139" s="50" t="n">
        <v>20090</v>
      </c>
      <c r="C139" s="41" t="inlineStr">
        <is>
          <t>TAI - 20090 - TAILGATERS LAKE PLEASANT</t>
        </is>
      </c>
      <c r="D139" s="52" t="inlineStr">
        <is>
          <t>2</t>
        </is>
      </c>
      <c r="E139" s="41">
        <f>IFERROR(VLOOKUP(C139,Client_List!$B:$K,4,0)&amp;", "&amp;VLOOKUP(C139,Client_List!$B:$K,5,0)&amp;" AZ","")</f>
        <v/>
      </c>
      <c r="F139" s="38">
        <f>IFERROR(VLOOKUP(C139,Client_List!$B:$K,7,0)&amp;", "&amp;VLOOKUP(C139,Client_List!$B:$K,8,0),"")</f>
        <v/>
      </c>
      <c r="G139" s="42">
        <f>IFERROR(VLOOKUP(C139,Client_List!$B:$K,9,0),"")</f>
        <v/>
      </c>
      <c r="H139" s="18">
        <f>IFERROR(LOOKUP(2,1/((Delivery_Log!$B$4:$B$4998=VALUE(B139))*(ISNUMBER(Delivery_Log!$J$4:$J$4998))*(Delivery_Log!$J$4:$J$4998&gt;0)),Delivery_Log!$J$4:$J$4998),"")</f>
        <v/>
      </c>
      <c r="I139" s="41">
        <f>IFERROR(VLOOKUP(C139,Client_List!$B:$K,10,0),"")</f>
        <v/>
      </c>
      <c r="J139" s="19">
        <f>IFERROR(_xlfn.MAXIFS(Delivery_Log!$A$4:$A$4998,Delivery_Log!$B$4:$B$4998,VALUE(B139)),"—")</f>
        <v/>
      </c>
      <c r="K139" s="20">
        <f>IFERROR(IF(J139="—","",TODAY()-J139),"")</f>
        <v/>
      </c>
      <c r="L139" s="21">
        <f>IFERROR(IF(OR(K139="",H139=""),"",MAX(G139*0.03,G139-K139*H139)),"")</f>
        <v/>
      </c>
      <c r="M139" s="21">
        <f>IFERROR(IF(L139="","",G139-L139),"")</f>
        <v/>
      </c>
      <c r="N139" s="22">
        <f>IFERROR(IF(OR(L139="",H139=""),"",MIN(21,MAX(0,(L139-G139*$C$2)/H139))),"")</f>
        <v/>
      </c>
      <c r="O139" s="34">
        <f>TODAY()+ROUNDUP(N139,0)</f>
        <v/>
      </c>
      <c r="P139" s="32">
        <f>IFERROR(IF(N139="","—",IF(N139&lt;=$E$2,"YES","—")),"—")</f>
        <v/>
      </c>
      <c r="Q139" s="17">
        <f>COUNTIFS(Delivery_Log!$B$4:$B$5998,VALUE(B139),Delivery_Log!$A$4:$A$5998,"&gt;="&amp;$Q$2)</f>
        <v/>
      </c>
      <c r="R139" s="38" t="n"/>
    </row>
    <row r="140" ht="15" customHeight="1" s="72">
      <c r="A140" t="n">
        <v>135</v>
      </c>
      <c r="B140" s="50" t="n">
        <v>20091</v>
      </c>
      <c r="C140" s="41" t="inlineStr">
        <is>
          <t>TAI - 20091 - TAILGATERS BELL SURPRISE</t>
        </is>
      </c>
      <c r="D140" s="52" t="inlineStr">
        <is>
          <t>1</t>
        </is>
      </c>
      <c r="E140" s="41">
        <f>IFERROR(VLOOKUP(C140,Client_List!$B:$K,4,0)&amp;", "&amp;VLOOKUP(C140,Client_List!$B:$K,5,0)&amp;" AZ","")</f>
        <v/>
      </c>
      <c r="F140" s="38">
        <f>IFERROR(VLOOKUP(C140,Client_List!$B:$K,7,0)&amp;", "&amp;VLOOKUP(C140,Client_List!$B:$K,8,0),"")</f>
        <v/>
      </c>
      <c r="G140" s="42">
        <f>IFERROR(VLOOKUP(C140,Client_List!$B:$K,9,0),"")</f>
        <v/>
      </c>
      <c r="H140" s="18">
        <f>IFERROR(LOOKUP(2,1/((Delivery_Log!$B$4:$B$4998=VALUE(B140))*(ISNUMBER(Delivery_Log!$J$4:$J$4998))*(Delivery_Log!$J$4:$J$4998&gt;0)),Delivery_Log!$J$4:$J$4998),"")</f>
        <v/>
      </c>
      <c r="I140" s="41">
        <f>IFERROR(VLOOKUP(C140,Client_List!$B:$K,10,0),"")</f>
        <v/>
      </c>
      <c r="J140" s="19">
        <f>IFERROR(_xlfn.MAXIFS(Delivery_Log!$A$4:$A$4998,Delivery_Log!$B$4:$B$4998,VALUE(B140)),"—")</f>
        <v/>
      </c>
      <c r="K140" s="20">
        <f>IFERROR(IF(J140="—","",TODAY()-J140),"")</f>
        <v/>
      </c>
      <c r="L140" s="21">
        <f>IFERROR(IF(OR(K140="",H140=""),"",MAX(G140*0.03,G140-K140*H140)),"")</f>
        <v/>
      </c>
      <c r="M140" s="21">
        <f>IFERROR(IF(L140="","",G140-L140),"")</f>
        <v/>
      </c>
      <c r="N140" s="22">
        <f>IFERROR(IF(OR(L140="",H140=""),"",MIN(21,MAX(0,(L140-G140*$C$2)/H140))),"")</f>
        <v/>
      </c>
      <c r="O140" s="34">
        <f>TODAY()+ROUNDUP(N140,0)</f>
        <v/>
      </c>
      <c r="P140" s="33">
        <f>IFERROR(IF(N140="","—",IF(N140&lt;=$E$2,"YES","—")),"—")</f>
        <v/>
      </c>
      <c r="Q140" s="17">
        <f>COUNTIFS(Delivery_Log!$B$4:$B$5998,VALUE(B140),Delivery_Log!$A$4:$A$5998,"&gt;="&amp;$Q$2)</f>
        <v/>
      </c>
      <c r="R140" s="38" t="n"/>
    </row>
    <row r="141" ht="15" customHeight="1" s="72">
      <c r="A141" t="n">
        <v>136</v>
      </c>
      <c r="B141" s="50" t="n">
        <v>20092</v>
      </c>
      <c r="C141" s="41" t="inlineStr">
        <is>
          <t>TAI - 20092 - TAILGATERS ESTRELLA</t>
        </is>
      </c>
      <c r="D141" s="52" t="inlineStr">
        <is>
          <t>1</t>
        </is>
      </c>
      <c r="E141" s="41">
        <f>IFERROR(VLOOKUP(C141,Client_List!$B:$K,4,0)&amp;", "&amp;VLOOKUP(C141,Client_List!$B:$K,5,0)&amp;" AZ","")</f>
        <v/>
      </c>
      <c r="F141" s="38">
        <f>IFERROR(VLOOKUP(C141,Client_List!$B:$K,7,0)&amp;", "&amp;VLOOKUP(C141,Client_List!$B:$K,8,0),"")</f>
        <v/>
      </c>
      <c r="G141" s="42">
        <f>IFERROR(VLOOKUP(C141,Client_List!$B:$K,9,0),"")</f>
        <v/>
      </c>
      <c r="H141" s="18">
        <f>IFERROR(LOOKUP(2,1/((Delivery_Log!$B$4:$B$4998=VALUE(B141))*(ISNUMBER(Delivery_Log!$J$4:$J$4998))*(Delivery_Log!$J$4:$J$4998&gt;0)),Delivery_Log!$J$4:$J$4998),"")</f>
        <v/>
      </c>
      <c r="I141" s="41">
        <f>IFERROR(VLOOKUP(C141,Client_List!$B:$K,10,0),"")</f>
        <v/>
      </c>
      <c r="J141" s="19">
        <f>IFERROR(_xlfn.MAXIFS(Delivery_Log!$A$4:$A$4998,Delivery_Log!$B$4:$B$4998,VALUE(B141)),"—")</f>
        <v/>
      </c>
      <c r="K141" s="20">
        <f>IFERROR(IF(J141="—","",TODAY()-J141),"")</f>
        <v/>
      </c>
      <c r="L141" s="21">
        <f>IFERROR(IF(OR(K141="",H141=""),"",MAX(G141*0.03,G141-K141*H141)),"")</f>
        <v/>
      </c>
      <c r="M141" s="21">
        <f>IFERROR(IF(L141="","",G141-L141),"")</f>
        <v/>
      </c>
      <c r="N141" s="22">
        <f>IFERROR(IF(OR(L141="",H141=""),"",MIN(21,MAX(0,(L141-G141*$C$2)/H141))),"")</f>
        <v/>
      </c>
      <c r="O141" s="34">
        <f>TODAY()+ROUNDUP(N141,0)</f>
        <v/>
      </c>
      <c r="P141" s="33">
        <f>IFERROR(IF(N141="","—",IF(N141&lt;=$E$2,"YES","—")),"—")</f>
        <v/>
      </c>
      <c r="Q141" s="17">
        <f>COUNTIFS(Delivery_Log!$B$4:$B$5998,VALUE(B141),Delivery_Log!$A$4:$A$5998,"&gt;="&amp;$Q$2)</f>
        <v/>
      </c>
      <c r="R141" s="38" t="n"/>
    </row>
    <row r="142" ht="15" customHeight="1" s="72">
      <c r="A142" t="n">
        <v>137</v>
      </c>
      <c r="B142" s="50" t="n">
        <v>20093</v>
      </c>
      <c r="C142" s="41" t="inlineStr">
        <is>
          <t>TAI - 20093 - TAILGATERS DYSART</t>
        </is>
      </c>
      <c r="D142" s="52" t="inlineStr">
        <is>
          <t>2</t>
        </is>
      </c>
      <c r="E142" s="41">
        <f>IFERROR(VLOOKUP(C142,Client_List!$B:$K,4,0)&amp;", "&amp;VLOOKUP(C142,Client_List!$B:$K,5,0)&amp;" AZ","")</f>
        <v/>
      </c>
      <c r="F142" s="38">
        <f>IFERROR(VLOOKUP(C142,Client_List!$B:$K,7,0)&amp;", "&amp;VLOOKUP(C142,Client_List!$B:$K,8,0),"")</f>
        <v/>
      </c>
      <c r="G142" s="42">
        <f>IFERROR(VLOOKUP(C142,Client_List!$B:$K,9,0),"")</f>
        <v/>
      </c>
      <c r="H142" s="18">
        <f>IFERROR(LOOKUP(2,1/((Delivery_Log!$B$4:$B$4998=VALUE(B142))*(ISNUMBER(Delivery_Log!$J$4:$J$4998))*(Delivery_Log!$J$4:$J$4998&gt;0)),Delivery_Log!$J$4:$J$4998),"")</f>
        <v/>
      </c>
      <c r="I142" s="41">
        <f>IFERROR(VLOOKUP(C142,Client_List!$B:$K,10,0),"")</f>
        <v/>
      </c>
      <c r="J142" s="19">
        <f>IFERROR(_xlfn.MAXIFS(Delivery_Log!$A$4:$A$4998,Delivery_Log!$B$4:$B$4998,VALUE(B142)),"—")</f>
        <v/>
      </c>
      <c r="K142" s="20">
        <f>IFERROR(IF(J142="—","",TODAY()-J142),"")</f>
        <v/>
      </c>
      <c r="L142" s="21">
        <f>IFERROR(IF(OR(K142="",H142=""),"",MAX(G142*0.03,G142-K142*H142)),"")</f>
        <v/>
      </c>
      <c r="M142" s="21">
        <f>IFERROR(IF(L142="","",G142-L142),"")</f>
        <v/>
      </c>
      <c r="N142" s="22">
        <f>IFERROR(IF(OR(L142="",H142=""),"",MIN(21,MAX(0,(L142-G142*$C$2)/H142))),"")</f>
        <v/>
      </c>
      <c r="O142" s="34">
        <f>TODAY()+ROUNDUP(N142,0)</f>
        <v/>
      </c>
      <c r="P142" s="33">
        <f>IFERROR(IF(N142="","—",IF(N142&lt;=$E$2,"YES","—")),"—")</f>
        <v/>
      </c>
      <c r="Q142" s="17">
        <f>COUNTIFS(Delivery_Log!$B$4:$B$5998,VALUE(B142),Delivery_Log!$A$4:$A$5998,"&gt;="&amp;$Q$2)</f>
        <v/>
      </c>
      <c r="R142" s="38" t="n"/>
    </row>
    <row r="143" ht="15" customHeight="1" s="72">
      <c r="A143" t="n">
        <v>138</v>
      </c>
      <c r="B143" s="50" t="n">
        <v>20094</v>
      </c>
      <c r="C143" s="41" t="inlineStr">
        <is>
          <t>TAI - 20094 - TAILGATERS WATSON</t>
        </is>
      </c>
      <c r="D143" s="52" t="inlineStr">
        <is>
          <t>1</t>
        </is>
      </c>
      <c r="E143" s="41">
        <f>IFERROR(VLOOKUP(C143,Client_List!$B:$K,4,0)&amp;", "&amp;VLOOKUP(C143,Client_List!$B:$K,5,0)&amp;" AZ","")</f>
        <v/>
      </c>
      <c r="F143" s="38">
        <f>IFERROR(VLOOKUP(C143,Client_List!$B:$K,7,0)&amp;", "&amp;VLOOKUP(C143,Client_List!$B:$K,8,0),"")</f>
        <v/>
      </c>
      <c r="G143" s="42">
        <f>IFERROR(VLOOKUP(C143,Client_List!$B:$K,9,0),"")</f>
        <v/>
      </c>
      <c r="H143" s="18">
        <f>IFERROR(LOOKUP(2,1/((Delivery_Log!$B$4:$B$4998=VALUE(B143))*(ISNUMBER(Delivery_Log!$J$4:$J$4998))*(Delivery_Log!$J$4:$J$4998&gt;0)),Delivery_Log!$J$4:$J$4998),"")</f>
        <v/>
      </c>
      <c r="I143" s="41">
        <f>IFERROR(VLOOKUP(C143,Client_List!$B:$K,10,0),"")</f>
        <v/>
      </c>
      <c r="J143" s="19">
        <f>IFERROR(_xlfn.MAXIFS(Delivery_Log!$A$4:$A$4998,Delivery_Log!$B$4:$B$4998,VALUE(B143)),"—")</f>
        <v/>
      </c>
      <c r="K143" s="20">
        <f>IFERROR(IF(J143="—","",TODAY()-J143),"")</f>
        <v/>
      </c>
      <c r="L143" s="21">
        <f>IFERROR(IF(OR(K143="",H143=""),"",MAX(G143*0.03,G143-K143*H143)),"")</f>
        <v/>
      </c>
      <c r="M143" s="21">
        <f>IFERROR(IF(L143="","",G143-L143),"")</f>
        <v/>
      </c>
      <c r="N143" s="22">
        <f>IFERROR(IF(OR(L143="",H143=""),"",MIN(21,MAX(0,(L143-G143*$C$2)/H143))),"")</f>
        <v/>
      </c>
      <c r="O143" s="34">
        <f>TODAY()+ROUNDUP(N143,0)</f>
        <v/>
      </c>
      <c r="P143" s="33">
        <f>IFERROR(IF(N143="","—",IF(N143&lt;=$E$2,"YES","—")),"—")</f>
        <v/>
      </c>
      <c r="Q143" s="17">
        <f>COUNTIFS(Delivery_Log!$B$4:$B$5998,VALUE(B143),Delivery_Log!$A$4:$A$5998,"&gt;="&amp;$Q$2)</f>
        <v/>
      </c>
      <c r="R143" s="38" t="n"/>
    </row>
    <row r="144" ht="15" customHeight="1" s="72">
      <c r="A144" t="n">
        <v>139</v>
      </c>
      <c r="B144" s="50" t="n">
        <v>20095</v>
      </c>
      <c r="C144" s="41" t="inlineStr">
        <is>
          <t>TAI - 20095 - TAILGATERS TATUM CAVE CR</t>
        </is>
      </c>
      <c r="D144" s="52" t="inlineStr">
        <is>
          <t>4</t>
        </is>
      </c>
      <c r="E144" s="41">
        <f>IFERROR(VLOOKUP(C144,Client_List!$B:$K,4,0)&amp;", "&amp;VLOOKUP(C144,Client_List!$B:$K,5,0)&amp;" AZ","")</f>
        <v/>
      </c>
      <c r="F144" s="38">
        <f>IFERROR(VLOOKUP(C144,Client_List!$B:$K,7,0)&amp;", "&amp;VLOOKUP(C144,Client_List!$B:$K,8,0),"")</f>
        <v/>
      </c>
      <c r="G144" s="42">
        <f>IFERROR(VLOOKUP(C144,Client_List!$B:$K,9,0),"")</f>
        <v/>
      </c>
      <c r="H144" s="18">
        <f>IFERROR(LOOKUP(2,1/((Delivery_Log!$B$4:$B$4998=VALUE(B144))*(ISNUMBER(Delivery_Log!$J$4:$J$4998))*(Delivery_Log!$J$4:$J$4998&gt;0)),Delivery_Log!$J$4:$J$4998),"")</f>
        <v/>
      </c>
      <c r="I144" s="41">
        <f>IFERROR(VLOOKUP(C144,Client_List!$B:$K,10,0),"")</f>
        <v/>
      </c>
      <c r="J144" s="19">
        <f>IFERROR(_xlfn.MAXIFS(Delivery_Log!$A$4:$A$4998,Delivery_Log!$B$4:$B$4998,VALUE(B144)),"—")</f>
        <v/>
      </c>
      <c r="K144" s="20">
        <f>IFERROR(IF(J144="—","",TODAY()-J144),"")</f>
        <v/>
      </c>
      <c r="L144" s="21">
        <f>IFERROR(IF(OR(K144="",H144=""),"",MAX(G144*0.03,G144-K144*H144)),"")</f>
        <v/>
      </c>
      <c r="M144" s="21">
        <f>IFERROR(IF(L144="","",G144-L144),"")</f>
        <v/>
      </c>
      <c r="N144" s="22">
        <f>IFERROR(IF(OR(L144="",H144=""),"",MIN(21,MAX(0,(L144-G144*$C$2)/H144))),"")</f>
        <v/>
      </c>
      <c r="O144" s="34">
        <f>TODAY()+ROUNDUP(N144,0)</f>
        <v/>
      </c>
      <c r="P144" s="32">
        <f>IFERROR(IF(N144="","—",IF(N144&lt;=$E$2,"YES","—")),"—")</f>
        <v/>
      </c>
      <c r="Q144" s="17">
        <f>COUNTIFS(Delivery_Log!$B$4:$B$5998,VALUE(B144),Delivery_Log!$A$4:$A$5998,"&gt;="&amp;$Q$2)</f>
        <v/>
      </c>
      <c r="R144" s="38" t="n"/>
    </row>
    <row r="145" ht="15" customHeight="1" s="72">
      <c r="A145" t="n">
        <v>140</v>
      </c>
      <c r="B145" s="50" t="n">
        <v>20098</v>
      </c>
      <c r="C145" s="41" t="inlineStr">
        <is>
          <t>TAI - 20098 - IL PRIMO BELL CAVE CREEK</t>
        </is>
      </c>
      <c r="D145" s="52" t="inlineStr">
        <is>
          <t>4</t>
        </is>
      </c>
      <c r="E145" s="41">
        <f>IFERROR(VLOOKUP(C145,Client_List!$B:$K,4,0)&amp;", "&amp;VLOOKUP(C145,Client_List!$B:$K,5,0)&amp;" AZ","")</f>
        <v/>
      </c>
      <c r="F145" s="38">
        <f>IFERROR(VLOOKUP(C145,Client_List!$B:$K,7,0)&amp;", "&amp;VLOOKUP(C145,Client_List!$B:$K,8,0),"")</f>
        <v/>
      </c>
      <c r="G145" s="42">
        <f>IFERROR(VLOOKUP(C145,Client_List!$B:$K,9,0),"")</f>
        <v/>
      </c>
      <c r="H145" s="18">
        <f>IFERROR(LOOKUP(2,1/((Delivery_Log!$B$4:$B$4998=VALUE(B145))*(ISNUMBER(Delivery_Log!$J$4:$J$4998))*(Delivery_Log!$J$4:$J$4998&gt;0)),Delivery_Log!$J$4:$J$4998),"")</f>
        <v/>
      </c>
      <c r="I145" s="41">
        <f>IFERROR(VLOOKUP(C145,Client_List!$B:$K,10,0),"")</f>
        <v/>
      </c>
      <c r="J145" s="19">
        <f>IFERROR(_xlfn.MAXIFS(Delivery_Log!$A$4:$A$4998,Delivery_Log!$B$4:$B$4998,VALUE(B145)),"—")</f>
        <v/>
      </c>
      <c r="K145" s="20">
        <f>IFERROR(IF(J145="—","",TODAY()-J145),"")</f>
        <v/>
      </c>
      <c r="L145" s="21">
        <f>IFERROR(IF(OR(K145="",H145=""),"",MAX(G145*0.03,G145-K145*H145)),"")</f>
        <v/>
      </c>
      <c r="M145" s="21">
        <f>IFERROR(IF(L145="","",G145-L145),"")</f>
        <v/>
      </c>
      <c r="N145" s="22">
        <f>IFERROR(IF(OR(L145="",H145=""),"",MIN(21,MAX(0,(L145-G145*$C$2)/H145))),"")</f>
        <v/>
      </c>
      <c r="O145" s="34">
        <f>TODAY()+ROUNDUP(N145,0)</f>
        <v/>
      </c>
      <c r="P145" s="33">
        <f>IFERROR(IF(N145="","—",IF(N145&lt;=$E$2,"YES","—")),"—")</f>
        <v/>
      </c>
      <c r="Q145" s="17">
        <f>COUNTIFS(Delivery_Log!$B$4:$B$5998,VALUE(B145),Delivery_Log!$A$4:$A$5998,"&gt;="&amp;$Q$2)</f>
        <v/>
      </c>
      <c r="R145" s="38" t="n"/>
    </row>
    <row r="146" ht="15" customHeight="1" s="72">
      <c r="A146" t="n">
        <v>141</v>
      </c>
      <c r="B146" s="50" t="n">
        <v>22006</v>
      </c>
      <c r="C146" s="41" t="inlineStr">
        <is>
          <t>TAP - 22006 - TAP HOUSE SPORTS GRILL</t>
        </is>
      </c>
      <c r="D146" s="52" t="inlineStr">
        <is>
          <t>1</t>
        </is>
      </c>
      <c r="E146" s="41">
        <f>IFERROR(VLOOKUP(C146,Client_List!$B:$K,4,0)&amp;", "&amp;VLOOKUP(C146,Client_List!$B:$K,5,0)&amp;" AZ","")</f>
        <v/>
      </c>
      <c r="F146" s="38">
        <f>IFERROR(VLOOKUP(C146,Client_List!$B:$K,7,0)&amp;", "&amp;VLOOKUP(C146,Client_List!$B:$K,8,0),"")</f>
        <v/>
      </c>
      <c r="G146" s="42">
        <f>IFERROR(VLOOKUP(C146,Client_List!$B:$K,9,0),"")</f>
        <v/>
      </c>
      <c r="H146" s="18">
        <f>IFERROR(LOOKUP(2,1/((Delivery_Log!$B$4:$B$4998=VALUE(B146))*(ISNUMBER(Delivery_Log!$J$4:$J$4998))*(Delivery_Log!$J$4:$J$4998&gt;0)),Delivery_Log!$J$4:$J$4998),"")</f>
        <v/>
      </c>
      <c r="I146" s="41">
        <f>IFERROR(VLOOKUP(C146,Client_List!$B:$K,10,0),"")</f>
        <v/>
      </c>
      <c r="J146" s="19">
        <f>IFERROR(_xlfn.MAXIFS(Delivery_Log!$A$4:$A$4998,Delivery_Log!$B$4:$B$4998,VALUE(B146)),"—")</f>
        <v/>
      </c>
      <c r="K146" s="20">
        <f>IFERROR(IF(J146="—","",TODAY()-J146),"")</f>
        <v/>
      </c>
      <c r="L146" s="21">
        <f>IFERROR(IF(OR(K146="",H146=""),"",MAX(G146*0.03,G146-K146*H146)),"")</f>
        <v/>
      </c>
      <c r="M146" s="21">
        <f>IFERROR(IF(L146="","",G146-L146),"")</f>
        <v/>
      </c>
      <c r="N146" s="22">
        <f>IFERROR(IF(OR(L146="",H146=""),"",MIN(21,MAX(0,(L146-G146*$C$2)/H146))),"")</f>
        <v/>
      </c>
      <c r="O146" s="34">
        <f>TODAY()+ROUNDUP(N146,0)</f>
        <v/>
      </c>
      <c r="P146" s="33">
        <f>IFERROR(IF(N146="","—",IF(N146&lt;=$E$2,"YES","—")),"—")</f>
        <v/>
      </c>
      <c r="Q146" s="17">
        <f>COUNTIFS(Delivery_Log!$B$4:$B$5998,VALUE(B146),Delivery_Log!$A$4:$A$5998,"&gt;="&amp;$Q$2)</f>
        <v/>
      </c>
      <c r="R146" s="38" t="n"/>
    </row>
    <row r="147" ht="15" customHeight="1" s="72">
      <c r="A147" t="n">
        <v>142</v>
      </c>
      <c r="B147" s="50" t="n">
        <v>20013</v>
      </c>
      <c r="C147" s="41" t="inlineStr">
        <is>
          <t>THE - 20013 - THE VIG HAYDEN</t>
        </is>
      </c>
      <c r="D147" s="52" t="inlineStr">
        <is>
          <t>4</t>
        </is>
      </c>
      <c r="E147" s="41">
        <f>IFERROR(VLOOKUP(C147,Client_List!$B:$K,4,0)&amp;", "&amp;VLOOKUP(C147,Client_List!$B:$K,5,0)&amp;" AZ","")</f>
        <v/>
      </c>
      <c r="F147" s="38">
        <f>IFERROR(VLOOKUP(C147,Client_List!$B:$K,7,0)&amp;", "&amp;VLOOKUP(C147,Client_List!$B:$K,8,0),"")</f>
        <v/>
      </c>
      <c r="G147" s="42">
        <f>IFERROR(VLOOKUP(C147,Client_List!$B:$K,9,0),"")</f>
        <v/>
      </c>
      <c r="H147" s="18">
        <f>IFERROR(LOOKUP(2,1/((Delivery_Log!$B$4:$B$4998=VALUE(B147))*(ISNUMBER(Delivery_Log!$J$4:$J$4998))*(Delivery_Log!$J$4:$J$4998&gt;0)),Delivery_Log!$J$4:$J$4998),"")</f>
        <v/>
      </c>
      <c r="I147" s="41">
        <f>IFERROR(VLOOKUP(C147,Client_List!$B:$K,10,0),"")</f>
        <v/>
      </c>
      <c r="J147" s="19">
        <f>IFERROR(_xlfn.MAXIFS(Delivery_Log!$A$4:$A$4998,Delivery_Log!$B$4:$B$4998,VALUE(B147)),"—")</f>
        <v/>
      </c>
      <c r="K147" s="20">
        <f>IFERROR(IF(J147="—","",TODAY()-J147),"")</f>
        <v/>
      </c>
      <c r="L147" s="21">
        <f>IFERROR(IF(OR(K147="",H147=""),"",MAX(G147*0.03,G147-K147*H147)),"")</f>
        <v/>
      </c>
      <c r="M147" s="21">
        <f>IFERROR(IF(L147="","",G147-L147),"")</f>
        <v/>
      </c>
      <c r="N147" s="22">
        <f>IFERROR(IF(OR(L147="",H147=""),"",MIN(21,MAX(0,(L147-G147*$C$2)/H147))),"")</f>
        <v/>
      </c>
      <c r="O147" s="34">
        <f>TODAY()+ROUNDUP(N147,0)</f>
        <v/>
      </c>
      <c r="P147" s="33">
        <f>IFERROR(IF(N147="","—",IF(N147&lt;=$E$2,"YES","—")),"—")</f>
        <v/>
      </c>
      <c r="Q147" s="17">
        <f>COUNTIFS(Delivery_Log!$B$4:$B$5998,VALUE(B147),Delivery_Log!$A$4:$A$5998,"&gt;="&amp;$Q$2)</f>
        <v/>
      </c>
      <c r="R147" s="38" t="n"/>
    </row>
    <row r="148" ht="15" customHeight="1" s="72">
      <c r="A148" t="n">
        <v>143</v>
      </c>
      <c r="B148" s="50" t="n">
        <v>20014</v>
      </c>
      <c r="C148" s="41" t="inlineStr">
        <is>
          <t>THE - 20014 - THE TACK ROOM</t>
        </is>
      </c>
      <c r="D148" s="52" t="inlineStr">
        <is>
          <t>1</t>
        </is>
      </c>
      <c r="E148" s="41">
        <f>IFERROR(VLOOKUP(C148,Client_List!$B:$K,4,0)&amp;", "&amp;VLOOKUP(C148,Client_List!$B:$K,5,0)&amp;" AZ","")</f>
        <v/>
      </c>
      <c r="F148" s="38">
        <f>IFERROR(VLOOKUP(C148,Client_List!$B:$K,7,0)&amp;", "&amp;VLOOKUP(C148,Client_List!$B:$K,8,0),"")</f>
        <v/>
      </c>
      <c r="G148" s="42">
        <f>IFERROR(VLOOKUP(C148,Client_List!$B:$K,9,0),"")</f>
        <v/>
      </c>
      <c r="H148" s="18">
        <f>IFERROR(LOOKUP(2,1/((Delivery_Log!$B$4:$B$4998=VALUE(B148))*(ISNUMBER(Delivery_Log!$J$4:$J$4998))*(Delivery_Log!$J$4:$J$4998&gt;0)),Delivery_Log!$J$4:$J$4998),"")</f>
        <v/>
      </c>
      <c r="I148" s="41">
        <f>IFERROR(VLOOKUP(C148,Client_List!$B:$K,10,0),"")</f>
        <v/>
      </c>
      <c r="J148" s="19">
        <f>IFERROR(_xlfn.MAXIFS(Delivery_Log!$A$4:$A$4998,Delivery_Log!$B$4:$B$4998,VALUE(B148)),"—")</f>
        <v/>
      </c>
      <c r="K148" s="20">
        <f>IFERROR(IF(J148="—","",TODAY()-J148),"")</f>
        <v/>
      </c>
      <c r="L148" s="21">
        <f>IFERROR(IF(OR(K148="",H148=""),"",MAX(G148*0.03,G148-K148*H148)),"")</f>
        <v/>
      </c>
      <c r="M148" s="21">
        <f>IFERROR(IF(L148="","",G148-L148),"")</f>
        <v/>
      </c>
      <c r="N148" s="22">
        <f>IFERROR(IF(OR(L148="",H148=""),"",MIN(21,MAX(0,(L148-G148*$C$2)/H148))),"")</f>
        <v/>
      </c>
      <c r="O148" s="34">
        <f>TODAY()+ROUNDUP(N148,0)</f>
        <v/>
      </c>
      <c r="P148" s="33">
        <f>IFERROR(IF(N148="","—",IF(N148&lt;=$E$2,"YES","—")),"—")</f>
        <v/>
      </c>
      <c r="Q148" s="17">
        <f>COUNTIFS(Delivery_Log!$B$4:$B$5998,VALUE(B148),Delivery_Log!$A$4:$A$5998,"&gt;="&amp;$Q$2)</f>
        <v/>
      </c>
      <c r="R148" s="38" t="n"/>
    </row>
    <row r="149" ht="15" customHeight="1" s="72">
      <c r="A149" t="n">
        <v>144</v>
      </c>
      <c r="B149" s="50" t="n">
        <v>20019</v>
      </c>
      <c r="C149" s="41" t="inlineStr">
        <is>
          <t>THE - 20019 - THE PLACE</t>
        </is>
      </c>
      <c r="D149" s="52" t="inlineStr">
        <is>
          <t>2</t>
        </is>
      </c>
      <c r="E149" s="41">
        <f>IFERROR(VLOOKUP(C149,Client_List!$B:$K,4,0)&amp;", "&amp;VLOOKUP(C149,Client_List!$B:$K,5,0)&amp;" AZ","")</f>
        <v/>
      </c>
      <c r="F149" s="38">
        <f>IFERROR(VLOOKUP(C149,Client_List!$B:$K,7,0)&amp;", "&amp;VLOOKUP(C149,Client_List!$B:$K,8,0),"")</f>
        <v/>
      </c>
      <c r="G149" s="42">
        <f>IFERROR(VLOOKUP(C149,Client_List!$B:$K,9,0),"")</f>
        <v/>
      </c>
      <c r="H149" s="18">
        <f>IFERROR(LOOKUP(2,1/((Delivery_Log!$B$4:$B$4998=VALUE(B149))*(ISNUMBER(Delivery_Log!$J$4:$J$4998))*(Delivery_Log!$J$4:$J$4998&gt;0)),Delivery_Log!$J$4:$J$4998),"")</f>
        <v/>
      </c>
      <c r="I149" s="41">
        <f>IFERROR(VLOOKUP(C149,Client_List!$B:$K,10,0),"")</f>
        <v/>
      </c>
      <c r="J149" s="19">
        <f>IFERROR(_xlfn.MAXIFS(Delivery_Log!$A$4:$A$4998,Delivery_Log!$B$4:$B$4998,VALUE(B149)),"—")</f>
        <v/>
      </c>
      <c r="K149" s="20">
        <f>IFERROR(IF(J149="—","",TODAY()-J149),"")</f>
        <v/>
      </c>
      <c r="L149" s="21">
        <f>IFERROR(IF(OR(K149="",H149=""),"",MAX(G149*0.03,G149-K149*H149)),"")</f>
        <v/>
      </c>
      <c r="M149" s="21">
        <f>IFERROR(IF(L149="","",G149-L149),"")</f>
        <v/>
      </c>
      <c r="N149" s="22">
        <f>IFERROR(IF(OR(L149="",H149=""),"",MIN(21,MAX(0,(L149-G149*$C$2)/H149))),"")</f>
        <v/>
      </c>
      <c r="O149" s="34">
        <f>TODAY()+ROUNDUP(N149,0)</f>
        <v/>
      </c>
      <c r="P149" s="32">
        <f>IFERROR(IF(N149="","—",IF(N149&lt;=$E$2,"YES","—")),"—")</f>
        <v/>
      </c>
      <c r="Q149" s="17">
        <f>COUNTIFS(Delivery_Log!$B$4:$B$5998,VALUE(B149),Delivery_Log!$A$4:$A$5998,"&gt;="&amp;$Q$2)</f>
        <v/>
      </c>
      <c r="R149" s="38" t="n"/>
    </row>
    <row r="150" ht="15" customHeight="1" s="72">
      <c r="A150" t="n">
        <v>145</v>
      </c>
      <c r="B150" s="50" t="n">
        <v>20021</v>
      </c>
      <c r="C150" s="41" t="inlineStr">
        <is>
          <t>THE - 20021 - THE VIG VAL VISTA</t>
        </is>
      </c>
      <c r="D150" s="52" t="inlineStr">
        <is>
          <t>5</t>
        </is>
      </c>
      <c r="E150" s="41">
        <f>IFERROR(VLOOKUP(C150,Client_List!$B:$K,4,0)&amp;", "&amp;VLOOKUP(C150,Client_List!$B:$K,5,0)&amp;" AZ","")</f>
        <v/>
      </c>
      <c r="F150" s="38">
        <f>IFERROR(VLOOKUP(C150,Client_List!$B:$K,7,0)&amp;", "&amp;VLOOKUP(C150,Client_List!$B:$K,8,0),"")</f>
        <v/>
      </c>
      <c r="G150" s="42">
        <f>IFERROR(VLOOKUP(C150,Client_List!$B:$K,9,0),"")</f>
        <v/>
      </c>
      <c r="H150" s="18">
        <f>IFERROR(LOOKUP(2,1/((Delivery_Log!$B$4:$B$4998=VALUE(B150))*(ISNUMBER(Delivery_Log!$J$4:$J$4998))*(Delivery_Log!$J$4:$J$4998&gt;0)),Delivery_Log!$J$4:$J$4998),"")</f>
        <v/>
      </c>
      <c r="I150" s="41">
        <f>IFERROR(VLOOKUP(C150,Client_List!$B:$K,10,0),"")</f>
        <v/>
      </c>
      <c r="J150" s="19">
        <f>IFERROR(_xlfn.MAXIFS(Delivery_Log!$A$4:$A$4998,Delivery_Log!$B$4:$B$4998,VALUE(B150)),"—")</f>
        <v/>
      </c>
      <c r="K150" s="20">
        <f>IFERROR(IF(J150="—","",TODAY()-J150),"")</f>
        <v/>
      </c>
      <c r="L150" s="21">
        <f>IFERROR(IF(OR(K150="",H150=""),"",MAX(G150*0.03,G150-K150*H150)),"")</f>
        <v/>
      </c>
      <c r="M150" s="21">
        <f>IFERROR(IF(L150="","",G150-L150),"")</f>
        <v/>
      </c>
      <c r="N150" s="22">
        <f>IFERROR(IF(OR(L150="",H150=""),"",MIN(21,MAX(0,(L150-G150*$C$2)/H150))),"")</f>
        <v/>
      </c>
      <c r="O150" s="34">
        <f>TODAY()+ROUNDUP(N150,0)</f>
        <v/>
      </c>
      <c r="P150" s="32">
        <f>IFERROR(IF(N150="","—",IF(N150&lt;=$E$2,"YES","—")),"—")</f>
        <v/>
      </c>
      <c r="Q150" s="17">
        <f>COUNTIFS(Delivery_Log!$B$4:$B$5998,VALUE(B150),Delivery_Log!$A$4:$A$5998,"&gt;="&amp;$Q$2)</f>
        <v/>
      </c>
      <c r="R150" s="38" t="n"/>
    </row>
    <row r="151" ht="15" customHeight="1" s="72">
      <c r="A151" t="n">
        <v>146</v>
      </c>
      <c r="B151" s="50" t="n">
        <v>20088</v>
      </c>
      <c r="C151" s="41" t="inlineStr">
        <is>
          <t>THE - 20088 - THE VIG BELL</t>
        </is>
      </c>
      <c r="D151" s="52" t="inlineStr">
        <is>
          <t>4</t>
        </is>
      </c>
      <c r="E151" s="41">
        <f>IFERROR(VLOOKUP(C151,Client_List!$B:$K,4,0)&amp;", "&amp;VLOOKUP(C151,Client_List!$B:$K,5,0)&amp;" AZ","")</f>
        <v/>
      </c>
      <c r="F151" s="38">
        <f>IFERROR(VLOOKUP(C151,Client_List!$B:$K,7,0)&amp;", "&amp;VLOOKUP(C151,Client_List!$B:$K,8,0),"")</f>
        <v/>
      </c>
      <c r="G151" s="42">
        <f>IFERROR(VLOOKUP(C151,Client_List!$B:$K,9,0),"")</f>
        <v/>
      </c>
      <c r="H151" s="18">
        <f>IFERROR(LOOKUP(2,1/((Delivery_Log!$B$4:$B$4998=VALUE(B151))*(ISNUMBER(Delivery_Log!$J$4:$J$4998))*(Delivery_Log!$J$4:$J$4998&gt;0)),Delivery_Log!$J$4:$J$4998),"")</f>
        <v/>
      </c>
      <c r="I151" s="41">
        <f>IFERROR(VLOOKUP(C151,Client_List!$B:$K,10,0),"")</f>
        <v/>
      </c>
      <c r="J151" s="19">
        <f>IFERROR(_xlfn.MAXIFS(Delivery_Log!$A$4:$A$4998,Delivery_Log!$B$4:$B$4998,VALUE(B151)),"—")</f>
        <v/>
      </c>
      <c r="K151" s="20">
        <f>IFERROR(IF(J151="—","",TODAY()-J151),"")</f>
        <v/>
      </c>
      <c r="L151" s="21">
        <f>IFERROR(IF(OR(K151="",H151=""),"",MAX(G151*0.03,G151-K151*H151)),"")</f>
        <v/>
      </c>
      <c r="M151" s="21">
        <f>IFERROR(IF(L151="","",G151-L151),"")</f>
        <v/>
      </c>
      <c r="N151" s="22">
        <f>IFERROR(IF(OR(L151="",H151=""),"",MIN(21,MAX(0,(L151-G151*$C$2)/H151))),"")</f>
        <v/>
      </c>
      <c r="O151" s="34">
        <f>TODAY()+ROUNDUP(N151,0)</f>
        <v/>
      </c>
      <c r="P151" s="33">
        <f>IFERROR(IF(N151="","—",IF(N151&lt;=$E$2,"YES","—")),"—")</f>
        <v/>
      </c>
      <c r="Q151" s="17">
        <f>COUNTIFS(Delivery_Log!$B$4:$B$5998,VALUE(B151),Delivery_Log!$A$4:$A$5998,"&gt;="&amp;$Q$2)</f>
        <v/>
      </c>
      <c r="R151" s="38" t="n"/>
    </row>
    <row r="152" ht="15" customHeight="1" s="72">
      <c r="A152" t="n">
        <v>147</v>
      </c>
      <c r="B152" s="50" t="n">
        <v>20033</v>
      </c>
      <c r="C152" s="41" t="inlineStr">
        <is>
          <t>THE- 20033 - THE HERMOSA INN</t>
        </is>
      </c>
      <c r="D152" s="52" t="inlineStr">
        <is>
          <t>4</t>
        </is>
      </c>
      <c r="E152" s="41">
        <f>IFERROR(VLOOKUP(C152,Client_List!$B:$K,4,0)&amp;", "&amp;VLOOKUP(C152,Client_List!$B:$K,5,0)&amp;" AZ","")</f>
        <v/>
      </c>
      <c r="F152" s="38">
        <f>IFERROR(VLOOKUP(C152,Client_List!$B:$K,7,0)&amp;", "&amp;VLOOKUP(C152,Client_List!$B:$K,8,0),"")</f>
        <v/>
      </c>
      <c r="G152" s="42">
        <f>IFERROR(VLOOKUP(C152,Client_List!$B:$K,9,0),"")</f>
        <v/>
      </c>
      <c r="H152" s="18">
        <f>IFERROR(LOOKUP(2,1/((Delivery_Log!$B$4:$B$4998=VALUE(B152))*(ISNUMBER(Delivery_Log!$J$4:$J$4998))*(Delivery_Log!$J$4:$J$4998&gt;0)),Delivery_Log!$J$4:$J$4998),"")</f>
        <v/>
      </c>
      <c r="I152" s="41">
        <f>IFERROR(VLOOKUP(C152,Client_List!$B:$K,10,0),"")</f>
        <v/>
      </c>
      <c r="J152" s="19">
        <f>IFERROR(_xlfn.MAXIFS(Delivery_Log!$A$4:$A$4998,Delivery_Log!$B$4:$B$4998,VALUE(B152)),"—")</f>
        <v/>
      </c>
      <c r="K152" s="20">
        <f>IFERROR(IF(J152="—","",TODAY()-J152),"")</f>
        <v/>
      </c>
      <c r="L152" s="21">
        <f>IFERROR(IF(OR(K152="",H152=""),"",MAX(G152*0.03,G152-K152*H152)),"")</f>
        <v/>
      </c>
      <c r="M152" s="21">
        <f>IFERROR(IF(L152="","",G152-L152),"")</f>
        <v/>
      </c>
      <c r="N152" s="22">
        <f>IFERROR(IF(OR(L152="",H152=""),"",MIN(21,MAX(0,(L152-G152*$C$2)/H152))),"")</f>
        <v/>
      </c>
      <c r="O152" s="34">
        <f>TODAY()+ROUNDUP(N152,0)</f>
        <v/>
      </c>
      <c r="P152" s="32">
        <f>IFERROR(IF(N152="","—",IF(N152&lt;=$E$2,"YES","—")),"—")</f>
        <v/>
      </c>
      <c r="Q152" s="17">
        <f>COUNTIFS(Delivery_Log!$B$4:$B$5998,VALUE(B152),Delivery_Log!$A$4:$A$5998,"&gt;="&amp;$Q$2)</f>
        <v/>
      </c>
      <c r="R152" s="38" t="n"/>
    </row>
    <row r="153" ht="15" customHeight="1" s="72">
      <c r="A153" t="n">
        <v>148</v>
      </c>
      <c r="B153" s="50" t="n">
        <v>20051</v>
      </c>
      <c r="C153" s="41" t="inlineStr">
        <is>
          <t>TIM - 20051 - TIM FINNEGANS</t>
        </is>
      </c>
      <c r="D153" s="52" t="inlineStr">
        <is>
          <t>2</t>
        </is>
      </c>
      <c r="E153" s="41">
        <f>IFERROR(VLOOKUP(C153,Client_List!$B:$K,4,0)&amp;", "&amp;VLOOKUP(C153,Client_List!$B:$K,5,0)&amp;" AZ","")</f>
        <v/>
      </c>
      <c r="F153" s="38">
        <f>IFERROR(VLOOKUP(C153,Client_List!$B:$K,7,0)&amp;", "&amp;VLOOKUP(C153,Client_List!$B:$K,8,0),"")</f>
        <v/>
      </c>
      <c r="G153" s="42">
        <f>IFERROR(VLOOKUP(C153,Client_List!$B:$K,9,0),"")</f>
        <v/>
      </c>
      <c r="H153" s="18">
        <f>IFERROR(LOOKUP(2,1/((Delivery_Log!$B$4:$B$4998=VALUE(B153))*(ISNUMBER(Delivery_Log!$J$4:$J$4998))*(Delivery_Log!$J$4:$J$4998&gt;0)),Delivery_Log!$J$4:$J$4998),"")</f>
        <v/>
      </c>
      <c r="I153" s="41">
        <f>IFERROR(VLOOKUP(C153,Client_List!$B:$K,10,0),"")</f>
        <v/>
      </c>
      <c r="J153" s="19">
        <f>IFERROR(_xlfn.MAXIFS(Delivery_Log!$A$4:$A$4998,Delivery_Log!$B$4:$B$4998,VALUE(B153)),"—")</f>
        <v/>
      </c>
      <c r="K153" s="20">
        <f>IFERROR(IF(J153="—","",TODAY()-J153),"")</f>
        <v/>
      </c>
      <c r="L153" s="21">
        <f>IFERROR(IF(OR(K153="",H153=""),"",MAX(G153*0.03,G153-K153*H153)),"")</f>
        <v/>
      </c>
      <c r="M153" s="21">
        <f>IFERROR(IF(L153="","",G153-L153),"")</f>
        <v/>
      </c>
      <c r="N153" s="22">
        <f>IFERROR(IF(OR(L153="",H153=""),"",MIN(21,MAX(0,(L153-G153*$C$2)/H153))),"")</f>
        <v/>
      </c>
      <c r="O153" s="34">
        <f>TODAY()+ROUNDUP(N153,0)</f>
        <v/>
      </c>
      <c r="P153" s="33">
        <f>IFERROR(IF(N153="","—",IF(N153&lt;=$E$2,"YES","—")),"—")</f>
        <v/>
      </c>
      <c r="Q153" s="17">
        <f>COUNTIFS(Delivery_Log!$B$4:$B$5998,VALUE(B153),Delivery_Log!$A$4:$A$5998,"&gt;="&amp;$Q$2)</f>
        <v/>
      </c>
      <c r="R153" s="38" t="n"/>
    </row>
    <row r="154" ht="15" customHeight="1" s="72">
      <c r="A154" t="n">
        <v>149</v>
      </c>
      <c r="B154" s="50" t="n">
        <v>20077</v>
      </c>
      <c r="C154" s="41" t="inlineStr">
        <is>
          <t>TON - 20077 - TONTO BAR AND GRILL</t>
        </is>
      </c>
      <c r="D154" s="52" t="inlineStr">
        <is>
          <t>4</t>
        </is>
      </c>
      <c r="E154" s="41">
        <f>IFERROR(VLOOKUP(C154,Client_List!$B:$K,4,0)&amp;", "&amp;VLOOKUP(C154,Client_List!$B:$K,5,0)&amp;" AZ","")</f>
        <v/>
      </c>
      <c r="F154" s="38">
        <f>IFERROR(VLOOKUP(C154,Client_List!$B:$K,7,0)&amp;", "&amp;VLOOKUP(C154,Client_List!$B:$K,8,0),"")</f>
        <v/>
      </c>
      <c r="G154" s="42">
        <f>IFERROR(VLOOKUP(C154,Client_List!$B:$K,9,0),"")</f>
        <v/>
      </c>
      <c r="H154" s="18">
        <f>IFERROR(LOOKUP(2,1/((Delivery_Log!$B$4:$B$4998=VALUE(B154))*(ISNUMBER(Delivery_Log!$J$4:$J$4998))*(Delivery_Log!$J$4:$J$4998&gt;0)),Delivery_Log!$J$4:$J$4998),"")</f>
        <v/>
      </c>
      <c r="I154" s="41">
        <f>IFERROR(VLOOKUP(C154,Client_List!$B:$K,10,0),"")</f>
        <v/>
      </c>
      <c r="J154" s="19">
        <f>IFERROR(_xlfn.MAXIFS(Delivery_Log!$A$4:$A$4998,Delivery_Log!$B$4:$B$4998,VALUE(B154)),"—")</f>
        <v/>
      </c>
      <c r="K154" s="20">
        <f>IFERROR(IF(J154="—","",TODAY()-J154),"")</f>
        <v/>
      </c>
      <c r="L154" s="21">
        <f>IFERROR(IF(OR(K154="",H154=""),"",MAX(G154*0.03,G154-K154*H154)),"")</f>
        <v/>
      </c>
      <c r="M154" s="21">
        <f>IFERROR(IF(L154="","",G154-L154),"")</f>
        <v/>
      </c>
      <c r="N154" s="22">
        <f>IFERROR(IF(OR(L154="",H154=""),"",MIN(21,MAX(0,(L154-G154*$C$2)/H154))),"")</f>
        <v/>
      </c>
      <c r="O154" s="34">
        <f>TODAY()+ROUNDUP(N154,0)</f>
        <v/>
      </c>
      <c r="P154" s="33">
        <f>IFERROR(IF(N154="","—",IF(N154&lt;=$E$2,"YES","—")),"—")</f>
        <v/>
      </c>
      <c r="Q154" s="17">
        <f>COUNTIFS(Delivery_Log!$B$4:$B$5998,VALUE(B154),Delivery_Log!$A$4:$A$5998,"&gt;="&amp;$Q$2)</f>
        <v/>
      </c>
      <c r="R154" s="38" t="n"/>
    </row>
    <row r="155" ht="15" customHeight="1" s="72">
      <c r="A155" t="n">
        <v>150</v>
      </c>
      <c r="B155" s="50" t="n">
        <v>21001</v>
      </c>
      <c r="C155" s="41" t="inlineStr">
        <is>
          <t>UNC83 - 21001 - UNCLE SAMS PEORIA</t>
        </is>
      </c>
      <c r="D155" s="52" t="inlineStr">
        <is>
          <t>2</t>
        </is>
      </c>
      <c r="E155" s="41">
        <f>IFERROR(VLOOKUP(C155,Client_List!$B:$K,4,0)&amp;", "&amp;VLOOKUP(C155,Client_List!$B:$K,5,0)&amp;" AZ","")</f>
        <v/>
      </c>
      <c r="F155" s="38">
        <f>IFERROR(VLOOKUP(C155,Client_List!$B:$K,7,0)&amp;", "&amp;VLOOKUP(C155,Client_List!$B:$K,8,0),"")</f>
        <v/>
      </c>
      <c r="G155" s="42">
        <f>IFERROR(VLOOKUP(C155,Client_List!$B:$K,9,0),"")</f>
        <v/>
      </c>
      <c r="H155" s="18">
        <f>IFERROR(LOOKUP(2,1/((Delivery_Log!$B$4:$B$4998=VALUE(B155))*(ISNUMBER(Delivery_Log!$J$4:$J$4998))*(Delivery_Log!$J$4:$J$4998&gt;0)),Delivery_Log!$J$4:$J$4998),"")</f>
        <v/>
      </c>
      <c r="I155" s="41">
        <f>IFERROR(VLOOKUP(C155,Client_List!$B:$K,10,0),"")</f>
        <v/>
      </c>
      <c r="J155" s="19">
        <f>IFERROR(_xlfn.MAXIFS(Delivery_Log!$A$4:$A$4998,Delivery_Log!$B$4:$B$4998,VALUE(B155)),"—")</f>
        <v/>
      </c>
      <c r="K155" s="20">
        <f>IFERROR(IF(J155="—","",TODAY()-J155),"")</f>
        <v/>
      </c>
      <c r="L155" s="21">
        <f>IFERROR(IF(OR(K155="",H155=""),"",MAX(G155*0.03,G155-K155*H155)),"")</f>
        <v/>
      </c>
      <c r="M155" s="21">
        <f>IFERROR(IF(L155="","",G155-L155),"")</f>
        <v/>
      </c>
      <c r="N155" s="22">
        <f>IFERROR(IF(OR(L155="",H155=""),"",MIN(21,MAX(0,(L155-G155*$C$2)/H155))),"")</f>
        <v/>
      </c>
      <c r="O155" s="34">
        <f>TODAY()+ROUNDUP(N155,0)</f>
        <v/>
      </c>
      <c r="P155" s="32">
        <f>IFERROR(IF(N155="","—",IF(N155&lt;=$E$2,"YES","—")),"—")</f>
        <v/>
      </c>
      <c r="Q155" s="17">
        <f>COUNTIFS(Delivery_Log!$B$4:$B$5998,VALUE(B155),Delivery_Log!$A$4:$A$5998,"&gt;="&amp;$Q$2)</f>
        <v/>
      </c>
      <c r="R155" s="38" t="n"/>
    </row>
    <row r="156" ht="15" customHeight="1" s="72">
      <c r="A156" t="n">
        <v>151</v>
      </c>
      <c r="B156" s="50" t="n">
        <v>21002</v>
      </c>
      <c r="C156" s="41" t="inlineStr">
        <is>
          <t>UNCS - 21002 - UNCLE SAMS PHOENIX</t>
        </is>
      </c>
      <c r="D156" s="52" t="inlineStr">
        <is>
          <t>3</t>
        </is>
      </c>
      <c r="E156" s="41">
        <f>IFERROR(VLOOKUP(C156,Client_List!$B:$K,4,0)&amp;", "&amp;VLOOKUP(C156,Client_List!$B:$K,5,0)&amp;" AZ","")</f>
        <v/>
      </c>
      <c r="F156" s="38">
        <f>IFERROR(VLOOKUP(C156,Client_List!$B:$K,7,0)&amp;", "&amp;VLOOKUP(C156,Client_List!$B:$K,8,0),"")</f>
        <v/>
      </c>
      <c r="G156" s="42">
        <f>IFERROR(VLOOKUP(C156,Client_List!$B:$K,9,0),"")</f>
        <v/>
      </c>
      <c r="H156" s="18">
        <f>IFERROR(LOOKUP(2,1/((Delivery_Log!$B$4:$B$4998=VALUE(B156))*(ISNUMBER(Delivery_Log!$J$4:$J$4998))*(Delivery_Log!$J$4:$J$4998&gt;0)),Delivery_Log!$J$4:$J$4998),"")</f>
        <v/>
      </c>
      <c r="I156" s="41">
        <f>IFERROR(VLOOKUP(C156,Client_List!$B:$K,10,0),"")</f>
        <v/>
      </c>
      <c r="J156" s="19">
        <f>IFERROR(_xlfn.MAXIFS(Delivery_Log!$A$4:$A$4998,Delivery_Log!$B$4:$B$4998,VALUE(B156)),"—")</f>
        <v/>
      </c>
      <c r="K156" s="20">
        <f>IFERROR(IF(J156="—","",TODAY()-J156),"")</f>
        <v/>
      </c>
      <c r="L156" s="21">
        <f>IFERROR(IF(OR(K156="",H156=""),"",MAX(G156*0.03,G156-K156*H156)),"")</f>
        <v/>
      </c>
      <c r="M156" s="21">
        <f>IFERROR(IF(L156="","",G156-L156),"")</f>
        <v/>
      </c>
      <c r="N156" s="22">
        <f>IFERROR(IF(OR(L156="",H156=""),"",MIN(21,MAX(0,(L156-G156*$C$2)/H156))),"")</f>
        <v/>
      </c>
      <c r="O156" s="34">
        <f>TODAY()+ROUNDUP(N156,0)</f>
        <v/>
      </c>
      <c r="P156" s="32">
        <f>IFERROR(IF(N156="","—",IF(N156&lt;=$E$2,"YES","—")),"—")</f>
        <v/>
      </c>
      <c r="Q156" s="17">
        <f>COUNTIFS(Delivery_Log!$B$4:$B$5998,VALUE(B156),Delivery_Log!$A$4:$A$5998,"&gt;="&amp;$Q$2)</f>
        <v/>
      </c>
      <c r="R156" s="38" t="n"/>
    </row>
    <row r="157" ht="15" customHeight="1" s="72">
      <c r="A157" t="n">
        <v>152</v>
      </c>
      <c r="B157" s="50" t="n">
        <v>20097</v>
      </c>
      <c r="C157" s="41" t="inlineStr">
        <is>
          <t>VIG - 20097 - THE VIG PARK WEST</t>
        </is>
      </c>
      <c r="D157" s="52" t="inlineStr">
        <is>
          <t>2</t>
        </is>
      </c>
      <c r="E157" s="41">
        <f>IFERROR(VLOOKUP(C157,Client_List!$B:$K,4,0)&amp;", "&amp;VLOOKUP(C157,Client_List!$B:$K,5,0)&amp;" AZ","")</f>
        <v/>
      </c>
      <c r="F157" s="38">
        <f>IFERROR(VLOOKUP(C157,Client_List!$B:$K,7,0)&amp;", "&amp;VLOOKUP(C157,Client_List!$B:$K,8,0),"")</f>
        <v/>
      </c>
      <c r="G157" s="42">
        <f>IFERROR(VLOOKUP(C157,Client_List!$B:$K,9,0),"")</f>
        <v/>
      </c>
      <c r="H157" s="18">
        <f>IFERROR(LOOKUP(2,1/((Delivery_Log!$B$4:$B$4998=VALUE(B157))*(ISNUMBER(Delivery_Log!$J$4:$J$4998))*(Delivery_Log!$J$4:$J$4998&gt;0)),Delivery_Log!$J$4:$J$4998),"")</f>
        <v/>
      </c>
      <c r="I157" s="41">
        <f>IFERROR(VLOOKUP(C157,Client_List!$B:$K,10,0),"")</f>
        <v/>
      </c>
      <c r="J157" s="19">
        <f>IFERROR(_xlfn.MAXIFS(Delivery_Log!$A$4:$A$4998,Delivery_Log!$B$4:$B$4998,VALUE(B157)),"—")</f>
        <v/>
      </c>
      <c r="K157" s="20">
        <f>IFERROR(IF(J157="—","",TODAY()-J157),"")</f>
        <v/>
      </c>
      <c r="L157" s="21">
        <f>IFERROR(IF(OR(K157="",H157=""),"",MAX(G157*0.03,G157-K157*H157)),"")</f>
        <v/>
      </c>
      <c r="M157" s="21">
        <f>IFERROR(IF(L157="","",G157-L157),"")</f>
        <v/>
      </c>
      <c r="N157" s="22">
        <f>IFERROR(IF(OR(L157="",H157=""),"",MIN(21,MAX(0,(L157-G157*$C$2)/H157))),"")</f>
        <v/>
      </c>
      <c r="O157" s="34">
        <f>TODAY()+ROUNDUP(N157,0)</f>
        <v/>
      </c>
      <c r="P157" s="32">
        <f>IFERROR(IF(N157="","—",IF(N157&lt;=$E$2,"YES","—")),"—")</f>
        <v/>
      </c>
      <c r="Q157" s="17">
        <f>COUNTIFS(Delivery_Log!$B$4:$B$5998,VALUE(B157),Delivery_Log!$A$4:$A$5998,"&gt;="&amp;$Q$2)</f>
        <v/>
      </c>
      <c r="R157" s="38" t="n"/>
    </row>
    <row r="158">
      <c r="A158" t="n">
        <v>153</v>
      </c>
      <c r="B158" s="50" t="n">
        <v>1057</v>
      </c>
      <c r="C158" s="41" t="inlineStr">
        <is>
          <t>ANG - 1057 - ANGRY CRAB TUCSON</t>
        </is>
      </c>
      <c r="D158" s="52" t="n"/>
      <c r="E158" s="41">
        <f>IFERROR(VLOOKUP(C158,Client_List!$B:$K,4,0)&amp;", "&amp;VLOOKUP(C158,Client_List!$B:$K,5,0)&amp;" AZ","")</f>
        <v/>
      </c>
      <c r="F158" s="38">
        <f>IFERROR(VLOOKUP(C158,Client_List!$B:$K,7,0)&amp;", "&amp;VLOOKUP(C158,Client_List!$B:$K,8,0),"")</f>
        <v/>
      </c>
      <c r="G158" s="42">
        <f>IFERROR(VLOOKUP(C158,Client_List!$B:$K,9,0),"")</f>
        <v/>
      </c>
      <c r="H158" s="18">
        <f>IFERROR(LOOKUP(2,1/((Delivery_Log!$B$4:$B$4998=VALUE(B158))*(ISNUMBER(Delivery_Log!$J$4:$J$4998))*(Delivery_Log!$J$4:$J$4998&gt;0)),Delivery_Log!$J$4:$J$4998),"")</f>
        <v/>
      </c>
      <c r="I158" s="41">
        <f>IFERROR(VLOOKUP(C158,Client_List!$B:$K,10,0),"")</f>
        <v/>
      </c>
      <c r="J158" s="19">
        <f>IFERROR(_xlfn.MAXIFS(Delivery_Log!$A$4:$A$4998,Delivery_Log!$B$4:$B$4998,VALUE(B158)),"—")</f>
        <v/>
      </c>
      <c r="K158" s="20">
        <f>IFERROR(IF(J158="—","",TODAY()-J158),"")</f>
        <v/>
      </c>
      <c r="L158" s="21">
        <f>IFERROR(IF(OR(K158="",H158=""),"",MAX(G158*0.03,G158-K158*H158)),"")</f>
        <v/>
      </c>
      <c r="M158" s="21">
        <f>IFERROR(IF(L158="","",G158-L158),"")</f>
        <v/>
      </c>
      <c r="N158" s="22">
        <f>IFERROR(IF(OR(L158="",H158=""),"",MIN(21,MAX(0,(L158-G158*$C$2)/H158))),"")</f>
        <v/>
      </c>
      <c r="O158" s="34">
        <f>TODAY()+ROUNDUP(N158,0)</f>
        <v/>
      </c>
      <c r="P158" s="32">
        <f>IFERROR(IF(N158="","—",IF(N158&lt;=$E$2,"YES","—")),"—")</f>
        <v/>
      </c>
      <c r="Q158" s="17">
        <f>COUNTIFS(Delivery_Log!$B$4:$B$5998,VALUE(B158),Delivery_Log!$A$4:$A$5998,"&gt;="&amp;$Q$2)</f>
        <v/>
      </c>
      <c r="R158" s="38" t="n"/>
    </row>
    <row r="159">
      <c r="A159" t="n">
        <v>154</v>
      </c>
      <c r="B159" s="50" t="n">
        <v>2016</v>
      </c>
      <c r="C159" s="41" t="inlineStr">
        <is>
          <t>BOO - 2016 - BOOTY'S SURPRISE</t>
        </is>
      </c>
      <c r="D159" s="52" t="n"/>
      <c r="E159" s="41">
        <f>IFERROR(VLOOKUP(C159,Client_List!$B:$K,4,0)&amp;", "&amp;VLOOKUP(C159,Client_List!$B:$K,5,0)&amp;" AZ","")</f>
        <v/>
      </c>
      <c r="F159" s="38">
        <f>IFERROR(VLOOKUP(C159,Client_List!$B:$K,7,0)&amp;", "&amp;VLOOKUP(C159,Client_List!$B:$K,8,0),"")</f>
        <v/>
      </c>
      <c r="G159" s="42">
        <f>IFERROR(VLOOKUP(C159,Client_List!$B:$K,9,0),"")</f>
        <v/>
      </c>
      <c r="H159" s="18">
        <f>IFERROR(LOOKUP(2,1/((Delivery_Log!$B$4:$B$4998=VALUE(B159))*(ISNUMBER(Delivery_Log!$J$4:$J$4998))*(Delivery_Log!$J$4:$J$4998&gt;0)),Delivery_Log!$J$4:$J$4998),"")</f>
        <v/>
      </c>
      <c r="I159" s="41">
        <f>IFERROR(VLOOKUP(C159,Client_List!$B:$K,10,0),"")</f>
        <v/>
      </c>
      <c r="J159" s="19">
        <f>IFERROR(_xlfn.MAXIFS(Delivery_Log!$A$4:$A$4998,Delivery_Log!$B$4:$B$4998,VALUE(B159)),"—")</f>
        <v/>
      </c>
      <c r="K159" s="20">
        <f>IFERROR(IF(J159="—","",TODAY()-J159),"")</f>
        <v/>
      </c>
      <c r="L159" s="21">
        <f>IFERROR(IF(OR(K159="",H159=""),"",MAX(G159*0.03,G159-K159*H159)),"")</f>
        <v/>
      </c>
      <c r="M159" s="21">
        <f>IFERROR(IF(L159="","",G159-L159),"")</f>
        <v/>
      </c>
      <c r="N159" s="22">
        <f>IFERROR(IF(OR(L159="",H159=""),"",MIN(21,MAX(0,(L159-G159*$C$2)/H159))),"")</f>
        <v/>
      </c>
      <c r="O159" s="34">
        <f>TODAY()+ROUNDUP(N159,0)</f>
        <v/>
      </c>
      <c r="P159" s="32">
        <f>IFERROR(IF(N159="","—",IF(N159&lt;=$E$2,"YES","—")),"—")</f>
        <v/>
      </c>
      <c r="Q159" s="17">
        <f>COUNTIFS(Delivery_Log!$B$4:$B$5998,VALUE(B159),Delivery_Log!$A$4:$A$5998,"&gt;="&amp;$Q$2)</f>
        <v/>
      </c>
      <c r="R159" s="38" t="n"/>
    </row>
    <row r="160">
      <c r="A160" t="n">
        <v>155</v>
      </c>
      <c r="B160" s="50" t="n">
        <v>3056</v>
      </c>
      <c r="C160" s="41" t="inlineStr">
        <is>
          <t>CHA - 3056 - CHARLEYS AT THE LAKE</t>
        </is>
      </c>
      <c r="D160" s="52" t="n">
        <v>2</v>
      </c>
      <c r="E160" s="41">
        <f>IFERROR(VLOOKUP(C160,Client_List!$B:$K,4,0)&amp;", "&amp;VLOOKUP(C160,Client_List!$B:$K,5,0)&amp;" AZ","")</f>
        <v/>
      </c>
      <c r="F160" s="38">
        <f>IFERROR(VLOOKUP(C160,Client_List!$B:$K,7,0)&amp;", "&amp;VLOOKUP(C160,Client_List!$B:$K,8,0),"")</f>
        <v/>
      </c>
      <c r="G160" s="42">
        <f>IFERROR(VLOOKUP(C160,Client_List!$B:$K,9,0),"")</f>
        <v/>
      </c>
      <c r="H160" s="18">
        <f>IFERROR(LOOKUP(2,1/((Delivery_Log!$B$4:$B$4998=VALUE(B160))*(ISNUMBER(Delivery_Log!$J$4:$J$4998))*(Delivery_Log!$J$4:$J$4998&gt;0)),Delivery_Log!$J$4:$J$4998),"")</f>
        <v/>
      </c>
      <c r="I160" s="41">
        <f>IFERROR(VLOOKUP(C160,Client_List!$B:$K,10,0),"")</f>
        <v/>
      </c>
      <c r="J160" s="19">
        <f>IFERROR(_xlfn.MAXIFS(Delivery_Log!$A$4:$A$4998,Delivery_Log!$B$4:$B$4998,VALUE(B160)),"—")</f>
        <v/>
      </c>
      <c r="K160" s="20">
        <f>IFERROR(IF(J160="—","",TODAY()-J160),"")</f>
        <v/>
      </c>
      <c r="L160" s="21">
        <f>IFERROR(IF(OR(K160="",H160=""),"",MAX(G160*0.03,G160-K160*H160)),"")</f>
        <v/>
      </c>
      <c r="M160" s="21">
        <f>IFERROR(IF(L160="","",G160-L160),"")</f>
        <v/>
      </c>
      <c r="N160" s="22">
        <f>IFERROR(IF(OR(L160="",H160=""),"",MIN(21,MAX(0,(L160-G160*$C$2)/H160))),"")</f>
        <v/>
      </c>
      <c r="O160" s="34">
        <f>TODAY()+ROUNDUP(N160,0)</f>
        <v/>
      </c>
      <c r="P160" s="32">
        <f>IFERROR(IF(N160="","—",IF(N160&lt;=$E$2,"YES","—")),"—")</f>
        <v/>
      </c>
      <c r="Q160" s="17">
        <f>COUNTIFS(Delivery_Log!$B$4:$B$5998,VALUE(B160),Delivery_Log!$A$4:$A$5998,"&gt;="&amp;$Q$2)</f>
        <v/>
      </c>
      <c r="R160" s="38" t="n"/>
    </row>
    <row r="161">
      <c r="A161" t="n">
        <v>156</v>
      </c>
      <c r="B161" s="50" t="inlineStr">
        <is>
          <t>3028</t>
        </is>
      </c>
      <c r="C161" s="41" t="inlineStr">
        <is>
          <t>COW - 3028 - COWBOY COOKIN</t>
        </is>
      </c>
      <c r="D161" s="52" t="n"/>
      <c r="E161" s="41">
        <f>IFERROR(VLOOKUP(C161,Client_List!$B:$K,4,0)&amp;", "&amp;VLOOKUP(C161,Client_List!$B:$K,5,0)&amp;" AZ","")</f>
        <v/>
      </c>
      <c r="F161" s="38">
        <f>IFERROR(VLOOKUP(C161,Client_List!$B:$K,7,0)&amp;", "&amp;VLOOKUP(C161,Client_List!$B:$K,8,0),"")</f>
        <v/>
      </c>
      <c r="G161" s="42">
        <f>IFERROR(VLOOKUP(C161,Client_List!$B:$K,9,0),"")</f>
        <v/>
      </c>
      <c r="H161" s="18">
        <f>IFERROR(LOOKUP(2,1/((Delivery_Log!$B$4:$B$4998=VALUE(B161))*(ISNUMBER(Delivery_Log!$J$4:$J$4998))*(Delivery_Log!$J$4:$J$4998&gt;0)),Delivery_Log!$J$4:$J$4998),"")</f>
        <v/>
      </c>
      <c r="I161" s="41">
        <f>IFERROR(VLOOKUP(C161,Client_List!$B:$K,10,0),"")</f>
        <v/>
      </c>
      <c r="J161" s="19">
        <f>IFERROR(_xlfn.MAXIFS(Delivery_Log!$A$4:$A$4998,Delivery_Log!$B$4:$B$4998,VALUE(B161)),"—")</f>
        <v/>
      </c>
      <c r="K161" s="20">
        <f>IFERROR(IF(J161="—","",TODAY()-J161),"")</f>
        <v/>
      </c>
      <c r="L161" s="21">
        <f>IFERROR(IF(OR(K161="",H161=""),"",MAX(G161*0.03,G161-K161*H161)),"")</f>
        <v/>
      </c>
      <c r="M161" s="21">
        <f>IFERROR(IF(L161="","",G161-L161),"")</f>
        <v/>
      </c>
      <c r="N161" s="22">
        <f>IFERROR(IF(OR(L161="",H161=""),"",MIN(21,MAX(0,(L161-G161*$C$2)/H161))),"")</f>
        <v/>
      </c>
      <c r="O161" s="34">
        <f>TODAY()+ROUNDUP(N161,0)</f>
        <v/>
      </c>
      <c r="P161" s="32">
        <f>IFERROR(IF(N161="","—",IF(N161&lt;=$E$2,"YES","—")),"—")</f>
        <v/>
      </c>
      <c r="Q161" s="17">
        <f>COUNTIFS(Delivery_Log!$B$4:$B$5998,VALUE(B161),Delivery_Log!$A$4:$A$5998,"&gt;="&amp;$Q$2)</f>
        <v/>
      </c>
      <c r="R161" s="38" t="n"/>
    </row>
    <row r="162">
      <c r="A162" t="n">
        <v>157</v>
      </c>
      <c r="B162" s="50" t="n">
        <v>3083</v>
      </c>
      <c r="C162" s="41" t="inlineStr">
        <is>
          <t>CRU - 3083 - CRUST - PEORIA</t>
        </is>
      </c>
      <c r="D162" s="52" t="n"/>
      <c r="E162" s="41">
        <f>IFERROR(VLOOKUP(C162,Client_List!$B:$K,4,0)&amp;", "&amp;VLOOKUP(C162,Client_List!$B:$K,5,0)&amp;" AZ","")</f>
        <v/>
      </c>
      <c r="F162" s="38">
        <f>IFERROR(VLOOKUP(C162,Client_List!$B:$K,7,0)&amp;", "&amp;VLOOKUP(C162,Client_List!$B:$K,8,0),"")</f>
        <v/>
      </c>
      <c r="G162" s="42">
        <f>IFERROR(VLOOKUP(C162,Client_List!$B:$K,9,0),"")</f>
        <v/>
      </c>
      <c r="H162" s="18">
        <f>IFERROR(LOOKUP(2,1/((Delivery_Log!$B$4:$B$4998=VALUE(B162))*(ISNUMBER(Delivery_Log!$J$4:$J$4998))*(Delivery_Log!$J$4:$J$4998&gt;0)),Delivery_Log!$J$4:$J$4998),"")</f>
        <v/>
      </c>
      <c r="I162" s="41">
        <f>IFERROR(VLOOKUP(C162,Client_List!$B:$K,10,0),"")</f>
        <v/>
      </c>
      <c r="J162" s="19">
        <f>IFERROR(_xlfn.MAXIFS(Delivery_Log!$A$4:$A$4998,Delivery_Log!$B$4:$B$4998,VALUE(B162)),"—")</f>
        <v/>
      </c>
      <c r="K162" s="20">
        <f>IFERROR(IF(J162="—","",TODAY()-J162),"")</f>
        <v/>
      </c>
      <c r="L162" s="21">
        <f>IFERROR(IF(OR(K162="",H162=""),"",MAX(G162*0.03,G162-K162*H162)),"")</f>
        <v/>
      </c>
      <c r="M162" s="21">
        <f>IFERROR(IF(L162="","",G162-L162),"")</f>
        <v/>
      </c>
      <c r="N162" s="22">
        <f>IFERROR(IF(OR(L162="",H162=""),"",MIN(21,MAX(0,(L162-G162*$C$2)/H162))),"")</f>
        <v/>
      </c>
      <c r="O162" s="34">
        <f>TODAY()+ROUNDUP(N162,0)</f>
        <v/>
      </c>
      <c r="P162" s="32">
        <f>IFERROR(IF(N162="","—",IF(N162&lt;=$E$2,"YES","—")),"—")</f>
        <v/>
      </c>
      <c r="Q162" s="17">
        <f>COUNTIFS(Delivery_Log!$B$4:$B$5998,VALUE(B162),Delivery_Log!$A$4:$A$5998,"&gt;="&amp;$Q$2)</f>
        <v/>
      </c>
      <c r="R162" s="38" t="n"/>
    </row>
    <row r="163">
      <c r="A163" t="n">
        <v>158</v>
      </c>
      <c r="B163" s="50" t="n">
        <v>10012</v>
      </c>
      <c r="C163" s="41" t="inlineStr">
        <is>
          <t>JAY - 10012 - JAY TRAVEL CENTER</t>
        </is>
      </c>
      <c r="D163" s="52" t="n"/>
      <c r="E163" s="41">
        <f>IFERROR(VLOOKUP(C163,Client_List!$B:$K,4,0)&amp;", "&amp;VLOOKUP(C163,Client_List!$B:$K,5,0)&amp;" AZ","")</f>
        <v/>
      </c>
      <c r="F163" s="38">
        <f>IFERROR(VLOOKUP(C163,Client_List!$B:$K,7,0)&amp;", "&amp;VLOOKUP(C163,Client_List!$B:$K,8,0),"")</f>
        <v/>
      </c>
      <c r="G163" s="42">
        <f>IFERROR(VLOOKUP(C163,Client_List!$B:$K,9,0),"")</f>
        <v/>
      </c>
      <c r="H163" s="18">
        <f>IFERROR(LOOKUP(2,1/((Delivery_Log!$B$4:$B$4998=VALUE(B163))*(ISNUMBER(Delivery_Log!$J$4:$J$4998))*(Delivery_Log!$J$4:$J$4998&gt;0)),Delivery_Log!$J$4:$J$4998),"")</f>
        <v/>
      </c>
      <c r="I163" s="41">
        <f>IFERROR(VLOOKUP(C163,Client_List!$B:$K,10,0),"")</f>
        <v/>
      </c>
      <c r="J163" s="19">
        <f>IFERROR(_xlfn.MAXIFS(Delivery_Log!$A$4:$A$4998,Delivery_Log!$B$4:$B$4998,VALUE(B163)),"—")</f>
        <v/>
      </c>
      <c r="K163" s="20">
        <f>IFERROR(IF(J163="—","",TODAY()-J163),"")</f>
        <v/>
      </c>
      <c r="L163" s="21">
        <f>IFERROR(IF(OR(K163="",H163=""),"",MAX(G163*0.03,G163-K163*H163)),"")</f>
        <v/>
      </c>
      <c r="M163" s="21">
        <f>IFERROR(IF(L163="","",G163-L163),"")</f>
        <v/>
      </c>
      <c r="N163" s="22">
        <f>IFERROR(IF(OR(L163="",H163=""),"",MIN(21,MAX(0,(L163-G163*$C$2)/H163))),"")</f>
        <v/>
      </c>
      <c r="O163" s="34">
        <f>TODAY()+ROUNDUP(N163,0)</f>
        <v/>
      </c>
      <c r="P163" s="32">
        <f>IFERROR(IF(N163="","—",IF(N163&lt;=$E$2,"YES","—")),"—")</f>
        <v/>
      </c>
      <c r="Q163" s="17">
        <f>COUNTIFS(Delivery_Log!$B$4:$B$5998,VALUE(B163),Delivery_Log!$A$4:$A$5998,"&gt;="&amp;$Q$2)</f>
        <v/>
      </c>
      <c r="R163" s="38" t="n"/>
    </row>
    <row r="164">
      <c r="A164" t="n">
        <v>159</v>
      </c>
      <c r="B164" s="50" t="n">
        <v>12021</v>
      </c>
      <c r="C164" s="41" t="inlineStr">
        <is>
          <t>LOT - 12021 - LOTUS LOUNGE</t>
        </is>
      </c>
      <c r="D164" s="52" t="n"/>
      <c r="E164" s="41">
        <f>IFERROR(VLOOKUP(C164,Client_List!$B:$K,4,0)&amp;", "&amp;VLOOKUP(C164,Client_List!$B:$K,5,0)&amp;" AZ","")</f>
        <v/>
      </c>
      <c r="F164" s="38">
        <f>IFERROR(VLOOKUP(C164,Client_List!$B:$K,7,0)&amp;", "&amp;VLOOKUP(C164,Client_List!$B:$K,8,0),"")</f>
        <v/>
      </c>
      <c r="G164" s="42">
        <f>IFERROR(VLOOKUP(C164,Client_List!$B:$K,9,0),"")</f>
        <v/>
      </c>
      <c r="H164" s="18">
        <f>IFERROR(LOOKUP(2,1/((Delivery_Log!$B$4:$B$4998=VALUE(B164))*(ISNUMBER(Delivery_Log!$J$4:$J$4998))*(Delivery_Log!$J$4:$J$4998&gt;0)),Delivery_Log!$J$4:$J$4998),"")</f>
        <v/>
      </c>
      <c r="I164" s="41">
        <f>IFERROR(VLOOKUP(C164,Client_List!$B:$K,10,0),"")</f>
        <v/>
      </c>
      <c r="J164" s="19">
        <f>IFERROR(_xlfn.MAXIFS(Delivery_Log!$A$4:$A$4998,Delivery_Log!$B$4:$B$4998,VALUE(B164)),"—")</f>
        <v/>
      </c>
      <c r="K164" s="20">
        <f>IFERROR(IF(J164="—","",TODAY()-J164),"")</f>
        <v/>
      </c>
      <c r="L164" s="21">
        <f>IFERROR(IF(OR(K164="",H164=""),"",MAX(G164*0.03,G164-K164*H164)),"")</f>
        <v/>
      </c>
      <c r="M164" s="21">
        <f>IFERROR(IF(L164="","",G164-L164),"")</f>
        <v/>
      </c>
      <c r="N164" s="22">
        <f>IFERROR(IF(OR(L164="",H164=""),"",MIN(21,MAX(0,(L164-G164*$C$2)/H164))),"")</f>
        <v/>
      </c>
      <c r="O164" s="34">
        <f>TODAY()+ROUNDUP(N164,0)</f>
        <v/>
      </c>
      <c r="P164" s="32">
        <f>IFERROR(IF(N164="","—",IF(N164&lt;=$E$2,"YES","—")),"—")</f>
        <v/>
      </c>
      <c r="Q164" s="17">
        <f>COUNTIFS(Delivery_Log!$B$4:$B$5998,VALUE(B164),Delivery_Log!$A$4:$A$5998,"&gt;="&amp;$Q$2)</f>
        <v/>
      </c>
      <c r="R164" s="38" t="n"/>
    </row>
    <row r="165">
      <c r="A165" t="n">
        <v>160</v>
      </c>
      <c r="B165" s="50" t="n">
        <v>12062</v>
      </c>
      <c r="C165" s="41" t="inlineStr">
        <is>
          <t>LOV - 12062 - LOVEY'S ESSENCE - AVONDALE</t>
        </is>
      </c>
      <c r="D165" s="52" t="n"/>
      <c r="E165" s="41">
        <f>IFERROR(VLOOKUP(C165,Client_List!$B:$K,4,0)&amp;", "&amp;VLOOKUP(C165,Client_List!$B:$K,5,0)&amp;" AZ","")</f>
        <v/>
      </c>
      <c r="F165" s="38">
        <f>IFERROR(VLOOKUP(C165,Client_List!$B:$K,7,0)&amp;", "&amp;VLOOKUP(C165,Client_List!$B:$K,8,0),"")</f>
        <v/>
      </c>
      <c r="G165" s="42">
        <f>IFERROR(VLOOKUP(C165,Client_List!$B:$K,9,0),"")</f>
        <v/>
      </c>
      <c r="H165" s="18">
        <f>IFERROR(LOOKUP(2,1/((Delivery_Log!$B$4:$B$4998=VALUE(B165))*(ISNUMBER(Delivery_Log!$J$4:$J$4998))*(Delivery_Log!$J$4:$J$4998&gt;0)),Delivery_Log!$J$4:$J$4998),"")</f>
        <v/>
      </c>
      <c r="I165" s="41">
        <f>IFERROR(VLOOKUP(C165,Client_List!$B:$K,10,0),"")</f>
        <v/>
      </c>
      <c r="J165" s="19">
        <f>IFERROR(_xlfn.MAXIFS(Delivery_Log!$A$4:$A$4998,Delivery_Log!$B$4:$B$4998,VALUE(B165)),"—")</f>
        <v/>
      </c>
      <c r="K165" s="20">
        <f>IFERROR(IF(J165="—","",TODAY()-J165),"")</f>
        <v/>
      </c>
      <c r="L165" s="21">
        <f>IFERROR(IF(OR(K165="",H165=""),"",MAX(G165*0.03,G165-K165*H165)),"")</f>
        <v/>
      </c>
      <c r="M165" s="21">
        <f>IFERROR(IF(L165="","",G165-L165),"")</f>
        <v/>
      </c>
      <c r="N165" s="22">
        <f>IFERROR(IF(OR(L165="",H165=""),"",MIN(21,MAX(0,(L165-G165*$C$2)/H165))),"")</f>
        <v/>
      </c>
      <c r="O165" s="34">
        <f>TODAY()+ROUNDUP(N165,0)</f>
        <v/>
      </c>
      <c r="P165" s="32">
        <f>IFERROR(IF(N165="","—",IF(N165&lt;=$E$2,"YES","—")),"—")</f>
        <v/>
      </c>
      <c r="Q165" s="17">
        <f>COUNTIFS(Delivery_Log!$B$4:$B$5998,VALUE(B165),Delivery_Log!$A$4:$A$5998,"&gt;="&amp;$Q$2)</f>
        <v/>
      </c>
      <c r="R165" s="38" t="n"/>
    </row>
    <row r="166">
      <c r="A166" t="n">
        <v>161</v>
      </c>
      <c r="B166" s="50" t="n">
        <v>15032</v>
      </c>
      <c r="C166" s="41" t="inlineStr">
        <is>
          <t>ORE - 15032 - OREGANO COUNTRY</t>
        </is>
      </c>
      <c r="D166" s="52" t="n"/>
      <c r="E166" s="41">
        <f>IFERROR(VLOOKUP(C166,Client_List!$B:$K,4,0)&amp;", "&amp;VLOOKUP(C166,Client_List!$B:$K,5,0)&amp;" AZ","")</f>
        <v/>
      </c>
      <c r="F166" s="38">
        <f>IFERROR(VLOOKUP(C166,Client_List!$B:$K,7,0)&amp;", "&amp;VLOOKUP(C166,Client_List!$B:$K,8,0),"")</f>
        <v/>
      </c>
      <c r="G166" s="42">
        <f>IFERROR(VLOOKUP(C166,Client_List!$B:$K,9,0),"")</f>
        <v/>
      </c>
      <c r="H166" s="18">
        <f>IFERROR(LOOKUP(2,1/((Delivery_Log!$B$4:$B$4998=VALUE(B166))*(ISNUMBER(Delivery_Log!$J$4:$J$4998))*(Delivery_Log!$J$4:$J$4998&gt;0)),Delivery_Log!$J$4:$J$4998),"")</f>
        <v/>
      </c>
      <c r="I166" s="41">
        <f>IFERROR(VLOOKUP(C166,Client_List!$B:$K,10,0),"")</f>
        <v/>
      </c>
      <c r="J166" s="19">
        <f>IFERROR(_xlfn.MAXIFS(Delivery_Log!$A$4:$A$4998,Delivery_Log!$B$4:$B$4998,VALUE(B166)),"—")</f>
        <v/>
      </c>
      <c r="K166" s="20">
        <f>IFERROR(IF(J166="—","",TODAY()-J166),"")</f>
        <v/>
      </c>
      <c r="L166" s="21">
        <f>IFERROR(IF(OR(K166="",H166=""),"",MAX(G166*0.03,G166-K166*H166)),"")</f>
        <v/>
      </c>
      <c r="M166" s="21">
        <f>IFERROR(IF(L166="","",G166-L166),"")</f>
        <v/>
      </c>
      <c r="N166" s="22">
        <f>IFERROR(IF(OR(L166="",H166=""),"",MIN(21,MAX(0,(L166-G166*$C$2)/H166))),"")</f>
        <v/>
      </c>
      <c r="O166" s="34">
        <f>TODAY()+ROUNDUP(N166,0)</f>
        <v/>
      </c>
      <c r="P166" s="32">
        <f>IFERROR(IF(N166="","—",IF(N166&lt;=$E$2,"YES","—")),"—")</f>
        <v/>
      </c>
      <c r="Q166" s="17">
        <f>COUNTIFS(Delivery_Log!$B$4:$B$5998,VALUE(B166),Delivery_Log!$A$4:$A$5998,"&gt;="&amp;$Q$2)</f>
        <v/>
      </c>
      <c r="R166" s="38" t="n"/>
    </row>
    <row r="167">
      <c r="A167" t="n">
        <v>162</v>
      </c>
      <c r="B167" s="50" t="n">
        <v>15033</v>
      </c>
      <c r="C167" s="41" t="inlineStr">
        <is>
          <t>OREL - 15033 - OREGANO LANDING</t>
        </is>
      </c>
      <c r="D167" s="52" t="n"/>
      <c r="E167" s="41">
        <f>IFERROR(VLOOKUP(C167,Client_List!$B:$K,4,0)&amp;", "&amp;VLOOKUP(C167,Client_List!$B:$K,5,0)&amp;" AZ","")</f>
        <v/>
      </c>
      <c r="F167" s="38">
        <f>IFERROR(VLOOKUP(C167,Client_List!$B:$K,7,0)&amp;", "&amp;VLOOKUP(C167,Client_List!$B:$K,8,0),"")</f>
        <v/>
      </c>
      <c r="G167" s="42">
        <f>IFERROR(VLOOKUP(C167,Client_List!$B:$K,9,0),"")</f>
        <v/>
      </c>
      <c r="H167" s="18">
        <f>IFERROR(LOOKUP(2,1/((Delivery_Log!$B$4:$B$4998=VALUE(B167))*(ISNUMBER(Delivery_Log!$J$4:$J$4998))*(Delivery_Log!$J$4:$J$4998&gt;0)),Delivery_Log!$J$4:$J$4998),"")</f>
        <v/>
      </c>
      <c r="I167" s="41">
        <f>IFERROR(VLOOKUP(C167,Client_List!$B:$K,10,0),"")</f>
        <v/>
      </c>
      <c r="J167" s="19">
        <f>IFERROR(_xlfn.MAXIFS(Delivery_Log!$A$4:$A$4998,Delivery_Log!$B$4:$B$4998,VALUE(B167)),"—")</f>
        <v/>
      </c>
      <c r="K167" s="20">
        <f>IFERROR(IF(J167="—","",TODAY()-J167),"")</f>
        <v/>
      </c>
      <c r="L167" s="21">
        <f>IFERROR(IF(OR(K167="",H167=""),"",MAX(G167*0.03,G167-K167*H167)),"")</f>
        <v/>
      </c>
      <c r="M167" s="21">
        <f>IFERROR(IF(L167="","",G167-L167),"")</f>
        <v/>
      </c>
      <c r="N167" s="22">
        <f>IFERROR(IF(OR(L167="",H167=""),"",MIN(21,MAX(0,(L167-G167*$C$2)/H167))),"")</f>
        <v/>
      </c>
      <c r="O167" s="34">
        <f>TODAY()+ROUNDUP(N167,0)</f>
        <v/>
      </c>
      <c r="P167" s="32">
        <f>IFERROR(IF(N167="","—",IF(N167&lt;=$E$2,"YES","—")),"—")</f>
        <v/>
      </c>
      <c r="Q167" s="17">
        <f>COUNTIFS(Delivery_Log!$B$4:$B$5998,VALUE(B167),Delivery_Log!$A$4:$A$5998,"&gt;="&amp;$Q$2)</f>
        <v/>
      </c>
      <c r="R167" s="38" t="n"/>
    </row>
    <row r="168">
      <c r="A168" t="n">
        <v>163</v>
      </c>
      <c r="B168" s="50" t="n">
        <v>15028</v>
      </c>
      <c r="C168" s="41" t="inlineStr">
        <is>
          <t>OREO - 15028 - OREGANO TUCSON</t>
        </is>
      </c>
      <c r="D168" s="52" t="n"/>
      <c r="E168" s="41">
        <f>IFERROR(VLOOKUP(C168,Client_List!$B:$K,4,0)&amp;", "&amp;VLOOKUP(C168,Client_List!$B:$K,5,0)&amp;" AZ","")</f>
        <v/>
      </c>
      <c r="F168" s="38">
        <f>IFERROR(VLOOKUP(C168,Client_List!$B:$K,7,0)&amp;", "&amp;VLOOKUP(C168,Client_List!$B:$K,8,0),"")</f>
        <v/>
      </c>
      <c r="G168" s="42">
        <f>IFERROR(VLOOKUP(C168,Client_List!$B:$K,9,0),"")</f>
        <v/>
      </c>
      <c r="H168" s="18">
        <f>IFERROR(LOOKUP(2,1/((Delivery_Log!$B$4:$B$4998=VALUE(B168))*(ISNUMBER(Delivery_Log!$J$4:$J$4998))*(Delivery_Log!$J$4:$J$4998&gt;0)),Delivery_Log!$J$4:$J$4998),"")</f>
        <v/>
      </c>
      <c r="I168" s="41">
        <f>IFERROR(VLOOKUP(C168,Client_List!$B:$K,10,0),"")</f>
        <v/>
      </c>
      <c r="J168" s="19">
        <f>IFERROR(_xlfn.MAXIFS(Delivery_Log!$A$4:$A$4998,Delivery_Log!$B$4:$B$4998,VALUE(B168)),"—")</f>
        <v/>
      </c>
      <c r="K168" s="20">
        <f>IFERROR(IF(J168="—","",TODAY()-J168),"")</f>
        <v/>
      </c>
      <c r="L168" s="21">
        <f>IFERROR(IF(OR(K168="",H168=""),"",MAX(G168*0.03,G168-K168*H168)),"")</f>
        <v/>
      </c>
      <c r="M168" s="21">
        <f>IFERROR(IF(L168="","",G168-L168),"")</f>
        <v/>
      </c>
      <c r="N168" s="22">
        <f>IFERROR(IF(OR(L168="",H168=""),"",MIN(21,MAX(0,(L168-G168*$C$2)/H168))),"")</f>
        <v/>
      </c>
      <c r="O168" s="34">
        <f>TODAY()+ROUNDUP(N168,0)</f>
        <v/>
      </c>
      <c r="P168" s="32">
        <f>IFERROR(IF(N168="","—",IF(N168&lt;=$E$2,"YES","—")),"—")</f>
        <v/>
      </c>
      <c r="Q168" s="17">
        <f>COUNTIFS(Delivery_Log!$B$4:$B$5998,VALUE(B168),Delivery_Log!$A$4:$A$5998,"&gt;="&amp;$Q$2)</f>
        <v/>
      </c>
      <c r="R168" s="38" t="n"/>
    </row>
    <row r="169">
      <c r="A169" t="n">
        <v>164</v>
      </c>
      <c r="B169" s="50" t="n">
        <v>15004</v>
      </c>
      <c r="C169" s="41" t="inlineStr">
        <is>
          <t>ORER - 15004 - OREGANO FLAGSTAFF</t>
        </is>
      </c>
      <c r="D169" s="52" t="n"/>
      <c r="E169" s="41">
        <f>IFERROR(VLOOKUP(C169,Client_List!$B:$K,4,0)&amp;", "&amp;VLOOKUP(C169,Client_List!$B:$K,5,0)&amp;" AZ","")</f>
        <v/>
      </c>
      <c r="F169" s="38">
        <f>IFERROR(VLOOKUP(C169,Client_List!$B:$K,7,0)&amp;", "&amp;VLOOKUP(C169,Client_List!$B:$K,8,0),"")</f>
        <v/>
      </c>
      <c r="G169" s="42">
        <f>IFERROR(VLOOKUP(C169,Client_List!$B:$K,9,0),"")</f>
        <v/>
      </c>
      <c r="H169" s="18">
        <f>IFERROR(LOOKUP(2,1/((Delivery_Log!$B$4:$B$4998=VALUE(B169))*(ISNUMBER(Delivery_Log!$J$4:$J$4998))*(Delivery_Log!$J$4:$J$4998&gt;0)),Delivery_Log!$J$4:$J$4998),"")</f>
        <v/>
      </c>
      <c r="I169" s="41">
        <f>IFERROR(VLOOKUP(C169,Client_List!$B:$K,10,0),"")</f>
        <v/>
      </c>
      <c r="J169" s="19">
        <f>IFERROR(_xlfn.MAXIFS(Delivery_Log!$A$4:$A$4998,Delivery_Log!$B$4:$B$4998,VALUE(B169)),"—")</f>
        <v/>
      </c>
      <c r="K169" s="20">
        <f>IFERROR(IF(J169="—","",TODAY()-J169),"")</f>
        <v/>
      </c>
      <c r="L169" s="21">
        <f>IFERROR(IF(OR(K169="",H169=""),"",MAX(G169*0.03,G169-K169*H169)),"")</f>
        <v/>
      </c>
      <c r="M169" s="21">
        <f>IFERROR(IF(L169="","",G169-L169),"")</f>
        <v/>
      </c>
      <c r="N169" s="22">
        <f>IFERROR(IF(OR(L169="",H169=""),"",MIN(21,MAX(0,(L169-G169*$C$2)/H169))),"")</f>
        <v/>
      </c>
      <c r="O169" s="34">
        <f>TODAY()+ROUNDUP(N169,0)</f>
        <v/>
      </c>
      <c r="P169" s="32">
        <f>IFERROR(IF(N169="","—",IF(N169&lt;=$E$2,"YES","—")),"—")</f>
        <v/>
      </c>
      <c r="Q169" s="17">
        <f>COUNTIFS(Delivery_Log!$B$4:$B$5998,VALUE(B169),Delivery_Log!$A$4:$A$5998,"&gt;="&amp;$Q$2)</f>
        <v/>
      </c>
      <c r="R169" s="38" t="n"/>
    </row>
    <row r="170">
      <c r="A170" t="n">
        <v>165</v>
      </c>
      <c r="B170" s="50" t="n">
        <v>15021</v>
      </c>
      <c r="C170" s="41" t="inlineStr">
        <is>
          <t>ORES - 15021 - OREGANO SPEEDWAY</t>
        </is>
      </c>
      <c r="D170" s="52" t="n"/>
      <c r="E170" s="41">
        <f>IFERROR(VLOOKUP(C170,Client_List!$B:$K,4,0)&amp;", "&amp;VLOOKUP(C170,Client_List!$B:$K,5,0)&amp;" AZ","")</f>
        <v/>
      </c>
      <c r="F170" s="38">
        <f>IFERROR(VLOOKUP(C170,Client_List!$B:$K,7,0)&amp;", "&amp;VLOOKUP(C170,Client_List!$B:$K,8,0),"")</f>
        <v/>
      </c>
      <c r="G170" s="42">
        <f>IFERROR(VLOOKUP(C170,Client_List!$B:$K,9,0),"")</f>
        <v/>
      </c>
      <c r="H170" s="18">
        <f>IFERROR(LOOKUP(2,1/((Delivery_Log!$B$4:$B$4998=VALUE(B170))*(ISNUMBER(Delivery_Log!$J$4:$J$4998))*(Delivery_Log!$J$4:$J$4998&gt;0)),Delivery_Log!$J$4:$J$4998),"")</f>
        <v/>
      </c>
      <c r="I170" s="41">
        <f>IFERROR(VLOOKUP(C170,Client_List!$B:$K,10,0),"")</f>
        <v/>
      </c>
      <c r="J170" s="19">
        <f>IFERROR(_xlfn.MAXIFS(Delivery_Log!$A$4:$A$4998,Delivery_Log!$B$4:$B$4998,VALUE(B170)),"—")</f>
        <v/>
      </c>
      <c r="K170" s="20">
        <f>IFERROR(IF(J170="—","",TODAY()-J170),"")</f>
        <v/>
      </c>
      <c r="L170" s="21">
        <f>IFERROR(IF(OR(K170="",H170=""),"",MAX(G170*0.03,G170-K170*H170)),"")</f>
        <v/>
      </c>
      <c r="M170" s="21">
        <f>IFERROR(IF(L170="","",G170-L170),"")</f>
        <v/>
      </c>
      <c r="N170" s="22">
        <f>IFERROR(IF(OR(L170="",H170=""),"",MIN(21,MAX(0,(L170-G170*$C$2)/H170))),"")</f>
        <v/>
      </c>
      <c r="O170" s="34">
        <f>TODAY()+ROUNDUP(N170,0)</f>
        <v/>
      </c>
      <c r="P170" s="32">
        <f>IFERROR(IF(N170="","—",IF(N170&lt;=$E$2,"YES","—")),"—")</f>
        <v/>
      </c>
      <c r="Q170" s="17">
        <f>COUNTIFS(Delivery_Log!$B$4:$B$5998,VALUE(B170),Delivery_Log!$A$4:$A$5998,"&gt;="&amp;$Q$2)</f>
        <v/>
      </c>
      <c r="R170" s="38" t="n"/>
    </row>
    <row r="171">
      <c r="A171" t="n">
        <v>166</v>
      </c>
      <c r="B171" s="50" t="n">
        <v>16052</v>
      </c>
      <c r="C171" s="41" t="inlineStr">
        <is>
          <t>PAL - 16052 - THE PALACE SALOON</t>
        </is>
      </c>
      <c r="D171" s="52" t="n"/>
      <c r="E171" s="41">
        <f>IFERROR(VLOOKUP(C171,Client_List!$B:$K,4,0)&amp;", "&amp;VLOOKUP(C171,Client_List!$B:$K,5,0)&amp;" AZ","")</f>
        <v/>
      </c>
      <c r="F171" s="38">
        <f>IFERROR(VLOOKUP(C171,Client_List!$B:$K,7,0)&amp;", "&amp;VLOOKUP(C171,Client_List!$B:$K,8,0),"")</f>
        <v/>
      </c>
      <c r="G171" s="42">
        <f>IFERROR(VLOOKUP(C171,Client_List!$B:$K,9,0),"")</f>
        <v/>
      </c>
      <c r="H171" s="18">
        <f>IFERROR(LOOKUP(2,1/((Delivery_Log!$B$4:$B$4998=VALUE(B171))*(ISNUMBER(Delivery_Log!$J$4:$J$4998))*(Delivery_Log!$J$4:$J$4998&gt;0)),Delivery_Log!$J$4:$J$4998),"")</f>
        <v/>
      </c>
      <c r="I171" s="41">
        <f>IFERROR(VLOOKUP(C171,Client_List!$B:$K,10,0),"")</f>
        <v/>
      </c>
      <c r="J171" s="19">
        <f>IFERROR(_xlfn.MAXIFS(Delivery_Log!$A$4:$A$4998,Delivery_Log!$B$4:$B$4998,VALUE(B171)),"—")</f>
        <v/>
      </c>
      <c r="K171" s="20">
        <f>IFERROR(IF(J171="—","",TODAY()-J171),"")</f>
        <v/>
      </c>
      <c r="L171" s="21">
        <f>IFERROR(IF(OR(K171="",H171=""),"",MAX(G171*0.03,G171-K171*H171)),"")</f>
        <v/>
      </c>
      <c r="M171" s="21">
        <f>IFERROR(IF(L171="","",G171-L171),"")</f>
        <v/>
      </c>
      <c r="N171" s="22">
        <f>IFERROR(IF(OR(L171="",H171=""),"",MIN(21,MAX(0,(L171-G171*$C$2)/H171))),"")</f>
        <v/>
      </c>
      <c r="O171" s="34">
        <f>TODAY()+ROUNDUP(N171,0)</f>
        <v/>
      </c>
      <c r="P171" s="32">
        <f>IFERROR(IF(N171="","—",IF(N171&lt;=$E$2,"YES","—")),"—")</f>
        <v/>
      </c>
      <c r="Q171" s="17">
        <f>COUNTIFS(Delivery_Log!$B$4:$B$5998,VALUE(B171),Delivery_Log!$A$4:$A$5998,"&gt;="&amp;$Q$2)</f>
        <v/>
      </c>
      <c r="R171" s="38" t="n"/>
    </row>
    <row r="172">
      <c r="A172" t="n">
        <v>167</v>
      </c>
      <c r="B172" s="50" t="n">
        <v>16027</v>
      </c>
      <c r="C172" s="41" t="inlineStr">
        <is>
          <t>PIR - 16027 - PIRATE CASA GRANDE</t>
        </is>
      </c>
      <c r="D172" s="52" t="n"/>
      <c r="E172" s="41">
        <f>IFERROR(VLOOKUP(C172,Client_List!$B:$K,4,0)&amp;", "&amp;VLOOKUP(C172,Client_List!$B:$K,5,0)&amp;" AZ","")</f>
        <v/>
      </c>
      <c r="F172" s="38">
        <f>IFERROR(VLOOKUP(C172,Client_List!$B:$K,7,0)&amp;", "&amp;VLOOKUP(C172,Client_List!$B:$K,8,0),"")</f>
        <v/>
      </c>
      <c r="G172" s="42">
        <f>IFERROR(VLOOKUP(C172,Client_List!$B:$K,9,0),"")</f>
        <v/>
      </c>
      <c r="H172" s="18">
        <f>IFERROR(LOOKUP(2,1/((Delivery_Log!$B$4:$B$4998=VALUE(B172))*(ISNUMBER(Delivery_Log!$J$4:$J$4998))*(Delivery_Log!$J$4:$J$4998&gt;0)),Delivery_Log!$J$4:$J$4998),"")</f>
        <v/>
      </c>
      <c r="I172" s="41">
        <f>IFERROR(VLOOKUP(C172,Client_List!$B:$K,10,0),"")</f>
        <v/>
      </c>
      <c r="J172" s="19">
        <f>IFERROR(_xlfn.MAXIFS(Delivery_Log!$A$4:$A$4998,Delivery_Log!$B$4:$B$4998,VALUE(B172)),"—")</f>
        <v/>
      </c>
      <c r="K172" s="20">
        <f>IFERROR(IF(J172="—","",TODAY()-J172),"")</f>
        <v/>
      </c>
      <c r="L172" s="21">
        <f>IFERROR(IF(OR(K172="",H172=""),"",MAX(G172*0.03,G172-K172*H172)),"")</f>
        <v/>
      </c>
      <c r="M172" s="21">
        <f>IFERROR(IF(L172="","",G172-L172),"")</f>
        <v/>
      </c>
      <c r="N172" s="22">
        <f>IFERROR(IF(OR(L172="",H172=""),"",MIN(21,MAX(0,(L172-G172*$C$2)/H172))),"")</f>
        <v/>
      </c>
      <c r="O172" s="34">
        <f>TODAY()+ROUNDUP(N172,0)</f>
        <v/>
      </c>
      <c r="P172" s="32">
        <f>IFERROR(IF(N172="","—",IF(N172&lt;=$E$2,"YES","—")),"—")</f>
        <v/>
      </c>
      <c r="Q172" s="17">
        <f>COUNTIFS(Delivery_Log!$B$4:$B$5998,VALUE(B172),Delivery_Log!$A$4:$A$5998,"&gt;="&amp;$Q$2)</f>
        <v/>
      </c>
      <c r="R172" s="38" t="n"/>
    </row>
    <row r="173">
      <c r="A173" t="n">
        <v>168</v>
      </c>
      <c r="B173" s="50" t="n">
        <v>16051</v>
      </c>
      <c r="C173" s="41" t="inlineStr">
        <is>
          <t>POP - 16051 - POPOS MCDOWELL</t>
        </is>
      </c>
      <c r="D173" s="52" t="n">
        <v>1</v>
      </c>
      <c r="E173" s="41">
        <f>IFERROR(VLOOKUP(C173,Client_List!$B:$K,4,0)&amp;", "&amp;VLOOKUP(C173,Client_List!$B:$K,5,0)&amp;" AZ","")</f>
        <v/>
      </c>
      <c r="F173" s="38">
        <f>IFERROR(VLOOKUP(C173,Client_List!$B:$K,7,0)&amp;", "&amp;VLOOKUP(C173,Client_List!$B:$K,8,0),"")</f>
        <v/>
      </c>
      <c r="G173" s="42">
        <f>IFERROR(VLOOKUP(C173,Client_List!$B:$K,9,0),"")</f>
        <v/>
      </c>
      <c r="H173" s="18">
        <f>IFERROR(LOOKUP(2,1/((Delivery_Log!$B$4:$B$4998=VALUE(B173))*(ISNUMBER(Delivery_Log!$J$4:$J$4998))*(Delivery_Log!$J$4:$J$4998&gt;0)),Delivery_Log!$J$4:$J$4998),"")</f>
        <v/>
      </c>
      <c r="I173" s="41">
        <f>IFERROR(VLOOKUP(C173,Client_List!$B:$K,10,0),"")</f>
        <v/>
      </c>
      <c r="J173" s="19">
        <f>IFERROR(_xlfn.MAXIFS(Delivery_Log!$A$4:$A$4998,Delivery_Log!$B$4:$B$4998,VALUE(B173)),"—")</f>
        <v/>
      </c>
      <c r="K173" s="20">
        <f>IFERROR(IF(J173="—","",TODAY()-J173),"")</f>
        <v/>
      </c>
      <c r="L173" s="21">
        <f>IFERROR(IF(OR(K173="",H173=""),"",MAX(G173*0.03,G173-K173*H173)),"")</f>
        <v/>
      </c>
      <c r="M173" s="21">
        <f>IFERROR(IF(L173="","",G173-L173),"")</f>
        <v/>
      </c>
      <c r="N173" s="22">
        <f>IFERROR(IF(OR(L173="",H173=""),"",MIN(21,MAX(0,(L173-G173*$C$2)/H173))),"")</f>
        <v/>
      </c>
      <c r="O173" s="34">
        <f>TODAY()+ROUNDUP(N173,0)</f>
        <v/>
      </c>
      <c r="P173" s="32">
        <f>IFERROR(IF(N173="","—",IF(N173&lt;=$E$2,"YES","—")),"—")</f>
        <v/>
      </c>
      <c r="Q173" s="17">
        <f>COUNTIFS(Delivery_Log!$B$4:$B$5998,VALUE(B173),Delivery_Log!$A$4:$A$5998,"&gt;="&amp;$Q$2)</f>
        <v/>
      </c>
      <c r="R173" s="38" t="n"/>
    </row>
    <row r="174">
      <c r="A174" t="n">
        <v>169</v>
      </c>
      <c r="B174" s="50" t="n">
        <v>20089</v>
      </c>
      <c r="C174" s="41" t="inlineStr">
        <is>
          <t>TAI - 20089 - TAILGATERS PRESCOTT</t>
        </is>
      </c>
      <c r="D174" s="52" t="n"/>
      <c r="E174" s="41">
        <f>IFERROR(VLOOKUP(C174,Client_List!$B:$K,4,0)&amp;", "&amp;VLOOKUP(C174,Client_List!$B:$K,5,0)&amp;" AZ","")</f>
        <v/>
      </c>
      <c r="F174" s="38">
        <f>IFERROR(VLOOKUP(C174,Client_List!$B:$K,7,0)&amp;", "&amp;VLOOKUP(C174,Client_List!$B:$K,8,0),"")</f>
        <v/>
      </c>
      <c r="G174" s="42">
        <f>IFERROR(VLOOKUP(C174,Client_List!$B:$K,9,0),"")</f>
        <v/>
      </c>
      <c r="H174" s="18">
        <f>IFERROR(LOOKUP(2,1/((Delivery_Log!$B$4:$B$4998=VALUE(B174))*(ISNUMBER(Delivery_Log!$J$4:$J$4998))*(Delivery_Log!$J$4:$J$4998&gt;0)),Delivery_Log!$J$4:$J$4998),"")</f>
        <v/>
      </c>
      <c r="I174" s="41">
        <f>IFERROR(VLOOKUP(C174,Client_List!$B:$K,10,0),"")</f>
        <v/>
      </c>
      <c r="J174" s="19">
        <f>IFERROR(_xlfn.MAXIFS(Delivery_Log!$A$4:$A$4998,Delivery_Log!$B$4:$B$4998,VALUE(B174)),"—")</f>
        <v/>
      </c>
      <c r="K174" s="20">
        <f>IFERROR(IF(J174="—","",TODAY()-J174),"")</f>
        <v/>
      </c>
      <c r="L174" s="21">
        <f>IFERROR(IF(OR(K174="",H174=""),"",MAX(G174*0.03,G174-K174*H174)),"")</f>
        <v/>
      </c>
      <c r="M174" s="21">
        <f>IFERROR(IF(L174="","",G174-L174),"")</f>
        <v/>
      </c>
      <c r="N174" s="22">
        <f>IFERROR(IF(OR(L174="",H174=""),"",MIN(21,MAX(0,(L174-G174*$C$2)/H174))),"")</f>
        <v/>
      </c>
      <c r="O174" s="34">
        <f>TODAY()+ROUNDUP(N174,0)</f>
        <v/>
      </c>
      <c r="P174" s="32">
        <f>IFERROR(IF(N174="","—",IF(N174&lt;=$E$2,"YES","—")),"—")</f>
        <v/>
      </c>
      <c r="Q174" s="17">
        <f>COUNTIFS(Delivery_Log!$B$4:$B$5998,VALUE(B174),Delivery_Log!$A$4:$A$5998,"&gt;="&amp;$Q$2)</f>
        <v/>
      </c>
      <c r="R174" s="38" t="n"/>
    </row>
    <row r="175">
      <c r="A175" t="n">
        <v>170</v>
      </c>
      <c r="B175" s="50" t="n">
        <v>16058</v>
      </c>
      <c r="C175" s="41" t="inlineStr">
        <is>
          <t>PIN - 16058 - PINYON RESTAURANT</t>
        </is>
      </c>
      <c r="D175" s="52" t="n"/>
      <c r="E175" s="41">
        <f>IFERROR(VLOOKUP(C175,Client_List!$B:$K,4,0)&amp;", "&amp;VLOOKUP(C175,Client_List!$B:$K,5,0)&amp;" AZ","")</f>
        <v/>
      </c>
      <c r="F175" s="38">
        <f>IFERROR(VLOOKUP(C175,Client_List!$B:$K,7,0)&amp;", "&amp;VLOOKUP(C175,Client_List!$B:$K,8,0),"")</f>
        <v/>
      </c>
      <c r="G175" s="47">
        <f>IFERROR(VLOOKUP(C175,Client_List!$B:$K,9,0),"")</f>
        <v/>
      </c>
      <c r="H175" s="18">
        <f>IFERROR(LOOKUP(2,1/((Delivery_Log!$B$4:$B$4998=VALUE(B175))*(ISNUMBER(Delivery_Log!$J$4:$J$4998))*(Delivery_Log!$J$4:$J$4998&gt;0)),Delivery_Log!$J$4:$J$4998),"")</f>
        <v/>
      </c>
      <c r="I175" s="41">
        <f>IFERROR(VLOOKUP(C175,Client_List!$B:$K,10,0),"")</f>
        <v/>
      </c>
      <c r="J175" s="19">
        <f>IFERROR(_xlfn.MAXIFS(Delivery_Log!$A$4:$A$4998,Delivery_Log!$B$4:$B$4998,VALUE(B175)),"—")</f>
        <v/>
      </c>
      <c r="K175" s="20">
        <f>IFERROR(IF(J175="—","",TODAY()-J175),"")</f>
        <v/>
      </c>
      <c r="L175" s="21">
        <f>IFERROR(IF(OR(K175="",H175=""),"",MAX(G175*0.03,G175-K175*H175)),"")</f>
        <v/>
      </c>
      <c r="M175" s="21">
        <f>IFERROR(IF(L175="","",G175-L175),"")</f>
        <v/>
      </c>
      <c r="N175" s="22">
        <f>IFERROR(IF(OR(L175="",H175=""),"",MIN(21,MAX(0,(L175-G175*$C$2)/H175))),"")</f>
        <v/>
      </c>
      <c r="O175" s="34">
        <f>TODAY()+ROUNDUP(N175,0)</f>
        <v/>
      </c>
      <c r="P175" s="32">
        <f>IFERROR(IF(N175="","—",IF(N175&lt;=$E$2,"YES","—")),"—")</f>
        <v/>
      </c>
      <c r="Q175" s="17">
        <f>COUNTIFS(Delivery_Log!$B$4:$B$5998,VALUE(B175),Delivery_Log!$A$4:$A$5998,"&gt;="&amp;$Q$2)</f>
        <v/>
      </c>
      <c r="R175" s="38" t="n"/>
    </row>
  </sheetData>
  <autoFilter ref="A5:R175">
    <sortState ref="A6:R175">
      <sortCondition ref="A5:A175"/>
    </sortState>
  </autoFilter>
  <mergeCells count="6">
    <mergeCell ref="B4:F4"/>
    <mergeCell ref="J4:K4"/>
    <mergeCell ref="G4:I4"/>
    <mergeCell ref="B3:R3"/>
    <mergeCell ref="L4:Q4"/>
    <mergeCell ref="B1:R1"/>
  </mergeCells>
  <conditionalFormatting sqref="B6:C175">
    <cfRule type="expression" priority="3" dxfId="4" stopIfTrue="1">
      <formula>$N6&gt;7</formula>
    </cfRule>
    <cfRule type="expression" priority="4" dxfId="3">
      <formula>AND($N6&gt;=6,$N6&lt;=7)</formula>
    </cfRule>
    <cfRule type="expression" priority="5" dxfId="2">
      <formula>AND($N6&gt;=3,$N6&lt;6)</formula>
    </cfRule>
    <cfRule type="expression" priority="6" dxfId="1">
      <formula>AND($N6&lt;&gt;"",$N6&lt;3)</formula>
    </cfRule>
  </conditionalFormatting>
  <conditionalFormatting sqref="P6:P17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Time Windows — one row per (client, day) pair. Leave empty if no restrictions.</t>
        </is>
      </c>
    </row>
    <row r="2">
      <c r="A2" t="inlineStr">
        <is>
          <t>Blank = client is open all shift. Add rows only for clients with restricted hours.</t>
        </is>
      </c>
    </row>
    <row r="3">
      <c r="A3" t="inlineStr">
        <is>
          <t>Client_ID</t>
        </is>
      </c>
      <c r="B3" t="inlineStr">
        <is>
          <t>Day_of_Week</t>
        </is>
      </c>
      <c r="C3" t="inlineStr">
        <is>
          <t>Open_HHMM</t>
        </is>
      </c>
      <c r="D3" t="inlineStr">
        <is>
          <t>Close_HHMM</t>
        </is>
      </c>
      <c r="E3" t="inlineStr">
        <is>
          <t>Notes</t>
        </is>
      </c>
    </row>
    <row r="4">
      <c r="A4" t="inlineStr">
        <is>
          <t>EXAMPLE_C042</t>
        </is>
      </c>
      <c r="B4" t="inlineStr">
        <is>
          <t>Tue</t>
        </is>
      </c>
      <c r="C4" t="inlineStr">
        <is>
          <t>10:00</t>
        </is>
      </c>
      <c r="D4" t="inlineStr">
        <is>
          <t>14:00</t>
        </is>
      </c>
      <c r="E4" t="inlineStr">
        <is>
          <t>No deliveries during lunch rush (example — delete this row)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Closures — date-range closures (vacations, renovations, etc.)</t>
        </is>
      </c>
    </row>
    <row r="2">
      <c r="A2" t="inlineStr">
        <is>
          <t>Inclusive on both ends. Solver skips these clients on those days.</t>
        </is>
      </c>
    </row>
    <row r="3">
      <c r="A3" t="inlineStr">
        <is>
          <t>Client_ID</t>
        </is>
      </c>
      <c r="B3" t="inlineStr">
        <is>
          <t>Start_Date</t>
        </is>
      </c>
      <c r="C3" t="inlineStr">
        <is>
          <t>End_Date</t>
        </is>
      </c>
      <c r="D3" t="inlineStr">
        <is>
          <t>Reason</t>
        </is>
      </c>
    </row>
    <row r="4">
      <c r="A4" t="inlineStr">
        <is>
          <t>EXAMPLE_C042</t>
        </is>
      </c>
      <c r="B4" t="inlineStr">
        <is>
          <t>2026-04-20</t>
        </is>
      </c>
      <c r="C4" t="inlineStr">
        <is>
          <t>2026-04-27</t>
        </is>
      </c>
      <c r="D4" t="inlineStr">
        <is>
          <t>Renovations (example — delete this row)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cols>
    <col width="15.5" customWidth="1" style="72" min="2" max="2"/>
  </cols>
  <sheetData>
    <row r="1">
      <c r="A1" t="inlineStr">
        <is>
          <t>Truck Configuration</t>
        </is>
      </c>
    </row>
    <row r="2">
      <c r="A2" t="inlineStr">
        <is>
          <t>Truck_Name</t>
        </is>
      </c>
      <c r="B2" t="inlineStr">
        <is>
          <t>Capacity_lbs</t>
        </is>
      </c>
      <c r="C2" t="inlineStr">
        <is>
          <t>Pump_Rate_lbs_per_min</t>
        </is>
      </c>
      <c r="D2" t="inlineStr">
        <is>
          <t>Fixed_Setup_min</t>
        </is>
      </c>
    </row>
    <row r="3">
      <c r="A3" t="inlineStr">
        <is>
          <t>Truck2</t>
        </is>
      </c>
      <c r="B3" t="n">
        <v>10000</v>
      </c>
      <c r="C3" t="n">
        <v>152.6</v>
      </c>
      <c r="D3" t="n">
        <v>18</v>
      </c>
    </row>
    <row r="4">
      <c r="A4" t="inlineStr">
        <is>
          <t>Truck9</t>
        </is>
      </c>
      <c r="B4" t="n">
        <v>10000</v>
      </c>
      <c r="C4" t="n">
        <v>206</v>
      </c>
      <c r="D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Depot Configuration (key-value pairs)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Depot_Lat</t>
        </is>
      </c>
      <c r="B3" t="n">
        <v>33.5152</v>
      </c>
    </row>
    <row r="4">
      <c r="A4" t="inlineStr">
        <is>
          <t>Depot_Lon</t>
        </is>
      </c>
      <c r="B4" t="n">
        <v>-112.1674</v>
      </c>
    </row>
    <row r="5">
      <c r="A5" t="inlineStr">
        <is>
          <t>Shift_Start_HHMM</t>
        </is>
      </c>
      <c r="B5" t="inlineStr">
        <is>
          <t>06:00</t>
        </is>
      </c>
    </row>
    <row r="6">
      <c r="A6" t="inlineStr">
        <is>
          <t>Shift_End_HHMM</t>
        </is>
      </c>
      <c r="B6" t="inlineStr">
        <is>
          <t>16:00</t>
        </is>
      </c>
    </row>
    <row r="7">
      <c r="A7" t="inlineStr">
        <is>
          <t>Morning_Load_Min</t>
        </is>
      </c>
      <c r="B7" t="n">
        <v>30</v>
      </c>
    </row>
    <row r="8">
      <c r="A8" t="inlineStr">
        <is>
          <t>Evening_Unload_Min</t>
        </is>
      </c>
      <c r="B8" t="n">
        <v>15</v>
      </c>
    </row>
    <row r="9">
      <c r="A9" t="inlineStr">
        <is>
          <t>Work_Days</t>
        </is>
      </c>
      <c r="B9" t="inlineStr">
        <is>
          <t>Tue,Wed,Thu,Fri,Sat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2026-04-07T20:56:36Z</dcterms:created>
  <dcterms:modified xsi:type="dcterms:W3CDTF">2026-05-01T23:20:14Z</dcterms:modified>
  <cp:lastModifiedBy>Pablo Herrera Pinto</cp:lastModifiedBy>
</cp:coreProperties>
</file>